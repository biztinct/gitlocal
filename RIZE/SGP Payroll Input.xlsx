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roll Input -June25" sheetId="1" r:id="rId4"/>
    <sheet state="visible" name="June25 Statutory Payments" sheetId="2" r:id="rId5"/>
    <sheet state="visible" name="Fund Request" sheetId="3" r:id="rId6"/>
    <sheet state="visible" name="YTD FY 25-26 Variance" sheetId="4" r:id="rId7"/>
    <sheet state="hidden" name="YTD 24-25 Variance" sheetId="5" r:id="rId8"/>
  </sheets>
  <definedNames/>
  <calcPr/>
  <extLst>
    <ext uri="GoogleSheetsCustomDataVersion2">
      <go:sheetsCustomData xmlns:go="http://customooxmlschemas.google.com/" r:id="rId9" roundtripDataChecksum="9z6Er4dJR4ctoDQe3jaF04MXIj3+/jrAWR0+jROaig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6">
      <text>
        <t xml:space="preserve">======
ID#AAABMHQGdFM
Debalina de    (2024-04-22 11:56:02)
Skills Development Levy (SDL) - CPFB | Skills Development Levy – contribute by Employer for all employees
The levy payable for each employee is at 0.25% of the monthly total wages. The minimum payable is $2 for an employee earning less than $800 a month and the maximum is $11.25 for an employee earning more than $4,500 a month.</t>
      </text>
    </comment>
  </commentList>
  <extLst>
    <ext uri="GoogleSheetsCustomDataVersion2">
      <go:sheetsCustomData xmlns:go="http://customooxmlschemas.google.com/" r:id="rId1" roundtripDataSignature="AMtx7mgAuhA7ONA5Pt7OegtDLd8rlcZL6w=="/>
    </ext>
  </extLst>
</comments>
</file>

<file path=xl/sharedStrings.xml><?xml version="1.0" encoding="utf-8"?>
<sst xmlns="http://schemas.openxmlformats.org/spreadsheetml/2006/main" count="214" uniqueCount="76">
  <si>
    <t>MONTH</t>
  </si>
  <si>
    <t xml:space="preserve">From </t>
  </si>
  <si>
    <t>To</t>
  </si>
  <si>
    <t>Standard working days</t>
  </si>
  <si>
    <t>Deduction</t>
  </si>
  <si>
    <t>Contribution</t>
  </si>
  <si>
    <t>Country</t>
  </si>
  <si>
    <t>Name</t>
  </si>
  <si>
    <t>Designation</t>
  </si>
  <si>
    <t>DOB</t>
  </si>
  <si>
    <t>DOJ</t>
  </si>
  <si>
    <t>Local Currency</t>
  </si>
  <si>
    <t>Monthly Salary fixed(USD)</t>
  </si>
  <si>
    <t>Gross Salary per month(Local)-SGD</t>
  </si>
  <si>
    <t>Employee CPF SGD</t>
  </si>
  <si>
    <t>Employee Self help group Contribution SGD</t>
  </si>
  <si>
    <t>Employer CPF SGD</t>
  </si>
  <si>
    <t>SDL-Employer Contribution SGD</t>
  </si>
  <si>
    <t>Net Salary per month SGD</t>
  </si>
  <si>
    <t>CTC Monthly SGD</t>
  </si>
  <si>
    <t>Gross CTC Annual SGD</t>
  </si>
  <si>
    <t>Net CTC Annual SGD</t>
  </si>
  <si>
    <t>Payroll Start Date</t>
  </si>
  <si>
    <t>Payroll End Date</t>
  </si>
  <si>
    <t>Total Number of working days</t>
  </si>
  <si>
    <t>LOP Days</t>
  </si>
  <si>
    <t>Arrear Days</t>
  </si>
  <si>
    <t>Active working days</t>
  </si>
  <si>
    <t>Salary Payable for Mar 2025 [SGD]</t>
  </si>
  <si>
    <t>Medical Allowance</t>
  </si>
  <si>
    <t>Other Allowance</t>
  </si>
  <si>
    <t>Net take home Mar 2025 [SGD]</t>
  </si>
  <si>
    <t>Bank Name</t>
  </si>
  <si>
    <t>Bank Account Number</t>
  </si>
  <si>
    <t>Account Holder Name</t>
  </si>
  <si>
    <t>Swift Code</t>
  </si>
  <si>
    <t>No of working days &gt;</t>
  </si>
  <si>
    <t>Total Number of wotking days</t>
  </si>
  <si>
    <t>Salary Payable for May 2024 [SGD]</t>
  </si>
  <si>
    <t>Item</t>
  </si>
  <si>
    <t>Description</t>
  </si>
  <si>
    <t>Amount(SGD)</t>
  </si>
  <si>
    <t>Remarks</t>
  </si>
  <si>
    <t>April'25 Salary Total</t>
  </si>
  <si>
    <t>Citizenship</t>
  </si>
  <si>
    <t>Payroll Account</t>
  </si>
  <si>
    <t>Curr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</si>
  <si>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</si>
  <si>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</si>
  <si>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</si>
  <si>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</si>
  <si>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</si>
  <si>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</si>
  <si>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</si>
  <si>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</si>
  <si>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</si>
  <si>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</si>
  <si>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</si>
  <si>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</si>
  <si>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</si>
  <si>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Variance</t>
  </si>
  <si>
    <t>LTVP</t>
  </si>
  <si>
    <t>Tudor Coman</t>
  </si>
  <si>
    <t>Gross Salary-Income</t>
  </si>
  <si>
    <t>SGD</t>
  </si>
  <si>
    <t>Employee CPF SGD(Deduction)</t>
  </si>
  <si>
    <t>Total Deduction</t>
  </si>
  <si>
    <t>Salary for the month</t>
  </si>
  <si>
    <t>Take Home Pay</t>
  </si>
  <si>
    <t>Local</t>
  </si>
  <si>
    <t>Stefanie Koh</t>
  </si>
  <si>
    <r>
      <rPr/>
      <t xml:space="preserve">Due to change in Ordinary Wage ceiling rate, </t>
    </r>
    <r>
      <rPr>
        <color rgb="FF1155CC"/>
        <u/>
      </rPr>
      <t>https://www.cpf.gov.sg/employer/infohub/news/cpf-related-announcements/new-contribution-rates</t>
    </r>
  </si>
  <si>
    <r>
      <rPr/>
      <t xml:space="preserve">Due to change in Ordinary Wage ceiling rate, </t>
    </r>
    <r>
      <rPr>
        <color rgb="FF1155CC"/>
        <u/>
      </rPr>
      <t>https://www.cpf.gov.sg/employer/infohub/news/cpf-related-announcements/new-contribution-rates</t>
    </r>
  </si>
  <si>
    <t>Medical allowance not paid due to corporate medical insurance issuance</t>
  </si>
  <si>
    <t>PEP Indian</t>
  </si>
  <si>
    <t>Piyush Nagar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</si>
</sst>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- yyyy"/>
    <numFmt numFmtId="165" formatCode="mmm\-yyyy"/>
    <numFmt numFmtId="166" formatCode="d-mmm-yyyy"/>
  </numFmts>
  <fonts count="17">
    <font>
      <sz val="10.0"/>
      <color theme="1"/>
      <name val="Arial"/>
      <scheme val="minor"/>
    </font>
    <font>
      <b/>
      <color theme="1"/>
      <name val="Arial"/>
    </font>
    <font>
      <sz val="11.0"/>
      <color theme="1"/>
      <name val="Calibri"/>
    </font>
    <font>
      <color rgb="FF000000"/>
      <name val="Arial"/>
    </font>
    <font>
      <color rgb="FFFF0000"/>
      <name val="Arial"/>
    </font>
    <font>
      <color theme="1"/>
      <name val="Arial"/>
    </font>
    <font>
      <b/>
      <i/>
      <color theme="1"/>
      <name val="Arial"/>
    </font>
    <font>
      <b/>
      <color rgb="FF000000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  <font/>
    <font>
      <color rgb="FF000000"/>
      <name val="Calibri"/>
    </font>
    <font>
      <color theme="1"/>
      <name val="Arial"/>
      <scheme val="minor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FF"/>
      </top>
      <bottom style="thin">
        <color rgb="FF000000"/>
      </bottom>
    </border>
    <border>
      <left style="thin">
        <color rgb="FF000000"/>
      </left>
      <right style="medium">
        <color rgb="FF0000FF"/>
      </right>
      <top style="medium">
        <color rgb="FF0000FF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FF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FF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FF"/>
      </bottom>
    </border>
    <border>
      <left style="thin">
        <color rgb="FF000000"/>
      </left>
      <right style="medium">
        <color rgb="FF0000FF"/>
      </right>
      <top style="thin">
        <color rgb="FF000000"/>
      </top>
      <bottom style="medium">
        <color rgb="FF0000FF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164" xfId="0" applyBorder="1" applyFont="1" applyNumberFormat="1"/>
    <xf borderId="0" fillId="0" fontId="2" numFmtId="0" xfId="0" applyFont="1"/>
    <xf borderId="1" fillId="0" fontId="3" numFmtId="165" xfId="0" applyAlignment="1" applyBorder="1" applyFont="1" applyNumberFormat="1">
      <alignment horizontal="center" vertical="bottom"/>
    </xf>
    <xf borderId="0" fillId="0" fontId="4" numFmtId="165" xfId="0" applyAlignment="1" applyFont="1" applyNumberFormat="1">
      <alignment horizontal="center" vertical="bottom"/>
    </xf>
    <xf borderId="0" fillId="2" fontId="1" numFmtId="0" xfId="0" applyAlignment="1" applyFill="1" applyFont="1">
      <alignment shrinkToFit="0" vertical="top" wrapText="1"/>
    </xf>
    <xf borderId="0" fillId="0" fontId="5" numFmtId="0" xfId="0" applyAlignment="1" applyFont="1">
      <alignment vertical="bottom"/>
    </xf>
    <xf borderId="1" fillId="0" fontId="3" numFmtId="14" xfId="0" applyAlignment="1" applyBorder="1" applyFont="1" applyNumberFormat="1">
      <alignment horizontal="center"/>
    </xf>
    <xf borderId="0" fillId="0" fontId="5" numFmtId="14" xfId="0" applyAlignment="1" applyFont="1" applyNumberFormat="1">
      <alignment horizontal="center"/>
    </xf>
    <xf borderId="1" fillId="0" fontId="6" numFmtId="164" xfId="0" applyBorder="1" applyFont="1" applyNumberFormat="1"/>
    <xf borderId="1" fillId="3" fontId="3" numFmtId="0" xfId="0" applyAlignment="1" applyBorder="1" applyFill="1" applyFont="1">
      <alignment horizontal="center"/>
    </xf>
    <xf borderId="2" fillId="2" fontId="5" numFmtId="0" xfId="0" applyAlignment="1" applyBorder="1" applyFont="1">
      <alignment horizontal="center"/>
    </xf>
    <xf borderId="0" fillId="0" fontId="1" numFmtId="0" xfId="0" applyAlignment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  <xf borderId="1" fillId="4" fontId="1" numFmtId="0" xfId="0" applyAlignment="1" applyBorder="1" applyFill="1" applyFont="1">
      <alignment shrinkToFit="0" vertical="top" wrapText="1"/>
    </xf>
    <xf borderId="1" fillId="5" fontId="7" numFmtId="0" xfId="0" applyAlignment="1" applyBorder="1" applyFill="1" applyFont="1">
      <alignment horizontal="center" shrinkToFit="0" vertical="top" wrapText="1"/>
    </xf>
    <xf borderId="1" fillId="6" fontId="1" numFmtId="0" xfId="0" applyAlignment="1" applyBorder="1" applyFill="1" applyFont="1">
      <alignment shrinkToFit="0" vertical="top" wrapText="1"/>
    </xf>
    <xf borderId="1" fillId="3" fontId="1" numFmtId="0" xfId="0" applyAlignment="1" applyBorder="1" applyFont="1">
      <alignment shrinkToFit="0" vertical="top" wrapText="1"/>
    </xf>
    <xf borderId="3" fillId="0" fontId="5" numFmtId="0" xfId="0" applyAlignment="1" applyBorder="1" applyFont="1">
      <alignment vertical="top"/>
    </xf>
    <xf borderId="0" fillId="0" fontId="5" numFmtId="0" xfId="0" applyAlignment="1" applyFont="1">
      <alignment vertical="top"/>
    </xf>
    <xf borderId="0" fillId="2" fontId="5" numFmtId="0" xfId="0" applyFont="1"/>
    <xf borderId="0" fillId="0" fontId="5" numFmtId="166" xfId="0" applyFont="1" applyNumberFormat="1"/>
    <xf borderId="0" fillId="2" fontId="5" numFmtId="0" xfId="0" applyAlignment="1" applyFont="1">
      <alignment shrinkToFit="0" vertical="top" wrapText="1"/>
    </xf>
    <xf borderId="0" fillId="2" fontId="1" numFmtId="0" xfId="0" applyFont="1"/>
    <xf borderId="0" fillId="2" fontId="5" numFmtId="0" xfId="0" applyAlignment="1" applyFont="1">
      <alignment horizontal="right" shrinkToFit="0" vertical="top" wrapText="1"/>
    </xf>
    <xf borderId="0" fillId="2" fontId="5" numFmtId="0" xfId="0" applyAlignment="1" applyFont="1">
      <alignment horizontal="right" vertical="bottom"/>
    </xf>
    <xf borderId="0" fillId="0" fontId="1" numFmtId="164" xfId="0" applyAlignment="1" applyFont="1" applyNumberFormat="1">
      <alignment shrinkToFit="0" vertical="top" wrapText="1"/>
    </xf>
    <xf borderId="1" fillId="3" fontId="7" numFmtId="0" xfId="0" applyAlignment="1" applyBorder="1" applyFont="1">
      <alignment horizontal="center" shrinkToFit="0" vertical="top" wrapText="1"/>
    </xf>
    <xf borderId="1" fillId="7" fontId="1" numFmtId="0" xfId="0" applyBorder="1" applyFill="1" applyFont="1"/>
    <xf borderId="1" fillId="3" fontId="1" numFmtId="0" xfId="0" applyBorder="1" applyFont="1"/>
    <xf borderId="1" fillId="0" fontId="5" numFmtId="0" xfId="0" applyBorder="1" applyFont="1"/>
    <xf borderId="1" fillId="8" fontId="1" numFmtId="0" xfId="0" applyBorder="1" applyFill="1" applyFont="1"/>
    <xf borderId="1" fillId="8" fontId="5" numFmtId="0" xfId="0" applyBorder="1" applyFont="1"/>
    <xf borderId="1" fillId="7" fontId="8" numFmtId="0" xfId="0" applyAlignment="1" applyBorder="1" applyFont="1">
      <alignment horizontal="center"/>
    </xf>
    <xf borderId="4" fillId="7" fontId="8" numFmtId="0" xfId="0" applyAlignment="1" applyBorder="1" applyFont="1">
      <alignment horizontal="center"/>
    </xf>
    <xf borderId="1" fillId="7" fontId="9" numFmtId="0" xfId="0" applyAlignment="1" applyBorder="1" applyFont="1">
      <alignment horizontal="center"/>
    </xf>
    <xf borderId="1" fillId="0" fontId="10" numFmtId="0" xfId="0" applyAlignment="1" applyBorder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4" fillId="0" fontId="5" numFmtId="166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vertical="center"/>
    </xf>
    <xf borderId="5" fillId="0" fontId="5" numFmtId="0" xfId="0" applyBorder="1" applyFont="1"/>
    <xf borderId="6" fillId="0" fontId="2" numFmtId="0" xfId="0" applyAlignment="1" applyBorder="1" applyFont="1">
      <alignment horizontal="left" vertical="bottom"/>
    </xf>
    <xf borderId="7" fillId="0" fontId="2" numFmtId="0" xfId="0" applyAlignment="1" applyBorder="1" applyFont="1">
      <alignment horizontal="center" vertical="bottom"/>
    </xf>
    <xf borderId="1" fillId="0" fontId="2" numFmtId="4" xfId="0" applyAlignment="1" applyBorder="1" applyFont="1" applyNumberFormat="1">
      <alignment horizontal="right" vertical="bottom"/>
    </xf>
    <xf borderId="1" fillId="0" fontId="2" numFmtId="4" xfId="0" applyAlignment="1" applyBorder="1" applyFont="1" applyNumberFormat="1">
      <alignment shrinkToFit="0" vertical="bottom" wrapText="0"/>
    </xf>
    <xf borderId="1" fillId="0" fontId="12" numFmtId="4" xfId="0" applyAlignment="1" applyBorder="1" applyFont="1" applyNumberFormat="1">
      <alignment shrinkToFit="0" vertical="bottom" wrapText="0"/>
    </xf>
    <xf borderId="1" fillId="0" fontId="11" numFmtId="0" xfId="0" applyAlignment="1" applyBorder="1" applyFont="1">
      <alignment shrinkToFit="0" vertical="bottom" wrapText="0"/>
    </xf>
    <xf borderId="8" fillId="0" fontId="13" numFmtId="0" xfId="0" applyBorder="1" applyFont="1"/>
    <xf borderId="7" fillId="0" fontId="5" numFmtId="0" xfId="0" applyBorder="1" applyFont="1"/>
    <xf borderId="9" fillId="2" fontId="14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horizontal="left" vertical="bottom"/>
    </xf>
    <xf borderId="10" fillId="0" fontId="5" numFmtId="0" xfId="0" applyBorder="1" applyFont="1"/>
    <xf borderId="11" fillId="0" fontId="2" numFmtId="0" xfId="0" applyAlignment="1" applyBorder="1" applyFont="1">
      <alignment horizontal="left" vertical="bottom"/>
    </xf>
    <xf borderId="12" fillId="0" fontId="13" numFmtId="0" xfId="0" applyBorder="1" applyFont="1"/>
    <xf borderId="13" fillId="0" fontId="5" numFmtId="0" xfId="0" applyBorder="1" applyFont="1"/>
    <xf borderId="14" fillId="0" fontId="2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center" vertical="center"/>
    </xf>
    <xf borderId="8" fillId="0" fontId="5" numFmtId="0" xfId="0" applyBorder="1" applyFont="1"/>
    <xf borderId="8" fillId="0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center" vertical="bottom"/>
    </xf>
    <xf borderId="1" fillId="0" fontId="5" numFmtId="4" xfId="0" applyBorder="1" applyFont="1" applyNumberFormat="1"/>
    <xf borderId="1" fillId="0" fontId="15" numFmtId="0" xfId="0" applyBorder="1" applyFont="1"/>
    <xf borderId="1" fillId="0" fontId="16" numFmtId="0" xfId="0" applyBorder="1" applyFont="1"/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pf.gov.sg/employer/infohub/news/cpf-related-announcements/new-contribution-rates" TargetMode="External"/><Relationship Id="rId2" Type="http://schemas.openxmlformats.org/officeDocument/2006/relationships/hyperlink" Target="https://www.cpf.gov.sg/employer/infohub/news/cpf-related-announcements/new-contribution-rates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4.5"/>
    <col customWidth="1" min="8" max="8" width="13.75"/>
    <col customWidth="1" min="28" max="28" width="14.38"/>
    <col customWidth="1" min="30" max="30" width="15.5"/>
  </cols>
  <sheetData>
    <row r="1">
      <c r="A1" s="1" t="s">
        <v>0</v>
      </c>
      <c r="B1" s="2"/>
      <c r="C1" s="3">
        <v>45809.0</v>
      </c>
      <c r="D1" s="4"/>
      <c r="E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</row>
    <row r="2">
      <c r="A2" s="1" t="s">
        <v>1</v>
      </c>
      <c r="B2" s="2"/>
      <c r="C2" s="7">
        <f>DATE(YEAR(C1),MONTH(C1),1)</f>
        <v>45809</v>
      </c>
      <c r="D2" s="8"/>
      <c r="E2" s="8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>
      <c r="A3" s="1" t="s">
        <v>2</v>
      </c>
      <c r="B3" s="2"/>
      <c r="C3" s="7">
        <f>EOMONTH(C2,0)</f>
        <v>45838</v>
      </c>
      <c r="D3" s="8"/>
      <c r="E3" s="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>
      <c r="A4" s="9" t="s">
        <v>3</v>
      </c>
      <c r="B4" s="2"/>
      <c r="C4" s="10">
        <v>21.0</v>
      </c>
      <c r="D4" s="11"/>
      <c r="E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>
      <c r="A5" s="12"/>
      <c r="B5" s="12"/>
      <c r="C5" s="12"/>
      <c r="D5" s="12"/>
      <c r="E5" s="12"/>
      <c r="F5" s="12"/>
      <c r="G5" s="5"/>
      <c r="H5" s="5"/>
      <c r="I5" s="5" t="s">
        <v>4</v>
      </c>
      <c r="J5" s="5" t="s">
        <v>4</v>
      </c>
      <c r="K5" s="5" t="s">
        <v>5</v>
      </c>
      <c r="L5" s="5" t="s">
        <v>5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>
      <c r="A6" s="13" t="s">
        <v>6</v>
      </c>
      <c r="B6" s="13" t="s">
        <v>7</v>
      </c>
      <c r="C6" s="13" t="s">
        <v>8</v>
      </c>
      <c r="D6" s="13" t="s">
        <v>9</v>
      </c>
      <c r="E6" s="13" t="s">
        <v>10</v>
      </c>
      <c r="F6" s="13" t="s">
        <v>11</v>
      </c>
      <c r="G6" s="14" t="s">
        <v>12</v>
      </c>
      <c r="H6" s="15" t="s">
        <v>13</v>
      </c>
      <c r="I6" s="15" t="s">
        <v>14</v>
      </c>
      <c r="J6" s="15" t="s">
        <v>15</v>
      </c>
      <c r="K6" s="15" t="s">
        <v>16</v>
      </c>
      <c r="L6" s="15" t="s">
        <v>17</v>
      </c>
      <c r="M6" s="15" t="s">
        <v>18</v>
      </c>
      <c r="N6" s="15" t="s">
        <v>19</v>
      </c>
      <c r="O6" s="15" t="s">
        <v>20</v>
      </c>
      <c r="P6" s="15" t="s">
        <v>21</v>
      </c>
      <c r="Q6" s="14" t="s">
        <v>22</v>
      </c>
      <c r="R6" s="14" t="s">
        <v>23</v>
      </c>
      <c r="S6" s="14" t="s">
        <v>24</v>
      </c>
      <c r="T6" s="14" t="s">
        <v>25</v>
      </c>
      <c r="U6" s="14" t="s">
        <v>26</v>
      </c>
      <c r="V6" s="14" t="s">
        <v>27</v>
      </c>
      <c r="W6" s="16" t="s">
        <v>28</v>
      </c>
      <c r="X6" s="14" t="s">
        <v>29</v>
      </c>
      <c r="Y6" s="14" t="s">
        <v>30</v>
      </c>
      <c r="Z6" s="17" t="s">
        <v>31</v>
      </c>
      <c r="AA6" s="14" t="s">
        <v>32</v>
      </c>
      <c r="AB6" s="14" t="s">
        <v>33</v>
      </c>
      <c r="AC6" s="14" t="s">
        <v>34</v>
      </c>
      <c r="AD6" s="14" t="s">
        <v>35</v>
      </c>
      <c r="AE6" s="18"/>
      <c r="AF6" s="18"/>
      <c r="AG6" s="18"/>
      <c r="AH6" s="18"/>
      <c r="AI6" s="18"/>
      <c r="AJ6" s="19"/>
      <c r="AK6" s="19"/>
      <c r="AL6" s="19"/>
      <c r="AM6" s="19"/>
      <c r="AN6" s="19"/>
      <c r="AO6" s="19"/>
      <c r="AP6" s="19"/>
      <c r="AQ6" s="19"/>
      <c r="AR6" s="19"/>
    </row>
    <row r="7">
      <c r="I7" s="20"/>
      <c r="J7" s="20"/>
      <c r="K7" s="20"/>
      <c r="L7" s="20"/>
      <c r="M7" s="20"/>
      <c r="N7" s="20"/>
    </row>
    <row r="8">
      <c r="D8" s="21"/>
      <c r="I8" s="20"/>
      <c r="J8" s="22"/>
      <c r="K8" s="5"/>
      <c r="L8" s="5"/>
      <c r="M8" s="5"/>
      <c r="N8" s="20"/>
      <c r="W8" s="23"/>
    </row>
    <row r="9">
      <c r="I9" s="20"/>
      <c r="J9" s="5"/>
      <c r="K9" s="22"/>
      <c r="L9" s="22"/>
      <c r="M9" s="22"/>
      <c r="N9" s="20"/>
      <c r="W9" s="20"/>
    </row>
    <row r="10">
      <c r="I10" s="20"/>
      <c r="J10" s="22"/>
      <c r="K10" s="22"/>
      <c r="L10" s="22"/>
      <c r="M10" s="22"/>
      <c r="N10" s="20"/>
    </row>
    <row r="11">
      <c r="I11" s="20"/>
      <c r="J11" s="5"/>
      <c r="K11" s="22"/>
      <c r="L11" s="22"/>
      <c r="M11" s="22"/>
      <c r="N11" s="20"/>
      <c r="S11" s="5"/>
      <c r="T11" s="5"/>
      <c r="U11" s="5"/>
      <c r="V11" s="5"/>
    </row>
    <row r="12">
      <c r="I12" s="20"/>
      <c r="J12" s="22"/>
      <c r="K12" s="22"/>
      <c r="L12" s="24"/>
      <c r="M12" s="22"/>
      <c r="N12" s="20"/>
      <c r="S12" s="25"/>
      <c r="T12" s="25"/>
      <c r="U12" s="25"/>
      <c r="V12" s="25"/>
    </row>
    <row r="13">
      <c r="I13" s="20"/>
      <c r="J13" s="20"/>
      <c r="K13" s="20"/>
      <c r="L13" s="20"/>
      <c r="M13" s="20"/>
      <c r="N13" s="20"/>
    </row>
    <row r="14">
      <c r="I14" s="20"/>
      <c r="J14" s="20"/>
      <c r="K14" s="20"/>
      <c r="L14" s="20"/>
      <c r="M14" s="20"/>
      <c r="N14" s="20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4.88"/>
    <col hidden="1" min="17" max="28" width="12.63"/>
  </cols>
  <sheetData>
    <row r="1">
      <c r="A1" s="26" t="str">
        <f>'Payroll Input -June25'!A1</f>
        <v>MONTH</v>
      </c>
      <c r="B1" s="12" t="s">
        <v>36</v>
      </c>
      <c r="C1" s="12">
        <f>'Payroll Input -June25'!C4</f>
        <v>21</v>
      </c>
      <c r="D1" s="12"/>
      <c r="E1" s="12"/>
      <c r="F1" s="12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>
      <c r="A2" s="12"/>
      <c r="B2" s="12"/>
      <c r="C2" s="12"/>
      <c r="D2" s="12"/>
      <c r="E2" s="12"/>
      <c r="F2" s="12"/>
      <c r="G2" s="5"/>
      <c r="H2" s="5"/>
      <c r="I2" s="5" t="s">
        <v>4</v>
      </c>
      <c r="J2" s="5" t="s">
        <v>4</v>
      </c>
      <c r="K2" s="5" t="s">
        <v>5</v>
      </c>
      <c r="L2" s="5" t="s">
        <v>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>
      <c r="A3" s="13" t="s">
        <v>6</v>
      </c>
      <c r="B3" s="13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 s="14" t="s">
        <v>12</v>
      </c>
      <c r="H3" s="15" t="s">
        <v>13</v>
      </c>
      <c r="I3" s="27" t="s">
        <v>14</v>
      </c>
      <c r="J3" s="27" t="s">
        <v>15</v>
      </c>
      <c r="K3" s="27" t="s">
        <v>16</v>
      </c>
      <c r="L3" s="27" t="s">
        <v>17</v>
      </c>
      <c r="M3" s="15" t="s">
        <v>18</v>
      </c>
      <c r="N3" s="15" t="s">
        <v>19</v>
      </c>
      <c r="O3" s="15" t="s">
        <v>20</v>
      </c>
      <c r="P3" s="15" t="s">
        <v>21</v>
      </c>
      <c r="Q3" s="14" t="s">
        <v>22</v>
      </c>
      <c r="R3" s="14" t="s">
        <v>23</v>
      </c>
      <c r="S3" s="14" t="s">
        <v>37</v>
      </c>
      <c r="T3" s="14" t="s">
        <v>25</v>
      </c>
      <c r="U3" s="14" t="s">
        <v>26</v>
      </c>
      <c r="V3" s="14" t="s">
        <v>27</v>
      </c>
      <c r="W3" s="14" t="s">
        <v>38</v>
      </c>
      <c r="X3" s="14" t="s">
        <v>29</v>
      </c>
      <c r="Y3" s="14" t="s">
        <v>32</v>
      </c>
      <c r="Z3" s="14" t="s">
        <v>33</v>
      </c>
      <c r="AA3" s="14" t="s">
        <v>34</v>
      </c>
      <c r="AB3" s="14" t="s">
        <v>35</v>
      </c>
      <c r="AC3" s="18"/>
      <c r="AD3" s="18"/>
      <c r="AE3" s="18"/>
      <c r="AF3" s="18"/>
      <c r="AG3" s="18"/>
      <c r="AH3" s="19"/>
      <c r="AI3" s="19"/>
      <c r="AJ3" s="19"/>
      <c r="AK3" s="19"/>
      <c r="AL3" s="19"/>
      <c r="AM3" s="19"/>
      <c r="AN3" s="19"/>
      <c r="AO3" s="19"/>
      <c r="AP3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13"/>
    <col customWidth="1" min="2" max="3" width="28.75"/>
    <col customWidth="1" min="4" max="4" width="22.38"/>
  </cols>
  <sheetData>
    <row r="1">
      <c r="A1" s="28" t="s">
        <v>39</v>
      </c>
      <c r="B1" s="28" t="s">
        <v>40</v>
      </c>
      <c r="C1" s="29" t="s">
        <v>41</v>
      </c>
      <c r="D1" s="28" t="s">
        <v>42</v>
      </c>
    </row>
    <row r="2">
      <c r="A2" s="30"/>
      <c r="B2" s="30"/>
      <c r="C2" s="30"/>
      <c r="D2" s="30"/>
    </row>
    <row r="3">
      <c r="B3" s="30"/>
      <c r="C3" s="30"/>
    </row>
    <row r="4">
      <c r="A4" s="31" t="s">
        <v>43</v>
      </c>
      <c r="B4" s="32"/>
      <c r="C4" s="29">
        <f>sum(C2:C3)</f>
        <v>0</v>
      </c>
      <c r="D4" s="30"/>
      <c r="F4" s="20"/>
    </row>
    <row r="5">
      <c r="A5" s="30"/>
      <c r="B5" s="30"/>
      <c r="C5" s="30"/>
      <c r="D5" s="30"/>
      <c r="F5" s="20"/>
    </row>
    <row r="6">
      <c r="F6" s="20"/>
    </row>
    <row r="7">
      <c r="F7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hidden="1" min="1" max="3" width="12.63"/>
    <col customWidth="1" min="5" max="5" width="23.88"/>
  </cols>
  <sheetData>
    <row r="1">
      <c r="A1" s="33" t="s">
        <v>10</v>
      </c>
      <c r="B1" s="33" t="s">
        <v>9</v>
      </c>
      <c r="C1" s="33" t="s">
        <v>44</v>
      </c>
      <c r="D1" s="34" t="s">
        <v>7</v>
      </c>
      <c r="E1" s="34" t="s">
        <v>45</v>
      </c>
      <c r="F1" s="33" t="s">
        <v>46</v>
      </c>
      <c r="G1" s="33" t="s">
        <v>47</v>
      </c>
      <c r="H1" s="33" t="s">
        <v>48</v>
      </c>
      <c r="I1" s="33" t="s">
        <v>49</v>
      </c>
      <c r="J1" s="33" t="s">
        <v>50</v>
      </c>
      <c r="K1" s="33" t="s">
        <v>51</v>
      </c>
      <c r="L1" s="33" t="s">
        <v>52</v>
      </c>
      <c r="M1" s="33" t="s">
        <v>53</v>
      </c>
      <c r="N1" s="33" t="s">
        <v>54</v>
      </c>
      <c r="O1" s="33" t="s">
        <v>55</v>
      </c>
      <c r="P1" s="33" t="s">
        <v>56</v>
      </c>
      <c r="Q1" s="33" t="s">
        <v>57</v>
      </c>
      <c r="R1" s="33" t="s">
        <v>58</v>
      </c>
      <c r="S1" s="33" t="s">
        <v>59</v>
      </c>
      <c r="T1" s="35" t="s">
        <v>60</v>
      </c>
      <c r="U1" s="36" t="s">
        <v>42</v>
      </c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</row>
    <row r="2">
      <c r="A2" s="38"/>
      <c r="B2" s="38"/>
      <c r="C2" s="39"/>
      <c r="D2" s="40"/>
      <c r="E2" s="41"/>
      <c r="F2" s="42"/>
      <c r="G2" s="43"/>
      <c r="H2" s="43"/>
      <c r="I2" s="43"/>
      <c r="J2" s="43"/>
      <c r="K2" s="43"/>
      <c r="L2" s="43"/>
      <c r="M2" s="43"/>
      <c r="N2" s="44"/>
      <c r="O2" s="43"/>
      <c r="P2" s="43"/>
      <c r="Q2" s="43"/>
      <c r="R2" s="44"/>
      <c r="S2" s="44"/>
      <c r="T2" s="45"/>
      <c r="U2" s="46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</row>
    <row r="3">
      <c r="A3" s="47"/>
      <c r="B3" s="47"/>
      <c r="C3" s="47"/>
      <c r="D3" s="48"/>
      <c r="E3" s="49"/>
      <c r="F3" s="42"/>
      <c r="G3" s="50"/>
      <c r="H3" s="50"/>
      <c r="I3" s="50"/>
      <c r="J3" s="50"/>
      <c r="K3" s="50"/>
      <c r="L3" s="50"/>
      <c r="M3" s="50"/>
      <c r="N3" s="51"/>
      <c r="O3" s="50"/>
      <c r="P3" s="50"/>
      <c r="Q3" s="50"/>
      <c r="R3" s="44"/>
      <c r="S3" s="44"/>
      <c r="T3" s="45"/>
      <c r="U3" s="46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</row>
    <row r="4">
      <c r="A4" s="47"/>
      <c r="B4" s="47"/>
      <c r="C4" s="47"/>
      <c r="D4" s="48"/>
      <c r="E4" s="49"/>
      <c r="F4" s="42"/>
      <c r="G4" s="50"/>
      <c r="H4" s="50"/>
      <c r="I4" s="50"/>
      <c r="J4" s="50"/>
      <c r="K4" s="50"/>
      <c r="L4" s="50"/>
      <c r="M4" s="50"/>
      <c r="N4" s="51"/>
      <c r="O4" s="50"/>
      <c r="P4" s="50"/>
      <c r="Q4" s="50"/>
      <c r="R4" s="44"/>
      <c r="S4" s="44"/>
      <c r="T4" s="45"/>
      <c r="U4" s="46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</row>
    <row r="5">
      <c r="A5" s="47"/>
      <c r="B5" s="47"/>
      <c r="C5" s="47"/>
      <c r="D5" s="48"/>
      <c r="E5" s="49"/>
      <c r="F5" s="42"/>
      <c r="G5" s="50"/>
      <c r="H5" s="50"/>
      <c r="I5" s="50"/>
      <c r="J5" s="50"/>
      <c r="K5" s="50"/>
      <c r="L5" s="50"/>
      <c r="M5" s="50"/>
      <c r="N5" s="51"/>
      <c r="O5" s="50"/>
      <c r="P5" s="50"/>
      <c r="Q5" s="50"/>
      <c r="R5" s="44"/>
      <c r="S5" s="44"/>
      <c r="T5" s="45"/>
      <c r="U5" s="46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</row>
    <row r="6">
      <c r="A6" s="47"/>
      <c r="B6" s="47"/>
      <c r="C6" s="47"/>
      <c r="D6" s="48"/>
      <c r="E6" s="49"/>
      <c r="F6" s="42"/>
      <c r="G6" s="50"/>
      <c r="H6" s="50"/>
      <c r="I6" s="50"/>
      <c r="J6" s="50"/>
      <c r="K6" s="50"/>
      <c r="L6" s="50"/>
      <c r="M6" s="50"/>
      <c r="N6" s="51"/>
      <c r="O6" s="50"/>
      <c r="P6" s="50"/>
      <c r="Q6" s="50"/>
      <c r="R6" s="44"/>
      <c r="S6" s="44"/>
      <c r="T6" s="45"/>
      <c r="U6" s="46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</row>
    <row r="7">
      <c r="A7" s="47"/>
      <c r="B7" s="47"/>
      <c r="C7" s="47"/>
      <c r="D7" s="48"/>
      <c r="E7" s="52"/>
      <c r="F7" s="42"/>
      <c r="G7" s="50"/>
      <c r="H7" s="50"/>
      <c r="I7" s="50"/>
      <c r="J7" s="50"/>
      <c r="K7" s="50"/>
      <c r="L7" s="50"/>
      <c r="M7" s="50"/>
      <c r="N7" s="51"/>
      <c r="O7" s="50"/>
      <c r="P7" s="50"/>
      <c r="Q7" s="50"/>
      <c r="R7" s="44"/>
      <c r="S7" s="44"/>
      <c r="T7" s="45"/>
      <c r="U7" s="46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</row>
    <row r="8">
      <c r="A8" s="47"/>
      <c r="B8" s="47"/>
      <c r="C8" s="47"/>
      <c r="D8" s="53"/>
      <c r="E8" s="52"/>
      <c r="F8" s="42"/>
      <c r="G8" s="50"/>
      <c r="H8" s="50"/>
      <c r="I8" s="50"/>
      <c r="J8" s="50"/>
      <c r="K8" s="50"/>
      <c r="L8" s="50"/>
      <c r="M8" s="50"/>
      <c r="N8" s="51"/>
      <c r="O8" s="50"/>
      <c r="P8" s="50"/>
      <c r="Q8" s="50"/>
      <c r="R8" s="44"/>
      <c r="S8" s="44"/>
      <c r="T8" s="45"/>
      <c r="U8" s="46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</row>
    <row r="9">
      <c r="A9" s="47"/>
      <c r="B9" s="47"/>
      <c r="C9" s="47"/>
      <c r="D9" s="30"/>
      <c r="E9" s="52"/>
      <c r="F9" s="42"/>
      <c r="G9" s="50"/>
      <c r="H9" s="50"/>
      <c r="I9" s="50"/>
      <c r="J9" s="50"/>
      <c r="K9" s="50"/>
      <c r="L9" s="50"/>
      <c r="M9" s="50"/>
      <c r="N9" s="51"/>
      <c r="O9" s="50"/>
      <c r="P9" s="50"/>
      <c r="Q9" s="50"/>
      <c r="R9" s="44"/>
      <c r="S9" s="44"/>
      <c r="T9" s="45"/>
      <c r="U9" s="46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</row>
    <row r="10">
      <c r="A10" s="47"/>
      <c r="B10" s="47"/>
      <c r="C10" s="47"/>
      <c r="D10" s="30"/>
      <c r="E10" s="54"/>
      <c r="F10" s="42"/>
      <c r="G10" s="50"/>
      <c r="H10" s="50"/>
      <c r="I10" s="50"/>
      <c r="J10" s="50"/>
      <c r="K10" s="50"/>
      <c r="L10" s="50"/>
      <c r="M10" s="50"/>
      <c r="N10" s="51"/>
      <c r="O10" s="50"/>
      <c r="P10" s="50"/>
      <c r="Q10" s="50"/>
      <c r="R10" s="44"/>
      <c r="S10" s="44"/>
      <c r="T10" s="45"/>
      <c r="U10" s="46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>
      <c r="A11" s="55"/>
      <c r="B11" s="55"/>
      <c r="C11" s="55"/>
      <c r="D11" s="56"/>
      <c r="E11" s="57"/>
      <c r="F11" s="42"/>
      <c r="G11" s="50"/>
      <c r="H11" s="50"/>
      <c r="I11" s="50"/>
      <c r="J11" s="50"/>
      <c r="K11" s="50"/>
      <c r="L11" s="50"/>
      <c r="M11" s="50"/>
      <c r="N11" s="51"/>
      <c r="O11" s="50"/>
      <c r="P11" s="50"/>
      <c r="Q11" s="50"/>
      <c r="R11" s="44"/>
      <c r="S11" s="44"/>
      <c r="T11" s="45"/>
      <c r="U11" s="46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</row>
    <row r="12">
      <c r="A12" s="30"/>
      <c r="B12" s="30"/>
      <c r="C12" s="58"/>
      <c r="D12" s="59"/>
      <c r="E12" s="60"/>
      <c r="F12" s="6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44"/>
      <c r="T12" s="45"/>
      <c r="U12" s="30"/>
    </row>
    <row r="13">
      <c r="A13" s="38"/>
      <c r="B13" s="38"/>
      <c r="C13" s="39"/>
      <c r="D13" s="40"/>
      <c r="E13" s="41"/>
      <c r="F13" s="42"/>
      <c r="G13" s="43"/>
      <c r="H13" s="62"/>
      <c r="I13" s="43"/>
      <c r="J13" s="30"/>
      <c r="K13" s="30"/>
      <c r="L13" s="30"/>
      <c r="M13" s="30"/>
      <c r="N13" s="30"/>
      <c r="O13" s="30"/>
      <c r="P13" s="30"/>
      <c r="Q13" s="30"/>
      <c r="R13" s="62"/>
      <c r="S13" s="44"/>
      <c r="T13" s="45"/>
      <c r="U13" s="30"/>
    </row>
    <row r="14">
      <c r="A14" s="47"/>
      <c r="B14" s="47"/>
      <c r="C14" s="47"/>
      <c r="D14" s="48"/>
      <c r="E14" s="49"/>
      <c r="F14" s="42"/>
      <c r="G14" s="50"/>
      <c r="H14" s="30"/>
      <c r="I14" s="50"/>
      <c r="J14" s="30"/>
      <c r="K14" s="30"/>
      <c r="L14" s="30"/>
      <c r="M14" s="30"/>
      <c r="N14" s="30"/>
      <c r="O14" s="30"/>
      <c r="P14" s="30"/>
      <c r="Q14" s="30"/>
      <c r="R14" s="30"/>
      <c r="S14" s="44"/>
      <c r="T14" s="45"/>
      <c r="U14" s="63"/>
    </row>
    <row r="15">
      <c r="A15" s="47"/>
      <c r="B15" s="47"/>
      <c r="C15" s="47"/>
      <c r="D15" s="48"/>
      <c r="E15" s="49"/>
      <c r="F15" s="42"/>
      <c r="G15" s="50"/>
      <c r="H15" s="30"/>
      <c r="I15" s="50"/>
      <c r="J15" s="30"/>
      <c r="K15" s="30"/>
      <c r="L15" s="30"/>
      <c r="M15" s="30"/>
      <c r="N15" s="30"/>
      <c r="O15" s="30"/>
      <c r="P15" s="30"/>
      <c r="Q15" s="30"/>
      <c r="R15" s="30"/>
      <c r="S15" s="44"/>
      <c r="T15" s="45"/>
      <c r="U15" s="30"/>
    </row>
    <row r="16">
      <c r="A16" s="47"/>
      <c r="B16" s="47"/>
      <c r="C16" s="47"/>
      <c r="D16" s="48"/>
      <c r="E16" s="49"/>
      <c r="F16" s="42"/>
      <c r="G16" s="50"/>
      <c r="H16" s="30"/>
      <c r="I16" s="50"/>
      <c r="J16" s="30"/>
      <c r="K16" s="30"/>
      <c r="L16" s="30"/>
      <c r="M16" s="30"/>
      <c r="N16" s="30"/>
      <c r="O16" s="30"/>
      <c r="P16" s="30"/>
      <c r="Q16" s="30"/>
      <c r="R16" s="30"/>
      <c r="S16" s="44"/>
      <c r="T16" s="45"/>
      <c r="U16" s="63"/>
    </row>
    <row r="17">
      <c r="A17" s="47"/>
      <c r="B17" s="47"/>
      <c r="C17" s="47"/>
      <c r="D17" s="48"/>
      <c r="E17" s="49"/>
      <c r="F17" s="42"/>
      <c r="G17" s="5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44"/>
      <c r="T17" s="45"/>
      <c r="U17" s="30"/>
    </row>
    <row r="18">
      <c r="A18" s="47"/>
      <c r="B18" s="47"/>
      <c r="C18" s="47"/>
      <c r="D18" s="48"/>
      <c r="E18" s="52"/>
      <c r="F18" s="42"/>
      <c r="G18" s="5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44"/>
      <c r="T18" s="45"/>
      <c r="U18" s="30"/>
    </row>
    <row r="19">
      <c r="A19" s="47"/>
      <c r="B19" s="47"/>
      <c r="C19" s="47"/>
      <c r="D19" s="48"/>
      <c r="E19" s="52"/>
      <c r="F19" s="42"/>
      <c r="G19" s="5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44"/>
      <c r="T19" s="45"/>
      <c r="U19" s="30"/>
    </row>
    <row r="20">
      <c r="A20" s="47"/>
      <c r="B20" s="47"/>
      <c r="C20" s="47"/>
      <c r="D20" s="48"/>
      <c r="E20" s="52"/>
      <c r="F20" s="42"/>
      <c r="G20" s="50"/>
      <c r="H20" s="30"/>
      <c r="I20" s="50"/>
      <c r="J20" s="30"/>
      <c r="K20" s="30"/>
      <c r="L20" s="30"/>
      <c r="M20" s="30"/>
      <c r="N20" s="30"/>
      <c r="O20" s="30"/>
      <c r="P20" s="30"/>
      <c r="Q20" s="30"/>
      <c r="R20" s="30"/>
      <c r="S20" s="44"/>
      <c r="T20" s="45"/>
      <c r="U20" s="30"/>
    </row>
    <row r="21">
      <c r="A21" s="47"/>
      <c r="B21" s="47"/>
      <c r="C21" s="47"/>
      <c r="D21" s="48"/>
      <c r="E21" s="54"/>
      <c r="F21" s="42"/>
      <c r="G21" s="50"/>
      <c r="H21" s="30"/>
      <c r="I21" s="50"/>
      <c r="J21" s="30"/>
      <c r="K21" s="30"/>
      <c r="L21" s="30"/>
      <c r="M21" s="30"/>
      <c r="N21" s="30"/>
      <c r="O21" s="30"/>
      <c r="P21" s="30"/>
      <c r="Q21" s="30"/>
      <c r="R21" s="30"/>
      <c r="S21" s="44"/>
      <c r="T21" s="45"/>
      <c r="U21" s="30"/>
    </row>
    <row r="22">
      <c r="A22" s="55"/>
      <c r="B22" s="55"/>
      <c r="C22" s="55"/>
      <c r="D22" s="56"/>
      <c r="E22" s="57"/>
      <c r="F22" s="42"/>
      <c r="G22" s="5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44"/>
      <c r="T22" s="45"/>
      <c r="U22" s="30"/>
    </row>
    <row r="23">
      <c r="T23" s="45"/>
    </row>
  </sheetData>
  <mergeCells count="6">
    <mergeCell ref="A2:A11"/>
    <mergeCell ref="B2:B11"/>
    <mergeCell ref="C2:C11"/>
    <mergeCell ref="A13:A22"/>
    <mergeCell ref="B13:B22"/>
    <mergeCell ref="C13:C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0"/>
  <cols>
    <col customWidth="1" hidden="1" min="1" max="3" width="17.75"/>
    <col customWidth="1" min="4" max="4" width="17.75"/>
    <col customWidth="1" min="5" max="5" width="31.38"/>
  </cols>
  <sheetData>
    <row r="3">
      <c r="A3" s="33" t="s">
        <v>10</v>
      </c>
      <c r="B3" s="33" t="s">
        <v>9</v>
      </c>
      <c r="C3" s="33" t="s">
        <v>44</v>
      </c>
      <c r="D3" s="34" t="s">
        <v>7</v>
      </c>
      <c r="E3" s="34" t="s">
        <v>45</v>
      </c>
      <c r="F3" s="33" t="s">
        <v>46</v>
      </c>
      <c r="G3" s="33" t="s">
        <v>47</v>
      </c>
      <c r="H3" s="33" t="s">
        <v>48</v>
      </c>
      <c r="I3" s="33" t="s">
        <v>49</v>
      </c>
      <c r="J3" s="33" t="s">
        <v>50</v>
      </c>
      <c r="K3" s="33" t="s">
        <v>51</v>
      </c>
      <c r="L3" s="33" t="s">
        <v>52</v>
      </c>
      <c r="M3" s="33" t="s">
        <v>53</v>
      </c>
      <c r="N3" s="33" t="s">
        <v>54</v>
      </c>
      <c r="O3" s="33" t="s">
        <v>55</v>
      </c>
      <c r="P3" s="33" t="s">
        <v>56</v>
      </c>
      <c r="Q3" s="33" t="s">
        <v>57</v>
      </c>
      <c r="R3" s="33" t="s">
        <v>58</v>
      </c>
      <c r="S3" s="33" t="s">
        <v>59</v>
      </c>
      <c r="T3" s="35" t="s">
        <v>60</v>
      </c>
      <c r="U3" s="36" t="s">
        <v>42</v>
      </c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</row>
    <row r="4">
      <c r="A4" s="38">
        <v>45392.0</v>
      </c>
      <c r="B4" s="38">
        <v>30350.0</v>
      </c>
      <c r="C4" s="39" t="s">
        <v>61</v>
      </c>
      <c r="D4" s="40" t="s">
        <v>62</v>
      </c>
      <c r="E4" s="41" t="s">
        <v>63</v>
      </c>
      <c r="F4" s="42" t="s">
        <v>64</v>
      </c>
      <c r="G4" s="43">
        <v>22000.0</v>
      </c>
      <c r="H4" s="43">
        <v>22000.0</v>
      </c>
      <c r="I4" s="43">
        <v>22000.0</v>
      </c>
      <c r="J4" s="43">
        <v>22000.0</v>
      </c>
      <c r="K4" s="43">
        <v>22000.0</v>
      </c>
      <c r="L4" s="43">
        <v>22000.0</v>
      </c>
      <c r="M4" s="43">
        <v>22000.0</v>
      </c>
      <c r="N4" s="44" t="str">
        <f t="shared" ref="N4:N10" si="1">#REF!</f>
        <v>#REF!</v>
      </c>
      <c r="O4" s="43">
        <v>22000.0</v>
      </c>
      <c r="P4" s="43">
        <v>22000.0</v>
      </c>
      <c r="Q4" s="43">
        <v>22000.0</v>
      </c>
      <c r="R4" s="44" t="str">
        <f t="shared" ref="R4:R10" si="2">#REF!</f>
        <v>#REF!</v>
      </c>
      <c r="S4" s="44" t="str">
        <f t="shared" ref="S4:S13" si="3">sum(G4:O4)</f>
        <v>#REF!</v>
      </c>
      <c r="T4" s="45" t="str">
        <f t="shared" ref="T4:T13" si="4">R4-P4</f>
        <v>#REF!</v>
      </c>
      <c r="U4" s="46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</row>
    <row r="5">
      <c r="A5" s="47"/>
      <c r="B5" s="47"/>
      <c r="C5" s="47"/>
      <c r="D5" s="48" t="s">
        <v>62</v>
      </c>
      <c r="E5" s="49" t="s">
        <v>65</v>
      </c>
      <c r="F5" s="42" t="s">
        <v>64</v>
      </c>
      <c r="G5" s="50">
        <v>0.0</v>
      </c>
      <c r="H5" s="50">
        <v>0.0</v>
      </c>
      <c r="I5" s="50">
        <v>0.0</v>
      </c>
      <c r="J5" s="50">
        <v>0.0</v>
      </c>
      <c r="K5" s="50">
        <v>0.0</v>
      </c>
      <c r="L5" s="50">
        <v>0.0</v>
      </c>
      <c r="M5" s="50">
        <v>0.0</v>
      </c>
      <c r="N5" s="51" t="str">
        <f t="shared" si="1"/>
        <v>#REF!</v>
      </c>
      <c r="O5" s="50">
        <v>0.0</v>
      </c>
      <c r="P5" s="50">
        <v>0.0</v>
      </c>
      <c r="Q5" s="50">
        <v>0.0</v>
      </c>
      <c r="R5" s="44" t="str">
        <f t="shared" si="2"/>
        <v>#REF!</v>
      </c>
      <c r="S5" s="44" t="str">
        <f t="shared" si="3"/>
        <v>#REF!</v>
      </c>
      <c r="T5" s="45" t="str">
        <f t="shared" si="4"/>
        <v>#REF!</v>
      </c>
      <c r="U5" s="46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</row>
    <row r="6">
      <c r="A6" s="47"/>
      <c r="B6" s="47"/>
      <c r="C6" s="47"/>
      <c r="D6" s="48" t="s">
        <v>62</v>
      </c>
      <c r="E6" s="49" t="s">
        <v>15</v>
      </c>
      <c r="F6" s="42" t="s">
        <v>64</v>
      </c>
      <c r="G6" s="50">
        <v>0.0</v>
      </c>
      <c r="H6" s="50">
        <v>0.0</v>
      </c>
      <c r="I6" s="50">
        <v>0.0</v>
      </c>
      <c r="J6" s="50">
        <v>0.0</v>
      </c>
      <c r="K6" s="50">
        <v>0.0</v>
      </c>
      <c r="L6" s="50">
        <v>0.0</v>
      </c>
      <c r="M6" s="50">
        <v>0.0</v>
      </c>
      <c r="N6" s="51" t="str">
        <f t="shared" si="1"/>
        <v>#REF!</v>
      </c>
      <c r="O6" s="50">
        <v>0.0</v>
      </c>
      <c r="P6" s="50">
        <v>0.0</v>
      </c>
      <c r="Q6" s="50">
        <v>0.0</v>
      </c>
      <c r="R6" s="44" t="str">
        <f t="shared" si="2"/>
        <v>#REF!</v>
      </c>
      <c r="S6" s="44" t="str">
        <f t="shared" si="3"/>
        <v>#REF!</v>
      </c>
      <c r="T6" s="45" t="str">
        <f t="shared" si="4"/>
        <v>#REF!</v>
      </c>
      <c r="U6" s="46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</row>
    <row r="7">
      <c r="A7" s="47"/>
      <c r="B7" s="47"/>
      <c r="C7" s="47"/>
      <c r="D7" s="48" t="s">
        <v>62</v>
      </c>
      <c r="E7" s="49" t="s">
        <v>16</v>
      </c>
      <c r="F7" s="42" t="s">
        <v>64</v>
      </c>
      <c r="G7" s="50">
        <v>0.0</v>
      </c>
      <c r="H7" s="50">
        <v>0.0</v>
      </c>
      <c r="I7" s="50">
        <v>0.0</v>
      </c>
      <c r="J7" s="50">
        <v>0.0</v>
      </c>
      <c r="K7" s="50">
        <v>0.0</v>
      </c>
      <c r="L7" s="50">
        <v>0.0</v>
      </c>
      <c r="M7" s="50">
        <v>0.0</v>
      </c>
      <c r="N7" s="51" t="str">
        <f t="shared" si="1"/>
        <v>#REF!</v>
      </c>
      <c r="O7" s="50">
        <v>0.0</v>
      </c>
      <c r="P7" s="50">
        <v>0.0</v>
      </c>
      <c r="Q7" s="50">
        <v>0.0</v>
      </c>
      <c r="R7" s="44" t="str">
        <f t="shared" si="2"/>
        <v>#REF!</v>
      </c>
      <c r="S7" s="44" t="str">
        <f t="shared" si="3"/>
        <v>#REF!</v>
      </c>
      <c r="T7" s="45" t="str">
        <f t="shared" si="4"/>
        <v>#REF!</v>
      </c>
      <c r="U7" s="46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</row>
    <row r="8">
      <c r="A8" s="47"/>
      <c r="B8" s="47"/>
      <c r="C8" s="47"/>
      <c r="D8" s="48" t="s">
        <v>62</v>
      </c>
      <c r="E8" s="49" t="s">
        <v>17</v>
      </c>
      <c r="F8" s="42" t="s">
        <v>64</v>
      </c>
      <c r="G8" s="50">
        <v>11.25</v>
      </c>
      <c r="H8" s="50">
        <v>11.25</v>
      </c>
      <c r="I8" s="50">
        <v>11.25</v>
      </c>
      <c r="J8" s="50">
        <v>11.25</v>
      </c>
      <c r="K8" s="50">
        <v>11.25</v>
      </c>
      <c r="L8" s="50">
        <v>11.25</v>
      </c>
      <c r="M8" s="50">
        <v>11.25</v>
      </c>
      <c r="N8" s="51" t="str">
        <f t="shared" si="1"/>
        <v>#REF!</v>
      </c>
      <c r="O8" s="50">
        <v>11.25</v>
      </c>
      <c r="P8" s="50">
        <v>11.25</v>
      </c>
      <c r="Q8" s="50">
        <v>11.25</v>
      </c>
      <c r="R8" s="44" t="str">
        <f t="shared" si="2"/>
        <v>#REF!</v>
      </c>
      <c r="S8" s="44" t="str">
        <f t="shared" si="3"/>
        <v>#REF!</v>
      </c>
      <c r="T8" s="45" t="str">
        <f t="shared" si="4"/>
        <v>#REF!</v>
      </c>
      <c r="U8" s="46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</row>
    <row r="9">
      <c r="A9" s="47"/>
      <c r="B9" s="47"/>
      <c r="C9" s="47"/>
      <c r="D9" s="48" t="s">
        <v>62</v>
      </c>
      <c r="E9" s="52" t="s">
        <v>29</v>
      </c>
      <c r="F9" s="42" t="s">
        <v>64</v>
      </c>
      <c r="G9" s="50">
        <v>0.0</v>
      </c>
      <c r="H9" s="50">
        <v>0.0</v>
      </c>
      <c r="I9" s="50">
        <v>0.0</v>
      </c>
      <c r="J9" s="50">
        <v>0.0</v>
      </c>
      <c r="K9" s="50">
        <v>0.0</v>
      </c>
      <c r="L9" s="50">
        <v>0.0</v>
      </c>
      <c r="M9" s="50">
        <v>0.0</v>
      </c>
      <c r="N9" s="51" t="str">
        <f t="shared" si="1"/>
        <v>#REF!</v>
      </c>
      <c r="O9" s="50">
        <v>0.0</v>
      </c>
      <c r="P9" s="50">
        <v>0.0</v>
      </c>
      <c r="Q9" s="50">
        <v>0.0</v>
      </c>
      <c r="R9" s="44" t="str">
        <f t="shared" si="2"/>
        <v>#REF!</v>
      </c>
      <c r="S9" s="44" t="str">
        <f t="shared" si="3"/>
        <v>#REF!</v>
      </c>
      <c r="T9" s="45" t="str">
        <f t="shared" si="4"/>
        <v>#REF!</v>
      </c>
      <c r="U9" s="46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</row>
    <row r="10">
      <c r="A10" s="47"/>
      <c r="B10" s="47"/>
      <c r="C10" s="47"/>
      <c r="D10" s="53" t="s">
        <v>62</v>
      </c>
      <c r="E10" s="52" t="s">
        <v>30</v>
      </c>
      <c r="F10" s="42" t="s">
        <v>64</v>
      </c>
      <c r="G10" s="50">
        <v>0.0</v>
      </c>
      <c r="H10" s="50">
        <v>0.0</v>
      </c>
      <c r="I10" s="50">
        <v>0.0</v>
      </c>
      <c r="J10" s="50">
        <v>0.0</v>
      </c>
      <c r="K10" s="50">
        <v>0.0</v>
      </c>
      <c r="L10" s="50">
        <v>0.0</v>
      </c>
      <c r="M10" s="50">
        <v>0.0</v>
      </c>
      <c r="N10" s="51" t="str">
        <f t="shared" si="1"/>
        <v>#REF!</v>
      </c>
      <c r="O10" s="50">
        <v>0.0</v>
      </c>
      <c r="P10" s="50">
        <v>0.0</v>
      </c>
      <c r="Q10" s="50">
        <v>0.0</v>
      </c>
      <c r="R10" s="44" t="str">
        <f t="shared" si="2"/>
        <v>#REF!</v>
      </c>
      <c r="S10" s="44" t="str">
        <f t="shared" si="3"/>
        <v>#REF!</v>
      </c>
      <c r="T10" s="45" t="str">
        <f t="shared" si="4"/>
        <v>#REF!</v>
      </c>
      <c r="U10" s="46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>
      <c r="A11" s="47"/>
      <c r="B11" s="47"/>
      <c r="C11" s="47"/>
      <c r="D11" s="30" t="s">
        <v>62</v>
      </c>
      <c r="E11" s="52" t="s">
        <v>66</v>
      </c>
      <c r="F11" s="42" t="s">
        <v>64</v>
      </c>
      <c r="G11" s="50">
        <v>0.0</v>
      </c>
      <c r="H11" s="50">
        <v>0.0</v>
      </c>
      <c r="I11" s="50">
        <v>0.0</v>
      </c>
      <c r="J11" s="50">
        <v>0.0</v>
      </c>
      <c r="K11" s="50">
        <v>0.0</v>
      </c>
      <c r="L11" s="50">
        <v>0.0</v>
      </c>
      <c r="M11" s="50">
        <v>0.0</v>
      </c>
      <c r="N11" s="51" t="str">
        <f>sum(N5:N6)</f>
        <v>#REF!</v>
      </c>
      <c r="O11" s="50">
        <v>0.0</v>
      </c>
      <c r="P11" s="50">
        <v>0.0</v>
      </c>
      <c r="Q11" s="50">
        <v>0.0</v>
      </c>
      <c r="R11" s="44" t="str">
        <f>sum(R5:R6)</f>
        <v>#REF!</v>
      </c>
      <c r="S11" s="44" t="str">
        <f t="shared" si="3"/>
        <v>#REF!</v>
      </c>
      <c r="T11" s="45" t="str">
        <f t="shared" si="4"/>
        <v>#REF!</v>
      </c>
      <c r="U11" s="46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</row>
    <row r="12">
      <c r="A12" s="47"/>
      <c r="B12" s="47"/>
      <c r="C12" s="47"/>
      <c r="D12" s="30" t="s">
        <v>62</v>
      </c>
      <c r="E12" s="54" t="s">
        <v>67</v>
      </c>
      <c r="F12" s="42"/>
      <c r="G12" s="50">
        <v>22000.0</v>
      </c>
      <c r="H12" s="50">
        <v>22000.0</v>
      </c>
      <c r="I12" s="50">
        <v>22000.0</v>
      </c>
      <c r="J12" s="50">
        <v>22000.0</v>
      </c>
      <c r="K12" s="50">
        <v>22000.0</v>
      </c>
      <c r="L12" s="50">
        <v>22000.0</v>
      </c>
      <c r="M12" s="50">
        <v>22000.0</v>
      </c>
      <c r="N12" s="51" t="str">
        <f>#REF!</f>
        <v>#REF!</v>
      </c>
      <c r="O12" s="50">
        <v>22000.0</v>
      </c>
      <c r="P12" s="50">
        <v>22000.0</v>
      </c>
      <c r="Q12" s="50">
        <v>22000.0</v>
      </c>
      <c r="R12" s="44" t="str">
        <f t="shared" ref="R12:R13" si="5">#REF!</f>
        <v>#REF!</v>
      </c>
      <c r="S12" s="44" t="str">
        <f t="shared" si="3"/>
        <v>#REF!</v>
      </c>
      <c r="T12" s="45" t="str">
        <f t="shared" si="4"/>
        <v>#REF!</v>
      </c>
      <c r="U12" s="46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>
      <c r="A13" s="55"/>
      <c r="B13" s="55"/>
      <c r="C13" s="55"/>
      <c r="D13" s="56" t="s">
        <v>62</v>
      </c>
      <c r="E13" s="57" t="s">
        <v>68</v>
      </c>
      <c r="F13" s="42" t="s">
        <v>64</v>
      </c>
      <c r="G13" s="50">
        <v>22000.0</v>
      </c>
      <c r="H13" s="50">
        <v>22000.0</v>
      </c>
      <c r="I13" s="50">
        <v>22000.0</v>
      </c>
      <c r="J13" s="50">
        <v>22000.0</v>
      </c>
      <c r="K13" s="50">
        <v>22000.0</v>
      </c>
      <c r="L13" s="50">
        <v>22000.0</v>
      </c>
      <c r="M13" s="50">
        <v>22000.0</v>
      </c>
      <c r="N13" s="51" t="str">
        <f>(N12+N10)-N11</f>
        <v>#REF!</v>
      </c>
      <c r="O13" s="50">
        <v>22000.0</v>
      </c>
      <c r="P13" s="50">
        <v>22000.0</v>
      </c>
      <c r="Q13" s="50">
        <v>22000.0</v>
      </c>
      <c r="R13" s="44" t="str">
        <f t="shared" si="5"/>
        <v>#REF!</v>
      </c>
      <c r="S13" s="44" t="str">
        <f t="shared" si="3"/>
        <v>#REF!</v>
      </c>
      <c r="T13" s="45" t="str">
        <f t="shared" si="4"/>
        <v>#REF!</v>
      </c>
      <c r="U13" s="46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</row>
    <row r="14">
      <c r="A14" s="30"/>
      <c r="B14" s="30"/>
      <c r="C14" s="58"/>
      <c r="D14" s="59"/>
      <c r="E14" s="60"/>
      <c r="F14" s="61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45"/>
      <c r="U14" s="30"/>
    </row>
    <row r="15">
      <c r="A15" s="38">
        <v>45414.0</v>
      </c>
      <c r="B15" s="38">
        <v>31213.0</v>
      </c>
      <c r="C15" s="39" t="s">
        <v>69</v>
      </c>
      <c r="D15" s="40" t="s">
        <v>70</v>
      </c>
      <c r="E15" s="41" t="s">
        <v>63</v>
      </c>
      <c r="F15" s="42" t="s">
        <v>64</v>
      </c>
      <c r="G15" s="30">
        <v>0.0</v>
      </c>
      <c r="H15" s="30">
        <v>19500.0</v>
      </c>
      <c r="I15" s="30">
        <v>19500.0</v>
      </c>
      <c r="J15" s="30">
        <v>19500.0</v>
      </c>
      <c r="K15" s="30">
        <v>19500.0</v>
      </c>
      <c r="L15" s="30">
        <v>19500.0</v>
      </c>
      <c r="M15" s="30">
        <v>19500.0</v>
      </c>
      <c r="N15" s="30">
        <v>19500.0</v>
      </c>
      <c r="O15" s="30">
        <v>19500.0</v>
      </c>
      <c r="P15" s="30">
        <v>19500.0</v>
      </c>
      <c r="Q15" s="30">
        <v>19500.0</v>
      </c>
      <c r="R15" s="62" t="str">
        <f>#REF!</f>
        <v>#REF!</v>
      </c>
      <c r="S15" s="62">
        <f>sum(G4:M4)</f>
        <v>154000</v>
      </c>
      <c r="T15" s="45" t="str">
        <f t="shared" ref="T15:T24" si="7">R15-P15</f>
        <v>#REF!</v>
      </c>
      <c r="U15" s="30"/>
    </row>
    <row r="16">
      <c r="A16" s="47"/>
      <c r="B16" s="47"/>
      <c r="C16" s="47"/>
      <c r="D16" s="48" t="s">
        <v>70</v>
      </c>
      <c r="E16" s="49" t="s">
        <v>65</v>
      </c>
      <c r="F16" s="42" t="s">
        <v>64</v>
      </c>
      <c r="G16" s="30">
        <v>0.0</v>
      </c>
      <c r="H16" s="30">
        <v>1360.0</v>
      </c>
      <c r="I16" s="30">
        <v>1360.0</v>
      </c>
      <c r="J16" s="30">
        <v>1360.0</v>
      </c>
      <c r="K16" s="30">
        <v>1360.0</v>
      </c>
      <c r="L16" s="30">
        <v>1360.0</v>
      </c>
      <c r="M16" s="30">
        <v>1360.0</v>
      </c>
      <c r="N16" s="30">
        <v>1360.0</v>
      </c>
      <c r="O16" s="30">
        <v>1360.0</v>
      </c>
      <c r="P16" s="30" t="str">
        <f t="shared" ref="P16:R16" si="6">#REF!</f>
        <v>#REF!</v>
      </c>
      <c r="Q16" s="30" t="str">
        <f t="shared" si="6"/>
        <v>#REF!</v>
      </c>
      <c r="R16" s="30" t="str">
        <f t="shared" si="6"/>
        <v>#REF!</v>
      </c>
      <c r="S16" s="30">
        <f t="shared" ref="S16:S24" si="8">sum(H16:O16)</f>
        <v>10880</v>
      </c>
      <c r="T16" s="45" t="str">
        <f t="shared" si="7"/>
        <v>#REF!</v>
      </c>
      <c r="U16" s="64" t="s">
        <v>71</v>
      </c>
    </row>
    <row r="17">
      <c r="A17" s="47"/>
      <c r="B17" s="47"/>
      <c r="C17" s="47"/>
      <c r="D17" s="48" t="s">
        <v>70</v>
      </c>
      <c r="E17" s="49" t="s">
        <v>15</v>
      </c>
      <c r="F17" s="42" t="s">
        <v>64</v>
      </c>
      <c r="G17" s="30">
        <v>0.0</v>
      </c>
      <c r="H17" s="30">
        <v>3.0</v>
      </c>
      <c r="I17" s="30">
        <v>3.0</v>
      </c>
      <c r="J17" s="30">
        <v>3.0</v>
      </c>
      <c r="K17" s="30">
        <v>3.0</v>
      </c>
      <c r="L17" s="30">
        <v>3.0</v>
      </c>
      <c r="M17" s="30">
        <v>3.0</v>
      </c>
      <c r="N17" s="30">
        <v>3.0</v>
      </c>
      <c r="O17" s="30">
        <v>3.0</v>
      </c>
      <c r="P17" s="30">
        <v>3.0</v>
      </c>
      <c r="Q17" s="30">
        <v>3.0</v>
      </c>
      <c r="R17" s="30" t="str">
        <f>#REF!</f>
        <v>#REF!</v>
      </c>
      <c r="S17" s="30">
        <f t="shared" si="8"/>
        <v>24</v>
      </c>
      <c r="T17" s="45" t="str">
        <f t="shared" si="7"/>
        <v>#REF!</v>
      </c>
      <c r="U17" s="30"/>
    </row>
    <row r="18">
      <c r="A18" s="47"/>
      <c r="B18" s="47"/>
      <c r="C18" s="47"/>
      <c r="D18" s="48" t="s">
        <v>70</v>
      </c>
      <c r="E18" s="49" t="s">
        <v>16</v>
      </c>
      <c r="F18" s="42" t="s">
        <v>64</v>
      </c>
      <c r="G18" s="30">
        <v>0.0</v>
      </c>
      <c r="H18" s="30">
        <v>1156.0</v>
      </c>
      <c r="I18" s="30">
        <v>1156.0</v>
      </c>
      <c r="J18" s="30">
        <v>1156.0</v>
      </c>
      <c r="K18" s="30">
        <v>1156.0</v>
      </c>
      <c r="L18" s="30">
        <v>1156.0</v>
      </c>
      <c r="M18" s="30">
        <v>1156.0</v>
      </c>
      <c r="N18" s="30">
        <v>1156.0</v>
      </c>
      <c r="O18" s="30">
        <v>1156.0</v>
      </c>
      <c r="P18" s="30" t="str">
        <f t="shared" ref="P18:R18" si="9">#REF!</f>
        <v>#REF!</v>
      </c>
      <c r="Q18" s="30" t="str">
        <f t="shared" si="9"/>
        <v>#REF!</v>
      </c>
      <c r="R18" s="30" t="str">
        <f t="shared" si="9"/>
        <v>#REF!</v>
      </c>
      <c r="S18" s="30">
        <f t="shared" si="8"/>
        <v>9248</v>
      </c>
      <c r="T18" s="45" t="str">
        <f t="shared" si="7"/>
        <v>#REF!</v>
      </c>
      <c r="U18" s="64" t="s">
        <v>72</v>
      </c>
    </row>
    <row r="19">
      <c r="A19" s="47"/>
      <c r="B19" s="47"/>
      <c r="C19" s="47"/>
      <c r="D19" s="48" t="s">
        <v>70</v>
      </c>
      <c r="E19" s="49" t="s">
        <v>17</v>
      </c>
      <c r="F19" s="42" t="s">
        <v>64</v>
      </c>
      <c r="G19" s="30">
        <v>0.0</v>
      </c>
      <c r="H19" s="30">
        <v>11.25</v>
      </c>
      <c r="I19" s="30">
        <v>11.25</v>
      </c>
      <c r="J19" s="30">
        <v>11.25</v>
      </c>
      <c r="K19" s="30">
        <v>11.25</v>
      </c>
      <c r="L19" s="30">
        <v>11.25</v>
      </c>
      <c r="M19" s="30">
        <v>11.25</v>
      </c>
      <c r="N19" s="30">
        <v>11.25</v>
      </c>
      <c r="O19" s="30">
        <v>11.25</v>
      </c>
      <c r="P19" s="30">
        <v>11.25</v>
      </c>
      <c r="Q19" s="30">
        <v>11.25</v>
      </c>
      <c r="R19" s="30" t="str">
        <f t="shared" ref="R19:R21" si="10">#REF!</f>
        <v>#REF!</v>
      </c>
      <c r="S19" s="30">
        <f t="shared" si="8"/>
        <v>90</v>
      </c>
      <c r="T19" s="45" t="str">
        <f t="shared" si="7"/>
        <v>#REF!</v>
      </c>
      <c r="U19" s="30"/>
    </row>
    <row r="20">
      <c r="A20" s="47"/>
      <c r="B20" s="47"/>
      <c r="C20" s="47"/>
      <c r="D20" s="48" t="s">
        <v>70</v>
      </c>
      <c r="E20" s="52" t="s">
        <v>29</v>
      </c>
      <c r="F20" s="42" t="s">
        <v>64</v>
      </c>
      <c r="G20" s="30">
        <v>0.0</v>
      </c>
      <c r="H20" s="30">
        <v>0.0</v>
      </c>
      <c r="I20" s="30">
        <v>200.0</v>
      </c>
      <c r="J20" s="30">
        <v>200.0</v>
      </c>
      <c r="K20" s="30">
        <v>200.0</v>
      </c>
      <c r="L20" s="30">
        <v>200.0</v>
      </c>
      <c r="M20" s="30">
        <v>200.0</v>
      </c>
      <c r="N20" s="30">
        <v>200.0</v>
      </c>
      <c r="O20" s="30">
        <v>200.0</v>
      </c>
      <c r="P20" s="30">
        <v>0.0</v>
      </c>
      <c r="Q20" s="30">
        <v>0.0</v>
      </c>
      <c r="R20" s="30" t="str">
        <f t="shared" si="10"/>
        <v>#REF!</v>
      </c>
      <c r="S20" s="30">
        <f t="shared" si="8"/>
        <v>1400</v>
      </c>
      <c r="T20" s="45" t="str">
        <f t="shared" si="7"/>
        <v>#REF!</v>
      </c>
      <c r="U20" s="30"/>
    </row>
    <row r="21">
      <c r="A21" s="47"/>
      <c r="B21" s="47"/>
      <c r="C21" s="47"/>
      <c r="D21" s="48" t="s">
        <v>70</v>
      </c>
      <c r="E21" s="52" t="s">
        <v>30</v>
      </c>
      <c r="F21" s="42" t="s">
        <v>64</v>
      </c>
      <c r="G21" s="30">
        <v>0.0</v>
      </c>
      <c r="H21" s="30">
        <v>0.0</v>
      </c>
      <c r="I21" s="30">
        <v>0.0</v>
      </c>
      <c r="J21" s="30">
        <v>0.0</v>
      </c>
      <c r="K21" s="30">
        <v>0.0</v>
      </c>
      <c r="L21" s="30">
        <v>0.0</v>
      </c>
      <c r="M21" s="30">
        <v>0.0</v>
      </c>
      <c r="N21" s="30">
        <v>0.0</v>
      </c>
      <c r="O21" s="30">
        <v>0.0</v>
      </c>
      <c r="P21" s="30">
        <v>0.0</v>
      </c>
      <c r="Q21" s="30">
        <v>0.0</v>
      </c>
      <c r="R21" s="30" t="str">
        <f t="shared" si="10"/>
        <v>#REF!</v>
      </c>
      <c r="S21" s="30">
        <f t="shared" si="8"/>
        <v>0</v>
      </c>
      <c r="T21" s="45" t="str">
        <f t="shared" si="7"/>
        <v>#REF!</v>
      </c>
      <c r="U21" s="30"/>
    </row>
    <row r="22">
      <c r="A22" s="47"/>
      <c r="B22" s="47"/>
      <c r="C22" s="47"/>
      <c r="D22" s="48" t="s">
        <v>70</v>
      </c>
      <c r="E22" s="52" t="s">
        <v>66</v>
      </c>
      <c r="F22" s="42" t="s">
        <v>64</v>
      </c>
      <c r="G22" s="30">
        <v>0.0</v>
      </c>
      <c r="H22" s="30">
        <f t="shared" ref="H22:O22" si="11">sum(H16:H17)</f>
        <v>1363</v>
      </c>
      <c r="I22" s="30">
        <f t="shared" si="11"/>
        <v>1363</v>
      </c>
      <c r="J22" s="30">
        <f t="shared" si="11"/>
        <v>1363</v>
      </c>
      <c r="K22" s="30">
        <f t="shared" si="11"/>
        <v>1363</v>
      </c>
      <c r="L22" s="30">
        <f t="shared" si="11"/>
        <v>1363</v>
      </c>
      <c r="M22" s="30">
        <f t="shared" si="11"/>
        <v>1363</v>
      </c>
      <c r="N22" s="30">
        <f t="shared" si="11"/>
        <v>1363</v>
      </c>
      <c r="O22" s="30">
        <f t="shared" si="11"/>
        <v>1363</v>
      </c>
      <c r="P22" s="30" t="str">
        <f t="shared" ref="P22:Q22" si="12">sum(P16+P17)</f>
        <v>#REF!</v>
      </c>
      <c r="Q22" s="30" t="str">
        <f t="shared" si="12"/>
        <v>#REF!</v>
      </c>
      <c r="R22" s="30" t="str">
        <f>sum(R16:R17)</f>
        <v>#REF!</v>
      </c>
      <c r="S22" s="30">
        <f t="shared" si="8"/>
        <v>10904</v>
      </c>
      <c r="T22" s="45" t="str">
        <f t="shared" si="7"/>
        <v>#REF!</v>
      </c>
      <c r="U22" s="30"/>
    </row>
    <row r="23">
      <c r="A23" s="47"/>
      <c r="B23" s="47"/>
      <c r="C23" s="47"/>
      <c r="D23" s="48" t="s">
        <v>70</v>
      </c>
      <c r="E23" s="54" t="s">
        <v>67</v>
      </c>
      <c r="F23" s="42" t="s">
        <v>64</v>
      </c>
      <c r="G23" s="30">
        <v>0.0</v>
      </c>
      <c r="H23" s="30">
        <v>17348.0</v>
      </c>
      <c r="I23" s="30">
        <v>18297.0</v>
      </c>
      <c r="J23" s="30">
        <v>18297.0</v>
      </c>
      <c r="K23" s="30">
        <v>18297.0</v>
      </c>
      <c r="L23" s="30">
        <v>18297.0</v>
      </c>
      <c r="M23" s="30">
        <v>18297.0</v>
      </c>
      <c r="N23" s="30">
        <v>18297.0</v>
      </c>
      <c r="O23" s="30">
        <v>18297.0</v>
      </c>
      <c r="P23" s="30">
        <v>18017.0</v>
      </c>
      <c r="Q23" s="30">
        <v>18017.0</v>
      </c>
      <c r="R23" s="30" t="str">
        <f t="shared" ref="R23:R24" si="13">#REF!</f>
        <v>#REF!</v>
      </c>
      <c r="S23" s="30">
        <f t="shared" si="8"/>
        <v>145427</v>
      </c>
      <c r="T23" s="45" t="str">
        <f t="shared" si="7"/>
        <v>#REF!</v>
      </c>
      <c r="U23" s="30"/>
    </row>
    <row r="24">
      <c r="A24" s="55"/>
      <c r="B24" s="55"/>
      <c r="C24" s="55"/>
      <c r="D24" s="56" t="s">
        <v>70</v>
      </c>
      <c r="E24" s="57" t="s">
        <v>68</v>
      </c>
      <c r="F24" s="42" t="s">
        <v>64</v>
      </c>
      <c r="G24" s="30">
        <v>0.0</v>
      </c>
      <c r="H24" s="30">
        <v>17348.0</v>
      </c>
      <c r="I24" s="30">
        <v>18297.0</v>
      </c>
      <c r="J24" s="30">
        <v>18297.0</v>
      </c>
      <c r="K24" s="30">
        <v>18297.0</v>
      </c>
      <c r="L24" s="30">
        <v>18297.0</v>
      </c>
      <c r="M24" s="30">
        <v>18297.0</v>
      </c>
      <c r="N24" s="30">
        <v>18297.0</v>
      </c>
      <c r="O24" s="30">
        <v>18297.0</v>
      </c>
      <c r="P24" s="30">
        <v>18017.0</v>
      </c>
      <c r="Q24" s="30">
        <v>18017.0</v>
      </c>
      <c r="R24" s="30" t="str">
        <f t="shared" si="13"/>
        <v>#REF!</v>
      </c>
      <c r="S24" s="30">
        <f t="shared" si="8"/>
        <v>145427</v>
      </c>
      <c r="T24" s="45" t="str">
        <f t="shared" si="7"/>
        <v>#REF!</v>
      </c>
      <c r="U24" s="30" t="s">
        <v>73</v>
      </c>
    </row>
    <row r="25">
      <c r="A25" s="30"/>
      <c r="B25" s="30"/>
      <c r="C25" s="58"/>
      <c r="D25" s="59"/>
      <c r="E25" s="60"/>
      <c r="F25" s="61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45"/>
      <c r="U25" s="30"/>
    </row>
    <row r="26">
      <c r="A26" s="38">
        <v>45474.0</v>
      </c>
      <c r="B26" s="38">
        <v>29145.0</v>
      </c>
      <c r="C26" s="39" t="s">
        <v>74</v>
      </c>
      <c r="D26" s="40" t="s">
        <v>75</v>
      </c>
      <c r="E26" s="41" t="s">
        <v>63</v>
      </c>
      <c r="F26" s="42" t="s">
        <v>64</v>
      </c>
      <c r="G26" s="30">
        <v>0.0</v>
      </c>
      <c r="H26" s="30">
        <v>0.0</v>
      </c>
      <c r="I26" s="30">
        <v>0.0</v>
      </c>
      <c r="J26" s="30">
        <v>27126.0</v>
      </c>
      <c r="K26" s="30">
        <v>27126.0</v>
      </c>
      <c r="L26" s="30">
        <v>27126.0</v>
      </c>
      <c r="M26" s="30">
        <v>27126.0</v>
      </c>
      <c r="N26" s="30">
        <v>27126.0</v>
      </c>
      <c r="O26" s="30">
        <v>27126.0</v>
      </c>
      <c r="P26" s="30">
        <v>27126.0</v>
      </c>
      <c r="Q26" s="30"/>
      <c r="R26" s="30"/>
      <c r="S26" s="30">
        <f t="shared" ref="S26:S35" si="14">sum(J26:O26)</f>
        <v>162756</v>
      </c>
      <c r="T26" s="45">
        <f t="shared" ref="T26:T35" si="15">O26-P26</f>
        <v>0</v>
      </c>
      <c r="U26" s="30"/>
    </row>
    <row r="27">
      <c r="A27" s="47"/>
      <c r="B27" s="47"/>
      <c r="C27" s="47"/>
      <c r="D27" s="48" t="s">
        <v>75</v>
      </c>
      <c r="E27" s="49" t="s">
        <v>65</v>
      </c>
      <c r="F27" s="42" t="s">
        <v>64</v>
      </c>
      <c r="G27" s="30">
        <v>0.0</v>
      </c>
      <c r="H27" s="30">
        <v>0.0</v>
      </c>
      <c r="I27" s="30">
        <v>0.0</v>
      </c>
      <c r="J27" s="30">
        <v>0.0</v>
      </c>
      <c r="K27" s="30">
        <v>0.0</v>
      </c>
      <c r="L27" s="30">
        <v>0.0</v>
      </c>
      <c r="M27" s="30">
        <v>0.0</v>
      </c>
      <c r="N27" s="30">
        <v>0.0</v>
      </c>
      <c r="O27" s="30">
        <v>0.0</v>
      </c>
      <c r="P27" s="30">
        <v>0.0</v>
      </c>
      <c r="Q27" s="30"/>
      <c r="R27" s="30"/>
      <c r="S27" s="30">
        <f t="shared" si="14"/>
        <v>0</v>
      </c>
      <c r="T27" s="45">
        <f t="shared" si="15"/>
        <v>0</v>
      </c>
      <c r="U27" s="30"/>
    </row>
    <row r="28">
      <c r="A28" s="47"/>
      <c r="B28" s="47"/>
      <c r="C28" s="47"/>
      <c r="D28" s="48" t="s">
        <v>75</v>
      </c>
      <c r="E28" s="49" t="s">
        <v>15</v>
      </c>
      <c r="F28" s="42" t="s">
        <v>64</v>
      </c>
      <c r="G28" s="30">
        <v>0.0</v>
      </c>
      <c r="H28" s="30">
        <v>0.0</v>
      </c>
      <c r="I28" s="30">
        <v>0.0</v>
      </c>
      <c r="J28" s="30">
        <v>30.0</v>
      </c>
      <c r="K28" s="30">
        <v>30.0</v>
      </c>
      <c r="L28" s="30">
        <v>30.0</v>
      </c>
      <c r="M28" s="30">
        <v>30.0</v>
      </c>
      <c r="N28" s="30">
        <v>30.0</v>
      </c>
      <c r="O28" s="30">
        <v>30.0</v>
      </c>
      <c r="P28" s="30">
        <v>30.0</v>
      </c>
      <c r="Q28" s="30"/>
      <c r="R28" s="30"/>
      <c r="S28" s="30">
        <f t="shared" si="14"/>
        <v>180</v>
      </c>
      <c r="T28" s="45">
        <f t="shared" si="15"/>
        <v>0</v>
      </c>
      <c r="U28" s="30"/>
    </row>
    <row r="29">
      <c r="A29" s="47"/>
      <c r="B29" s="47"/>
      <c r="C29" s="47"/>
      <c r="D29" s="48" t="s">
        <v>75</v>
      </c>
      <c r="E29" s="49" t="s">
        <v>16</v>
      </c>
      <c r="F29" s="42" t="s">
        <v>64</v>
      </c>
      <c r="G29" s="30">
        <v>0.0</v>
      </c>
      <c r="H29" s="30">
        <v>0.0</v>
      </c>
      <c r="I29" s="30">
        <v>0.0</v>
      </c>
      <c r="J29" s="30">
        <v>0.0</v>
      </c>
      <c r="K29" s="30">
        <v>0.0</v>
      </c>
      <c r="L29" s="30">
        <v>0.0</v>
      </c>
      <c r="M29" s="30">
        <v>0.0</v>
      </c>
      <c r="N29" s="30">
        <v>0.0</v>
      </c>
      <c r="O29" s="30">
        <v>0.0</v>
      </c>
      <c r="P29" s="30">
        <v>0.0</v>
      </c>
      <c r="Q29" s="30"/>
      <c r="R29" s="30"/>
      <c r="S29" s="30">
        <f t="shared" si="14"/>
        <v>0</v>
      </c>
      <c r="T29" s="45">
        <f t="shared" si="15"/>
        <v>0</v>
      </c>
      <c r="U29" s="30"/>
    </row>
    <row r="30">
      <c r="A30" s="47"/>
      <c r="B30" s="47"/>
      <c r="C30" s="47"/>
      <c r="D30" s="48" t="s">
        <v>75</v>
      </c>
      <c r="E30" s="49" t="s">
        <v>17</v>
      </c>
      <c r="F30" s="42" t="s">
        <v>64</v>
      </c>
      <c r="G30" s="30">
        <v>0.0</v>
      </c>
      <c r="H30" s="30">
        <v>0.0</v>
      </c>
      <c r="I30" s="30">
        <v>0.0</v>
      </c>
      <c r="J30" s="30">
        <v>11.25</v>
      </c>
      <c r="K30" s="30">
        <v>11.25</v>
      </c>
      <c r="L30" s="30">
        <v>11.25</v>
      </c>
      <c r="M30" s="30">
        <v>11.25</v>
      </c>
      <c r="N30" s="30">
        <v>11.25</v>
      </c>
      <c r="O30" s="30">
        <v>11.25</v>
      </c>
      <c r="P30" s="30">
        <v>11.25</v>
      </c>
      <c r="Q30" s="30"/>
      <c r="R30" s="30"/>
      <c r="S30" s="30">
        <f t="shared" si="14"/>
        <v>67.5</v>
      </c>
      <c r="T30" s="45">
        <f t="shared" si="15"/>
        <v>0</v>
      </c>
      <c r="U30" s="30"/>
    </row>
    <row r="31">
      <c r="A31" s="47"/>
      <c r="B31" s="47"/>
      <c r="C31" s="47"/>
      <c r="D31" s="48" t="s">
        <v>75</v>
      </c>
      <c r="E31" s="52" t="s">
        <v>29</v>
      </c>
      <c r="F31" s="42" t="s">
        <v>64</v>
      </c>
      <c r="G31" s="30">
        <v>0.0</v>
      </c>
      <c r="H31" s="30">
        <v>0.0</v>
      </c>
      <c r="I31" s="30">
        <v>0.0</v>
      </c>
      <c r="J31" s="30">
        <v>200.0</v>
      </c>
      <c r="K31" s="30">
        <v>200.0</v>
      </c>
      <c r="L31" s="30">
        <v>200.0</v>
      </c>
      <c r="M31" s="30">
        <v>200.0</v>
      </c>
      <c r="N31" s="30">
        <v>200.0</v>
      </c>
      <c r="O31" s="30">
        <v>200.0</v>
      </c>
      <c r="P31" s="30">
        <v>0.0</v>
      </c>
      <c r="Q31" s="30"/>
      <c r="R31" s="30"/>
      <c r="S31" s="30">
        <f t="shared" si="14"/>
        <v>1200</v>
      </c>
      <c r="T31" s="45">
        <f t="shared" si="15"/>
        <v>200</v>
      </c>
      <c r="U31" s="30"/>
    </row>
    <row r="32">
      <c r="A32" s="47"/>
      <c r="B32" s="47"/>
      <c r="C32" s="47"/>
      <c r="D32" s="48" t="s">
        <v>75</v>
      </c>
      <c r="E32" s="52" t="s">
        <v>30</v>
      </c>
      <c r="F32" s="42" t="s">
        <v>64</v>
      </c>
      <c r="G32" s="30">
        <v>0.0</v>
      </c>
      <c r="H32" s="30">
        <v>0.0</v>
      </c>
      <c r="I32" s="30">
        <v>0.0</v>
      </c>
      <c r="J32" s="30">
        <v>0.0</v>
      </c>
      <c r="K32" s="30">
        <v>0.0</v>
      </c>
      <c r="L32" s="30">
        <v>0.0</v>
      </c>
      <c r="M32" s="30">
        <v>0.0</v>
      </c>
      <c r="N32" s="30">
        <v>0.0</v>
      </c>
      <c r="O32" s="30">
        <v>0.0</v>
      </c>
      <c r="P32" s="30">
        <v>0.0</v>
      </c>
      <c r="Q32" s="30"/>
      <c r="R32" s="30"/>
      <c r="S32" s="30">
        <f t="shared" si="14"/>
        <v>0</v>
      </c>
      <c r="T32" s="45">
        <f t="shared" si="15"/>
        <v>0</v>
      </c>
      <c r="U32" s="30"/>
    </row>
    <row r="33">
      <c r="A33" s="47"/>
      <c r="B33" s="47"/>
      <c r="C33" s="47"/>
      <c r="D33" s="48" t="s">
        <v>75</v>
      </c>
      <c r="E33" s="52" t="s">
        <v>66</v>
      </c>
      <c r="F33" s="42" t="s">
        <v>64</v>
      </c>
      <c r="G33" s="30">
        <v>0.0</v>
      </c>
      <c r="H33" s="30">
        <v>0.0</v>
      </c>
      <c r="I33" s="30">
        <v>0.0</v>
      </c>
      <c r="J33" s="30">
        <f t="shared" ref="J33:P33" si="16">sum(J27:J28)</f>
        <v>30</v>
      </c>
      <c r="K33" s="30">
        <f t="shared" si="16"/>
        <v>30</v>
      </c>
      <c r="L33" s="30">
        <f t="shared" si="16"/>
        <v>30</v>
      </c>
      <c r="M33" s="30">
        <f t="shared" si="16"/>
        <v>30</v>
      </c>
      <c r="N33" s="30">
        <f t="shared" si="16"/>
        <v>30</v>
      </c>
      <c r="O33" s="30">
        <f t="shared" si="16"/>
        <v>30</v>
      </c>
      <c r="P33" s="30">
        <f t="shared" si="16"/>
        <v>30</v>
      </c>
      <c r="Q33" s="30"/>
      <c r="R33" s="30"/>
      <c r="S33" s="30">
        <f t="shared" si="14"/>
        <v>180</v>
      </c>
      <c r="T33" s="45">
        <f t="shared" si="15"/>
        <v>0</v>
      </c>
      <c r="U33" s="30"/>
    </row>
    <row r="34">
      <c r="A34" s="47"/>
      <c r="B34" s="47"/>
      <c r="C34" s="47"/>
      <c r="D34" s="48" t="s">
        <v>75</v>
      </c>
      <c r="E34" s="54" t="s">
        <v>67</v>
      </c>
      <c r="F34" s="42" t="s">
        <v>64</v>
      </c>
      <c r="G34" s="30">
        <v>0.0</v>
      </c>
      <c r="H34" s="30">
        <v>0.0</v>
      </c>
      <c r="I34" s="30">
        <v>0.0</v>
      </c>
      <c r="J34" s="30">
        <v>27296.0</v>
      </c>
      <c r="K34" s="30">
        <v>27296.0</v>
      </c>
      <c r="L34" s="30">
        <v>27296.0</v>
      </c>
      <c r="M34" s="30">
        <v>27296.0</v>
      </c>
      <c r="N34" s="30">
        <v>27296.0</v>
      </c>
      <c r="O34" s="30">
        <v>27296.0</v>
      </c>
      <c r="P34" s="30">
        <v>27096.0</v>
      </c>
      <c r="Q34" s="30"/>
      <c r="R34" s="30"/>
      <c r="S34" s="30">
        <f t="shared" si="14"/>
        <v>163776</v>
      </c>
      <c r="T34" s="45">
        <f t="shared" si="15"/>
        <v>200</v>
      </c>
      <c r="U34" s="30"/>
    </row>
    <row r="35">
      <c r="A35" s="55"/>
      <c r="B35" s="55"/>
      <c r="C35" s="55"/>
      <c r="D35" s="56" t="s">
        <v>75</v>
      </c>
      <c r="E35" s="57" t="s">
        <v>68</v>
      </c>
      <c r="F35" s="42" t="s">
        <v>64</v>
      </c>
      <c r="G35" s="30">
        <v>0.0</v>
      </c>
      <c r="H35" s="30">
        <v>0.0</v>
      </c>
      <c r="I35" s="30">
        <v>0.0</v>
      </c>
      <c r="J35" s="30">
        <v>27296.0</v>
      </c>
      <c r="K35" s="30">
        <v>27296.0</v>
      </c>
      <c r="L35" s="30">
        <v>27296.0</v>
      </c>
      <c r="M35" s="30">
        <v>27296.0</v>
      </c>
      <c r="N35" s="30">
        <v>27296.0</v>
      </c>
      <c r="O35" s="30">
        <v>27296.0</v>
      </c>
      <c r="P35" s="30">
        <v>27096.0</v>
      </c>
      <c r="Q35" s="30"/>
      <c r="R35" s="30"/>
      <c r="S35" s="30">
        <f t="shared" si="14"/>
        <v>163776</v>
      </c>
      <c r="T35" s="45">
        <f t="shared" si="15"/>
        <v>200</v>
      </c>
      <c r="U35" s="30" t="s">
        <v>73</v>
      </c>
    </row>
    <row r="36">
      <c r="C36" s="65"/>
    </row>
    <row r="37">
      <c r="C37" s="65"/>
    </row>
    <row r="38">
      <c r="C38" s="65"/>
    </row>
    <row r="39">
      <c r="C39" s="65"/>
    </row>
    <row r="40">
      <c r="C40" s="65"/>
    </row>
    <row r="41">
      <c r="C41" s="65"/>
    </row>
  </sheetData>
  <mergeCells count="9">
    <mergeCell ref="B26:B35"/>
    <mergeCell ref="C26:C35"/>
    <mergeCell ref="A4:A13"/>
    <mergeCell ref="B4:B13"/>
    <mergeCell ref="C4:C13"/>
    <mergeCell ref="A15:A24"/>
    <mergeCell ref="B15:B24"/>
    <mergeCell ref="C15:C24"/>
    <mergeCell ref="A26:A35"/>
  </mergeCells>
  <hyperlinks>
    <hyperlink r:id="rId1" ref="U16"/>
    <hyperlink r:id="rId2" ref="U18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1899-12-31T16:00:00.0000000Z</dcterms:created>
</cp:coreProperties>
</file>