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wnloads/"/>
    </mc:Choice>
  </mc:AlternateContent>
  <xr:revisionPtr revIDLastSave="0" documentId="13_ncr:1_{FFE11333-4033-B042-83E3-C331F48C7BD7}" xr6:coauthVersionLast="47" xr6:coauthVersionMax="47" xr10:uidLastSave="{00000000-0000-0000-0000-000000000000}"/>
  <bookViews>
    <workbookView xWindow="0" yWindow="900" windowWidth="35840" windowHeight="21100" xr2:uid="{00000000-000D-0000-FFFF-FFFF00000000}"/>
  </bookViews>
  <sheets>
    <sheet name="Payroll 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D2" i="1"/>
  <c r="C2" i="1"/>
  <c r="A2" i="1"/>
  <c r="B2" i="1" l="1"/>
  <c r="H2" i="1" s="1"/>
  <c r="E2" i="1"/>
  <c r="F2" i="1"/>
  <c r="G2" i="1"/>
  <c r="J2" i="1" l="1"/>
  <c r="I2" i="1"/>
  <c r="N2" i="1" s="1"/>
  <c r="T2" i="1"/>
  <c r="S2" i="1"/>
  <c r="R2" i="1"/>
  <c r="Q2" i="1"/>
  <c r="P2" i="1"/>
  <c r="L2" i="1"/>
  <c r="K2" i="1"/>
  <c r="O2" i="1"/>
  <c r="U2" i="1"/>
  <c r="V2" i="1"/>
</calcChain>
</file>

<file path=xl/sharedStrings.xml><?xml version="1.0" encoding="utf-8"?>
<sst xmlns="http://schemas.openxmlformats.org/spreadsheetml/2006/main" count="22" uniqueCount="22">
  <si>
    <t>Basic Salary</t>
  </si>
  <si>
    <t>Position Allowance</t>
  </si>
  <si>
    <t>Meal Allowance</t>
  </si>
  <si>
    <t>Transport Allowance</t>
  </si>
  <si>
    <t>Overtime Pay</t>
  </si>
  <si>
    <t>THR (Religious Holiday Bonus)</t>
  </si>
  <si>
    <t>Bonus</t>
  </si>
  <si>
    <t>Gross Pay</t>
  </si>
  <si>
    <t>BPJS Kesehatan (Employee)</t>
  </si>
  <si>
    <t>BPJS TK JHT (Employee)</t>
  </si>
  <si>
    <t>BPJS TK JP (Employee)</t>
  </si>
  <si>
    <t>PPh 21 (Income Tax)</t>
  </si>
  <si>
    <t>Other Deductions</t>
  </si>
  <si>
    <t>Total Deductions</t>
  </si>
  <si>
    <t>Net Pay</t>
  </si>
  <si>
    <t>BPJS Kesehatan (Employer)</t>
  </si>
  <si>
    <t>BPJS TK JHT (Employer)</t>
  </si>
  <si>
    <t>BPJS TK JP (Employer)</t>
  </si>
  <si>
    <t>BPJS TK JKK (Employer)</t>
  </si>
  <si>
    <t>BPJS TK JKM (Employer)</t>
  </si>
  <si>
    <t>Employer Contributions</t>
  </si>
  <si>
    <t>Cost to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</si>
</sst>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G1" workbookViewId="0">
      <selection activeCell="Z2" sqref="Z2"/>
    </sheetView>
  </sheetViews>
  <sheetFormatPr baseColWidth="10" defaultColWidth="8.83203125" defaultRowHeight="15" x14ac:dyDescent="0.2"/>
  <cols>
    <col min="1" max="1" width="9.83203125" bestFit="1" customWidth="1"/>
    <col min="2" max="2" width="15.6640625" bestFit="1" customWidth="1"/>
    <col min="3" max="3" width="13" bestFit="1" customWidth="1"/>
    <col min="4" max="4" width="16.83203125" bestFit="1" customWidth="1"/>
    <col min="5" max="5" width="12.1640625" bestFit="1" customWidth="1"/>
    <col min="6" max="6" width="23.83203125" bestFit="1" customWidth="1"/>
    <col min="7" max="7" width="8.1640625" bestFit="1" customWidth="1"/>
    <col min="8" max="8" width="12.1640625" bestFit="1" customWidth="1"/>
    <col min="9" max="9" width="21.6640625" bestFit="1" customWidth="1"/>
    <col min="10" max="10" width="18.6640625" bestFit="1" customWidth="1"/>
    <col min="11" max="11" width="17.6640625" bestFit="1" customWidth="1"/>
    <col min="12" max="12" width="16.5" bestFit="1" customWidth="1"/>
    <col min="13" max="13" width="14.5" bestFit="1" customWidth="1"/>
    <col min="14" max="14" width="14" bestFit="1" customWidth="1"/>
    <col min="15" max="15" width="12.1640625" bestFit="1" customWidth="1"/>
    <col min="16" max="16" width="21.5" bestFit="1" customWidth="1"/>
    <col min="17" max="17" width="18.5" bestFit="1" customWidth="1"/>
    <col min="18" max="18" width="17.5" bestFit="1" customWidth="1"/>
    <col min="19" max="19" width="18.5" bestFit="1" customWidth="1"/>
    <col min="20" max="20" width="19" bestFit="1" customWidth="1"/>
    <col min="21" max="21" width="19.5" bestFit="1" customWidth="1"/>
    <col min="22" max="22" width="14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f>5000000</f>
        <v>5000000</v>
      </c>
      <c r="B2">
        <f>A2*0.1</f>
        <v>500000</v>
      </c>
      <c r="C2">
        <f>20*25000</f>
        <v>500000</v>
      </c>
      <c r="D2">
        <f>20*20000</f>
        <v>400000</v>
      </c>
      <c r="E2">
        <f>1.5*(A2/173)*10</f>
        <v>433526.01156069362</v>
      </c>
      <c r="F2">
        <f>A2</f>
        <v>5000000</v>
      </c>
      <c r="G2">
        <f>A2*0.2</f>
        <v>1000000</v>
      </c>
      <c r="H2">
        <f>SUM(A2:G2)</f>
        <v>12833526.011560693</v>
      </c>
      <c r="I2">
        <f>H2*0.01</f>
        <v>128335.26011560694</v>
      </c>
      <c r="J2">
        <f>H2*0.02</f>
        <v>256670.52023121389</v>
      </c>
      <c r="K2">
        <f>H2*0.01</f>
        <v>128335.26011560694</v>
      </c>
      <c r="L2">
        <f>H2*0.05</f>
        <v>641676.30057803472</v>
      </c>
      <c r="M2">
        <f>100000</f>
        <v>100000</v>
      </c>
      <c r="N2">
        <f>SUM(I2:M2)</f>
        <v>1255017.3410404625</v>
      </c>
      <c r="O2">
        <f>H2-N2</f>
        <v>11578508.670520231</v>
      </c>
      <c r="P2">
        <f>H2*0.04</f>
        <v>513341.04046242777</v>
      </c>
      <c r="Q2">
        <f>H2*0.037</f>
        <v>474840.46242774563</v>
      </c>
      <c r="R2">
        <f>H2*0.02</f>
        <v>256670.52023121389</v>
      </c>
      <c r="S2">
        <f>H2*0.0089</f>
        <v>114218.38150289017</v>
      </c>
      <c r="T2">
        <f>H2*0.003</f>
        <v>38500.578034682083</v>
      </c>
      <c r="U2" t="str">
        <f ca="1">SUM(Q2:U2)</f>
        <v/>
      </c>
      <c r="V2" t="str">
        <f ca="1">H2+V2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Sohani</cp:lastModifiedBy>
  <dcterms:created xsi:type="dcterms:W3CDTF">2025-06-13T01:58:15Z</dcterms:created>
  <dcterms:modified xsi:type="dcterms:W3CDTF">2025-06-19T22:09:38Z</dcterms:modified>
</cp:coreProperties>
</file>