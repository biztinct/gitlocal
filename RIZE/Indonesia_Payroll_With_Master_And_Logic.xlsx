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wnloads/"/>
    </mc:Choice>
  </mc:AlternateContent>
  <xr:revisionPtr revIDLastSave="0" documentId="13_ncr:1_{BAAB7685-A6B8-3B4B-9E42-505E432000DE}" xr6:coauthVersionLast="47" xr6:coauthVersionMax="47" xr10:uidLastSave="{00000000-0000-0000-0000-000000000000}"/>
  <bookViews>
    <workbookView xWindow="0" yWindow="900" windowWidth="35840" windowHeight="21100" activeTab="2" xr2:uid="{00000000-000D-0000-FFFF-FFFF00000000}"/>
  </bookViews>
  <sheets>
    <sheet name="Payroll Calculations" sheetId="1" r:id="rId1"/>
    <sheet name="Master Data" sheetId="2" r:id="rId2"/>
    <sheet name="Employee Payro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G4" i="3"/>
  <c r="F4" i="3"/>
  <c r="E4" i="3"/>
  <c r="D4" i="3"/>
  <c r="C4" i="3"/>
  <c r="H4" i="3" s="1"/>
  <c r="G3" i="3"/>
  <c r="F3" i="3"/>
  <c r="E3" i="3"/>
  <c r="D3" i="3"/>
  <c r="C3" i="3"/>
  <c r="H3" i="3" s="1"/>
  <c r="G2" i="3"/>
  <c r="F2" i="3"/>
  <c r="E2" i="3"/>
  <c r="D2" i="3"/>
  <c r="C2" i="3"/>
  <c r="H2" i="3" s="1"/>
  <c r="M2" i="1"/>
  <c r="G2" i="1"/>
  <c r="F2" i="1"/>
  <c r="E2" i="1"/>
  <c r="D2" i="1"/>
  <c r="C2" i="1"/>
  <c r="B2" i="1"/>
  <c r="H2" i="1" s="1"/>
  <c r="P2" i="1" l="1"/>
  <c r="Q2" i="1"/>
  <c r="J4" i="3"/>
  <c r="I4" i="3"/>
  <c r="K4" i="3" s="1"/>
  <c r="L4" i="3" s="1"/>
  <c r="J3" i="3"/>
  <c r="I3" i="3"/>
  <c r="K3" i="3" s="1"/>
  <c r="L3" i="3" s="1"/>
  <c r="J2" i="3"/>
  <c r="I2" i="3"/>
  <c r="K2" i="3" s="1"/>
  <c r="L2" i="3" s="1"/>
  <c r="I2" i="1"/>
  <c r="R2" i="1"/>
  <c r="T2" i="1"/>
  <c r="J2" i="1"/>
  <c r="K2" i="1"/>
  <c r="L2" i="1"/>
  <c r="S2" i="1"/>
  <c r="N2" i="1" l="1"/>
  <c r="O2" i="1" s="1"/>
  <c r="U2" i="1"/>
  <c r="V2" i="1"/>
</calcChain>
</file>

<file path=xl/sharedStrings.xml><?xml version="1.0" encoding="utf-8"?>
<sst xmlns="http://schemas.openxmlformats.org/spreadsheetml/2006/main" count="50" uniqueCount="41">
  <si>
    <t>Basic Salary</t>
  </si>
  <si>
    <t>Position Allowance</t>
  </si>
  <si>
    <t>Meal Allowance</t>
  </si>
  <si>
    <t>Transport Allowance</t>
  </si>
  <si>
    <t>Overtime Pay</t>
  </si>
  <si>
    <t>THR (Religious Holiday Bonus)</t>
  </si>
  <si>
    <t>Bonus</t>
  </si>
  <si>
    <t>Gross Pay</t>
  </si>
  <si>
    <t>BPJS Kesehatan (Employee)</t>
  </si>
  <si>
    <t>BPJS TK JHT (Employee)</t>
  </si>
  <si>
    <t>BPJS TK JP (Employee)</t>
  </si>
  <si>
    <t>PPh 21 (Income Tax)</t>
  </si>
  <si>
    <t>Other Deductions</t>
  </si>
  <si>
    <t>Total Deductions</t>
  </si>
  <si>
    <t>Net Pay</t>
  </si>
  <si>
    <t>BPJS Kesehatan (Employer)</t>
  </si>
  <si>
    <t>BPJS TK JHT (Employer)</t>
  </si>
  <si>
    <t>BPJS TK JP (Employer)</t>
  </si>
  <si>
    <t>BPJS TK JKK (Employer)</t>
  </si>
  <si>
    <t>BPJS TK JKM (Employer)</t>
  </si>
  <si>
    <t>Employer Contributions</t>
  </si>
  <si>
    <t>Cost to Company</t>
  </si>
  <si>
    <t>Salary Slabs</t>
  </si>
  <si>
    <t>Min Salary</t>
  </si>
  <si>
    <t>Max Salary</t>
  </si>
  <si>
    <t>BPJS Kesehatan %</t>
  </si>
  <si>
    <t>PPh 21 %</t>
  </si>
  <si>
    <t>Constants</t>
  </si>
  <si>
    <t>Item</t>
  </si>
  <si>
    <t>Value</t>
  </si>
  <si>
    <t>Meal Allowance Per Day</t>
  </si>
  <si>
    <t>Transport Allowance Per Day</t>
  </si>
  <si>
    <t>Standard Working Days</t>
  </si>
  <si>
    <t>Overtime Rate</t>
  </si>
  <si>
    <t>Working Hours Monthly</t>
  </si>
  <si>
    <t>Employee Name</t>
  </si>
  <si>
    <t>BPJS Kesehatan</t>
  </si>
  <si>
    <t>PPh 21</t>
  </si>
  <si>
    <t>Alice</t>
  </si>
  <si>
    <t>Bob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</si>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</sst>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opLeftCell="D1" workbookViewId="0">
      <selection activeCell="L2" sqref="L2"/>
    </sheetView>
  </sheetViews>
  <sheetFormatPr baseColWidth="10" defaultColWidth="8.83203125" defaultRowHeight="15" x14ac:dyDescent="0.2"/>
  <cols>
    <col min="1" max="1" width="9.83203125" bestFit="1" customWidth="1"/>
    <col min="2" max="2" width="15.6640625" bestFit="1" customWidth="1"/>
    <col min="3" max="3" width="13" bestFit="1" customWidth="1"/>
    <col min="4" max="4" width="16.83203125" bestFit="1" customWidth="1"/>
    <col min="5" max="5" width="12.1640625" bestFit="1" customWidth="1"/>
    <col min="6" max="6" width="23.83203125" bestFit="1" customWidth="1"/>
    <col min="7" max="7" width="8.1640625" bestFit="1" customWidth="1"/>
    <col min="8" max="8" width="12.1640625" bestFit="1" customWidth="1"/>
    <col min="9" max="9" width="21.6640625" bestFit="1" customWidth="1"/>
    <col min="10" max="10" width="18.6640625" bestFit="1" customWidth="1"/>
    <col min="11" max="11" width="17.6640625" bestFit="1" customWidth="1"/>
    <col min="12" max="12" width="16.5" bestFit="1" customWidth="1"/>
    <col min="13" max="13" width="14.5" bestFit="1" customWidth="1"/>
    <col min="14" max="14" width="14" bestFit="1" customWidth="1"/>
    <col min="15" max="15" width="12.1640625" bestFit="1" customWidth="1"/>
    <col min="16" max="16" width="21.5" bestFit="1" customWidth="1"/>
    <col min="17" max="17" width="18.5" bestFit="1" customWidth="1"/>
    <col min="18" max="18" width="17.5" bestFit="1" customWidth="1"/>
    <col min="19" max="19" width="18.5" bestFit="1" customWidth="1"/>
    <col min="20" max="20" width="19" bestFit="1" customWidth="1"/>
    <col min="21" max="21" width="19.5" bestFit="1" customWidth="1"/>
    <col min="22" max="22" width="14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f>5000000</f>
        <v>5000000</v>
      </c>
      <c r="B2">
        <f>A2*0.1</f>
        <v>500000</v>
      </c>
      <c r="C2">
        <f>20*25000</f>
        <v>500000</v>
      </c>
      <c r="D2">
        <f>20*20000</f>
        <v>400000</v>
      </c>
      <c r="E2">
        <f>1.5*(A2/173)*10</f>
        <v>433526.01156069362</v>
      </c>
      <c r="F2">
        <f>A2</f>
        <v>5000000</v>
      </c>
      <c r="G2">
        <f>A2*0.2</f>
        <v>1000000</v>
      </c>
      <c r="H2">
        <f>SUM(A2:G2)</f>
        <v>12833526.011560693</v>
      </c>
      <c r="I2">
        <f>H2*0.01</f>
        <v>128335.26011560694</v>
      </c>
      <c r="J2">
        <f>H2*0.02</f>
        <v>256670.52023121389</v>
      </c>
      <c r="K2">
        <f>H2*0.01</f>
        <v>128335.26011560694</v>
      </c>
      <c r="L2">
        <f>H2*0.05</f>
        <v>641676.30057803472</v>
      </c>
      <c r="M2">
        <f>100000</f>
        <v>100000</v>
      </c>
      <c r="N2">
        <f>SUM(I2:M2)</f>
        <v>1255017.3410404625</v>
      </c>
      <c r="O2">
        <f>H2-N2</f>
        <v>11578508.670520231</v>
      </c>
      <c r="P2">
        <f>H2*0.04</f>
        <v>513341.04046242777</v>
      </c>
      <c r="Q2">
        <f>H2*0.037</f>
        <v>474840.46242774563</v>
      </c>
      <c r="R2">
        <f>H2*0.02</f>
        <v>256670.52023121389</v>
      </c>
      <c r="S2">
        <f>H2*0.0089</f>
        <v>114218.38150289017</v>
      </c>
      <c r="T2">
        <f>H2*0.003</f>
        <v>38500.578034682083</v>
      </c>
      <c r="U2" t="str">
        <f ca="1">SUM(Q2:U2)</f>
        <v/>
      </c>
      <c r="V2" t="str">
        <f ca="1">H2+V2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23" bestFit="1" customWidth="1"/>
    <col min="2" max="2" width="9.1640625" bestFit="1" customWidth="1"/>
    <col min="3" max="3" width="14.33203125" bestFit="1" customWidth="1"/>
    <col min="4" max="4" width="8.1640625" bestFit="1" customWidth="1"/>
  </cols>
  <sheetData>
    <row r="1" spans="1:4" x14ac:dyDescent="0.2">
      <c r="A1" t="s">
        <v>22</v>
      </c>
    </row>
    <row r="2" spans="1:4" x14ac:dyDescent="0.2">
      <c r="A2" t="s">
        <v>23</v>
      </c>
      <c r="B2" t="s">
        <v>24</v>
      </c>
      <c r="C2" t="s">
        <v>25</v>
      </c>
      <c r="D2" t="s">
        <v>26</v>
      </c>
    </row>
    <row r="3" spans="1:4" x14ac:dyDescent="0.2">
      <c r="A3">
        <v>0</v>
      </c>
      <c r="B3">
        <v>5000000</v>
      </c>
      <c r="C3">
        <v>0.01</v>
      </c>
      <c r="D3">
        <v>0.05</v>
      </c>
    </row>
    <row r="4" spans="1:4" x14ac:dyDescent="0.2">
      <c r="A4">
        <v>5000001</v>
      </c>
      <c r="B4">
        <v>10000000</v>
      </c>
      <c r="C4">
        <v>0.01</v>
      </c>
      <c r="D4">
        <v>0.1</v>
      </c>
    </row>
    <row r="5" spans="1:4" x14ac:dyDescent="0.2">
      <c r="A5">
        <v>10000001</v>
      </c>
      <c r="B5">
        <v>20000000</v>
      </c>
      <c r="C5">
        <v>0.01</v>
      </c>
      <c r="D5">
        <v>0.15</v>
      </c>
    </row>
    <row r="7" spans="1:4" x14ac:dyDescent="0.2">
      <c r="A7" t="s">
        <v>27</v>
      </c>
    </row>
    <row r="8" spans="1:4" x14ac:dyDescent="0.2">
      <c r="A8" t="s">
        <v>28</v>
      </c>
      <c r="B8" t="s">
        <v>29</v>
      </c>
    </row>
    <row r="9" spans="1:4" x14ac:dyDescent="0.2">
      <c r="A9" t="s">
        <v>30</v>
      </c>
      <c r="B9">
        <v>25000</v>
      </c>
    </row>
    <row r="10" spans="1:4" x14ac:dyDescent="0.2">
      <c r="A10" t="s">
        <v>31</v>
      </c>
      <c r="B10">
        <v>20000</v>
      </c>
    </row>
    <row r="11" spans="1:4" x14ac:dyDescent="0.2">
      <c r="A11" t="s">
        <v>32</v>
      </c>
      <c r="B11">
        <v>20</v>
      </c>
    </row>
    <row r="12" spans="1:4" x14ac:dyDescent="0.2">
      <c r="A12" t="s">
        <v>33</v>
      </c>
      <c r="B12">
        <v>1.5</v>
      </c>
    </row>
    <row r="13" spans="1:4" x14ac:dyDescent="0.2">
      <c r="A13" t="s">
        <v>34</v>
      </c>
      <c r="B13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9" max="9" width="12.6640625" bestFit="1" customWidth="1"/>
  </cols>
  <sheetData>
    <row r="1" spans="1:12" x14ac:dyDescent="0.2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36</v>
      </c>
      <c r="J1" t="s">
        <v>37</v>
      </c>
      <c r="K1" t="s">
        <v>13</v>
      </c>
      <c r="L1" t="s">
        <v>14</v>
      </c>
    </row>
    <row r="2" spans="1:12" x14ac:dyDescent="0.2">
      <c r="A2" t="s">
        <v>38</v>
      </c>
      <c r="B2">
        <v>4500000</v>
      </c>
      <c r="C2">
        <f>B2*0.1</f>
        <v>450000</v>
      </c>
      <c r="D2">
        <f>20*25000</f>
        <v>500000</v>
      </c>
      <c r="E2">
        <f>20*20000</f>
        <v>400000</v>
      </c>
      <c r="F2">
        <f>1.5*(B2/173)*10</f>
        <v>390173.4104046243</v>
      </c>
      <c r="G2">
        <f>B2*0.2</f>
        <v>900000</v>
      </c>
      <c r="H2">
        <f>SUM(B2:G2)</f>
        <v>7140173.4104046244</v>
      </c>
      <c r="I2" t="e">
        <f ca="1">_xludf.IFS(
      B2&lt;=5000000, HLOOKUP(0, 'Master Data'!A3:D3, 3, TRUE)*H2,
      B2&lt;=10000000, HLOOKUP(5000001, 'Master Data'!A4:D4, 3, TRUE)*H2,
      B2&gt;10000000, HLOOKUP(10000001, 'Master Data'!A5:D5, 3, TRUE)*H2
    )</f>
        <v>#NAME?</v>
      </c>
      <c r="J2" t="e">
        <f ca="1">_xludf.IFS(
      B2&lt;=5000000, HLOOKUP(0, 'Master Data'!A3:D3, 4, TRUE)*H2,
      B2&lt;=10000000, HLOOKUP(5000001, 'Master Data'!A4:D4, 4, TRUE)*H2,
      B2&gt;10000000, HLOOKUP(10000001, 'Master Data'!A5:D5, 4, TRUE)*H2
    )</f>
        <v>#NAME?</v>
      </c>
      <c r="K2" t="e">
        <f ca="1">SUM(I2:J2)</f>
        <v>#NAME?</v>
      </c>
      <c r="L2" t="e">
        <f ca="1">H2-K2</f>
        <v>#NAME?</v>
      </c>
    </row>
    <row r="3" spans="1:12" x14ac:dyDescent="0.2">
      <c r="A3" t="s">
        <v>39</v>
      </c>
      <c r="B3">
        <v>7000000</v>
      </c>
      <c r="C3">
        <f>B3*0.1</f>
        <v>700000</v>
      </c>
      <c r="D3">
        <f>20*25000</f>
        <v>500000</v>
      </c>
      <c r="E3">
        <f>20*20000</f>
        <v>400000</v>
      </c>
      <c r="F3">
        <f>1.5*(B3/173)*10</f>
        <v>606936.41618497111</v>
      </c>
      <c r="G3">
        <f>B3*0.2</f>
        <v>1400000</v>
      </c>
      <c r="H3">
        <f>SUM(B3:G3)</f>
        <v>10606936.416184971</v>
      </c>
      <c r="I3" t="e">
        <f ca="1">_xludf.IFS(
      B3&lt;=5000000, HLOOKUP(0, 'Master Data'!A3:D3, 3, TRUE)*H3,
      B3&lt;=10000000, HLOOKUP(5000001, 'Master Data'!A4:D4, 3, TRUE)*H3,
      B3&gt;10000000, HLOOKUP(10000001, 'Master Data'!A5:D5, 3, TRUE)*H3
    )</f>
        <v>#NAME?</v>
      </c>
      <c r="J3" t="e">
        <f ca="1">_xludf.IFS(
      B3&lt;=5000000, HLOOKUP(0, 'Master Data'!A3:D3, 4, TRUE)*H3,
      B3&lt;=10000000, HLOOKUP(5000001, 'Master Data'!A4:D4, 4, TRUE)*H3,
      B3&gt;10000000, HLOOKUP(10000001, 'Master Data'!A5:D5, 4, TRUE)*H3
    )</f>
        <v>#NAME?</v>
      </c>
      <c r="K3" t="e">
        <f ca="1">SUM(I3:J3)</f>
        <v>#NAME?</v>
      </c>
      <c r="L3" t="e">
        <f ca="1">H3-K3</f>
        <v>#NAME?</v>
      </c>
    </row>
    <row r="4" spans="1:12" x14ac:dyDescent="0.2">
      <c r="A4" t="s">
        <v>40</v>
      </c>
      <c r="B4">
        <v>12000000</v>
      </c>
      <c r="C4">
        <f>B4*0.1</f>
        <v>1200000</v>
      </c>
      <c r="D4">
        <f>20*25000</f>
        <v>500000</v>
      </c>
      <c r="E4">
        <f>20*20000</f>
        <v>400000</v>
      </c>
      <c r="F4">
        <f>1.5*(B4/173)*10</f>
        <v>1040462.427745665</v>
      </c>
      <c r="G4">
        <f>B4*0.2</f>
        <v>2400000</v>
      </c>
      <c r="H4">
        <f>SUM(B4:G4)</f>
        <v>17540462.427745663</v>
      </c>
      <c r="I4" t="e">
        <f ca="1">_xludf.IFS(
      B4&lt;=5000000, HLOOKUP(0, 'Master Data'!A3:D3, 3, TRUE)*H4,
      B4&lt;=10000000, HLOOKUP(5000001, 'Master Data'!A4:D4, 3, TRUE)*H4,
      B4&gt;10000000, HLOOKUP(10000001, 'Master Data'!A5:D5, 3, TRUE)*H4
    )</f>
        <v>#NAME?</v>
      </c>
      <c r="J4" t="e">
        <f ca="1">_xludf.IFS(
      B4&lt;=5000000, HLOOKUP(0, 'Master Data'!A3:D3, 4, TRUE)*H4,
      B4&lt;=10000000, HLOOKUP(5000001, 'Master Data'!A4:D4, 4, TRUE)*H4,
      B4&gt;10000000, HLOOKUP(10000001, 'Master Data'!A5:D5, 4, TRUE)*H4
    )</f>
        <v>#NAME?</v>
      </c>
      <c r="K4" t="e">
        <f ca="1">SUM(I4:J4)</f>
        <v>#NAME?</v>
      </c>
      <c r="L4" t="e">
        <f ca="1">H4-K4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Calculations</vt:lpstr>
      <vt:lpstr>Master Data</vt:lpstr>
      <vt:lpstr>Employee 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 Sohani</cp:lastModifiedBy>
  <dcterms:created xsi:type="dcterms:W3CDTF">2025-06-13T01:58:15Z</dcterms:created>
  <dcterms:modified xsi:type="dcterms:W3CDTF">2025-06-19T22:09:32Z</dcterms:modified>
</cp:coreProperties>
</file>