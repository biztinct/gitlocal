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"/>
    </mc:Choice>
  </mc:AlternateContent>
  <xr:revisionPtr revIDLastSave="0" documentId="13_ncr:1_{3715331D-91B2-4540-B968-5BFEE1D4AB0B}" xr6:coauthVersionLast="47" xr6:coauthVersionMax="47" xr10:uidLastSave="{00000000-0000-0000-0000-000000000000}"/>
  <bookViews>
    <workbookView xWindow="38800" yWindow="500" windowWidth="38400" windowHeight="21100" tabRatio="761" activeTab="3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18" i="4" l="1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J21" i="1"/>
  <c r="BE21" i="1"/>
  <c r="AZ21" i="1"/>
  <c r="AY21" i="1"/>
  <c r="BB21" i="1" s="1"/>
  <c r="AX21" i="1"/>
  <c r="BA21" i="1" s="1"/>
  <c r="AN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I21" i="1"/>
  <c r="AO21" i="1" s="1"/>
  <c r="AV21" i="1" s="1"/>
  <c r="H21" i="1"/>
  <c r="A21" i="1"/>
  <c r="CB20" i="1"/>
  <c r="CA20" i="1"/>
  <c r="BJ20" i="1"/>
  <c r="BE20" i="1"/>
  <c r="AX20" i="1"/>
  <c r="BA20" i="1" s="1"/>
  <c r="AN20" i="1"/>
  <c r="AM20" i="1"/>
  <c r="AK20" i="1"/>
  <c r="AI20" i="1"/>
  <c r="AH20" i="1"/>
  <c r="AG20" i="1"/>
  <c r="AE20" i="1"/>
  <c r="AD20" i="1"/>
  <c r="AC20" i="1"/>
  <c r="AB20" i="1"/>
  <c r="AA20" i="1"/>
  <c r="Z20" i="1"/>
  <c r="Y20" i="1"/>
  <c r="H20" i="1"/>
  <c r="A20" i="1"/>
  <c r="CB19" i="1"/>
  <c r="CA19" i="1"/>
  <c r="BJ19" i="1"/>
  <c r="BE19" i="1"/>
  <c r="BA19" i="1"/>
  <c r="AX19" i="1"/>
  <c r="AZ19" i="1" s="1"/>
  <c r="AN19" i="1"/>
  <c r="AM19" i="1"/>
  <c r="AK19" i="1"/>
  <c r="AI19" i="1"/>
  <c r="AH19" i="1"/>
  <c r="AG19" i="1"/>
  <c r="AF19" i="1"/>
  <c r="AE19" i="1"/>
  <c r="AD19" i="1"/>
  <c r="AC19" i="1"/>
  <c r="AB19" i="1"/>
  <c r="AA19" i="1"/>
  <c r="Z19" i="1"/>
  <c r="Y19" i="1"/>
  <c r="H19" i="1"/>
  <c r="I19" i="1" s="1"/>
  <c r="AO19" i="1" s="1"/>
  <c r="A19" i="1"/>
  <c r="CA18" i="1"/>
  <c r="CB18" i="1" s="1"/>
  <c r="BJ18" i="1"/>
  <c r="BE18" i="1"/>
  <c r="BB18" i="1"/>
  <c r="BA18" i="1"/>
  <c r="AZ18" i="1"/>
  <c r="AY18" i="1"/>
  <c r="AX18" i="1"/>
  <c r="AM18" i="1"/>
  <c r="AK18" i="1"/>
  <c r="AK14" i="1" s="1"/>
  <c r="AI18" i="1"/>
  <c r="AG18" i="1"/>
  <c r="AF18" i="1"/>
  <c r="AE18" i="1"/>
  <c r="AD18" i="1"/>
  <c r="AC18" i="1"/>
  <c r="AB18" i="1"/>
  <c r="AA18" i="1"/>
  <c r="Z18" i="1"/>
  <c r="Y18" i="1"/>
  <c r="H18" i="1"/>
  <c r="AN18" i="1" s="1"/>
  <c r="A18" i="1"/>
  <c r="CB17" i="1"/>
  <c r="I17" i="1" s="1"/>
  <c r="CA17" i="1"/>
  <c r="BJ17" i="1"/>
  <c r="BE17" i="1"/>
  <c r="BE14" i="1" s="1"/>
  <c r="BA17" i="1"/>
  <c r="AX17" i="1"/>
  <c r="AY17" i="1" s="1"/>
  <c r="AM17" i="1"/>
  <c r="AK17" i="1"/>
  <c r="AI17" i="1"/>
  <c r="AH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J16" i="1"/>
  <c r="BE16" i="1"/>
  <c r="AX16" i="1"/>
  <c r="AZ16" i="1" s="1"/>
  <c r="AN16" i="1"/>
  <c r="AM16" i="1"/>
  <c r="AK16" i="1"/>
  <c r="AI16" i="1"/>
  <c r="AG16" i="1"/>
  <c r="AF16" i="1"/>
  <c r="AE16" i="1"/>
  <c r="AD16" i="1"/>
  <c r="AC16" i="1"/>
  <c r="AB16" i="1"/>
  <c r="AA16" i="1"/>
  <c r="Z16" i="1"/>
  <c r="Y16" i="1"/>
  <c r="H16" i="1"/>
  <c r="A16" i="1"/>
  <c r="CB15" i="1"/>
  <c r="BJ15" i="1"/>
  <c r="BE15" i="1"/>
  <c r="AN15" i="1"/>
  <c r="AM15" i="1"/>
  <c r="AK15" i="1"/>
  <c r="AI15" i="1"/>
  <c r="AI14" i="1" s="1"/>
  <c r="AH15" i="1"/>
  <c r="AG15" i="1"/>
  <c r="AE15" i="1"/>
  <c r="AD15" i="1"/>
  <c r="AC15" i="1"/>
  <c r="AB15" i="1"/>
  <c r="AA15" i="1"/>
  <c r="Z15" i="1"/>
  <c r="Y15" i="1"/>
  <c r="H15" i="1"/>
  <c r="A15" i="1"/>
  <c r="BQ14" i="1"/>
  <c r="BP14" i="1"/>
  <c r="BO14" i="1"/>
  <c r="BN14" i="1"/>
  <c r="BM14" i="1"/>
  <c r="BC14" i="1"/>
  <c r="AL14" i="1"/>
  <c r="AJ14" i="1"/>
  <c r="AG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AV19" i="3" l="1"/>
  <c r="I18" i="1"/>
  <c r="AO18" i="1" s="1"/>
  <c r="AH18" i="1"/>
  <c r="I13" i="4"/>
  <c r="AH13" i="4"/>
  <c r="BT16" i="1"/>
  <c r="BF21" i="1"/>
  <c r="BG21" i="1" s="1"/>
  <c r="BK21" i="1" s="1"/>
  <c r="BL21" i="1" s="1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F14" i="1" s="1"/>
  <c r="AY15" i="1"/>
  <c r="BA15" i="1"/>
  <c r="AZ15" i="1"/>
  <c r="AZ14" i="1" s="1"/>
  <c r="H14" i="1"/>
  <c r="AO17" i="1"/>
  <c r="AV17" i="1" s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BB17" i="1"/>
  <c r="AV18" i="1"/>
  <c r="BF18" i="1" s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N14" i="1"/>
  <c r="AD14" i="1"/>
  <c r="AV19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AV15" i="3" l="1"/>
  <c r="BG17" i="1"/>
  <c r="BK17" i="1" s="1"/>
  <c r="BL17" i="1" s="1"/>
  <c r="BF17" i="1"/>
  <c r="BS21" i="3"/>
  <c r="BT21" i="3"/>
  <c r="AO14" i="4"/>
  <c r="AV14" i="4" s="1"/>
  <c r="BG19" i="1"/>
  <c r="BK19" i="1" s="1"/>
  <c r="BL19" i="1" s="1"/>
  <c r="BF19" i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S14" i="4" l="1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F20" i="1"/>
  <c r="BG20" i="1" s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F16" i="1"/>
  <c r="BT21" i="1"/>
  <c r="BU21" i="1" s="1"/>
  <c r="BT19" i="1"/>
  <c r="BU19" i="1" s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T17" i="1"/>
  <c r="BU17" i="1" s="1"/>
  <c r="BT15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T20" i="1"/>
  <c r="BU20" i="1" s="1"/>
  <c r="BT18" i="1"/>
  <c r="BU18" i="1" s="1"/>
  <c r="AV14" i="1"/>
  <c r="BF15" i="1"/>
  <c r="BG15" i="1" s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8" authorId="1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
Reply:
    LT: Lương Tháng
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<sst xmlns="http://schemas.openxmlformats.org/spreadsheetml/2006/main" count="682" uniqueCount="154">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</sst>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sz val="22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6" fillId="0" borderId="0"/>
    <xf numFmtId="0" fontId="46" fillId="0" borderId="0"/>
    <xf numFmtId="9" fontId="46" fillId="0" borderId="0"/>
  </cellStyleXfs>
  <cellXfs count="301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167" fontId="41" fillId="2" borderId="17" xfId="1" applyNumberFormat="1" applyFont="1" applyFill="1" applyBorder="1" applyAlignment="1">
      <alignment horizontal="left" vertical="center"/>
    </xf>
    <xf numFmtId="165" fontId="29" fillId="2" borderId="17" xfId="1" applyFont="1" applyFill="1" applyBorder="1" applyAlignment="1">
      <alignment horizontal="left" vertical="center"/>
    </xf>
    <xf numFmtId="164" fontId="45" fillId="0" borderId="0" xfId="1" applyNumberFormat="1" applyFont="1" applyAlignment="1">
      <alignment vertical="center"/>
    </xf>
    <xf numFmtId="1" fontId="42" fillId="0" borderId="0" xfId="0" applyNumberFormat="1" applyFont="1"/>
    <xf numFmtId="164" fontId="14" fillId="0" borderId="0" xfId="0" applyNumberFormat="1" applyFont="1"/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7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8" fillId="0" borderId="0" xfId="3" applyFont="1" applyAlignment="1">
      <alignment horizontal="left" vertical="center"/>
    </xf>
    <xf numFmtId="0" fontId="48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7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7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9" fillId="0" borderId="17" xfId="3" applyFont="1" applyBorder="1" applyAlignment="1">
      <alignment horizontal="center" vertical="center"/>
    </xf>
    <xf numFmtId="164" fontId="49" fillId="0" borderId="17" xfId="1" applyNumberFormat="1" applyFont="1" applyBorder="1" applyAlignment="1">
      <alignment horizontal="left" vertical="center"/>
    </xf>
    <xf numFmtId="0" fontId="49" fillId="0" borderId="17" xfId="0" applyFont="1" applyBorder="1" applyAlignment="1">
      <alignment horizontal="left" vertical="center"/>
    </xf>
    <xf numFmtId="167" fontId="49" fillId="0" borderId="17" xfId="1" applyNumberFormat="1" applyFont="1" applyBorder="1" applyAlignment="1">
      <alignment horizontal="left" vertical="center"/>
    </xf>
    <xf numFmtId="167" fontId="49" fillId="2" borderId="17" xfId="1" applyNumberFormat="1" applyFont="1" applyFill="1" applyBorder="1" applyAlignment="1">
      <alignment horizontal="left" vertical="center"/>
    </xf>
    <xf numFmtId="164" fontId="49" fillId="0" borderId="19" xfId="1" applyNumberFormat="1" applyFont="1" applyBorder="1" applyAlignment="1">
      <alignment horizontal="left" vertical="center"/>
    </xf>
    <xf numFmtId="164" fontId="47" fillId="0" borderId="21" xfId="1" applyNumberFormat="1" applyFont="1" applyBorder="1" applyAlignment="1">
      <alignment horizontal="left" vertical="center"/>
    </xf>
    <xf numFmtId="164" fontId="47" fillId="0" borderId="12" xfId="1" applyNumberFormat="1" applyFont="1" applyBorder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47" fillId="0" borderId="17" xfId="3" applyFont="1" applyBorder="1" applyAlignment="1">
      <alignment horizontal="center" vertical="center"/>
    </xf>
    <xf numFmtId="0" fontId="47" fillId="0" borderId="1" xfId="0" quotePrefix="1" applyFont="1" applyBorder="1" applyAlignment="1">
      <alignment horizontal="center" vertical="center"/>
    </xf>
    <xf numFmtId="0" fontId="47" fillId="0" borderId="1" xfId="0" applyFont="1" applyBorder="1" applyAlignment="1">
      <alignment horizontal="left" vertical="center"/>
    </xf>
    <xf numFmtId="0" fontId="47" fillId="0" borderId="17" xfId="0" applyFont="1" applyBorder="1" applyAlignment="1">
      <alignment horizontal="left" vertical="center"/>
    </xf>
    <xf numFmtId="0" fontId="47" fillId="0" borderId="17" xfId="0" applyFont="1" applyBorder="1" applyAlignment="1">
      <alignment horizontal="center" vertical="center"/>
    </xf>
    <xf numFmtId="0" fontId="50" fillId="0" borderId="17" xfId="0" applyFont="1" applyBorder="1" applyAlignment="1">
      <alignment horizontal="center" vertical="center"/>
    </xf>
    <xf numFmtId="164" fontId="47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7" fillId="0" borderId="17" xfId="1" applyFont="1" applyBorder="1" applyAlignment="1">
      <alignment horizontal="left" vertical="center"/>
    </xf>
    <xf numFmtId="165" fontId="47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7" fillId="0" borderId="1" xfId="1" applyNumberFormat="1" applyFont="1" applyBorder="1" applyAlignment="1">
      <alignment horizontal="left" vertical="center"/>
    </xf>
    <xf numFmtId="164" fontId="47" fillId="0" borderId="4" xfId="1" applyNumberFormat="1" applyFont="1" applyBorder="1" applyAlignment="1">
      <alignment horizontal="left" vertical="center"/>
    </xf>
    <xf numFmtId="164" fontId="50" fillId="0" borderId="0" xfId="2" applyNumberFormat="1" applyFont="1" applyAlignment="1">
      <alignment horizontal="left" vertical="center"/>
    </xf>
    <xf numFmtId="14" fontId="50" fillId="0" borderId="0" xfId="2" applyNumberFormat="1" applyFont="1" applyAlignment="1">
      <alignment horizontal="left" vertical="center"/>
    </xf>
    <xf numFmtId="164" fontId="47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7" fillId="0" borderId="0" xfId="0" applyFont="1" applyAlignment="1">
      <alignment horizontal="left" vertical="center"/>
    </xf>
    <xf numFmtId="49" fontId="47" fillId="0" borderId="1" xfId="0" applyNumberFormat="1" applyFont="1" applyBorder="1" applyAlignment="1">
      <alignment horizontal="center" vertical="center"/>
    </xf>
    <xf numFmtId="0" fontId="51" fillId="0" borderId="0" xfId="0" applyFont="1" applyAlignment="1">
      <alignment horizontal="center"/>
    </xf>
    <xf numFmtId="49" fontId="51" fillId="0" borderId="0" xfId="1" applyNumberFormat="1" applyFont="1" applyAlignment="1">
      <alignment horizontal="center"/>
    </xf>
    <xf numFmtId="164" fontId="51" fillId="0" borderId="0" xfId="1" applyNumberFormat="1" applyFont="1" applyAlignment="1">
      <alignment wrapText="1"/>
    </xf>
    <xf numFmtId="164" fontId="47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1" fillId="0" borderId="0" xfId="1" applyNumberFormat="1" applyFont="1"/>
    <xf numFmtId="0" fontId="52" fillId="0" borderId="0" xfId="0" applyFont="1"/>
    <xf numFmtId="165" fontId="47" fillId="0" borderId="0" xfId="1" applyFont="1" applyAlignment="1">
      <alignment horizontal="center"/>
    </xf>
    <xf numFmtId="164" fontId="47" fillId="0" borderId="0" xfId="1" applyNumberFormat="1" applyFont="1"/>
    <xf numFmtId="165" fontId="51" fillId="0" borderId="0" xfId="1" applyFont="1"/>
    <xf numFmtId="0" fontId="51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3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7" fillId="0" borderId="17" xfId="1" applyNumberFormat="1" applyFont="1" applyBorder="1" applyAlignment="1">
      <alignment horizontal="left" vertical="center" wrapText="1"/>
    </xf>
    <xf numFmtId="0" fontId="47" fillId="0" borderId="1" xfId="1" applyNumberFormat="1" applyFont="1" applyBorder="1" applyAlignment="1">
      <alignment horizontal="left" vertical="center" wrapText="1"/>
    </xf>
    <xf numFmtId="0" fontId="47" fillId="0" borderId="1" xfId="3" applyFont="1" applyBorder="1" applyAlignment="1">
      <alignment horizontal="center" vertical="center" wrapText="1"/>
    </xf>
    <xf numFmtId="0" fontId="47" fillId="0" borderId="1" xfId="0" quotePrefix="1" applyFont="1" applyBorder="1" applyAlignment="1">
      <alignment horizontal="center" vertical="center" wrapText="1"/>
    </xf>
    <xf numFmtId="0" fontId="47" fillId="0" borderId="1" xfId="0" applyFont="1" applyBorder="1" applyAlignment="1">
      <alignment horizontal="left" vertical="center" wrapText="1"/>
    </xf>
    <xf numFmtId="0" fontId="47" fillId="0" borderId="1" xfId="0" applyFont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7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50" fillId="0" borderId="0" xfId="2" applyNumberFormat="1" applyFont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7" fillId="3" borderId="1" xfId="1" applyNumberFormat="1" applyFont="1" applyFill="1" applyBorder="1" applyAlignment="1">
      <alignment horizontal="left" vertical="center" wrapText="1"/>
    </xf>
    <xf numFmtId="0" fontId="52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1" fillId="0" borderId="0" xfId="0" applyFont="1" applyAlignment="1">
      <alignment horizontal="center" vertical="center"/>
    </xf>
    <xf numFmtId="49" fontId="51" fillId="0" borderId="0" xfId="1" applyNumberFormat="1" applyFont="1" applyAlignment="1">
      <alignment horizontal="center" vertical="center"/>
    </xf>
    <xf numFmtId="164" fontId="51" fillId="0" borderId="0" xfId="1" applyNumberFormat="1" applyFont="1" applyAlignment="1">
      <alignment vertical="center" wrapText="1"/>
    </xf>
    <xf numFmtId="164" fontId="47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1" fillId="0" borderId="0" xfId="1" applyNumberFormat="1" applyFont="1" applyAlignment="1">
      <alignment vertical="center"/>
    </xf>
    <xf numFmtId="165" fontId="47" fillId="0" borderId="0" xfId="1" applyFont="1" applyAlignment="1">
      <alignment horizontal="center" vertical="center"/>
    </xf>
    <xf numFmtId="164" fontId="47" fillId="0" borderId="0" xfId="1" applyNumberFormat="1" applyFont="1" applyAlignment="1">
      <alignment vertical="center"/>
    </xf>
    <xf numFmtId="165" fontId="51" fillId="0" borderId="0" xfId="1" applyFont="1" applyAlignment="1">
      <alignment vertical="center"/>
    </xf>
    <xf numFmtId="0" fontId="51" fillId="0" borderId="0" xfId="0" applyFont="1" applyAlignment="1">
      <alignment vertical="center"/>
    </xf>
    <xf numFmtId="0" fontId="47" fillId="0" borderId="17" xfId="3" applyFont="1" applyBorder="1" applyAlignment="1">
      <alignment horizontal="center" vertical="center" wrapText="1"/>
    </xf>
    <xf numFmtId="0" fontId="47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7" fillId="0" borderId="12" xfId="1" applyNumberFormat="1" applyFont="1" applyBorder="1" applyAlignment="1">
      <alignment horizontal="left" vertical="center" wrapText="1"/>
    </xf>
    <xf numFmtId="0" fontId="47" fillId="0" borderId="4" xfId="1" applyNumberFormat="1" applyFont="1" applyBorder="1" applyAlignment="1">
      <alignment horizontal="left" vertical="center" wrapText="1"/>
    </xf>
    <xf numFmtId="0" fontId="47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3" applyFont="1" applyAlignment="1">
      <alignment horizontal="center" vertical="center"/>
    </xf>
    <xf numFmtId="0" fontId="55" fillId="0" borderId="0" xfId="3" applyFont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22" fillId="4" borderId="1" xfId="1" applyNumberFormat="1" applyFont="1" applyFill="1" applyBorder="1" applyAlignment="1">
      <alignment horizontal="center" vertical="center" wrapText="1"/>
    </xf>
    <xf numFmtId="0" fontId="0" fillId="0" borderId="17" xfId="0" applyBorder="1"/>
    <xf numFmtId="165" fontId="27" fillId="2" borderId="1" xfId="1" applyFont="1" applyFill="1" applyBorder="1" applyAlignment="1">
      <alignment horizontal="center" vertical="center" wrapText="1"/>
    </xf>
    <xf numFmtId="0" fontId="0" fillId="0" borderId="9" xfId="0" applyBorder="1"/>
    <xf numFmtId="164" fontId="28" fillId="2" borderId="1" xfId="1" applyNumberFormat="1" applyFont="1" applyFill="1" applyBorder="1" applyAlignment="1">
      <alignment horizontal="center" vertical="center" wrapText="1"/>
    </xf>
    <xf numFmtId="164" fontId="28" fillId="3" borderId="1" xfId="1" applyNumberFormat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0" fillId="0" borderId="2" xfId="0" applyBorder="1"/>
    <xf numFmtId="0" fontId="0" fillId="0" borderId="10" xfId="0" applyBorder="1"/>
    <xf numFmtId="0" fontId="11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22" fillId="2" borderId="1" xfId="1" applyNumberFormat="1" applyFont="1" applyFill="1" applyBorder="1" applyAlignment="1">
      <alignment horizontal="center" vertical="center" wrapText="1"/>
    </xf>
    <xf numFmtId="164" fontId="8" fillId="2" borderId="20" xfId="1" applyNumberFormat="1" applyFont="1" applyFill="1" applyBorder="1" applyAlignment="1">
      <alignment horizontal="center" vertical="center"/>
    </xf>
    <xf numFmtId="164" fontId="22" fillId="2" borderId="1" xfId="1" applyNumberFormat="1" applyFont="1" applyFill="1" applyBorder="1" applyAlignment="1">
      <alignment horizontal="center" vertical="center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17" xfId="1" applyNumberFormat="1" applyFont="1" applyFill="1" applyBorder="1" applyAlignment="1">
      <alignment horizontal="center" vertical="center" wrapText="1"/>
    </xf>
    <xf numFmtId="165" fontId="8" fillId="2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164" fontId="7" fillId="3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0" fontId="18" fillId="4" borderId="1" xfId="1" applyNumberFormat="1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165" fontId="8" fillId="3" borderId="7" xfId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27" fillId="4" borderId="1" xfId="1" applyNumberFormat="1" applyFont="1" applyFill="1" applyBorder="1" applyAlignment="1">
      <alignment horizontal="center" vertical="center" wrapText="1"/>
    </xf>
    <xf numFmtId="49" fontId="22" fillId="2" borderId="1" xfId="1" applyNumberFormat="1" applyFont="1" applyFill="1" applyBorder="1" applyAlignment="1">
      <alignment horizontal="center" vertical="center" wrapText="1"/>
    </xf>
    <xf numFmtId="164" fontId="22" fillId="4" borderId="3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0" fontId="0" fillId="0" borderId="19" xfId="0" applyBorder="1"/>
    <xf numFmtId="164" fontId="22" fillId="2" borderId="4" xfId="1" applyNumberFormat="1" applyFont="1" applyFill="1" applyBorder="1" applyAlignment="1">
      <alignment horizontal="center" vertical="center" wrapText="1"/>
    </xf>
    <xf numFmtId="43" fontId="24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5" fontId="22" fillId="2" borderId="1" xfId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 wrapText="1"/>
    </xf>
    <xf numFmtId="165" fontId="22" fillId="2" borderId="4" xfId="1" applyFont="1" applyFill="1" applyBorder="1" applyAlignment="1">
      <alignment horizontal="center" vertical="center" wrapText="1"/>
    </xf>
    <xf numFmtId="43" fontId="22" fillId="2" borderId="1" xfId="5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47" fillId="0" borderId="0" xfId="3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164" fontId="18" fillId="4" borderId="1" xfId="1" applyNumberFormat="1" applyFont="1" applyFill="1" applyBorder="1" applyAlignment="1">
      <alignment horizontal="center" vertical="top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2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4" fontId="27" fillId="4" borderId="1" xfId="1" applyNumberFormat="1" applyFont="1" applyFill="1" applyBorder="1" applyAlignment="1">
      <alignment horizontal="center" vertical="top" wrapText="1"/>
    </xf>
    <xf numFmtId="0" fontId="57" fillId="0" borderId="0" xfId="0" applyFont="1"/>
    <xf numFmtId="164" fontId="58" fillId="0" borderId="0" xfId="1" applyNumberFormat="1" applyFont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7"/>
  <sheetViews>
    <sheetView zoomScaleNormal="100" zoomScaleSheetLayoutView="70" workbookViewId="0">
      <selection activeCell="D31" sqref="D31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5.83203125" style="67" customWidth="1"/>
    <col min="4" max="4" width="15.83203125" style="68" customWidth="1" outlineLevel="1"/>
    <col min="5" max="5" width="8.5" style="68" bestFit="1" customWidth="1" outlineLevel="1"/>
    <col min="6" max="6" width="11.5" style="69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58" width="10.5" style="63" customWidth="1"/>
    <col min="59" max="59" width="13.6640625" style="63" bestFit="1" customWidth="1"/>
    <col min="60" max="71" width="10.5" style="63" customWidth="1"/>
    <col min="72" max="73" width="12.5" style="63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7"/>
      <c r="BE1" s="5"/>
      <c r="BF1" s="127"/>
      <c r="BG1" s="5"/>
      <c r="BH1" s="5"/>
      <c r="BI1" s="5"/>
      <c r="BJ1" s="5"/>
      <c r="BK1" s="5"/>
      <c r="BL1" s="5"/>
      <c r="BM1" s="5"/>
      <c r="BN1" s="5"/>
      <c r="BO1" s="5"/>
      <c r="BP1" s="9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127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277"/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74"/>
      <c r="M3" s="274"/>
      <c r="N3" s="274"/>
      <c r="O3" s="274"/>
      <c r="P3" s="274"/>
      <c r="Q3" s="274"/>
      <c r="R3" s="274"/>
      <c r="S3" s="274"/>
      <c r="T3" s="274"/>
      <c r="U3" s="274"/>
      <c r="V3" s="274"/>
      <c r="W3" s="274"/>
      <c r="X3" s="274"/>
      <c r="Y3" s="274"/>
      <c r="Z3" s="274"/>
      <c r="AA3" s="274"/>
      <c r="AB3" s="274"/>
      <c r="AC3" s="274"/>
      <c r="AD3" s="274"/>
      <c r="AE3" s="274"/>
      <c r="AF3" s="274"/>
      <c r="AG3" s="274"/>
      <c r="AH3" s="274"/>
      <c r="AI3" s="274"/>
      <c r="AJ3" s="274"/>
      <c r="AK3" s="274"/>
      <c r="AL3" s="274"/>
      <c r="AM3" s="274"/>
      <c r="AN3" s="274"/>
      <c r="AO3" s="274"/>
      <c r="AP3" s="274"/>
      <c r="AQ3" s="274"/>
      <c r="AR3" s="274"/>
      <c r="AS3" s="274"/>
      <c r="AT3" s="274"/>
      <c r="AU3" s="274"/>
      <c r="AV3" s="274"/>
      <c r="AW3" s="274"/>
      <c r="AX3" s="274"/>
      <c r="AY3" s="274"/>
      <c r="AZ3" s="274"/>
      <c r="BA3" s="274"/>
      <c r="BB3" s="274"/>
      <c r="BC3" s="274"/>
      <c r="BD3" s="274"/>
      <c r="BE3" s="274"/>
      <c r="BF3" s="274"/>
      <c r="BG3" s="274"/>
      <c r="BH3" s="274"/>
      <c r="BI3" s="274"/>
      <c r="BJ3" s="274"/>
      <c r="BK3" s="274"/>
      <c r="BL3" s="274"/>
      <c r="BM3" s="274"/>
      <c r="BN3" s="274"/>
      <c r="BO3" s="274"/>
      <c r="BP3" s="274"/>
      <c r="BQ3" s="274"/>
      <c r="BR3" s="274"/>
      <c r="BS3" s="274"/>
      <c r="BT3" s="274"/>
      <c r="BU3" s="274"/>
      <c r="BV3" s="110"/>
      <c r="BW3" s="273" t="s">
        <v>2</v>
      </c>
      <c r="BX3" s="274"/>
      <c r="BY3" s="274"/>
      <c r="BZ3" s="274"/>
      <c r="CA3" s="274"/>
      <c r="CB3" s="274"/>
      <c r="CC3" s="71"/>
      <c r="CD3" s="71"/>
      <c r="CE3" s="240" t="s">
        <v>3</v>
      </c>
      <c r="CF3" s="241">
        <v>26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274"/>
      <c r="BX4" s="274"/>
      <c r="BY4" s="274"/>
      <c r="BZ4" s="274"/>
      <c r="CA4" s="274"/>
      <c r="CB4" s="274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275"/>
      <c r="BX5" s="275"/>
      <c r="BY5" s="275"/>
      <c r="BZ5" s="275"/>
      <c r="CA5" s="275"/>
      <c r="CB5" s="275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275"/>
      <c r="BX6" s="275"/>
      <c r="BY6" s="275"/>
      <c r="BZ6" s="275"/>
      <c r="CA6" s="275"/>
      <c r="CB6" s="275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2"/>
      <c r="BK7" s="22"/>
      <c r="BL7" s="21"/>
      <c r="BM7" s="21"/>
      <c r="BN7" s="22"/>
      <c r="BO7" s="21"/>
      <c r="BP7" s="22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251" t="s">
        <v>4</v>
      </c>
      <c r="B8" s="279" t="s">
        <v>5</v>
      </c>
      <c r="C8" s="261" t="s">
        <v>6</v>
      </c>
      <c r="D8" s="263" t="s">
        <v>7</v>
      </c>
      <c r="E8" s="263" t="s">
        <v>8</v>
      </c>
      <c r="F8" s="261" t="s">
        <v>9</v>
      </c>
      <c r="G8" s="242" t="s">
        <v>10</v>
      </c>
      <c r="H8" s="270" t="s">
        <v>11</v>
      </c>
      <c r="I8" s="270" t="s">
        <v>12</v>
      </c>
      <c r="J8" s="242" t="s">
        <v>13</v>
      </c>
      <c r="K8" s="271" t="s">
        <v>14</v>
      </c>
      <c r="L8" s="243"/>
      <c r="M8" s="243"/>
      <c r="N8" s="243"/>
      <c r="O8" s="243"/>
      <c r="P8" s="243"/>
      <c r="Q8" s="243"/>
      <c r="R8" s="243"/>
      <c r="S8" s="243"/>
      <c r="T8" s="243"/>
      <c r="U8" s="243"/>
      <c r="V8" s="243"/>
      <c r="W8" s="243"/>
      <c r="X8" s="243"/>
      <c r="Y8" s="242" t="s">
        <v>15</v>
      </c>
      <c r="Z8" s="243"/>
      <c r="AA8" s="243"/>
      <c r="AB8" s="243"/>
      <c r="AC8" s="243"/>
      <c r="AD8" s="243"/>
      <c r="AE8" s="243"/>
      <c r="AF8" s="243"/>
      <c r="AG8" s="243"/>
      <c r="AH8" s="243"/>
      <c r="AI8" s="243"/>
      <c r="AJ8" s="243"/>
      <c r="AK8" s="243"/>
      <c r="AL8" s="243"/>
      <c r="AM8" s="243"/>
      <c r="AN8" s="243"/>
      <c r="AO8" s="244"/>
      <c r="AP8" s="242" t="s">
        <v>16</v>
      </c>
      <c r="AQ8" s="242" t="s">
        <v>17</v>
      </c>
      <c r="AR8" s="242" t="s">
        <v>18</v>
      </c>
      <c r="AS8" s="242" t="s">
        <v>19</v>
      </c>
      <c r="AT8" s="242" t="s">
        <v>20</v>
      </c>
      <c r="AU8" s="242" t="s">
        <v>21</v>
      </c>
      <c r="AV8" s="261" t="s">
        <v>22</v>
      </c>
      <c r="AW8" s="261" t="s">
        <v>23</v>
      </c>
      <c r="AX8" s="261" t="s">
        <v>24</v>
      </c>
      <c r="AY8" s="268" t="s">
        <v>25</v>
      </c>
      <c r="AZ8" s="243"/>
      <c r="BA8" s="243"/>
      <c r="BB8" s="243"/>
      <c r="BC8" s="243"/>
      <c r="BD8" s="243"/>
      <c r="BE8" s="243"/>
      <c r="BF8" s="243"/>
      <c r="BG8" s="243"/>
      <c r="BH8" s="243"/>
      <c r="BI8" s="243"/>
      <c r="BJ8" s="243"/>
      <c r="BK8" s="243"/>
      <c r="BL8" s="243"/>
      <c r="BM8" s="243"/>
      <c r="BN8" s="243"/>
      <c r="BO8" s="243"/>
      <c r="BP8" s="243"/>
      <c r="BQ8" s="244"/>
      <c r="BR8" s="280" t="s">
        <v>26</v>
      </c>
      <c r="BS8" s="254"/>
      <c r="BT8" s="268" t="s">
        <v>27</v>
      </c>
      <c r="BU8" s="281" t="s">
        <v>28</v>
      </c>
      <c r="BV8" s="114"/>
      <c r="BW8" s="262" t="s">
        <v>29</v>
      </c>
      <c r="BX8" s="252" t="s">
        <v>30</v>
      </c>
      <c r="BY8" s="253"/>
      <c r="BZ8" s="253"/>
      <c r="CA8" s="254"/>
      <c r="CB8" s="266" t="s">
        <v>31</v>
      </c>
      <c r="CC8" s="276" t="s">
        <v>32</v>
      </c>
      <c r="CD8" s="276" t="s">
        <v>33</v>
      </c>
      <c r="CH8" s="27"/>
      <c r="CI8" s="28"/>
    </row>
    <row r="9" spans="1:87" s="11" customFormat="1" ht="19.25" customHeight="1">
      <c r="A9" s="248"/>
      <c r="B9" s="248"/>
      <c r="C9" s="248"/>
      <c r="D9" s="248"/>
      <c r="E9" s="248"/>
      <c r="F9" s="248"/>
      <c r="G9" s="248"/>
      <c r="H9" s="248"/>
      <c r="I9" s="248"/>
      <c r="J9" s="248"/>
      <c r="K9" s="247" t="s">
        <v>34</v>
      </c>
      <c r="L9" s="247" t="s">
        <v>35</v>
      </c>
      <c r="M9" s="247" t="s">
        <v>36</v>
      </c>
      <c r="N9" s="247" t="s">
        <v>37</v>
      </c>
      <c r="O9" s="247" t="s">
        <v>38</v>
      </c>
      <c r="P9" s="247" t="s">
        <v>39</v>
      </c>
      <c r="Q9" s="247" t="s">
        <v>40</v>
      </c>
      <c r="R9" s="247" t="s">
        <v>41</v>
      </c>
      <c r="S9" s="247" t="s">
        <v>42</v>
      </c>
      <c r="T9" s="247" t="s">
        <v>43</v>
      </c>
      <c r="U9" s="247" t="s">
        <v>44</v>
      </c>
      <c r="V9" s="284" t="s">
        <v>45</v>
      </c>
      <c r="W9" s="254"/>
      <c r="X9" s="247" t="s">
        <v>46</v>
      </c>
      <c r="Y9" s="249" t="s">
        <v>47</v>
      </c>
      <c r="Z9" s="249" t="s">
        <v>48</v>
      </c>
      <c r="AA9" s="249" t="s">
        <v>49</v>
      </c>
      <c r="AB9" s="249" t="s">
        <v>50</v>
      </c>
      <c r="AC9" s="250" t="s">
        <v>51</v>
      </c>
      <c r="AD9" s="250" t="s">
        <v>52</v>
      </c>
      <c r="AE9" s="250" t="s">
        <v>53</v>
      </c>
      <c r="AF9" s="250" t="s">
        <v>54</v>
      </c>
      <c r="AG9" s="249" t="s">
        <v>55</v>
      </c>
      <c r="AH9" s="250" t="s">
        <v>56</v>
      </c>
      <c r="AI9" s="250" t="s">
        <v>57</v>
      </c>
      <c r="AJ9" s="249" t="s">
        <v>58</v>
      </c>
      <c r="AK9" s="283" t="s">
        <v>59</v>
      </c>
      <c r="AL9" s="261" t="s">
        <v>60</v>
      </c>
      <c r="AM9" s="249" t="s">
        <v>61</v>
      </c>
      <c r="AN9" s="269" t="s">
        <v>62</v>
      </c>
      <c r="AO9" s="261" t="s">
        <v>63</v>
      </c>
      <c r="AP9" s="248"/>
      <c r="AQ9" s="248"/>
      <c r="AR9" s="248"/>
      <c r="AS9" s="248"/>
      <c r="AT9" s="248"/>
      <c r="AU9" s="248"/>
      <c r="AV9" s="248"/>
      <c r="AW9" s="248"/>
      <c r="AX9" s="248"/>
      <c r="AY9" s="268" t="s">
        <v>25</v>
      </c>
      <c r="AZ9" s="243"/>
      <c r="BA9" s="243"/>
      <c r="BB9" s="243"/>
      <c r="BC9" s="243"/>
      <c r="BD9" s="243"/>
      <c r="BE9" s="243"/>
      <c r="BF9" s="243"/>
      <c r="BG9" s="243"/>
      <c r="BH9" s="243"/>
      <c r="BI9" s="243"/>
      <c r="BJ9" s="243"/>
      <c r="BK9" s="243"/>
      <c r="BL9" s="244"/>
      <c r="BM9" s="268" t="s">
        <v>64</v>
      </c>
      <c r="BN9" s="243"/>
      <c r="BO9" s="243"/>
      <c r="BP9" s="243"/>
      <c r="BQ9" s="244"/>
      <c r="BR9" s="265" t="s">
        <v>65</v>
      </c>
      <c r="BS9" s="265" t="s">
        <v>66</v>
      </c>
      <c r="BT9" s="248"/>
      <c r="BU9" s="255"/>
      <c r="BV9" s="114"/>
      <c r="BW9" s="257"/>
      <c r="BX9" s="255"/>
      <c r="BY9" s="256"/>
      <c r="BZ9" s="256"/>
      <c r="CA9" s="257"/>
      <c r="CB9" s="248"/>
      <c r="CC9" s="248"/>
      <c r="CD9" s="248"/>
      <c r="CH9" s="27"/>
      <c r="CI9" s="28"/>
    </row>
    <row r="10" spans="1:87" s="29" customFormat="1" ht="19.25" customHeight="1">
      <c r="A10" s="248"/>
      <c r="B10" s="248"/>
      <c r="C10" s="248"/>
      <c r="D10" s="248"/>
      <c r="E10" s="248"/>
      <c r="F10" s="248"/>
      <c r="G10" s="248"/>
      <c r="H10" s="248"/>
      <c r="I10" s="248"/>
      <c r="J10" s="248"/>
      <c r="K10" s="248"/>
      <c r="L10" s="248"/>
      <c r="M10" s="248"/>
      <c r="N10" s="248"/>
      <c r="O10" s="248"/>
      <c r="P10" s="248"/>
      <c r="Q10" s="248"/>
      <c r="R10" s="248"/>
      <c r="S10" s="248"/>
      <c r="T10" s="248"/>
      <c r="U10" s="248"/>
      <c r="V10" s="282"/>
      <c r="W10" s="285"/>
      <c r="X10" s="248"/>
      <c r="Y10" s="248"/>
      <c r="Z10" s="248"/>
      <c r="AA10" s="248"/>
      <c r="AB10" s="248"/>
      <c r="AC10" s="248"/>
      <c r="AD10" s="248"/>
      <c r="AE10" s="248"/>
      <c r="AF10" s="248"/>
      <c r="AG10" s="248"/>
      <c r="AH10" s="248"/>
      <c r="AI10" s="248"/>
      <c r="AJ10" s="248"/>
      <c r="AK10" s="255"/>
      <c r="AL10" s="248"/>
      <c r="AM10" s="248"/>
      <c r="AN10" s="248"/>
      <c r="AO10" s="248"/>
      <c r="AP10" s="248"/>
      <c r="AQ10" s="248"/>
      <c r="AR10" s="248"/>
      <c r="AS10" s="248"/>
      <c r="AT10" s="248"/>
      <c r="AU10" s="248"/>
      <c r="AV10" s="248"/>
      <c r="AW10" s="248"/>
      <c r="AX10" s="248"/>
      <c r="AY10" s="101" t="s">
        <v>67</v>
      </c>
      <c r="AZ10" s="101" t="s">
        <v>68</v>
      </c>
      <c r="BA10" s="101" t="s">
        <v>69</v>
      </c>
      <c r="BB10" s="278" t="s">
        <v>70</v>
      </c>
      <c r="BC10" s="245" t="s">
        <v>71</v>
      </c>
      <c r="BD10" s="245" t="s">
        <v>72</v>
      </c>
      <c r="BE10" s="272" t="s">
        <v>73</v>
      </c>
      <c r="BF10" s="245" t="s">
        <v>74</v>
      </c>
      <c r="BG10" s="245" t="s">
        <v>75</v>
      </c>
      <c r="BH10" s="245" t="s">
        <v>76</v>
      </c>
      <c r="BI10" s="245" t="s">
        <v>77</v>
      </c>
      <c r="BJ10" s="245" t="s">
        <v>78</v>
      </c>
      <c r="BK10" s="245" t="s">
        <v>79</v>
      </c>
      <c r="BL10" s="264" t="s">
        <v>80</v>
      </c>
      <c r="BM10" s="245" t="s">
        <v>81</v>
      </c>
      <c r="BN10" s="268" t="s">
        <v>82</v>
      </c>
      <c r="BO10" s="245" t="s">
        <v>83</v>
      </c>
      <c r="BP10" s="268" t="s">
        <v>84</v>
      </c>
      <c r="BQ10" s="268" t="s">
        <v>85</v>
      </c>
      <c r="BR10" s="248"/>
      <c r="BS10" s="248"/>
      <c r="BT10" s="248"/>
      <c r="BU10" s="255"/>
      <c r="BV10" s="114"/>
      <c r="BW10" s="257"/>
      <c r="BX10" s="258"/>
      <c r="BY10" s="259"/>
      <c r="BZ10" s="259"/>
      <c r="CA10" s="260"/>
      <c r="CB10" s="248"/>
      <c r="CC10" s="248"/>
      <c r="CD10" s="248"/>
      <c r="CH10" s="27"/>
      <c r="CI10" s="28"/>
    </row>
    <row r="11" spans="1:87" s="29" customFormat="1" ht="38.25" customHeight="1">
      <c r="A11" s="246"/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/>
      <c r="V11" s="30" t="s">
        <v>86</v>
      </c>
      <c r="W11" s="30" t="s">
        <v>87</v>
      </c>
      <c r="X11" s="246"/>
      <c r="Y11" s="246"/>
      <c r="Z11" s="246"/>
      <c r="AA11" s="246"/>
      <c r="AB11" s="246"/>
      <c r="AC11" s="246"/>
      <c r="AD11" s="246"/>
      <c r="AE11" s="246"/>
      <c r="AF11" s="246"/>
      <c r="AG11" s="246"/>
      <c r="AH11" s="246"/>
      <c r="AI11" s="246"/>
      <c r="AJ11" s="246"/>
      <c r="AK11" s="282"/>
      <c r="AL11" s="246"/>
      <c r="AM11" s="246"/>
      <c r="AN11" s="246"/>
      <c r="AO11" s="246"/>
      <c r="AP11" s="246"/>
      <c r="AQ11" s="246"/>
      <c r="AR11" s="246"/>
      <c r="AS11" s="246"/>
      <c r="AT11" s="246"/>
      <c r="AU11" s="246"/>
      <c r="AV11" s="246"/>
      <c r="AW11" s="246"/>
      <c r="AX11" s="246"/>
      <c r="AY11" s="102" t="s">
        <v>88</v>
      </c>
      <c r="AZ11" s="102" t="s">
        <v>89</v>
      </c>
      <c r="BA11" s="102" t="s">
        <v>90</v>
      </c>
      <c r="BB11" s="246"/>
      <c r="BC11" s="246"/>
      <c r="BD11" s="246"/>
      <c r="BE11" s="246"/>
      <c r="BF11" s="246"/>
      <c r="BG11" s="246"/>
      <c r="BH11" s="246"/>
      <c r="BI11" s="246"/>
      <c r="BJ11" s="246"/>
      <c r="BK11" s="246"/>
      <c r="BL11" s="246"/>
      <c r="BM11" s="246"/>
      <c r="BN11" s="246"/>
      <c r="BO11" s="246"/>
      <c r="BP11" s="246"/>
      <c r="BQ11" s="246"/>
      <c r="BR11" s="246"/>
      <c r="BS11" s="246"/>
      <c r="BT11" s="246"/>
      <c r="BU11" s="282"/>
      <c r="BV11" s="114"/>
      <c r="BW11" s="260"/>
      <c r="BX11" s="72" t="s">
        <v>91</v>
      </c>
      <c r="BY11" s="72" t="s">
        <v>92</v>
      </c>
      <c r="BZ11" s="72" t="s">
        <v>93</v>
      </c>
      <c r="CA11" s="73" t="s">
        <v>94</v>
      </c>
      <c r="CB11" s="267"/>
      <c r="CC11" s="267"/>
      <c r="CD11" s="267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/>
      <c r="BK12" s="33"/>
      <c r="BL12" s="33">
        <f>BE12+1</f>
        <v>55</v>
      </c>
      <c r="BM12" s="33">
        <f t="shared" ref="BM12:BU12" si="2">BL12+1</f>
        <v>56</v>
      </c>
      <c r="BN12" s="33">
        <f t="shared" si="2"/>
        <v>57</v>
      </c>
      <c r="BO12" s="33">
        <f t="shared" si="2"/>
        <v>58</v>
      </c>
      <c r="BP12" s="33">
        <f t="shared" si="2"/>
        <v>59</v>
      </c>
      <c r="BQ12" s="33">
        <f t="shared" si="2"/>
        <v>60</v>
      </c>
      <c r="BR12" s="33">
        <f t="shared" si="2"/>
        <v>61</v>
      </c>
      <c r="BS12" s="33">
        <f t="shared" si="2"/>
        <v>62</v>
      </c>
      <c r="BT12" s="33">
        <f t="shared" si="2"/>
        <v>63</v>
      </c>
      <c r="BU12" s="33">
        <f t="shared" si="2"/>
        <v>64</v>
      </c>
      <c r="BV12" s="115"/>
      <c r="BW12" s="106" t="s">
        <v>95</v>
      </c>
      <c r="BX12" s="33">
        <f t="shared" ref="BX12:CD12" si="3">BW12+1</f>
        <v>66</v>
      </c>
      <c r="BY12" s="33">
        <f t="shared" si="3"/>
        <v>67</v>
      </c>
      <c r="BZ12" s="33">
        <f t="shared" si="3"/>
        <v>68</v>
      </c>
      <c r="CA12" s="33">
        <f t="shared" si="3"/>
        <v>69</v>
      </c>
      <c r="CB12" s="33">
        <f t="shared" si="3"/>
        <v>70</v>
      </c>
      <c r="CC12" s="33">
        <f t="shared" si="3"/>
        <v>71</v>
      </c>
      <c r="CD12" s="33">
        <f t="shared" si="3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300000</v>
      </c>
      <c r="I14" s="81">
        <f>SUM(I15:I21)</f>
        <v>183060000</v>
      </c>
      <c r="J14" s="81"/>
      <c r="K14" s="83">
        <f t="shared" ref="K14:S14" si="4">SUM(K15:K21)</f>
        <v>166</v>
      </c>
      <c r="L14" s="83">
        <f t="shared" si="4"/>
        <v>8</v>
      </c>
      <c r="M14" s="83">
        <f t="shared" si="4"/>
        <v>2</v>
      </c>
      <c r="N14" s="83">
        <f t="shared" si="4"/>
        <v>2</v>
      </c>
      <c r="O14" s="83">
        <f t="shared" si="4"/>
        <v>0</v>
      </c>
      <c r="P14" s="83">
        <f t="shared" si="4"/>
        <v>5</v>
      </c>
      <c r="Q14" s="83">
        <f t="shared" si="4"/>
        <v>2</v>
      </c>
      <c r="R14" s="83">
        <f t="shared" si="4"/>
        <v>0</v>
      </c>
      <c r="S14" s="83">
        <f t="shared" si="4"/>
        <v>2</v>
      </c>
      <c r="T14" s="125"/>
      <c r="U14" s="83">
        <f>SUM(U15:U21)</f>
        <v>2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48340000</v>
      </c>
      <c r="Z14" s="81"/>
      <c r="AA14" s="81"/>
      <c r="AB14" s="81"/>
      <c r="AC14" s="81">
        <f>SUM(AC15:AC21)</f>
        <v>1828846.1538461538</v>
      </c>
      <c r="AD14" s="81">
        <f>SUM(AD15:AD21)</f>
        <v>975384.61538461538</v>
      </c>
      <c r="AE14" s="81"/>
      <c r="AF14" s="81">
        <f t="shared" ref="AF14:AO14" si="5">SUM(AF15:AF21)</f>
        <v>111923.07692307692</v>
      </c>
      <c r="AG14" s="81">
        <f t="shared" si="5"/>
        <v>0</v>
      </c>
      <c r="AH14" s="81">
        <f t="shared" si="5"/>
        <v>3246153.846153846</v>
      </c>
      <c r="AI14" s="81">
        <f t="shared" si="5"/>
        <v>0</v>
      </c>
      <c r="AJ14" s="81">
        <f t="shared" si="5"/>
        <v>0</v>
      </c>
      <c r="AK14" s="81">
        <f t="shared" si="5"/>
        <v>61538.461538461539</v>
      </c>
      <c r="AL14" s="81">
        <f t="shared" si="5"/>
        <v>0</v>
      </c>
      <c r="AM14" s="81">
        <f t="shared" si="5"/>
        <v>0</v>
      </c>
      <c r="AN14" s="81">
        <f t="shared" si="5"/>
        <v>300000</v>
      </c>
      <c r="AO14" s="81">
        <f t="shared" si="5"/>
        <v>182063076.92307696</v>
      </c>
      <c r="AP14" s="81"/>
      <c r="AQ14" s="81"/>
      <c r="AR14" s="81"/>
      <c r="AS14" s="81"/>
      <c r="AT14" s="81"/>
      <c r="AU14" s="81"/>
      <c r="AV14" s="81">
        <f>SUM(AV15:AV21)</f>
        <v>239266923.07692307</v>
      </c>
      <c r="AW14" s="81"/>
      <c r="AX14" s="81"/>
      <c r="AY14" s="81">
        <f>SUM(AY15:AY21)</f>
        <v>3544000</v>
      </c>
      <c r="AZ14" s="81">
        <f>SUM(AZ15:AZ21)</f>
        <v>664500</v>
      </c>
      <c r="BA14" s="81">
        <f>SUM(BA15:BA21)</f>
        <v>443000</v>
      </c>
      <c r="BB14" s="81">
        <f>SUM(BB15:BB21)</f>
        <v>4651500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/>
      <c r="BK14" s="81"/>
      <c r="BL14" s="81">
        <f t="shared" ref="BL14:BQ14" si="6">SUM(BL15:BL21)</f>
        <v>20461490</v>
      </c>
      <c r="BM14" s="81">
        <f t="shared" si="6"/>
        <v>0</v>
      </c>
      <c r="BN14" s="81">
        <f t="shared" si="6"/>
        <v>0</v>
      </c>
      <c r="BO14" s="81">
        <f t="shared" si="6"/>
        <v>0</v>
      </c>
      <c r="BP14" s="81">
        <f t="shared" si="6"/>
        <v>0</v>
      </c>
      <c r="BQ14" s="81">
        <f t="shared" si="6"/>
        <v>0</v>
      </c>
      <c r="BR14" s="81"/>
      <c r="BS14" s="81"/>
      <c r="BT14" s="81">
        <f>SUM(BT15:BT21)</f>
        <v>92038615.384615406</v>
      </c>
      <c r="BU14" s="104">
        <f>SUM(BU15:BU21)</f>
        <v>121611917.6923077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99</v>
      </c>
      <c r="F15" s="124" t="s">
        <v>100</v>
      </c>
      <c r="G15" s="91">
        <v>9520000</v>
      </c>
      <c r="H15" s="91">
        <f t="shared" ref="H15:H21" si="7">+IF(OR(CC15="ĐT PCCC",CC15="ĐP PCCC"),780000,IF(CC15="AT-VSV",300000,0))</f>
        <v>0</v>
      </c>
      <c r="I15" s="91">
        <f t="shared" ref="I15:I21" si="8">CB15-BZ15-G15-H15</f>
        <v>50480000</v>
      </c>
      <c r="J15" s="92">
        <v>1</v>
      </c>
      <c r="K15" s="93">
        <v>26</v>
      </c>
      <c r="L15" s="93">
        <v>0</v>
      </c>
      <c r="M15" s="93">
        <v>0</v>
      </c>
      <c r="N15" s="93">
        <v>0</v>
      </c>
      <c r="O15" s="93">
        <v>0</v>
      </c>
      <c r="P15" s="93">
        <v>0</v>
      </c>
      <c r="Q15" s="93">
        <v>0</v>
      </c>
      <c r="R15" s="93">
        <v>0</v>
      </c>
      <c r="S15" s="93">
        <v>0</v>
      </c>
      <c r="T15" s="126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9">G15*(K15+L15)/26</f>
        <v>9520000</v>
      </c>
      <c r="Z15" s="91">
        <f t="shared" ref="Z15:Z21" si="10">M15*G15/26</f>
        <v>0</v>
      </c>
      <c r="AA15" s="91">
        <f t="shared" ref="AA15:AA21" si="11">G15*N15/26</f>
        <v>0</v>
      </c>
      <c r="AB15" s="91">
        <f t="shared" ref="AB15:AB21" si="12">G15*O15/26</f>
        <v>0</v>
      </c>
      <c r="AC15" s="91">
        <f t="shared" ref="AC15:AC21" si="13">G15*P15*150%/26</f>
        <v>0</v>
      </c>
      <c r="AD15" s="91">
        <f t="shared" ref="AD15:AD21" si="14">G15*Q15/26*200%</f>
        <v>0</v>
      </c>
      <c r="AE15" s="91">
        <f t="shared" ref="AE15:AE21" si="15">G15*R15/26*300%</f>
        <v>0</v>
      </c>
      <c r="AF15" s="91">
        <f>ROUND((G15+H15)/26*S15*30%,0)</f>
        <v>0</v>
      </c>
      <c r="AG15" s="91">
        <f t="shared" ref="AG15:AG21" si="16">T15*G15/26/8</f>
        <v>0</v>
      </c>
      <c r="AH15" s="91">
        <f t="shared" ref="AH15:AH21" si="17">CB15/26*U15</f>
        <v>0</v>
      </c>
      <c r="AI15" s="91">
        <f t="shared" ref="AI15:AI21" si="18">G15*V15/26</f>
        <v>0</v>
      </c>
      <c r="AJ15" s="91"/>
      <c r="AK15" s="91">
        <f t="shared" ref="AK15:AK21" si="19">BZ15*L15/26</f>
        <v>0</v>
      </c>
      <c r="AL15" s="91"/>
      <c r="AM15" s="91">
        <f t="shared" ref="AM15:AM21" si="20">X15*CD15</f>
        <v>0</v>
      </c>
      <c r="AN15" s="91">
        <f>H15/26*(K15+L15)</f>
        <v>0</v>
      </c>
      <c r="AO15" s="91">
        <f t="shared" ref="AO15:AO21" si="21">IF(F15="LN",I15*(K15+L15)/26+(H15+I15)*50%*M15/26+MAX($G15*P15/26*150%,P15*$BW15/26)-AC15+MAX($G15*Q15/26*200%,Q15*$BW15/26)-AD15+MAX($G15*R15/26*300%,R15*$BW15/26)-AE15+BW15*S15/26-AF15+AH15-AG15,I15-I15*($CF$3-K15-L15)/26+(H15+I15)*50%*M15/26+BW15*O15/26-AB15+MAX($G15*P15/26*150%,P15*$BW15/26)-AC15+MAX($G15*Q15/26*200%,Q15*$BW15/26)-AD15+MAX($G15*R15/26*300%,R15*$BW15/26)-AE15+BW15*S15/26-AF15+AH15-AG15+(G15-G15*($CF$3-K15-L15)/26-Y15)+(H15-H15*($CF$3-K15-L15)/26-AN15))</f>
        <v>50480000</v>
      </c>
      <c r="AP15" s="91"/>
      <c r="AQ15" s="91"/>
      <c r="AR15" s="91">
        <v>1000000</v>
      </c>
      <c r="AS15" s="91"/>
      <c r="AT15" s="91"/>
      <c r="AU15" s="91"/>
      <c r="AV15" s="94">
        <f t="shared" ref="AV15:AV21" si="22">Y15+Z15+AA15+AB15+AC15+AD15+AE15+AF15+AG15+AI15+AJ15+AK15+AL15+AM15+AN15+AO15+AP15-AQ15+AR15+AS15+AT15+AU15</f>
        <v>61000000</v>
      </c>
      <c r="AW15" s="94"/>
      <c r="AX15" s="94" t="s">
        <v>101</v>
      </c>
      <c r="AY15" s="85">
        <f t="shared" ref="AY15:BA21" si="23">ROUND(IF($AX15="x",($G15+$H15)*AY$11,0),0)</f>
        <v>761600</v>
      </c>
      <c r="AZ15" s="85">
        <f t="shared" si="23"/>
        <v>142800</v>
      </c>
      <c r="BA15" s="85">
        <f t="shared" si="23"/>
        <v>95200</v>
      </c>
      <c r="BB15" s="85">
        <f t="shared" ref="BB15:BB21" si="24">SUM(AY15:BA15)</f>
        <v>999600</v>
      </c>
      <c r="BC15" s="85"/>
      <c r="BD15" s="85"/>
      <c r="BE15" s="85">
        <f t="shared" ref="BE15:BE21" si="25">IF(G15*1%&gt;=234000,234000,G15*1%)</f>
        <v>95200</v>
      </c>
      <c r="BF15" s="85">
        <f t="shared" ref="BF15:BF21" si="26">AM15+IF(E15="CT",IF(AR15&gt;=730000,730000,AR15),0)+IF(((AV15-AM15-IF(AR15&gt;=730000,730000,AR15)-AS15)*15%-AS15)&gt;"0",((AV15-AM15-IF(AR15&gt;=730000,730000,AR15)-AS15)*15%-AS15),0)</f>
        <v>730000</v>
      </c>
      <c r="BG15" s="85">
        <f t="shared" ref="BG15:BG21" si="27">AV15-BF15+AW15</f>
        <v>60270000</v>
      </c>
      <c r="BH15" s="85">
        <v>3</v>
      </c>
      <c r="BI15" s="85">
        <v>4400000</v>
      </c>
      <c r="BJ15" s="85">
        <f t="shared" ref="BJ15:BJ21" si="28">IF(E15="CT",11000000,0)</f>
        <v>11000000</v>
      </c>
      <c r="BK15" s="85">
        <f t="shared" ref="BK15:BK21" si="29">BG15-BB15-BC15+BD15-BH15*BI15-BJ15</f>
        <v>35070400</v>
      </c>
      <c r="BL15" s="84">
        <f t="shared" ref="BL15:BL21" si="30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5517600</v>
      </c>
      <c r="BM15" s="85"/>
      <c r="BN15" s="85"/>
      <c r="BO15" s="85">
        <v>0</v>
      </c>
      <c r="BP15" s="85"/>
      <c r="BQ15" s="85"/>
      <c r="BR15" s="85"/>
      <c r="BS15" s="85"/>
      <c r="BT15" s="85">
        <f>SUMIFS('Bảng lương tạm ứng kỳ 1'!BT:BT,'Bảng lương CB-NV'!B:B,'Bảng lương tạm ứng kỳ 1'!B15)</f>
        <v>25846153.846153852</v>
      </c>
      <c r="BU15" s="105">
        <f t="shared" ref="BU15:BU21" si="31">AV15-BB15-BC15+BD15-BE15-BL15-BM15-BN15-BO15-BP15-BQ15-BR15+BS15-BT15</f>
        <v>28541446.153846148</v>
      </c>
      <c r="BV15" s="118"/>
      <c r="BW15" s="108">
        <v>60000000</v>
      </c>
      <c r="BX15" s="84">
        <v>0</v>
      </c>
      <c r="BY15" s="84"/>
      <c r="BZ15" s="84">
        <v>200000</v>
      </c>
      <c r="CA15" s="84">
        <v>0</v>
      </c>
      <c r="CB15" s="84">
        <f t="shared" ref="CB15:CB21" si="32">SUM(BW15:CA15)</f>
        <v>60200000</v>
      </c>
      <c r="CC15" s="84"/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7"/>
        <v>0</v>
      </c>
      <c r="I16" s="91">
        <f t="shared" si="8"/>
        <v>43520000</v>
      </c>
      <c r="J16" s="92">
        <v>1</v>
      </c>
      <c r="K16" s="93">
        <v>19</v>
      </c>
      <c r="L16" s="93">
        <v>5</v>
      </c>
      <c r="M16" s="93">
        <v>0</v>
      </c>
      <c r="N16" s="93">
        <v>0</v>
      </c>
      <c r="O16" s="93">
        <v>0</v>
      </c>
      <c r="P16" s="93">
        <v>0</v>
      </c>
      <c r="Q16" s="93">
        <v>0</v>
      </c>
      <c r="R16" s="93">
        <v>0</v>
      </c>
      <c r="S16" s="93">
        <v>0</v>
      </c>
      <c r="T16" s="126"/>
      <c r="U16" s="93">
        <v>0</v>
      </c>
      <c r="V16" s="93">
        <v>0</v>
      </c>
      <c r="W16" s="93">
        <v>0</v>
      </c>
      <c r="X16" s="93">
        <v>0</v>
      </c>
      <c r="Y16" s="91">
        <f t="shared" si="9"/>
        <v>7827692.307692308</v>
      </c>
      <c r="Z16" s="91">
        <f t="shared" si="10"/>
        <v>0</v>
      </c>
      <c r="AA16" s="91">
        <f t="shared" si="11"/>
        <v>0</v>
      </c>
      <c r="AB16" s="91">
        <f t="shared" si="12"/>
        <v>0</v>
      </c>
      <c r="AC16" s="91">
        <f t="shared" si="13"/>
        <v>0</v>
      </c>
      <c r="AD16" s="91">
        <f t="shared" si="14"/>
        <v>0</v>
      </c>
      <c r="AE16" s="91">
        <f t="shared" si="15"/>
        <v>0</v>
      </c>
      <c r="AF16" s="91">
        <f>ROUND((G16+H16)/26*S16*30%,0)</f>
        <v>0</v>
      </c>
      <c r="AG16" s="91">
        <f t="shared" si="16"/>
        <v>0</v>
      </c>
      <c r="AH16" s="91">
        <f t="shared" si="17"/>
        <v>0</v>
      </c>
      <c r="AI16" s="91">
        <f t="shared" si="18"/>
        <v>0</v>
      </c>
      <c r="AJ16" s="91"/>
      <c r="AK16" s="91">
        <f t="shared" si="19"/>
        <v>38461.538461538461</v>
      </c>
      <c r="AL16" s="91"/>
      <c r="AM16" s="91">
        <f t="shared" si="20"/>
        <v>0</v>
      </c>
      <c r="AN16" s="91">
        <f t="shared" ref="AN16:AN21" si="33">H16/26*K16</f>
        <v>0</v>
      </c>
      <c r="AO16" s="91">
        <f t="shared" si="21"/>
        <v>40172307.692307696</v>
      </c>
      <c r="AP16" s="91"/>
      <c r="AQ16" s="91"/>
      <c r="AR16" s="91">
        <v>720000</v>
      </c>
      <c r="AS16" s="91"/>
      <c r="AT16" s="91"/>
      <c r="AU16" s="91"/>
      <c r="AV16" s="94">
        <f t="shared" si="22"/>
        <v>48758461.538461544</v>
      </c>
      <c r="AW16" s="94"/>
      <c r="AX16" s="94" t="str">
        <f t="shared" ref="AX16:AX21" si="34">IF(E16="CT","x",0)</f>
        <v>x</v>
      </c>
      <c r="AY16" s="85">
        <f t="shared" si="23"/>
        <v>678400</v>
      </c>
      <c r="AZ16" s="85">
        <f t="shared" si="23"/>
        <v>127200</v>
      </c>
      <c r="BA16" s="85">
        <f t="shared" si="23"/>
        <v>84800</v>
      </c>
      <c r="BB16" s="85">
        <f t="shared" si="24"/>
        <v>890400</v>
      </c>
      <c r="BC16" s="85"/>
      <c r="BD16" s="85"/>
      <c r="BE16" s="85">
        <f t="shared" si="25"/>
        <v>84800</v>
      </c>
      <c r="BF16" s="85">
        <f t="shared" si="26"/>
        <v>720000</v>
      </c>
      <c r="BG16" s="85">
        <f t="shared" si="27"/>
        <v>48038461.538461544</v>
      </c>
      <c r="BH16" s="85"/>
      <c r="BI16" s="85">
        <v>4400000</v>
      </c>
      <c r="BJ16" s="85">
        <f t="shared" si="28"/>
        <v>11000000</v>
      </c>
      <c r="BK16" s="85">
        <f t="shared" si="29"/>
        <v>36148061.538461544</v>
      </c>
      <c r="BL16" s="84">
        <f t="shared" si="30"/>
        <v>5787015</v>
      </c>
      <c r="BM16" s="85"/>
      <c r="BN16" s="85"/>
      <c r="BO16" s="85">
        <v>0</v>
      </c>
      <c r="BP16" s="85"/>
      <c r="BQ16" s="85"/>
      <c r="BR16" s="85"/>
      <c r="BS16" s="85"/>
      <c r="BT16" s="85">
        <f>SUMIFS('Bảng lương tạm ứng kỳ 1'!BT:BT,'Bảng lương CB-NV'!B:B,'Bảng lương tạm ứng kỳ 1'!B14)</f>
        <v>0</v>
      </c>
      <c r="BU16" s="105">
        <f t="shared" si="31"/>
        <v>41996246.538461544</v>
      </c>
      <c r="BV16" s="118"/>
      <c r="BW16" s="108">
        <v>40000000</v>
      </c>
      <c r="BX16" s="84">
        <v>5000000</v>
      </c>
      <c r="BY16" s="84">
        <v>5000000</v>
      </c>
      <c r="BZ16" s="84">
        <v>200000</v>
      </c>
      <c r="CA16" s="84">
        <f t="shared" ref="CA16:CA21" si="35">+BW16*5%</f>
        <v>2000000</v>
      </c>
      <c r="CB16" s="84">
        <f t="shared" si="32"/>
        <v>52200000</v>
      </c>
      <c r="CC16" s="84"/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7"/>
        <v>0</v>
      </c>
      <c r="I17" s="91">
        <f t="shared" si="8"/>
        <v>34180000</v>
      </c>
      <c r="J17" s="92">
        <v>1</v>
      </c>
      <c r="K17" s="93">
        <v>24</v>
      </c>
      <c r="L17" s="93">
        <v>0</v>
      </c>
      <c r="M17" s="93">
        <v>0</v>
      </c>
      <c r="N17" s="93">
        <v>0</v>
      </c>
      <c r="O17" s="93">
        <v>0</v>
      </c>
      <c r="P17" s="93">
        <v>0</v>
      </c>
      <c r="Q17" s="93">
        <v>0</v>
      </c>
      <c r="R17" s="93">
        <v>0</v>
      </c>
      <c r="S17" s="93">
        <v>0</v>
      </c>
      <c r="T17" s="126"/>
      <c r="U17" s="93">
        <v>2</v>
      </c>
      <c r="V17" s="93">
        <v>0</v>
      </c>
      <c r="W17" s="93">
        <v>0</v>
      </c>
      <c r="X17" s="93">
        <v>0</v>
      </c>
      <c r="Y17" s="91">
        <f t="shared" si="9"/>
        <v>7218461.538461538</v>
      </c>
      <c r="Z17" s="91">
        <f t="shared" si="10"/>
        <v>0</v>
      </c>
      <c r="AA17" s="91">
        <f t="shared" si="11"/>
        <v>0</v>
      </c>
      <c r="AB17" s="91">
        <f t="shared" si="12"/>
        <v>0</v>
      </c>
      <c r="AC17" s="91">
        <f t="shared" si="13"/>
        <v>0</v>
      </c>
      <c r="AD17" s="91">
        <f t="shared" si="14"/>
        <v>0</v>
      </c>
      <c r="AE17" s="91">
        <f t="shared" si="15"/>
        <v>0</v>
      </c>
      <c r="AF17" s="91">
        <f>IF(F17="LN",(G17+H17)/26*S17*30%,0)</f>
        <v>0</v>
      </c>
      <c r="AG17" s="91">
        <f t="shared" si="16"/>
        <v>0</v>
      </c>
      <c r="AH17" s="91">
        <f t="shared" si="17"/>
        <v>3246153.846153846</v>
      </c>
      <c r="AI17" s="91">
        <f t="shared" si="18"/>
        <v>0</v>
      </c>
      <c r="AJ17" s="91"/>
      <c r="AK17" s="91">
        <f t="shared" si="19"/>
        <v>0</v>
      </c>
      <c r="AL17" s="91"/>
      <c r="AM17" s="91">
        <f t="shared" si="20"/>
        <v>0</v>
      </c>
      <c r="AN17" s="91">
        <f t="shared" si="33"/>
        <v>0</v>
      </c>
      <c r="AO17" s="91">
        <f t="shared" si="21"/>
        <v>34796923.07692308</v>
      </c>
      <c r="AP17" s="91"/>
      <c r="AQ17" s="91"/>
      <c r="AR17" s="91">
        <v>560000</v>
      </c>
      <c r="AS17" s="91"/>
      <c r="AT17" s="91"/>
      <c r="AU17" s="91"/>
      <c r="AV17" s="94">
        <f t="shared" si="22"/>
        <v>42575384.615384616</v>
      </c>
      <c r="AW17" s="94"/>
      <c r="AX17" s="94" t="str">
        <f t="shared" si="34"/>
        <v>x</v>
      </c>
      <c r="AY17" s="85">
        <f t="shared" si="23"/>
        <v>625600</v>
      </c>
      <c r="AZ17" s="85">
        <f t="shared" si="23"/>
        <v>117300</v>
      </c>
      <c r="BA17" s="85">
        <f t="shared" si="23"/>
        <v>78200</v>
      </c>
      <c r="BB17" s="85">
        <f t="shared" si="24"/>
        <v>821100</v>
      </c>
      <c r="BC17" s="85"/>
      <c r="BD17" s="85"/>
      <c r="BE17" s="85">
        <f t="shared" si="25"/>
        <v>78200</v>
      </c>
      <c r="BF17" s="85">
        <f t="shared" si="26"/>
        <v>560000</v>
      </c>
      <c r="BG17" s="85">
        <f t="shared" si="27"/>
        <v>42015384.615384616</v>
      </c>
      <c r="BH17" s="85"/>
      <c r="BI17" s="85">
        <v>4400000</v>
      </c>
      <c r="BJ17" s="85">
        <f t="shared" si="28"/>
        <v>11000000</v>
      </c>
      <c r="BK17" s="85">
        <f t="shared" si="29"/>
        <v>30194284.615384616</v>
      </c>
      <c r="BL17" s="84">
        <f t="shared" si="30"/>
        <v>4388857</v>
      </c>
      <c r="BM17" s="85"/>
      <c r="BN17" s="85"/>
      <c r="BO17" s="85">
        <v>0</v>
      </c>
      <c r="BP17" s="85"/>
      <c r="BQ17" s="85"/>
      <c r="BR17" s="85"/>
      <c r="BS17" s="85"/>
      <c r="BT17" s="85">
        <f>SUMIFS('Bảng lương tạm ứng kỳ 1'!BT:BT,'Bảng lương CB-NV'!B:B,'Bảng lương tạm ứng kỳ 1'!B15)</f>
        <v>25846153.846153852</v>
      </c>
      <c r="BU17" s="105">
        <f t="shared" si="31"/>
        <v>11441073.769230764</v>
      </c>
      <c r="BV17" s="118"/>
      <c r="BW17" s="108">
        <v>40000000</v>
      </c>
      <c r="BX17" s="84">
        <v>0</v>
      </c>
      <c r="BY17" s="84">
        <v>0</v>
      </c>
      <c r="BZ17" s="84">
        <v>200000</v>
      </c>
      <c r="CA17" s="84">
        <f t="shared" si="35"/>
        <v>2000000</v>
      </c>
      <c r="CB17" s="84">
        <f t="shared" si="32"/>
        <v>42200000</v>
      </c>
      <c r="CC17" s="84"/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7"/>
        <v>0</v>
      </c>
      <c r="I18" s="91">
        <f t="shared" si="8"/>
        <v>19160000</v>
      </c>
      <c r="J18" s="92">
        <v>1</v>
      </c>
      <c r="K18" s="93">
        <v>23</v>
      </c>
      <c r="L18" s="93">
        <v>3</v>
      </c>
      <c r="M18" s="93">
        <v>0</v>
      </c>
      <c r="N18" s="93">
        <v>0</v>
      </c>
      <c r="O18" s="93">
        <v>0</v>
      </c>
      <c r="P18" s="93">
        <v>0</v>
      </c>
      <c r="Q18" s="93">
        <v>0</v>
      </c>
      <c r="R18" s="93">
        <v>0</v>
      </c>
      <c r="S18" s="93">
        <v>0</v>
      </c>
      <c r="T18" s="126"/>
      <c r="U18" s="93">
        <v>0</v>
      </c>
      <c r="V18" s="93">
        <v>0</v>
      </c>
      <c r="W18" s="93">
        <v>0</v>
      </c>
      <c r="X18" s="93">
        <v>0</v>
      </c>
      <c r="Y18" s="91">
        <f t="shared" si="9"/>
        <v>6990000</v>
      </c>
      <c r="Z18" s="91">
        <f t="shared" si="10"/>
        <v>0</v>
      </c>
      <c r="AA18" s="91">
        <f t="shared" si="11"/>
        <v>0</v>
      </c>
      <c r="AB18" s="91">
        <f t="shared" si="12"/>
        <v>0</v>
      </c>
      <c r="AC18" s="91">
        <f t="shared" si="13"/>
        <v>0</v>
      </c>
      <c r="AD18" s="91">
        <f t="shared" si="14"/>
        <v>0</v>
      </c>
      <c r="AE18" s="91">
        <f t="shared" si="15"/>
        <v>0</v>
      </c>
      <c r="AF18" s="91">
        <f>ROUND((G18+H18)/26*S18*30%,0)</f>
        <v>0</v>
      </c>
      <c r="AG18" s="91">
        <f t="shared" si="16"/>
        <v>0</v>
      </c>
      <c r="AH18" s="91">
        <f t="shared" si="17"/>
        <v>0</v>
      </c>
      <c r="AI18" s="91">
        <f t="shared" si="18"/>
        <v>0</v>
      </c>
      <c r="AJ18" s="91"/>
      <c r="AK18" s="91">
        <f t="shared" si="19"/>
        <v>23076.923076923078</v>
      </c>
      <c r="AL18" s="91"/>
      <c r="AM18" s="91">
        <f t="shared" si="20"/>
        <v>0</v>
      </c>
      <c r="AN18" s="91">
        <f t="shared" si="33"/>
        <v>0</v>
      </c>
      <c r="AO18" s="91">
        <f t="shared" si="21"/>
        <v>19160000</v>
      </c>
      <c r="AP18" s="91"/>
      <c r="AQ18" s="91"/>
      <c r="AR18" s="91">
        <v>720000</v>
      </c>
      <c r="AS18" s="91"/>
      <c r="AT18" s="91"/>
      <c r="AU18" s="91"/>
      <c r="AV18" s="94">
        <f t="shared" si="22"/>
        <v>26893076.923076924</v>
      </c>
      <c r="AW18" s="94"/>
      <c r="AX18" s="94" t="str">
        <f t="shared" si="34"/>
        <v>x</v>
      </c>
      <c r="AY18" s="85">
        <f t="shared" si="23"/>
        <v>559200</v>
      </c>
      <c r="AZ18" s="85">
        <f t="shared" si="23"/>
        <v>104850</v>
      </c>
      <c r="BA18" s="85">
        <f t="shared" si="23"/>
        <v>69900</v>
      </c>
      <c r="BB18" s="85">
        <f t="shared" si="24"/>
        <v>733950</v>
      </c>
      <c r="BC18" s="85"/>
      <c r="BD18" s="85"/>
      <c r="BE18" s="85">
        <f t="shared" si="25"/>
        <v>69900</v>
      </c>
      <c r="BF18" s="85">
        <f t="shared" si="26"/>
        <v>720000</v>
      </c>
      <c r="BG18" s="85">
        <f t="shared" si="27"/>
        <v>26173076.923076924</v>
      </c>
      <c r="BH18" s="85"/>
      <c r="BI18" s="85">
        <v>4400000</v>
      </c>
      <c r="BJ18" s="85">
        <f t="shared" si="28"/>
        <v>11000000</v>
      </c>
      <c r="BK18" s="85">
        <f t="shared" si="29"/>
        <v>14439126.923076924</v>
      </c>
      <c r="BL18" s="84">
        <f t="shared" si="30"/>
        <v>1415869</v>
      </c>
      <c r="BM18" s="85"/>
      <c r="BN18" s="85"/>
      <c r="BO18" s="85">
        <v>0</v>
      </c>
      <c r="BP18" s="85"/>
      <c r="BQ18" s="85"/>
      <c r="BR18" s="85"/>
      <c r="BS18" s="85"/>
      <c r="BT18" s="85">
        <f>SUMIFS('Bảng lương tạm ứng kỳ 1'!BT:BT,'Bảng lương CB-NV'!B:B,'Bảng lương tạm ứng kỳ 1'!B20)</f>
        <v>10195307.692307694</v>
      </c>
      <c r="BU18" s="105">
        <f t="shared" si="31"/>
        <v>14478050.23076923</v>
      </c>
      <c r="BV18" s="118"/>
      <c r="BW18" s="108">
        <v>23000000</v>
      </c>
      <c r="BX18" s="84">
        <v>0</v>
      </c>
      <c r="BY18" s="84">
        <v>2000000</v>
      </c>
      <c r="BZ18" s="84">
        <v>200000</v>
      </c>
      <c r="CA18" s="84">
        <f t="shared" si="35"/>
        <v>1150000</v>
      </c>
      <c r="CB18" s="84">
        <f t="shared" si="32"/>
        <v>26350000</v>
      </c>
      <c r="CC18" s="84"/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7"/>
        <v>0</v>
      </c>
      <c r="I19" s="91">
        <f t="shared" si="8"/>
        <v>6700000</v>
      </c>
      <c r="J19" s="92">
        <v>1</v>
      </c>
      <c r="K19" s="93">
        <v>22</v>
      </c>
      <c r="L19" s="93">
        <v>0</v>
      </c>
      <c r="M19" s="93">
        <v>2</v>
      </c>
      <c r="N19" s="93">
        <v>2</v>
      </c>
      <c r="O19" s="93">
        <v>0</v>
      </c>
      <c r="P19" s="93">
        <v>0</v>
      </c>
      <c r="Q19" s="93">
        <v>0</v>
      </c>
      <c r="R19" s="93">
        <v>0</v>
      </c>
      <c r="S19" s="93">
        <v>2</v>
      </c>
      <c r="T19" s="126"/>
      <c r="U19" s="93">
        <v>0</v>
      </c>
      <c r="V19" s="93">
        <v>0</v>
      </c>
      <c r="W19" s="93">
        <v>0</v>
      </c>
      <c r="X19" s="93">
        <v>0</v>
      </c>
      <c r="Y19" s="91">
        <f t="shared" si="9"/>
        <v>4103846.153846154</v>
      </c>
      <c r="Z19" s="91">
        <f t="shared" si="10"/>
        <v>373076.92307692306</v>
      </c>
      <c r="AA19" s="91">
        <f t="shared" si="11"/>
        <v>373076.92307692306</v>
      </c>
      <c r="AB19" s="91">
        <f t="shared" si="12"/>
        <v>0</v>
      </c>
      <c r="AC19" s="91">
        <f t="shared" si="13"/>
        <v>0</v>
      </c>
      <c r="AD19" s="91">
        <f t="shared" si="14"/>
        <v>0</v>
      </c>
      <c r="AE19" s="91">
        <f t="shared" si="15"/>
        <v>0</v>
      </c>
      <c r="AF19" s="91">
        <f>IF(F19="LN",(G19+H19)/26*S19*30%,0)</f>
        <v>111923.07692307692</v>
      </c>
      <c r="AG19" s="91">
        <f t="shared" si="16"/>
        <v>0</v>
      </c>
      <c r="AH19" s="91">
        <f t="shared" si="17"/>
        <v>0</v>
      </c>
      <c r="AI19" s="91">
        <f t="shared" si="18"/>
        <v>0</v>
      </c>
      <c r="AJ19" s="91"/>
      <c r="AK19" s="91">
        <f t="shared" si="19"/>
        <v>0</v>
      </c>
      <c r="AL19" s="91"/>
      <c r="AM19" s="91">
        <f t="shared" si="20"/>
        <v>0</v>
      </c>
      <c r="AN19" s="91">
        <f t="shared" si="33"/>
        <v>0</v>
      </c>
      <c r="AO19" s="91">
        <f t="shared" si="21"/>
        <v>6661153.846153846</v>
      </c>
      <c r="AP19" s="91"/>
      <c r="AQ19" s="91"/>
      <c r="AR19" s="91">
        <v>560000</v>
      </c>
      <c r="AS19" s="91"/>
      <c r="AT19" s="91"/>
      <c r="AU19" s="91"/>
      <c r="AV19" s="94">
        <f t="shared" si="22"/>
        <v>12183076.923076924</v>
      </c>
      <c r="AW19" s="94"/>
      <c r="AX19" s="94" t="str">
        <f t="shared" si="34"/>
        <v>x</v>
      </c>
      <c r="AY19" s="85">
        <f t="shared" si="23"/>
        <v>388000</v>
      </c>
      <c r="AZ19" s="85">
        <f t="shared" si="23"/>
        <v>72750</v>
      </c>
      <c r="BA19" s="85">
        <f t="shared" si="23"/>
        <v>48500</v>
      </c>
      <c r="BB19" s="85">
        <f t="shared" si="24"/>
        <v>509250</v>
      </c>
      <c r="BC19" s="85"/>
      <c r="BD19" s="85"/>
      <c r="BE19" s="85">
        <f t="shared" si="25"/>
        <v>48500</v>
      </c>
      <c r="BF19" s="85">
        <f t="shared" si="26"/>
        <v>560000</v>
      </c>
      <c r="BG19" s="85">
        <f t="shared" si="27"/>
        <v>11623076.923076924</v>
      </c>
      <c r="BH19" s="85"/>
      <c r="BI19" s="85">
        <v>4400000</v>
      </c>
      <c r="BJ19" s="85">
        <f t="shared" si="28"/>
        <v>11000000</v>
      </c>
      <c r="BK19" s="85">
        <f t="shared" si="29"/>
        <v>113826.92307692394</v>
      </c>
      <c r="BL19" s="84">
        <f t="shared" si="30"/>
        <v>5691</v>
      </c>
      <c r="BM19" s="85"/>
      <c r="BN19" s="85"/>
      <c r="BO19" s="85">
        <v>0</v>
      </c>
      <c r="BP19" s="85"/>
      <c r="BQ19" s="85"/>
      <c r="BR19" s="85"/>
      <c r="BS19" s="85"/>
      <c r="BT19" s="85">
        <f>SUMIFS('Bảng lương tạm ứng kỳ 1'!BT:BT,'Bảng lương CB-NV'!B:B,'Bảng lương tạm ứng kỳ 1'!B21)</f>
        <v>9977846.153846154</v>
      </c>
      <c r="BU19" s="105">
        <f t="shared" si="31"/>
        <v>1641789.7692307699</v>
      </c>
      <c r="BV19" s="118"/>
      <c r="BW19" s="108">
        <v>11000000</v>
      </c>
      <c r="BX19" s="84">
        <v>0</v>
      </c>
      <c r="BY19" s="84">
        <v>0</v>
      </c>
      <c r="BZ19" s="84">
        <v>200000</v>
      </c>
      <c r="CA19" s="84">
        <f t="shared" si="35"/>
        <v>550000</v>
      </c>
      <c r="CB19" s="84">
        <f t="shared" si="32"/>
        <v>11750000</v>
      </c>
      <c r="CC19" s="84"/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113</v>
      </c>
      <c r="F20" s="124" t="s">
        <v>100</v>
      </c>
      <c r="G20" s="91">
        <v>6340000</v>
      </c>
      <c r="H20" s="91">
        <f t="shared" si="7"/>
        <v>0</v>
      </c>
      <c r="I20" s="91">
        <f t="shared" si="8"/>
        <v>17810000</v>
      </c>
      <c r="J20" s="92">
        <v>1</v>
      </c>
      <c r="K20" s="93">
        <v>26</v>
      </c>
      <c r="L20" s="93">
        <v>0</v>
      </c>
      <c r="M20" s="93">
        <v>0</v>
      </c>
      <c r="N20" s="93">
        <v>0</v>
      </c>
      <c r="O20" s="93">
        <v>0</v>
      </c>
      <c r="P20" s="93">
        <v>0</v>
      </c>
      <c r="Q20" s="93">
        <v>0</v>
      </c>
      <c r="R20" s="93">
        <v>0</v>
      </c>
      <c r="S20" s="93">
        <v>0</v>
      </c>
      <c r="T20" s="126"/>
      <c r="U20" s="93">
        <v>0</v>
      </c>
      <c r="V20" s="93">
        <v>0</v>
      </c>
      <c r="W20" s="93">
        <v>0</v>
      </c>
      <c r="X20" s="93">
        <v>0</v>
      </c>
      <c r="Y20" s="91">
        <f t="shared" si="9"/>
        <v>6340000</v>
      </c>
      <c r="Z20" s="91">
        <f t="shared" si="10"/>
        <v>0</v>
      </c>
      <c r="AA20" s="91">
        <f t="shared" si="11"/>
        <v>0</v>
      </c>
      <c r="AB20" s="91">
        <f t="shared" si="12"/>
        <v>0</v>
      </c>
      <c r="AC20" s="91">
        <f t="shared" si="13"/>
        <v>0</v>
      </c>
      <c r="AD20" s="91">
        <f t="shared" si="14"/>
        <v>0</v>
      </c>
      <c r="AE20" s="91">
        <f t="shared" si="15"/>
        <v>0</v>
      </c>
      <c r="AF20" s="91">
        <f>ROUND((G20+H20)/26*S20*30%,0)</f>
        <v>0</v>
      </c>
      <c r="AG20" s="91">
        <f t="shared" si="16"/>
        <v>0</v>
      </c>
      <c r="AH20" s="91">
        <f t="shared" si="17"/>
        <v>0</v>
      </c>
      <c r="AI20" s="91">
        <f t="shared" si="18"/>
        <v>0</v>
      </c>
      <c r="AJ20" s="91"/>
      <c r="AK20" s="91">
        <f t="shared" si="19"/>
        <v>0</v>
      </c>
      <c r="AL20" s="91"/>
      <c r="AM20" s="91">
        <f t="shared" si="20"/>
        <v>0</v>
      </c>
      <c r="AN20" s="91">
        <f t="shared" si="33"/>
        <v>0</v>
      </c>
      <c r="AO20" s="91">
        <f t="shared" si="21"/>
        <v>17810000</v>
      </c>
      <c r="AP20" s="91"/>
      <c r="AQ20" s="91"/>
      <c r="AR20" s="91">
        <v>720000</v>
      </c>
      <c r="AS20" s="91"/>
      <c r="AT20" s="91"/>
      <c r="AU20" s="91"/>
      <c r="AV20" s="94">
        <f t="shared" si="22"/>
        <v>24870000</v>
      </c>
      <c r="AW20" s="94"/>
      <c r="AX20" s="94">
        <f t="shared" si="34"/>
        <v>0</v>
      </c>
      <c r="AY20" s="85">
        <f t="shared" si="23"/>
        <v>0</v>
      </c>
      <c r="AZ20" s="85">
        <f t="shared" si="23"/>
        <v>0</v>
      </c>
      <c r="BA20" s="85">
        <f t="shared" si="23"/>
        <v>0</v>
      </c>
      <c r="BB20" s="85">
        <f t="shared" si="24"/>
        <v>0</v>
      </c>
      <c r="BC20" s="85"/>
      <c r="BD20" s="85"/>
      <c r="BE20" s="85">
        <f t="shared" si="25"/>
        <v>63400</v>
      </c>
      <c r="BF20" s="85">
        <f t="shared" si="26"/>
        <v>0</v>
      </c>
      <c r="BG20" s="85">
        <f t="shared" si="27"/>
        <v>24870000</v>
      </c>
      <c r="BH20" s="85"/>
      <c r="BI20" s="85">
        <v>4400000</v>
      </c>
      <c r="BJ20" s="85">
        <f t="shared" si="28"/>
        <v>0</v>
      </c>
      <c r="BK20" s="85">
        <f t="shared" si="29"/>
        <v>24870000</v>
      </c>
      <c r="BL20" s="84">
        <f t="shared" si="30"/>
        <v>2487000</v>
      </c>
      <c r="BM20" s="85"/>
      <c r="BN20" s="85"/>
      <c r="BO20" s="85">
        <v>0</v>
      </c>
      <c r="BP20" s="85"/>
      <c r="BQ20" s="85"/>
      <c r="BR20" s="85"/>
      <c r="BS20" s="85"/>
      <c r="BT20" s="85">
        <f>SUMIFS('Bảng lương tạm ứng kỳ 1'!BT:BT,'Bảng lương CB-NV'!B:B,'Bảng lương tạm ứng kỳ 1'!B20)</f>
        <v>10195307.692307694</v>
      </c>
      <c r="BU20" s="105">
        <f t="shared" si="31"/>
        <v>12124292.307692306</v>
      </c>
      <c r="BV20" s="118"/>
      <c r="BW20" s="108">
        <v>23000000</v>
      </c>
      <c r="BX20" s="84">
        <v>0</v>
      </c>
      <c r="BY20" s="84">
        <v>0</v>
      </c>
      <c r="BZ20" s="84">
        <v>200000</v>
      </c>
      <c r="CA20" s="84">
        <f t="shared" si="35"/>
        <v>1150000</v>
      </c>
      <c r="CB20" s="84">
        <f t="shared" si="32"/>
        <v>24350000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7"/>
        <v>300000</v>
      </c>
      <c r="I21" s="91">
        <f t="shared" si="8"/>
        <v>11210000</v>
      </c>
      <c r="J21" s="92">
        <v>1</v>
      </c>
      <c r="K21" s="93">
        <v>26</v>
      </c>
      <c r="L21" s="93">
        <v>0</v>
      </c>
      <c r="M21" s="93">
        <v>0</v>
      </c>
      <c r="N21" s="93">
        <v>0</v>
      </c>
      <c r="O21" s="93">
        <v>0</v>
      </c>
      <c r="P21" s="93">
        <v>5</v>
      </c>
      <c r="Q21" s="93">
        <v>2</v>
      </c>
      <c r="R21" s="93">
        <v>0</v>
      </c>
      <c r="S21" s="93">
        <v>0</v>
      </c>
      <c r="T21" s="126"/>
      <c r="U21" s="93">
        <v>0</v>
      </c>
      <c r="V21" s="93">
        <v>0</v>
      </c>
      <c r="W21" s="93">
        <v>0</v>
      </c>
      <c r="X21" s="93">
        <v>0</v>
      </c>
      <c r="Y21" s="91">
        <f t="shared" si="9"/>
        <v>6340000</v>
      </c>
      <c r="Z21" s="91">
        <f t="shared" si="10"/>
        <v>0</v>
      </c>
      <c r="AA21" s="91">
        <f t="shared" si="11"/>
        <v>0</v>
      </c>
      <c r="AB21" s="91">
        <f t="shared" si="12"/>
        <v>0</v>
      </c>
      <c r="AC21" s="91">
        <f t="shared" si="13"/>
        <v>1828846.1538461538</v>
      </c>
      <c r="AD21" s="91">
        <f t="shared" si="14"/>
        <v>975384.61538461538</v>
      </c>
      <c r="AE21" s="91">
        <f t="shared" si="15"/>
        <v>0</v>
      </c>
      <c r="AF21" s="91">
        <f>IF(F21="LN",(G21+H21)/26*S21*30%,0)</f>
        <v>0</v>
      </c>
      <c r="AG21" s="91">
        <f t="shared" si="16"/>
        <v>0</v>
      </c>
      <c r="AH21" s="91">
        <f t="shared" si="17"/>
        <v>0</v>
      </c>
      <c r="AI21" s="91">
        <f t="shared" si="18"/>
        <v>0</v>
      </c>
      <c r="AJ21" s="91"/>
      <c r="AK21" s="91">
        <f t="shared" si="19"/>
        <v>0</v>
      </c>
      <c r="AL21" s="91"/>
      <c r="AM21" s="91">
        <f t="shared" si="20"/>
        <v>0</v>
      </c>
      <c r="AN21" s="91">
        <f t="shared" si="33"/>
        <v>300000</v>
      </c>
      <c r="AO21" s="91">
        <f t="shared" si="21"/>
        <v>12982692.307692306</v>
      </c>
      <c r="AP21" s="91"/>
      <c r="AQ21" s="91"/>
      <c r="AR21" s="91">
        <v>560000</v>
      </c>
      <c r="AS21" s="91"/>
      <c r="AT21" s="91"/>
      <c r="AU21" s="91"/>
      <c r="AV21" s="94">
        <f t="shared" si="22"/>
        <v>22986923.076923076</v>
      </c>
      <c r="AW21" s="94"/>
      <c r="AX21" s="94" t="str">
        <f t="shared" si="34"/>
        <v>x</v>
      </c>
      <c r="AY21" s="85">
        <f t="shared" si="23"/>
        <v>531200</v>
      </c>
      <c r="AZ21" s="85">
        <f t="shared" si="23"/>
        <v>99600</v>
      </c>
      <c r="BA21" s="85">
        <f t="shared" si="23"/>
        <v>66400</v>
      </c>
      <c r="BB21" s="85">
        <f t="shared" si="24"/>
        <v>697200</v>
      </c>
      <c r="BC21" s="85"/>
      <c r="BD21" s="85"/>
      <c r="BE21" s="85">
        <f t="shared" si="25"/>
        <v>63400</v>
      </c>
      <c r="BF21" s="85">
        <f t="shared" si="26"/>
        <v>560000</v>
      </c>
      <c r="BG21" s="85">
        <f t="shared" si="27"/>
        <v>22426923.076923076</v>
      </c>
      <c r="BH21" s="85"/>
      <c r="BI21" s="85">
        <v>4400000</v>
      </c>
      <c r="BJ21" s="85">
        <f t="shared" si="28"/>
        <v>11000000</v>
      </c>
      <c r="BK21" s="85">
        <f t="shared" si="29"/>
        <v>10729723.076923076</v>
      </c>
      <c r="BL21" s="84">
        <f t="shared" si="30"/>
        <v>859458</v>
      </c>
      <c r="BM21" s="85"/>
      <c r="BN21" s="85"/>
      <c r="BO21" s="85">
        <v>0</v>
      </c>
      <c r="BP21" s="85"/>
      <c r="BQ21" s="85"/>
      <c r="BR21" s="85"/>
      <c r="BS21" s="85"/>
      <c r="BT21" s="85">
        <f>SUMIFS('Bảng lương tạm ứng kỳ 1'!BT:BT,'Bảng lương CB-NV'!B:B,'Bảng lương tạm ứng kỳ 1'!B21)</f>
        <v>9977846.153846154</v>
      </c>
      <c r="BU21" s="105">
        <f t="shared" si="31"/>
        <v>11389018.923076922</v>
      </c>
      <c r="BV21" s="118"/>
      <c r="BW21" s="108">
        <v>17000000</v>
      </c>
      <c r="BX21" s="84">
        <v>0</v>
      </c>
      <c r="BY21" s="84">
        <v>0</v>
      </c>
      <c r="BZ21" s="84">
        <v>200000</v>
      </c>
      <c r="CA21" s="84">
        <f t="shared" si="35"/>
        <v>850000</v>
      </c>
      <c r="CB21" s="84">
        <f t="shared" si="32"/>
        <v>18050000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L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B22" s="128"/>
      <c r="CC22" s="129"/>
      <c r="CD22" s="129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L23" s="50"/>
      <c r="BN23" s="50"/>
      <c r="BO23" s="50"/>
      <c r="BP23" s="50" t="s">
        <v>119</v>
      </c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N24" s="50"/>
      <c r="BO24" s="56"/>
      <c r="BV24" s="121"/>
      <c r="BW24" s="58"/>
      <c r="BX24" s="58"/>
      <c r="BY24" s="58"/>
      <c r="BZ24" s="58"/>
      <c r="CA24" s="58"/>
      <c r="CF24" s="57"/>
    </row>
    <row r="27" spans="1:87" ht="17">
      <c r="B27" s="299" t="s">
        <v>150</v>
      </c>
    </row>
  </sheetData>
  <autoFilter ref="A12:CI21" xr:uid="{00000000-0009-0000-0000-000000000000}"/>
  <mergeCells count="82">
    <mergeCell ref="CD8:CD11"/>
    <mergeCell ref="Y9:Y11"/>
    <mergeCell ref="AA9:AA11"/>
    <mergeCell ref="AK9:AK11"/>
    <mergeCell ref="AM9:AM11"/>
    <mergeCell ref="AX8:AX11"/>
    <mergeCell ref="BR8:BS8"/>
    <mergeCell ref="E8:E11"/>
    <mergeCell ref="G8:G11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T8:BT11"/>
    <mergeCell ref="P9:P11"/>
    <mergeCell ref="F8:F11"/>
    <mergeCell ref="CB8:CB11"/>
    <mergeCell ref="AJ9:AJ11"/>
    <mergeCell ref="AL9:AL11"/>
    <mergeCell ref="AY9:BL9"/>
    <mergeCell ref="AN9:AN11"/>
    <mergeCell ref="BM9:BQ9"/>
    <mergeCell ref="I8:I11"/>
    <mergeCell ref="BK10:BK11"/>
    <mergeCell ref="K8:X8"/>
    <mergeCell ref="AY8:BQ8"/>
    <mergeCell ref="BC10:BC11"/>
    <mergeCell ref="BE10:BE11"/>
    <mergeCell ref="T9:T11"/>
    <mergeCell ref="BQ10:BQ11"/>
    <mergeCell ref="AB9:AB11"/>
    <mergeCell ref="A8:A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AR8:AR11"/>
    <mergeCell ref="AT8:AT11"/>
    <mergeCell ref="Y8:AO8"/>
    <mergeCell ref="BJ10:BJ11"/>
    <mergeCell ref="L9:L11"/>
    <mergeCell ref="N9:N11"/>
    <mergeCell ref="BG10:BG11"/>
    <mergeCell ref="BI10:BI11"/>
    <mergeCell ref="X9:X11"/>
    <mergeCell ref="Z9:Z11"/>
    <mergeCell ref="AD9:AD11"/>
    <mergeCell ref="AS8:AS11"/>
    <mergeCell ref="AV8:AV11"/>
    <mergeCell ref="AF9:AF11"/>
    <mergeCell ref="AH9:AH11"/>
  </mergeCells>
  <conditionalFormatting sqref="B1:B12 B15:B26 C12:BU12 B28:B1048576">
    <cfRule type="duplicateValues" dxfId="23" priority="36"/>
    <cfRule type="duplicateValues" dxfId="22" priority="74"/>
  </conditionalFormatting>
  <conditionalFormatting sqref="B1:B12 B15:B26 C12:CD12 D13:F13 J13:BK13 BM13:CD13 B28:B1048576">
    <cfRule type="duplicateValues" dxfId="21" priority="79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S26" sqref="BS26"/>
    </sheetView>
  </sheetViews>
  <sheetFormatPr baseColWidth="10" defaultColWidth="20.6640625" defaultRowHeight="15" outlineLevelRow="1" outlineLevelCol="1"/>
  <cols>
    <col min="1" max="1" width="20.6640625" style="178" customWidth="1"/>
    <col min="2" max="2" width="20.6640625" style="179" customWidth="1"/>
    <col min="3" max="3" width="20.6640625" style="180" customWidth="1"/>
    <col min="4" max="5" width="20.6640625" style="181" customWidth="1" outlineLevel="1"/>
    <col min="6" max="6" width="20.6640625" style="182" customWidth="1" outlineLevel="1"/>
    <col min="7" max="8" width="20.6640625" style="183" customWidth="1"/>
    <col min="9" max="9" width="20.6640625" style="184" customWidth="1"/>
    <col min="10" max="10" width="20.6640625" style="184" customWidth="1" outlineLevel="1"/>
    <col min="11" max="24" width="20.6640625" style="185" customWidth="1"/>
    <col min="25" max="50" width="20.6640625" style="186" customWidth="1"/>
    <col min="51" max="53" width="20.6640625" style="186" customWidth="1" outlineLevel="1"/>
    <col min="54" max="73" width="20.6640625" style="186" customWidth="1"/>
    <col min="75" max="79" width="20.6640625" style="183" customWidth="1" outlineLevel="1"/>
    <col min="80" max="82" width="20.6640625" style="187" customWidth="1" outlineLevel="1"/>
    <col min="83" max="83" width="20.6640625" style="188" customWidth="1"/>
    <col min="84" max="16384" width="20.6640625" style="188"/>
  </cols>
  <sheetData>
    <row r="1" spans="1:87" s="132" customFormat="1" ht="11" outlineLevel="1">
      <c r="A1" s="130" t="s">
        <v>0</v>
      </c>
      <c r="B1" s="131"/>
      <c r="C1" s="130"/>
      <c r="D1" s="8"/>
      <c r="E1" s="8"/>
      <c r="F1" s="8"/>
      <c r="I1" s="133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5"/>
      <c r="CC1" s="135"/>
      <c r="CD1" s="135"/>
    </row>
    <row r="2" spans="1:87" s="132" customFormat="1" ht="11" outlineLevel="1">
      <c r="A2" s="136" t="s">
        <v>1</v>
      </c>
      <c r="B2" s="131"/>
      <c r="C2" s="137"/>
      <c r="D2" s="8"/>
      <c r="E2" s="8"/>
      <c r="F2" s="8"/>
      <c r="I2" s="133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7"/>
      <c r="CC2" s="137"/>
      <c r="CD2" s="137"/>
    </row>
    <row r="3" spans="1:87" s="139" customFormat="1" ht="11" outlineLevel="1">
      <c r="A3" s="290"/>
      <c r="B3" s="291"/>
      <c r="C3" s="291"/>
      <c r="D3" s="291"/>
      <c r="E3" s="291"/>
      <c r="F3" s="291"/>
      <c r="G3" s="291"/>
      <c r="H3" s="291"/>
      <c r="I3" s="291"/>
      <c r="J3" s="291"/>
      <c r="K3" s="291"/>
      <c r="L3" s="291"/>
      <c r="M3" s="291"/>
      <c r="N3" s="291"/>
      <c r="O3" s="291"/>
      <c r="P3" s="291"/>
      <c r="Q3" s="291"/>
      <c r="R3" s="291"/>
      <c r="S3" s="291"/>
      <c r="T3" s="291"/>
      <c r="U3" s="291"/>
      <c r="V3" s="291"/>
      <c r="W3" s="291"/>
      <c r="X3" s="291"/>
      <c r="Y3" s="291"/>
      <c r="Z3" s="291"/>
      <c r="AA3" s="291"/>
      <c r="AB3" s="291"/>
      <c r="AC3" s="291"/>
      <c r="AD3" s="291"/>
      <c r="AE3" s="291"/>
      <c r="AF3" s="291"/>
      <c r="AG3" s="291"/>
      <c r="AH3" s="291"/>
      <c r="AI3" s="291"/>
      <c r="AJ3" s="291"/>
      <c r="AK3" s="291"/>
      <c r="AL3" s="291"/>
      <c r="AM3" s="291"/>
      <c r="AN3" s="291"/>
      <c r="AO3" s="291"/>
      <c r="AP3" s="291"/>
      <c r="AQ3" s="291"/>
      <c r="AR3" s="291"/>
      <c r="AS3" s="291"/>
      <c r="AT3" s="291"/>
      <c r="AU3" s="291"/>
      <c r="AV3" s="291"/>
      <c r="AW3" s="291"/>
      <c r="AX3" s="291"/>
      <c r="AY3" s="291"/>
      <c r="AZ3" s="291"/>
      <c r="BA3" s="291"/>
      <c r="BB3" s="291"/>
      <c r="BC3" s="291"/>
      <c r="BD3" s="291"/>
      <c r="BE3" s="291"/>
      <c r="BF3" s="291"/>
      <c r="BG3" s="291"/>
      <c r="BH3" s="291"/>
      <c r="BI3" s="291"/>
      <c r="BJ3" s="291"/>
      <c r="BK3" s="291"/>
      <c r="BL3" s="291"/>
      <c r="BM3" s="291"/>
      <c r="BN3" s="291"/>
      <c r="BO3" s="291"/>
      <c r="BP3" s="291"/>
      <c r="BQ3" s="291"/>
      <c r="BR3" s="291"/>
      <c r="BS3" s="291"/>
      <c r="BT3" s="291"/>
      <c r="BU3" s="291"/>
      <c r="BW3" s="293" t="s">
        <v>2</v>
      </c>
      <c r="BX3" s="291"/>
      <c r="BY3" s="291"/>
      <c r="BZ3" s="291"/>
      <c r="CA3" s="291"/>
      <c r="CB3" s="291"/>
      <c r="CC3" s="138"/>
      <c r="CD3" s="138"/>
      <c r="CE3" s="139" t="s">
        <v>3</v>
      </c>
      <c r="CF3" s="139">
        <v>26</v>
      </c>
    </row>
    <row r="4" spans="1:87" s="139" customFormat="1" ht="11" outlineLevel="1">
      <c r="A4" s="140"/>
      <c r="B4" s="140"/>
      <c r="C4" s="140"/>
      <c r="D4" s="140"/>
      <c r="E4" s="140"/>
      <c r="F4" s="140"/>
      <c r="G4" s="140"/>
      <c r="H4" s="140"/>
      <c r="I4" s="133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  <c r="AD4" s="140"/>
      <c r="AE4" s="140"/>
      <c r="AF4" s="140"/>
      <c r="AG4" s="140"/>
      <c r="AH4" s="140"/>
      <c r="AI4" s="140"/>
      <c r="AJ4" s="140"/>
      <c r="AK4" s="140"/>
      <c r="AL4" s="140"/>
      <c r="AM4" s="140"/>
      <c r="AN4" s="140"/>
      <c r="AO4" s="140"/>
      <c r="AP4" s="140"/>
      <c r="AQ4" s="140"/>
      <c r="AR4" s="140"/>
      <c r="AS4" s="140"/>
      <c r="AT4" s="140"/>
      <c r="AU4" s="140"/>
      <c r="AV4" s="140"/>
      <c r="AW4" s="140"/>
      <c r="AX4" s="140"/>
      <c r="AY4" s="140"/>
      <c r="AZ4" s="140"/>
      <c r="BA4" s="140"/>
      <c r="BB4" s="140"/>
      <c r="BC4" s="140"/>
      <c r="BD4" s="140"/>
      <c r="BE4" s="140"/>
      <c r="BF4" s="140"/>
      <c r="BG4" s="140"/>
      <c r="BH4" s="140"/>
      <c r="BI4" s="140"/>
      <c r="BJ4" s="140"/>
      <c r="BK4" s="140"/>
      <c r="BL4" s="140"/>
      <c r="BM4" s="140"/>
      <c r="BN4" s="140"/>
      <c r="BO4" s="140"/>
      <c r="BP4" s="140"/>
      <c r="BQ4" s="140"/>
      <c r="BR4" s="140"/>
      <c r="BS4" s="140"/>
      <c r="BT4" s="140"/>
      <c r="BU4" s="140"/>
      <c r="BW4" s="291"/>
      <c r="BX4" s="291"/>
      <c r="BY4" s="291"/>
      <c r="BZ4" s="291"/>
      <c r="CA4" s="291"/>
      <c r="CB4" s="291"/>
      <c r="CC4" s="138"/>
      <c r="CD4" s="138"/>
    </row>
    <row r="5" spans="1:87" s="141" customFormat="1">
      <c r="A5" s="251" t="s">
        <v>4</v>
      </c>
      <c r="B5" s="279" t="s">
        <v>5</v>
      </c>
      <c r="C5" s="261" t="s">
        <v>6</v>
      </c>
      <c r="D5" s="263" t="s">
        <v>7</v>
      </c>
      <c r="E5" s="263" t="s">
        <v>8</v>
      </c>
      <c r="F5" s="261" t="s">
        <v>9</v>
      </c>
      <c r="G5" s="261" t="s">
        <v>10</v>
      </c>
      <c r="H5" s="287" t="s">
        <v>11</v>
      </c>
      <c r="I5" s="287" t="s">
        <v>12</v>
      </c>
      <c r="J5" s="261" t="s">
        <v>13</v>
      </c>
      <c r="K5" s="288" t="s">
        <v>14</v>
      </c>
      <c r="L5" s="243"/>
      <c r="M5" s="243"/>
      <c r="N5" s="243"/>
      <c r="O5" s="243"/>
      <c r="P5" s="243"/>
      <c r="Q5" s="243"/>
      <c r="R5" s="243"/>
      <c r="S5" s="243"/>
      <c r="T5" s="243"/>
      <c r="U5" s="243"/>
      <c r="V5" s="243"/>
      <c r="W5" s="243"/>
      <c r="X5" s="243"/>
      <c r="Y5" s="261" t="s">
        <v>15</v>
      </c>
      <c r="Z5" s="243"/>
      <c r="AA5" s="243"/>
      <c r="AB5" s="243"/>
      <c r="AC5" s="243"/>
      <c r="AD5" s="243"/>
      <c r="AE5" s="243"/>
      <c r="AF5" s="243"/>
      <c r="AG5" s="243"/>
      <c r="AH5" s="243"/>
      <c r="AI5" s="243"/>
      <c r="AJ5" s="243"/>
      <c r="AK5" s="243"/>
      <c r="AL5" s="243"/>
      <c r="AM5" s="243"/>
      <c r="AN5" s="243"/>
      <c r="AO5" s="244"/>
      <c r="AP5" s="261" t="s">
        <v>16</v>
      </c>
      <c r="AQ5" s="261" t="s">
        <v>17</v>
      </c>
      <c r="AR5" s="261" t="s">
        <v>18</v>
      </c>
      <c r="AS5" s="261" t="s">
        <v>19</v>
      </c>
      <c r="AT5" s="261" t="s">
        <v>20</v>
      </c>
      <c r="AU5" s="261" t="s">
        <v>21</v>
      </c>
      <c r="AV5" s="261" t="s">
        <v>22</v>
      </c>
      <c r="AW5" s="261" t="s">
        <v>23</v>
      </c>
      <c r="AX5" s="261" t="s">
        <v>24</v>
      </c>
      <c r="AY5" s="268" t="s">
        <v>25</v>
      </c>
      <c r="AZ5" s="243"/>
      <c r="BA5" s="243"/>
      <c r="BB5" s="243"/>
      <c r="BC5" s="243"/>
      <c r="BD5" s="243"/>
      <c r="BE5" s="243"/>
      <c r="BF5" s="243"/>
      <c r="BG5" s="243"/>
      <c r="BH5" s="243"/>
      <c r="BI5" s="243"/>
      <c r="BJ5" s="243"/>
      <c r="BK5" s="243"/>
      <c r="BL5" s="243"/>
      <c r="BM5" s="243"/>
      <c r="BN5" s="243"/>
      <c r="BO5" s="243"/>
      <c r="BP5" s="243"/>
      <c r="BQ5" s="244"/>
      <c r="BR5" s="280" t="s">
        <v>26</v>
      </c>
      <c r="BS5" s="254"/>
      <c r="BT5" s="268" t="s">
        <v>27</v>
      </c>
      <c r="BU5" s="281" t="s">
        <v>28</v>
      </c>
      <c r="BW5" s="262" t="s">
        <v>29</v>
      </c>
      <c r="BX5" s="252" t="s">
        <v>30</v>
      </c>
      <c r="BY5" s="253"/>
      <c r="BZ5" s="253"/>
      <c r="CA5" s="254"/>
      <c r="CB5" s="266" t="s">
        <v>31</v>
      </c>
      <c r="CC5" s="276" t="s">
        <v>32</v>
      </c>
      <c r="CD5" s="276" t="s">
        <v>33</v>
      </c>
      <c r="CH5" s="142"/>
      <c r="CI5" s="143"/>
    </row>
    <row r="6" spans="1:87" s="141" customFormat="1">
      <c r="A6" s="248"/>
      <c r="B6" s="248"/>
      <c r="C6" s="248"/>
      <c r="D6" s="248"/>
      <c r="E6" s="248"/>
      <c r="F6" s="248"/>
      <c r="G6" s="248"/>
      <c r="H6" s="248"/>
      <c r="I6" s="248"/>
      <c r="J6" s="248"/>
      <c r="K6" s="286" t="s">
        <v>34</v>
      </c>
      <c r="L6" s="286" t="s">
        <v>35</v>
      </c>
      <c r="M6" s="286" t="s">
        <v>36</v>
      </c>
      <c r="N6" s="286" t="s">
        <v>37</v>
      </c>
      <c r="O6" s="286" t="s">
        <v>38</v>
      </c>
      <c r="P6" s="286" t="s">
        <v>39</v>
      </c>
      <c r="Q6" s="286" t="s">
        <v>40</v>
      </c>
      <c r="R6" s="286" t="s">
        <v>41</v>
      </c>
      <c r="S6" s="286" t="s">
        <v>42</v>
      </c>
      <c r="T6" s="286" t="s">
        <v>43</v>
      </c>
      <c r="U6" s="286" t="s">
        <v>44</v>
      </c>
      <c r="V6" s="289" t="s">
        <v>45</v>
      </c>
      <c r="W6" s="254"/>
      <c r="X6" s="286" t="s">
        <v>46</v>
      </c>
      <c r="Y6" s="261" t="s">
        <v>47</v>
      </c>
      <c r="Z6" s="261" t="s">
        <v>48</v>
      </c>
      <c r="AA6" s="261" t="s">
        <v>49</v>
      </c>
      <c r="AB6" s="261" t="s">
        <v>50</v>
      </c>
      <c r="AC6" s="287" t="s">
        <v>51</v>
      </c>
      <c r="AD6" s="287" t="s">
        <v>52</v>
      </c>
      <c r="AE6" s="287" t="s">
        <v>53</v>
      </c>
      <c r="AF6" s="287" t="s">
        <v>54</v>
      </c>
      <c r="AG6" s="261" t="s">
        <v>55</v>
      </c>
      <c r="AH6" s="287" t="s">
        <v>56</v>
      </c>
      <c r="AI6" s="287" t="s">
        <v>57</v>
      </c>
      <c r="AJ6" s="261" t="s">
        <v>58</v>
      </c>
      <c r="AK6" s="283" t="s">
        <v>59</v>
      </c>
      <c r="AL6" s="261" t="s">
        <v>60</v>
      </c>
      <c r="AM6" s="261" t="s">
        <v>61</v>
      </c>
      <c r="AN6" s="269" t="s">
        <v>62</v>
      </c>
      <c r="AO6" s="261" t="s">
        <v>63</v>
      </c>
      <c r="AP6" s="248"/>
      <c r="AQ6" s="248"/>
      <c r="AR6" s="248"/>
      <c r="AS6" s="248"/>
      <c r="AT6" s="248"/>
      <c r="AU6" s="248"/>
      <c r="AV6" s="248"/>
      <c r="AW6" s="248"/>
      <c r="AX6" s="248"/>
      <c r="AY6" s="268" t="s">
        <v>25</v>
      </c>
      <c r="AZ6" s="243"/>
      <c r="BA6" s="243"/>
      <c r="BB6" s="243"/>
      <c r="BC6" s="243"/>
      <c r="BD6" s="243"/>
      <c r="BE6" s="243"/>
      <c r="BF6" s="243"/>
      <c r="BG6" s="243"/>
      <c r="BH6" s="243"/>
      <c r="BI6" s="243"/>
      <c r="BJ6" s="243"/>
      <c r="BK6" s="243"/>
      <c r="BL6" s="244"/>
      <c r="BM6" s="268" t="s">
        <v>64</v>
      </c>
      <c r="BN6" s="243"/>
      <c r="BO6" s="243"/>
      <c r="BP6" s="243"/>
      <c r="BQ6" s="244"/>
      <c r="BR6" s="265" t="s">
        <v>65</v>
      </c>
      <c r="BS6" s="265" t="s">
        <v>66</v>
      </c>
      <c r="BT6" s="248"/>
      <c r="BU6" s="255"/>
      <c r="BW6" s="257"/>
      <c r="BX6" s="255"/>
      <c r="BY6" s="292"/>
      <c r="BZ6" s="292"/>
      <c r="CA6" s="257"/>
      <c r="CB6" s="248"/>
      <c r="CC6" s="248"/>
      <c r="CD6" s="248"/>
      <c r="CH6" s="142"/>
      <c r="CI6" s="143"/>
    </row>
    <row r="7" spans="1:87" s="144" customFormat="1" ht="12">
      <c r="A7" s="248"/>
      <c r="B7" s="248"/>
      <c r="C7" s="248"/>
      <c r="D7" s="248"/>
      <c r="E7" s="248"/>
      <c r="F7" s="248"/>
      <c r="G7" s="248"/>
      <c r="H7" s="248"/>
      <c r="I7" s="248"/>
      <c r="J7" s="248"/>
      <c r="K7" s="248"/>
      <c r="L7" s="248"/>
      <c r="M7" s="248"/>
      <c r="N7" s="248"/>
      <c r="O7" s="248"/>
      <c r="P7" s="248"/>
      <c r="Q7" s="248"/>
      <c r="R7" s="248"/>
      <c r="S7" s="248"/>
      <c r="T7" s="248"/>
      <c r="U7" s="248"/>
      <c r="V7" s="282"/>
      <c r="W7" s="285"/>
      <c r="X7" s="248"/>
      <c r="Y7" s="248"/>
      <c r="Z7" s="248"/>
      <c r="AA7" s="248"/>
      <c r="AB7" s="248"/>
      <c r="AC7" s="248"/>
      <c r="AD7" s="248"/>
      <c r="AE7" s="248"/>
      <c r="AF7" s="248"/>
      <c r="AG7" s="248"/>
      <c r="AH7" s="248"/>
      <c r="AI7" s="248"/>
      <c r="AJ7" s="248"/>
      <c r="AK7" s="255"/>
      <c r="AL7" s="248"/>
      <c r="AM7" s="248"/>
      <c r="AN7" s="248"/>
      <c r="AO7" s="248"/>
      <c r="AP7" s="248"/>
      <c r="AQ7" s="248"/>
      <c r="AR7" s="248"/>
      <c r="AS7" s="248"/>
      <c r="AT7" s="248"/>
      <c r="AU7" s="248"/>
      <c r="AV7" s="248"/>
      <c r="AW7" s="248"/>
      <c r="AX7" s="248"/>
      <c r="AY7" s="101" t="s">
        <v>67</v>
      </c>
      <c r="AZ7" s="101" t="s">
        <v>68</v>
      </c>
      <c r="BA7" s="101" t="s">
        <v>69</v>
      </c>
      <c r="BB7" s="268" t="s">
        <v>70</v>
      </c>
      <c r="BC7" s="245" t="s">
        <v>71</v>
      </c>
      <c r="BD7" s="245" t="s">
        <v>72</v>
      </c>
      <c r="BE7" s="272" t="s">
        <v>73</v>
      </c>
      <c r="BF7" s="245" t="s">
        <v>74</v>
      </c>
      <c r="BG7" s="245" t="s">
        <v>75</v>
      </c>
      <c r="BH7" s="245" t="s">
        <v>76</v>
      </c>
      <c r="BI7" s="245" t="s">
        <v>77</v>
      </c>
      <c r="BJ7" s="245" t="s">
        <v>78</v>
      </c>
      <c r="BK7" s="245" t="s">
        <v>79</v>
      </c>
      <c r="BL7" s="264" t="s">
        <v>80</v>
      </c>
      <c r="BM7" s="245" t="s">
        <v>81</v>
      </c>
      <c r="BN7" s="268" t="s">
        <v>82</v>
      </c>
      <c r="BO7" s="245" t="s">
        <v>83</v>
      </c>
      <c r="BP7" s="268" t="s">
        <v>84</v>
      </c>
      <c r="BQ7" s="268" t="s">
        <v>85</v>
      </c>
      <c r="BR7" s="248"/>
      <c r="BS7" s="248"/>
      <c r="BT7" s="248"/>
      <c r="BU7" s="255"/>
      <c r="BW7" s="257"/>
      <c r="BX7" s="258"/>
      <c r="BY7" s="259"/>
      <c r="BZ7" s="259"/>
      <c r="CA7" s="260"/>
      <c r="CB7" s="248"/>
      <c r="CC7" s="248"/>
      <c r="CD7" s="248"/>
      <c r="CH7" s="142"/>
      <c r="CI7" s="143"/>
    </row>
    <row r="8" spans="1:87" s="144" customFormat="1" ht="12">
      <c r="A8" s="246"/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145" t="s">
        <v>86</v>
      </c>
      <c r="W8" s="145" t="s">
        <v>87</v>
      </c>
      <c r="X8" s="246"/>
      <c r="Y8" s="246"/>
      <c r="Z8" s="246"/>
      <c r="AA8" s="246"/>
      <c r="AB8" s="246"/>
      <c r="AC8" s="246"/>
      <c r="AD8" s="246"/>
      <c r="AE8" s="246"/>
      <c r="AF8" s="246"/>
      <c r="AG8" s="246"/>
      <c r="AH8" s="246"/>
      <c r="AI8" s="246"/>
      <c r="AJ8" s="246"/>
      <c r="AK8" s="282"/>
      <c r="AL8" s="246"/>
      <c r="AM8" s="246"/>
      <c r="AN8" s="246"/>
      <c r="AO8" s="246"/>
      <c r="AP8" s="246"/>
      <c r="AQ8" s="246"/>
      <c r="AR8" s="246"/>
      <c r="AS8" s="246"/>
      <c r="AT8" s="246"/>
      <c r="AU8" s="246"/>
      <c r="AV8" s="246"/>
      <c r="AW8" s="246"/>
      <c r="AX8" s="246"/>
      <c r="AY8" s="102" t="s">
        <v>88</v>
      </c>
      <c r="AZ8" s="102" t="s">
        <v>89</v>
      </c>
      <c r="BA8" s="102" t="s">
        <v>90</v>
      </c>
      <c r="BB8" s="246"/>
      <c r="BC8" s="246"/>
      <c r="BD8" s="246"/>
      <c r="BE8" s="246"/>
      <c r="BF8" s="246"/>
      <c r="BG8" s="246"/>
      <c r="BH8" s="246"/>
      <c r="BI8" s="246"/>
      <c r="BJ8" s="246"/>
      <c r="BK8" s="246"/>
      <c r="BL8" s="246"/>
      <c r="BM8" s="246"/>
      <c r="BN8" s="246"/>
      <c r="BO8" s="246"/>
      <c r="BP8" s="246"/>
      <c r="BQ8" s="246"/>
      <c r="BR8" s="246"/>
      <c r="BS8" s="246"/>
      <c r="BT8" s="246"/>
      <c r="BU8" s="282"/>
      <c r="BW8" s="260"/>
      <c r="BX8" s="72" t="s">
        <v>91</v>
      </c>
      <c r="BY8" s="72" t="s">
        <v>92</v>
      </c>
      <c r="BZ8" s="72" t="s">
        <v>93</v>
      </c>
      <c r="CA8" s="73" t="s">
        <v>94</v>
      </c>
      <c r="CB8" s="267"/>
      <c r="CC8" s="267"/>
      <c r="CD8" s="267"/>
      <c r="CE8" s="141"/>
      <c r="CF8" s="146"/>
      <c r="CH8" s="142"/>
      <c r="CI8" s="143"/>
    </row>
    <row r="9" spans="1:87" s="147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44"/>
      <c r="CH9" s="142"/>
      <c r="CI9" s="143"/>
    </row>
    <row r="10" spans="1:87" s="148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9"/>
      <c r="CH10" s="142"/>
      <c r="CI10" s="143"/>
    </row>
    <row r="11" spans="1:87" s="158" customFormat="1" ht="11">
      <c r="A11" s="150"/>
      <c r="B11" s="151"/>
      <c r="C11" s="151"/>
      <c r="D11" s="152"/>
      <c r="E11" s="152"/>
      <c r="F11" s="152"/>
      <c r="G11" s="151">
        <f>SUM(G12:G14)</f>
        <v>23500000</v>
      </c>
      <c r="H11" s="151">
        <f>SUM(H12:H14)</f>
        <v>300000</v>
      </c>
      <c r="I11" s="151">
        <f>SUM(I12:I14)</f>
        <v>78200000</v>
      </c>
      <c r="J11" s="151"/>
      <c r="K11" s="153">
        <f>SUM(K12:K14)</f>
        <v>81</v>
      </c>
      <c r="L11" s="153"/>
      <c r="M11" s="153"/>
      <c r="N11" s="153"/>
      <c r="O11" s="153"/>
      <c r="P11" s="153"/>
      <c r="Q11" s="153"/>
      <c r="R11" s="153">
        <f>SUM(R12:R14)</f>
        <v>0</v>
      </c>
      <c r="S11" s="153">
        <f>SUM(S12:S14)</f>
        <v>0</v>
      </c>
      <c r="T11" s="154"/>
      <c r="U11" s="153">
        <f>SUM(U12:U14)</f>
        <v>0</v>
      </c>
      <c r="V11" s="153">
        <f>SUM(V12:V14)</f>
        <v>0</v>
      </c>
      <c r="W11" s="153">
        <f>SUM(W12:W14)</f>
        <v>0</v>
      </c>
      <c r="X11" s="153">
        <f>SUM(X12:X14)</f>
        <v>0</v>
      </c>
      <c r="Y11" s="151">
        <f>SUM(Y12:Y14)</f>
        <v>24403846.153846152</v>
      </c>
      <c r="Z11" s="151"/>
      <c r="AA11" s="151"/>
      <c r="AB11" s="151"/>
      <c r="AC11" s="151">
        <f>SUM(AC12:AC14)</f>
        <v>0</v>
      </c>
      <c r="AD11" s="151">
        <f>SUM(AD12:AD14)</f>
        <v>0</v>
      </c>
      <c r="AE11" s="151"/>
      <c r="AF11" s="151">
        <f t="shared" ref="AF11:AO11" si="4">SUM(AF12:AF14)</f>
        <v>0</v>
      </c>
      <c r="AG11" s="151">
        <f t="shared" si="4"/>
        <v>0</v>
      </c>
      <c r="AH11" s="151">
        <f t="shared" si="4"/>
        <v>0</v>
      </c>
      <c r="AI11" s="151">
        <f t="shared" si="4"/>
        <v>0</v>
      </c>
      <c r="AJ11" s="151">
        <f t="shared" si="4"/>
        <v>0</v>
      </c>
      <c r="AK11" s="151">
        <f t="shared" si="4"/>
        <v>0</v>
      </c>
      <c r="AL11" s="151">
        <f t="shared" si="4"/>
        <v>0</v>
      </c>
      <c r="AM11" s="151">
        <f t="shared" si="4"/>
        <v>0</v>
      </c>
      <c r="AN11" s="151">
        <f t="shared" si="4"/>
        <v>0</v>
      </c>
      <c r="AO11" s="151">
        <f t="shared" si="4"/>
        <v>81519230.769230768</v>
      </c>
      <c r="AP11" s="151"/>
      <c r="AQ11" s="151"/>
      <c r="AR11" s="151"/>
      <c r="AS11" s="151"/>
      <c r="AT11" s="151"/>
      <c r="AU11" s="151"/>
      <c r="AV11" s="151">
        <f>SUM(AV12:AV14)</f>
        <v>107483076.92307693</v>
      </c>
      <c r="AW11" s="151"/>
      <c r="AX11" s="151"/>
      <c r="AY11" s="151">
        <f>SUM(AY12:AY14)</f>
        <v>1142400</v>
      </c>
      <c r="AZ11" s="151">
        <f>SUM(AZ12:AZ14)</f>
        <v>214200</v>
      </c>
      <c r="BA11" s="151">
        <f>SUM(BA12:BA14)</f>
        <v>142800</v>
      </c>
      <c r="BB11" s="151">
        <f>SUM(BB12:BB14)</f>
        <v>1499400</v>
      </c>
      <c r="BC11" s="151">
        <f>SUM(BC12:BC14)</f>
        <v>0</v>
      </c>
      <c r="BD11" s="151"/>
      <c r="BE11" s="151">
        <f>SUM(BE12:BE14)</f>
        <v>235000</v>
      </c>
      <c r="BF11" s="151"/>
      <c r="BG11" s="151"/>
      <c r="BH11" s="151"/>
      <c r="BI11" s="151"/>
      <c r="BJ11" s="151"/>
      <c r="BK11" s="151"/>
      <c r="BL11" s="151">
        <f t="shared" ref="BL11:BQ11" si="5">SUM(BL12:BL14)</f>
        <v>6675112.230769231</v>
      </c>
      <c r="BM11" s="151">
        <f t="shared" si="5"/>
        <v>0</v>
      </c>
      <c r="BN11" s="151">
        <f t="shared" si="5"/>
        <v>0</v>
      </c>
      <c r="BO11" s="151">
        <f t="shared" si="5"/>
        <v>0</v>
      </c>
      <c r="BP11" s="151">
        <f t="shared" si="5"/>
        <v>0</v>
      </c>
      <c r="BQ11" s="151">
        <f t="shared" si="5"/>
        <v>0</v>
      </c>
      <c r="BR11" s="151"/>
      <c r="BS11" s="151"/>
      <c r="BT11" s="151">
        <f>SUM(BT12:BT14)</f>
        <v>0</v>
      </c>
      <c r="BU11" s="155">
        <f>SUM(BU12:BU14)</f>
        <v>99073564.692307696</v>
      </c>
      <c r="BW11" s="156"/>
      <c r="BX11" s="157"/>
      <c r="BY11" s="157"/>
      <c r="BZ11" s="157"/>
      <c r="CA11" s="157"/>
      <c r="CB11" s="157"/>
      <c r="CC11" s="157"/>
      <c r="CD11" s="157"/>
    </row>
    <row r="12" spans="1:87" s="176" customFormat="1" ht="11">
      <c r="A12" s="159">
        <f>IF(B12=0,"",COUNTA($B$12:(B12)))</f>
        <v>1</v>
      </c>
      <c r="B12" s="160">
        <v>123456</v>
      </c>
      <c r="C12" s="161" t="s">
        <v>120</v>
      </c>
      <c r="D12" s="162" t="s">
        <v>121</v>
      </c>
      <c r="E12" s="163" t="s">
        <v>113</v>
      </c>
      <c r="F12" s="164" t="s">
        <v>100</v>
      </c>
      <c r="G12" s="165">
        <v>9520000</v>
      </c>
      <c r="H12" s="165">
        <f>+IF(OR(CC12="ĐT PCCC",CC12="ĐP PCCC"),780000,IF(CC12="AT-VSV",300000,0))</f>
        <v>0</v>
      </c>
      <c r="I12" s="165">
        <f>CB12-BZ12-G12-H12</f>
        <v>50480000</v>
      </c>
      <c r="J12" s="166">
        <v>1</v>
      </c>
      <c r="K12" s="167">
        <v>27</v>
      </c>
      <c r="L12" s="167"/>
      <c r="M12" s="167"/>
      <c r="N12" s="167"/>
      <c r="O12" s="167"/>
      <c r="P12" s="167"/>
      <c r="Q12" s="167"/>
      <c r="R12" s="167">
        <v>0</v>
      </c>
      <c r="S12" s="167">
        <v>0</v>
      </c>
      <c r="T12" s="168"/>
      <c r="U12" s="167">
        <v>0</v>
      </c>
      <c r="V12" s="167">
        <v>0</v>
      </c>
      <c r="W12" s="167">
        <v>0</v>
      </c>
      <c r="X12" s="167">
        <v>0</v>
      </c>
      <c r="Y12" s="165">
        <f>G12*(K12+L12)/26</f>
        <v>9886153.846153846</v>
      </c>
      <c r="Z12" s="165">
        <f>M12*G12/26</f>
        <v>0</v>
      </c>
      <c r="AA12" s="165">
        <f>G12*N12/26</f>
        <v>0</v>
      </c>
      <c r="AB12" s="165">
        <f>G12*O12/26</f>
        <v>0</v>
      </c>
      <c r="AC12" s="165">
        <f>G12*P12*150%/26</f>
        <v>0</v>
      </c>
      <c r="AD12" s="165">
        <f>G12*Q12/26*200%</f>
        <v>0</v>
      </c>
      <c r="AE12" s="165">
        <f>G12*R12/26*300%</f>
        <v>0</v>
      </c>
      <c r="AF12" s="165">
        <f>ROUND((G12+H12)/26*S12*30%,0)</f>
        <v>0</v>
      </c>
      <c r="AG12" s="165">
        <f>T12*G12/26/8</f>
        <v>0</v>
      </c>
      <c r="AH12" s="165">
        <f>CB12/26*U12</f>
        <v>0</v>
      </c>
      <c r="AI12" s="165">
        <f>G12*V12/26</f>
        <v>0</v>
      </c>
      <c r="AJ12" s="165"/>
      <c r="AK12" s="165">
        <f>BZ12*L12/26</f>
        <v>0</v>
      </c>
      <c r="AL12" s="165"/>
      <c r="AM12" s="165">
        <f>X12*CD12</f>
        <v>0</v>
      </c>
      <c r="AN12" s="165">
        <f>H12/26*(K12+L12)</f>
        <v>0</v>
      </c>
      <c r="AO12" s="165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5"/>
      <c r="AQ12" s="165"/>
      <c r="AR12" s="165">
        <v>780000</v>
      </c>
      <c r="AS12" s="165"/>
      <c r="AT12" s="165"/>
      <c r="AU12" s="165"/>
      <c r="AV12" s="169">
        <f>Y12+Z12+AA12+AB12+AC12+AD12+AE12+AF12+AG12+AI12+AJ12+AK12+AL12+AM12+AN12+AO12+AP12-AQ12+AR12+AS12+AT12+AU12</f>
        <v>63087692.307692312</v>
      </c>
      <c r="AW12" s="169"/>
      <c r="AX12" s="169">
        <f>IF(E12="CT","x",0)</f>
        <v>0</v>
      </c>
      <c r="AY12" s="170">
        <f t="shared" ref="AY12:BA14" si="6">ROUND(IF($AX12="x",($G12+$H12)*AY$8,0),0)</f>
        <v>0</v>
      </c>
      <c r="AZ12" s="170">
        <f t="shared" si="6"/>
        <v>0</v>
      </c>
      <c r="BA12" s="170">
        <f t="shared" si="6"/>
        <v>0</v>
      </c>
      <c r="BB12" s="170">
        <f>SUM(AY12:BA12)</f>
        <v>0</v>
      </c>
      <c r="BC12" s="170"/>
      <c r="BD12" s="170"/>
      <c r="BE12" s="170">
        <f>IF(G12*1%&gt;=234000,234000,G12*1%)</f>
        <v>95200</v>
      </c>
      <c r="BF12" s="170">
        <f>AM12+IF(E12="CT",IF(AR12&gt;=730000,730000,AR12),0)+IF(((AV12-AM12-IF(AR12&gt;=730000,730000,AR12)-AS12)*15%-AS12)&gt;"0",((AV12-AM12-IF(AR12&gt;=730000,730000,AR12)-AS12)*15%-AS12),0)</f>
        <v>0</v>
      </c>
      <c r="BG12" s="170">
        <f>AV12-BF12+AW12</f>
        <v>63087692.307692312</v>
      </c>
      <c r="BH12" s="170">
        <v>3</v>
      </c>
      <c r="BI12" s="170">
        <v>4400000</v>
      </c>
      <c r="BJ12" s="170">
        <f>IF(E12="CT",11000000,0)</f>
        <v>0</v>
      </c>
      <c r="BK12" s="170">
        <f>BG12-BB12-BC12+BD12-BH12*BI12-BJ12</f>
        <v>49887692.307692312</v>
      </c>
      <c r="BL12" s="157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70"/>
      <c r="BN12" s="170"/>
      <c r="BO12" s="170">
        <v>0</v>
      </c>
      <c r="BP12" s="170"/>
      <c r="BQ12" s="170"/>
      <c r="BR12" s="170"/>
      <c r="BS12" s="170"/>
      <c r="BT12" s="170">
        <f>SUMIFS('Bảng lương tạm ứng kỳ 1'!BT:BT,'Mô tả Bảng lương CB-NV'!B:B,'Bảng lương tạm ứng kỳ 1'!B15)</f>
        <v>0</v>
      </c>
      <c r="BU12" s="171">
        <f>AV12-BB12-BC12+BD12-BE12-BL12-BM12-BN12-BO12-BP12-BQ12-BR12+BS12-BT12</f>
        <v>58003723.07692308</v>
      </c>
      <c r="BW12" s="156">
        <v>60000000</v>
      </c>
      <c r="BX12" s="157">
        <v>0</v>
      </c>
      <c r="BY12" s="157"/>
      <c r="BZ12" s="157"/>
      <c r="CA12" s="157">
        <v>0</v>
      </c>
      <c r="CB12" s="157">
        <f>SUM(BW12:CA12)</f>
        <v>60000000</v>
      </c>
      <c r="CC12" s="157" t="s">
        <v>122</v>
      </c>
      <c r="CD12" s="157"/>
      <c r="CE12" s="172"/>
      <c r="CF12" s="173"/>
      <c r="CG12" s="173"/>
      <c r="CH12" s="174"/>
      <c r="CI12" s="175"/>
    </row>
    <row r="13" spans="1:87" s="176" customFormat="1" ht="11">
      <c r="A13" s="159">
        <f>IF(B13=0,"",COUNTA($B$12:(B13)))</f>
        <v>2</v>
      </c>
      <c r="B13" s="160">
        <v>3562789</v>
      </c>
      <c r="C13" s="161" t="s">
        <v>123</v>
      </c>
      <c r="D13" s="162" t="s">
        <v>121</v>
      </c>
      <c r="E13" s="163" t="s">
        <v>99</v>
      </c>
      <c r="F13" s="164" t="s">
        <v>100</v>
      </c>
      <c r="G13" s="165">
        <v>6990000</v>
      </c>
      <c r="H13" s="165">
        <f>+IF(OR(CC13="ĐT PCCC",CC13="ĐP PCCC"),780000,IF(CC13="AT-VSV",300000,0))</f>
        <v>0</v>
      </c>
      <c r="I13" s="165">
        <f>CB13-BZ13-G13-H13</f>
        <v>17160000</v>
      </c>
      <c r="J13" s="166">
        <v>1</v>
      </c>
      <c r="K13" s="167">
        <v>27</v>
      </c>
      <c r="L13" s="167"/>
      <c r="M13" s="167">
        <v>0</v>
      </c>
      <c r="N13" s="167"/>
      <c r="O13" s="167"/>
      <c r="P13" s="167"/>
      <c r="Q13" s="167"/>
      <c r="R13" s="167">
        <v>0</v>
      </c>
      <c r="S13" s="167">
        <v>0</v>
      </c>
      <c r="T13" s="168"/>
      <c r="U13" s="167">
        <v>0</v>
      </c>
      <c r="V13" s="167">
        <v>0</v>
      </c>
      <c r="W13" s="167">
        <v>0</v>
      </c>
      <c r="X13" s="167">
        <v>0</v>
      </c>
      <c r="Y13" s="165">
        <f>G13*(K13+L13)/26</f>
        <v>7258846.153846154</v>
      </c>
      <c r="Z13" s="165">
        <f>M13*G13/26</f>
        <v>0</v>
      </c>
      <c r="AA13" s="165">
        <f>G13*N13/26</f>
        <v>0</v>
      </c>
      <c r="AB13" s="165">
        <f>G13*O13/26</f>
        <v>0</v>
      </c>
      <c r="AC13" s="165">
        <f>G13*P13*150%/26</f>
        <v>0</v>
      </c>
      <c r="AD13" s="165">
        <f>G13*Q13/26*200%</f>
        <v>0</v>
      </c>
      <c r="AE13" s="165">
        <f>G13*R13/26*300%</f>
        <v>0</v>
      </c>
      <c r="AF13" s="165">
        <f>ROUND((G13+H13)/26*S13*30%,0)</f>
        <v>0</v>
      </c>
      <c r="AG13" s="165">
        <f>T13*G13/26/8</f>
        <v>0</v>
      </c>
      <c r="AH13" s="165">
        <f>CB13/26*U13</f>
        <v>0</v>
      </c>
      <c r="AI13" s="165">
        <f>G13*V13/26</f>
        <v>0</v>
      </c>
      <c r="AJ13" s="165"/>
      <c r="AK13" s="165">
        <f>BZ13*L13/26</f>
        <v>0</v>
      </c>
      <c r="AL13" s="165"/>
      <c r="AM13" s="165">
        <f>X13*CD13</f>
        <v>0</v>
      </c>
      <c r="AN13" s="165">
        <f>H13/26*K13</f>
        <v>0</v>
      </c>
      <c r="AO13" s="165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5"/>
      <c r="AQ13" s="165"/>
      <c r="AR13" s="165">
        <v>780000</v>
      </c>
      <c r="AS13" s="165"/>
      <c r="AT13" s="165"/>
      <c r="AU13" s="165"/>
      <c r="AV13" s="169">
        <f>Y13+Z13+AA13+AB13+AC13+AD13+AE13+AF13+AG13+AI13+AJ13+AK13+AL13+AM13+AN13+AO13+AP13-AQ13+AR13+AS13+AT13+AU13</f>
        <v>25858846.153846152</v>
      </c>
      <c r="AW13" s="169"/>
      <c r="AX13" s="169" t="str">
        <f>IF(E13="CT","x",0)</f>
        <v>x</v>
      </c>
      <c r="AY13" s="170">
        <f t="shared" si="6"/>
        <v>559200</v>
      </c>
      <c r="AZ13" s="170">
        <f t="shared" si="6"/>
        <v>104850</v>
      </c>
      <c r="BA13" s="170">
        <f t="shared" si="6"/>
        <v>69900</v>
      </c>
      <c r="BB13" s="170">
        <f>SUM(AY13:BA13)</f>
        <v>733950</v>
      </c>
      <c r="BC13" s="170"/>
      <c r="BD13" s="170"/>
      <c r="BE13" s="170">
        <f>IF(G13*1%&gt;=234000,234000,G13*1%)</f>
        <v>69900</v>
      </c>
      <c r="BF13" s="170">
        <f>AM13+IF(E13="CT",IF(AR13&gt;=730000,730000,AR13),0)+IF(((AV13-AM13-IF(AR13&gt;=730000,730000,AR13)-AS13)*15%-AS13)&gt;"0",((AV13-AM13-IF(AR13&gt;=730000,730000,AR13)-AS13)*15%-AS13),0)</f>
        <v>730000</v>
      </c>
      <c r="BG13" s="170">
        <f>AV13-BF13+AW13</f>
        <v>25128846.153846152</v>
      </c>
      <c r="BH13" s="170"/>
      <c r="BI13" s="170">
        <v>4400000</v>
      </c>
      <c r="BJ13" s="170">
        <f>IF(E13="CT",11000000,0)</f>
        <v>11000000</v>
      </c>
      <c r="BK13" s="170">
        <f>BG13-BB13-BC13+BD13-BH13*BI13-BJ13</f>
        <v>13394896.153846152</v>
      </c>
      <c r="BL13" s="157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70"/>
      <c r="BN13" s="170"/>
      <c r="BO13" s="170">
        <v>0</v>
      </c>
      <c r="BP13" s="170"/>
      <c r="BQ13" s="170"/>
      <c r="BR13" s="170"/>
      <c r="BS13" s="170"/>
      <c r="BT13" s="170">
        <f>SUMIFS('Bảng lương tạm ứng kỳ 1'!BT:BT,'Mô tả Bảng lương CB-NV'!B:B,'Bảng lương tạm ứng kỳ 1'!B20)</f>
        <v>0</v>
      </c>
      <c r="BU13" s="171">
        <f>AV13-BB13-BC13+BD13-BE13-BL13-BM13-BN13-BO13-BP13-BQ13-BR13+BS13-BT13</f>
        <v>23795762.153846152</v>
      </c>
      <c r="BW13" s="156">
        <v>23000000</v>
      </c>
      <c r="BX13" s="157">
        <v>0</v>
      </c>
      <c r="BY13" s="157">
        <v>0</v>
      </c>
      <c r="BZ13" s="157"/>
      <c r="CA13" s="157">
        <f>+BW13*5%</f>
        <v>1150000</v>
      </c>
      <c r="CB13" s="157">
        <f>SUM(BW13:CA13)</f>
        <v>24150000</v>
      </c>
      <c r="CC13" s="157" t="s">
        <v>114</v>
      </c>
      <c r="CD13" s="157"/>
      <c r="CE13" s="172"/>
      <c r="CF13" s="173"/>
      <c r="CG13" s="173"/>
      <c r="CH13" s="174"/>
      <c r="CI13" s="175"/>
    </row>
    <row r="14" spans="1:87" s="176" customFormat="1" ht="11">
      <c r="A14" s="159">
        <f>IF(B14=0,"",COUNTA($B$12:(B14)))</f>
        <v>3</v>
      </c>
      <c r="B14" s="177" t="s">
        <v>124</v>
      </c>
      <c r="C14" s="161" t="s">
        <v>125</v>
      </c>
      <c r="D14" s="162" t="s">
        <v>121</v>
      </c>
      <c r="E14" s="163" t="s">
        <v>99</v>
      </c>
      <c r="F14" s="164" t="s">
        <v>100</v>
      </c>
      <c r="G14" s="165">
        <v>6990000</v>
      </c>
      <c r="H14" s="165">
        <f>+IF(OR(CC14="ĐT PCCC",CC14="ĐP PCCC"),780000,IF(CC14="AT-VSV",300000,0))</f>
        <v>300000</v>
      </c>
      <c r="I14" s="165">
        <f>CB14-BZ14-G14-H14</f>
        <v>10560000</v>
      </c>
      <c r="J14" s="166">
        <v>1</v>
      </c>
      <c r="K14" s="167">
        <v>27</v>
      </c>
      <c r="L14" s="167"/>
      <c r="M14" s="167"/>
      <c r="N14" s="167"/>
      <c r="O14" s="167"/>
      <c r="P14" s="167"/>
      <c r="Q14" s="167"/>
      <c r="R14" s="167">
        <v>0</v>
      </c>
      <c r="S14" s="167">
        <v>0</v>
      </c>
      <c r="T14" s="168"/>
      <c r="U14" s="167">
        <v>0</v>
      </c>
      <c r="V14" s="167">
        <v>0</v>
      </c>
      <c r="W14" s="167">
        <v>0</v>
      </c>
      <c r="X14" s="167">
        <v>0</v>
      </c>
      <c r="Y14" s="165">
        <f>G14*(K14+L14)/26</f>
        <v>7258846.153846154</v>
      </c>
      <c r="Z14" s="165">
        <f>M14*G14/26</f>
        <v>0</v>
      </c>
      <c r="AA14" s="165">
        <f>G14*N14/26</f>
        <v>0</v>
      </c>
      <c r="AB14" s="165">
        <f>G14*O14/26</f>
        <v>0</v>
      </c>
      <c r="AC14" s="165">
        <f>G14*P14*150%/26</f>
        <v>0</v>
      </c>
      <c r="AD14" s="165">
        <f>G14*Q14/26*200%</f>
        <v>0</v>
      </c>
      <c r="AE14" s="165">
        <f>G14*R14/26*300%</f>
        <v>0</v>
      </c>
      <c r="AF14" s="165">
        <f>IF(F14="LN",(G14+H14)/26*S14*30%,0)</f>
        <v>0</v>
      </c>
      <c r="AG14" s="165">
        <f>T14*G14/26/8</f>
        <v>0</v>
      </c>
      <c r="AH14" s="165">
        <f>CB14/26*U14</f>
        <v>0</v>
      </c>
      <c r="AI14" s="165">
        <f>G14*V14/26</f>
        <v>0</v>
      </c>
      <c r="AJ14" s="165"/>
      <c r="AK14" s="165">
        <f>BZ14*L14/26</f>
        <v>0</v>
      </c>
      <c r="AL14" s="165"/>
      <c r="AM14" s="165">
        <f>X14*CD14</f>
        <v>0</v>
      </c>
      <c r="AN14" s="165"/>
      <c r="AO14" s="165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5"/>
      <c r="AQ14" s="165"/>
      <c r="AR14" s="165"/>
      <c r="AS14" s="165"/>
      <c r="AT14" s="165"/>
      <c r="AU14" s="165"/>
      <c r="AV14" s="169">
        <f>Y14+Z14+AA14+AB14+AC14+AD14+AE14+AF14+AG14+AI14+AJ14+AK14+AL14+AM14+AN14+AO14+AP14-AQ14+AR14+AS14+AT14+AU14</f>
        <v>18536538.461538464</v>
      </c>
      <c r="AW14" s="169"/>
      <c r="AX14" s="169" t="str">
        <f>IF(E14="CT","x",0)</f>
        <v>x</v>
      </c>
      <c r="AY14" s="170">
        <f t="shared" si="6"/>
        <v>583200</v>
      </c>
      <c r="AZ14" s="170">
        <f t="shared" si="6"/>
        <v>109350</v>
      </c>
      <c r="BA14" s="170">
        <f t="shared" si="6"/>
        <v>72900</v>
      </c>
      <c r="BB14" s="170">
        <f>SUM(AY14:BA14)</f>
        <v>765450</v>
      </c>
      <c r="BC14" s="170"/>
      <c r="BD14" s="170"/>
      <c r="BE14" s="170">
        <f>IF(G14*1%&gt;=234000,234000,G14*1%)</f>
        <v>69900</v>
      </c>
      <c r="BF14" s="170">
        <f>AM14+IF(E14="CT",IF(AR14&gt;=730000,730000,AR14),0)+IF(((AV14-AM14-IF(AR14&gt;=730000,730000,AR14)-AS14)*15%-AS14)&gt;"0",((AV14-AM14-IF(AR14&gt;=730000,730000,AR14)-AS14)*15%-AS14),0)</f>
        <v>0</v>
      </c>
      <c r="BG14" s="170">
        <f>AV14-BF14+AW14</f>
        <v>18536538.461538464</v>
      </c>
      <c r="BH14" s="170"/>
      <c r="BI14" s="170">
        <v>4400000</v>
      </c>
      <c r="BJ14" s="170">
        <f>IF(E14="CT",11000000,0)</f>
        <v>11000000</v>
      </c>
      <c r="BK14" s="170">
        <f>BG14-BB14-BC14+BD14-BH14*BI14-BJ14</f>
        <v>6771088.4615384638</v>
      </c>
      <c r="BL14" s="157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70"/>
      <c r="BN14" s="170"/>
      <c r="BO14" s="170">
        <v>0</v>
      </c>
      <c r="BP14" s="170"/>
      <c r="BQ14" s="170"/>
      <c r="BR14" s="170"/>
      <c r="BS14" s="170"/>
      <c r="BT14" s="170">
        <f>SUMIFS('Bảng lương tạm ứng kỳ 1'!BT:BT,'Mô tả Bảng lương CB-NV'!B:B,'Bảng lương tạm ứng kỳ 1'!B21)</f>
        <v>0</v>
      </c>
      <c r="BU14" s="171">
        <f>AV14-BB14-BC14+BD14-BE14-BL14-BM14-BN14-BO14-BP14-BQ14-BR14+BS14-BT14</f>
        <v>17274079.461538464</v>
      </c>
      <c r="BW14" s="156">
        <v>17000000</v>
      </c>
      <c r="BX14" s="157">
        <v>0</v>
      </c>
      <c r="BY14" s="157">
        <v>0</v>
      </c>
      <c r="BZ14" s="157"/>
      <c r="CA14" s="157">
        <f>+BW14*5%</f>
        <v>850000</v>
      </c>
      <c r="CB14" s="157">
        <f>SUM(BW14:CA14)</f>
        <v>17850000</v>
      </c>
      <c r="CC14" s="157" t="s">
        <v>118</v>
      </c>
      <c r="CD14" s="157"/>
      <c r="CE14" s="172"/>
      <c r="CF14" s="173"/>
      <c r="CG14" s="173"/>
      <c r="CH14" s="174"/>
      <c r="CI14" s="175"/>
    </row>
    <row r="17" spans="1:87" s="190" customFormat="1" ht="31.5" customHeight="1">
      <c r="A17" s="189" t="str">
        <f>A5&amp;A6&amp;A7&amp;A8</f>
        <v>TT</v>
      </c>
      <c r="B17" s="189" t="str">
        <f>B5&amp;B6&amp;B7&amp;B8</f>
        <v>MSNV</v>
      </c>
      <c r="C17" s="189" t="s">
        <v>6</v>
      </c>
      <c r="D17" s="189" t="s">
        <v>7</v>
      </c>
      <c r="E17" s="189" t="s">
        <v>8</v>
      </c>
      <c r="F17" s="189" t="s">
        <v>9</v>
      </c>
      <c r="G17" s="189" t="s">
        <v>10</v>
      </c>
      <c r="H17" s="237" t="s">
        <v>11</v>
      </c>
      <c r="I17" s="189" t="s">
        <v>12</v>
      </c>
      <c r="J17" s="189" t="s">
        <v>13</v>
      </c>
      <c r="K17" s="239"/>
      <c r="L17" s="189" t="s">
        <v>35</v>
      </c>
      <c r="M17" s="189" t="s">
        <v>36</v>
      </c>
      <c r="N17" s="189" t="s">
        <v>37</v>
      </c>
      <c r="O17" s="189" t="s">
        <v>38</v>
      </c>
      <c r="P17" s="189" t="s">
        <v>39</v>
      </c>
      <c r="Q17" s="189" t="s">
        <v>40</v>
      </c>
      <c r="R17" s="189" t="s">
        <v>41</v>
      </c>
      <c r="S17" s="189" t="s">
        <v>42</v>
      </c>
      <c r="T17" s="189" t="s">
        <v>43</v>
      </c>
      <c r="U17" s="189" t="s">
        <v>44</v>
      </c>
      <c r="V17" s="189"/>
      <c r="W17" s="189" t="s">
        <v>87</v>
      </c>
      <c r="X17" s="189" t="s">
        <v>46</v>
      </c>
      <c r="Y17" s="237" t="str">
        <f>Y6</f>
        <v>Lương
Ngày thường</v>
      </c>
      <c r="Z17" s="237" t="s">
        <v>48</v>
      </c>
      <c r="AA17" s="237" t="s">
        <v>49</v>
      </c>
      <c r="AB17" s="237" t="s">
        <v>50</v>
      </c>
      <c r="AC17" s="237" t="s">
        <v>51</v>
      </c>
      <c r="AD17" s="237" t="s">
        <v>52</v>
      </c>
      <c r="AE17" s="237" t="s">
        <v>53</v>
      </c>
      <c r="AF17" s="237" t="s">
        <v>54</v>
      </c>
      <c r="AG17" s="237" t="s">
        <v>55</v>
      </c>
      <c r="AH17" s="237" t="s">
        <v>56</v>
      </c>
      <c r="AI17" s="237" t="s">
        <v>57</v>
      </c>
      <c r="AJ17" s="237" t="s">
        <v>58</v>
      </c>
      <c r="AK17" s="237" t="s">
        <v>59</v>
      </c>
      <c r="AL17" s="237" t="s">
        <v>60</v>
      </c>
      <c r="AM17" s="237" t="s">
        <v>61</v>
      </c>
      <c r="AN17" s="237" t="s">
        <v>62</v>
      </c>
      <c r="AO17" s="237" t="s">
        <v>63</v>
      </c>
      <c r="AP17" s="189" t="s">
        <v>16</v>
      </c>
      <c r="AQ17" s="189" t="s">
        <v>17</v>
      </c>
      <c r="AR17" s="189" t="s">
        <v>18</v>
      </c>
      <c r="AS17" s="189" t="s">
        <v>19</v>
      </c>
      <c r="AT17" s="189" t="s">
        <v>20</v>
      </c>
      <c r="AU17" s="189" t="s">
        <v>21</v>
      </c>
      <c r="AV17" s="189" t="s">
        <v>22</v>
      </c>
      <c r="AW17" s="189" t="s">
        <v>23</v>
      </c>
      <c r="AX17" s="189" t="str">
        <f>AX5</f>
        <v>Tham gia BHXH</v>
      </c>
      <c r="AY17" s="237" t="str">
        <f>AY7</f>
        <v>BHXH</v>
      </c>
      <c r="AZ17" s="237" t="str">
        <f>AZ7</f>
        <v>BHYT</v>
      </c>
      <c r="BA17" s="237" t="str">
        <f>BA7</f>
        <v>BHTN</v>
      </c>
      <c r="BB17" s="237" t="s">
        <v>70</v>
      </c>
      <c r="BC17" s="237" t="str">
        <f>BC7</f>
        <v>Truy thu BHXH</v>
      </c>
      <c r="BD17" s="237" t="s">
        <v>72</v>
      </c>
      <c r="BE17" s="237" t="str">
        <f>BE7</f>
        <v>Phí 
công đoàn</v>
      </c>
      <c r="BF17" s="237" t="s">
        <v>74</v>
      </c>
      <c r="BG17" s="237" t="s">
        <v>75</v>
      </c>
      <c r="BH17" s="237" t="str">
        <f>BH7</f>
        <v>NPT</v>
      </c>
      <c r="BI17" s="237" t="s">
        <v>77</v>
      </c>
      <c r="BJ17" s="237" t="s">
        <v>78</v>
      </c>
      <c r="BK17" s="237" t="str">
        <f>BK7</f>
        <v>TNTT</v>
      </c>
      <c r="BL17" s="237" t="s">
        <v>80</v>
      </c>
      <c r="BM17" s="237" t="s">
        <v>81</v>
      </c>
      <c r="BN17" s="237" t="s">
        <v>82</v>
      </c>
      <c r="BO17" s="237" t="s">
        <v>83</v>
      </c>
      <c r="BP17" s="237" t="s">
        <v>84</v>
      </c>
      <c r="BQ17" s="237" t="str">
        <f>BQ7</f>
        <v>…..............</v>
      </c>
      <c r="BR17" s="237" t="str">
        <f>BR6</f>
        <v>Truy thu theo QTT</v>
      </c>
      <c r="BS17" s="237" t="s">
        <v>66</v>
      </c>
      <c r="BT17" s="189" t="s">
        <v>27</v>
      </c>
      <c r="BU17" s="189" t="s">
        <v>28</v>
      </c>
      <c r="BW17" s="189" t="s">
        <v>29</v>
      </c>
      <c r="BX17" s="238" t="s">
        <v>91</v>
      </c>
      <c r="BY17" s="238" t="s">
        <v>92</v>
      </c>
      <c r="BZ17" s="238" t="s">
        <v>93</v>
      </c>
      <c r="CA17" s="238" t="s">
        <v>94</v>
      </c>
      <c r="CB17" s="189" t="s">
        <v>31</v>
      </c>
      <c r="CC17" s="189" t="s">
        <v>32</v>
      </c>
      <c r="CD17" s="189" t="s">
        <v>33</v>
      </c>
    </row>
    <row r="18" spans="1:87" s="192" customFormat="1" ht="11">
      <c r="A18" s="191" t="str">
        <f t="shared" ref="A18:AF18" si="7">SUBSTITUTE(ADDRESS(1,COLUMN(),4),1,"")</f>
        <v>A</v>
      </c>
      <c r="B18" s="191" t="str">
        <f t="shared" si="7"/>
        <v>B</v>
      </c>
      <c r="C18" s="191" t="str">
        <f t="shared" si="7"/>
        <v>C</v>
      </c>
      <c r="D18" s="191" t="str">
        <f t="shared" si="7"/>
        <v>D</v>
      </c>
      <c r="E18" s="191" t="str">
        <f t="shared" si="7"/>
        <v>E</v>
      </c>
      <c r="F18" s="191" t="str">
        <f t="shared" si="7"/>
        <v>F</v>
      </c>
      <c r="G18" s="191" t="str">
        <f t="shared" si="7"/>
        <v>G</v>
      </c>
      <c r="H18" s="191" t="str">
        <f t="shared" si="7"/>
        <v>H</v>
      </c>
      <c r="I18" s="191" t="str">
        <f t="shared" si="7"/>
        <v>I</v>
      </c>
      <c r="J18" s="191" t="str">
        <f t="shared" si="7"/>
        <v>J</v>
      </c>
      <c r="K18" s="191" t="str">
        <f t="shared" si="7"/>
        <v>K</v>
      </c>
      <c r="L18" s="191" t="str">
        <f t="shared" si="7"/>
        <v>L</v>
      </c>
      <c r="M18" s="191" t="str">
        <f t="shared" si="7"/>
        <v>M</v>
      </c>
      <c r="N18" s="191" t="str">
        <f t="shared" si="7"/>
        <v>N</v>
      </c>
      <c r="O18" s="191" t="str">
        <f t="shared" si="7"/>
        <v>O</v>
      </c>
      <c r="P18" s="191" t="str">
        <f t="shared" si="7"/>
        <v>P</v>
      </c>
      <c r="Q18" s="191" t="str">
        <f t="shared" si="7"/>
        <v>Q</v>
      </c>
      <c r="R18" s="191" t="str">
        <f t="shared" si="7"/>
        <v>R</v>
      </c>
      <c r="S18" s="191" t="str">
        <f t="shared" si="7"/>
        <v>S</v>
      </c>
      <c r="T18" s="191" t="str">
        <f t="shared" si="7"/>
        <v>T</v>
      </c>
      <c r="U18" s="191" t="str">
        <f t="shared" si="7"/>
        <v>U</v>
      </c>
      <c r="V18" s="191" t="str">
        <f t="shared" si="7"/>
        <v>V</v>
      </c>
      <c r="W18" s="191" t="str">
        <f t="shared" si="7"/>
        <v>W</v>
      </c>
      <c r="X18" s="191" t="str">
        <f t="shared" si="7"/>
        <v>X</v>
      </c>
      <c r="Y18" s="191" t="str">
        <f t="shared" si="7"/>
        <v>Y</v>
      </c>
      <c r="Z18" s="191" t="str">
        <f t="shared" si="7"/>
        <v>Z</v>
      </c>
      <c r="AA18" s="191" t="str">
        <f t="shared" si="7"/>
        <v>AA</v>
      </c>
      <c r="AB18" s="191" t="str">
        <f t="shared" si="7"/>
        <v>AB</v>
      </c>
      <c r="AC18" s="191" t="str">
        <f t="shared" si="7"/>
        <v>AC</v>
      </c>
      <c r="AD18" s="191" t="str">
        <f t="shared" si="7"/>
        <v>AD</v>
      </c>
      <c r="AE18" s="191" t="str">
        <f t="shared" si="7"/>
        <v>AE</v>
      </c>
      <c r="AF18" s="191" t="str">
        <f t="shared" si="7"/>
        <v>AF</v>
      </c>
      <c r="AG18" s="191" t="str">
        <f t="shared" ref="AG18:BL18" si="8">SUBSTITUTE(ADDRESS(1,COLUMN(),4),1,"")</f>
        <v>AG</v>
      </c>
      <c r="AH18" s="191" t="str">
        <f t="shared" si="8"/>
        <v>AH</v>
      </c>
      <c r="AI18" s="191" t="str">
        <f t="shared" si="8"/>
        <v>AI</v>
      </c>
      <c r="AJ18" s="191" t="str">
        <f t="shared" si="8"/>
        <v>AJ</v>
      </c>
      <c r="AK18" s="191" t="str">
        <f t="shared" si="8"/>
        <v>AK</v>
      </c>
      <c r="AL18" s="191" t="str">
        <f t="shared" si="8"/>
        <v>AL</v>
      </c>
      <c r="AM18" s="191" t="str">
        <f t="shared" si="8"/>
        <v>AM</v>
      </c>
      <c r="AN18" s="191" t="str">
        <f t="shared" si="8"/>
        <v>AN</v>
      </c>
      <c r="AO18" s="191" t="str">
        <f t="shared" si="8"/>
        <v>AO</v>
      </c>
      <c r="AP18" s="191" t="str">
        <f t="shared" si="8"/>
        <v>AP</v>
      </c>
      <c r="AQ18" s="191" t="str">
        <f t="shared" si="8"/>
        <v>AQ</v>
      </c>
      <c r="AR18" s="191" t="str">
        <f t="shared" si="8"/>
        <v>AR</v>
      </c>
      <c r="AS18" s="191" t="str">
        <f t="shared" si="8"/>
        <v>AS</v>
      </c>
      <c r="AT18" s="191" t="str">
        <f t="shared" si="8"/>
        <v>AT</v>
      </c>
      <c r="AU18" s="191" t="str">
        <f t="shared" si="8"/>
        <v>AU</v>
      </c>
      <c r="AV18" s="191" t="str">
        <f t="shared" si="8"/>
        <v>AV</v>
      </c>
      <c r="AW18" s="191" t="str">
        <f t="shared" si="8"/>
        <v>AW</v>
      </c>
      <c r="AX18" s="191" t="str">
        <f t="shared" si="8"/>
        <v>AX</v>
      </c>
      <c r="AY18" s="191" t="str">
        <f t="shared" si="8"/>
        <v>AY</v>
      </c>
      <c r="AZ18" s="191" t="str">
        <f t="shared" si="8"/>
        <v>AZ</v>
      </c>
      <c r="BA18" s="191" t="str">
        <f t="shared" si="8"/>
        <v>BA</v>
      </c>
      <c r="BB18" s="191" t="str">
        <f t="shared" si="8"/>
        <v>BB</v>
      </c>
      <c r="BC18" s="191" t="str">
        <f t="shared" si="8"/>
        <v>BC</v>
      </c>
      <c r="BD18" s="191" t="str">
        <f t="shared" si="8"/>
        <v>BD</v>
      </c>
      <c r="BE18" s="191" t="str">
        <f t="shared" si="8"/>
        <v>BE</v>
      </c>
      <c r="BF18" s="191" t="str">
        <f t="shared" si="8"/>
        <v>BF</v>
      </c>
      <c r="BG18" s="191" t="str">
        <f t="shared" si="8"/>
        <v>BG</v>
      </c>
      <c r="BH18" s="191" t="str">
        <f t="shared" si="8"/>
        <v>BH</v>
      </c>
      <c r="BI18" s="191" t="str">
        <f t="shared" si="8"/>
        <v>BI</v>
      </c>
      <c r="BJ18" s="191" t="str">
        <f t="shared" si="8"/>
        <v>BJ</v>
      </c>
      <c r="BK18" s="191" t="str">
        <f t="shared" si="8"/>
        <v>BK</v>
      </c>
      <c r="BL18" s="191" t="str">
        <f t="shared" si="8"/>
        <v>BL</v>
      </c>
      <c r="BM18" s="191" t="str">
        <f t="shared" ref="BM18:BU18" si="9">SUBSTITUTE(ADDRESS(1,COLUMN(),4),1,"")</f>
        <v>BM</v>
      </c>
      <c r="BN18" s="191" t="str">
        <f t="shared" si="9"/>
        <v>BN</v>
      </c>
      <c r="BO18" s="191" t="str">
        <f t="shared" si="9"/>
        <v>BO</v>
      </c>
      <c r="BP18" s="191" t="str">
        <f t="shared" si="9"/>
        <v>BP</v>
      </c>
      <c r="BQ18" s="191" t="str">
        <f t="shared" si="9"/>
        <v>BQ</v>
      </c>
      <c r="BR18" s="191" t="str">
        <f t="shared" si="9"/>
        <v>BR</v>
      </c>
      <c r="BS18" s="191" t="str">
        <f t="shared" si="9"/>
        <v>BS</v>
      </c>
      <c r="BT18" s="191" t="str">
        <f t="shared" si="9"/>
        <v>BT</v>
      </c>
      <c r="BU18" s="191" t="str">
        <f t="shared" si="9"/>
        <v>BU</v>
      </c>
      <c r="BW18" s="191" t="str">
        <f t="shared" ref="BW18:CD18" si="10">SUBSTITUTE(ADDRESS(1,COLUMN(),4),1,"")</f>
        <v>BW</v>
      </c>
      <c r="BX18" s="191" t="str">
        <f t="shared" si="10"/>
        <v>BX</v>
      </c>
      <c r="BY18" s="191" t="str">
        <f t="shared" si="10"/>
        <v>BY</v>
      </c>
      <c r="BZ18" s="191" t="str">
        <f t="shared" si="10"/>
        <v>BZ</v>
      </c>
      <c r="CA18" s="191" t="str">
        <f t="shared" si="10"/>
        <v>CA</v>
      </c>
      <c r="CB18" s="191" t="str">
        <f t="shared" si="10"/>
        <v>CB</v>
      </c>
      <c r="CC18" s="191" t="str">
        <f t="shared" si="10"/>
        <v>CC</v>
      </c>
      <c r="CD18" s="191" t="str">
        <f t="shared" si="10"/>
        <v>CD</v>
      </c>
    </row>
    <row r="19" spans="1:87" s="214" customFormat="1" ht="409.5" customHeight="1">
      <c r="A19" s="205" t="s">
        <v>126</v>
      </c>
      <c r="B19" s="206" t="s">
        <v>127</v>
      </c>
      <c r="C19" s="206" t="s">
        <v>128</v>
      </c>
      <c r="D19" s="207" t="s">
        <v>129</v>
      </c>
      <c r="E19" s="208" t="s">
        <v>130</v>
      </c>
      <c r="F19" s="209" t="s">
        <v>131</v>
      </c>
      <c r="G19" s="208" t="s">
        <v>132</v>
      </c>
      <c r="H19" s="204"/>
      <c r="I19" s="204"/>
      <c r="J19" s="210" t="s">
        <v>133</v>
      </c>
      <c r="K19" s="204" t="s">
        <v>134</v>
      </c>
      <c r="L19" s="204" t="s">
        <v>135</v>
      </c>
      <c r="M19" s="204" t="s">
        <v>136</v>
      </c>
      <c r="N19" s="204" t="s">
        <v>136</v>
      </c>
      <c r="O19" s="204" t="s">
        <v>137</v>
      </c>
      <c r="P19" s="204" t="s">
        <v>138</v>
      </c>
      <c r="Q19" s="204" t="s">
        <v>139</v>
      </c>
      <c r="R19" s="204" t="s">
        <v>140</v>
      </c>
      <c r="S19" s="204" t="s">
        <v>136</v>
      </c>
      <c r="T19" s="211"/>
      <c r="U19" s="204">
        <v>0</v>
      </c>
      <c r="V19" s="204">
        <v>0</v>
      </c>
      <c r="W19" s="204">
        <v>0</v>
      </c>
      <c r="X19" s="204">
        <v>0</v>
      </c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  <c r="AL19" s="204"/>
      <c r="AM19" s="204"/>
      <c r="AN19" s="204"/>
      <c r="AO19" s="203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204"/>
      <c r="AQ19" s="204"/>
      <c r="AR19" s="204">
        <v>780000</v>
      </c>
      <c r="AS19" s="204"/>
      <c r="AT19" s="204"/>
      <c r="AU19" s="204"/>
      <c r="AV19" s="212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12"/>
      <c r="AX19" s="212"/>
      <c r="AY19" s="204"/>
      <c r="AZ19" s="204"/>
      <c r="BA19" s="204"/>
      <c r="BB19" s="204" t="str">
        <f>"["&amp;AY17&amp;"]+["&amp;AZ17&amp;"]+["&amp;BA17&amp;"]"</f>
        <v>[BHXH]+[BHYT]+[BHTN]</v>
      </c>
      <c r="BC19" s="204"/>
      <c r="BD19" s="204"/>
      <c r="BE19" s="204"/>
      <c r="BF19" s="204"/>
      <c r="BG19" s="204"/>
      <c r="BH19" s="204">
        <v>3</v>
      </c>
      <c r="BI19" s="204">
        <v>4400000</v>
      </c>
      <c r="BJ19" s="204"/>
      <c r="BK19" s="204"/>
      <c r="BL19" s="204"/>
      <c r="BM19" s="204"/>
      <c r="BN19" s="204"/>
      <c r="BO19" s="204">
        <v>0</v>
      </c>
      <c r="BP19" s="204"/>
      <c r="BQ19" s="204"/>
      <c r="BR19" s="204"/>
      <c r="BS19" s="204"/>
      <c r="BT19" s="216"/>
      <c r="BU19" s="204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204">
        <v>60000000</v>
      </c>
      <c r="BX19" s="204">
        <v>0</v>
      </c>
      <c r="BY19" s="204"/>
      <c r="BZ19" s="204"/>
      <c r="CA19" s="204">
        <v>0</v>
      </c>
      <c r="CB19" s="204"/>
      <c r="CC19" s="204" t="s">
        <v>122</v>
      </c>
      <c r="CD19" s="204"/>
      <c r="CE19" s="213"/>
      <c r="CF19" s="213"/>
      <c r="CG19" s="213"/>
      <c r="CI19" s="215"/>
    </row>
    <row r="20" spans="1:87" s="202" customFormat="1" ht="11">
      <c r="A20" s="193"/>
      <c r="B20" s="194"/>
      <c r="C20" s="195"/>
      <c r="D20" s="196"/>
      <c r="E20" s="196"/>
      <c r="F20" s="197"/>
      <c r="G20" s="198"/>
      <c r="H20" s="198"/>
      <c r="I20" s="199"/>
      <c r="J20" s="199"/>
      <c r="K20" s="200"/>
      <c r="L20" s="200"/>
      <c r="M20" s="200"/>
      <c r="N20" s="200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  <c r="AL20" s="198"/>
      <c r="AM20" s="198"/>
      <c r="AN20" s="198"/>
      <c r="AO20" s="198"/>
      <c r="AP20" s="198"/>
      <c r="AQ20" s="198"/>
      <c r="AR20" s="198"/>
      <c r="AS20" s="198"/>
      <c r="AT20" s="198"/>
      <c r="AU20" s="198"/>
      <c r="AV20" s="198"/>
      <c r="AW20" s="198"/>
      <c r="AX20" s="198"/>
      <c r="AY20" s="198"/>
      <c r="AZ20" s="198"/>
      <c r="BA20" s="198"/>
      <c r="BB20" s="198"/>
      <c r="BC20" s="198"/>
      <c r="BD20" s="198"/>
      <c r="BE20" s="198"/>
      <c r="BF20" s="198"/>
      <c r="BG20" s="198"/>
      <c r="BH20" s="198"/>
      <c r="BI20" s="198"/>
      <c r="BJ20" s="198"/>
      <c r="BK20" s="198"/>
      <c r="BL20" s="198"/>
      <c r="BM20" s="198"/>
      <c r="BN20" s="198"/>
      <c r="BO20" s="198"/>
      <c r="BP20" s="198"/>
      <c r="BQ20" s="198"/>
      <c r="BR20" s="198"/>
      <c r="BS20" s="198"/>
      <c r="BT20" s="198"/>
      <c r="BU20" s="198"/>
      <c r="BW20" s="198"/>
      <c r="BX20" s="198"/>
      <c r="BY20" s="198"/>
      <c r="BZ20" s="198"/>
      <c r="CA20" s="198"/>
      <c r="CB20" s="201"/>
      <c r="CC20" s="201"/>
      <c r="CD20" s="201"/>
    </row>
    <row r="21" spans="1:87" s="202" customFormat="1" ht="11">
      <c r="A21" s="193"/>
      <c r="B21" s="194"/>
      <c r="C21" s="195"/>
      <c r="D21" s="196"/>
      <c r="E21" s="196"/>
      <c r="F21" s="197"/>
      <c r="G21" s="198"/>
      <c r="H21" s="198"/>
      <c r="I21" s="199"/>
      <c r="J21" s="199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198"/>
      <c r="Z21" s="198"/>
      <c r="AA21" s="198"/>
      <c r="AB21" s="198"/>
      <c r="AC21" s="198"/>
      <c r="AD21" s="198"/>
      <c r="AE21" s="198"/>
      <c r="AF21" s="198"/>
      <c r="AG21" s="198"/>
      <c r="AH21" s="198"/>
      <c r="AI21" s="198"/>
      <c r="AJ21" s="198"/>
      <c r="AK21" s="198"/>
      <c r="AL21" s="198"/>
      <c r="AM21" s="198"/>
      <c r="AN21" s="198"/>
      <c r="AO21" s="198"/>
      <c r="AP21" s="198"/>
      <c r="AQ21" s="198"/>
      <c r="AR21" s="198"/>
      <c r="AS21" s="198"/>
      <c r="AT21" s="198"/>
      <c r="AU21" s="198"/>
      <c r="AV21" s="198"/>
      <c r="AW21" s="198"/>
      <c r="AX21" s="198"/>
      <c r="AY21" s="198"/>
      <c r="AZ21" s="198"/>
      <c r="BA21" s="198"/>
      <c r="BB21" s="198"/>
      <c r="BC21" s="198"/>
      <c r="BD21" s="198"/>
      <c r="BE21" s="198"/>
      <c r="BF21" s="198"/>
      <c r="BG21" s="198"/>
      <c r="BH21" s="198"/>
      <c r="BI21" s="198"/>
      <c r="BJ21" s="198"/>
      <c r="BK21" s="198"/>
      <c r="BL21" s="198"/>
      <c r="BM21" s="198"/>
      <c r="BN21" s="198"/>
      <c r="BO21" s="198"/>
      <c r="BP21" s="198"/>
      <c r="BQ21" s="198"/>
      <c r="BR21" s="198"/>
      <c r="BS21" s="198"/>
      <c r="BT21" s="198"/>
      <c r="BU21" s="198"/>
      <c r="BW21" s="198"/>
      <c r="BX21" s="198"/>
      <c r="BY21" s="198"/>
      <c r="BZ21" s="198"/>
      <c r="CA21" s="198"/>
      <c r="CB21" s="201"/>
      <c r="CC21" s="201"/>
      <c r="CD21" s="201"/>
    </row>
    <row r="22" spans="1:87" s="202" customFormat="1" ht="11">
      <c r="A22" s="193"/>
      <c r="B22" s="194"/>
      <c r="C22" s="195"/>
      <c r="D22" s="196"/>
      <c r="E22" s="196"/>
      <c r="F22" s="197"/>
      <c r="G22" s="198"/>
      <c r="H22" s="198"/>
      <c r="I22" s="199"/>
      <c r="J22" s="199"/>
      <c r="K22" s="200"/>
      <c r="L22" s="200"/>
      <c r="M22" s="200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  <c r="AL22" s="198"/>
      <c r="AM22" s="198"/>
      <c r="AN22" s="198"/>
      <c r="AO22" s="198"/>
      <c r="AP22" s="198"/>
      <c r="AQ22" s="198"/>
      <c r="AR22" s="198"/>
      <c r="AS22" s="198"/>
      <c r="AT22" s="198"/>
      <c r="AU22" s="198"/>
      <c r="AV22" s="198"/>
      <c r="AW22" s="198"/>
      <c r="AX22" s="198"/>
      <c r="AY22" s="198"/>
      <c r="AZ22" s="198"/>
      <c r="BA22" s="198"/>
      <c r="BB22" s="198"/>
      <c r="BC22" s="198"/>
      <c r="BD22" s="198"/>
      <c r="BE22" s="198"/>
      <c r="BF22" s="198"/>
      <c r="BG22" s="198"/>
      <c r="BH22" s="198"/>
      <c r="BI22" s="198"/>
      <c r="BJ22" s="198"/>
      <c r="BK22" s="198"/>
      <c r="BL22" s="198"/>
      <c r="BM22" s="198"/>
      <c r="BN22" s="198"/>
      <c r="BO22" s="198"/>
      <c r="BP22" s="198"/>
      <c r="BQ22" s="198"/>
      <c r="BR22" s="198"/>
      <c r="BS22" s="198"/>
      <c r="BT22" s="198"/>
      <c r="BU22" s="198"/>
      <c r="BW22" s="198"/>
      <c r="BX22" s="198"/>
      <c r="BY22" s="198"/>
      <c r="BZ22" s="198"/>
      <c r="CA22" s="198"/>
      <c r="CB22" s="201"/>
      <c r="CC22" s="201"/>
      <c r="CD22" s="201"/>
    </row>
    <row r="23" spans="1:87" s="202" customFormat="1" ht="11">
      <c r="A23" s="193"/>
      <c r="B23" s="194"/>
      <c r="C23" s="195"/>
      <c r="D23" s="196"/>
      <c r="E23" s="196"/>
      <c r="F23" s="197"/>
      <c r="G23" s="198"/>
      <c r="H23" s="198"/>
      <c r="I23" s="199"/>
      <c r="J23" s="199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198"/>
      <c r="Z23" s="198"/>
      <c r="AA23" s="198"/>
      <c r="AB23" s="198"/>
      <c r="AC23" s="198"/>
      <c r="AD23" s="198"/>
      <c r="AE23" s="198"/>
      <c r="AF23" s="198"/>
      <c r="AG23" s="198"/>
      <c r="AH23" s="198"/>
      <c r="AI23" s="198"/>
      <c r="AJ23" s="198"/>
      <c r="AK23" s="198"/>
      <c r="AL23" s="198"/>
      <c r="AM23" s="198"/>
      <c r="AN23" s="198"/>
      <c r="AO23" s="198"/>
      <c r="AP23" s="198"/>
      <c r="AQ23" s="198"/>
      <c r="AR23" s="198"/>
      <c r="AS23" s="198"/>
      <c r="AT23" s="198"/>
      <c r="AU23" s="198"/>
      <c r="AV23" s="198"/>
      <c r="AW23" s="198"/>
      <c r="AX23" s="198"/>
      <c r="AY23" s="198"/>
      <c r="AZ23" s="198"/>
      <c r="BA23" s="198"/>
      <c r="BB23" s="198"/>
      <c r="BC23" s="198"/>
      <c r="BD23" s="198"/>
      <c r="BE23" s="198"/>
      <c r="BF23" s="198"/>
      <c r="BG23" s="198"/>
      <c r="BH23" s="198"/>
      <c r="BI23" s="198"/>
      <c r="BJ23" s="198"/>
      <c r="BK23" s="198"/>
      <c r="BL23" s="198"/>
      <c r="BM23" s="198"/>
      <c r="BN23" s="198"/>
      <c r="BO23" s="198"/>
      <c r="BP23" s="198"/>
      <c r="BQ23" s="198"/>
      <c r="BR23" s="198"/>
      <c r="BS23" s="198"/>
      <c r="BT23" s="198"/>
      <c r="BU23" s="198"/>
      <c r="BW23" s="198"/>
      <c r="BX23" s="198"/>
      <c r="BY23" s="198"/>
      <c r="BZ23" s="198"/>
      <c r="CA23" s="198"/>
      <c r="CB23" s="201"/>
      <c r="CC23" s="201"/>
      <c r="CD23" s="201"/>
    </row>
    <row r="24" spans="1:87" s="202" customFormat="1" ht="11">
      <c r="A24" s="193"/>
      <c r="B24" s="194"/>
      <c r="C24" s="195"/>
      <c r="D24" s="196"/>
      <c r="E24" s="196"/>
      <c r="F24" s="197"/>
      <c r="G24" s="198"/>
      <c r="H24" s="198"/>
      <c r="I24" s="199"/>
      <c r="J24" s="199"/>
      <c r="K24" s="200"/>
      <c r="L24" s="200"/>
      <c r="M24" s="200"/>
      <c r="N24" s="200"/>
      <c r="O24" s="200"/>
      <c r="P24" s="200"/>
      <c r="Q24" s="200"/>
      <c r="R24" s="200"/>
      <c r="S24" s="200"/>
      <c r="T24" s="200"/>
      <c r="U24" s="200"/>
      <c r="V24" s="200"/>
      <c r="W24" s="200"/>
      <c r="X24" s="200"/>
      <c r="Y24" s="198"/>
      <c r="Z24" s="198"/>
      <c r="AA24" s="198"/>
      <c r="AB24" s="198"/>
      <c r="AC24" s="198"/>
      <c r="AD24" s="198"/>
      <c r="AE24" s="198"/>
      <c r="AF24" s="198"/>
      <c r="AG24" s="198"/>
      <c r="AH24" s="198"/>
      <c r="AI24" s="198"/>
      <c r="AJ24" s="198"/>
      <c r="AK24" s="198"/>
      <c r="AL24" s="198"/>
      <c r="AM24" s="198"/>
      <c r="AN24" s="198"/>
      <c r="AO24" s="198"/>
      <c r="AP24" s="198"/>
      <c r="AQ24" s="198"/>
      <c r="AR24" s="198"/>
      <c r="AS24" s="198"/>
      <c r="AT24" s="198"/>
      <c r="AU24" s="198"/>
      <c r="AV24" s="198"/>
      <c r="AW24" s="198"/>
      <c r="AX24" s="198"/>
      <c r="AY24" s="198"/>
      <c r="AZ24" s="198"/>
      <c r="BA24" s="198"/>
      <c r="BB24" s="198"/>
      <c r="BC24" s="198"/>
      <c r="BD24" s="198"/>
      <c r="BE24" s="198"/>
      <c r="BF24" s="198"/>
      <c r="BG24" s="198"/>
      <c r="BH24" s="198"/>
      <c r="BI24" s="198"/>
      <c r="BJ24" s="198"/>
      <c r="BK24" s="198"/>
      <c r="BL24" s="198"/>
      <c r="BM24" s="198"/>
      <c r="BN24" s="198"/>
      <c r="BO24" s="198"/>
      <c r="BP24" s="198"/>
      <c r="BQ24" s="198"/>
      <c r="BR24" s="198"/>
      <c r="BS24" s="198"/>
      <c r="BT24" s="198"/>
      <c r="BU24" s="198"/>
      <c r="BW24" s="198"/>
      <c r="BX24" s="198"/>
      <c r="BY24" s="198"/>
      <c r="BZ24" s="198"/>
      <c r="CA24" s="198"/>
      <c r="CB24" s="201"/>
      <c r="CC24" s="201"/>
      <c r="CD24" s="201"/>
    </row>
    <row r="26" spans="1:87" ht="28">
      <c r="BN26" s="300" t="s">
        <v>151</v>
      </c>
    </row>
  </sheetData>
  <autoFilter ref="A9:CI14" xr:uid="{00000000-0009-0000-0000-000001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O6:O8"/>
    <mergeCell ref="G5:G8"/>
    <mergeCell ref="AQ5:AQ8"/>
    <mergeCell ref="I5:I8"/>
    <mergeCell ref="R6:R8"/>
    <mergeCell ref="B5:B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AY5:BQ5"/>
    <mergeCell ref="CB5:CB8"/>
    <mergeCell ref="BT5:BT8"/>
    <mergeCell ref="AL6:AL8"/>
    <mergeCell ref="P6:P8"/>
    <mergeCell ref="BB7:BB8"/>
    <mergeCell ref="BD7:BD8"/>
    <mergeCell ref="BF7:BF8"/>
    <mergeCell ref="BH7:BH8"/>
    <mergeCell ref="S6:S8"/>
    <mergeCell ref="AS5:AS8"/>
    <mergeCell ref="AU5:AU8"/>
    <mergeCell ref="BK7:BK8"/>
    <mergeCell ref="BQ7:BQ8"/>
    <mergeCell ref="BN7:BN8"/>
    <mergeCell ref="BP7:BP8"/>
    <mergeCell ref="AM6:AM8"/>
    <mergeCell ref="N6:N8"/>
    <mergeCell ref="F5:F8"/>
    <mergeCell ref="AP5:AP8"/>
    <mergeCell ref="BO7:BO8"/>
    <mergeCell ref="AB6:AB8"/>
    <mergeCell ref="M6:M8"/>
    <mergeCell ref="AH6:AH8"/>
    <mergeCell ref="AJ6:AJ8"/>
    <mergeCell ref="T6:T8"/>
    <mergeCell ref="Q6:Q8"/>
    <mergeCell ref="BS6:BS8"/>
    <mergeCell ref="BM6:BQ6"/>
    <mergeCell ref="AC6:AC8"/>
    <mergeCell ref="BC7:BC8"/>
    <mergeCell ref="AE6:AE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G15" activePane="bottomRight" state="frozen"/>
      <selection pane="topRight" activeCell="E18" sqref="E18"/>
      <selection pane="bottomLeft" activeCell="E18" sqref="E18"/>
      <selection pane="bottomRight" activeCell="H29" sqref="H29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0.83203125" style="67" bestFit="1" customWidth="1"/>
    <col min="4" max="4" width="5.5" style="68" bestFit="1" customWidth="1" outlineLevel="1"/>
    <col min="5" max="5" width="5.5" style="68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277"/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74"/>
      <c r="M3" s="274"/>
      <c r="N3" s="274"/>
      <c r="O3" s="274"/>
      <c r="P3" s="274"/>
      <c r="Q3" s="274"/>
      <c r="R3" s="274"/>
      <c r="S3" s="274"/>
      <c r="T3" s="274"/>
      <c r="U3" s="274"/>
      <c r="V3" s="274"/>
      <c r="W3" s="274"/>
      <c r="X3" s="274"/>
      <c r="Y3" s="274"/>
      <c r="Z3" s="274"/>
      <c r="AA3" s="274"/>
      <c r="AB3" s="274"/>
      <c r="AC3" s="274"/>
      <c r="AD3" s="274"/>
      <c r="AE3" s="274"/>
      <c r="AF3" s="274"/>
      <c r="AG3" s="274"/>
      <c r="AH3" s="274"/>
      <c r="AI3" s="274"/>
      <c r="AJ3" s="274"/>
      <c r="AK3" s="274"/>
      <c r="AL3" s="274"/>
      <c r="AM3" s="274"/>
      <c r="AN3" s="274"/>
      <c r="AO3" s="274"/>
      <c r="AP3" s="274"/>
      <c r="AQ3" s="274"/>
      <c r="AR3" s="274"/>
      <c r="AS3" s="274"/>
      <c r="AT3" s="274"/>
      <c r="AU3" s="274"/>
      <c r="AV3" s="274"/>
      <c r="AW3" s="274"/>
      <c r="AX3" s="274"/>
      <c r="AY3" s="274"/>
      <c r="AZ3" s="274"/>
      <c r="BA3" s="274"/>
      <c r="BB3" s="274"/>
      <c r="BC3" s="274"/>
      <c r="BD3" s="274"/>
      <c r="BE3" s="274"/>
      <c r="BF3" s="274"/>
      <c r="BG3" s="274"/>
      <c r="BH3" s="274"/>
      <c r="BI3" s="274"/>
      <c r="BJ3" s="274"/>
      <c r="BK3" s="274"/>
      <c r="BL3" s="274"/>
      <c r="BM3" s="274"/>
      <c r="BN3" s="274"/>
      <c r="BO3" s="274"/>
      <c r="BP3" s="274"/>
      <c r="BQ3" s="274"/>
      <c r="BR3" s="274"/>
      <c r="BS3" s="274"/>
      <c r="BT3" s="274"/>
      <c r="BU3" s="274"/>
      <c r="BV3" s="110"/>
      <c r="BW3" s="273" t="s">
        <v>2</v>
      </c>
      <c r="BX3" s="274"/>
      <c r="BY3" s="274"/>
      <c r="BZ3" s="274"/>
      <c r="CA3" s="274"/>
      <c r="CB3" s="274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274"/>
      <c r="BX4" s="274"/>
      <c r="BY4" s="274"/>
      <c r="BZ4" s="274"/>
      <c r="CA4" s="274"/>
      <c r="CB4" s="274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275"/>
      <c r="BX5" s="275"/>
      <c r="BY5" s="275"/>
      <c r="BZ5" s="275"/>
      <c r="CA5" s="275"/>
      <c r="CB5" s="275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275"/>
      <c r="BX6" s="275"/>
      <c r="BY6" s="275"/>
      <c r="BZ6" s="275"/>
      <c r="CA6" s="275"/>
      <c r="CB6" s="275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251" t="s">
        <v>4</v>
      </c>
      <c r="B8" s="279" t="s">
        <v>5</v>
      </c>
      <c r="C8" s="261" t="s">
        <v>6</v>
      </c>
      <c r="D8" s="263" t="s">
        <v>141</v>
      </c>
      <c r="E8" s="263" t="s">
        <v>8</v>
      </c>
      <c r="F8" s="297" t="s">
        <v>142</v>
      </c>
      <c r="G8" s="242" t="s">
        <v>10</v>
      </c>
      <c r="H8" s="270" t="s">
        <v>11</v>
      </c>
      <c r="I8" s="270" t="s">
        <v>12</v>
      </c>
      <c r="J8" s="242" t="s">
        <v>13</v>
      </c>
      <c r="K8" s="271" t="s">
        <v>14</v>
      </c>
      <c r="L8" s="243"/>
      <c r="M8" s="243"/>
      <c r="N8" s="243"/>
      <c r="O8" s="243"/>
      <c r="P8" s="243"/>
      <c r="Q8" s="243"/>
      <c r="R8" s="243"/>
      <c r="S8" s="243"/>
      <c r="T8" s="243"/>
      <c r="U8" s="243"/>
      <c r="V8" s="243"/>
      <c r="W8" s="243"/>
      <c r="X8" s="243"/>
      <c r="Y8" s="242" t="s">
        <v>15</v>
      </c>
      <c r="Z8" s="243"/>
      <c r="AA8" s="243"/>
      <c r="AB8" s="243"/>
      <c r="AC8" s="243"/>
      <c r="AD8" s="243"/>
      <c r="AE8" s="243"/>
      <c r="AF8" s="243"/>
      <c r="AG8" s="243"/>
      <c r="AH8" s="243"/>
      <c r="AI8" s="243"/>
      <c r="AJ8" s="243"/>
      <c r="AK8" s="243"/>
      <c r="AL8" s="243"/>
      <c r="AM8" s="243"/>
      <c r="AN8" s="243"/>
      <c r="AO8" s="244"/>
      <c r="AP8" s="242" t="s">
        <v>16</v>
      </c>
      <c r="AQ8" s="242" t="s">
        <v>17</v>
      </c>
      <c r="AR8" s="242" t="s">
        <v>18</v>
      </c>
      <c r="AS8" s="242" t="s">
        <v>19</v>
      </c>
      <c r="AT8" s="242" t="s">
        <v>20</v>
      </c>
      <c r="AU8" s="242" t="s">
        <v>21</v>
      </c>
      <c r="AV8" s="261" t="s">
        <v>22</v>
      </c>
      <c r="AW8" s="261" t="s">
        <v>23</v>
      </c>
      <c r="AX8" s="261" t="s">
        <v>24</v>
      </c>
      <c r="AY8" s="268" t="s">
        <v>25</v>
      </c>
      <c r="AZ8" s="243"/>
      <c r="BA8" s="243"/>
      <c r="BB8" s="243"/>
      <c r="BC8" s="243"/>
      <c r="BD8" s="243"/>
      <c r="BE8" s="243"/>
      <c r="BF8" s="243"/>
      <c r="BG8" s="243"/>
      <c r="BH8" s="243"/>
      <c r="BI8" s="243"/>
      <c r="BJ8" s="243"/>
      <c r="BK8" s="243"/>
      <c r="BL8" s="243"/>
      <c r="BM8" s="243"/>
      <c r="BN8" s="243"/>
      <c r="BO8" s="243"/>
      <c r="BP8" s="244"/>
      <c r="BQ8" s="280" t="s">
        <v>26</v>
      </c>
      <c r="BR8" s="254"/>
      <c r="BS8" s="268" t="s">
        <v>143</v>
      </c>
      <c r="BT8" s="268" t="s">
        <v>27</v>
      </c>
      <c r="BU8" s="281" t="s">
        <v>28</v>
      </c>
      <c r="BV8" s="114"/>
      <c r="BW8" s="262" t="s">
        <v>29</v>
      </c>
      <c r="BX8" s="252" t="s">
        <v>30</v>
      </c>
      <c r="BY8" s="253"/>
      <c r="BZ8" s="253"/>
      <c r="CA8" s="254"/>
      <c r="CB8" s="266" t="s">
        <v>31</v>
      </c>
      <c r="CC8" s="276" t="s">
        <v>32</v>
      </c>
      <c r="CD8" s="276" t="s">
        <v>33</v>
      </c>
      <c r="CH8" s="27"/>
      <c r="CI8" s="28"/>
    </row>
    <row r="9" spans="1:87" s="11" customFormat="1" ht="19.25" customHeight="1">
      <c r="A9" s="248"/>
      <c r="B9" s="248"/>
      <c r="C9" s="248"/>
      <c r="D9" s="248"/>
      <c r="E9" s="248"/>
      <c r="F9" s="248"/>
      <c r="G9" s="248"/>
      <c r="H9" s="248"/>
      <c r="I9" s="248"/>
      <c r="J9" s="248"/>
      <c r="K9" s="247" t="s">
        <v>34</v>
      </c>
      <c r="L9" s="247" t="s">
        <v>35</v>
      </c>
      <c r="M9" s="247" t="s">
        <v>36</v>
      </c>
      <c r="N9" s="247" t="s">
        <v>37</v>
      </c>
      <c r="O9" s="247" t="s">
        <v>38</v>
      </c>
      <c r="P9" s="247" t="s">
        <v>39</v>
      </c>
      <c r="Q9" s="247" t="s">
        <v>40</v>
      </c>
      <c r="R9" s="247" t="s">
        <v>41</v>
      </c>
      <c r="S9" s="247" t="s">
        <v>42</v>
      </c>
      <c r="T9" s="247" t="s">
        <v>43</v>
      </c>
      <c r="U9" s="247" t="s">
        <v>44</v>
      </c>
      <c r="V9" s="284" t="s">
        <v>45</v>
      </c>
      <c r="W9" s="254"/>
      <c r="X9" s="247" t="s">
        <v>46</v>
      </c>
      <c r="Y9" s="249" t="s">
        <v>47</v>
      </c>
      <c r="Z9" s="249" t="s">
        <v>48</v>
      </c>
      <c r="AA9" s="249" t="s">
        <v>49</v>
      </c>
      <c r="AB9" s="249" t="s">
        <v>50</v>
      </c>
      <c r="AC9" s="250" t="s">
        <v>51</v>
      </c>
      <c r="AD9" s="250" t="s">
        <v>144</v>
      </c>
      <c r="AE9" s="250" t="s">
        <v>53</v>
      </c>
      <c r="AF9" s="250" t="s">
        <v>54</v>
      </c>
      <c r="AG9" s="249" t="s">
        <v>55</v>
      </c>
      <c r="AH9" s="250" t="s">
        <v>56</v>
      </c>
      <c r="AI9" s="250" t="s">
        <v>57</v>
      </c>
      <c r="AJ9" s="249" t="s">
        <v>58</v>
      </c>
      <c r="AK9" s="283" t="s">
        <v>59</v>
      </c>
      <c r="AL9" s="261" t="s">
        <v>60</v>
      </c>
      <c r="AM9" s="249" t="s">
        <v>61</v>
      </c>
      <c r="AN9" s="269" t="s">
        <v>62</v>
      </c>
      <c r="AO9" s="261" t="s">
        <v>63</v>
      </c>
      <c r="AP9" s="248"/>
      <c r="AQ9" s="248"/>
      <c r="AR9" s="248"/>
      <c r="AS9" s="248"/>
      <c r="AT9" s="248"/>
      <c r="AU9" s="248"/>
      <c r="AV9" s="248"/>
      <c r="AW9" s="248"/>
      <c r="AX9" s="248"/>
      <c r="AY9" s="268" t="s">
        <v>25</v>
      </c>
      <c r="AZ9" s="243"/>
      <c r="BA9" s="243"/>
      <c r="BB9" s="243"/>
      <c r="BC9" s="243"/>
      <c r="BD9" s="243"/>
      <c r="BE9" s="243"/>
      <c r="BF9" s="243"/>
      <c r="BG9" s="243"/>
      <c r="BH9" s="243"/>
      <c r="BI9" s="243"/>
      <c r="BJ9" s="244"/>
      <c r="BK9" s="268" t="s">
        <v>64</v>
      </c>
      <c r="BL9" s="243"/>
      <c r="BM9" s="243"/>
      <c r="BN9" s="243"/>
      <c r="BO9" s="243"/>
      <c r="BP9" s="244"/>
      <c r="BQ9" s="265" t="s">
        <v>65</v>
      </c>
      <c r="BR9" s="265" t="s">
        <v>66</v>
      </c>
      <c r="BS9" s="248"/>
      <c r="BT9" s="248"/>
      <c r="BU9" s="255"/>
      <c r="BV9" s="114"/>
      <c r="BW9" s="257"/>
      <c r="BX9" s="255"/>
      <c r="BY9" s="256"/>
      <c r="BZ9" s="256"/>
      <c r="CA9" s="257"/>
      <c r="CB9" s="248"/>
      <c r="CC9" s="248"/>
      <c r="CD9" s="248"/>
      <c r="CH9" s="27"/>
      <c r="CI9" s="28"/>
    </row>
    <row r="10" spans="1:87" s="29" customFormat="1" ht="19.25" customHeight="1">
      <c r="A10" s="248"/>
      <c r="B10" s="248"/>
      <c r="C10" s="248"/>
      <c r="D10" s="248"/>
      <c r="E10" s="248"/>
      <c r="F10" s="248"/>
      <c r="G10" s="248"/>
      <c r="H10" s="248"/>
      <c r="I10" s="248"/>
      <c r="J10" s="248"/>
      <c r="K10" s="248"/>
      <c r="L10" s="248"/>
      <c r="M10" s="248"/>
      <c r="N10" s="248"/>
      <c r="O10" s="248"/>
      <c r="P10" s="248"/>
      <c r="Q10" s="248"/>
      <c r="R10" s="248"/>
      <c r="S10" s="248"/>
      <c r="T10" s="248"/>
      <c r="U10" s="248"/>
      <c r="V10" s="282"/>
      <c r="W10" s="285"/>
      <c r="X10" s="248"/>
      <c r="Y10" s="248"/>
      <c r="Z10" s="248"/>
      <c r="AA10" s="248"/>
      <c r="AB10" s="248"/>
      <c r="AC10" s="248"/>
      <c r="AD10" s="248"/>
      <c r="AE10" s="248"/>
      <c r="AF10" s="248"/>
      <c r="AG10" s="248"/>
      <c r="AH10" s="248"/>
      <c r="AI10" s="248"/>
      <c r="AJ10" s="248"/>
      <c r="AK10" s="255"/>
      <c r="AL10" s="248"/>
      <c r="AM10" s="248"/>
      <c r="AN10" s="248"/>
      <c r="AO10" s="248"/>
      <c r="AP10" s="248"/>
      <c r="AQ10" s="248"/>
      <c r="AR10" s="248"/>
      <c r="AS10" s="248"/>
      <c r="AT10" s="248"/>
      <c r="AU10" s="248"/>
      <c r="AV10" s="248"/>
      <c r="AW10" s="248"/>
      <c r="AX10" s="248"/>
      <c r="AY10" s="101" t="s">
        <v>67</v>
      </c>
      <c r="AZ10" s="101" t="s">
        <v>68</v>
      </c>
      <c r="BA10" s="101" t="s">
        <v>69</v>
      </c>
      <c r="BB10" s="298" t="s">
        <v>70</v>
      </c>
      <c r="BC10" s="295" t="s">
        <v>71</v>
      </c>
      <c r="BD10" s="295" t="s">
        <v>72</v>
      </c>
      <c r="BE10" s="295" t="s">
        <v>145</v>
      </c>
      <c r="BF10" s="295" t="s">
        <v>74</v>
      </c>
      <c r="BG10" s="295" t="s">
        <v>75</v>
      </c>
      <c r="BH10" s="295" t="s">
        <v>76</v>
      </c>
      <c r="BI10" s="295" t="s">
        <v>79</v>
      </c>
      <c r="BJ10" s="294" t="s">
        <v>80</v>
      </c>
      <c r="BK10" s="295" t="s">
        <v>81</v>
      </c>
      <c r="BL10" s="296" t="s">
        <v>82</v>
      </c>
      <c r="BM10" s="295" t="s">
        <v>83</v>
      </c>
      <c r="BN10" s="296" t="s">
        <v>84</v>
      </c>
      <c r="BO10" s="296" t="s">
        <v>146</v>
      </c>
      <c r="BP10" s="268" t="s">
        <v>85</v>
      </c>
      <c r="BQ10" s="248"/>
      <c r="BR10" s="248"/>
      <c r="BS10" s="248"/>
      <c r="BT10" s="248"/>
      <c r="BU10" s="255"/>
      <c r="BV10" s="114"/>
      <c r="BW10" s="257"/>
      <c r="BX10" s="258"/>
      <c r="BY10" s="259"/>
      <c r="BZ10" s="259"/>
      <c r="CA10" s="260"/>
      <c r="CB10" s="248"/>
      <c r="CC10" s="248"/>
      <c r="CD10" s="248"/>
      <c r="CH10" s="27"/>
      <c r="CI10" s="28"/>
    </row>
    <row r="11" spans="1:87" s="29" customFormat="1" ht="38.25" customHeight="1">
      <c r="A11" s="246"/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/>
      <c r="V11" s="30" t="s">
        <v>86</v>
      </c>
      <c r="W11" s="30" t="s">
        <v>87</v>
      </c>
      <c r="X11" s="246"/>
      <c r="Y11" s="246"/>
      <c r="Z11" s="246"/>
      <c r="AA11" s="246"/>
      <c r="AB11" s="246"/>
      <c r="AC11" s="246"/>
      <c r="AD11" s="246"/>
      <c r="AE11" s="246"/>
      <c r="AF11" s="246"/>
      <c r="AG11" s="246"/>
      <c r="AH11" s="246"/>
      <c r="AI11" s="246"/>
      <c r="AJ11" s="246"/>
      <c r="AK11" s="282"/>
      <c r="AL11" s="246"/>
      <c r="AM11" s="246"/>
      <c r="AN11" s="246"/>
      <c r="AO11" s="246"/>
      <c r="AP11" s="246"/>
      <c r="AQ11" s="246"/>
      <c r="AR11" s="246"/>
      <c r="AS11" s="246"/>
      <c r="AT11" s="246"/>
      <c r="AU11" s="246"/>
      <c r="AV11" s="246"/>
      <c r="AW11" s="246"/>
      <c r="AX11" s="246"/>
      <c r="AY11" s="102" t="s">
        <v>88</v>
      </c>
      <c r="AZ11" s="102" t="s">
        <v>89</v>
      </c>
      <c r="BA11" s="102" t="s">
        <v>90</v>
      </c>
      <c r="BB11" s="246"/>
      <c r="BC11" s="246"/>
      <c r="BD11" s="246"/>
      <c r="BE11" s="246"/>
      <c r="BF11" s="246"/>
      <c r="BG11" s="246"/>
      <c r="BH11" s="246"/>
      <c r="BI11" s="246"/>
      <c r="BJ11" s="246"/>
      <c r="BK11" s="246"/>
      <c r="BL11" s="246"/>
      <c r="BM11" s="246"/>
      <c r="BN11" s="246"/>
      <c r="BO11" s="246"/>
      <c r="BP11" s="246"/>
      <c r="BQ11" s="246"/>
      <c r="BR11" s="246"/>
      <c r="BS11" s="246"/>
      <c r="BT11" s="246"/>
      <c r="BU11" s="282"/>
      <c r="BV11" s="114"/>
      <c r="BW11" s="260"/>
      <c r="BX11" s="72" t="s">
        <v>91</v>
      </c>
      <c r="BY11" s="72" t="s">
        <v>92</v>
      </c>
      <c r="BZ11" s="72" t="s">
        <v>93</v>
      </c>
      <c r="CA11" s="73" t="s">
        <v>94</v>
      </c>
      <c r="CB11" s="267"/>
      <c r="CC11" s="267"/>
      <c r="CD11" s="267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99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CD8:CD11"/>
    <mergeCell ref="Y9:Y11"/>
    <mergeCell ref="AA9:AA11"/>
    <mergeCell ref="AK9:AK11"/>
    <mergeCell ref="AM9:AM11"/>
    <mergeCell ref="AX8:AX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Y8:AO8"/>
    <mergeCell ref="BJ10:BJ11"/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tabSelected="1"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I38" sqref="I38"/>
    </sheetView>
  </sheetViews>
  <sheetFormatPr baseColWidth="10" defaultColWidth="9.1640625" defaultRowHeight="15" outlineLevelRow="1" outlineLevelCol="1"/>
  <cols>
    <col min="1" max="1" width="5.5" style="220" customWidth="1"/>
    <col min="2" max="2" width="8.5" style="221" customWidth="1"/>
    <col min="3" max="3" width="10.83203125" style="222" bestFit="1" customWidth="1"/>
    <col min="4" max="4" width="5.5" style="223" bestFit="1" customWidth="1" outlineLevel="1"/>
    <col min="5" max="5" width="5.5" style="223" customWidth="1" outlineLevel="1"/>
    <col min="6" max="6" width="20.6640625" style="224" customWidth="1" outlineLevel="1"/>
    <col min="7" max="7" width="13.6640625" style="225" bestFit="1" customWidth="1"/>
    <col min="8" max="8" width="12.5" style="225" customWidth="1"/>
    <col min="9" max="9" width="12.5" style="217" customWidth="1"/>
    <col min="10" max="10" width="7.5" style="217" customWidth="1" outlineLevel="1"/>
    <col min="11" max="24" width="7.1640625" style="226" customWidth="1"/>
    <col min="25" max="40" width="12.33203125" style="227" customWidth="1"/>
    <col min="41" max="41" width="100.6640625" style="227" customWidth="1"/>
    <col min="42" max="47" width="12.33203125" style="227" customWidth="1"/>
    <col min="48" max="48" width="30.6640625" style="227" customWidth="1"/>
    <col min="49" max="49" width="13" style="227" customWidth="1"/>
    <col min="50" max="50" width="6.6640625" style="227" customWidth="1"/>
    <col min="51" max="53" width="10.5" style="227" customWidth="1" outlineLevel="1"/>
    <col min="54" max="57" width="10.5" style="227" customWidth="1"/>
    <col min="58" max="58" width="30.6640625" style="227" customWidth="1"/>
    <col min="59" max="61" width="10.5" style="227" customWidth="1"/>
    <col min="62" max="62" width="30.6640625" style="227" customWidth="1"/>
    <col min="63" max="71" width="10.5" style="227" customWidth="1"/>
    <col min="72" max="73" width="12.5" style="227" customWidth="1"/>
    <col min="74" max="74" width="12.5" customWidth="1"/>
    <col min="75" max="79" width="12.6640625" style="225" customWidth="1" outlineLevel="1"/>
    <col min="80" max="80" width="12.6640625" style="228" customWidth="1" outlineLevel="1"/>
    <col min="81" max="82" width="10.6640625" style="228" customWidth="1" outlineLevel="1"/>
    <col min="83" max="83" width="19.5" style="229" customWidth="1"/>
    <col min="84" max="84" width="12.33203125" style="229" customWidth="1"/>
    <col min="85" max="85" width="12.5" style="229" customWidth="1"/>
    <col min="86" max="86" width="11.6640625" style="229" customWidth="1"/>
    <col min="87" max="87" width="9.1640625" style="229" customWidth="1"/>
    <col min="88" max="16384" width="9.1640625" style="229"/>
  </cols>
  <sheetData>
    <row r="1" spans="1:87" s="132" customFormat="1" ht="11" outlineLevel="1">
      <c r="A1" s="130" t="s">
        <v>0</v>
      </c>
      <c r="B1" s="131"/>
      <c r="C1" s="130"/>
      <c r="D1" s="8"/>
      <c r="E1" s="8"/>
      <c r="F1" s="8"/>
      <c r="I1" s="133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5"/>
      <c r="CC1" s="135"/>
      <c r="CD1" s="135"/>
    </row>
    <row r="2" spans="1:87" s="132" customFormat="1" ht="11" outlineLevel="1">
      <c r="A2" s="136" t="s">
        <v>1</v>
      </c>
      <c r="B2" s="131"/>
      <c r="C2" s="137"/>
      <c r="D2" s="8"/>
      <c r="E2" s="8"/>
      <c r="F2" s="8"/>
      <c r="I2" s="133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7"/>
      <c r="CC2" s="137"/>
      <c r="CD2" s="137"/>
    </row>
    <row r="3" spans="1:87" s="139" customFormat="1" ht="11" outlineLevel="1">
      <c r="A3" s="290"/>
      <c r="B3" s="291"/>
      <c r="C3" s="291"/>
      <c r="D3" s="291"/>
      <c r="E3" s="291"/>
      <c r="F3" s="291"/>
      <c r="G3" s="291"/>
      <c r="H3" s="291"/>
      <c r="I3" s="291"/>
      <c r="J3" s="291"/>
      <c r="K3" s="291"/>
      <c r="L3" s="291"/>
      <c r="M3" s="291"/>
      <c r="N3" s="291"/>
      <c r="O3" s="291"/>
      <c r="P3" s="291"/>
      <c r="Q3" s="291"/>
      <c r="R3" s="291"/>
      <c r="S3" s="291"/>
      <c r="T3" s="291"/>
      <c r="U3" s="291"/>
      <c r="V3" s="291"/>
      <c r="W3" s="291"/>
      <c r="X3" s="291"/>
      <c r="Y3" s="291"/>
      <c r="Z3" s="291"/>
      <c r="AA3" s="291"/>
      <c r="AB3" s="291"/>
      <c r="AC3" s="291"/>
      <c r="AD3" s="291"/>
      <c r="AE3" s="291"/>
      <c r="AF3" s="291"/>
      <c r="AG3" s="291"/>
      <c r="AH3" s="291"/>
      <c r="AI3" s="291"/>
      <c r="AJ3" s="291"/>
      <c r="AK3" s="291"/>
      <c r="AL3" s="291"/>
      <c r="AM3" s="291"/>
      <c r="AN3" s="291"/>
      <c r="AO3" s="291"/>
      <c r="AP3" s="291"/>
      <c r="AQ3" s="291"/>
      <c r="AR3" s="291"/>
      <c r="AS3" s="291"/>
      <c r="AT3" s="291"/>
      <c r="AU3" s="291"/>
      <c r="AV3" s="291"/>
      <c r="AW3" s="291"/>
      <c r="AX3" s="291"/>
      <c r="AY3" s="291"/>
      <c r="AZ3" s="291"/>
      <c r="BA3" s="291"/>
      <c r="BB3" s="291"/>
      <c r="BC3" s="291"/>
      <c r="BD3" s="291"/>
      <c r="BE3" s="291"/>
      <c r="BF3" s="291"/>
      <c r="BG3" s="291"/>
      <c r="BH3" s="291"/>
      <c r="BI3" s="291"/>
      <c r="BJ3" s="291"/>
      <c r="BK3" s="291"/>
      <c r="BL3" s="291"/>
      <c r="BM3" s="291"/>
      <c r="BN3" s="291"/>
      <c r="BO3" s="291"/>
      <c r="BP3" s="291"/>
      <c r="BQ3" s="291"/>
      <c r="BR3" s="291"/>
      <c r="BS3" s="291"/>
      <c r="BT3" s="291"/>
      <c r="BU3" s="291"/>
      <c r="BW3" s="293" t="s">
        <v>2</v>
      </c>
      <c r="BX3" s="291"/>
      <c r="BY3" s="291"/>
      <c r="BZ3" s="291"/>
      <c r="CA3" s="291"/>
      <c r="CB3" s="291"/>
      <c r="CC3" s="138"/>
      <c r="CD3" s="138"/>
      <c r="CE3" s="139" t="s">
        <v>3</v>
      </c>
      <c r="CF3" s="139">
        <v>25</v>
      </c>
    </row>
    <row r="4" spans="1:87" s="139" customFormat="1" ht="11" outlineLevel="1">
      <c r="A4" s="140"/>
      <c r="B4" s="140"/>
      <c r="C4" s="140"/>
      <c r="D4" s="140"/>
      <c r="E4" s="140"/>
      <c r="F4" s="140"/>
      <c r="G4" s="140"/>
      <c r="H4" s="140"/>
      <c r="I4" s="133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  <c r="AD4" s="140"/>
      <c r="AE4" s="140"/>
      <c r="AF4" s="140"/>
      <c r="AG4" s="140"/>
      <c r="AH4" s="140"/>
      <c r="AI4" s="140"/>
      <c r="AJ4" s="140"/>
      <c r="AK4" s="140"/>
      <c r="AL4" s="140"/>
      <c r="AM4" s="140"/>
      <c r="AN4" s="140"/>
      <c r="AO4" s="140"/>
      <c r="AP4" s="140"/>
      <c r="AQ4" s="140"/>
      <c r="AR4" s="140"/>
      <c r="AS4" s="140"/>
      <c r="AT4" s="140"/>
      <c r="AU4" s="140"/>
      <c r="AV4" s="140"/>
      <c r="AW4" s="140"/>
      <c r="AX4" s="140"/>
      <c r="AY4" s="140"/>
      <c r="AZ4" s="140"/>
      <c r="BA4" s="140"/>
      <c r="BB4" s="140"/>
      <c r="BC4" s="140"/>
      <c r="BD4" s="140"/>
      <c r="BE4" s="140"/>
      <c r="BF4" s="140"/>
      <c r="BG4" s="140"/>
      <c r="BH4" s="140"/>
      <c r="BI4" s="140"/>
      <c r="BJ4" s="140"/>
      <c r="BK4" s="140"/>
      <c r="BL4" s="140"/>
      <c r="BM4" s="140"/>
      <c r="BN4" s="140"/>
      <c r="BO4" s="140"/>
      <c r="BP4" s="140"/>
      <c r="BQ4" s="140"/>
      <c r="BR4" s="140"/>
      <c r="BS4" s="140"/>
      <c r="BT4" s="140"/>
      <c r="BU4" s="140"/>
      <c r="BW4" s="291"/>
      <c r="BX4" s="291"/>
      <c r="BY4" s="291"/>
      <c r="BZ4" s="291"/>
      <c r="CA4" s="291"/>
      <c r="CB4" s="291"/>
      <c r="CC4" s="138"/>
      <c r="CD4" s="138"/>
    </row>
    <row r="5" spans="1:87" s="141" customFormat="1">
      <c r="A5" s="251" t="s">
        <v>4</v>
      </c>
      <c r="B5" s="279" t="s">
        <v>5</v>
      </c>
      <c r="C5" s="261" t="s">
        <v>6</v>
      </c>
      <c r="D5" s="263" t="s">
        <v>141</v>
      </c>
      <c r="E5" s="263" t="s">
        <v>8</v>
      </c>
      <c r="F5" s="297" t="s">
        <v>142</v>
      </c>
      <c r="G5" s="261" t="s">
        <v>10</v>
      </c>
      <c r="H5" s="287" t="s">
        <v>11</v>
      </c>
      <c r="I5" s="287" t="s">
        <v>12</v>
      </c>
      <c r="J5" s="261" t="s">
        <v>13</v>
      </c>
      <c r="K5" s="288" t="s">
        <v>14</v>
      </c>
      <c r="L5" s="243"/>
      <c r="M5" s="243"/>
      <c r="N5" s="243"/>
      <c r="O5" s="243"/>
      <c r="P5" s="243"/>
      <c r="Q5" s="243"/>
      <c r="R5" s="243"/>
      <c r="S5" s="243"/>
      <c r="T5" s="243"/>
      <c r="U5" s="243"/>
      <c r="V5" s="243"/>
      <c r="W5" s="243"/>
      <c r="X5" s="243"/>
      <c r="Y5" s="261" t="s">
        <v>15</v>
      </c>
      <c r="Z5" s="243"/>
      <c r="AA5" s="243"/>
      <c r="AB5" s="243"/>
      <c r="AC5" s="243"/>
      <c r="AD5" s="243"/>
      <c r="AE5" s="243"/>
      <c r="AF5" s="243"/>
      <c r="AG5" s="243"/>
      <c r="AH5" s="243"/>
      <c r="AI5" s="243"/>
      <c r="AJ5" s="243"/>
      <c r="AK5" s="243"/>
      <c r="AL5" s="243"/>
      <c r="AM5" s="243"/>
      <c r="AN5" s="243"/>
      <c r="AO5" s="244"/>
      <c r="AP5" s="261" t="s">
        <v>16</v>
      </c>
      <c r="AQ5" s="261" t="s">
        <v>17</v>
      </c>
      <c r="AR5" s="261" t="s">
        <v>18</v>
      </c>
      <c r="AS5" s="261" t="s">
        <v>19</v>
      </c>
      <c r="AT5" s="261" t="s">
        <v>20</v>
      </c>
      <c r="AU5" s="261" t="s">
        <v>21</v>
      </c>
      <c r="AV5" s="261" t="s">
        <v>22</v>
      </c>
      <c r="AW5" s="261" t="s">
        <v>23</v>
      </c>
      <c r="AX5" s="261" t="s">
        <v>24</v>
      </c>
      <c r="AY5" s="268" t="s">
        <v>25</v>
      </c>
      <c r="AZ5" s="243"/>
      <c r="BA5" s="243"/>
      <c r="BB5" s="243"/>
      <c r="BC5" s="243"/>
      <c r="BD5" s="243"/>
      <c r="BE5" s="243"/>
      <c r="BF5" s="243"/>
      <c r="BG5" s="243"/>
      <c r="BH5" s="243"/>
      <c r="BI5" s="243"/>
      <c r="BJ5" s="243"/>
      <c r="BK5" s="243"/>
      <c r="BL5" s="243"/>
      <c r="BM5" s="243"/>
      <c r="BN5" s="243"/>
      <c r="BO5" s="243"/>
      <c r="BP5" s="244"/>
      <c r="BQ5" s="280" t="s">
        <v>26</v>
      </c>
      <c r="BR5" s="254"/>
      <c r="BS5" s="268" t="s">
        <v>143</v>
      </c>
      <c r="BT5" s="268" t="s">
        <v>27</v>
      </c>
      <c r="BU5" s="281" t="s">
        <v>28</v>
      </c>
      <c r="BW5" s="262" t="s">
        <v>29</v>
      </c>
      <c r="BX5" s="252" t="s">
        <v>30</v>
      </c>
      <c r="BY5" s="253"/>
      <c r="BZ5" s="253"/>
      <c r="CA5" s="254"/>
      <c r="CB5" s="266" t="s">
        <v>31</v>
      </c>
      <c r="CC5" s="276" t="s">
        <v>32</v>
      </c>
      <c r="CD5" s="276" t="s">
        <v>33</v>
      </c>
      <c r="CH5" s="142"/>
      <c r="CI5" s="143"/>
    </row>
    <row r="6" spans="1:87" s="141" customFormat="1">
      <c r="A6" s="248"/>
      <c r="B6" s="248"/>
      <c r="C6" s="248"/>
      <c r="D6" s="248"/>
      <c r="E6" s="248"/>
      <c r="F6" s="248"/>
      <c r="G6" s="248"/>
      <c r="H6" s="248"/>
      <c r="I6" s="248"/>
      <c r="J6" s="248"/>
      <c r="K6" s="286" t="s">
        <v>34</v>
      </c>
      <c r="L6" s="286" t="s">
        <v>35</v>
      </c>
      <c r="M6" s="286" t="s">
        <v>36</v>
      </c>
      <c r="N6" s="286" t="s">
        <v>37</v>
      </c>
      <c r="O6" s="286" t="s">
        <v>38</v>
      </c>
      <c r="P6" s="286" t="s">
        <v>39</v>
      </c>
      <c r="Q6" s="286" t="s">
        <v>40</v>
      </c>
      <c r="R6" s="286" t="s">
        <v>41</v>
      </c>
      <c r="S6" s="286" t="s">
        <v>42</v>
      </c>
      <c r="T6" s="286" t="s">
        <v>43</v>
      </c>
      <c r="U6" s="286" t="s">
        <v>44</v>
      </c>
      <c r="V6" s="289" t="s">
        <v>45</v>
      </c>
      <c r="W6" s="254"/>
      <c r="X6" s="286" t="s">
        <v>46</v>
      </c>
      <c r="Y6" s="261" t="s">
        <v>47</v>
      </c>
      <c r="Z6" s="261" t="s">
        <v>48</v>
      </c>
      <c r="AA6" s="261" t="s">
        <v>49</v>
      </c>
      <c r="AB6" s="261" t="s">
        <v>50</v>
      </c>
      <c r="AC6" s="287" t="s">
        <v>51</v>
      </c>
      <c r="AD6" s="287" t="s">
        <v>144</v>
      </c>
      <c r="AE6" s="287" t="s">
        <v>53</v>
      </c>
      <c r="AF6" s="287" t="s">
        <v>54</v>
      </c>
      <c r="AG6" s="261" t="s">
        <v>55</v>
      </c>
      <c r="AH6" s="287" t="s">
        <v>56</v>
      </c>
      <c r="AI6" s="287" t="s">
        <v>57</v>
      </c>
      <c r="AJ6" s="261" t="s">
        <v>58</v>
      </c>
      <c r="AK6" s="283" t="s">
        <v>59</v>
      </c>
      <c r="AL6" s="261" t="s">
        <v>60</v>
      </c>
      <c r="AM6" s="261" t="s">
        <v>61</v>
      </c>
      <c r="AN6" s="269" t="s">
        <v>62</v>
      </c>
      <c r="AO6" s="261" t="s">
        <v>63</v>
      </c>
      <c r="AP6" s="248"/>
      <c r="AQ6" s="248"/>
      <c r="AR6" s="248"/>
      <c r="AS6" s="248"/>
      <c r="AT6" s="248"/>
      <c r="AU6" s="248"/>
      <c r="AV6" s="248"/>
      <c r="AW6" s="248"/>
      <c r="AX6" s="248"/>
      <c r="AY6" s="268" t="s">
        <v>25</v>
      </c>
      <c r="AZ6" s="243"/>
      <c r="BA6" s="243"/>
      <c r="BB6" s="243"/>
      <c r="BC6" s="243"/>
      <c r="BD6" s="243"/>
      <c r="BE6" s="243"/>
      <c r="BF6" s="243"/>
      <c r="BG6" s="243"/>
      <c r="BH6" s="243"/>
      <c r="BI6" s="243"/>
      <c r="BJ6" s="244"/>
      <c r="BK6" s="268" t="s">
        <v>64</v>
      </c>
      <c r="BL6" s="243"/>
      <c r="BM6" s="243"/>
      <c r="BN6" s="243"/>
      <c r="BO6" s="243"/>
      <c r="BP6" s="244"/>
      <c r="BQ6" s="265" t="s">
        <v>65</v>
      </c>
      <c r="BR6" s="265" t="s">
        <v>66</v>
      </c>
      <c r="BS6" s="248"/>
      <c r="BT6" s="248"/>
      <c r="BU6" s="255"/>
      <c r="BW6" s="257"/>
      <c r="BX6" s="255"/>
      <c r="BY6" s="292"/>
      <c r="BZ6" s="292"/>
      <c r="CA6" s="257"/>
      <c r="CB6" s="248"/>
      <c r="CC6" s="248"/>
      <c r="CD6" s="248"/>
      <c r="CH6" s="142"/>
      <c r="CI6" s="143"/>
    </row>
    <row r="7" spans="1:87" s="141" customFormat="1" ht="12">
      <c r="A7" s="248"/>
      <c r="B7" s="248"/>
      <c r="C7" s="248"/>
      <c r="D7" s="248"/>
      <c r="E7" s="248"/>
      <c r="F7" s="248"/>
      <c r="G7" s="248"/>
      <c r="H7" s="248"/>
      <c r="I7" s="248"/>
      <c r="J7" s="248"/>
      <c r="K7" s="248"/>
      <c r="L7" s="248"/>
      <c r="M7" s="248"/>
      <c r="N7" s="248"/>
      <c r="O7" s="248"/>
      <c r="P7" s="248"/>
      <c r="Q7" s="248"/>
      <c r="R7" s="248"/>
      <c r="S7" s="248"/>
      <c r="T7" s="248"/>
      <c r="U7" s="248"/>
      <c r="V7" s="282"/>
      <c r="W7" s="285"/>
      <c r="X7" s="248"/>
      <c r="Y7" s="248"/>
      <c r="Z7" s="248"/>
      <c r="AA7" s="248"/>
      <c r="AB7" s="248"/>
      <c r="AC7" s="248"/>
      <c r="AD7" s="248"/>
      <c r="AE7" s="248"/>
      <c r="AF7" s="248"/>
      <c r="AG7" s="248"/>
      <c r="AH7" s="248"/>
      <c r="AI7" s="248"/>
      <c r="AJ7" s="248"/>
      <c r="AK7" s="255"/>
      <c r="AL7" s="248"/>
      <c r="AM7" s="248"/>
      <c r="AN7" s="248"/>
      <c r="AO7" s="248"/>
      <c r="AP7" s="248"/>
      <c r="AQ7" s="248"/>
      <c r="AR7" s="248"/>
      <c r="AS7" s="248"/>
      <c r="AT7" s="248"/>
      <c r="AU7" s="248"/>
      <c r="AV7" s="248"/>
      <c r="AW7" s="248"/>
      <c r="AX7" s="248"/>
      <c r="AY7" s="101" t="s">
        <v>67</v>
      </c>
      <c r="AZ7" s="101" t="s">
        <v>68</v>
      </c>
      <c r="BA7" s="101" t="s">
        <v>69</v>
      </c>
      <c r="BB7" s="268" t="s">
        <v>70</v>
      </c>
      <c r="BC7" s="245" t="s">
        <v>71</v>
      </c>
      <c r="BD7" s="245" t="s">
        <v>72</v>
      </c>
      <c r="BE7" s="245" t="s">
        <v>145</v>
      </c>
      <c r="BF7" s="245" t="s">
        <v>74</v>
      </c>
      <c r="BG7" s="245" t="s">
        <v>75</v>
      </c>
      <c r="BH7" s="245" t="s">
        <v>76</v>
      </c>
      <c r="BI7" s="245" t="s">
        <v>79</v>
      </c>
      <c r="BJ7" s="264" t="s">
        <v>80</v>
      </c>
      <c r="BK7" s="245" t="s">
        <v>81</v>
      </c>
      <c r="BL7" s="268" t="s">
        <v>82</v>
      </c>
      <c r="BM7" s="245" t="s">
        <v>83</v>
      </c>
      <c r="BN7" s="268" t="s">
        <v>84</v>
      </c>
      <c r="BO7" s="268" t="s">
        <v>146</v>
      </c>
      <c r="BP7" s="268" t="s">
        <v>85</v>
      </c>
      <c r="BQ7" s="248"/>
      <c r="BR7" s="248"/>
      <c r="BS7" s="248"/>
      <c r="BT7" s="248"/>
      <c r="BU7" s="255"/>
      <c r="BW7" s="257"/>
      <c r="BX7" s="258"/>
      <c r="BY7" s="259"/>
      <c r="BZ7" s="259"/>
      <c r="CA7" s="260"/>
      <c r="CB7" s="248"/>
      <c r="CC7" s="248"/>
      <c r="CD7" s="248"/>
      <c r="CH7" s="142"/>
      <c r="CI7" s="143"/>
    </row>
    <row r="8" spans="1:87" s="141" customFormat="1" ht="22.5" customHeight="1">
      <c r="A8" s="246"/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145" t="s">
        <v>86</v>
      </c>
      <c r="W8" s="145" t="s">
        <v>87</v>
      </c>
      <c r="X8" s="246"/>
      <c r="Y8" s="246"/>
      <c r="Z8" s="246"/>
      <c r="AA8" s="246"/>
      <c r="AB8" s="246"/>
      <c r="AC8" s="246"/>
      <c r="AD8" s="246"/>
      <c r="AE8" s="246"/>
      <c r="AF8" s="246"/>
      <c r="AG8" s="246"/>
      <c r="AH8" s="246"/>
      <c r="AI8" s="246"/>
      <c r="AJ8" s="246"/>
      <c r="AK8" s="282"/>
      <c r="AL8" s="246"/>
      <c r="AM8" s="246"/>
      <c r="AN8" s="246"/>
      <c r="AO8" s="246"/>
      <c r="AP8" s="246"/>
      <c r="AQ8" s="246"/>
      <c r="AR8" s="246"/>
      <c r="AS8" s="246"/>
      <c r="AT8" s="246"/>
      <c r="AU8" s="246"/>
      <c r="AV8" s="246"/>
      <c r="AW8" s="246"/>
      <c r="AX8" s="246"/>
      <c r="AY8" s="102" t="s">
        <v>88</v>
      </c>
      <c r="AZ8" s="102" t="s">
        <v>89</v>
      </c>
      <c r="BA8" s="102" t="s">
        <v>90</v>
      </c>
      <c r="BB8" s="246"/>
      <c r="BC8" s="246"/>
      <c r="BD8" s="246"/>
      <c r="BE8" s="246"/>
      <c r="BF8" s="246"/>
      <c r="BG8" s="246"/>
      <c r="BH8" s="246"/>
      <c r="BI8" s="246"/>
      <c r="BJ8" s="246"/>
      <c r="BK8" s="246"/>
      <c r="BL8" s="246"/>
      <c r="BM8" s="246"/>
      <c r="BN8" s="246"/>
      <c r="BO8" s="246"/>
      <c r="BP8" s="246"/>
      <c r="BQ8" s="246"/>
      <c r="BR8" s="246"/>
      <c r="BS8" s="246"/>
      <c r="BT8" s="246"/>
      <c r="BU8" s="282"/>
      <c r="BW8" s="260"/>
      <c r="BX8" s="72" t="s">
        <v>91</v>
      </c>
      <c r="BY8" s="72" t="s">
        <v>92</v>
      </c>
      <c r="BZ8" s="72" t="s">
        <v>93</v>
      </c>
      <c r="CA8" s="73" t="s">
        <v>94</v>
      </c>
      <c r="CB8" s="267"/>
      <c r="CC8" s="267"/>
      <c r="CD8" s="267"/>
      <c r="CF8" s="146"/>
      <c r="CH8" s="142"/>
      <c r="CI8" s="143"/>
    </row>
    <row r="9" spans="1:87" s="218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41"/>
      <c r="CH9" s="142"/>
      <c r="CI9" s="143"/>
    </row>
    <row r="10" spans="1:87" s="219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8"/>
      <c r="CH10" s="142"/>
      <c r="CI10" s="143"/>
    </row>
    <row r="11" spans="1:87" s="158" customFormat="1" ht="11">
      <c r="A11" s="150"/>
      <c r="B11" s="151"/>
      <c r="C11" s="151"/>
      <c r="D11" s="152"/>
      <c r="E11" s="152"/>
      <c r="F11" s="152"/>
      <c r="G11" s="151">
        <f>SUM(G12:G14)</f>
        <v>23500000</v>
      </c>
      <c r="H11" s="151">
        <f>SUM(H12:H14)</f>
        <v>300000</v>
      </c>
      <c r="I11" s="151">
        <f>SUM(I12:I14)</f>
        <v>78200000</v>
      </c>
      <c r="J11" s="151"/>
      <c r="K11" s="153">
        <f>SUM(K12:K14)</f>
        <v>32.5</v>
      </c>
      <c r="L11" s="153"/>
      <c r="M11" s="153"/>
      <c r="N11" s="153"/>
      <c r="O11" s="153"/>
      <c r="P11" s="153"/>
      <c r="Q11" s="153"/>
      <c r="R11" s="153">
        <f>SUM(R12:R14)</f>
        <v>4</v>
      </c>
      <c r="S11" s="153">
        <f>SUM(S12:S14)</f>
        <v>0</v>
      </c>
      <c r="T11" s="153"/>
      <c r="U11" s="153">
        <f>SUM(U12:U14)</f>
        <v>0</v>
      </c>
      <c r="V11" s="153">
        <f>SUM(V12:V14)</f>
        <v>0</v>
      </c>
      <c r="W11" s="153">
        <f>SUM(W12:W14)</f>
        <v>0</v>
      </c>
      <c r="X11" s="153">
        <f>SUM(X12:X14)</f>
        <v>0</v>
      </c>
      <c r="Y11" s="151">
        <f>SUM(Y12:Y14)</f>
        <v>9807884.615384616</v>
      </c>
      <c r="Z11" s="151"/>
      <c r="AA11" s="151"/>
      <c r="AB11" s="151"/>
      <c r="AC11" s="151">
        <f>SUM(AC12:AC14)</f>
        <v>0</v>
      </c>
      <c r="AD11" s="151">
        <f>SUM(AD12:AD14)</f>
        <v>0</v>
      </c>
      <c r="AE11" s="151"/>
      <c r="AF11" s="151">
        <f t="shared" ref="AF11:AO11" si="3">SUM(AF12:AF14)</f>
        <v>0</v>
      </c>
      <c r="AG11" s="151">
        <f t="shared" si="3"/>
        <v>0</v>
      </c>
      <c r="AH11" s="151">
        <f t="shared" si="3"/>
        <v>0</v>
      </c>
      <c r="AI11" s="151">
        <f t="shared" si="3"/>
        <v>0</v>
      </c>
      <c r="AJ11" s="151">
        <f t="shared" si="3"/>
        <v>0</v>
      </c>
      <c r="AK11" s="151">
        <f t="shared" si="3"/>
        <v>0</v>
      </c>
      <c r="AL11" s="151">
        <f t="shared" si="3"/>
        <v>0</v>
      </c>
      <c r="AM11" s="151">
        <f t="shared" si="3"/>
        <v>0</v>
      </c>
      <c r="AN11" s="151">
        <f t="shared" si="3"/>
        <v>126923.07692307694</v>
      </c>
      <c r="AO11" s="151">
        <f t="shared" si="3"/>
        <v>41270769.230769232</v>
      </c>
      <c r="AP11" s="151"/>
      <c r="AQ11" s="151"/>
      <c r="AR11" s="151"/>
      <c r="AS11" s="151"/>
      <c r="AT11" s="151"/>
      <c r="AU11" s="151"/>
      <c r="AV11" s="151">
        <f>SUM(AV12:AV14)</f>
        <v>56373846.15384616</v>
      </c>
      <c r="AW11" s="151"/>
      <c r="AX11" s="151"/>
      <c r="AY11" s="151">
        <f>SUM(AY12:AY14)</f>
        <v>1904000</v>
      </c>
      <c r="AZ11" s="151">
        <f>SUM(AZ12:AZ14)</f>
        <v>357000</v>
      </c>
      <c r="BA11" s="151">
        <f>SUM(BA12:BA14)</f>
        <v>238000</v>
      </c>
      <c r="BB11" s="151">
        <f>SUM(BB12:BB14)</f>
        <v>2499000</v>
      </c>
      <c r="BC11" s="151">
        <f>SUM(BC12:BC14)</f>
        <v>0</v>
      </c>
      <c r="BD11" s="151"/>
      <c r="BE11" s="151">
        <f>SUM(BE12:BE14)</f>
        <v>235000</v>
      </c>
      <c r="BF11" s="151"/>
      <c r="BG11" s="151"/>
      <c r="BH11" s="151"/>
      <c r="BI11" s="151"/>
      <c r="BJ11" s="151">
        <f>SUM(BJ12:BJ14)</f>
        <v>511631</v>
      </c>
      <c r="BK11" s="151">
        <f>SUM(BK12:BK14)</f>
        <v>0</v>
      </c>
      <c r="BL11" s="151">
        <f>SUM(BL12:BL14)</f>
        <v>0</v>
      </c>
      <c r="BM11" s="151">
        <f>SUM(BM12:BM14)</f>
        <v>0</v>
      </c>
      <c r="BN11" s="151">
        <f>SUM(BN12:BN14)</f>
        <v>0</v>
      </c>
      <c r="BO11" s="151"/>
      <c r="BP11" s="151">
        <f>SUM(BP12:BP14)</f>
        <v>0</v>
      </c>
      <c r="BQ11" s="151"/>
      <c r="BR11" s="151"/>
      <c r="BS11" s="151"/>
      <c r="BT11" s="151">
        <f>SUM(BT12:BT14)</f>
        <v>45099076.923076928</v>
      </c>
      <c r="BU11" s="155">
        <f>SUM(BU12:BU14)</f>
        <v>0</v>
      </c>
      <c r="BW11" s="156"/>
      <c r="BX11" s="157"/>
      <c r="BY11" s="157"/>
      <c r="BZ11" s="157"/>
      <c r="CA11" s="157"/>
      <c r="CB11" s="157"/>
      <c r="CC11" s="157"/>
      <c r="CD11" s="157"/>
    </row>
    <row r="12" spans="1:87" s="176" customFormat="1" ht="11">
      <c r="A12" s="159">
        <f>IF(B12=0,"",COUNTA($B$12:(B12)))</f>
        <v>1</v>
      </c>
      <c r="B12" s="160">
        <v>123456</v>
      </c>
      <c r="C12" s="161" t="s">
        <v>120</v>
      </c>
      <c r="D12" s="162" t="s">
        <v>148</v>
      </c>
      <c r="E12" s="162" t="s">
        <v>99</v>
      </c>
      <c r="F12" s="162" t="str">
        <f>IF(BW12&gt;=18000000,"LT","LN")</f>
        <v>LT</v>
      </c>
      <c r="G12" s="165">
        <v>9520000</v>
      </c>
      <c r="H12" s="165">
        <f>+IF(OR(CC12="ĐT PCCC",CC12="ĐP PCCC"),780000,IF(CC12="AT-VSV",300000,0))</f>
        <v>0</v>
      </c>
      <c r="I12" s="165">
        <f>CB12-BZ12-G12-H12</f>
        <v>50480000</v>
      </c>
      <c r="J12" s="166">
        <v>1</v>
      </c>
      <c r="K12" s="167">
        <v>11</v>
      </c>
      <c r="L12" s="167"/>
      <c r="M12" s="167"/>
      <c r="N12" s="167"/>
      <c r="O12" s="167">
        <v>2</v>
      </c>
      <c r="P12" s="167"/>
      <c r="Q12" s="167"/>
      <c r="R12" s="167">
        <v>0</v>
      </c>
      <c r="S12" s="167">
        <v>0</v>
      </c>
      <c r="T12" s="167"/>
      <c r="U12" s="167">
        <v>0</v>
      </c>
      <c r="V12" s="167">
        <v>0</v>
      </c>
      <c r="W12" s="167">
        <v>0</v>
      </c>
      <c r="X12" s="167">
        <v>0</v>
      </c>
      <c r="Y12" s="165">
        <f>G12*(K12+L12)/26</f>
        <v>4027692.3076923075</v>
      </c>
      <c r="Z12" s="165">
        <f>M12*G12/26</f>
        <v>0</v>
      </c>
      <c r="AA12" s="165">
        <f>G12*N12/26</f>
        <v>0</v>
      </c>
      <c r="AB12" s="165">
        <f>G12*O12/26</f>
        <v>732307.69230769225</v>
      </c>
      <c r="AC12" s="165">
        <f>G12*P12*150%/26</f>
        <v>0</v>
      </c>
      <c r="AD12" s="165">
        <f>G12*Q12/26*200%</f>
        <v>0</v>
      </c>
      <c r="AE12" s="165">
        <f>G12*R12/26*300%</f>
        <v>0</v>
      </c>
      <c r="AF12" s="165">
        <f>IF(F12="LT",0,(G12+H12)/26*S12*30%)</f>
        <v>0</v>
      </c>
      <c r="AG12" s="165">
        <f>T12*G12/23/8</f>
        <v>0</v>
      </c>
      <c r="AH12" s="165">
        <f>CB12/26*U12</f>
        <v>0</v>
      </c>
      <c r="AI12" s="165">
        <f>G12*V12/26</f>
        <v>0</v>
      </c>
      <c r="AJ12" s="165"/>
      <c r="AK12" s="165">
        <f>BZ12*L12/26</f>
        <v>0</v>
      </c>
      <c r="AL12" s="165"/>
      <c r="AM12" s="165">
        <f>X12*CD12</f>
        <v>0</v>
      </c>
      <c r="AN12" s="165">
        <f>H12/26*(K12+L12)</f>
        <v>0</v>
      </c>
      <c r="AO12" s="165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5"/>
      <c r="AQ12" s="165"/>
      <c r="AR12" s="165"/>
      <c r="AS12" s="165"/>
      <c r="AT12" s="165"/>
      <c r="AU12" s="165"/>
      <c r="AV12" s="169">
        <f>Y12+Z12+AA12+AB12+AC12+AD12+AE12+AF12+AG12+AI12+AJ12+AK12+AL12+AM12+AN12+AO12+AP12-AQ12+AR12+AS12+AT12+AU12</f>
        <v>32307692.307692312</v>
      </c>
      <c r="AW12" s="169"/>
      <c r="AX12" s="169" t="s">
        <v>101</v>
      </c>
      <c r="AY12" s="170">
        <f t="shared" ref="AY12:BA14" si="4">ROUND(IF($AX12="x",($G12+$H12)*AY$8,0),0)</f>
        <v>761600</v>
      </c>
      <c r="AZ12" s="170">
        <f t="shared" si="4"/>
        <v>142800</v>
      </c>
      <c r="BA12" s="170">
        <f t="shared" si="4"/>
        <v>95200</v>
      </c>
      <c r="BB12" s="170">
        <f>SUM(AY12:BA12)</f>
        <v>999600</v>
      </c>
      <c r="BC12" s="170"/>
      <c r="BD12" s="170"/>
      <c r="BE12" s="170">
        <f>IF(G12*1%&gt;=234000,234000,G12*1%)</f>
        <v>95200</v>
      </c>
      <c r="BF12" s="170">
        <f>AM12+IF(AR12&gt;=730000,730000,AR12)+IF(((AV12-AM12-IF(AR12&gt;=730000,730000,AR12)-AS12)*15%-AS12)&gt;"0",((AV12-AM12-IF(AR12&gt;=730000,730000,AR12)-AS12)*15%-AS12),0)</f>
        <v>0</v>
      </c>
      <c r="BG12" s="170">
        <f>AV12-BF12+AW12</f>
        <v>32307692.307692312</v>
      </c>
      <c r="BH12" s="170">
        <v>3</v>
      </c>
      <c r="BI12" s="170">
        <f>BG12-BB12-BC12+BD12-BH12*4400000-IF(E12="CT",11000000,0)</f>
        <v>7108092.3076923117</v>
      </c>
      <c r="BJ12" s="157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70"/>
      <c r="BL12" s="170"/>
      <c r="BM12" s="170">
        <v>0</v>
      </c>
      <c r="BN12" s="170"/>
      <c r="BO12" s="170"/>
      <c r="BP12" s="170"/>
      <c r="BQ12" s="170"/>
      <c r="BR12" s="170"/>
      <c r="BS12" s="170" t="str">
        <f>IF(AV12&gt;=11000000,"80%","100%")</f>
        <v>80%</v>
      </c>
      <c r="BT12" s="170">
        <f>AV12*BS12-BN12-BK12-BP12-BO12</f>
        <v>25846153.846153852</v>
      </c>
      <c r="BU12" s="171"/>
      <c r="BW12" s="156">
        <v>60000000</v>
      </c>
      <c r="BX12" s="157">
        <v>0</v>
      </c>
      <c r="BY12" s="157"/>
      <c r="BZ12" s="157"/>
      <c r="CA12" s="157">
        <v>0</v>
      </c>
      <c r="CB12" s="157">
        <f>SUM(BW12:CA12)</f>
        <v>60000000</v>
      </c>
      <c r="CC12" s="157" t="s">
        <v>122</v>
      </c>
      <c r="CD12" s="157"/>
      <c r="CE12" s="172"/>
      <c r="CF12" s="173"/>
      <c r="CG12" s="173"/>
      <c r="CH12" s="174"/>
      <c r="CI12" s="175"/>
    </row>
    <row r="13" spans="1:87" s="176" customFormat="1" ht="11">
      <c r="A13" s="159">
        <f>IF(B13=0,"",COUNTA($B$12:(B13)))</f>
        <v>2</v>
      </c>
      <c r="B13" s="160">
        <v>3562789</v>
      </c>
      <c r="C13" s="161" t="s">
        <v>123</v>
      </c>
      <c r="D13" s="162" t="s">
        <v>149</v>
      </c>
      <c r="E13" s="162" t="s">
        <v>99</v>
      </c>
      <c r="F13" s="162" t="str">
        <f>IF(BW13&gt;=18000000,"LT","LN")</f>
        <v>LT</v>
      </c>
      <c r="G13" s="165">
        <v>6990000</v>
      </c>
      <c r="H13" s="165">
        <f>+IF(OR(CC13="ĐT PCCC",CC13="ĐP PCCC"),780000,IF(CC13="AT-VSV",300000,0))</f>
        <v>0</v>
      </c>
      <c r="I13" s="165">
        <f>CB13-BZ13-G13-H13</f>
        <v>17160000</v>
      </c>
      <c r="J13" s="166">
        <v>1</v>
      </c>
      <c r="K13" s="167">
        <v>10.5</v>
      </c>
      <c r="L13" s="167"/>
      <c r="M13" s="167">
        <v>0.5</v>
      </c>
      <c r="N13" s="167"/>
      <c r="O13" s="167">
        <v>2</v>
      </c>
      <c r="P13" s="167"/>
      <c r="Q13" s="167"/>
      <c r="R13" s="167">
        <v>0</v>
      </c>
      <c r="S13" s="167">
        <v>0</v>
      </c>
      <c r="T13" s="167"/>
      <c r="U13" s="167">
        <v>0</v>
      </c>
      <c r="V13" s="167">
        <v>0</v>
      </c>
      <c r="W13" s="167">
        <v>0</v>
      </c>
      <c r="X13" s="167">
        <v>0</v>
      </c>
      <c r="Y13" s="165">
        <f>G13*(K13+L13)/26</f>
        <v>2822884.6153846155</v>
      </c>
      <c r="Z13" s="165">
        <f>M13*G13/26</f>
        <v>134423.07692307694</v>
      </c>
      <c r="AA13" s="165">
        <f>G13*N13/26</f>
        <v>0</v>
      </c>
      <c r="AB13" s="165">
        <f>G13*O13/26</f>
        <v>537692.30769230775</v>
      </c>
      <c r="AC13" s="165">
        <f>G13*P13*150%/26</f>
        <v>0</v>
      </c>
      <c r="AD13" s="165">
        <f>G13*Q13/26*200%</f>
        <v>0</v>
      </c>
      <c r="AE13" s="165">
        <f>G13*R13/26*300%</f>
        <v>0</v>
      </c>
      <c r="AF13" s="165">
        <f>IF(F13="LT",0,(G13+H13)/26*S13*30%)</f>
        <v>0</v>
      </c>
      <c r="AG13" s="165">
        <f>T13*G13/23/8</f>
        <v>0</v>
      </c>
      <c r="AH13" s="165">
        <f>CB13/26*U13</f>
        <v>0</v>
      </c>
      <c r="AI13" s="165">
        <f>G13*V13/26</f>
        <v>0</v>
      </c>
      <c r="AJ13" s="165"/>
      <c r="AK13" s="165">
        <f>BZ13*L13/26</f>
        <v>0</v>
      </c>
      <c r="AL13" s="165"/>
      <c r="AM13" s="165">
        <f>X13*CD13</f>
        <v>0</v>
      </c>
      <c r="AN13" s="165">
        <f>H13/26*K13</f>
        <v>0</v>
      </c>
      <c r="AO13" s="165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5"/>
      <c r="AQ13" s="165"/>
      <c r="AR13" s="165"/>
      <c r="AS13" s="165"/>
      <c r="AT13" s="165"/>
      <c r="AU13" s="165"/>
      <c r="AV13" s="169">
        <f>Y13+Z13+AA13+AB13+AC13+AD13+AE13+AF13+AG13+AI13+AJ13+AK13+AL13+AM13+AN13+AO13+AP13-AQ13+AR13+AS13+AT13+AU13</f>
        <v>12750384.615384616</v>
      </c>
      <c r="AW13" s="169"/>
      <c r="AX13" s="169" t="s">
        <v>101</v>
      </c>
      <c r="AY13" s="170">
        <f t="shared" si="4"/>
        <v>559200</v>
      </c>
      <c r="AZ13" s="170">
        <f t="shared" si="4"/>
        <v>104850</v>
      </c>
      <c r="BA13" s="170">
        <f t="shared" si="4"/>
        <v>69900</v>
      </c>
      <c r="BB13" s="170">
        <f>SUM(AY13:BA13)</f>
        <v>733950</v>
      </c>
      <c r="BC13" s="170"/>
      <c r="BD13" s="170"/>
      <c r="BE13" s="170">
        <f>IF(G13*1%&gt;=234000,234000,G13*1%)</f>
        <v>69900</v>
      </c>
      <c r="BF13" s="170">
        <f>AM13+IF(AR13&gt;=730000,730000,AR13)+IF(((AV13-AM13-IF(AR13&gt;=730000,730000,AR13)-AS13)*15%-AS13)&gt;"0",((AV13-AM13-IF(AR13&gt;=730000,730000,AR13)-AS13)*15%-AS13),0)</f>
        <v>0</v>
      </c>
      <c r="BG13" s="170">
        <f>AV13-BF13+AW13</f>
        <v>12750384.615384616</v>
      </c>
      <c r="BH13" s="170"/>
      <c r="BI13" s="170">
        <f>BG13-BB13-BC13+BD13-BH13*4400000-IF(E13="CT",11000000,0)</f>
        <v>1016434.615384616</v>
      </c>
      <c r="BJ13" s="157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70"/>
      <c r="BL13" s="170"/>
      <c r="BM13" s="170">
        <v>0</v>
      </c>
      <c r="BN13" s="170"/>
      <c r="BO13" s="170"/>
      <c r="BP13" s="170"/>
      <c r="BQ13" s="170"/>
      <c r="BR13" s="170"/>
      <c r="BS13" s="170" t="str">
        <f>IF(AV13&gt;=11000000,"80%","100%")</f>
        <v>80%</v>
      </c>
      <c r="BT13" s="170">
        <f>AV13*BS13-BN13-BK13-BP13-BO13</f>
        <v>10200307.692307694</v>
      </c>
      <c r="BU13" s="171"/>
      <c r="BW13" s="156">
        <v>23000000</v>
      </c>
      <c r="BX13" s="157">
        <v>0</v>
      </c>
      <c r="BY13" s="157">
        <v>0</v>
      </c>
      <c r="BZ13" s="157"/>
      <c r="CA13" s="157">
        <f>+BW13*5%</f>
        <v>1150000</v>
      </c>
      <c r="CB13" s="157">
        <f>SUM(BW13:CA13)</f>
        <v>24150000</v>
      </c>
      <c r="CC13" s="157" t="s">
        <v>114</v>
      </c>
      <c r="CD13" s="157"/>
      <c r="CE13" s="172"/>
      <c r="CF13" s="173"/>
      <c r="CG13" s="173"/>
      <c r="CH13" s="174"/>
      <c r="CI13" s="175"/>
    </row>
    <row r="14" spans="1:87" s="176" customFormat="1" ht="11">
      <c r="A14" s="159">
        <f>IF(B14=0,"",COUNTA($B$12:(B14)))</f>
        <v>3</v>
      </c>
      <c r="B14" s="177" t="s">
        <v>124</v>
      </c>
      <c r="C14" s="161" t="s">
        <v>125</v>
      </c>
      <c r="D14" s="162" t="s">
        <v>149</v>
      </c>
      <c r="E14" s="162" t="s">
        <v>99</v>
      </c>
      <c r="F14" s="162" t="str">
        <f>IF(BW14&gt;=18000000,"LT","LN")</f>
        <v>LN</v>
      </c>
      <c r="G14" s="165">
        <v>6990000</v>
      </c>
      <c r="H14" s="165">
        <f>+IF(OR(CC14="ĐT PCCC",CC14="ĐP PCCC"),780000,IF(CC14="AT-VSV",300000,0))</f>
        <v>300000</v>
      </c>
      <c r="I14" s="165">
        <f>CB14-BZ14-G14-H14</f>
        <v>10560000</v>
      </c>
      <c r="J14" s="166">
        <v>1</v>
      </c>
      <c r="K14" s="167">
        <v>11</v>
      </c>
      <c r="L14" s="167"/>
      <c r="M14" s="167"/>
      <c r="N14" s="167"/>
      <c r="O14" s="167">
        <v>2</v>
      </c>
      <c r="P14" s="167"/>
      <c r="Q14" s="167"/>
      <c r="R14" s="167">
        <v>4</v>
      </c>
      <c r="S14" s="167">
        <v>0</v>
      </c>
      <c r="T14" s="167"/>
      <c r="U14" s="167">
        <v>0</v>
      </c>
      <c r="V14" s="167">
        <v>0</v>
      </c>
      <c r="W14" s="167">
        <v>0</v>
      </c>
      <c r="X14" s="167">
        <v>0</v>
      </c>
      <c r="Y14" s="165">
        <f>G14*(K14+L14)/26</f>
        <v>2957307.6923076925</v>
      </c>
      <c r="Z14" s="165">
        <f>M14*G14/26</f>
        <v>0</v>
      </c>
      <c r="AA14" s="165">
        <f>G14*N14/26</f>
        <v>0</v>
      </c>
      <c r="AB14" s="165">
        <f>G14*O14/26</f>
        <v>537692.30769230775</v>
      </c>
      <c r="AC14" s="165">
        <f>G14*P14*150%/26</f>
        <v>0</v>
      </c>
      <c r="AD14" s="165">
        <f>G14*Q14/26*200%</f>
        <v>0</v>
      </c>
      <c r="AE14" s="165">
        <f>G14*R14/26*300%</f>
        <v>3226153.8461538465</v>
      </c>
      <c r="AF14" s="165">
        <f>IF(F14="LT",0,(G14+H14)/26*S14*30%)</f>
        <v>0</v>
      </c>
      <c r="AG14" s="165">
        <f>T14*G14/23/8</f>
        <v>0</v>
      </c>
      <c r="AH14" s="165">
        <f>CB14/26*U14</f>
        <v>0</v>
      </c>
      <c r="AI14" s="165">
        <f>G14*V14/26</f>
        <v>0</v>
      </c>
      <c r="AJ14" s="165"/>
      <c r="AK14" s="165">
        <f>BZ14*L14/26</f>
        <v>0</v>
      </c>
      <c r="AL14" s="165"/>
      <c r="AM14" s="165">
        <f>X14*CD14</f>
        <v>0</v>
      </c>
      <c r="AN14" s="165">
        <f>H14/26*K14</f>
        <v>126923.07692307694</v>
      </c>
      <c r="AO14" s="165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5"/>
      <c r="AQ14" s="165"/>
      <c r="AR14" s="165"/>
      <c r="AS14" s="165"/>
      <c r="AT14" s="165"/>
      <c r="AU14" s="165"/>
      <c r="AV14" s="169">
        <f>Y14+Z14+AA14+AB14+AC14+AD14+AE14+AF14+AG14+AI14+AJ14+AK14+AL14+AM14+AN14+AO14+AP14-AQ14+AR14+AS14+AT14+AU14</f>
        <v>11315769.230769232</v>
      </c>
      <c r="AW14" s="169"/>
      <c r="AX14" s="169" t="s">
        <v>101</v>
      </c>
      <c r="AY14" s="170">
        <f t="shared" si="4"/>
        <v>583200</v>
      </c>
      <c r="AZ14" s="170">
        <f t="shared" si="4"/>
        <v>109350</v>
      </c>
      <c r="BA14" s="170">
        <f t="shared" si="4"/>
        <v>72900</v>
      </c>
      <c r="BB14" s="170">
        <f>SUM(AY14:BA14)</f>
        <v>765450</v>
      </c>
      <c r="BC14" s="170"/>
      <c r="BD14" s="170"/>
      <c r="BE14" s="170">
        <f>IF(G14*1%&gt;=234000,234000,G14*1%)</f>
        <v>69900</v>
      </c>
      <c r="BF14" s="170">
        <f>AM14+IF(AR14&gt;=730000,730000,AR14)+IF(((AV14-AM14-IF(AR14&gt;=730000,730000,AR14)-AS14)*15%-AS14)&gt;"0",((AV14-AM14-IF(AR14&gt;=730000,730000,AR14)-AS14)*15%-AS14),0)</f>
        <v>0</v>
      </c>
      <c r="BG14" s="170">
        <f>AV14-BF14+AW14</f>
        <v>11315769.230769232</v>
      </c>
      <c r="BH14" s="170"/>
      <c r="BI14" s="170">
        <f>BG14-BB14-BC14+BD14-BH14*4400000-IF(E14="CT",11000000,0)</f>
        <v>-449680.76923076808</v>
      </c>
      <c r="BJ14" s="157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70"/>
      <c r="BL14" s="170"/>
      <c r="BM14" s="170">
        <v>0</v>
      </c>
      <c r="BN14" s="170"/>
      <c r="BO14" s="170"/>
      <c r="BP14" s="170"/>
      <c r="BQ14" s="170"/>
      <c r="BR14" s="170"/>
      <c r="BS14" s="170" t="str">
        <f>IF(AV14&gt;=11000000,"80%","100%")</f>
        <v>80%</v>
      </c>
      <c r="BT14" s="170">
        <f>AV14*BS14-BN14-BK14-BP14-BO14</f>
        <v>9052615.3846153859</v>
      </c>
      <c r="BU14" s="171"/>
      <c r="BW14" s="156">
        <v>17000000</v>
      </c>
      <c r="BX14" s="157">
        <v>0</v>
      </c>
      <c r="BY14" s="157">
        <v>0</v>
      </c>
      <c r="BZ14" s="157"/>
      <c r="CA14" s="157">
        <f>+BW14*5%</f>
        <v>850000</v>
      </c>
      <c r="CB14" s="157">
        <f>SUM(BW14:CA14)</f>
        <v>17850000</v>
      </c>
      <c r="CC14" s="157" t="s">
        <v>118</v>
      </c>
      <c r="CD14" s="157"/>
      <c r="CE14" s="172"/>
      <c r="CF14" s="173"/>
      <c r="CG14" s="173"/>
      <c r="CH14" s="174"/>
      <c r="CI14" s="175"/>
    </row>
    <row r="17" spans="1:87" s="192" customFormat="1" ht="84" customHeight="1">
      <c r="A17" s="189" t="str">
        <f>A5&amp;A6&amp;A7&amp;A8</f>
        <v>TT</v>
      </c>
      <c r="B17" s="189" t="str">
        <f>B5&amp;B6&amp;B7&amp;B8</f>
        <v>MSNV</v>
      </c>
      <c r="C17" s="189" t="s">
        <v>6</v>
      </c>
      <c r="D17" s="189" t="s">
        <v>141</v>
      </c>
      <c r="E17" s="189" t="s">
        <v>8</v>
      </c>
      <c r="F17" s="189" t="str">
        <f>F5&amp;F6&amp;F7&amp;F8</f>
        <v>LN/LT</v>
      </c>
      <c r="G17" s="189" t="s">
        <v>10</v>
      </c>
      <c r="H17" s="189" t="s">
        <v>11</v>
      </c>
      <c r="I17" s="189" t="s">
        <v>12</v>
      </c>
      <c r="J17" s="189" t="s">
        <v>13</v>
      </c>
      <c r="K17" s="189"/>
      <c r="L17" s="189" t="s">
        <v>35</v>
      </c>
      <c r="M17" s="189" t="s">
        <v>36</v>
      </c>
      <c r="N17" s="189" t="s">
        <v>37</v>
      </c>
      <c r="O17" s="189" t="s">
        <v>38</v>
      </c>
      <c r="P17" s="189" t="s">
        <v>39</v>
      </c>
      <c r="Q17" s="189" t="s">
        <v>40</v>
      </c>
      <c r="R17" s="189" t="s">
        <v>41</v>
      </c>
      <c r="S17" s="189" t="s">
        <v>42</v>
      </c>
      <c r="T17" s="189" t="s">
        <v>43</v>
      </c>
      <c r="U17" s="189" t="s">
        <v>44</v>
      </c>
      <c r="V17" s="189"/>
      <c r="W17" s="189" t="s">
        <v>87</v>
      </c>
      <c r="X17" s="189" t="s">
        <v>46</v>
      </c>
      <c r="Y17" s="189" t="str">
        <f>Y5&amp;Y6&amp;Y7&amp;Y8</f>
        <v>Amounts received during the monthLương
Ngày thường</v>
      </c>
      <c r="Z17" s="189" t="s">
        <v>48</v>
      </c>
      <c r="AA17" s="189" t="s">
        <v>49</v>
      </c>
      <c r="AB17" s="189" t="s">
        <v>50</v>
      </c>
      <c r="AC17" s="189" t="s">
        <v>51</v>
      </c>
      <c r="AD17" s="189" t="s">
        <v>144</v>
      </c>
      <c r="AE17" s="189" t="s">
        <v>53</v>
      </c>
      <c r="AF17" s="189" t="s">
        <v>54</v>
      </c>
      <c r="AG17" s="189" t="s">
        <v>55</v>
      </c>
      <c r="AH17" s="189" t="s">
        <v>56</v>
      </c>
      <c r="AI17" s="189" t="s">
        <v>57</v>
      </c>
      <c r="AJ17" s="189" t="s">
        <v>58</v>
      </c>
      <c r="AK17" s="189" t="s">
        <v>59</v>
      </c>
      <c r="AL17" s="189" t="s">
        <v>60</v>
      </c>
      <c r="AM17" s="189" t="s">
        <v>61</v>
      </c>
      <c r="AN17" s="189" t="s">
        <v>62</v>
      </c>
      <c r="AO17" s="189" t="s">
        <v>63</v>
      </c>
      <c r="AP17" s="189" t="s">
        <v>16</v>
      </c>
      <c r="AQ17" s="189" t="s">
        <v>17</v>
      </c>
      <c r="AR17" s="189" t="s">
        <v>18</v>
      </c>
      <c r="AS17" s="189" t="s">
        <v>19</v>
      </c>
      <c r="AT17" s="189" t="s">
        <v>20</v>
      </c>
      <c r="AU17" s="189" t="s">
        <v>21</v>
      </c>
      <c r="AV17" s="189" t="s">
        <v>22</v>
      </c>
      <c r="AW17" s="189" t="s">
        <v>23</v>
      </c>
      <c r="AX17" s="189" t="str">
        <f>AX5&amp;AX6&amp;AX7&amp;AX8</f>
        <v>Tham gia BHXH</v>
      </c>
      <c r="AY17" s="189"/>
      <c r="AZ17" s="189" t="str">
        <f>AZ5&amp;AZ6&amp;AZ7&amp;AZ8</f>
        <v>BHYT1.5%</v>
      </c>
      <c r="BA17" s="189" t="str">
        <f>BA5&amp;BA6&amp;BA7&amp;BA8</f>
        <v>BHTN1%</v>
      </c>
      <c r="BB17" s="189" t="s">
        <v>70</v>
      </c>
      <c r="BC17" s="189" t="str">
        <f>BC5&amp;BC6&amp;BC7&amp;BC8</f>
        <v>Truy thu BHXH</v>
      </c>
      <c r="BD17" s="189" t="s">
        <v>72</v>
      </c>
      <c r="BE17" s="189" t="str">
        <f>BE5&amp;BE6&amp;BE7&amp;BE8</f>
        <v>Phí 
công đoàn
(Lương HĐLĐ *1%)</v>
      </c>
      <c r="BF17" s="189" t="s">
        <v>74</v>
      </c>
      <c r="BG17" s="189" t="s">
        <v>75</v>
      </c>
      <c r="BH17" s="189" t="str">
        <f>BH5&amp;BH6&amp;BH7&amp;BH8</f>
        <v>NPT</v>
      </c>
      <c r="BI17" s="189" t="str">
        <f>BI5&amp;BI6&amp;BI7&amp;BI8</f>
        <v>TNTT</v>
      </c>
      <c r="BJ17" s="189" t="s">
        <v>80</v>
      </c>
      <c r="BK17" s="189"/>
      <c r="BL17" s="189" t="s">
        <v>82</v>
      </c>
      <c r="BM17" s="189" t="s">
        <v>83</v>
      </c>
      <c r="BN17" s="189" t="s">
        <v>84</v>
      </c>
      <c r="BO17" s="189" t="s">
        <v>146</v>
      </c>
      <c r="BP17" s="189" t="str">
        <f>BP5&amp;BP6&amp;BP7&amp;BP8</f>
        <v>…..............</v>
      </c>
      <c r="BQ17" s="189"/>
      <c r="BR17" s="189" t="s">
        <v>66</v>
      </c>
      <c r="BS17" s="189" t="s">
        <v>143</v>
      </c>
      <c r="BT17" s="189" t="s">
        <v>27</v>
      </c>
      <c r="BU17" s="189" t="s">
        <v>28</v>
      </c>
      <c r="BW17" s="189" t="s">
        <v>29</v>
      </c>
      <c r="BX17" s="189"/>
      <c r="BY17" s="189" t="s">
        <v>92</v>
      </c>
      <c r="BZ17" s="189" t="s">
        <v>93</v>
      </c>
      <c r="CA17" s="189" t="s">
        <v>94</v>
      </c>
      <c r="CB17" s="189" t="s">
        <v>31</v>
      </c>
      <c r="CC17" s="189" t="s">
        <v>32</v>
      </c>
      <c r="CD17" s="189" t="s">
        <v>33</v>
      </c>
    </row>
    <row r="18" spans="1:87" s="192" customFormat="1" ht="11">
      <c r="A18" s="191" t="str">
        <f t="shared" ref="A18:AF18" si="5">SUBSTITUTE(ADDRESS(1,COLUMN(),4),1,"")</f>
        <v>A</v>
      </c>
      <c r="B18" s="191" t="str">
        <f t="shared" si="5"/>
        <v>B</v>
      </c>
      <c r="C18" s="191" t="str">
        <f t="shared" si="5"/>
        <v>C</v>
      </c>
      <c r="D18" s="191" t="str">
        <f t="shared" si="5"/>
        <v>D</v>
      </c>
      <c r="E18" s="191" t="str">
        <f t="shared" si="5"/>
        <v>E</v>
      </c>
      <c r="F18" s="191" t="str">
        <f t="shared" si="5"/>
        <v>F</v>
      </c>
      <c r="G18" s="191" t="str">
        <f t="shared" si="5"/>
        <v>G</v>
      </c>
      <c r="H18" s="191" t="str">
        <f t="shared" si="5"/>
        <v>H</v>
      </c>
      <c r="I18" s="191" t="str">
        <f t="shared" si="5"/>
        <v>I</v>
      </c>
      <c r="J18" s="191" t="str">
        <f t="shared" si="5"/>
        <v>J</v>
      </c>
      <c r="K18" s="191" t="str">
        <f t="shared" si="5"/>
        <v>K</v>
      </c>
      <c r="L18" s="191" t="str">
        <f t="shared" si="5"/>
        <v>L</v>
      </c>
      <c r="M18" s="191" t="str">
        <f t="shared" si="5"/>
        <v>M</v>
      </c>
      <c r="N18" s="191" t="str">
        <f t="shared" si="5"/>
        <v>N</v>
      </c>
      <c r="O18" s="191" t="str">
        <f t="shared" si="5"/>
        <v>O</v>
      </c>
      <c r="P18" s="191" t="str">
        <f t="shared" si="5"/>
        <v>P</v>
      </c>
      <c r="Q18" s="191" t="str">
        <f t="shared" si="5"/>
        <v>Q</v>
      </c>
      <c r="R18" s="191" t="str">
        <f t="shared" si="5"/>
        <v>R</v>
      </c>
      <c r="S18" s="191" t="str">
        <f t="shared" si="5"/>
        <v>S</v>
      </c>
      <c r="T18" s="191" t="str">
        <f t="shared" si="5"/>
        <v>T</v>
      </c>
      <c r="U18" s="191" t="str">
        <f t="shared" si="5"/>
        <v>U</v>
      </c>
      <c r="V18" s="191" t="str">
        <f t="shared" si="5"/>
        <v>V</v>
      </c>
      <c r="W18" s="191" t="str">
        <f t="shared" si="5"/>
        <v>W</v>
      </c>
      <c r="X18" s="191" t="str">
        <f t="shared" si="5"/>
        <v>X</v>
      </c>
      <c r="Y18" s="191" t="str">
        <f t="shared" si="5"/>
        <v>Y</v>
      </c>
      <c r="Z18" s="191" t="str">
        <f t="shared" si="5"/>
        <v>Z</v>
      </c>
      <c r="AA18" s="191" t="str">
        <f t="shared" si="5"/>
        <v>AA</v>
      </c>
      <c r="AB18" s="191" t="str">
        <f t="shared" si="5"/>
        <v>AB</v>
      </c>
      <c r="AC18" s="191" t="str">
        <f t="shared" si="5"/>
        <v>AC</v>
      </c>
      <c r="AD18" s="191" t="str">
        <f t="shared" si="5"/>
        <v>AD</v>
      </c>
      <c r="AE18" s="191" t="str">
        <f t="shared" si="5"/>
        <v>AE</v>
      </c>
      <c r="AF18" s="191" t="str">
        <f t="shared" si="5"/>
        <v>AF</v>
      </c>
      <c r="AG18" s="191" t="str">
        <f t="shared" ref="AG18:BL18" si="6">SUBSTITUTE(ADDRESS(1,COLUMN(),4),1,"")</f>
        <v>AG</v>
      </c>
      <c r="AH18" s="191" t="str">
        <f t="shared" si="6"/>
        <v>AH</v>
      </c>
      <c r="AI18" s="191" t="str">
        <f t="shared" si="6"/>
        <v>AI</v>
      </c>
      <c r="AJ18" s="191" t="str">
        <f t="shared" si="6"/>
        <v>AJ</v>
      </c>
      <c r="AK18" s="191" t="str">
        <f t="shared" si="6"/>
        <v>AK</v>
      </c>
      <c r="AL18" s="191" t="str">
        <f t="shared" si="6"/>
        <v>AL</v>
      </c>
      <c r="AM18" s="191" t="str">
        <f t="shared" si="6"/>
        <v>AM</v>
      </c>
      <c r="AN18" s="191" t="str">
        <f t="shared" si="6"/>
        <v>AN</v>
      </c>
      <c r="AO18" s="191" t="str">
        <f t="shared" si="6"/>
        <v>AO</v>
      </c>
      <c r="AP18" s="191" t="str">
        <f t="shared" si="6"/>
        <v>AP</v>
      </c>
      <c r="AQ18" s="191" t="str">
        <f t="shared" si="6"/>
        <v>AQ</v>
      </c>
      <c r="AR18" s="191" t="str">
        <f t="shared" si="6"/>
        <v>AR</v>
      </c>
      <c r="AS18" s="191" t="str">
        <f t="shared" si="6"/>
        <v>AS</v>
      </c>
      <c r="AT18" s="191" t="str">
        <f t="shared" si="6"/>
        <v>AT</v>
      </c>
      <c r="AU18" s="191" t="str">
        <f t="shared" si="6"/>
        <v>AU</v>
      </c>
      <c r="AV18" s="191" t="str">
        <f t="shared" si="6"/>
        <v>AV</v>
      </c>
      <c r="AW18" s="191" t="str">
        <f t="shared" si="6"/>
        <v>AW</v>
      </c>
      <c r="AX18" s="191" t="str">
        <f t="shared" si="6"/>
        <v>AX</v>
      </c>
      <c r="AY18" s="191" t="str">
        <f t="shared" si="6"/>
        <v>AY</v>
      </c>
      <c r="AZ18" s="191" t="str">
        <f t="shared" si="6"/>
        <v>AZ</v>
      </c>
      <c r="BA18" s="191" t="str">
        <f t="shared" si="6"/>
        <v>BA</v>
      </c>
      <c r="BB18" s="191" t="str">
        <f t="shared" si="6"/>
        <v>BB</v>
      </c>
      <c r="BC18" s="191" t="str">
        <f t="shared" si="6"/>
        <v>BC</v>
      </c>
      <c r="BD18" s="191" t="str">
        <f t="shared" si="6"/>
        <v>BD</v>
      </c>
      <c r="BE18" s="191" t="str">
        <f t="shared" si="6"/>
        <v>BE</v>
      </c>
      <c r="BF18" s="191" t="str">
        <f t="shared" si="6"/>
        <v>BF</v>
      </c>
      <c r="BG18" s="191" t="str">
        <f t="shared" si="6"/>
        <v>BG</v>
      </c>
      <c r="BH18" s="191" t="str">
        <f t="shared" si="6"/>
        <v>BH</v>
      </c>
      <c r="BI18" s="191" t="str">
        <f t="shared" si="6"/>
        <v>BI</v>
      </c>
      <c r="BJ18" s="191" t="str">
        <f t="shared" si="6"/>
        <v>BJ</v>
      </c>
      <c r="BK18" s="191" t="str">
        <f t="shared" si="6"/>
        <v>BK</v>
      </c>
      <c r="BL18" s="191" t="str">
        <f t="shared" si="6"/>
        <v>BL</v>
      </c>
      <c r="BM18" s="191" t="str">
        <f t="shared" ref="BM18:BU18" si="7">SUBSTITUTE(ADDRESS(1,COLUMN(),4),1,"")</f>
        <v>BM</v>
      </c>
      <c r="BN18" s="191" t="str">
        <f t="shared" si="7"/>
        <v>BN</v>
      </c>
      <c r="BO18" s="191" t="str">
        <f t="shared" si="7"/>
        <v>BO</v>
      </c>
      <c r="BP18" s="191" t="str">
        <f t="shared" si="7"/>
        <v>BP</v>
      </c>
      <c r="BQ18" s="191" t="str">
        <f t="shared" si="7"/>
        <v>BQ</v>
      </c>
      <c r="BR18" s="191" t="str">
        <f t="shared" si="7"/>
        <v>BR</v>
      </c>
      <c r="BS18" s="191" t="str">
        <f t="shared" si="7"/>
        <v>BS</v>
      </c>
      <c r="BT18" s="191" t="str">
        <f t="shared" si="7"/>
        <v>BT</v>
      </c>
      <c r="BU18" s="191" t="str">
        <f t="shared" si="7"/>
        <v>BU</v>
      </c>
      <c r="BW18" s="191" t="str">
        <f t="shared" ref="BW18:CD18" si="8">SUBSTITUTE(ADDRESS(1,COLUMN(),4),1,"")</f>
        <v>BW</v>
      </c>
      <c r="BX18" s="191" t="str">
        <f t="shared" si="8"/>
        <v>BX</v>
      </c>
      <c r="BY18" s="191" t="str">
        <f t="shared" si="8"/>
        <v>BY</v>
      </c>
      <c r="BZ18" s="191" t="str">
        <f t="shared" si="8"/>
        <v>BZ</v>
      </c>
      <c r="CA18" s="191" t="str">
        <f t="shared" si="8"/>
        <v>CA</v>
      </c>
      <c r="CB18" s="191" t="str">
        <f t="shared" si="8"/>
        <v>CB</v>
      </c>
      <c r="CC18" s="191" t="str">
        <f t="shared" si="8"/>
        <v>CC</v>
      </c>
      <c r="CD18" s="191" t="str">
        <f t="shared" si="8"/>
        <v>CD</v>
      </c>
    </row>
    <row r="19" spans="1:87" s="214" customFormat="1" ht="180" customHeight="1">
      <c r="A19" s="230">
        <f>IF(B17=0,"",COUNTA($B$12:(B17)))</f>
        <v>4</v>
      </c>
      <c r="B19" s="206">
        <v>123456</v>
      </c>
      <c r="C19" s="207" t="s">
        <v>120</v>
      </c>
      <c r="D19" s="231" t="s">
        <v>148</v>
      </c>
      <c r="E19" s="231" t="s">
        <v>99</v>
      </c>
      <c r="F19" s="231"/>
      <c r="G19" s="203">
        <v>9520000</v>
      </c>
      <c r="H19" s="203"/>
      <c r="I19" s="203"/>
      <c r="J19" s="232">
        <v>1</v>
      </c>
      <c r="K19" s="203">
        <v>11</v>
      </c>
      <c r="L19" s="203"/>
      <c r="M19" s="203"/>
      <c r="N19" s="203"/>
      <c r="O19" s="203">
        <v>2</v>
      </c>
      <c r="P19" s="203"/>
      <c r="Q19" s="203"/>
      <c r="R19" s="203">
        <v>0</v>
      </c>
      <c r="S19" s="203">
        <v>0</v>
      </c>
      <c r="T19" s="203"/>
      <c r="U19" s="203">
        <v>0</v>
      </c>
      <c r="V19" s="203">
        <v>0</v>
      </c>
      <c r="W19" s="203">
        <v>0</v>
      </c>
      <c r="X19" s="203">
        <v>0</v>
      </c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203"/>
      <c r="AQ19" s="203"/>
      <c r="AR19" s="203"/>
      <c r="AS19" s="203"/>
      <c r="AT19" s="203"/>
      <c r="AU19" s="203"/>
      <c r="AV19" s="233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33"/>
      <c r="AX19" s="233" t="s">
        <v>101</v>
      </c>
      <c r="AY19" s="204"/>
      <c r="AZ19" s="204"/>
      <c r="BA19" s="204"/>
      <c r="BB19" s="204"/>
      <c r="BC19" s="204"/>
      <c r="BD19" s="204"/>
      <c r="BE19" s="204"/>
      <c r="BF19" s="204"/>
      <c r="BG19" s="204"/>
      <c r="BH19" s="204">
        <v>3</v>
      </c>
      <c r="BI19" s="204"/>
      <c r="BJ19" s="234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204"/>
      <c r="BL19" s="204"/>
      <c r="BM19" s="204">
        <v>0</v>
      </c>
      <c r="BN19" s="204"/>
      <c r="BO19" s="204"/>
      <c r="BP19" s="204"/>
      <c r="BQ19" s="204"/>
      <c r="BR19" s="204"/>
      <c r="BS19" s="204"/>
      <c r="BT19" s="204"/>
      <c r="BU19" s="235"/>
      <c r="BW19" s="236">
        <v>60000000</v>
      </c>
      <c r="BX19" s="234">
        <v>0</v>
      </c>
      <c r="BY19" s="234"/>
      <c r="BZ19" s="234"/>
      <c r="CA19" s="234">
        <v>0</v>
      </c>
      <c r="CB19" s="234"/>
      <c r="CC19" s="234" t="s">
        <v>122</v>
      </c>
      <c r="CD19" s="234"/>
      <c r="CE19" s="213"/>
      <c r="CF19" s="213"/>
      <c r="CG19" s="213"/>
      <c r="CI19" s="215"/>
    </row>
    <row r="25" spans="1:87" ht="17">
      <c r="G25" s="299" t="s">
        <v>153</v>
      </c>
    </row>
  </sheetData>
  <autoFilter ref="A9:CI14" xr:uid="{00000000-0009-0000-0000-000003000000}"/>
  <mergeCells count="82">
    <mergeCell ref="BW3:CB4"/>
    <mergeCell ref="CC5:CC8"/>
    <mergeCell ref="H5:H8"/>
    <mergeCell ref="J5:J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X5:CA7"/>
    <mergeCell ref="U6:U8"/>
    <mergeCell ref="AY6:BJ6"/>
    <mergeCell ref="AG6:AG8"/>
    <mergeCell ref="BE7:BE8"/>
    <mergeCell ref="BQ6:BQ8"/>
    <mergeCell ref="BG7:BG8"/>
    <mergeCell ref="AD6:AD8"/>
    <mergeCell ref="AF6:AF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A5:A8"/>
    <mergeCell ref="C5:C8"/>
    <mergeCell ref="AU5:AU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CB5:CB8"/>
    <mergeCell ref="BT5:BT8"/>
    <mergeCell ref="AL6:AL8"/>
    <mergeCell ref="P6:P8"/>
    <mergeCell ref="BB7:BB8"/>
    <mergeCell ref="BD7:BD8"/>
    <mergeCell ref="BF7:BF8"/>
    <mergeCell ref="BH7:BH8"/>
    <mergeCell ref="S6:S8"/>
    <mergeCell ref="AS5:AS8"/>
    <mergeCell ref="BQ5:BR5"/>
    <mergeCell ref="BK7:BK8"/>
    <mergeCell ref="BK6:BP6"/>
    <mergeCell ref="BN7:BN8"/>
    <mergeCell ref="BP7:BP8"/>
    <mergeCell ref="AM6:AM8"/>
    <mergeCell ref="N6:N8"/>
    <mergeCell ref="F5:F8"/>
    <mergeCell ref="AP5:AP8"/>
    <mergeCell ref="BO7:BO8"/>
    <mergeCell ref="AB6:AB8"/>
    <mergeCell ref="AY5:BP5"/>
    <mergeCell ref="M6:M8"/>
    <mergeCell ref="AH6:AH8"/>
    <mergeCell ref="AJ6:AJ8"/>
    <mergeCell ref="T6:T8"/>
    <mergeCell ref="Q6:Q8"/>
    <mergeCell ref="AC6:AC8"/>
    <mergeCell ref="BC7:BC8"/>
    <mergeCell ref="AE6:AE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2025-12-29T08:04:22Z</dcterms:modified>
</cp:coreProperties>
</file>