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B7A18D02-9565-5E49-A2A3-A6B114504B66}" xr6:coauthVersionLast="47" xr6:coauthVersionMax="47" xr10:uidLastSave="{00000000-0000-0000-0000-000000000000}"/>
  <bookViews>
    <workbookView xWindow="320" yWindow="500" windowWidth="38080" windowHeight="20780" tabRatio="761" xr2:uid="{00000000-000D-0000-FFFF-FFFF00000000}"/>
  </bookViews>
  <sheets>
    <sheet name="Bảng lương CB-NV" sheetId="5" r:id="rId1"/>
    <sheet name="Mô tả Bảng lương CB-NV" sheetId="2" r:id="rId2"/>
    <sheet name="Bảng lương tạm ứng kỳ 1" sheetId="7" r:id="rId3"/>
    <sheet name="Mô tả Bảng lương tạm ứng kỳ 1" sheetId="6" r:id="rId4"/>
  </sheets>
  <externalReferences>
    <externalReference r:id="rId5"/>
  </externalReference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1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1">BlankMacro1</definedName>
    <definedName name="_??????1">BlankMacro1</definedName>
    <definedName name="_??????2" localSheetId="1">BlankMacro1</definedName>
    <definedName name="_??????2">BlankMacro1</definedName>
    <definedName name="_??????3" localSheetId="1">BlankMacro1</definedName>
    <definedName name="_??????3">BlankMacro1</definedName>
    <definedName name="_??????4" localSheetId="1">BlankMacro1</definedName>
    <definedName name="_??????4">BlankMacro1</definedName>
    <definedName name="_??????5" localSheetId="1">BlankMacro1</definedName>
    <definedName name="_??????5">BlankMacro1</definedName>
    <definedName name="_??????6" localSheetId="1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1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1">BlankMacro1</definedName>
    <definedName name="_15_??????2">BlankMacro1</definedName>
    <definedName name="_17_??????">#REF!</definedName>
    <definedName name="_18_?1">#N/A</definedName>
    <definedName name="_19_??????3" localSheetId="1">BlankMacro1</definedName>
    <definedName name="_19_??????3">BlankMacro1</definedName>
    <definedName name="_19_?271">#N/A</definedName>
    <definedName name="_2">#REF!</definedName>
    <definedName name="_23_??????4" localSheetId="1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1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1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1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1" hidden="1">'Mô tả Bảng lương CB-NV'!$A$5:$CI$10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1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1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1">BlankMacro1</definedName>
    <definedName name="FIT">BlankMacro1</definedName>
    <definedName name="FITT2" localSheetId="1">BlankMacro1</definedName>
    <definedName name="FITT2">BlankMacro1</definedName>
    <definedName name="FITTING2" localSheetId="1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1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1">BlankMacro1</definedName>
    <definedName name="PIP">BlankMacro1</definedName>
    <definedName name="PIPE2" localSheetId="1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1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1">'Mô tả Bảng lương CB-NV'!$A$1:$BU$10</definedName>
    <definedName name="PRINT_AREA_MI">#REF!</definedName>
    <definedName name="PRINT_AREA_MI1">#REF!</definedName>
    <definedName name="Print_CEM_cc5">#REF!</definedName>
    <definedName name="_xlnm.Print_Titles" localSheetId="1">'Mô tả Bảng lương CB-NV'!$1:$4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1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1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1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1">BlankMacro1</definedName>
    <definedName name="템플리트모듈1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1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" i="5" l="1"/>
  <c r="BI8" i="5"/>
  <c r="BI9" i="5"/>
  <c r="BI10" i="5"/>
  <c r="BI11" i="5"/>
  <c r="BI12" i="5"/>
  <c r="BI6" i="5"/>
  <c r="BT15" i="7" l="1"/>
  <c r="BT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D17" i="2"/>
  <c r="AM19" i="2" s="1"/>
  <c r="CC17" i="2"/>
  <c r="H19" i="2" s="1"/>
  <c r="CB17" i="2"/>
  <c r="CA17" i="2"/>
  <c r="BZ17" i="2"/>
  <c r="AK19" i="2" s="1"/>
  <c r="BY17" i="2"/>
  <c r="BX17" i="2"/>
  <c r="BW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G19" i="2" s="1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AG19" i="2" s="1"/>
  <c r="S17" i="2"/>
  <c r="R17" i="2"/>
  <c r="Q17" i="2"/>
  <c r="P17" i="2"/>
  <c r="O17" i="2"/>
  <c r="N17" i="2"/>
  <c r="M17" i="2"/>
  <c r="L17" i="2"/>
  <c r="K17" i="2"/>
  <c r="J17" i="2"/>
  <c r="I17" i="2"/>
  <c r="H17" i="2"/>
  <c r="AN19" i="2" s="1"/>
  <c r="G17" i="2"/>
  <c r="F17" i="2"/>
  <c r="E17" i="2"/>
  <c r="AX19" i="2" s="1"/>
  <c r="D17" i="2"/>
  <c r="C17" i="2"/>
  <c r="B17" i="2"/>
  <c r="A17" i="2"/>
  <c r="CA14" i="2"/>
  <c r="CB14" i="2" s="1"/>
  <c r="BT14" i="2"/>
  <c r="BJ14" i="2"/>
  <c r="BE14" i="2"/>
  <c r="AX14" i="2"/>
  <c r="BA14" i="2" s="1"/>
  <c r="AM14" i="2"/>
  <c r="AK14" i="2"/>
  <c r="AI14" i="2"/>
  <c r="AG14" i="2"/>
  <c r="AF14" i="2"/>
  <c r="AE14" i="2"/>
  <c r="AD14" i="2"/>
  <c r="AC14" i="2"/>
  <c r="AB14" i="2"/>
  <c r="AA14" i="2"/>
  <c r="Z14" i="2"/>
  <c r="Y14" i="2"/>
  <c r="H14" i="2"/>
  <c r="A14" i="2"/>
  <c r="CB13" i="2"/>
  <c r="AH13" i="2" s="1"/>
  <c r="CA13" i="2"/>
  <c r="BT13" i="2"/>
  <c r="BJ13" i="2"/>
  <c r="BE13" i="2"/>
  <c r="BA13" i="2"/>
  <c r="AZ13" i="2"/>
  <c r="AX13" i="2"/>
  <c r="AY13" i="2" s="1"/>
  <c r="BB13" i="2" s="1"/>
  <c r="AM13" i="2"/>
  <c r="AK13" i="2"/>
  <c r="AI13" i="2"/>
  <c r="AG13" i="2"/>
  <c r="AG11" i="2" s="1"/>
  <c r="AF13" i="2"/>
  <c r="AE13" i="2"/>
  <c r="AD13" i="2"/>
  <c r="AC13" i="2"/>
  <c r="AB13" i="2"/>
  <c r="AA13" i="2"/>
  <c r="Z13" i="2"/>
  <c r="Y13" i="2"/>
  <c r="H13" i="2"/>
  <c r="AN13" i="2" s="1"/>
  <c r="A13" i="2"/>
  <c r="CB12" i="2"/>
  <c r="AH12" i="2" s="1"/>
  <c r="BT12" i="2"/>
  <c r="BJ12" i="2"/>
  <c r="BE12" i="2"/>
  <c r="BE11" i="2" s="1"/>
  <c r="AX12" i="2"/>
  <c r="BA12" i="2" s="1"/>
  <c r="AM12" i="2"/>
  <c r="AK12" i="2"/>
  <c r="AK11" i="2" s="1"/>
  <c r="AI12" i="2"/>
  <c r="AI11" i="2" s="1"/>
  <c r="AG12" i="2"/>
  <c r="AF12" i="2"/>
  <c r="AF11" i="2" s="1"/>
  <c r="AE12" i="2"/>
  <c r="AD12" i="2"/>
  <c r="AD11" i="2" s="1"/>
  <c r="AC12" i="2"/>
  <c r="AC11" i="2" s="1"/>
  <c r="AB12" i="2"/>
  <c r="AA12" i="2"/>
  <c r="Z12" i="2"/>
  <c r="Y12" i="2"/>
  <c r="H12" i="2"/>
  <c r="AN12" i="2" s="1"/>
  <c r="A12" i="2"/>
  <c r="BQ11" i="2"/>
  <c r="BP11" i="2"/>
  <c r="BO11" i="2"/>
  <c r="BN11" i="2"/>
  <c r="BM11" i="2"/>
  <c r="BC11" i="2"/>
  <c r="AM11" i="2"/>
  <c r="AL11" i="2"/>
  <c r="AJ11" i="2"/>
  <c r="Y11" i="2"/>
  <c r="X11" i="2"/>
  <c r="W11" i="2"/>
  <c r="V11" i="2"/>
  <c r="U11" i="2"/>
  <c r="S11" i="2"/>
  <c r="R11" i="2"/>
  <c r="K11" i="2"/>
  <c r="G11" i="2"/>
  <c r="BX9" i="2"/>
  <c r="BY9" i="2" s="1"/>
  <c r="BZ9" i="2" s="1"/>
  <c r="CA9" i="2" s="1"/>
  <c r="CB9" i="2" s="1"/>
  <c r="CC9" i="2" s="1"/>
  <c r="CD9" i="2" s="1"/>
  <c r="B9" i="2"/>
  <c r="C9" i="2" s="1"/>
  <c r="D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A3" i="2"/>
  <c r="CA21" i="7"/>
  <c r="CB21" i="7" s="1"/>
  <c r="BE21" i="7"/>
  <c r="BA21" i="7"/>
  <c r="AZ21" i="7"/>
  <c r="AM21" i="7"/>
  <c r="AK21" i="7"/>
  <c r="AI21" i="7"/>
  <c r="AG21" i="7"/>
  <c r="AF21" i="7"/>
  <c r="AE21" i="7"/>
  <c r="AD21" i="7"/>
  <c r="AC21" i="7"/>
  <c r="AB21" i="7"/>
  <c r="AA21" i="7"/>
  <c r="Z21" i="7"/>
  <c r="Y21" i="7"/>
  <c r="H21" i="7"/>
  <c r="AY21" i="7" s="1"/>
  <c r="A21" i="7"/>
  <c r="CA20" i="7"/>
  <c r="CB20" i="7" s="1"/>
  <c r="BE20" i="7"/>
  <c r="AZ20" i="7"/>
  <c r="AY20" i="7"/>
  <c r="AN20" i="7"/>
  <c r="AM20" i="7"/>
  <c r="AK20" i="7"/>
  <c r="AI20" i="7"/>
  <c r="AG20" i="7"/>
  <c r="AF20" i="7"/>
  <c r="AE20" i="7"/>
  <c r="AD20" i="7"/>
  <c r="AC20" i="7"/>
  <c r="AB20" i="7"/>
  <c r="AA20" i="7"/>
  <c r="Z20" i="7"/>
  <c r="Y20" i="7"/>
  <c r="H20" i="7"/>
  <c r="BA20" i="7" s="1"/>
  <c r="A20" i="7"/>
  <c r="CB19" i="7"/>
  <c r="CA19" i="7"/>
  <c r="BE19" i="7"/>
  <c r="AM19" i="7"/>
  <c r="AK19" i="7"/>
  <c r="AI19" i="7"/>
  <c r="AH19" i="7"/>
  <c r="AG19" i="7"/>
  <c r="AE19" i="7"/>
  <c r="AD19" i="7"/>
  <c r="AC19" i="7"/>
  <c r="AB19" i="7"/>
  <c r="AA19" i="7"/>
  <c r="Z19" i="7"/>
  <c r="Y19" i="7"/>
  <c r="H19" i="7"/>
  <c r="AF19" i="7" s="1"/>
  <c r="A19" i="7"/>
  <c r="CB18" i="7"/>
  <c r="CA18" i="7"/>
  <c r="BE18" i="7"/>
  <c r="BA18" i="7"/>
  <c r="AZ18" i="7"/>
  <c r="AM18" i="7"/>
  <c r="AK18" i="7"/>
  <c r="AI18" i="7"/>
  <c r="AH18" i="7"/>
  <c r="AG18" i="7"/>
  <c r="AF18" i="7"/>
  <c r="AE18" i="7"/>
  <c r="AD18" i="7"/>
  <c r="AC18" i="7"/>
  <c r="AB18" i="7"/>
  <c r="AA18" i="7"/>
  <c r="Z18" i="7"/>
  <c r="Y18" i="7"/>
  <c r="H18" i="7"/>
  <c r="AY18" i="7" s="1"/>
  <c r="A18" i="7"/>
  <c r="CA17" i="7"/>
  <c r="CB17" i="7" s="1"/>
  <c r="BE17" i="7"/>
  <c r="BA17" i="7"/>
  <c r="AZ17" i="7"/>
  <c r="AY17" i="7"/>
  <c r="BB17" i="7" s="1"/>
  <c r="AN17" i="7"/>
  <c r="AM17" i="7"/>
  <c r="AK17" i="7"/>
  <c r="AI17" i="7"/>
  <c r="AG17" i="7"/>
  <c r="AF17" i="7"/>
  <c r="AE17" i="7"/>
  <c r="AD17" i="7"/>
  <c r="AC17" i="7"/>
  <c r="AB17" i="7"/>
  <c r="AA17" i="7"/>
  <c r="Z17" i="7"/>
  <c r="Y17" i="7"/>
  <c r="H17" i="7"/>
  <c r="A17" i="7"/>
  <c r="CB16" i="7"/>
  <c r="CA16" i="7"/>
  <c r="BE16" i="7"/>
  <c r="AM16" i="7"/>
  <c r="AK16" i="7"/>
  <c r="AK14" i="7" s="1"/>
  <c r="AI16" i="7"/>
  <c r="AI14" i="7" s="1"/>
  <c r="AH16" i="7"/>
  <c r="AG16" i="7"/>
  <c r="AF16" i="7"/>
  <c r="AE16" i="7"/>
  <c r="AD16" i="7"/>
  <c r="AC16" i="7"/>
  <c r="AB16" i="7"/>
  <c r="AA16" i="7"/>
  <c r="Z16" i="7"/>
  <c r="Y16" i="7"/>
  <c r="H16" i="7"/>
  <c r="H14" i="7" s="1"/>
  <c r="A16" i="7"/>
  <c r="CB15" i="7"/>
  <c r="BE15" i="7"/>
  <c r="BE14" i="7" s="1"/>
  <c r="BA15" i="7"/>
  <c r="AZ15" i="7"/>
  <c r="AY15" i="7"/>
  <c r="AN15" i="7"/>
  <c r="AM15" i="7"/>
  <c r="AM14" i="7" s="1"/>
  <c r="AK15" i="7"/>
  <c r="AI15" i="7"/>
  <c r="AH15" i="7"/>
  <c r="AG15" i="7"/>
  <c r="AG14" i="7" s="1"/>
  <c r="AF15" i="7"/>
  <c r="AF14" i="7" s="1"/>
  <c r="AE15" i="7"/>
  <c r="AD15" i="7"/>
  <c r="AD14" i="7" s="1"/>
  <c r="AC15" i="7"/>
  <c r="AC14" i="7" s="1"/>
  <c r="AB15" i="7"/>
  <c r="AA15" i="7"/>
  <c r="Z15" i="7"/>
  <c r="Y15" i="7"/>
  <c r="I15" i="7"/>
  <c r="AO15" i="7" s="1"/>
  <c r="H15" i="7"/>
  <c r="A15" i="7"/>
  <c r="BU14" i="7"/>
  <c r="BP14" i="7"/>
  <c r="BN14" i="7"/>
  <c r="BM14" i="7"/>
  <c r="BL14" i="7"/>
  <c r="BK14" i="7"/>
  <c r="BC14" i="7"/>
  <c r="AL14" i="7"/>
  <c r="AJ14" i="7"/>
  <c r="Y14" i="7"/>
  <c r="X14" i="7"/>
  <c r="W14" i="7"/>
  <c r="V14" i="7"/>
  <c r="U14" i="7"/>
  <c r="S14" i="7"/>
  <c r="R14" i="7"/>
  <c r="K14" i="7"/>
  <c r="G14" i="7"/>
  <c r="BY12" i="7"/>
  <c r="BZ12" i="7" s="1"/>
  <c r="CA12" i="7" s="1"/>
  <c r="CB12" i="7" s="1"/>
  <c r="CC12" i="7" s="1"/>
  <c r="CD12" i="7" s="1"/>
  <c r="BX12" i="7"/>
  <c r="B12" i="7"/>
  <c r="C12" i="7" s="1"/>
  <c r="D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Y12" i="7" s="1"/>
  <c r="AZ12" i="7" s="1"/>
  <c r="BA12" i="7" s="1"/>
  <c r="BB12" i="7" s="1"/>
  <c r="BC12" i="7" s="1"/>
  <c r="BD12" i="7" s="1"/>
  <c r="BE12" i="7" s="1"/>
  <c r="BJ12" i="7" s="1"/>
  <c r="BK12" i="7" s="1"/>
  <c r="BL12" i="7" s="1"/>
  <c r="BM12" i="7" s="1"/>
  <c r="BN12" i="7" s="1"/>
  <c r="BP12" i="7" s="1"/>
  <c r="BQ12" i="7" s="1"/>
  <c r="BR12" i="7" s="1"/>
  <c r="BT12" i="7" s="1"/>
  <c r="BU12" i="7" s="1"/>
  <c r="A3" i="7"/>
  <c r="CD18" i="6"/>
  <c r="CC18" i="6"/>
  <c r="CB18" i="6"/>
  <c r="CA18" i="6"/>
  <c r="BZ18" i="6"/>
  <c r="BY18" i="6"/>
  <c r="BX18" i="6"/>
  <c r="BW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CD17" i="6"/>
  <c r="CC17" i="6"/>
  <c r="H19" i="6" s="1"/>
  <c r="CB17" i="6"/>
  <c r="CA17" i="6"/>
  <c r="BZ17" i="6"/>
  <c r="AK19" i="6" s="1"/>
  <c r="BY17" i="6"/>
  <c r="BX17" i="6"/>
  <c r="BW17" i="6"/>
  <c r="CB19" i="6" s="1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J19" i="6" s="1"/>
  <c r="BH17" i="6"/>
  <c r="BG17" i="6"/>
  <c r="BF17" i="6"/>
  <c r="BE17" i="6"/>
  <c r="BD17" i="6"/>
  <c r="BC17" i="6"/>
  <c r="BB17" i="6"/>
  <c r="BA17" i="6"/>
  <c r="AZ17" i="6"/>
  <c r="AY17" i="6"/>
  <c r="BB19" i="6" s="1"/>
  <c r="AX17" i="6"/>
  <c r="BA19" i="6" s="1"/>
  <c r="AW17" i="6"/>
  <c r="AV17" i="6"/>
  <c r="AU17" i="6"/>
  <c r="AT17" i="6"/>
  <c r="AS17" i="6"/>
  <c r="AR17" i="6"/>
  <c r="AQ17" i="6"/>
  <c r="AP17" i="6"/>
  <c r="AO17" i="6"/>
  <c r="AN17" i="6"/>
  <c r="AM17" i="6"/>
  <c r="BF19" i="6" s="1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AN19" i="6" s="1"/>
  <c r="G17" i="6"/>
  <c r="AE19" i="6" s="1"/>
  <c r="F17" i="6"/>
  <c r="E17" i="6"/>
  <c r="D17" i="6"/>
  <c r="C17" i="6"/>
  <c r="B17" i="6"/>
  <c r="A19" i="6" s="1"/>
  <c r="A17" i="6"/>
  <c r="CA14" i="6"/>
  <c r="CB14" i="6" s="1"/>
  <c r="BE14" i="6"/>
  <c r="AM14" i="6"/>
  <c r="AK14" i="6"/>
  <c r="AI14" i="6"/>
  <c r="AI11" i="6" s="1"/>
  <c r="AG14" i="6"/>
  <c r="AF14" i="6"/>
  <c r="AE14" i="6"/>
  <c r="AD14" i="6"/>
  <c r="AC14" i="6"/>
  <c r="AB14" i="6"/>
  <c r="AA14" i="6"/>
  <c r="Z14" i="6"/>
  <c r="Y14" i="6"/>
  <c r="H14" i="6"/>
  <c r="BA14" i="6" s="1"/>
  <c r="F14" i="6"/>
  <c r="A14" i="6"/>
  <c r="CB13" i="6"/>
  <c r="I13" i="6" s="1"/>
  <c r="CA13" i="6"/>
  <c r="BE13" i="6"/>
  <c r="BA13" i="6"/>
  <c r="AZ13" i="6"/>
  <c r="AY13" i="6"/>
  <c r="BB13" i="6" s="1"/>
  <c r="AM13" i="6"/>
  <c r="AK13" i="6"/>
  <c r="AI13" i="6"/>
  <c r="AG13" i="6"/>
  <c r="AG11" i="6" s="1"/>
  <c r="AF13" i="6"/>
  <c r="AF11" i="6" s="1"/>
  <c r="AE13" i="6"/>
  <c r="AD13" i="6"/>
  <c r="AD11" i="6" s="1"/>
  <c r="AC13" i="6"/>
  <c r="AB13" i="6"/>
  <c r="AA13" i="6"/>
  <c r="Z13" i="6"/>
  <c r="Y13" i="6"/>
  <c r="H13" i="6"/>
  <c r="AN13" i="6" s="1"/>
  <c r="F13" i="6"/>
  <c r="A13" i="6"/>
  <c r="CB12" i="6"/>
  <c r="I12" i="6" s="1"/>
  <c r="BE12" i="6"/>
  <c r="BE11" i="6" s="1"/>
  <c r="AN12" i="6"/>
  <c r="AM12" i="6"/>
  <c r="AK12" i="6"/>
  <c r="AI12" i="6"/>
  <c r="AG12" i="6"/>
  <c r="AF12" i="6"/>
  <c r="AE12" i="6"/>
  <c r="AD12" i="6"/>
  <c r="AC12" i="6"/>
  <c r="AC11" i="6" s="1"/>
  <c r="AB12" i="6"/>
  <c r="AA12" i="6"/>
  <c r="Z12" i="6"/>
  <c r="Y12" i="6"/>
  <c r="Y11" i="6" s="1"/>
  <c r="H12" i="6"/>
  <c r="BA12" i="6" s="1"/>
  <c r="F12" i="6"/>
  <c r="A12" i="6"/>
  <c r="BU11" i="6"/>
  <c r="BP11" i="6"/>
  <c r="BN11" i="6"/>
  <c r="BM11" i="6"/>
  <c r="BL11" i="6"/>
  <c r="BK11" i="6"/>
  <c r="BC11" i="6"/>
  <c r="AL11" i="6"/>
  <c r="AK11" i="6"/>
  <c r="AJ11" i="6"/>
  <c r="X11" i="6"/>
  <c r="W11" i="6"/>
  <c r="V11" i="6"/>
  <c r="U11" i="6"/>
  <c r="S11" i="6"/>
  <c r="R11" i="6"/>
  <c r="K11" i="6"/>
  <c r="G11" i="6"/>
  <c r="BY9" i="6"/>
  <c r="BZ9" i="6" s="1"/>
  <c r="CA9" i="6" s="1"/>
  <c r="CB9" i="6" s="1"/>
  <c r="CC9" i="6" s="1"/>
  <c r="CD9" i="6" s="1"/>
  <c r="BX9" i="6"/>
  <c r="B9" i="6"/>
  <c r="C9" i="6" s="1"/>
  <c r="D9" i="6" s="1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Y9" i="6" s="1"/>
  <c r="AZ9" i="6" s="1"/>
  <c r="BA9" i="6" s="1"/>
  <c r="BB9" i="6" s="1"/>
  <c r="BC9" i="6" s="1"/>
  <c r="BD9" i="6" s="1"/>
  <c r="BE9" i="6" s="1"/>
  <c r="BJ9" i="6" s="1"/>
  <c r="BK9" i="6" s="1"/>
  <c r="BL9" i="6" s="1"/>
  <c r="BM9" i="6" s="1"/>
  <c r="BN9" i="6" s="1"/>
  <c r="BP9" i="6" s="1"/>
  <c r="BQ9" i="6" s="1"/>
  <c r="BR9" i="6" s="1"/>
  <c r="BT9" i="6" s="1"/>
  <c r="BU9" i="6" s="1"/>
  <c r="A3" i="6"/>
  <c r="BY12" i="5"/>
  <c r="BZ12" i="5" s="1"/>
  <c r="BD12" i="5"/>
  <c r="AW12" i="5"/>
  <c r="AL12" i="5"/>
  <c r="AJ12" i="5"/>
  <c r="AH12" i="5"/>
  <c r="AF12" i="5"/>
  <c r="AE12" i="5"/>
  <c r="AD12" i="5"/>
  <c r="AC12" i="5"/>
  <c r="AB12" i="5"/>
  <c r="AA12" i="5"/>
  <c r="Z12" i="5"/>
  <c r="Y12" i="5"/>
  <c r="X12" i="5"/>
  <c r="G12" i="5"/>
  <c r="AM12" i="5" s="1"/>
  <c r="BY11" i="5"/>
  <c r="BZ11" i="5" s="1"/>
  <c r="BD11" i="5"/>
  <c r="AW11" i="5"/>
  <c r="AZ11" i="5" s="1"/>
  <c r="AL11" i="5"/>
  <c r="AJ11" i="5"/>
  <c r="AH11" i="5"/>
  <c r="AF11" i="5"/>
  <c r="AD11" i="5"/>
  <c r="AC11" i="5"/>
  <c r="AB11" i="5"/>
  <c r="AA11" i="5"/>
  <c r="Z11" i="5"/>
  <c r="Y11" i="5"/>
  <c r="X11" i="5"/>
  <c r="G11" i="5"/>
  <c r="AM11" i="5" s="1"/>
  <c r="BY10" i="5"/>
  <c r="BZ10" i="5" s="1"/>
  <c r="BD10" i="5"/>
  <c r="AW10" i="5"/>
  <c r="AL10" i="5"/>
  <c r="AJ10" i="5"/>
  <c r="AH10" i="5"/>
  <c r="AF10" i="5"/>
  <c r="AD10" i="5"/>
  <c r="AC10" i="5"/>
  <c r="AB10" i="5"/>
  <c r="AA10" i="5"/>
  <c r="Z10" i="5"/>
  <c r="Y10" i="5"/>
  <c r="X10" i="5"/>
  <c r="G10" i="5"/>
  <c r="AE10" i="5" s="1"/>
  <c r="BY9" i="5"/>
  <c r="BZ9" i="5" s="1"/>
  <c r="BD9" i="5"/>
  <c r="AW9" i="5"/>
  <c r="AL9" i="5"/>
  <c r="AJ9" i="5"/>
  <c r="AH9" i="5"/>
  <c r="AF9" i="5"/>
  <c r="AD9" i="5"/>
  <c r="AC9" i="5"/>
  <c r="AB9" i="5"/>
  <c r="AA9" i="5"/>
  <c r="Z9" i="5"/>
  <c r="Y9" i="5"/>
  <c r="X9" i="5"/>
  <c r="G9" i="5"/>
  <c r="AE9" i="5" s="1"/>
  <c r="BY8" i="5"/>
  <c r="BZ8" i="5" s="1"/>
  <c r="BD8" i="5"/>
  <c r="AW8" i="5"/>
  <c r="AL8" i="5"/>
  <c r="AJ8" i="5"/>
  <c r="AH8" i="5"/>
  <c r="AF8" i="5"/>
  <c r="AE8" i="5"/>
  <c r="AD8" i="5"/>
  <c r="AC8" i="5"/>
  <c r="AB8" i="5"/>
  <c r="AA8" i="5"/>
  <c r="Z8" i="5"/>
  <c r="Y8" i="5"/>
  <c r="X8" i="5"/>
  <c r="G8" i="5"/>
  <c r="AM8" i="5" s="1"/>
  <c r="BY7" i="5"/>
  <c r="BZ7" i="5" s="1"/>
  <c r="BD7" i="5"/>
  <c r="AW7" i="5"/>
  <c r="AL7" i="5"/>
  <c r="AJ7" i="5"/>
  <c r="AH7" i="5"/>
  <c r="AF7" i="5"/>
  <c r="AD7" i="5"/>
  <c r="AC7" i="5"/>
  <c r="AB7" i="5"/>
  <c r="AA7" i="5"/>
  <c r="Z7" i="5"/>
  <c r="Y7" i="5"/>
  <c r="X7" i="5"/>
  <c r="G7" i="5"/>
  <c r="AE7" i="5" s="1"/>
  <c r="BZ6" i="5"/>
  <c r="AG6" i="5" s="1"/>
  <c r="BD6" i="5"/>
  <c r="AL6" i="5"/>
  <c r="AJ6" i="5"/>
  <c r="AH6" i="5"/>
  <c r="AF6" i="5"/>
  <c r="AD6" i="5"/>
  <c r="AC6" i="5"/>
  <c r="AB6" i="5"/>
  <c r="AA6" i="5"/>
  <c r="Z6" i="5"/>
  <c r="Y6" i="5"/>
  <c r="X6" i="5"/>
  <c r="G6" i="5"/>
  <c r="AX6" i="5" s="1"/>
  <c r="BT11" i="2" l="1"/>
  <c r="AE6" i="5"/>
  <c r="AZ7" i="5"/>
  <c r="H9" i="5"/>
  <c r="AX11" i="5"/>
  <c r="BA11" i="5" s="1"/>
  <c r="AZ8" i="5"/>
  <c r="AD19" i="2"/>
  <c r="BK19" i="2"/>
  <c r="AZ19" i="2"/>
  <c r="AE19" i="2"/>
  <c r="AF19" i="2"/>
  <c r="BU19" i="2"/>
  <c r="BA19" i="2"/>
  <c r="I19" i="2"/>
  <c r="AV19" i="2"/>
  <c r="BE19" i="2"/>
  <c r="AO19" i="2"/>
  <c r="AH19" i="2"/>
  <c r="AY19" i="2"/>
  <c r="CB19" i="2"/>
  <c r="BA11" i="2"/>
  <c r="BF19" i="2"/>
  <c r="BB19" i="2"/>
  <c r="I14" i="2"/>
  <c r="AH14" i="2"/>
  <c r="AH11" i="2" s="1"/>
  <c r="AV13" i="2"/>
  <c r="AN11" i="2"/>
  <c r="AY12" i="2"/>
  <c r="AZ12" i="2"/>
  <c r="AI19" i="2"/>
  <c r="H11" i="2"/>
  <c r="I13" i="2"/>
  <c r="AO13" i="2" s="1"/>
  <c r="Y19" i="2"/>
  <c r="BJ19" i="2"/>
  <c r="Z19" i="2"/>
  <c r="I12" i="2"/>
  <c r="AY14" i="2"/>
  <c r="AA19" i="2"/>
  <c r="BL19" i="2"/>
  <c r="AZ14" i="2"/>
  <c r="AB19" i="2"/>
  <c r="AC19" i="2"/>
  <c r="BB21" i="7"/>
  <c r="BB18" i="7"/>
  <c r="AV15" i="7"/>
  <c r="I20" i="7"/>
  <c r="AO20" i="7" s="1"/>
  <c r="AV20" i="7" s="1"/>
  <c r="AH20" i="7"/>
  <c r="AV21" i="7"/>
  <c r="BB20" i="7"/>
  <c r="I17" i="7"/>
  <c r="AO17" i="7" s="1"/>
  <c r="AV17" i="7" s="1"/>
  <c r="AH17" i="7"/>
  <c r="I21" i="7"/>
  <c r="AO21" i="7" s="1"/>
  <c r="AH21" i="7"/>
  <c r="AH14" i="7" s="1"/>
  <c r="I19" i="7"/>
  <c r="AO19" i="7" s="1"/>
  <c r="AN19" i="7"/>
  <c r="AV19" i="7" s="1"/>
  <c r="I18" i="7"/>
  <c r="AO18" i="7" s="1"/>
  <c r="AV18" i="7" s="1"/>
  <c r="AY16" i="7"/>
  <c r="AY19" i="7"/>
  <c r="BB19" i="7" s="1"/>
  <c r="AN16" i="7"/>
  <c r="AZ16" i="7"/>
  <c r="AZ14" i="7" s="1"/>
  <c r="AN18" i="7"/>
  <c r="AZ19" i="7"/>
  <c r="AN21" i="7"/>
  <c r="BB15" i="7"/>
  <c r="BA16" i="7"/>
  <c r="I16" i="7"/>
  <c r="BA19" i="7"/>
  <c r="I19" i="6"/>
  <c r="AC19" i="6"/>
  <c r="BA11" i="6"/>
  <c r="BI19" i="6"/>
  <c r="AY19" i="6"/>
  <c r="AB19" i="6"/>
  <c r="AD19" i="6"/>
  <c r="AM19" i="6"/>
  <c r="BT19" i="6"/>
  <c r="AZ19" i="6"/>
  <c r="AO19" i="6"/>
  <c r="Z19" i="6"/>
  <c r="AV19" i="6"/>
  <c r="AO12" i="6"/>
  <c r="I14" i="6"/>
  <c r="AO14" i="6" s="1"/>
  <c r="AH14" i="6"/>
  <c r="AM11" i="6"/>
  <c r="AF19" i="6"/>
  <c r="AG19" i="6"/>
  <c r="BE19" i="6"/>
  <c r="AZ12" i="6"/>
  <c r="AH13" i="6"/>
  <c r="AO13" i="6" s="1"/>
  <c r="AV13" i="6" s="1"/>
  <c r="F19" i="6"/>
  <c r="AH19" i="6"/>
  <c r="AY12" i="6"/>
  <c r="AN14" i="6"/>
  <c r="AN11" i="6" s="1"/>
  <c r="AI19" i="6"/>
  <c r="BG19" i="6"/>
  <c r="H11" i="6"/>
  <c r="Y19" i="6"/>
  <c r="AH12" i="6"/>
  <c r="AY14" i="6"/>
  <c r="BS19" i="6"/>
  <c r="AZ14" i="6"/>
  <c r="AA19" i="6"/>
  <c r="AM9" i="5"/>
  <c r="AZ9" i="5"/>
  <c r="AY6" i="5"/>
  <c r="AY12" i="5"/>
  <c r="AM10" i="5"/>
  <c r="AZ6" i="5"/>
  <c r="AZ10" i="5"/>
  <c r="AY11" i="5"/>
  <c r="H11" i="5"/>
  <c r="AG11" i="5"/>
  <c r="AG7" i="5"/>
  <c r="H7" i="5"/>
  <c r="H10" i="5"/>
  <c r="AG10" i="5"/>
  <c r="AG8" i="5"/>
  <c r="H8" i="5"/>
  <c r="AN8" i="5" s="1"/>
  <c r="AU8" i="5" s="1"/>
  <c r="H12" i="5"/>
  <c r="AG12" i="5"/>
  <c r="AZ12" i="5"/>
  <c r="AX10" i="5"/>
  <c r="AE11" i="5"/>
  <c r="AY10" i="5"/>
  <c r="AM7" i="5"/>
  <c r="AX9" i="5"/>
  <c r="AY9" i="5"/>
  <c r="H6" i="5"/>
  <c r="AX8" i="5"/>
  <c r="AY8" i="5"/>
  <c r="AM6" i="5"/>
  <c r="AX7" i="5"/>
  <c r="AG9" i="5"/>
  <c r="AY7" i="5"/>
  <c r="AX12" i="5"/>
  <c r="AN12" i="5" l="1"/>
  <c r="AU12" i="5" s="1"/>
  <c r="BE12" i="5" s="1"/>
  <c r="BF12" i="5" s="1"/>
  <c r="BA6" i="5"/>
  <c r="AN9" i="5"/>
  <c r="AU9" i="5" s="1"/>
  <c r="BB14" i="2"/>
  <c r="AO12" i="2"/>
  <c r="I11" i="2"/>
  <c r="AZ11" i="2"/>
  <c r="BB12" i="2"/>
  <c r="BB11" i="2" s="1"/>
  <c r="AY11" i="2"/>
  <c r="AO14" i="2"/>
  <c r="AV14" i="2" s="1"/>
  <c r="BF13" i="2"/>
  <c r="BG13" i="2" s="1"/>
  <c r="BK13" i="2" s="1"/>
  <c r="BL13" i="2" s="1"/>
  <c r="BU13" i="2" s="1"/>
  <c r="BB16" i="7"/>
  <c r="BA14" i="7"/>
  <c r="BF17" i="7"/>
  <c r="BG17" i="7" s="1"/>
  <c r="BI17" i="7" s="1"/>
  <c r="BJ17" i="7" s="1"/>
  <c r="BS17" i="7"/>
  <c r="BT17" i="7"/>
  <c r="BS19" i="7"/>
  <c r="BT19" i="7" s="1"/>
  <c r="BF19" i="7"/>
  <c r="BG19" i="7" s="1"/>
  <c r="BI19" i="7" s="1"/>
  <c r="BJ19" i="7" s="1"/>
  <c r="BF20" i="7"/>
  <c r="BG20" i="7" s="1"/>
  <c r="BI20" i="7" s="1"/>
  <c r="BJ20" i="7" s="1"/>
  <c r="BS20" i="7"/>
  <c r="BT20" i="7" s="1"/>
  <c r="BS18" i="7"/>
  <c r="BT18" i="7" s="1"/>
  <c r="BF18" i="7"/>
  <c r="BG18" i="7" s="1"/>
  <c r="BI18" i="7" s="1"/>
  <c r="BJ18" i="7" s="1"/>
  <c r="BB14" i="7"/>
  <c r="AY14" i="7"/>
  <c r="AO16" i="7"/>
  <c r="I14" i="7"/>
  <c r="BF21" i="7"/>
  <c r="BS21" i="7"/>
  <c r="BT21" i="7" s="1"/>
  <c r="BG21" i="7"/>
  <c r="BI21" i="7" s="1"/>
  <c r="BJ21" i="7" s="1"/>
  <c r="AN14" i="7"/>
  <c r="BS15" i="7"/>
  <c r="BF15" i="7"/>
  <c r="BG15" i="7" s="1"/>
  <c r="BI15" i="7" s="1"/>
  <c r="BJ15" i="7" s="1"/>
  <c r="BS13" i="6"/>
  <c r="BT13" i="6" s="1"/>
  <c r="BF13" i="6"/>
  <c r="BG13" i="6" s="1"/>
  <c r="BI13" i="6" s="1"/>
  <c r="BJ13" i="6" s="1"/>
  <c r="AO11" i="6"/>
  <c r="BB14" i="6"/>
  <c r="AZ11" i="6"/>
  <c r="AH11" i="6"/>
  <c r="AY11" i="6"/>
  <c r="BB12" i="6"/>
  <c r="AV14" i="6"/>
  <c r="I11" i="6"/>
  <c r="AV12" i="6"/>
  <c r="AN11" i="5"/>
  <c r="AU11" i="5" s="1"/>
  <c r="BE11" i="5" s="1"/>
  <c r="BF11" i="5" s="1"/>
  <c r="BJ11" i="5" s="1"/>
  <c r="BK11" i="5" s="1"/>
  <c r="BT11" i="5" s="1"/>
  <c r="AN10" i="5"/>
  <c r="AU10" i="5" s="1"/>
  <c r="BE10" i="5" s="1"/>
  <c r="BF10" i="5" s="1"/>
  <c r="BJ10" i="5" s="1"/>
  <c r="BK10" i="5" s="1"/>
  <c r="AN7" i="5"/>
  <c r="AU7" i="5" s="1"/>
  <c r="BE7" i="5" s="1"/>
  <c r="BF7" i="5" s="1"/>
  <c r="BA12" i="5"/>
  <c r="BA9" i="5"/>
  <c r="BA7" i="5"/>
  <c r="BE8" i="5"/>
  <c r="BF8" i="5" s="1"/>
  <c r="BE9" i="5"/>
  <c r="BF9" i="5" s="1"/>
  <c r="AN6" i="5"/>
  <c r="BA10" i="5"/>
  <c r="BA8" i="5"/>
  <c r="BJ7" i="5" l="1"/>
  <c r="BK7" i="5" s="1"/>
  <c r="BT7" i="5" s="1"/>
  <c r="BJ12" i="5"/>
  <c r="BK12" i="5" s="1"/>
  <c r="BT12" i="5" s="1"/>
  <c r="BJ8" i="5"/>
  <c r="BK8" i="5" s="1"/>
  <c r="BT8" i="5" s="1"/>
  <c r="BJ9" i="5"/>
  <c r="BK9" i="5" s="1"/>
  <c r="BT9" i="5" s="1"/>
  <c r="BF14" i="2"/>
  <c r="BG14" i="2" s="1"/>
  <c r="BK14" i="2" s="1"/>
  <c r="BL14" i="2" s="1"/>
  <c r="BU14" i="2" s="1"/>
  <c r="AO11" i="2"/>
  <c r="AV12" i="2"/>
  <c r="AO14" i="7"/>
  <c r="AV16" i="7"/>
  <c r="BF14" i="6"/>
  <c r="BG14" i="6" s="1"/>
  <c r="BI14" i="6" s="1"/>
  <c r="BJ14" i="6" s="1"/>
  <c r="BS14" i="6"/>
  <c r="BT14" i="6" s="1"/>
  <c r="BB11" i="6"/>
  <c r="BS12" i="6"/>
  <c r="AV11" i="6"/>
  <c r="BT12" i="6"/>
  <c r="BF12" i="6"/>
  <c r="BG12" i="6" s="1"/>
  <c r="BI12" i="6" s="1"/>
  <c r="BJ12" i="6" s="1"/>
  <c r="BJ11" i="6" s="1"/>
  <c r="BT10" i="5"/>
  <c r="AU6" i="5"/>
  <c r="BF12" i="2" l="1"/>
  <c r="BG12" i="2"/>
  <c r="BK12" i="2" s="1"/>
  <c r="BL12" i="2" s="1"/>
  <c r="BL11" i="2" s="1"/>
  <c r="BU12" i="2"/>
  <c r="BU11" i="2" s="1"/>
  <c r="AV11" i="2"/>
  <c r="BS16" i="7"/>
  <c r="BT16" i="7" s="1"/>
  <c r="BT14" i="7" s="1"/>
  <c r="BF16" i="7"/>
  <c r="BG16" i="7" s="1"/>
  <c r="BI16" i="7" s="1"/>
  <c r="BJ16" i="7" s="1"/>
  <c r="BJ14" i="7" s="1"/>
  <c r="AV14" i="7"/>
  <c r="BT11" i="6"/>
  <c r="BE6" i="5"/>
  <c r="BF6" i="5" s="1"/>
  <c r="BJ6" i="5" s="1"/>
  <c r="BK6" i="5" s="1"/>
  <c r="BT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2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2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5" authorId="0" shapeId="0" xr:uid="{3AFA3BAD-6165-9A4E-97AD-0615681F91AD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5" authorId="1" shapeId="0" xr:uid="{79A73771-5083-B24C-A4DA-EA50D4C6F08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  </r>
      </text>
    </comment>
  </commentList>
</comments>
</file>

<file path=xl/sharedStrings.xml><?xml version="1.0" encoding="utf-8"?>
<sst xmlns="http://schemas.openxmlformats.org/spreadsheetml/2006/main" count="542" uniqueCount="156">
  <si>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</si>
  <si>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</si>
  <si>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</si>
  <si>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</si>
  <si>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</si>
  <si>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</si>
  <si>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</si>
  <si>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</si>
  <si>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</si>
  <si>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</si>
  <si>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</si>
  <si>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</si>
  <si>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</si>
  <si>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</si>
  <si>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</si>
  <si>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</si>
  <si>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</si>
  <si>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</si>
  <si>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</si>
  <si>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</si>
  <si>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</si>
  <si>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</si>
  <si>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</si>
  <si>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</si>
  <si>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</si>
  <si>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</si>
  <si>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</si>
  <si>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</si>
  <si>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</si>
  <si>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</si>
  <si>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</si>
  <si>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</si>
  <si>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</si>
  <si>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</si>
  <si>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</si>
  <si>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</si>
  <si>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</si>
  <si>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</si>
  <si>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</si>
  <si>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</si>
  <si>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</si>
  <si>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</si>
  <si>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</si>
  <si>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</si>
  <si>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</si>
  <si>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</si>
  <si>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</si>
  <si>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</si>
  <si>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</si>
  <si>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</si>
  <si>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</si>
  <si>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</si>
  <si>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</si>
  <si>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</si>
  <si>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</si>
  <si>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</si>
  <si>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</si>
  <si>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</si>
  <si>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</si>
  <si>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</si>
  <si>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</si>
  <si>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</si>
  <si>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</si>
  <si>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</si>
  <si>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</si>
  <si>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</si>
  <si>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</si>
  <si>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</si>
  <si>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</si>
  <si>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</si>
  <si>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</si>
  <si>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</si>
  <si>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</si>
  <si>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</si>
  <si>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</si>
  <si>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</si>
  <si>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</si>
  <si>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</si>
  <si>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</si>
  <si>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</si>
  <si>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</si>
  <si>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</si>
  <si>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</si>
  <si>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</si>
  <si>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</si>
  <si>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</si>
  <si>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</si>
  <si>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</si>
  <si>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</si>
  <si>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</si>
  <si>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</si>
  <si>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</si>
  <si>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</si>
  <si>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CT</t>
  </si>
  <si>
    <t>LT</t>
  </si>
  <si>
    <t>x</t>
  </si>
  <si>
    <t>2504023</t>
  </si>
  <si>
    <t>2305991</t>
  </si>
  <si>
    <t>LN</t>
  </si>
  <si>
    <t>TV</t>
  </si>
  <si>
    <t>2006324</t>
  </si>
  <si>
    <t>AT-VSV</t>
  </si>
  <si>
    <t>Ban…</t>
  </si>
  <si>
    <t>789123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</si>
  <si>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</si>
  <si>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</si>
  <si>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</si>
  <si>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</si>
  <si>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</si>
  <si>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</si>
  <si>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</si>
  <si>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</si>
  <si>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</si>
  <si>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</si>
  <si>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</si>
  <si>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</si>
  <si>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</si>
  <si>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</si>
  <si>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</si>
  <si>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</si>
  <si>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</si>
  <si>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</si>
  <si>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</si>
  <si>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</si>
  <si>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</si>
  <si>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</si>
  <si>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</si>
  <si>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Salary Advance Sheet - Period 1</t>
  </si>
  <si>
    <t>Description of Salary Advance Sheet - Period 1</t>
  </si>
  <si>
    <t>CÔNG TY …..............</t>
  </si>
  <si>
    <t>ĐC:…...........</t>
  </si>
  <si>
    <t>THỐNG KÊ LƯƠNG</t>
  </si>
  <si>
    <t xml:space="preserve">Ngày công thực tế tháng </t>
  </si>
  <si>
    <t>Tô Thanh Liêm</t>
  </si>
  <si>
    <t>Ban kế toán</t>
  </si>
  <si>
    <t>Nguyễn Thành An</t>
  </si>
  <si>
    <t>Ban nhân sự</t>
  </si>
  <si>
    <t>Nguyễn Hữu Thọ</t>
  </si>
  <si>
    <t>Ban tài chính</t>
  </si>
  <si>
    <t>Trương Thị Thu Hiền</t>
  </si>
  <si>
    <t>Võ Thị Tú Trinh</t>
  </si>
  <si>
    <t>Ban hành chính</t>
  </si>
  <si>
    <t>Nguyễn Ngọc Thủy Tiên</t>
  </si>
  <si>
    <t>ĐP PCCC</t>
  </si>
  <si>
    <t>Nguyễn Hồng Nhung</t>
  </si>
  <si>
    <t>Ban Chuyển đổi số</t>
  </si>
  <si>
    <t xml:space="preserve"> </t>
  </si>
  <si>
    <t>Nguyễn Văn A</t>
  </si>
  <si>
    <t>ĐT PCCC</t>
  </si>
  <si>
    <t>Nguyễn Văn C</t>
  </si>
  <si>
    <t>Nguyễn Thị B</t>
  </si>
  <si>
    <t>Số thứ tự</t>
  </si>
  <si>
    <t>Import, mặc định là 100%</t>
  </si>
  <si>
    <t>FORMULA REFERENCE</t>
  </si>
  <si>
    <t>Net Pay Period 1</t>
  </si>
  <si>
    <t>Net Pay 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</si>
</sst>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8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9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FF0000"/>
      <name val="Times New Roman"/>
      <family val="1"/>
    </font>
    <font>
      <b/>
      <sz val="8"/>
      <color rgb="FF00B0F0"/>
      <name val="Times New Roman"/>
      <family val="1"/>
    </font>
    <font>
      <b/>
      <u/>
      <sz val="8"/>
      <color theme="1"/>
      <name val="Times New Roman"/>
      <family val="1"/>
    </font>
    <font>
      <b/>
      <sz val="26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  <font>
      <b/>
      <sz val="11"/>
      <color rgb="FF00B05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38" fillId="0" borderId="0"/>
    <xf numFmtId="0" fontId="38" fillId="0" borderId="0"/>
    <xf numFmtId="9" fontId="38" fillId="0" borderId="0"/>
  </cellStyleXfs>
  <cellXfs count="436">
    <xf numFmtId="0" fontId="0" fillId="0" borderId="0" xfId="0"/>
    <xf numFmtId="164" fontId="4" fillId="0" borderId="0" xfId="1" applyNumberFormat="1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3" applyFont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 wrapText="1"/>
    </xf>
    <xf numFmtId="164" fontId="15" fillId="0" borderId="0" xfId="1" applyNumberFormat="1" applyFont="1" applyAlignment="1">
      <alignment horizontal="center" vertical="center" wrapText="1"/>
    </xf>
    <xf numFmtId="165" fontId="14" fillId="0" borderId="0" xfId="1" applyFont="1" applyAlignment="1">
      <alignment horizontal="center" vertical="center"/>
    </xf>
    <xf numFmtId="165" fontId="14" fillId="0" borderId="0" xfId="1" applyFont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164" fontId="19" fillId="0" borderId="0" xfId="0" applyNumberFormat="1" applyFont="1" applyAlignment="1">
      <alignment horizontal="left" vertical="center" shrinkToFit="1"/>
    </xf>
    <xf numFmtId="164" fontId="20" fillId="0" borderId="0" xfId="0" applyNumberFormat="1" applyFont="1" applyAlignment="1">
      <alignment horizontal="left" vertical="center" shrinkToFit="1"/>
    </xf>
    <xf numFmtId="0" fontId="6" fillId="0" borderId="0" xfId="0" applyFont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4" fillId="0" borderId="9" xfId="3" applyFont="1" applyBorder="1" applyAlignment="1">
      <alignment horizontal="center" vertical="center" shrinkToFit="1"/>
    </xf>
    <xf numFmtId="49" fontId="12" fillId="0" borderId="9" xfId="1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shrinkToFit="1"/>
    </xf>
    <xf numFmtId="14" fontId="25" fillId="0" borderId="0" xfId="2" applyNumberFormat="1" applyFont="1" applyAlignment="1">
      <alignment horizontal="left" vertical="center" shrinkToFit="1"/>
    </xf>
    <xf numFmtId="0" fontId="13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66" fontId="26" fillId="0" borderId="0" xfId="1" applyNumberFormat="1" applyFont="1" applyAlignment="1">
      <alignment horizontal="center"/>
    </xf>
    <xf numFmtId="165" fontId="26" fillId="0" borderId="0" xfId="1" applyFont="1" applyAlignment="1">
      <alignment horizontal="center"/>
    </xf>
    <xf numFmtId="165" fontId="28" fillId="0" borderId="0" xfId="1" applyFont="1"/>
    <xf numFmtId="0" fontId="28" fillId="0" borderId="0" xfId="0" applyFont="1"/>
    <xf numFmtId="165" fontId="28" fillId="0" borderId="0" xfId="0" applyNumberFormat="1" applyFont="1"/>
    <xf numFmtId="0" fontId="29" fillId="0" borderId="8" xfId="0" applyFont="1" applyBorder="1" applyAlignment="1">
      <alignment horizontal="center"/>
    </xf>
    <xf numFmtId="14" fontId="26" fillId="0" borderId="0" xfId="0" applyNumberFormat="1" applyFont="1"/>
    <xf numFmtId="164" fontId="26" fillId="0" borderId="0" xfId="1" applyNumberFormat="1" applyFont="1"/>
    <xf numFmtId="0" fontId="30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166" fontId="31" fillId="0" borderId="0" xfId="1" applyNumberFormat="1" applyFont="1" applyAlignment="1">
      <alignment horizontal="center"/>
    </xf>
    <xf numFmtId="166" fontId="30" fillId="0" borderId="0" xfId="1" applyNumberFormat="1" applyFont="1" applyAlignment="1">
      <alignment horizontal="center"/>
    </xf>
    <xf numFmtId="165" fontId="30" fillId="0" borderId="0" xfId="1" applyFont="1" applyAlignment="1">
      <alignment horizontal="center"/>
    </xf>
    <xf numFmtId="0" fontId="31" fillId="0" borderId="0" xfId="0" applyFont="1"/>
    <xf numFmtId="164" fontId="30" fillId="0" borderId="0" xfId="0" applyNumberFormat="1" applyFont="1"/>
    <xf numFmtId="14" fontId="30" fillId="0" borderId="0" xfId="0" applyNumberFormat="1" applyFont="1"/>
    <xf numFmtId="164" fontId="30" fillId="0" borderId="0" xfId="1" applyNumberFormat="1" applyFont="1"/>
    <xf numFmtId="49" fontId="30" fillId="0" borderId="0" xfId="0" applyNumberFormat="1" applyFont="1" applyAlignment="1">
      <alignment horizontal="center"/>
    </xf>
    <xf numFmtId="165" fontId="31" fillId="0" borderId="0" xfId="1" applyFont="1"/>
    <xf numFmtId="0" fontId="13" fillId="0" borderId="0" xfId="0" applyFont="1" applyAlignment="1">
      <alignment horizontal="center"/>
    </xf>
    <xf numFmtId="165" fontId="10" fillId="0" borderId="0" xfId="1" applyFont="1" applyAlignment="1">
      <alignment horizontal="center"/>
    </xf>
    <xf numFmtId="164" fontId="10" fillId="0" borderId="0" xfId="1" applyNumberFormat="1" applyFont="1"/>
    <xf numFmtId="164" fontId="13" fillId="0" borderId="0" xfId="1" applyNumberFormat="1" applyFont="1"/>
    <xf numFmtId="165" fontId="13" fillId="0" borderId="0" xfId="1" applyFont="1"/>
    <xf numFmtId="49" fontId="13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wrapText="1"/>
    </xf>
    <xf numFmtId="164" fontId="10" fillId="0" borderId="0" xfId="1" applyNumberFormat="1" applyFont="1" applyAlignment="1">
      <alignment horizontal="center"/>
    </xf>
    <xf numFmtId="164" fontId="33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9" fontId="5" fillId="2" borderId="12" xfId="2" applyFont="1" applyFill="1" applyBorder="1" applyAlignment="1">
      <alignment horizontal="center" vertical="center" wrapText="1"/>
    </xf>
    <xf numFmtId="164" fontId="5" fillId="2" borderId="12" xfId="1" applyNumberFormat="1" applyFont="1" applyFill="1" applyBorder="1" applyAlignment="1">
      <alignment horizontal="center" vertical="center" wrapText="1"/>
    </xf>
    <xf numFmtId="49" fontId="5" fillId="0" borderId="9" xfId="1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7" fillId="0" borderId="0" xfId="0" applyFont="1" applyAlignment="1">
      <alignment horizontal="center"/>
    </xf>
    <xf numFmtId="0" fontId="12" fillId="0" borderId="9" xfId="3" applyFont="1" applyBorder="1" applyAlignment="1">
      <alignment horizontal="center" vertical="center" shrinkToFit="1"/>
    </xf>
    <xf numFmtId="0" fontId="34" fillId="0" borderId="17" xfId="3" applyFont="1" applyBorder="1" applyAlignment="1">
      <alignment horizontal="center" vertical="center"/>
    </xf>
    <xf numFmtId="164" fontId="34" fillId="0" borderId="17" xfId="1" applyNumberFormat="1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167" fontId="34" fillId="0" borderId="17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164" fontId="23" fillId="0" borderId="17" xfId="1" applyNumberFormat="1" applyFont="1" applyBorder="1" applyAlignment="1">
      <alignment horizontal="left" vertical="center"/>
    </xf>
    <xf numFmtId="9" fontId="35" fillId="0" borderId="17" xfId="1" applyNumberFormat="1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35" fillId="0" borderId="17" xfId="1" applyNumberFormat="1" applyFont="1" applyBorder="1" applyAlignment="1">
      <alignment horizontal="left" vertical="center"/>
    </xf>
    <xf numFmtId="164" fontId="36" fillId="0" borderId="0" xfId="2" applyNumberFormat="1" applyFont="1" applyAlignment="1">
      <alignment horizontal="left" vertical="center"/>
    </xf>
    <xf numFmtId="14" fontId="36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164" fontId="37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 wrapText="1"/>
    </xf>
    <xf numFmtId="49" fontId="16" fillId="3" borderId="1" xfId="1" applyNumberFormat="1" applyFont="1" applyFill="1" applyBorder="1" applyAlignment="1">
      <alignment horizontal="center" vertical="center" wrapText="1"/>
    </xf>
    <xf numFmtId="49" fontId="5" fillId="0" borderId="10" xfId="1" applyNumberFormat="1" applyFont="1" applyBorder="1" applyAlignment="1">
      <alignment horizontal="center" vertical="center" shrinkToFit="1"/>
    </xf>
    <xf numFmtId="164" fontId="34" fillId="0" borderId="19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49" fontId="12" fillId="0" borderId="11" xfId="1" applyNumberFormat="1" applyFont="1" applyBorder="1" applyAlignment="1">
      <alignment horizontal="center" vertical="center" shrinkToFit="1"/>
    </xf>
    <xf numFmtId="49" fontId="5" fillId="0" borderId="11" xfId="1" applyNumberFormat="1" applyFont="1" applyBorder="1" applyAlignment="1">
      <alignment horizontal="center" vertical="center" shrinkToFit="1"/>
    </xf>
    <xf numFmtId="164" fontId="23" fillId="0" borderId="21" xfId="1" applyNumberFormat="1" applyFont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4" fillId="5" borderId="0" xfId="3" applyFont="1" applyFill="1" applyAlignment="1">
      <alignment horizontal="center" vertical="center"/>
    </xf>
    <xf numFmtId="164" fontId="16" fillId="5" borderId="0" xfId="1" applyNumberFormat="1" applyFont="1" applyFill="1" applyAlignment="1">
      <alignment horizontal="center" vertical="center" wrapText="1"/>
    </xf>
    <xf numFmtId="49" fontId="12" fillId="5" borderId="0" xfId="1" applyNumberFormat="1" applyFont="1" applyFill="1" applyAlignment="1">
      <alignment horizontal="center" vertical="center" shrinkToFit="1"/>
    </xf>
    <xf numFmtId="49" fontId="5" fillId="5" borderId="0" xfId="1" applyNumberFormat="1" applyFont="1" applyFill="1" applyAlignment="1">
      <alignment horizontal="center" vertical="center" shrinkToFit="1"/>
    </xf>
    <xf numFmtId="164" fontId="34" fillId="5" borderId="0" xfId="1" applyNumberFormat="1" applyFont="1" applyFill="1" applyAlignment="1">
      <alignment horizontal="left" vertical="center"/>
    </xf>
    <xf numFmtId="164" fontId="23" fillId="5" borderId="0" xfId="1" applyNumberFormat="1" applyFont="1" applyFill="1" applyAlignment="1">
      <alignment horizontal="left" vertical="center"/>
    </xf>
    <xf numFmtId="0" fontId="29" fillId="5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0" fontId="30" fillId="5" borderId="0" xfId="0" applyFont="1" applyFill="1"/>
    <xf numFmtId="164" fontId="10" fillId="5" borderId="0" xfId="1" applyNumberFormat="1" applyFont="1" applyFill="1"/>
    <xf numFmtId="0" fontId="23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39" fillId="0" borderId="0" xfId="0" applyNumberFormat="1" applyFont="1" applyAlignment="1">
      <alignment horizontal="left" vertical="center" shrinkToFit="1"/>
    </xf>
    <xf numFmtId="164" fontId="5" fillId="0" borderId="0" xfId="0" applyNumberFormat="1" applyFont="1" applyAlignment="1">
      <alignment horizontal="left" vertical="center" shrinkToFit="1"/>
    </xf>
    <xf numFmtId="0" fontId="24" fillId="0" borderId="0" xfId="0" applyFont="1" applyAlignment="1">
      <alignment horizontal="center"/>
    </xf>
    <xf numFmtId="0" fontId="39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/>
    </xf>
    <xf numFmtId="0" fontId="40" fillId="0" borderId="17" xfId="3" applyFont="1" applyBorder="1" applyAlignment="1">
      <alignment horizontal="center" vertical="center"/>
    </xf>
    <xf numFmtId="164" fontId="40" fillId="0" borderId="17" xfId="1" applyNumberFormat="1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/>
    </xf>
    <xf numFmtId="167" fontId="40" fillId="0" borderId="17" xfId="1" applyNumberFormat="1" applyFont="1" applyBorder="1" applyAlignment="1">
      <alignment horizontal="left" vertical="center"/>
    </xf>
    <xf numFmtId="167" fontId="40" fillId="2" borderId="17" xfId="1" applyNumberFormat="1" applyFont="1" applyFill="1" applyBorder="1" applyAlignment="1">
      <alignment horizontal="left" vertical="center"/>
    </xf>
    <xf numFmtId="164" fontId="40" fillId="0" borderId="19" xfId="1" applyNumberFormat="1" applyFont="1" applyBorder="1" applyAlignment="1">
      <alignment horizontal="left" vertical="center"/>
    </xf>
    <xf numFmtId="164" fontId="39" fillId="0" borderId="21" xfId="1" applyNumberFormat="1" applyFont="1" applyBorder="1" applyAlignment="1">
      <alignment horizontal="left" vertical="center"/>
    </xf>
    <xf numFmtId="164" fontId="39" fillId="0" borderId="12" xfId="1" applyNumberFormat="1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17" xfId="3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64" fontId="39" fillId="0" borderId="17" xfId="1" applyNumberFormat="1" applyFont="1" applyBorder="1" applyAlignment="1">
      <alignment horizontal="left" vertical="center"/>
    </xf>
    <xf numFmtId="9" fontId="14" fillId="0" borderId="17" xfId="1" applyNumberFormat="1" applyFont="1" applyBorder="1" applyAlignment="1">
      <alignment horizontal="center" vertical="center"/>
    </xf>
    <xf numFmtId="165" fontId="39" fillId="0" borderId="17" xfId="1" applyFont="1" applyBorder="1" applyAlignment="1">
      <alignment horizontal="left" vertical="center"/>
    </xf>
    <xf numFmtId="165" fontId="39" fillId="2" borderId="17" xfId="1" applyFont="1" applyFill="1" applyBorder="1" applyAlignment="1">
      <alignment horizontal="left" vertical="center"/>
    </xf>
    <xf numFmtId="164" fontId="14" fillId="0" borderId="17" xfId="1" applyNumberFormat="1" applyFont="1" applyBorder="1" applyAlignment="1">
      <alignment horizontal="left" vertical="center"/>
    </xf>
    <xf numFmtId="164" fontId="39" fillId="0" borderId="1" xfId="1" applyNumberFormat="1" applyFont="1" applyBorder="1" applyAlignment="1">
      <alignment horizontal="left" vertical="center"/>
    </xf>
    <xf numFmtId="164" fontId="39" fillId="0" borderId="4" xfId="1" applyNumberFormat="1" applyFont="1" applyBorder="1" applyAlignment="1">
      <alignment horizontal="left" vertical="center"/>
    </xf>
    <xf numFmtId="164" fontId="41" fillId="0" borderId="0" xfId="2" applyNumberFormat="1" applyFont="1" applyAlignment="1">
      <alignment horizontal="left" vertical="center"/>
    </xf>
    <xf numFmtId="14" fontId="41" fillId="0" borderId="0" xfId="2" applyNumberFormat="1" applyFont="1" applyAlignment="1">
      <alignment horizontal="left" vertical="center"/>
    </xf>
    <xf numFmtId="164" fontId="39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49" fontId="42" fillId="0" borderId="0" xfId="1" applyNumberFormat="1" applyFont="1" applyAlignment="1">
      <alignment horizontal="center"/>
    </xf>
    <xf numFmtId="164" fontId="42" fillId="0" borderId="0" xfId="1" applyNumberFormat="1" applyFont="1" applyAlignment="1">
      <alignment wrapText="1"/>
    </xf>
    <xf numFmtId="164" fontId="39" fillId="0" borderId="0" xfId="1" applyNumberFormat="1" applyFont="1" applyAlignment="1">
      <alignment horizontal="center"/>
    </xf>
    <xf numFmtId="164" fontId="17" fillId="0" borderId="0" xfId="1" applyNumberFormat="1" applyFont="1" applyAlignment="1">
      <alignment horizontal="center"/>
    </xf>
    <xf numFmtId="164" fontId="42" fillId="0" borderId="0" xfId="1" applyNumberFormat="1" applyFont="1"/>
    <xf numFmtId="0" fontId="43" fillId="0" borderId="0" xfId="0" applyFont="1"/>
    <xf numFmtId="165" fontId="39" fillId="0" borderId="0" xfId="1" applyFont="1" applyAlignment="1">
      <alignment horizontal="center"/>
    </xf>
    <xf numFmtId="164" fontId="39" fillId="0" borderId="0" xfId="1" applyNumberFormat="1" applyFont="1"/>
    <xf numFmtId="165" fontId="42" fillId="0" borderId="0" xfId="1" applyFont="1"/>
    <xf numFmtId="0" fontId="42" fillId="0" borderId="0" xfId="0" applyFont="1"/>
    <xf numFmtId="0" fontId="16" fillId="4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49" fontId="14" fillId="0" borderId="0" xfId="1" applyNumberFormat="1" applyFont="1" applyAlignment="1">
      <alignment horizontal="center"/>
    </xf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15" fillId="0" borderId="0" xfId="1" applyNumberFormat="1" applyFont="1" applyAlignment="1">
      <alignment horizontal="center"/>
    </xf>
    <xf numFmtId="164" fontId="14" fillId="0" borderId="0" xfId="1" applyNumberFormat="1" applyFont="1"/>
    <xf numFmtId="0" fontId="44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0" fontId="39" fillId="0" borderId="17" xfId="1" applyNumberFormat="1" applyFont="1" applyBorder="1" applyAlignment="1">
      <alignment horizontal="left" vertical="center" wrapText="1"/>
    </xf>
    <xf numFmtId="0" fontId="39" fillId="0" borderId="1" xfId="1" applyNumberFormat="1" applyFont="1" applyBorder="1" applyAlignment="1">
      <alignment horizontal="left" vertical="center" wrapText="1"/>
    </xf>
    <xf numFmtId="0" fontId="39" fillId="0" borderId="1" xfId="3" applyFont="1" applyBorder="1" applyAlignment="1">
      <alignment horizontal="center" vertical="center" wrapText="1"/>
    </xf>
    <xf numFmtId="0" fontId="39" fillId="0" borderId="1" xfId="0" quotePrefix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39" fillId="2" borderId="1" xfId="1" applyNumberFormat="1" applyFont="1" applyFill="1" applyBorder="1" applyAlignment="1">
      <alignment horizontal="left" vertical="center" wrapText="1"/>
    </xf>
    <xf numFmtId="0" fontId="14" fillId="0" borderId="1" xfId="1" applyNumberFormat="1" applyFont="1" applyBorder="1" applyAlignment="1">
      <alignment horizontal="left" vertical="center" wrapText="1"/>
    </xf>
    <xf numFmtId="0" fontId="41" fillId="0" borderId="0" xfId="2" applyNumberFormat="1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9" fillId="3" borderId="1" xfId="1" applyNumberFormat="1" applyFont="1" applyFill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49" fontId="42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 wrapText="1"/>
    </xf>
    <xf numFmtId="164" fontId="39" fillId="0" borderId="0" xfId="1" applyNumberFormat="1" applyFont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164" fontId="42" fillId="0" borderId="0" xfId="1" applyNumberFormat="1" applyFont="1" applyAlignment="1">
      <alignment vertical="center"/>
    </xf>
    <xf numFmtId="165" fontId="39" fillId="0" borderId="0" xfId="1" applyFont="1" applyAlignment="1">
      <alignment horizontal="center" vertical="center"/>
    </xf>
    <xf numFmtId="164" fontId="39" fillId="0" borderId="0" xfId="1" applyNumberFormat="1" applyFont="1" applyAlignment="1">
      <alignment vertical="center"/>
    </xf>
    <xf numFmtId="165" fontId="42" fillId="0" borderId="0" xfId="1" applyFont="1" applyAlignment="1">
      <alignment vertical="center"/>
    </xf>
    <xf numFmtId="0" fontId="42" fillId="0" borderId="0" xfId="0" applyFont="1" applyAlignment="1">
      <alignment vertical="center"/>
    </xf>
    <xf numFmtId="0" fontId="39" fillId="0" borderId="17" xfId="3" applyFont="1" applyBorder="1" applyAlignment="1">
      <alignment horizontal="center" vertical="center" wrapText="1"/>
    </xf>
    <xf numFmtId="0" fontId="39" fillId="0" borderId="17" xfId="0" applyFont="1" applyBorder="1" applyAlignment="1">
      <alignment horizontal="left" vertical="center" wrapText="1"/>
    </xf>
    <xf numFmtId="0" fontId="14" fillId="0" borderId="17" xfId="1" applyNumberFormat="1" applyFont="1" applyBorder="1" applyAlignment="1">
      <alignment horizontal="center" vertical="center" wrapText="1"/>
    </xf>
    <xf numFmtId="0" fontId="14" fillId="0" borderId="17" xfId="1" applyNumberFormat="1" applyFont="1" applyBorder="1" applyAlignment="1">
      <alignment horizontal="left" vertical="center" wrapText="1"/>
    </xf>
    <xf numFmtId="0" fontId="39" fillId="0" borderId="12" xfId="1" applyNumberFormat="1" applyFont="1" applyBorder="1" applyAlignment="1">
      <alignment horizontal="left" vertical="center" wrapText="1"/>
    </xf>
    <xf numFmtId="0" fontId="39" fillId="0" borderId="4" xfId="1" applyNumberFormat="1" applyFont="1" applyBorder="1" applyAlignment="1">
      <alignment horizontal="left" vertical="center" wrapText="1"/>
    </xf>
    <xf numFmtId="0" fontId="39" fillId="0" borderId="21" xfId="1" applyNumberFormat="1" applyFont="1" applyBorder="1" applyAlignment="1">
      <alignment horizontal="left" vertical="center" wrapText="1"/>
    </xf>
    <xf numFmtId="164" fontId="16" fillId="4" borderId="1" xfId="0" applyNumberFormat="1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43" fontId="16" fillId="4" borderId="1" xfId="0" applyNumberFormat="1" applyFont="1" applyFill="1" applyBorder="1" applyAlignment="1">
      <alignment horizontal="center" vertical="center" wrapText="1"/>
    </xf>
    <xf numFmtId="0" fontId="46" fillId="0" borderId="0" xfId="0" applyFont="1"/>
    <xf numFmtId="0" fontId="4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0" fontId="49" fillId="0" borderId="0" xfId="3" applyFont="1" applyAlignment="1">
      <alignment vertical="center"/>
    </xf>
    <xf numFmtId="165" fontId="50" fillId="0" borderId="0" xfId="1" applyFont="1" applyAlignment="1">
      <alignment vertical="center"/>
    </xf>
    <xf numFmtId="164" fontId="50" fillId="0" borderId="0" xfId="1" applyNumberFormat="1" applyFont="1" applyAlignment="1">
      <alignment vertical="center"/>
    </xf>
    <xf numFmtId="164" fontId="51" fillId="0" borderId="0" xfId="1" applyNumberFormat="1" applyFont="1" applyAlignment="1">
      <alignment vertical="center"/>
    </xf>
    <xf numFmtId="164" fontId="50" fillId="5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51" fillId="0" borderId="0" xfId="3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0" fontId="53" fillId="0" borderId="0" xfId="3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164" fontId="16" fillId="4" borderId="8" xfId="1" applyNumberFormat="1" applyFont="1" applyFill="1" applyBorder="1" applyAlignment="1">
      <alignment horizontal="center" vertical="center" wrapText="1"/>
    </xf>
    <xf numFmtId="49" fontId="55" fillId="3" borderId="1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horizontal="left" vertical="center"/>
    </xf>
    <xf numFmtId="164" fontId="5" fillId="0" borderId="0" xfId="1" applyNumberFormat="1" applyFont="1" applyAlignment="1">
      <alignment horizontal="center" vertical="center"/>
    </xf>
    <xf numFmtId="0" fontId="39" fillId="0" borderId="0" xfId="3" applyFont="1" applyAlignment="1">
      <alignment vertical="center"/>
    </xf>
    <xf numFmtId="164" fontId="16" fillId="0" borderId="0" xfId="1" applyNumberFormat="1" applyFont="1" applyAlignment="1">
      <alignment vertical="center" wrapText="1"/>
    </xf>
    <xf numFmtId="165" fontId="5" fillId="0" borderId="0" xfId="1" applyFont="1" applyAlignment="1">
      <alignment vertical="center"/>
    </xf>
    <xf numFmtId="0" fontId="5" fillId="0" borderId="0" xfId="3" applyFont="1" applyAlignment="1">
      <alignment horizontal="center" vertical="center"/>
    </xf>
    <xf numFmtId="0" fontId="56" fillId="0" borderId="0" xfId="3" applyFont="1" applyAlignment="1">
      <alignment horizontal="left" vertical="center"/>
    </xf>
    <xf numFmtId="0" fontId="56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5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49" fontId="39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wrapText="1"/>
    </xf>
    <xf numFmtId="164" fontId="37" fillId="0" borderId="0" xfId="1" applyNumberFormat="1" applyFont="1" applyAlignment="1">
      <alignment wrapText="1"/>
    </xf>
    <xf numFmtId="164" fontId="3" fillId="0" borderId="0" xfId="1" applyNumberFormat="1" applyFont="1" applyAlignment="1">
      <alignment wrapText="1"/>
    </xf>
    <xf numFmtId="0" fontId="54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49" fontId="55" fillId="0" borderId="1" xfId="1" applyNumberFormat="1" applyFont="1" applyBorder="1" applyAlignment="1">
      <alignment horizontal="center" vertical="center" wrapText="1"/>
    </xf>
    <xf numFmtId="1" fontId="35" fillId="0" borderId="0" xfId="0" applyNumberFormat="1" applyFont="1"/>
    <xf numFmtId="164" fontId="8" fillId="0" borderId="0" xfId="0" applyNumberFormat="1" applyFont="1"/>
    <xf numFmtId="0" fontId="57" fillId="0" borderId="0" xfId="0" applyFont="1" applyAlignment="1">
      <alignment vertical="center"/>
    </xf>
    <xf numFmtId="164" fontId="5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64" fontId="59" fillId="0" borderId="0" xfId="0" applyNumberFormat="1" applyFont="1" applyAlignment="1">
      <alignment horizontal="left" vertical="center" shrinkToFit="1"/>
    </xf>
    <xf numFmtId="164" fontId="60" fillId="0" borderId="0" xfId="0" applyNumberFormat="1" applyFont="1" applyAlignment="1">
      <alignment horizontal="left" vertical="center" shrinkToFit="1"/>
    </xf>
    <xf numFmtId="0" fontId="18" fillId="0" borderId="0" xfId="0" applyFont="1" applyAlignment="1">
      <alignment horizontal="center"/>
    </xf>
    <xf numFmtId="0" fontId="35" fillId="0" borderId="1" xfId="0" applyFont="1" applyBorder="1" applyAlignment="1">
      <alignment horizontal="center" vertical="center" wrapText="1"/>
    </xf>
    <xf numFmtId="9" fontId="16" fillId="0" borderId="12" xfId="2" applyFont="1" applyBorder="1" applyAlignment="1">
      <alignment horizontal="center" vertical="center" wrapText="1"/>
    </xf>
    <xf numFmtId="164" fontId="16" fillId="0" borderId="12" xfId="1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5" fillId="0" borderId="1" xfId="0" quotePrefix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7" xfId="0" applyFont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165" fontId="35" fillId="0" borderId="17" xfId="1" applyFont="1" applyBorder="1" applyAlignment="1">
      <alignment horizontal="left" vertical="center"/>
    </xf>
    <xf numFmtId="164" fontId="35" fillId="0" borderId="1" xfId="1" applyNumberFormat="1" applyFont="1" applyBorder="1" applyAlignment="1">
      <alignment horizontal="left" vertical="center"/>
    </xf>
    <xf numFmtId="164" fontId="35" fillId="0" borderId="12" xfId="1" applyNumberFormat="1" applyFont="1" applyBorder="1" applyAlignment="1">
      <alignment horizontal="left" vertical="center"/>
    </xf>
    <xf numFmtId="164" fontId="35" fillId="0" borderId="4" xfId="1" applyNumberFormat="1" applyFont="1" applyBorder="1" applyAlignment="1">
      <alignment horizontal="left" vertical="center"/>
    </xf>
    <xf numFmtId="164" fontId="35" fillId="0" borderId="21" xfId="1" applyNumberFormat="1" applyFont="1" applyBorder="1" applyAlignment="1">
      <alignment horizontal="left" vertical="center"/>
    </xf>
    <xf numFmtId="164" fontId="35" fillId="0" borderId="0" xfId="2" applyNumberFormat="1" applyFont="1" applyAlignment="1">
      <alignment horizontal="left" vertical="center"/>
    </xf>
    <xf numFmtId="14" fontId="35" fillId="0" borderId="0" xfId="2" applyNumberFormat="1" applyFont="1" applyAlignment="1">
      <alignment horizontal="left" vertical="center"/>
    </xf>
    <xf numFmtId="164" fontId="35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49" fontId="35" fillId="0" borderId="1" xfId="0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/>
    </xf>
    <xf numFmtId="0" fontId="61" fillId="0" borderId="0" xfId="0" applyFont="1"/>
    <xf numFmtId="164" fontId="8" fillId="0" borderId="0" xfId="1" applyNumberFormat="1" applyFont="1" applyAlignment="1">
      <alignment horizontal="center"/>
    </xf>
    <xf numFmtId="164" fontId="62" fillId="0" borderId="0" xfId="1" applyNumberFormat="1" applyFont="1" applyAlignment="1">
      <alignment horizontal="center"/>
    </xf>
    <xf numFmtId="164" fontId="8" fillId="0" borderId="0" xfId="1" applyNumberFormat="1" applyFont="1"/>
    <xf numFmtId="0" fontId="58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164" fontId="8" fillId="0" borderId="0" xfId="1" applyNumberFormat="1" applyFont="1" applyAlignment="1">
      <alignment wrapText="1"/>
    </xf>
    <xf numFmtId="0" fontId="63" fillId="0" borderId="0" xfId="3" applyFont="1" applyAlignment="1">
      <alignment horizontal="center" vertical="center"/>
    </xf>
    <xf numFmtId="164" fontId="16" fillId="0" borderId="1" xfId="1" applyNumberFormat="1" applyFont="1" applyBorder="1" applyAlignment="1">
      <alignment horizontal="center" vertical="center" wrapText="1"/>
    </xf>
    <xf numFmtId="0" fontId="58" fillId="0" borderId="17" xfId="0" applyFont="1" applyBorder="1"/>
    <xf numFmtId="164" fontId="16" fillId="0" borderId="2" xfId="1" applyNumberFormat="1" applyFont="1" applyBorder="1" applyAlignment="1">
      <alignment horizontal="center" vertical="center"/>
    </xf>
    <xf numFmtId="164" fontId="16" fillId="0" borderId="11" xfId="1" applyNumberFormat="1" applyFont="1" applyBorder="1" applyAlignment="1">
      <alignment horizontal="center" vertical="center"/>
    </xf>
    <xf numFmtId="164" fontId="16" fillId="0" borderId="15" xfId="1" applyNumberFormat="1" applyFont="1" applyBorder="1" applyAlignment="1">
      <alignment horizontal="center" vertical="center"/>
    </xf>
    <xf numFmtId="164" fontId="16" fillId="0" borderId="22" xfId="1" applyNumberFormat="1" applyFont="1" applyBorder="1" applyAlignment="1">
      <alignment horizontal="center" vertical="center" wrapText="1"/>
    </xf>
    <xf numFmtId="164" fontId="16" fillId="0" borderId="10" xfId="1" applyNumberFormat="1" applyFont="1" applyBorder="1" applyAlignment="1">
      <alignment horizontal="center" vertical="center" wrapText="1"/>
    </xf>
    <xf numFmtId="164" fontId="16" fillId="0" borderId="19" xfId="1" applyNumberFormat="1" applyFont="1" applyBorder="1" applyAlignment="1">
      <alignment horizontal="center" vertical="center" wrapText="1"/>
    </xf>
    <xf numFmtId="164" fontId="16" fillId="0" borderId="3" xfId="1" applyNumberFormat="1" applyFont="1" applyBorder="1" applyAlignment="1">
      <alignment horizontal="center" vertical="center" wrapText="1"/>
    </xf>
    <xf numFmtId="164" fontId="16" fillId="0" borderId="9" xfId="1" applyNumberFormat="1" applyFont="1" applyBorder="1" applyAlignment="1">
      <alignment horizontal="center" vertical="center" wrapText="1"/>
    </xf>
    <xf numFmtId="164" fontId="16" fillId="0" borderId="17" xfId="1" applyNumberFormat="1" applyFont="1" applyBorder="1" applyAlignment="1">
      <alignment horizontal="center" vertical="center" wrapText="1"/>
    </xf>
    <xf numFmtId="0" fontId="16" fillId="0" borderId="1" xfId="1" applyNumberFormat="1" applyFont="1" applyBorder="1" applyAlignment="1">
      <alignment horizontal="center" vertical="center" wrapText="1"/>
    </xf>
    <xf numFmtId="0" fontId="58" fillId="0" borderId="9" xfId="0" applyFont="1" applyBorder="1"/>
    <xf numFmtId="0" fontId="58" fillId="0" borderId="5" xfId="0" applyFont="1" applyBorder="1"/>
    <xf numFmtId="0" fontId="58" fillId="0" borderId="6" xfId="0" applyFont="1" applyBorder="1"/>
    <xf numFmtId="164" fontId="21" fillId="0" borderId="1" xfId="1" applyNumberFormat="1" applyFont="1" applyBorder="1" applyAlignment="1">
      <alignment horizontal="center" vertical="center" wrapText="1"/>
    </xf>
    <xf numFmtId="164" fontId="22" fillId="0" borderId="1" xfId="1" applyNumberFormat="1" applyFont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 vertical="center" wrapText="1"/>
    </xf>
    <xf numFmtId="0" fontId="58" fillId="0" borderId="10" xfId="0" applyFont="1" applyBorder="1"/>
    <xf numFmtId="0" fontId="58" fillId="0" borderId="19" xfId="0" applyFont="1" applyBorder="1"/>
    <xf numFmtId="165" fontId="21" fillId="0" borderId="1" xfId="1" applyFont="1" applyBorder="1" applyAlignment="1">
      <alignment horizontal="center" vertical="center" wrapText="1"/>
    </xf>
    <xf numFmtId="43" fontId="18" fillId="0" borderId="1" xfId="5" applyFont="1" applyBorder="1" applyAlignment="1">
      <alignment horizontal="center" vertical="center" wrapText="1"/>
    </xf>
    <xf numFmtId="0" fontId="58" fillId="0" borderId="2" xfId="0" applyFont="1" applyBorder="1"/>
    <xf numFmtId="0" fontId="58" fillId="0" borderId="16" xfId="0" applyFont="1" applyBorder="1"/>
    <xf numFmtId="9" fontId="16" fillId="0" borderId="22" xfId="2" applyFont="1" applyBorder="1" applyAlignment="1">
      <alignment horizontal="center" vertical="center"/>
    </xf>
    <xf numFmtId="9" fontId="16" fillId="0" borderId="8" xfId="2" applyFont="1" applyBorder="1" applyAlignment="1">
      <alignment horizontal="center" vertical="center"/>
    </xf>
    <xf numFmtId="9" fontId="16" fillId="0" borderId="2" xfId="2" applyFont="1" applyBorder="1" applyAlignment="1">
      <alignment horizontal="center" vertical="center"/>
    </xf>
    <xf numFmtId="9" fontId="16" fillId="0" borderId="10" xfId="2" applyFont="1" applyBorder="1" applyAlignment="1">
      <alignment horizontal="center" vertical="center"/>
    </xf>
    <xf numFmtId="9" fontId="16" fillId="0" borderId="0" xfId="2" applyFont="1" applyAlignment="1">
      <alignment horizontal="center" vertical="center"/>
    </xf>
    <xf numFmtId="9" fontId="16" fillId="0" borderId="11" xfId="2" applyFont="1" applyBorder="1" applyAlignment="1">
      <alignment horizontal="center" vertical="center"/>
    </xf>
    <xf numFmtId="9" fontId="16" fillId="0" borderId="13" xfId="2" applyFont="1" applyBorder="1" applyAlignment="1">
      <alignment horizontal="center" vertical="center"/>
    </xf>
    <xf numFmtId="9" fontId="16" fillId="0" borderId="14" xfId="2" applyFont="1" applyBorder="1" applyAlignment="1">
      <alignment horizontal="center" vertical="center"/>
    </xf>
    <xf numFmtId="9" fontId="16" fillId="0" borderId="15" xfId="2" applyFont="1" applyBorder="1" applyAlignment="1">
      <alignment horizontal="center" vertical="center"/>
    </xf>
    <xf numFmtId="165" fontId="16" fillId="0" borderId="3" xfId="1" applyFont="1" applyBorder="1" applyAlignment="1">
      <alignment horizontal="center" vertical="center" wrapText="1"/>
    </xf>
    <xf numFmtId="165" fontId="16" fillId="0" borderId="9" xfId="1" applyFont="1" applyBorder="1" applyAlignment="1">
      <alignment horizontal="center" vertical="center" wrapText="1"/>
    </xf>
    <xf numFmtId="165" fontId="16" fillId="0" borderId="18" xfId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5" fontId="4" fillId="0" borderId="4" xfId="1" applyFont="1" applyBorder="1" applyAlignment="1">
      <alignment horizontal="center" vertical="center" wrapText="1"/>
    </xf>
    <xf numFmtId="49" fontId="16" fillId="0" borderId="1" xfId="1" applyNumberFormat="1" applyFont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16" fillId="4" borderId="1" xfId="1" applyNumberFormat="1" applyFont="1" applyFill="1" applyBorder="1" applyAlignment="1">
      <alignment horizontal="center" vertical="center" wrapText="1"/>
    </xf>
    <xf numFmtId="164" fontId="12" fillId="4" borderId="1" xfId="1" applyNumberFormat="1" applyFont="1" applyFill="1" applyBorder="1" applyAlignment="1">
      <alignment horizontal="center" vertical="center" wrapText="1"/>
    </xf>
    <xf numFmtId="164" fontId="16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16" fillId="2" borderId="1" xfId="1" applyNumberFormat="1" applyFont="1" applyFill="1" applyBorder="1" applyAlignment="1">
      <alignment horizontal="center" vertical="center" wrapText="1"/>
    </xf>
    <xf numFmtId="0" fontId="0" fillId="0" borderId="9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5" fontId="5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5" fontId="21" fillId="2" borderId="1" xfId="1" applyFont="1" applyFill="1" applyBorder="1" applyAlignment="1">
      <alignment horizontal="center" vertical="center" wrapText="1"/>
    </xf>
    <xf numFmtId="43" fontId="18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164" fontId="16" fillId="4" borderId="4" xfId="1" applyNumberFormat="1" applyFont="1" applyFill="1" applyBorder="1" applyAlignment="1">
      <alignment horizontal="center" vertical="center" wrapText="1"/>
    </xf>
    <xf numFmtId="164" fontId="5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9" fontId="5" fillId="2" borderId="7" xfId="2" applyFont="1" applyFill="1" applyBorder="1" applyAlignment="1">
      <alignment horizontal="center" vertical="center"/>
    </xf>
    <xf numFmtId="0" fontId="0" fillId="0" borderId="8" xfId="0" applyBorder="1"/>
    <xf numFmtId="0" fontId="6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165" fontId="5" fillId="2" borderId="7" xfId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16" fillId="4" borderId="3" xfId="1" applyNumberFormat="1" applyFont="1" applyFill="1" applyBorder="1" applyAlignment="1">
      <alignment horizontal="center" vertical="center" wrapText="1"/>
    </xf>
    <xf numFmtId="164" fontId="16" fillId="4" borderId="17" xfId="1" applyNumberFormat="1" applyFont="1" applyFill="1" applyBorder="1" applyAlignment="1">
      <alignment horizontal="center" vertical="center" wrapText="1"/>
    </xf>
    <xf numFmtId="164" fontId="21" fillId="4" borderId="1" xfId="1" applyNumberFormat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16" fillId="2" borderId="1" xfId="3" applyFont="1" applyFill="1" applyBorder="1" applyAlignment="1">
      <alignment horizontal="center" vertical="center"/>
    </xf>
    <xf numFmtId="49" fontId="16" fillId="2" borderId="1" xfId="1" applyNumberFormat="1" applyFont="1" applyFill="1" applyBorder="1" applyAlignment="1">
      <alignment horizontal="center" vertical="center" wrapText="1"/>
    </xf>
    <xf numFmtId="164" fontId="16" fillId="2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165" fontId="4" fillId="2" borderId="4" xfId="1" applyFont="1" applyFill="1" applyBorder="1" applyAlignment="1">
      <alignment horizontal="center" vertical="center" wrapText="1"/>
    </xf>
    <xf numFmtId="164" fontId="16" fillId="4" borderId="1" xfId="1" applyNumberFormat="1" applyFont="1" applyFill="1" applyBorder="1" applyAlignment="1">
      <alignment horizontal="center" vertical="top" wrapText="1"/>
    </xf>
    <xf numFmtId="0" fontId="16" fillId="4" borderId="1" xfId="1" applyNumberFormat="1" applyFont="1" applyFill="1" applyBorder="1" applyAlignment="1">
      <alignment horizontal="center" vertical="top" wrapText="1"/>
    </xf>
    <xf numFmtId="164" fontId="12" fillId="4" borderId="1" xfId="1" applyNumberFormat="1" applyFont="1" applyFill="1" applyBorder="1" applyAlignment="1">
      <alignment horizontal="center" vertical="top" wrapText="1"/>
    </xf>
    <xf numFmtId="164" fontId="21" fillId="4" borderId="1" xfId="1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7" fillId="2" borderId="1" xfId="1" applyNumberFormat="1" applyFont="1" applyFill="1" applyBorder="1" applyAlignment="1">
      <alignment horizontal="center" vertical="center" wrapText="1"/>
    </xf>
    <xf numFmtId="0" fontId="16" fillId="4" borderId="3" xfId="1" applyNumberFormat="1" applyFont="1" applyFill="1" applyBorder="1" applyAlignment="1">
      <alignment horizontal="center" vertical="center" wrapText="1"/>
    </xf>
    <xf numFmtId="0" fontId="16" fillId="4" borderId="17" xfId="1" applyNumberFormat="1" applyFont="1" applyFill="1" applyBorder="1" applyAlignment="1">
      <alignment horizontal="center" vertical="center" wrapText="1"/>
    </xf>
    <xf numFmtId="164" fontId="12" fillId="4" borderId="3" xfId="1" applyNumberFormat="1" applyFont="1" applyFill="1" applyBorder="1" applyAlignment="1">
      <alignment horizontal="center" vertical="center" wrapText="1"/>
    </xf>
    <xf numFmtId="164" fontId="12" fillId="4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 wrapText="1"/>
    </xf>
    <xf numFmtId="164" fontId="16" fillId="2" borderId="9" xfId="1" applyNumberFormat="1" applyFont="1" applyFill="1" applyBorder="1" applyAlignment="1">
      <alignment horizontal="center" vertical="center" wrapText="1"/>
    </xf>
    <xf numFmtId="164" fontId="16" fillId="2" borderId="17" xfId="1" applyNumberFormat="1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164" fontId="5" fillId="3" borderId="9" xfId="1" applyNumberFormat="1" applyFont="1" applyFill="1" applyBorder="1" applyAlignment="1">
      <alignment horizontal="center" vertical="center" wrapText="1"/>
    </xf>
    <xf numFmtId="164" fontId="5" fillId="3" borderId="17" xfId="1" applyNumberFormat="1" applyFont="1" applyFill="1" applyBorder="1" applyAlignment="1">
      <alignment horizontal="center" vertical="center" wrapText="1"/>
    </xf>
    <xf numFmtId="164" fontId="16" fillId="4" borderId="5" xfId="1" applyNumberFormat="1" applyFont="1" applyFill="1" applyBorder="1" applyAlignment="1">
      <alignment horizontal="center" vertical="center" wrapText="1"/>
    </xf>
    <xf numFmtId="164" fontId="16" fillId="4" borderId="6" xfId="1" applyNumberFormat="1" applyFont="1" applyFill="1" applyBorder="1" applyAlignment="1">
      <alignment horizontal="center" vertical="center" wrapText="1"/>
    </xf>
    <xf numFmtId="164" fontId="16" fillId="4" borderId="9" xfId="1" applyNumberFormat="1" applyFont="1" applyFill="1" applyBorder="1" applyAlignment="1">
      <alignment horizontal="center" vertical="center" wrapText="1"/>
    </xf>
    <xf numFmtId="164" fontId="16" fillId="3" borderId="3" xfId="1" applyNumberFormat="1" applyFont="1" applyFill="1" applyBorder="1" applyAlignment="1">
      <alignment horizontal="center" vertical="center" wrapText="1"/>
    </xf>
    <xf numFmtId="164" fontId="16" fillId="3" borderId="9" xfId="1" applyNumberFormat="1" applyFont="1" applyFill="1" applyBorder="1" applyAlignment="1">
      <alignment horizontal="center" vertical="center" wrapText="1"/>
    </xf>
    <xf numFmtId="164" fontId="16" fillId="3" borderId="17" xfId="1" applyNumberFormat="1" applyFont="1" applyFill="1" applyBorder="1" applyAlignment="1">
      <alignment horizontal="center" vertical="center" wrapText="1"/>
    </xf>
    <xf numFmtId="165" fontId="16" fillId="2" borderId="3" xfId="1" applyFont="1" applyFill="1" applyBorder="1" applyAlignment="1">
      <alignment horizontal="center" vertical="center" wrapText="1"/>
    </xf>
    <xf numFmtId="165" fontId="16" fillId="2" borderId="9" xfId="1" applyFont="1" applyFill="1" applyBorder="1" applyAlignment="1">
      <alignment horizontal="center" vertical="center" wrapText="1"/>
    </xf>
    <xf numFmtId="165" fontId="16" fillId="2" borderId="17" xfId="1" applyFont="1" applyFill="1" applyBorder="1" applyAlignment="1">
      <alignment horizontal="center" vertical="center" wrapText="1"/>
    </xf>
    <xf numFmtId="43" fontId="16" fillId="2" borderId="22" xfId="5" applyFont="1" applyFill="1" applyBorder="1" applyAlignment="1">
      <alignment horizontal="center" vertical="center" wrapText="1"/>
    </xf>
    <xf numFmtId="43" fontId="16" fillId="2" borderId="2" xfId="5" applyFont="1" applyFill="1" applyBorder="1" applyAlignment="1">
      <alignment horizontal="center" vertical="center" wrapText="1"/>
    </xf>
    <xf numFmtId="43" fontId="16" fillId="2" borderId="19" xfId="5" applyFont="1" applyFill="1" applyBorder="1" applyAlignment="1">
      <alignment horizontal="center" vertical="center" wrapText="1"/>
    </xf>
    <xf numFmtId="43" fontId="16" fillId="2" borderId="16" xfId="5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5" fillId="2" borderId="11" xfId="1" applyNumberFormat="1" applyFont="1" applyFill="1" applyBorder="1" applyAlignment="1">
      <alignment horizontal="center" vertical="center"/>
    </xf>
    <xf numFmtId="164" fontId="5" fillId="2" borderId="15" xfId="1" applyNumberFormat="1" applyFont="1" applyFill="1" applyBorder="1" applyAlignment="1">
      <alignment horizontal="center" vertical="center"/>
    </xf>
    <xf numFmtId="9" fontId="5" fillId="2" borderId="22" xfId="2" applyFont="1" applyFill="1" applyBorder="1" applyAlignment="1">
      <alignment horizontal="center" vertical="center"/>
    </xf>
    <xf numFmtId="9" fontId="5" fillId="2" borderId="8" xfId="2" applyFont="1" applyFill="1" applyBorder="1" applyAlignment="1">
      <alignment horizontal="center" vertical="center"/>
    </xf>
    <xf numFmtId="9" fontId="5" fillId="2" borderId="2" xfId="2" applyFont="1" applyFill="1" applyBorder="1" applyAlignment="1">
      <alignment horizontal="center" vertical="center"/>
    </xf>
    <xf numFmtId="9" fontId="5" fillId="2" borderId="10" xfId="2" applyFont="1" applyFill="1" applyBorder="1" applyAlignment="1">
      <alignment horizontal="center" vertical="center"/>
    </xf>
    <xf numFmtId="9" fontId="5" fillId="2" borderId="0" xfId="2" applyFont="1" applyFill="1" applyAlignment="1">
      <alignment horizontal="center" vertical="center"/>
    </xf>
    <xf numFmtId="9" fontId="5" fillId="2" borderId="11" xfId="2" applyFont="1" applyFill="1" applyBorder="1" applyAlignment="1">
      <alignment horizontal="center" vertical="center"/>
    </xf>
    <xf numFmtId="9" fontId="5" fillId="2" borderId="13" xfId="2" applyFont="1" applyFill="1" applyBorder="1" applyAlignment="1">
      <alignment horizontal="center" vertical="center"/>
    </xf>
    <xf numFmtId="9" fontId="5" fillId="2" borderId="14" xfId="2" applyFont="1" applyFill="1" applyBorder="1" applyAlignment="1">
      <alignment horizontal="center" vertical="center"/>
    </xf>
    <xf numFmtId="9" fontId="5" fillId="2" borderId="15" xfId="2" applyFont="1" applyFill="1" applyBorder="1" applyAlignment="1">
      <alignment horizontal="center" vertical="center"/>
    </xf>
    <xf numFmtId="165" fontId="5" fillId="2" borderId="3" xfId="1" applyFont="1" applyFill="1" applyBorder="1" applyAlignment="1">
      <alignment horizontal="center" vertical="center" wrapText="1"/>
    </xf>
    <xf numFmtId="165" fontId="5" fillId="2" borderId="9" xfId="1" applyFont="1" applyFill="1" applyBorder="1" applyAlignment="1">
      <alignment horizontal="center" vertical="center" wrapText="1"/>
    </xf>
    <xf numFmtId="165" fontId="5" fillId="2" borderId="18" xfId="1" applyFont="1" applyFill="1" applyBorder="1" applyAlignment="1">
      <alignment horizontal="center" vertical="center" wrapText="1"/>
    </xf>
    <xf numFmtId="165" fontId="5" fillId="3" borderId="3" xfId="1" applyFont="1" applyFill="1" applyBorder="1" applyAlignment="1">
      <alignment horizontal="center" vertical="center" wrapText="1"/>
    </xf>
    <xf numFmtId="165" fontId="5" fillId="3" borderId="9" xfId="1" applyFont="1" applyFill="1" applyBorder="1" applyAlignment="1">
      <alignment horizontal="center" vertical="center" wrapText="1"/>
    </xf>
    <xf numFmtId="165" fontId="5" fillId="3" borderId="18" xfId="1" applyFont="1" applyFill="1" applyBorder="1" applyAlignment="1">
      <alignment horizontal="center" vertical="center" wrapText="1"/>
    </xf>
    <xf numFmtId="164" fontId="16" fillId="4" borderId="22" xfId="1" applyNumberFormat="1" applyFont="1" applyFill="1" applyBorder="1" applyAlignment="1">
      <alignment horizontal="center" vertical="center" wrapText="1"/>
    </xf>
    <xf numFmtId="164" fontId="16" fillId="4" borderId="2" xfId="1" applyNumberFormat="1" applyFont="1" applyFill="1" applyBorder="1" applyAlignment="1">
      <alignment horizontal="center" vertical="center" wrapText="1"/>
    </xf>
    <xf numFmtId="164" fontId="16" fillId="4" borderId="10" xfId="1" applyNumberFormat="1" applyFont="1" applyFill="1" applyBorder="1" applyAlignment="1">
      <alignment horizontal="center" vertical="center" wrapText="1"/>
    </xf>
    <xf numFmtId="164" fontId="16" fillId="4" borderId="19" xfId="1" applyNumberFormat="1" applyFont="1" applyFill="1" applyBorder="1" applyAlignment="1">
      <alignment horizontal="center" vertical="center" wrapText="1"/>
    </xf>
    <xf numFmtId="165" fontId="16" fillId="2" borderId="4" xfId="1" applyFont="1" applyFill="1" applyBorder="1" applyAlignment="1">
      <alignment horizontal="center" vertical="center" wrapText="1"/>
    </xf>
    <xf numFmtId="165" fontId="16" fillId="2" borderId="5" xfId="1" applyFont="1" applyFill="1" applyBorder="1" applyAlignment="1">
      <alignment horizontal="center" vertical="center" wrapText="1"/>
    </xf>
    <xf numFmtId="165" fontId="16" fillId="2" borderId="6" xfId="1" applyFont="1" applyFill="1" applyBorder="1" applyAlignment="1">
      <alignment horizontal="center" vertical="center" wrapText="1"/>
    </xf>
    <xf numFmtId="164" fontId="16" fillId="2" borderId="5" xfId="1" applyNumberFormat="1" applyFont="1" applyFill="1" applyBorder="1" applyAlignment="1">
      <alignment horizontal="center" vertical="center" wrapText="1"/>
    </xf>
    <xf numFmtId="164" fontId="16" fillId="2" borderId="6" xfId="1" applyNumberFormat="1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/>
    </xf>
    <xf numFmtId="0" fontId="16" fillId="2" borderId="9" xfId="3" applyFont="1" applyFill="1" applyBorder="1" applyAlignment="1">
      <alignment horizontal="center" vertical="center"/>
    </xf>
    <xf numFmtId="0" fontId="16" fillId="2" borderId="17" xfId="3" applyFont="1" applyFill="1" applyBorder="1" applyAlignment="1">
      <alignment horizontal="center" vertical="center"/>
    </xf>
    <xf numFmtId="49" fontId="16" fillId="2" borderId="3" xfId="1" applyNumberFormat="1" applyFont="1" applyFill="1" applyBorder="1" applyAlignment="1">
      <alignment horizontal="center" vertical="center" wrapText="1"/>
    </xf>
    <xf numFmtId="49" fontId="16" fillId="2" borderId="9" xfId="1" applyNumberFormat="1" applyFont="1" applyFill="1" applyBorder="1" applyAlignment="1">
      <alignment horizontal="center" vertical="center" wrapText="1"/>
    </xf>
    <xf numFmtId="49" fontId="16" fillId="2" borderId="17" xfId="1" applyNumberFormat="1" applyFont="1" applyFill="1" applyBorder="1" applyAlignment="1">
      <alignment horizontal="center" vertical="center" wrapText="1"/>
    </xf>
    <xf numFmtId="164" fontId="16" fillId="2" borderId="3" xfId="1" applyNumberFormat="1" applyFont="1" applyFill="1" applyBorder="1" applyAlignment="1">
      <alignment horizontal="center" vertical="center"/>
    </xf>
    <xf numFmtId="164" fontId="16" fillId="2" borderId="9" xfId="1" applyNumberFormat="1" applyFont="1" applyFill="1" applyBorder="1" applyAlignment="1">
      <alignment horizontal="center" vertical="center"/>
    </xf>
    <xf numFmtId="164" fontId="16" fillId="2" borderId="17" xfId="1" applyNumberFormat="1" applyFont="1" applyFill="1" applyBorder="1" applyAlignment="1">
      <alignment horizontal="center" vertical="center"/>
    </xf>
    <xf numFmtId="164" fontId="17" fillId="2" borderId="3" xfId="1" applyNumberFormat="1" applyFont="1" applyFill="1" applyBorder="1" applyAlignment="1">
      <alignment horizontal="center" vertical="center" wrapText="1"/>
    </xf>
    <xf numFmtId="164" fontId="17" fillId="2" borderId="9" xfId="1" applyNumberFormat="1" applyFont="1" applyFill="1" applyBorder="1" applyAlignment="1">
      <alignment horizontal="center" vertical="center" wrapText="1"/>
    </xf>
    <xf numFmtId="164" fontId="17" fillId="2" borderId="17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1.xlsx" TargetMode="External"/><Relationship Id="rId1" Type="http://schemas.openxmlformats.org/officeDocument/2006/relationships/externalLinkPath" Target="/Users/adity/Documents/GitHub/gitlocal/thaco/Archive/BANG%20LUONG%20MAU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lương CB-NV"/>
      <sheetName val="Mô tả Bảng lương CB-NV"/>
      <sheetName val="Bảng lương tạm ứng kỳ 1"/>
      <sheetName val="Mô tả Bảng lương tạm ứng kỳ 1"/>
    </sheetNames>
    <sheetDataSet>
      <sheetData sheetId="0"/>
      <sheetData sheetId="1">
        <row r="5">
          <cell r="B5" t="str">
            <v>MSNV</v>
          </cell>
        </row>
        <row r="9">
          <cell r="B9">
            <v>2</v>
          </cell>
        </row>
        <row r="10">
          <cell r="B10" t="str">
            <v>IN</v>
          </cell>
        </row>
        <row r="12">
          <cell r="B12">
            <v>123456</v>
          </cell>
        </row>
        <row r="13">
          <cell r="B13">
            <v>3562789</v>
          </cell>
        </row>
        <row r="14">
          <cell r="B14" t="str">
            <v>789123</v>
          </cell>
        </row>
        <row r="17">
          <cell r="B17" t="str">
            <v>MSNV</v>
          </cell>
        </row>
        <row r="18">
          <cell r="B18" t="str">
            <v>B</v>
          </cell>
        </row>
        <row r="19">
          <cell r="B19" t="str">
            <v>Mã số nhân viên
Lấy từ phần mềm HRM</v>
          </cell>
        </row>
      </sheetData>
      <sheetData sheetId="2">
        <row r="8">
          <cell r="BT8" t="str">
            <v>Thực nhận kỳ 1</v>
          </cell>
        </row>
        <row r="12">
          <cell r="BT12">
            <v>63</v>
          </cell>
        </row>
        <row r="14">
          <cell r="BT14">
            <v>104321384.61538464</v>
          </cell>
        </row>
        <row r="15">
          <cell r="B15">
            <v>2405236</v>
          </cell>
          <cell r="BT15">
            <v>25846153.846153852</v>
          </cell>
        </row>
        <row r="16">
          <cell r="BT16">
            <v>17711384.61538462</v>
          </cell>
        </row>
        <row r="17">
          <cell r="BT17">
            <v>22892307.692307696</v>
          </cell>
        </row>
        <row r="18">
          <cell r="BT18">
            <v>10200307.692307694</v>
          </cell>
        </row>
        <row r="19">
          <cell r="BT19">
            <v>7498076.9230769221</v>
          </cell>
        </row>
        <row r="20">
          <cell r="B20">
            <v>2406145</v>
          </cell>
          <cell r="BT20">
            <v>10195307.692307694</v>
          </cell>
        </row>
        <row r="21">
          <cell r="B21" t="str">
            <v>2006324</v>
          </cell>
          <cell r="BT21">
            <v>9977846.153846154</v>
          </cell>
        </row>
      </sheetData>
      <sheetData sheetId="3">
        <row r="17">
          <cell r="BT17" t="str">
            <v>Thực nhận kỳ 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CG19"/>
  <sheetViews>
    <sheetView tabSelected="1" topLeftCell="AT1" zoomScale="130" zoomScaleNormal="130" workbookViewId="0">
      <selection activeCell="BG16" sqref="BG16"/>
    </sheetView>
  </sheetViews>
  <sheetFormatPr baseColWidth="10" defaultColWidth="9.1640625" defaultRowHeight="15" outlineLevelRow="1" outlineLevelCol="1"/>
  <cols>
    <col min="1" max="1" width="8.5" style="273" customWidth="1"/>
    <col min="2" max="2" width="15.83203125" style="282" customWidth="1"/>
    <col min="3" max="3" width="15.83203125" style="275" customWidth="1" outlineLevel="1"/>
    <col min="4" max="4" width="16.5" style="275" customWidth="1" outlineLevel="1"/>
    <col min="5" max="5" width="18.6640625" style="276" customWidth="1" outlineLevel="1"/>
    <col min="6" max="6" width="13.6640625" style="277" bestFit="1" customWidth="1"/>
    <col min="7" max="7" width="12.5" style="277" customWidth="1"/>
    <col min="8" max="8" width="12.5" style="278" customWidth="1"/>
    <col min="9" max="9" width="7.5" style="278" customWidth="1" outlineLevel="1"/>
    <col min="10" max="23" width="7.1640625" style="279" customWidth="1"/>
    <col min="24" max="46" width="12.33203125" style="277" customWidth="1"/>
    <col min="47" max="48" width="13" style="277" customWidth="1"/>
    <col min="49" max="49" width="6.6640625" style="277" customWidth="1"/>
    <col min="50" max="52" width="10.5" style="277" customWidth="1" outlineLevel="1"/>
    <col min="53" max="57" width="10.5" style="277" customWidth="1"/>
    <col min="58" max="58" width="13.6640625" style="277" bestFit="1" customWidth="1"/>
    <col min="59" max="70" width="10.5" style="277" customWidth="1"/>
    <col min="71" max="72" width="12.5" style="277" customWidth="1"/>
    <col min="73" max="77" width="12.6640625" style="277" customWidth="1" outlineLevel="1"/>
    <col min="78" max="78" width="12.6640625" style="280" customWidth="1" outlineLevel="1"/>
    <col min="79" max="80" width="10.6640625" style="280" customWidth="1" outlineLevel="1"/>
    <col min="81" max="81" width="19.5" style="281" customWidth="1"/>
    <col min="82" max="82" width="12.33203125" style="281" customWidth="1"/>
    <col min="83" max="83" width="12.5" style="281" customWidth="1"/>
    <col min="84" max="84" width="11.6640625" style="281" customWidth="1"/>
    <col min="85" max="16384" width="9.1640625" style="281"/>
  </cols>
  <sheetData>
    <row r="1" spans="1:85" s="3" customFormat="1" ht="33" outlineLevel="1">
      <c r="A1" s="11"/>
      <c r="B1" s="10"/>
      <c r="C1" s="11"/>
      <c r="D1" s="11"/>
      <c r="E1" s="12"/>
      <c r="F1" s="11"/>
      <c r="G1" s="11"/>
      <c r="H1" s="1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3"/>
      <c r="V1" s="13"/>
      <c r="W1" s="13"/>
      <c r="X1" s="249"/>
      <c r="Y1" s="249"/>
      <c r="Z1" s="249"/>
      <c r="AA1" s="249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10"/>
      <c r="AV1" s="10"/>
      <c r="AW1" s="10"/>
      <c r="AX1" s="11"/>
      <c r="AY1" s="10"/>
      <c r="AZ1" s="11"/>
      <c r="BA1" s="11"/>
      <c r="BB1" s="10"/>
      <c r="BC1" s="10"/>
      <c r="BD1" s="11"/>
      <c r="BE1" s="11"/>
      <c r="BF1" s="11"/>
      <c r="BG1" s="11"/>
      <c r="BH1" s="11"/>
      <c r="BI1" s="11"/>
      <c r="BJ1" s="11"/>
      <c r="BK1" s="10"/>
      <c r="BL1" s="10"/>
      <c r="BM1" s="11"/>
      <c r="BN1" s="10"/>
      <c r="BO1" s="11"/>
      <c r="BP1" s="10"/>
      <c r="BQ1" s="10"/>
      <c r="BR1" s="10"/>
      <c r="BS1" s="11"/>
      <c r="BT1" s="10"/>
      <c r="BU1" s="15"/>
      <c r="BV1" s="15"/>
      <c r="BW1" s="15"/>
      <c r="BX1" s="15"/>
      <c r="BY1" s="15"/>
      <c r="BZ1" s="243" t="s">
        <v>132</v>
      </c>
      <c r="CA1" s="283">
        <v>26</v>
      </c>
      <c r="CB1" s="14"/>
    </row>
    <row r="2" spans="1:85" s="3" customFormat="1" outlineLevel="1">
      <c r="A2" s="322" t="s">
        <v>1</v>
      </c>
      <c r="B2" s="284" t="s">
        <v>2</v>
      </c>
      <c r="C2" s="323" t="s">
        <v>3</v>
      </c>
      <c r="D2" s="323" t="s">
        <v>4</v>
      </c>
      <c r="E2" s="284" t="s">
        <v>5</v>
      </c>
      <c r="F2" s="320" t="s">
        <v>6</v>
      </c>
      <c r="G2" s="320" t="s">
        <v>7</v>
      </c>
      <c r="H2" s="320" t="s">
        <v>8</v>
      </c>
      <c r="I2" s="320" t="s">
        <v>9</v>
      </c>
      <c r="J2" s="321" t="s">
        <v>10</v>
      </c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320" t="s">
        <v>11</v>
      </c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7"/>
      <c r="AJ2" s="297"/>
      <c r="AK2" s="297"/>
      <c r="AL2" s="297"/>
      <c r="AM2" s="297"/>
      <c r="AN2" s="298"/>
      <c r="AO2" s="320" t="s">
        <v>12</v>
      </c>
      <c r="AP2" s="320" t="s">
        <v>13</v>
      </c>
      <c r="AQ2" s="320" t="s">
        <v>14</v>
      </c>
      <c r="AR2" s="320" t="s">
        <v>15</v>
      </c>
      <c r="AS2" s="320" t="s">
        <v>16</v>
      </c>
      <c r="AT2" s="320" t="s">
        <v>17</v>
      </c>
      <c r="AU2" s="284" t="s">
        <v>18</v>
      </c>
      <c r="AV2" s="284" t="s">
        <v>19</v>
      </c>
      <c r="AW2" s="284" t="s">
        <v>20</v>
      </c>
      <c r="AX2" s="284" t="s">
        <v>21</v>
      </c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7"/>
      <c r="BJ2" s="297"/>
      <c r="BK2" s="297"/>
      <c r="BL2" s="297"/>
      <c r="BM2" s="297"/>
      <c r="BN2" s="297"/>
      <c r="BO2" s="297"/>
      <c r="BP2" s="298"/>
      <c r="BQ2" s="292" t="s">
        <v>22</v>
      </c>
      <c r="BR2" s="306"/>
      <c r="BS2" s="292" t="s">
        <v>154</v>
      </c>
      <c r="BT2" s="289" t="s">
        <v>155</v>
      </c>
      <c r="BU2" s="286" t="s">
        <v>25</v>
      </c>
      <c r="BV2" s="308" t="s">
        <v>26</v>
      </c>
      <c r="BW2" s="309"/>
      <c r="BX2" s="309"/>
      <c r="BY2" s="310"/>
      <c r="BZ2" s="317" t="s">
        <v>27</v>
      </c>
      <c r="CA2" s="317" t="s">
        <v>28</v>
      </c>
      <c r="CB2" s="317" t="s">
        <v>29</v>
      </c>
    </row>
    <row r="3" spans="1:85" s="3" customFormat="1" outlineLevel="1">
      <c r="A3" s="296"/>
      <c r="B3" s="296"/>
      <c r="C3" s="296"/>
      <c r="D3" s="296"/>
      <c r="E3" s="296"/>
      <c r="F3" s="296"/>
      <c r="G3" s="296"/>
      <c r="H3" s="296"/>
      <c r="I3" s="296"/>
      <c r="J3" s="304" t="s">
        <v>30</v>
      </c>
      <c r="K3" s="304" t="s">
        <v>31</v>
      </c>
      <c r="L3" s="304" t="s">
        <v>32</v>
      </c>
      <c r="M3" s="304" t="s">
        <v>33</v>
      </c>
      <c r="N3" s="304" t="s">
        <v>34</v>
      </c>
      <c r="O3" s="304" t="s">
        <v>35</v>
      </c>
      <c r="P3" s="304" t="s">
        <v>36</v>
      </c>
      <c r="Q3" s="304" t="s">
        <v>37</v>
      </c>
      <c r="R3" s="304" t="s">
        <v>38</v>
      </c>
      <c r="S3" s="304" t="s">
        <v>39</v>
      </c>
      <c r="T3" s="304" t="s">
        <v>40</v>
      </c>
      <c r="U3" s="305" t="s">
        <v>41</v>
      </c>
      <c r="V3" s="306"/>
      <c r="W3" s="304" t="s">
        <v>42</v>
      </c>
      <c r="X3" s="300" t="s">
        <v>43</v>
      </c>
      <c r="Y3" s="300" t="s">
        <v>44</v>
      </c>
      <c r="Z3" s="300" t="s">
        <v>45</v>
      </c>
      <c r="AA3" s="300" t="s">
        <v>46</v>
      </c>
      <c r="AB3" s="300" t="s">
        <v>47</v>
      </c>
      <c r="AC3" s="300" t="s">
        <v>48</v>
      </c>
      <c r="AD3" s="300" t="s">
        <v>49</v>
      </c>
      <c r="AE3" s="300" t="s">
        <v>50</v>
      </c>
      <c r="AF3" s="300" t="s">
        <v>51</v>
      </c>
      <c r="AG3" s="300" t="s">
        <v>52</v>
      </c>
      <c r="AH3" s="300" t="s">
        <v>53</v>
      </c>
      <c r="AI3" s="300" t="s">
        <v>54</v>
      </c>
      <c r="AJ3" s="301" t="s">
        <v>55</v>
      </c>
      <c r="AK3" s="284" t="s">
        <v>56</v>
      </c>
      <c r="AL3" s="300" t="s">
        <v>57</v>
      </c>
      <c r="AM3" s="284" t="s">
        <v>58</v>
      </c>
      <c r="AN3" s="284" t="s">
        <v>59</v>
      </c>
      <c r="AO3" s="296"/>
      <c r="AP3" s="296"/>
      <c r="AQ3" s="296"/>
      <c r="AR3" s="296"/>
      <c r="AS3" s="296"/>
      <c r="AT3" s="296"/>
      <c r="AU3" s="296"/>
      <c r="AV3" s="296"/>
      <c r="AW3" s="296"/>
      <c r="AX3" s="284" t="s">
        <v>21</v>
      </c>
      <c r="AY3" s="297"/>
      <c r="AZ3" s="297"/>
      <c r="BA3" s="297"/>
      <c r="BB3" s="297"/>
      <c r="BC3" s="297"/>
      <c r="BD3" s="297"/>
      <c r="BE3" s="297"/>
      <c r="BF3" s="297"/>
      <c r="BG3" s="297"/>
      <c r="BH3" s="297"/>
      <c r="BI3" s="297"/>
      <c r="BJ3" s="297"/>
      <c r="BK3" s="298"/>
      <c r="BL3" s="284" t="s">
        <v>60</v>
      </c>
      <c r="BM3" s="297"/>
      <c r="BN3" s="297"/>
      <c r="BO3" s="297"/>
      <c r="BP3" s="298"/>
      <c r="BQ3" s="293" t="s">
        <v>61</v>
      </c>
      <c r="BR3" s="293" t="s">
        <v>62</v>
      </c>
      <c r="BS3" s="293"/>
      <c r="BT3" s="290"/>
      <c r="BU3" s="287"/>
      <c r="BV3" s="311"/>
      <c r="BW3" s="312"/>
      <c r="BX3" s="312"/>
      <c r="BY3" s="313"/>
      <c r="BZ3" s="318"/>
      <c r="CA3" s="318"/>
      <c r="CB3" s="318"/>
    </row>
    <row r="4" spans="1:85" s="3" customFormat="1" ht="14" outlineLevel="1">
      <c r="A4" s="296"/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303"/>
      <c r="V4" s="307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302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44" t="s">
        <v>63</v>
      </c>
      <c r="AY4" s="244" t="s">
        <v>64</v>
      </c>
      <c r="AZ4" s="244" t="s">
        <v>65</v>
      </c>
      <c r="BA4" s="299" t="s">
        <v>66</v>
      </c>
      <c r="BB4" s="295" t="s">
        <v>67</v>
      </c>
      <c r="BC4" s="295" t="s">
        <v>68</v>
      </c>
      <c r="BD4" s="295" t="s">
        <v>69</v>
      </c>
      <c r="BE4" s="295" t="s">
        <v>70</v>
      </c>
      <c r="BF4" s="295" t="s">
        <v>71</v>
      </c>
      <c r="BG4" s="295" t="s">
        <v>72</v>
      </c>
      <c r="BH4" s="295" t="s">
        <v>73</v>
      </c>
      <c r="BI4" s="295" t="s">
        <v>74</v>
      </c>
      <c r="BJ4" s="295" t="s">
        <v>75</v>
      </c>
      <c r="BK4" s="284" t="s">
        <v>76</v>
      </c>
      <c r="BL4" s="295" t="s">
        <v>77</v>
      </c>
      <c r="BM4" s="284" t="s">
        <v>78</v>
      </c>
      <c r="BN4" s="295" t="s">
        <v>79</v>
      </c>
      <c r="BO4" s="284" t="s">
        <v>80</v>
      </c>
      <c r="BP4" s="284" t="s">
        <v>81</v>
      </c>
      <c r="BQ4" s="293"/>
      <c r="BR4" s="293"/>
      <c r="BS4" s="293"/>
      <c r="BT4" s="290"/>
      <c r="BU4" s="287"/>
      <c r="BV4" s="314"/>
      <c r="BW4" s="315"/>
      <c r="BX4" s="315"/>
      <c r="BY4" s="316"/>
      <c r="BZ4" s="318"/>
      <c r="CA4" s="318"/>
      <c r="CB4" s="318"/>
    </row>
    <row r="5" spans="1:85" s="3" customFormat="1" ht="42" outlineLevel="1">
      <c r="A5" s="285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54" t="s">
        <v>82</v>
      </c>
      <c r="V5" s="254" t="s">
        <v>83</v>
      </c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303"/>
      <c r="AK5" s="285"/>
      <c r="AL5" s="285"/>
      <c r="AM5" s="285"/>
      <c r="AN5" s="285"/>
      <c r="AO5" s="285"/>
      <c r="AP5" s="285"/>
      <c r="AQ5" s="285"/>
      <c r="AR5" s="285"/>
      <c r="AS5" s="285"/>
      <c r="AT5" s="285"/>
      <c r="AU5" s="285"/>
      <c r="AV5" s="285"/>
      <c r="AW5" s="285"/>
      <c r="AX5" s="245" t="s">
        <v>84</v>
      </c>
      <c r="AY5" s="245" t="s">
        <v>85</v>
      </c>
      <c r="AZ5" s="245" t="s">
        <v>86</v>
      </c>
      <c r="BA5" s="285"/>
      <c r="BB5" s="285"/>
      <c r="BC5" s="285"/>
      <c r="BD5" s="285"/>
      <c r="BE5" s="285"/>
      <c r="BF5" s="285"/>
      <c r="BG5" s="285"/>
      <c r="BH5" s="285"/>
      <c r="BI5" s="285"/>
      <c r="BJ5" s="285"/>
      <c r="BK5" s="285"/>
      <c r="BL5" s="285"/>
      <c r="BM5" s="285"/>
      <c r="BN5" s="285"/>
      <c r="BO5" s="285"/>
      <c r="BP5" s="285"/>
      <c r="BQ5" s="294"/>
      <c r="BR5" s="294"/>
      <c r="BS5" s="294"/>
      <c r="BT5" s="291"/>
      <c r="BU5" s="288"/>
      <c r="BV5" s="255" t="s">
        <v>87</v>
      </c>
      <c r="BW5" s="255" t="s">
        <v>88</v>
      </c>
      <c r="BX5" s="255" t="s">
        <v>89</v>
      </c>
      <c r="BY5" s="256" t="s">
        <v>90</v>
      </c>
      <c r="BZ5" s="319"/>
      <c r="CA5" s="319"/>
      <c r="CB5" s="319"/>
    </row>
    <row r="6" spans="1:85" s="250" customFormat="1" ht="19.25" customHeight="1">
      <c r="A6" s="258">
        <v>2405236</v>
      </c>
      <c r="B6" s="259" t="s">
        <v>133</v>
      </c>
      <c r="C6" s="260" t="s">
        <v>134</v>
      </c>
      <c r="D6" s="261" t="s">
        <v>93</v>
      </c>
      <c r="E6" s="261" t="s">
        <v>94</v>
      </c>
      <c r="F6" s="81">
        <v>9520000</v>
      </c>
      <c r="G6" s="81">
        <f t="shared" ref="G6:G12" si="0">+IF(OR(CA6="ĐT PCCC",CA6="ĐP PCCC"),780000,IF(CA6="AT-VSV",300000,0))</f>
        <v>0</v>
      </c>
      <c r="H6" s="81">
        <f t="shared" ref="H6:H12" si="1">BZ6-BX6-F6-G6</f>
        <v>50480000</v>
      </c>
      <c r="I6" s="79">
        <v>1</v>
      </c>
      <c r="J6" s="262">
        <v>26</v>
      </c>
      <c r="K6" s="262">
        <v>0</v>
      </c>
      <c r="L6" s="262">
        <v>0</v>
      </c>
      <c r="M6" s="262"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/>
      <c r="T6" s="262">
        <v>0</v>
      </c>
      <c r="U6" s="262">
        <v>0</v>
      </c>
      <c r="V6" s="262">
        <v>0</v>
      </c>
      <c r="W6" s="262">
        <v>0</v>
      </c>
      <c r="X6" s="81">
        <f t="shared" ref="X6:X12" si="2">F6*(J6+K6)/26</f>
        <v>9520000</v>
      </c>
      <c r="Y6" s="81">
        <f>L6*F6/26</f>
        <v>0</v>
      </c>
      <c r="Z6" s="81">
        <f>F6*M6/26</f>
        <v>0</v>
      </c>
      <c r="AA6" s="81">
        <f>F6*N6/26</f>
        <v>0</v>
      </c>
      <c r="AB6" s="81">
        <f>F6*O6*150%/26</f>
        <v>0</v>
      </c>
      <c r="AC6" s="81">
        <f>F6*P6/26*200%</f>
        <v>0</v>
      </c>
      <c r="AD6" s="81">
        <f>F6*Q6/26*300%</f>
        <v>0</v>
      </c>
      <c r="AE6" s="81">
        <f>ROUND((F6+G6)/26*R6*30%,0)</f>
        <v>0</v>
      </c>
      <c r="AF6" s="81">
        <f>S6*F6/26/8</f>
        <v>0</v>
      </c>
      <c r="AG6" s="81">
        <f t="shared" ref="AG6:AG12" si="3">BZ6/26*T6</f>
        <v>0</v>
      </c>
      <c r="AH6" s="81">
        <f>F6*U6/26</f>
        <v>0</v>
      </c>
      <c r="AI6" s="81"/>
      <c r="AJ6" s="81">
        <f t="shared" ref="AJ6:AJ12" si="4">BX6*K6/26</f>
        <v>0</v>
      </c>
      <c r="AK6" s="81"/>
      <c r="AL6" s="81">
        <f t="shared" ref="AL6:AL12" si="5">W6*CB6</f>
        <v>0</v>
      </c>
      <c r="AM6" s="81">
        <f>G6/26*(J6+K6)</f>
        <v>0</v>
      </c>
      <c r="AN6" s="81">
        <f t="shared" ref="AN6:AN12" si="6">IF(E6="LN",H6*(J6+K6)/26+(G6+H6)*50%*L6/26+MAX($F6*O6/26*150%,O6*$BU6/26)-AB6+MAX($F6*P6/26*200%,P6*$BU6/26)-AC6+MAX($F6*Q6/26*300%,Q6*$BU6/26)-AD6+BU6*R6/26-AE6+AG6-AF6,H6-H6*($CA$1-J6-K6)/26+(G6+H6)*50%*L6/26+BU6*N6/26-AA6+MAX($F6*O6/26*150%,O6*$BU6/26)-AB6+MAX($F6*P6/26*200%,P6*$BU6/26)-AC6+MAX($F6*Q6/26*300%,Q6*$BU6/26)-AD6+BU6*R6/26-AE6+AG6-AF6+(F6-F6*($CA$1-J6-K6)/26-X6)+(G6-G6*($CA$1-J6-K6)/26-AM6))</f>
        <v>50480000</v>
      </c>
      <c r="AO6" s="81"/>
      <c r="AP6" s="81"/>
      <c r="AQ6" s="81">
        <v>1000000</v>
      </c>
      <c r="AR6" s="81"/>
      <c r="AS6" s="81"/>
      <c r="AT6" s="81"/>
      <c r="AU6" s="81">
        <f>X6+Y6+Z6+AA6+AB6+AC6+AD6+AE6+AF6+AH6+AI6+AJ6+AK6+AL6+AM6+AN6+AO6-AP6+AQ6+AR6+AS6+AT6</f>
        <v>61000000</v>
      </c>
      <c r="AV6" s="81"/>
      <c r="AW6" s="81" t="s">
        <v>95</v>
      </c>
      <c r="AX6" s="263">
        <f t="shared" ref="AX6:AZ12" si="7">ROUND(IF($AW6="x",($F6+$G6)*AX$5,0),0)</f>
        <v>761600</v>
      </c>
      <c r="AY6" s="263">
        <f t="shared" si="7"/>
        <v>142800</v>
      </c>
      <c r="AZ6" s="263">
        <f t="shared" si="7"/>
        <v>95200</v>
      </c>
      <c r="BA6" s="263">
        <f>SUM(AX6:AZ6)</f>
        <v>999600</v>
      </c>
      <c r="BB6" s="263"/>
      <c r="BC6" s="263"/>
      <c r="BD6" s="263">
        <f>IF(F6*1%&gt;=234000,234000,F6*1%)</f>
        <v>95200</v>
      </c>
      <c r="BE6" s="263">
        <f>AL6+IF(D6="CT",IF(AQ6&gt;=730000,730000,AQ6),0)+IF(((AU6-AL6-IF(AQ6&gt;=730000,730000,AQ6)-AR6)*15%-AR6)&gt;"0",((AU6-AL6-IF(AQ6&gt;=730000,730000,AQ6)-AR6)*15%-AR6),0)</f>
        <v>730000</v>
      </c>
      <c r="BF6" s="263">
        <f>AU6-BE6+AV6</f>
        <v>60270000</v>
      </c>
      <c r="BG6" s="263">
        <v>3</v>
      </c>
      <c r="BH6" s="263">
        <v>6200000</v>
      </c>
      <c r="BI6" s="263">
        <f>IF(D6="CT",15500000,0)</f>
        <v>15500000</v>
      </c>
      <c r="BJ6" s="263">
        <f>BF6-BA6-BB6+BC6-BG6*BH6-BI6</f>
        <v>25170400</v>
      </c>
      <c r="BK6" s="264">
        <f>IF(D6="TV",BJ6*10%,IF(BJ6&gt;0,ROUND(IF(BJ6&gt;=80000000,BJ6*35%-9850000,IF(BJ6&gt;=52000000,BJ6*30%-5850000,IF(BJ6&gt;=32000000,BJ6*25%-3250000,IF(BJ6&gt;=18000000,BJ6*20%-1650000,IF(BJ6&gt;=10000000,BJ6*15%-750000,IF(BJ6&gt;5000000,BJ6*10%-250000,BJ6*5%)))))),0),0))</f>
        <v>3384080</v>
      </c>
      <c r="BL6" s="263"/>
      <c r="BM6" s="263"/>
      <c r="BN6" s="263">
        <v>0</v>
      </c>
      <c r="BO6" s="263"/>
      <c r="BP6" s="263"/>
      <c r="BQ6" s="263"/>
      <c r="BR6" s="263"/>
      <c r="BS6" s="277">
        <v>25846153.846153852</v>
      </c>
      <c r="BT6" s="265">
        <f t="shared" ref="BT6:BT12" si="8">AU6-BA6-BB6+BC6-BD6-BK6-BL6-BM6-BN6-BO6-BP6-BQ6+BR6-BS6</f>
        <v>30674966.153846148</v>
      </c>
      <c r="BU6" s="266">
        <v>60000000</v>
      </c>
      <c r="BV6" s="264">
        <v>0</v>
      </c>
      <c r="BW6" s="264"/>
      <c r="BX6" s="264">
        <v>200000</v>
      </c>
      <c r="BY6" s="264">
        <v>0</v>
      </c>
      <c r="BZ6" s="264">
        <f>SUM(BU6:BY6)</f>
        <v>60200000</v>
      </c>
      <c r="CA6" s="264"/>
      <c r="CB6" s="264"/>
      <c r="CF6" s="251"/>
      <c r="CG6" s="252"/>
    </row>
    <row r="7" spans="1:85" s="250" customFormat="1" ht="19.25" customHeight="1">
      <c r="A7" s="258">
        <v>2106723</v>
      </c>
      <c r="B7" s="259" t="s">
        <v>135</v>
      </c>
      <c r="C7" s="260" t="s">
        <v>136</v>
      </c>
      <c r="D7" s="261" t="s">
        <v>93</v>
      </c>
      <c r="E7" s="261" t="s">
        <v>94</v>
      </c>
      <c r="F7" s="81">
        <v>8480000</v>
      </c>
      <c r="G7" s="81">
        <f t="shared" si="0"/>
        <v>0</v>
      </c>
      <c r="H7" s="81">
        <f t="shared" si="1"/>
        <v>43520000</v>
      </c>
      <c r="I7" s="79">
        <v>1</v>
      </c>
      <c r="J7" s="262">
        <v>19</v>
      </c>
      <c r="K7" s="262">
        <v>5</v>
      </c>
      <c r="L7" s="262">
        <v>0</v>
      </c>
      <c r="M7" s="262">
        <v>0</v>
      </c>
      <c r="N7" s="262">
        <v>0</v>
      </c>
      <c r="O7" s="262">
        <v>0</v>
      </c>
      <c r="P7" s="262">
        <v>0</v>
      </c>
      <c r="Q7" s="262">
        <v>0</v>
      </c>
      <c r="R7" s="262">
        <v>0</v>
      </c>
      <c r="S7" s="262"/>
      <c r="T7" s="262">
        <v>0</v>
      </c>
      <c r="U7" s="262">
        <v>0</v>
      </c>
      <c r="V7" s="262">
        <v>0</v>
      </c>
      <c r="W7" s="262">
        <v>0</v>
      </c>
      <c r="X7" s="81">
        <f t="shared" si="2"/>
        <v>7827692.307692308</v>
      </c>
      <c r="Y7" s="81">
        <f t="shared" ref="Y7:Y12" si="9">L7*F7/26</f>
        <v>0</v>
      </c>
      <c r="Z7" s="81">
        <f t="shared" ref="Z7:Z12" si="10">F7*M7/26</f>
        <v>0</v>
      </c>
      <c r="AA7" s="81">
        <f t="shared" ref="AA7:AA12" si="11">F7*N7/26</f>
        <v>0</v>
      </c>
      <c r="AB7" s="81">
        <f t="shared" ref="AB7:AB12" si="12">F7*O7*150%/26</f>
        <v>0</v>
      </c>
      <c r="AC7" s="81">
        <f t="shared" ref="AC7:AC12" si="13">F7*P7/26*200%</f>
        <v>0</v>
      </c>
      <c r="AD7" s="81">
        <f t="shared" ref="AD7:AD12" si="14">F7*Q7/26*300%</f>
        <v>0</v>
      </c>
      <c r="AE7" s="81">
        <f>ROUND((F7+G7)/26*R7*30%,0)</f>
        <v>0</v>
      </c>
      <c r="AF7" s="81">
        <f t="shared" ref="AF7:AF12" si="15">S7*F7/26/8</f>
        <v>0</v>
      </c>
      <c r="AG7" s="81">
        <f t="shared" si="3"/>
        <v>0</v>
      </c>
      <c r="AH7" s="81">
        <f t="shared" ref="AH7:AH12" si="16">F7*U7/26</f>
        <v>0</v>
      </c>
      <c r="AI7" s="81"/>
      <c r="AJ7" s="81">
        <f t="shared" si="4"/>
        <v>38461.538461538461</v>
      </c>
      <c r="AK7" s="81"/>
      <c r="AL7" s="81">
        <f t="shared" si="5"/>
        <v>0</v>
      </c>
      <c r="AM7" s="81">
        <f t="shared" ref="AM7:AM12" si="17">G7/26*J7</f>
        <v>0</v>
      </c>
      <c r="AN7" s="81">
        <f t="shared" si="6"/>
        <v>40172307.692307696</v>
      </c>
      <c r="AO7" s="81"/>
      <c r="AP7" s="81"/>
      <c r="AQ7" s="81">
        <v>720000</v>
      </c>
      <c r="AR7" s="81"/>
      <c r="AS7" s="81"/>
      <c r="AT7" s="81"/>
      <c r="AU7" s="81">
        <f t="shared" ref="AU7:AU12" si="18">X7+Y7+Z7+AA7+AB7+AC7+AD7+AE7+AF7+AH7+AI7+AJ7+AK7+AL7+AM7+AN7+AO7-AP7+AQ7+AR7+AS7+AT7</f>
        <v>48758461.538461544</v>
      </c>
      <c r="AV7" s="81"/>
      <c r="AW7" s="81" t="str">
        <f t="shared" ref="AW7:AW12" si="19">IF(D7="CT","x",0)</f>
        <v>x</v>
      </c>
      <c r="AX7" s="263">
        <f t="shared" si="7"/>
        <v>678400</v>
      </c>
      <c r="AY7" s="263">
        <f t="shared" si="7"/>
        <v>127200</v>
      </c>
      <c r="AZ7" s="263">
        <f t="shared" si="7"/>
        <v>84800</v>
      </c>
      <c r="BA7" s="263">
        <f>SUM(AX7:AZ7)</f>
        <v>890400</v>
      </c>
      <c r="BB7" s="263"/>
      <c r="BC7" s="263"/>
      <c r="BD7" s="263">
        <f t="shared" ref="BD7:BD12" si="20">IF(F7*1%&gt;=234000,234000,F7*1%)</f>
        <v>84800</v>
      </c>
      <c r="BE7" s="263">
        <f t="shared" ref="BE7:BE12" si="21">AL7+IF(D7="CT",IF(AQ7&gt;=730000,730000,AQ7),0)+IF(((AU7-AL7-IF(AQ7&gt;=730000,730000,AQ7)-AR7)*15%-AR7)&gt;"0",((AU7-AL7-IF(AQ7&gt;=730000,730000,AQ7)-AR7)*15%-AR7),0)</f>
        <v>720000</v>
      </c>
      <c r="BF7" s="263">
        <f t="shared" ref="BF7:BF12" si="22">AU7-BE7+AV7</f>
        <v>48038461.538461544</v>
      </c>
      <c r="BG7" s="263"/>
      <c r="BH7" s="263">
        <v>6200000</v>
      </c>
      <c r="BI7" s="263">
        <f t="shared" ref="BI7:BI12" si="23">IF(D7="CT",15500000,0)</f>
        <v>15500000</v>
      </c>
      <c r="BJ7" s="263">
        <f t="shared" ref="BJ7:BJ12" si="24">BF7-BA7-BB7+BC7-BG7*BH7-BI7</f>
        <v>31648061.538461544</v>
      </c>
      <c r="BK7" s="264">
        <f t="shared" ref="BK7:BK12" si="25">IF(D7="TV",BJ7*10%,IF(BJ7&gt;0,ROUND(IF(BJ7&gt;=80000000,BJ7*35%-9850000,IF(BJ7&gt;=52000000,BJ7*30%-5850000,IF(BJ7&gt;=32000000,BJ7*25%-3250000,IF(BJ7&gt;=18000000,BJ7*20%-1650000,IF(BJ7&gt;=10000000,BJ7*15%-750000,IF(BJ7&gt;5000000,BJ7*10%-250000,BJ7*5%)))))),0),0))</f>
        <v>4679612</v>
      </c>
      <c r="BL7" s="263"/>
      <c r="BM7" s="263"/>
      <c r="BN7" s="263">
        <v>0</v>
      </c>
      <c r="BO7" s="263"/>
      <c r="BP7" s="263"/>
      <c r="BQ7" s="263"/>
      <c r="BR7" s="263"/>
      <c r="BS7" s="277">
        <v>0</v>
      </c>
      <c r="BT7" s="265">
        <f t="shared" si="8"/>
        <v>43103649.538461544</v>
      </c>
      <c r="BU7" s="266">
        <v>40000000</v>
      </c>
      <c r="BV7" s="264">
        <v>5000000</v>
      </c>
      <c r="BW7" s="264">
        <v>5000000</v>
      </c>
      <c r="BX7" s="264">
        <v>200000</v>
      </c>
      <c r="BY7" s="264">
        <f t="shared" ref="BY7:BY12" si="26">+BU7*5%</f>
        <v>2000000</v>
      </c>
      <c r="BZ7" s="264">
        <f t="shared" ref="BZ7:BZ12" si="27">SUM(BU7:BY7)</f>
        <v>52200000</v>
      </c>
      <c r="CA7" s="264"/>
      <c r="CB7" s="264"/>
      <c r="CF7" s="251"/>
      <c r="CG7" s="252"/>
    </row>
    <row r="8" spans="1:85" s="253" customFormat="1" ht="19.25" customHeight="1">
      <c r="A8" s="272" t="s">
        <v>96</v>
      </c>
      <c r="B8" s="259" t="s">
        <v>137</v>
      </c>
      <c r="C8" s="260" t="s">
        <v>138</v>
      </c>
      <c r="D8" s="261" t="s">
        <v>93</v>
      </c>
      <c r="E8" s="261" t="s">
        <v>94</v>
      </c>
      <c r="F8" s="81">
        <v>7820000</v>
      </c>
      <c r="G8" s="81">
        <f t="shared" si="0"/>
        <v>0</v>
      </c>
      <c r="H8" s="81">
        <f t="shared" si="1"/>
        <v>34180000</v>
      </c>
      <c r="I8" s="79">
        <v>1</v>
      </c>
      <c r="J8" s="262">
        <v>24</v>
      </c>
      <c r="K8" s="262">
        <v>0</v>
      </c>
      <c r="L8" s="262">
        <v>0</v>
      </c>
      <c r="M8" s="262">
        <v>0</v>
      </c>
      <c r="N8" s="262">
        <v>0</v>
      </c>
      <c r="O8" s="262">
        <v>0</v>
      </c>
      <c r="P8" s="262">
        <v>0</v>
      </c>
      <c r="Q8" s="262">
        <v>0</v>
      </c>
      <c r="R8" s="262">
        <v>0</v>
      </c>
      <c r="S8" s="262"/>
      <c r="T8" s="262">
        <v>2</v>
      </c>
      <c r="U8" s="262">
        <v>0</v>
      </c>
      <c r="V8" s="262">
        <v>0</v>
      </c>
      <c r="W8" s="262">
        <v>0</v>
      </c>
      <c r="X8" s="81">
        <f t="shared" si="2"/>
        <v>7218461.538461538</v>
      </c>
      <c r="Y8" s="81">
        <f t="shared" si="9"/>
        <v>0</v>
      </c>
      <c r="Z8" s="81">
        <f t="shared" si="10"/>
        <v>0</v>
      </c>
      <c r="AA8" s="81">
        <f t="shared" si="11"/>
        <v>0</v>
      </c>
      <c r="AB8" s="81">
        <f t="shared" si="12"/>
        <v>0</v>
      </c>
      <c r="AC8" s="81">
        <f t="shared" si="13"/>
        <v>0</v>
      </c>
      <c r="AD8" s="81">
        <f t="shared" si="14"/>
        <v>0</v>
      </c>
      <c r="AE8" s="81">
        <f>IF(E8="LN",(F8+G8)/26*R8*30%,0)</f>
        <v>0</v>
      </c>
      <c r="AF8" s="81">
        <f t="shared" si="15"/>
        <v>0</v>
      </c>
      <c r="AG8" s="81">
        <f t="shared" si="3"/>
        <v>3246153.846153846</v>
      </c>
      <c r="AH8" s="81">
        <f t="shared" si="16"/>
        <v>0</v>
      </c>
      <c r="AI8" s="81"/>
      <c r="AJ8" s="81">
        <f t="shared" si="4"/>
        <v>0</v>
      </c>
      <c r="AK8" s="81"/>
      <c r="AL8" s="81">
        <f t="shared" si="5"/>
        <v>0</v>
      </c>
      <c r="AM8" s="81">
        <f t="shared" si="17"/>
        <v>0</v>
      </c>
      <c r="AN8" s="81">
        <f t="shared" si="6"/>
        <v>34796923.07692308</v>
      </c>
      <c r="AO8" s="81"/>
      <c r="AP8" s="81"/>
      <c r="AQ8" s="81">
        <v>560000</v>
      </c>
      <c r="AR8" s="81"/>
      <c r="AS8" s="81"/>
      <c r="AT8" s="81"/>
      <c r="AU8" s="81">
        <f t="shared" si="18"/>
        <v>42575384.615384616</v>
      </c>
      <c r="AV8" s="81"/>
      <c r="AW8" s="81" t="str">
        <f t="shared" si="19"/>
        <v>x</v>
      </c>
      <c r="AX8" s="263">
        <f t="shared" si="7"/>
        <v>625600</v>
      </c>
      <c r="AY8" s="263">
        <f t="shared" si="7"/>
        <v>117300</v>
      </c>
      <c r="AZ8" s="263">
        <f t="shared" si="7"/>
        <v>78200</v>
      </c>
      <c r="BA8" s="263">
        <f t="shared" ref="BA8" si="28">SUM(AX8:AZ8)</f>
        <v>821100</v>
      </c>
      <c r="BB8" s="263"/>
      <c r="BC8" s="263"/>
      <c r="BD8" s="263">
        <f t="shared" si="20"/>
        <v>78200</v>
      </c>
      <c r="BE8" s="263">
        <f t="shared" si="21"/>
        <v>560000</v>
      </c>
      <c r="BF8" s="263">
        <f t="shared" si="22"/>
        <v>42015384.615384616</v>
      </c>
      <c r="BG8" s="263"/>
      <c r="BH8" s="263">
        <v>6200000</v>
      </c>
      <c r="BI8" s="263">
        <f t="shared" si="23"/>
        <v>15500000</v>
      </c>
      <c r="BJ8" s="263">
        <f t="shared" si="24"/>
        <v>25694284.615384616</v>
      </c>
      <c r="BK8" s="264">
        <f t="shared" si="25"/>
        <v>3488857</v>
      </c>
      <c r="BL8" s="263"/>
      <c r="BM8" s="263"/>
      <c r="BN8" s="263">
        <v>0</v>
      </c>
      <c r="BO8" s="263"/>
      <c r="BP8" s="263"/>
      <c r="BQ8" s="263"/>
      <c r="BR8" s="263"/>
      <c r="BS8" s="277">
        <v>25846153.846153852</v>
      </c>
      <c r="BT8" s="265">
        <f t="shared" si="8"/>
        <v>12341073.769230764</v>
      </c>
      <c r="BU8" s="266">
        <v>40000000</v>
      </c>
      <c r="BV8" s="264">
        <v>0</v>
      </c>
      <c r="BW8" s="264">
        <v>0</v>
      </c>
      <c r="BX8" s="264">
        <v>200000</v>
      </c>
      <c r="BY8" s="264">
        <f t="shared" si="26"/>
        <v>2000000</v>
      </c>
      <c r="BZ8" s="264">
        <f t="shared" si="27"/>
        <v>42200000</v>
      </c>
      <c r="CA8" s="264"/>
      <c r="CB8" s="264"/>
      <c r="CF8" s="251"/>
      <c r="CG8" s="252"/>
    </row>
    <row r="9" spans="1:85" s="253" customFormat="1" ht="38.25" customHeight="1">
      <c r="A9" s="258">
        <v>2406198</v>
      </c>
      <c r="B9" s="259" t="s">
        <v>139</v>
      </c>
      <c r="C9" s="260" t="s">
        <v>134</v>
      </c>
      <c r="D9" s="261" t="s">
        <v>93</v>
      </c>
      <c r="E9" s="261" t="s">
        <v>94</v>
      </c>
      <c r="F9" s="81">
        <v>6990000</v>
      </c>
      <c r="G9" s="81">
        <f t="shared" si="0"/>
        <v>0</v>
      </c>
      <c r="H9" s="81">
        <f t="shared" si="1"/>
        <v>19160000</v>
      </c>
      <c r="I9" s="79">
        <v>1</v>
      </c>
      <c r="J9" s="262">
        <v>23</v>
      </c>
      <c r="K9" s="262">
        <v>3</v>
      </c>
      <c r="L9" s="262">
        <v>0</v>
      </c>
      <c r="M9" s="262">
        <v>0</v>
      </c>
      <c r="N9" s="262">
        <v>0</v>
      </c>
      <c r="O9" s="262">
        <v>0</v>
      </c>
      <c r="P9" s="262">
        <v>0</v>
      </c>
      <c r="Q9" s="262">
        <v>0</v>
      </c>
      <c r="R9" s="262">
        <v>0</v>
      </c>
      <c r="S9" s="262"/>
      <c r="T9" s="262">
        <v>0</v>
      </c>
      <c r="U9" s="262">
        <v>0</v>
      </c>
      <c r="V9" s="262">
        <v>0</v>
      </c>
      <c r="W9" s="262">
        <v>0</v>
      </c>
      <c r="X9" s="81">
        <f t="shared" si="2"/>
        <v>6990000</v>
      </c>
      <c r="Y9" s="81">
        <f t="shared" si="9"/>
        <v>0</v>
      </c>
      <c r="Z9" s="81">
        <f t="shared" si="10"/>
        <v>0</v>
      </c>
      <c r="AA9" s="81">
        <f t="shared" si="11"/>
        <v>0</v>
      </c>
      <c r="AB9" s="81">
        <f t="shared" si="12"/>
        <v>0</v>
      </c>
      <c r="AC9" s="81">
        <f t="shared" si="13"/>
        <v>0</v>
      </c>
      <c r="AD9" s="81">
        <f t="shared" si="14"/>
        <v>0</v>
      </c>
      <c r="AE9" s="81">
        <f>ROUND((F9+G9)/26*R9*30%,0)</f>
        <v>0</v>
      </c>
      <c r="AF9" s="81">
        <f t="shared" si="15"/>
        <v>0</v>
      </c>
      <c r="AG9" s="81">
        <f t="shared" si="3"/>
        <v>0</v>
      </c>
      <c r="AH9" s="81">
        <f t="shared" si="16"/>
        <v>0</v>
      </c>
      <c r="AI9" s="81"/>
      <c r="AJ9" s="81">
        <f t="shared" si="4"/>
        <v>23076.923076923078</v>
      </c>
      <c r="AK9" s="81"/>
      <c r="AL9" s="81">
        <f t="shared" si="5"/>
        <v>0</v>
      </c>
      <c r="AM9" s="81">
        <f t="shared" si="17"/>
        <v>0</v>
      </c>
      <c r="AN9" s="81">
        <f t="shared" si="6"/>
        <v>19160000</v>
      </c>
      <c r="AO9" s="81"/>
      <c r="AP9" s="81"/>
      <c r="AQ9" s="81">
        <v>720000</v>
      </c>
      <c r="AR9" s="81"/>
      <c r="AS9" s="81"/>
      <c r="AT9" s="81"/>
      <c r="AU9" s="81">
        <f t="shared" si="18"/>
        <v>26893076.923076924</v>
      </c>
      <c r="AV9" s="81"/>
      <c r="AW9" s="81" t="str">
        <f t="shared" si="19"/>
        <v>x</v>
      </c>
      <c r="AX9" s="263">
        <f t="shared" si="7"/>
        <v>559200</v>
      </c>
      <c r="AY9" s="263">
        <f t="shared" si="7"/>
        <v>104850</v>
      </c>
      <c r="AZ9" s="263">
        <f t="shared" si="7"/>
        <v>69900</v>
      </c>
      <c r="BA9" s="263">
        <f>SUM(AX9:AZ9)</f>
        <v>733950</v>
      </c>
      <c r="BB9" s="263"/>
      <c r="BC9" s="263"/>
      <c r="BD9" s="263">
        <f t="shared" si="20"/>
        <v>69900</v>
      </c>
      <c r="BE9" s="263">
        <f t="shared" si="21"/>
        <v>720000</v>
      </c>
      <c r="BF9" s="263">
        <f t="shared" si="22"/>
        <v>26173076.923076924</v>
      </c>
      <c r="BG9" s="263"/>
      <c r="BH9" s="263">
        <v>6200000</v>
      </c>
      <c r="BI9" s="263">
        <f t="shared" si="23"/>
        <v>15500000</v>
      </c>
      <c r="BJ9" s="263">
        <f t="shared" si="24"/>
        <v>9939126.9230769239</v>
      </c>
      <c r="BK9" s="264">
        <f t="shared" si="25"/>
        <v>743913</v>
      </c>
      <c r="BL9" s="263"/>
      <c r="BM9" s="263"/>
      <c r="BN9" s="263">
        <v>0</v>
      </c>
      <c r="BO9" s="263"/>
      <c r="BP9" s="263"/>
      <c r="BQ9" s="263"/>
      <c r="BR9" s="263"/>
      <c r="BS9" s="277">
        <v>10195307.692307694</v>
      </c>
      <c r="BT9" s="265">
        <f t="shared" si="8"/>
        <v>15150006.23076923</v>
      </c>
      <c r="BU9" s="266">
        <v>23000000</v>
      </c>
      <c r="BV9" s="264">
        <v>0</v>
      </c>
      <c r="BW9" s="264">
        <v>2000000</v>
      </c>
      <c r="BX9" s="264">
        <v>200000</v>
      </c>
      <c r="BY9" s="264">
        <f t="shared" si="26"/>
        <v>1150000</v>
      </c>
      <c r="BZ9" s="264">
        <f t="shared" si="27"/>
        <v>26350000</v>
      </c>
      <c r="CA9" s="264"/>
      <c r="CB9" s="264"/>
      <c r="CC9" s="250"/>
      <c r="CD9" s="257"/>
      <c r="CF9" s="251"/>
      <c r="CG9" s="252"/>
    </row>
    <row r="10" spans="1:85" s="271" customFormat="1" ht="14">
      <c r="A10" s="272" t="s">
        <v>97</v>
      </c>
      <c r="B10" s="259" t="s">
        <v>140</v>
      </c>
      <c r="C10" s="260" t="s">
        <v>141</v>
      </c>
      <c r="D10" s="261" t="s">
        <v>93</v>
      </c>
      <c r="E10" s="261" t="s">
        <v>98</v>
      </c>
      <c r="F10" s="81">
        <v>4850000</v>
      </c>
      <c r="G10" s="81">
        <f t="shared" si="0"/>
        <v>0</v>
      </c>
      <c r="H10" s="81">
        <f t="shared" si="1"/>
        <v>6700000</v>
      </c>
      <c r="I10" s="79">
        <v>1</v>
      </c>
      <c r="J10" s="262">
        <v>22</v>
      </c>
      <c r="K10" s="262">
        <v>0</v>
      </c>
      <c r="L10" s="262">
        <v>2</v>
      </c>
      <c r="M10" s="262">
        <v>2</v>
      </c>
      <c r="N10" s="262">
        <v>0</v>
      </c>
      <c r="O10" s="262">
        <v>0</v>
      </c>
      <c r="P10" s="262">
        <v>0</v>
      </c>
      <c r="Q10" s="262">
        <v>0</v>
      </c>
      <c r="R10" s="262">
        <v>2</v>
      </c>
      <c r="S10" s="262"/>
      <c r="T10" s="262">
        <v>0</v>
      </c>
      <c r="U10" s="262">
        <v>0</v>
      </c>
      <c r="V10" s="262">
        <v>0</v>
      </c>
      <c r="W10" s="262">
        <v>0</v>
      </c>
      <c r="X10" s="81">
        <f t="shared" si="2"/>
        <v>4103846.153846154</v>
      </c>
      <c r="Y10" s="81">
        <f t="shared" si="9"/>
        <v>373076.92307692306</v>
      </c>
      <c r="Z10" s="81">
        <f t="shared" si="10"/>
        <v>373076.92307692306</v>
      </c>
      <c r="AA10" s="81">
        <f t="shared" si="11"/>
        <v>0</v>
      </c>
      <c r="AB10" s="81">
        <f t="shared" si="12"/>
        <v>0</v>
      </c>
      <c r="AC10" s="81">
        <f t="shared" si="13"/>
        <v>0</v>
      </c>
      <c r="AD10" s="81">
        <f t="shared" si="14"/>
        <v>0</v>
      </c>
      <c r="AE10" s="81">
        <f>IF(E10="LN",(F10+G10)/26*R10*30%,0)</f>
        <v>111923.07692307692</v>
      </c>
      <c r="AF10" s="81">
        <f t="shared" si="15"/>
        <v>0</v>
      </c>
      <c r="AG10" s="81">
        <f t="shared" si="3"/>
        <v>0</v>
      </c>
      <c r="AH10" s="81">
        <f t="shared" si="16"/>
        <v>0</v>
      </c>
      <c r="AI10" s="81"/>
      <c r="AJ10" s="81">
        <f t="shared" si="4"/>
        <v>0</v>
      </c>
      <c r="AK10" s="81"/>
      <c r="AL10" s="81">
        <f t="shared" si="5"/>
        <v>0</v>
      </c>
      <c r="AM10" s="81">
        <f t="shared" si="17"/>
        <v>0</v>
      </c>
      <c r="AN10" s="81">
        <f t="shared" si="6"/>
        <v>6661153.846153846</v>
      </c>
      <c r="AO10" s="81"/>
      <c r="AP10" s="81"/>
      <c r="AQ10" s="81">
        <v>560000</v>
      </c>
      <c r="AR10" s="81"/>
      <c r="AS10" s="81"/>
      <c r="AT10" s="81"/>
      <c r="AU10" s="81">
        <f t="shared" si="18"/>
        <v>12183076.923076924</v>
      </c>
      <c r="AV10" s="81"/>
      <c r="AW10" s="81" t="str">
        <f t="shared" si="19"/>
        <v>x</v>
      </c>
      <c r="AX10" s="263">
        <f t="shared" si="7"/>
        <v>388000</v>
      </c>
      <c r="AY10" s="263">
        <f t="shared" si="7"/>
        <v>72750</v>
      </c>
      <c r="AZ10" s="263">
        <f t="shared" si="7"/>
        <v>48500</v>
      </c>
      <c r="BA10" s="263">
        <f t="shared" ref="BA10" si="29">SUM(AX10:AZ10)</f>
        <v>509250</v>
      </c>
      <c r="BB10" s="263"/>
      <c r="BC10" s="263"/>
      <c r="BD10" s="263">
        <f t="shared" si="20"/>
        <v>48500</v>
      </c>
      <c r="BE10" s="263">
        <f t="shared" si="21"/>
        <v>560000</v>
      </c>
      <c r="BF10" s="263">
        <f t="shared" si="22"/>
        <v>11623076.923076924</v>
      </c>
      <c r="BG10" s="263"/>
      <c r="BH10" s="263">
        <v>6200000</v>
      </c>
      <c r="BI10" s="263">
        <f t="shared" si="23"/>
        <v>15500000</v>
      </c>
      <c r="BJ10" s="263">
        <f t="shared" si="24"/>
        <v>-4386173.0769230761</v>
      </c>
      <c r="BK10" s="264">
        <f t="shared" si="25"/>
        <v>0</v>
      </c>
      <c r="BL10" s="263"/>
      <c r="BM10" s="263"/>
      <c r="BN10" s="263">
        <v>0</v>
      </c>
      <c r="BO10" s="263"/>
      <c r="BP10" s="263"/>
      <c r="BQ10" s="263"/>
      <c r="BR10" s="263"/>
      <c r="BS10" s="277">
        <v>9977846.153846154</v>
      </c>
      <c r="BT10" s="265">
        <f t="shared" si="8"/>
        <v>1647480.7692307699</v>
      </c>
      <c r="BU10" s="266">
        <v>11000000</v>
      </c>
      <c r="BV10" s="264">
        <v>0</v>
      </c>
      <c r="BW10" s="264">
        <v>0</v>
      </c>
      <c r="BX10" s="264">
        <v>200000</v>
      </c>
      <c r="BY10" s="264">
        <f t="shared" si="26"/>
        <v>550000</v>
      </c>
      <c r="BZ10" s="264">
        <f t="shared" si="27"/>
        <v>11750000</v>
      </c>
      <c r="CA10" s="264"/>
      <c r="CB10" s="264"/>
      <c r="CC10" s="267"/>
      <c r="CD10" s="268"/>
      <c r="CE10" s="268"/>
      <c r="CF10" s="269"/>
      <c r="CG10" s="270"/>
    </row>
    <row r="11" spans="1:85" s="271" customFormat="1" ht="14">
      <c r="A11" s="258">
        <v>2406145</v>
      </c>
      <c r="B11" s="259" t="s">
        <v>142</v>
      </c>
      <c r="C11" s="260" t="s">
        <v>136</v>
      </c>
      <c r="D11" s="261" t="s">
        <v>99</v>
      </c>
      <c r="E11" s="261" t="s">
        <v>94</v>
      </c>
      <c r="F11" s="81">
        <v>6340000</v>
      </c>
      <c r="G11" s="81">
        <f t="shared" si="0"/>
        <v>780000</v>
      </c>
      <c r="H11" s="81">
        <f t="shared" si="1"/>
        <v>17030000</v>
      </c>
      <c r="I11" s="79">
        <v>1</v>
      </c>
      <c r="J11" s="262">
        <v>26</v>
      </c>
      <c r="K11" s="262">
        <v>0</v>
      </c>
      <c r="L11" s="262">
        <v>0</v>
      </c>
      <c r="M11" s="262">
        <v>0</v>
      </c>
      <c r="N11" s="262">
        <v>0</v>
      </c>
      <c r="O11" s="262">
        <v>0</v>
      </c>
      <c r="P11" s="262">
        <v>0</v>
      </c>
      <c r="Q11" s="262">
        <v>0</v>
      </c>
      <c r="R11" s="262">
        <v>0</v>
      </c>
      <c r="S11" s="262"/>
      <c r="T11" s="262">
        <v>0</v>
      </c>
      <c r="U11" s="262">
        <v>0</v>
      </c>
      <c r="V11" s="262">
        <v>0</v>
      </c>
      <c r="W11" s="262">
        <v>0</v>
      </c>
      <c r="X11" s="81">
        <f t="shared" si="2"/>
        <v>6340000</v>
      </c>
      <c r="Y11" s="81">
        <f t="shared" si="9"/>
        <v>0</v>
      </c>
      <c r="Z11" s="81">
        <f t="shared" si="10"/>
        <v>0</v>
      </c>
      <c r="AA11" s="81">
        <f t="shared" si="11"/>
        <v>0</v>
      </c>
      <c r="AB11" s="81">
        <f t="shared" si="12"/>
        <v>0</v>
      </c>
      <c r="AC11" s="81">
        <f t="shared" si="13"/>
        <v>0</v>
      </c>
      <c r="AD11" s="81">
        <f t="shared" si="14"/>
        <v>0</v>
      </c>
      <c r="AE11" s="81">
        <f>ROUND((F11+G11)/26*R11*30%,0)</f>
        <v>0</v>
      </c>
      <c r="AF11" s="81">
        <f t="shared" si="15"/>
        <v>0</v>
      </c>
      <c r="AG11" s="81">
        <f t="shared" si="3"/>
        <v>0</v>
      </c>
      <c r="AH11" s="81">
        <f t="shared" si="16"/>
        <v>0</v>
      </c>
      <c r="AI11" s="81"/>
      <c r="AJ11" s="81">
        <f t="shared" si="4"/>
        <v>0</v>
      </c>
      <c r="AK11" s="81"/>
      <c r="AL11" s="81">
        <f t="shared" si="5"/>
        <v>0</v>
      </c>
      <c r="AM11" s="81">
        <f t="shared" si="17"/>
        <v>780000</v>
      </c>
      <c r="AN11" s="81">
        <f t="shared" si="6"/>
        <v>17030000</v>
      </c>
      <c r="AO11" s="81"/>
      <c r="AP11" s="81"/>
      <c r="AQ11" s="81">
        <v>720000</v>
      </c>
      <c r="AR11" s="81"/>
      <c r="AS11" s="81"/>
      <c r="AT11" s="81"/>
      <c r="AU11" s="81">
        <f t="shared" si="18"/>
        <v>24870000</v>
      </c>
      <c r="AV11" s="81"/>
      <c r="AW11" s="81">
        <f t="shared" si="19"/>
        <v>0</v>
      </c>
      <c r="AX11" s="263">
        <f t="shared" si="7"/>
        <v>0</v>
      </c>
      <c r="AY11" s="263">
        <f t="shared" si="7"/>
        <v>0</v>
      </c>
      <c r="AZ11" s="263">
        <f t="shared" si="7"/>
        <v>0</v>
      </c>
      <c r="BA11" s="263">
        <f>SUM(AX11:AZ11)</f>
        <v>0</v>
      </c>
      <c r="BB11" s="263"/>
      <c r="BC11" s="263"/>
      <c r="BD11" s="263">
        <f t="shared" si="20"/>
        <v>63400</v>
      </c>
      <c r="BE11" s="263">
        <f t="shared" si="21"/>
        <v>0</v>
      </c>
      <c r="BF11" s="263">
        <f t="shared" si="22"/>
        <v>24870000</v>
      </c>
      <c r="BG11" s="263"/>
      <c r="BH11" s="263">
        <v>6200000</v>
      </c>
      <c r="BI11" s="263">
        <f t="shared" si="23"/>
        <v>0</v>
      </c>
      <c r="BJ11" s="263">
        <f t="shared" si="24"/>
        <v>24870000</v>
      </c>
      <c r="BK11" s="264">
        <f t="shared" si="25"/>
        <v>2487000</v>
      </c>
      <c r="BL11" s="263"/>
      <c r="BM11" s="263"/>
      <c r="BN11" s="263">
        <v>0</v>
      </c>
      <c r="BO11" s="263"/>
      <c r="BP11" s="263"/>
      <c r="BQ11" s="263"/>
      <c r="BR11" s="263"/>
      <c r="BS11" s="277">
        <v>10195307.692307694</v>
      </c>
      <c r="BT11" s="265">
        <f t="shared" si="8"/>
        <v>12124292.307692306</v>
      </c>
      <c r="BU11" s="266">
        <v>23000000</v>
      </c>
      <c r="BV11" s="264">
        <v>0</v>
      </c>
      <c r="BW11" s="264">
        <v>0</v>
      </c>
      <c r="BX11" s="264">
        <v>200000</v>
      </c>
      <c r="BY11" s="264">
        <f t="shared" si="26"/>
        <v>1150000</v>
      </c>
      <c r="BZ11" s="264">
        <f t="shared" si="27"/>
        <v>24350000</v>
      </c>
      <c r="CA11" s="264" t="s">
        <v>143</v>
      </c>
      <c r="CB11" s="264"/>
      <c r="CC11" s="267"/>
      <c r="CD11" s="268"/>
      <c r="CE11" s="268"/>
      <c r="CF11" s="269"/>
      <c r="CG11" s="270"/>
    </row>
    <row r="12" spans="1:85" s="271" customFormat="1" ht="14">
      <c r="A12" s="272" t="s">
        <v>100</v>
      </c>
      <c r="B12" s="259" t="s">
        <v>144</v>
      </c>
      <c r="C12" s="260" t="s">
        <v>145</v>
      </c>
      <c r="D12" s="261" t="s">
        <v>93</v>
      </c>
      <c r="E12" s="261" t="s">
        <v>94</v>
      </c>
      <c r="F12" s="81">
        <v>6340000</v>
      </c>
      <c r="G12" s="81">
        <f t="shared" si="0"/>
        <v>300000</v>
      </c>
      <c r="H12" s="81">
        <f t="shared" si="1"/>
        <v>11210000</v>
      </c>
      <c r="I12" s="79">
        <v>1</v>
      </c>
      <c r="J12" s="262">
        <v>26</v>
      </c>
      <c r="K12" s="262">
        <v>0</v>
      </c>
      <c r="L12" s="262">
        <v>0</v>
      </c>
      <c r="M12" s="262">
        <v>0</v>
      </c>
      <c r="N12" s="262">
        <v>0</v>
      </c>
      <c r="O12" s="262">
        <v>5</v>
      </c>
      <c r="P12" s="262">
        <v>2</v>
      </c>
      <c r="Q12" s="262">
        <v>0</v>
      </c>
      <c r="R12" s="262">
        <v>0</v>
      </c>
      <c r="S12" s="262"/>
      <c r="T12" s="262">
        <v>0</v>
      </c>
      <c r="U12" s="262">
        <v>0</v>
      </c>
      <c r="V12" s="262">
        <v>0</v>
      </c>
      <c r="W12" s="262">
        <v>0</v>
      </c>
      <c r="X12" s="81">
        <f t="shared" si="2"/>
        <v>6340000</v>
      </c>
      <c r="Y12" s="81">
        <f t="shared" si="9"/>
        <v>0</v>
      </c>
      <c r="Z12" s="81">
        <f t="shared" si="10"/>
        <v>0</v>
      </c>
      <c r="AA12" s="81">
        <f t="shared" si="11"/>
        <v>0</v>
      </c>
      <c r="AB12" s="81">
        <f t="shared" si="12"/>
        <v>1828846.1538461538</v>
      </c>
      <c r="AC12" s="81">
        <f t="shared" si="13"/>
        <v>975384.61538461538</v>
      </c>
      <c r="AD12" s="81">
        <f t="shared" si="14"/>
        <v>0</v>
      </c>
      <c r="AE12" s="81">
        <f>IF(E12="LN",(F12+G12)/26*R12*30%,0)</f>
        <v>0</v>
      </c>
      <c r="AF12" s="81">
        <f t="shared" si="15"/>
        <v>0</v>
      </c>
      <c r="AG12" s="81">
        <f t="shared" si="3"/>
        <v>0</v>
      </c>
      <c r="AH12" s="81">
        <f t="shared" si="16"/>
        <v>0</v>
      </c>
      <c r="AI12" s="81"/>
      <c r="AJ12" s="81">
        <f t="shared" si="4"/>
        <v>0</v>
      </c>
      <c r="AK12" s="81"/>
      <c r="AL12" s="81">
        <f t="shared" si="5"/>
        <v>0</v>
      </c>
      <c r="AM12" s="81">
        <f t="shared" si="17"/>
        <v>300000</v>
      </c>
      <c r="AN12" s="81">
        <f t="shared" si="6"/>
        <v>12982692.307692306</v>
      </c>
      <c r="AO12" s="81"/>
      <c r="AP12" s="81"/>
      <c r="AQ12" s="81">
        <v>560000</v>
      </c>
      <c r="AR12" s="81"/>
      <c r="AS12" s="81"/>
      <c r="AT12" s="81"/>
      <c r="AU12" s="81">
        <f t="shared" si="18"/>
        <v>22986923.076923076</v>
      </c>
      <c r="AV12" s="81"/>
      <c r="AW12" s="81" t="str">
        <f t="shared" si="19"/>
        <v>x</v>
      </c>
      <c r="AX12" s="263">
        <f t="shared" si="7"/>
        <v>531200</v>
      </c>
      <c r="AY12" s="263">
        <f t="shared" si="7"/>
        <v>99600</v>
      </c>
      <c r="AZ12" s="263">
        <f t="shared" si="7"/>
        <v>66400</v>
      </c>
      <c r="BA12" s="263">
        <f t="shared" ref="BA12" si="30">SUM(AX12:AZ12)</f>
        <v>697200</v>
      </c>
      <c r="BB12" s="263"/>
      <c r="BC12" s="263"/>
      <c r="BD12" s="263">
        <f t="shared" si="20"/>
        <v>63400</v>
      </c>
      <c r="BE12" s="263">
        <f t="shared" si="21"/>
        <v>560000</v>
      </c>
      <c r="BF12" s="263">
        <f t="shared" si="22"/>
        <v>22426923.076923076</v>
      </c>
      <c r="BG12" s="263"/>
      <c r="BH12" s="263">
        <v>6200000</v>
      </c>
      <c r="BI12" s="263">
        <f t="shared" si="23"/>
        <v>15500000</v>
      </c>
      <c r="BJ12" s="263">
        <f t="shared" si="24"/>
        <v>6229723.0769230761</v>
      </c>
      <c r="BK12" s="264">
        <f t="shared" si="25"/>
        <v>372972</v>
      </c>
      <c r="BL12" s="263"/>
      <c r="BM12" s="263"/>
      <c r="BN12" s="263">
        <v>0</v>
      </c>
      <c r="BO12" s="263"/>
      <c r="BP12" s="263"/>
      <c r="BQ12" s="263"/>
      <c r="BR12" s="263"/>
      <c r="BS12" s="277">
        <v>9977846.153846154</v>
      </c>
      <c r="BT12" s="265">
        <f t="shared" si="8"/>
        <v>11875504.923076922</v>
      </c>
      <c r="BU12" s="266">
        <v>17000000</v>
      </c>
      <c r="BV12" s="264">
        <v>0</v>
      </c>
      <c r="BW12" s="264">
        <v>0</v>
      </c>
      <c r="BX12" s="264">
        <v>200000</v>
      </c>
      <c r="BY12" s="264">
        <f t="shared" si="26"/>
        <v>850000</v>
      </c>
      <c r="BZ12" s="264">
        <f t="shared" si="27"/>
        <v>18050000</v>
      </c>
      <c r="CA12" s="264" t="s">
        <v>101</v>
      </c>
      <c r="CB12" s="264"/>
      <c r="CC12" s="267"/>
      <c r="CD12" s="268"/>
      <c r="CE12" s="268"/>
      <c r="CF12" s="269"/>
      <c r="CG12" s="270"/>
    </row>
    <row r="13" spans="1:85" s="271" customFormat="1" ht="19">
      <c r="A13" s="27"/>
      <c r="B13" s="26"/>
      <c r="C13" s="26"/>
      <c r="D13" s="26"/>
      <c r="E13" s="26"/>
      <c r="F13" s="26"/>
      <c r="G13" s="26"/>
      <c r="H13" s="28"/>
      <c r="I13" s="28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1"/>
      <c r="W13" s="31"/>
      <c r="X13" s="32"/>
      <c r="Y13" s="32"/>
      <c r="Z13" s="32"/>
      <c r="AA13" s="32"/>
      <c r="AB13" s="33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34"/>
      <c r="BL13" s="26"/>
      <c r="BM13" s="26"/>
      <c r="BN13" s="26"/>
      <c r="BO13" s="34"/>
      <c r="BP13" s="34"/>
      <c r="BQ13" s="34"/>
      <c r="BR13" s="34"/>
      <c r="BS13" s="34"/>
      <c r="BT13" s="34"/>
      <c r="BU13" s="36"/>
      <c r="BV13" s="36"/>
      <c r="BW13" s="36"/>
      <c r="BX13" s="36"/>
      <c r="BY13" s="36"/>
      <c r="BZ13" s="246"/>
      <c r="CA13" s="247"/>
      <c r="CB13" s="247"/>
      <c r="CC13" s="267"/>
      <c r="CD13" s="268"/>
      <c r="CE13" s="268"/>
      <c r="CF13" s="269"/>
      <c r="CG13" s="270"/>
    </row>
    <row r="14" spans="1:85" s="271" customFormat="1" ht="21">
      <c r="A14" s="38"/>
      <c r="B14" s="39"/>
      <c r="C14" s="39"/>
      <c r="D14" s="39"/>
      <c r="E14" s="39"/>
      <c r="F14" s="39"/>
      <c r="G14" s="39"/>
      <c r="H14" s="39"/>
      <c r="I14" s="40"/>
      <c r="J14" s="41"/>
      <c r="K14" s="41"/>
      <c r="L14" s="41"/>
      <c r="M14" s="41"/>
      <c r="N14" s="41"/>
      <c r="O14" s="41"/>
      <c r="P14" s="41"/>
      <c r="Q14" s="37"/>
      <c r="R14" s="37"/>
      <c r="S14" s="37"/>
      <c r="T14" s="43"/>
      <c r="U14" s="41"/>
      <c r="V14" s="39"/>
      <c r="W14" s="39"/>
      <c r="X14" s="39"/>
      <c r="Y14" s="39"/>
      <c r="Z14" s="39"/>
      <c r="AA14" s="39"/>
      <c r="AB14" s="39"/>
      <c r="AC14" s="44"/>
      <c r="AD14" s="44"/>
      <c r="AE14" s="44"/>
      <c r="AF14" s="37"/>
      <c r="AG14" s="44"/>
      <c r="AH14" s="44"/>
      <c r="AI14" s="44"/>
      <c r="AJ14" s="39"/>
      <c r="AK14" s="44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7"/>
      <c r="AY14" s="37"/>
      <c r="AZ14" s="37"/>
      <c r="BA14" s="37"/>
      <c r="BB14" s="45"/>
      <c r="BC14" s="45"/>
      <c r="BD14" s="37"/>
      <c r="BE14" s="37"/>
      <c r="BF14" s="37"/>
      <c r="BG14" s="37"/>
      <c r="BH14" s="37"/>
      <c r="BI14" s="37"/>
      <c r="BJ14" s="37"/>
      <c r="BK14" s="39"/>
      <c r="BL14" s="37"/>
      <c r="BM14" s="39"/>
      <c r="BN14" s="39"/>
      <c r="BO14" s="39" t="s">
        <v>146</v>
      </c>
      <c r="BP14" s="39"/>
      <c r="BQ14" s="39"/>
      <c r="BR14" s="39"/>
      <c r="BS14" s="39"/>
      <c r="BT14" s="39"/>
      <c r="BU14" s="47"/>
      <c r="BV14" s="47"/>
      <c r="BW14" s="47"/>
      <c r="BX14" s="47"/>
      <c r="BY14" s="47"/>
      <c r="BZ14" s="37"/>
      <c r="CA14" s="37"/>
      <c r="CB14" s="45"/>
      <c r="CC14" s="267"/>
      <c r="CD14" s="268"/>
      <c r="CE14" s="268"/>
      <c r="CF14" s="269"/>
      <c r="CG14" s="270"/>
    </row>
    <row r="15" spans="1:85" s="271" customFormat="1" ht="21">
      <c r="A15" s="48"/>
      <c r="B15" s="37"/>
      <c r="C15" s="37"/>
      <c r="D15" s="37"/>
      <c r="E15" s="37"/>
      <c r="F15" s="37"/>
      <c r="G15" s="37"/>
      <c r="H15" s="40"/>
      <c r="I15" s="40"/>
      <c r="J15" s="43"/>
      <c r="K15" s="43"/>
      <c r="L15" s="43"/>
      <c r="M15" s="43"/>
      <c r="N15" s="43"/>
      <c r="O15" s="43"/>
      <c r="P15" s="43"/>
      <c r="Q15" s="42"/>
      <c r="R15" s="37"/>
      <c r="S15" s="37"/>
      <c r="T15" s="43"/>
      <c r="U15" s="43"/>
      <c r="V15" s="49"/>
      <c r="W15" s="49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7"/>
      <c r="AN15" s="44"/>
      <c r="AO15" s="44"/>
      <c r="AP15" s="44"/>
      <c r="AQ15" s="44"/>
      <c r="AR15" s="44"/>
      <c r="AS15" s="44"/>
      <c r="AT15" s="44"/>
      <c r="AU15" s="39"/>
      <c r="AV15" s="39"/>
      <c r="AW15" s="39"/>
      <c r="AX15" s="47"/>
      <c r="AY15" s="47"/>
      <c r="AZ15" s="47"/>
      <c r="BA15" s="4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9"/>
      <c r="BN15" s="45"/>
      <c r="BO15" s="37"/>
      <c r="BP15" s="37"/>
      <c r="BQ15" s="37"/>
      <c r="BR15" s="37"/>
      <c r="BS15" s="37"/>
      <c r="BT15" s="37"/>
      <c r="BU15" s="47"/>
      <c r="BV15" s="47"/>
      <c r="BW15" s="47"/>
      <c r="BX15" s="47"/>
      <c r="BY15" s="47"/>
      <c r="BZ15" s="37"/>
      <c r="CA15" s="37"/>
      <c r="CB15" s="37"/>
      <c r="CC15" s="267"/>
      <c r="CD15" s="268"/>
      <c r="CE15" s="268"/>
      <c r="CF15" s="269"/>
      <c r="CG15" s="270"/>
    </row>
    <row r="16" spans="1:85" s="271" customFormat="1" ht="17">
      <c r="A16" s="273"/>
      <c r="B16" s="274" t="s">
        <v>126</v>
      </c>
      <c r="C16" s="275"/>
      <c r="D16" s="275"/>
      <c r="E16" s="276"/>
      <c r="F16" s="277"/>
      <c r="G16" s="277"/>
      <c r="H16" s="278"/>
      <c r="I16" s="278"/>
      <c r="J16" s="279"/>
      <c r="K16" s="279"/>
      <c r="L16" s="279"/>
      <c r="M16" s="279"/>
      <c r="N16" s="279"/>
      <c r="O16" s="279"/>
      <c r="P16" s="279"/>
      <c r="Q16" s="279"/>
      <c r="R16" s="279"/>
      <c r="S16" s="279"/>
      <c r="T16" s="279"/>
      <c r="U16" s="279"/>
      <c r="V16" s="279"/>
      <c r="W16" s="279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  <c r="AQ16" s="277"/>
      <c r="AR16" s="277"/>
      <c r="AS16" s="277"/>
      <c r="AT16" s="277"/>
      <c r="AU16" s="277"/>
      <c r="AV16" s="277"/>
      <c r="AW16" s="277"/>
      <c r="AX16" s="277"/>
      <c r="AY16" s="277"/>
      <c r="AZ16" s="277"/>
      <c r="BA16" s="277"/>
      <c r="BB16" s="277"/>
      <c r="BC16" s="277"/>
      <c r="BD16" s="277"/>
      <c r="BE16" s="277"/>
      <c r="BF16" s="277"/>
      <c r="BG16" s="277"/>
      <c r="BH16" s="277"/>
      <c r="BI16" s="277"/>
      <c r="BJ16" s="277"/>
      <c r="BK16" s="277"/>
      <c r="BL16" s="277"/>
      <c r="BM16" s="277"/>
      <c r="BN16" s="277"/>
      <c r="BO16" s="277"/>
      <c r="BP16" s="277"/>
      <c r="BQ16" s="277"/>
      <c r="BR16" s="277"/>
      <c r="BS16" s="277"/>
      <c r="BT16" s="277"/>
      <c r="BU16" s="277"/>
      <c r="BV16" s="277"/>
      <c r="BW16" s="277"/>
      <c r="BX16" s="277"/>
      <c r="BY16" s="277"/>
      <c r="BZ16" s="280"/>
      <c r="CA16" s="280"/>
      <c r="CB16" s="280"/>
      <c r="CC16" s="267"/>
      <c r="CD16" s="268"/>
      <c r="CE16" s="268"/>
      <c r="CF16" s="269"/>
      <c r="CG16" s="270"/>
    </row>
    <row r="17" spans="1:82" s="26" customFormat="1" ht="18">
      <c r="A17" s="273"/>
      <c r="B17" s="282"/>
      <c r="C17" s="275"/>
      <c r="D17" s="275"/>
      <c r="E17" s="276"/>
      <c r="F17" s="277"/>
      <c r="G17" s="277"/>
      <c r="H17" s="278"/>
      <c r="I17" s="278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7"/>
      <c r="BJ17" s="277"/>
      <c r="BK17" s="277"/>
      <c r="BL17" s="277"/>
      <c r="BM17" s="277"/>
      <c r="BN17" s="277"/>
      <c r="BO17" s="277"/>
      <c r="BP17" s="277"/>
      <c r="BQ17" s="277"/>
      <c r="BR17" s="277"/>
      <c r="BS17" s="277"/>
      <c r="BT17" s="277"/>
      <c r="BU17" s="277"/>
      <c r="BV17" s="277"/>
      <c r="BW17" s="277"/>
      <c r="BX17" s="277"/>
      <c r="BY17" s="277"/>
      <c r="BZ17" s="280"/>
      <c r="CA17" s="280"/>
      <c r="CB17" s="280"/>
      <c r="CD17" s="35"/>
    </row>
    <row r="18" spans="1:82" s="37" customFormat="1" ht="20">
      <c r="A18" s="273"/>
      <c r="B18" s="282"/>
      <c r="C18" s="275"/>
      <c r="D18" s="275"/>
      <c r="E18" s="276"/>
      <c r="F18" s="277"/>
      <c r="G18" s="277"/>
      <c r="H18" s="278"/>
      <c r="I18" s="278"/>
      <c r="J18" s="279"/>
      <c r="K18" s="279"/>
      <c r="L18" s="279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  <c r="AQ18" s="277"/>
      <c r="AR18" s="277"/>
      <c r="AS18" s="277"/>
      <c r="AT18" s="277"/>
      <c r="AU18" s="277"/>
      <c r="AV18" s="277"/>
      <c r="AW18" s="277"/>
      <c r="AX18" s="277"/>
      <c r="AY18" s="277"/>
      <c r="AZ18" s="277"/>
      <c r="BA18" s="277"/>
      <c r="BB18" s="277"/>
      <c r="BC18" s="277"/>
      <c r="BD18" s="277"/>
      <c r="BE18" s="277"/>
      <c r="BF18" s="277"/>
      <c r="BG18" s="277"/>
      <c r="BH18" s="277"/>
      <c r="BI18" s="277"/>
      <c r="BJ18" s="277"/>
      <c r="BK18" s="277"/>
      <c r="BL18" s="277"/>
      <c r="BM18" s="277"/>
      <c r="BN18" s="277"/>
      <c r="BO18" s="277"/>
      <c r="BP18" s="277"/>
      <c r="BQ18" s="277"/>
      <c r="BR18" s="277"/>
      <c r="BS18" s="277"/>
      <c r="BT18" s="277"/>
      <c r="BU18" s="277"/>
      <c r="BV18" s="277"/>
      <c r="BW18" s="277"/>
      <c r="BX18" s="277"/>
      <c r="BY18" s="277"/>
      <c r="BZ18" s="280"/>
      <c r="CA18" s="280"/>
      <c r="CB18" s="280"/>
    </row>
    <row r="19" spans="1:82" s="37" customFormat="1" ht="20">
      <c r="A19" s="273"/>
      <c r="B19" s="282"/>
      <c r="C19" s="275"/>
      <c r="D19" s="275"/>
      <c r="E19" s="276"/>
      <c r="F19" s="277"/>
      <c r="G19" s="277"/>
      <c r="H19" s="278"/>
      <c r="I19" s="278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7"/>
      <c r="AX19" s="277"/>
      <c r="AY19" s="277"/>
      <c r="AZ19" s="277"/>
      <c r="BA19" s="277"/>
      <c r="BB19" s="277"/>
      <c r="BC19" s="277"/>
      <c r="BD19" s="277"/>
      <c r="BE19" s="277"/>
      <c r="BF19" s="277"/>
      <c r="BG19" s="277"/>
      <c r="BH19" s="277"/>
      <c r="BI19" s="277"/>
      <c r="BJ19" s="277"/>
      <c r="BK19" s="277"/>
      <c r="BL19" s="277"/>
      <c r="BM19" s="277"/>
      <c r="BN19" s="277"/>
      <c r="BO19" s="277"/>
      <c r="BP19" s="277"/>
      <c r="BQ19" s="277"/>
      <c r="BR19" s="277"/>
      <c r="BS19" s="277"/>
      <c r="BT19" s="277"/>
      <c r="BU19" s="277"/>
      <c r="BV19" s="277"/>
      <c r="BW19" s="277"/>
      <c r="BX19" s="277"/>
      <c r="BY19" s="277"/>
      <c r="BZ19" s="280"/>
      <c r="CA19" s="280"/>
      <c r="CB19" s="280"/>
      <c r="CD19" s="46"/>
    </row>
  </sheetData>
  <mergeCells count="79">
    <mergeCell ref="E2:E5"/>
    <mergeCell ref="F2:F5"/>
    <mergeCell ref="G2:G5"/>
    <mergeCell ref="A2:A5"/>
    <mergeCell ref="B2:B5"/>
    <mergeCell ref="C2:C5"/>
    <mergeCell ref="D2:D5"/>
    <mergeCell ref="H2:H5"/>
    <mergeCell ref="I2:I5"/>
    <mergeCell ref="J2:W2"/>
    <mergeCell ref="X2:AN2"/>
    <mergeCell ref="AO2:AO5"/>
    <mergeCell ref="P3:P5"/>
    <mergeCell ref="Q3:Q5"/>
    <mergeCell ref="R3:R5"/>
    <mergeCell ref="S3:S5"/>
    <mergeCell ref="O3:O5"/>
    <mergeCell ref="AW2:AW5"/>
    <mergeCell ref="AX2:BP2"/>
    <mergeCell ref="BQ2:BR2"/>
    <mergeCell ref="BE4:BE5"/>
    <mergeCell ref="BF4:BF5"/>
    <mergeCell ref="BG4:BG5"/>
    <mergeCell ref="BH4:BH5"/>
    <mergeCell ref="AQ2:AQ5"/>
    <mergeCell ref="AR2:AR5"/>
    <mergeCell ref="AS2:AS5"/>
    <mergeCell ref="AT2:AT5"/>
    <mergeCell ref="AU2:AU5"/>
    <mergeCell ref="AV2:AV5"/>
    <mergeCell ref="AP2:AP5"/>
    <mergeCell ref="J3:J5"/>
    <mergeCell ref="K3:K5"/>
    <mergeCell ref="L3:L5"/>
    <mergeCell ref="M3:M5"/>
    <mergeCell ref="N3:N5"/>
    <mergeCell ref="Z3:Z5"/>
    <mergeCell ref="BV2:BY4"/>
    <mergeCell ref="BZ2:BZ5"/>
    <mergeCell ref="CA2:CA5"/>
    <mergeCell ref="CB2:CB5"/>
    <mergeCell ref="T3:T5"/>
    <mergeCell ref="U3:V4"/>
    <mergeCell ref="W3:W5"/>
    <mergeCell ref="X3:X5"/>
    <mergeCell ref="Y3:Y5"/>
    <mergeCell ref="AL3:AL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BN4:BN5"/>
    <mergeCell ref="AM3:AM5"/>
    <mergeCell ref="AN3:AN5"/>
    <mergeCell ref="AX3:BK3"/>
    <mergeCell ref="BL3:BP3"/>
    <mergeCell ref="BA4:BA5"/>
    <mergeCell ref="BB4:BB5"/>
    <mergeCell ref="BC4:BC5"/>
    <mergeCell ref="BD4:BD5"/>
    <mergeCell ref="BI4:BI5"/>
    <mergeCell ref="BJ4:BJ5"/>
    <mergeCell ref="BK4:BK5"/>
    <mergeCell ref="BL4:BL5"/>
    <mergeCell ref="BM4:BM5"/>
    <mergeCell ref="BO4:BO5"/>
    <mergeCell ref="BP4:BP5"/>
    <mergeCell ref="BU2:BU5"/>
    <mergeCell ref="BT2:BT5"/>
    <mergeCell ref="BS2:BS5"/>
    <mergeCell ref="BR3:BR5"/>
    <mergeCell ref="BQ3:BQ5"/>
  </mergeCells>
  <conditionalFormatting sqref="A2:A5">
    <cfRule type="duplicateValues" dxfId="33" priority="1"/>
    <cfRule type="duplicateValues" dxfId="32" priority="2"/>
    <cfRule type="duplicateValues" dxfId="31" priority="3"/>
  </conditionalFormatting>
  <conditionalFormatting sqref="A6:A1048576 A1">
    <cfRule type="duplicateValues" dxfId="30" priority="5"/>
    <cfRule type="duplicateValues" dxfId="29" priority="6"/>
    <cfRule type="duplicateValues" dxfId="28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31"/>
  <sheetViews>
    <sheetView topLeftCell="C1" zoomScale="85" zoomScaleNormal="85" zoomScaleSheetLayoutView="70" workbookViewId="0">
      <selection activeCell="K6" sqref="K6:K8"/>
    </sheetView>
  </sheetViews>
  <sheetFormatPr baseColWidth="10" defaultColWidth="20.6640625" defaultRowHeight="15" outlineLevelRow="1" outlineLevelCol="1"/>
  <cols>
    <col min="1" max="1" width="20.6640625" style="148"/>
    <col min="2" max="2" width="20.6640625" style="149"/>
    <col min="3" max="3" width="20.6640625" style="150"/>
    <col min="4" max="5" width="20.6640625" style="151" outlineLevel="1"/>
    <col min="6" max="6" width="20.6640625" style="152" outlineLevel="1"/>
    <col min="7" max="8" width="20.6640625" style="153"/>
    <col min="9" max="9" width="20.6640625" style="154"/>
    <col min="10" max="10" width="20.6640625" style="154" outlineLevel="1"/>
    <col min="11" max="24" width="20.6640625" style="155"/>
    <col min="25" max="50" width="20.6640625" style="156"/>
    <col min="51" max="53" width="20.6640625" style="156" outlineLevel="1"/>
    <col min="54" max="73" width="20.6640625" style="156"/>
    <col min="75" max="79" width="20.6640625" style="153" outlineLevel="1"/>
    <col min="80" max="82" width="20.6640625" style="157" outlineLevel="1"/>
    <col min="83" max="16384" width="20.6640625" style="158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ht="12" customHeight="1" outlineLevel="1">
      <c r="A3" s="359" t="str">
        <f ca="1">"BẢNG THANH TOÁN TIỀN LƯƠNG THÁNG …."&amp;" NĂM "&amp;YEAR(NOW())</f>
        <v>BẢNG THANH TOÁN TIỀN LƯƠNG THÁNG …. NĂM 2026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/>
      <c r="BW3" s="360" t="s">
        <v>131</v>
      </c>
      <c r="BX3" s="360"/>
      <c r="BY3" s="360"/>
      <c r="BZ3" s="360"/>
      <c r="CA3" s="360"/>
      <c r="CB3" s="359"/>
      <c r="CC3" s="110"/>
      <c r="CD3" s="110"/>
      <c r="CE3" s="236" t="s">
        <v>132</v>
      </c>
      <c r="CF3" s="236">
        <v>26</v>
      </c>
    </row>
    <row r="4" spans="1:87" s="236" customFormat="1" ht="12" customHeigh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59"/>
      <c r="BX4" s="359"/>
      <c r="BY4" s="359"/>
      <c r="BZ4" s="359"/>
      <c r="CA4" s="359"/>
      <c r="CB4" s="359"/>
      <c r="CC4" s="110"/>
      <c r="CD4" s="110"/>
    </row>
    <row r="5" spans="1:87" s="2" customFormat="1" ht="19.25" customHeight="1">
      <c r="A5" s="361" t="s">
        <v>0</v>
      </c>
      <c r="B5" s="362" t="s">
        <v>1</v>
      </c>
      <c r="C5" s="331" t="s">
        <v>2</v>
      </c>
      <c r="D5" s="363" t="s">
        <v>3</v>
      </c>
      <c r="E5" s="363" t="s">
        <v>4</v>
      </c>
      <c r="F5" s="331" t="s">
        <v>5</v>
      </c>
      <c r="G5" s="358" t="s">
        <v>6</v>
      </c>
      <c r="H5" s="364" t="s">
        <v>7</v>
      </c>
      <c r="I5" s="364" t="s">
        <v>8</v>
      </c>
      <c r="J5" s="358" t="s">
        <v>9</v>
      </c>
      <c r="K5" s="365" t="s">
        <v>10</v>
      </c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8" t="s">
        <v>11</v>
      </c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K5" s="352"/>
      <c r="AL5" s="352"/>
      <c r="AM5" s="352"/>
      <c r="AN5" s="352"/>
      <c r="AO5" s="353"/>
      <c r="AP5" s="358" t="s">
        <v>12</v>
      </c>
      <c r="AQ5" s="358" t="s">
        <v>13</v>
      </c>
      <c r="AR5" s="358" t="s">
        <v>14</v>
      </c>
      <c r="AS5" s="358" t="s">
        <v>15</v>
      </c>
      <c r="AT5" s="358" t="s">
        <v>16</v>
      </c>
      <c r="AU5" s="358" t="s">
        <v>17</v>
      </c>
      <c r="AV5" s="331" t="s">
        <v>18</v>
      </c>
      <c r="AW5" s="331" t="s">
        <v>19</v>
      </c>
      <c r="AX5" s="331" t="s">
        <v>20</v>
      </c>
      <c r="AY5" s="324" t="s">
        <v>21</v>
      </c>
      <c r="AZ5" s="352"/>
      <c r="BA5" s="352"/>
      <c r="BB5" s="352"/>
      <c r="BC5" s="352"/>
      <c r="BD5" s="352"/>
      <c r="BE5" s="352"/>
      <c r="BF5" s="352"/>
      <c r="BG5" s="352"/>
      <c r="BH5" s="352"/>
      <c r="BI5" s="352"/>
      <c r="BJ5" s="352"/>
      <c r="BK5" s="352"/>
      <c r="BL5" s="352"/>
      <c r="BM5" s="352"/>
      <c r="BN5" s="352"/>
      <c r="BO5" s="352"/>
      <c r="BP5" s="352"/>
      <c r="BQ5" s="353"/>
      <c r="BR5" s="354" t="s">
        <v>22</v>
      </c>
      <c r="BS5" s="340"/>
      <c r="BT5" s="324" t="s">
        <v>23</v>
      </c>
      <c r="BU5" s="342" t="s">
        <v>24</v>
      </c>
      <c r="BV5" s="226"/>
      <c r="BW5" s="343" t="s">
        <v>25</v>
      </c>
      <c r="BX5" s="346" t="s">
        <v>26</v>
      </c>
      <c r="BY5" s="347"/>
      <c r="BZ5" s="347"/>
      <c r="CA5" s="340"/>
      <c r="CB5" s="351" t="s">
        <v>27</v>
      </c>
      <c r="CC5" s="336" t="s">
        <v>28</v>
      </c>
      <c r="CD5" s="336" t="s">
        <v>29</v>
      </c>
      <c r="CH5" s="16"/>
      <c r="CI5" s="17"/>
    </row>
    <row r="6" spans="1:87" s="2" customFormat="1" ht="19.25" customHeight="1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8" t="s">
        <v>30</v>
      </c>
      <c r="L6" s="338" t="s">
        <v>31</v>
      </c>
      <c r="M6" s="338" t="s">
        <v>32</v>
      </c>
      <c r="N6" s="338" t="s">
        <v>33</v>
      </c>
      <c r="O6" s="338" t="s">
        <v>34</v>
      </c>
      <c r="P6" s="338" t="s">
        <v>35</v>
      </c>
      <c r="Q6" s="338" t="s">
        <v>36</v>
      </c>
      <c r="R6" s="338" t="s">
        <v>37</v>
      </c>
      <c r="S6" s="338" t="s">
        <v>38</v>
      </c>
      <c r="T6" s="338" t="s">
        <v>39</v>
      </c>
      <c r="U6" s="338" t="s">
        <v>40</v>
      </c>
      <c r="V6" s="339" t="s">
        <v>41</v>
      </c>
      <c r="W6" s="340"/>
      <c r="X6" s="338" t="s">
        <v>42</v>
      </c>
      <c r="Y6" s="333" t="s">
        <v>43</v>
      </c>
      <c r="Z6" s="333" t="s">
        <v>44</v>
      </c>
      <c r="AA6" s="333" t="s">
        <v>45</v>
      </c>
      <c r="AB6" s="333" t="s">
        <v>46</v>
      </c>
      <c r="AC6" s="335" t="s">
        <v>47</v>
      </c>
      <c r="AD6" s="335" t="s">
        <v>48</v>
      </c>
      <c r="AE6" s="335" t="s">
        <v>49</v>
      </c>
      <c r="AF6" s="335" t="s">
        <v>50</v>
      </c>
      <c r="AG6" s="333" t="s">
        <v>51</v>
      </c>
      <c r="AH6" s="335" t="s">
        <v>52</v>
      </c>
      <c r="AI6" s="335" t="s">
        <v>53</v>
      </c>
      <c r="AJ6" s="333" t="s">
        <v>54</v>
      </c>
      <c r="AK6" s="328" t="s">
        <v>55</v>
      </c>
      <c r="AL6" s="331" t="s">
        <v>56</v>
      </c>
      <c r="AM6" s="333" t="s">
        <v>57</v>
      </c>
      <c r="AN6" s="334" t="s">
        <v>58</v>
      </c>
      <c r="AO6" s="331" t="s">
        <v>59</v>
      </c>
      <c r="AP6" s="332"/>
      <c r="AQ6" s="332"/>
      <c r="AR6" s="332"/>
      <c r="AS6" s="332"/>
      <c r="AT6" s="332"/>
      <c r="AU6" s="332"/>
      <c r="AV6" s="332"/>
      <c r="AW6" s="332"/>
      <c r="AX6" s="332"/>
      <c r="AY6" s="324" t="s">
        <v>21</v>
      </c>
      <c r="AZ6" s="352"/>
      <c r="BA6" s="352"/>
      <c r="BB6" s="352"/>
      <c r="BC6" s="352"/>
      <c r="BD6" s="352"/>
      <c r="BE6" s="352"/>
      <c r="BF6" s="352"/>
      <c r="BG6" s="352"/>
      <c r="BH6" s="352"/>
      <c r="BI6" s="352"/>
      <c r="BJ6" s="352"/>
      <c r="BK6" s="352"/>
      <c r="BL6" s="353"/>
      <c r="BM6" s="324" t="s">
        <v>60</v>
      </c>
      <c r="BN6" s="352"/>
      <c r="BO6" s="352"/>
      <c r="BP6" s="352"/>
      <c r="BQ6" s="353"/>
      <c r="BR6" s="355" t="s">
        <v>61</v>
      </c>
      <c r="BS6" s="355" t="s">
        <v>62</v>
      </c>
      <c r="BT6" s="332"/>
      <c r="BU6" s="329"/>
      <c r="BV6"/>
      <c r="BW6" s="344"/>
      <c r="BX6" s="329"/>
      <c r="BY6" s="348"/>
      <c r="BZ6" s="348"/>
      <c r="CA6" s="344"/>
      <c r="CB6" s="332"/>
      <c r="CC6" s="332"/>
      <c r="CD6" s="332"/>
      <c r="CH6" s="16"/>
      <c r="CI6" s="17"/>
    </row>
    <row r="7" spans="1:87" s="18" customFormat="1" ht="19.25" customHeight="1">
      <c r="A7" s="332"/>
      <c r="B7" s="332"/>
      <c r="C7" s="332"/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0"/>
      <c r="W7" s="341"/>
      <c r="X7" s="332"/>
      <c r="Y7" s="332"/>
      <c r="Z7" s="332"/>
      <c r="AA7" s="332"/>
      <c r="AB7" s="332"/>
      <c r="AC7" s="332"/>
      <c r="AD7" s="332"/>
      <c r="AE7" s="332"/>
      <c r="AF7" s="332"/>
      <c r="AG7" s="332"/>
      <c r="AH7" s="332"/>
      <c r="AI7" s="332"/>
      <c r="AJ7" s="332"/>
      <c r="AK7" s="329"/>
      <c r="AL7" s="332"/>
      <c r="AM7" s="332"/>
      <c r="AN7" s="332"/>
      <c r="AO7" s="332"/>
      <c r="AP7" s="332"/>
      <c r="AQ7" s="332"/>
      <c r="AR7" s="332"/>
      <c r="AS7" s="332"/>
      <c r="AT7" s="332"/>
      <c r="AU7" s="332"/>
      <c r="AV7" s="332"/>
      <c r="AW7" s="332"/>
      <c r="AX7" s="332"/>
      <c r="AY7" s="88" t="s">
        <v>63</v>
      </c>
      <c r="AZ7" s="88" t="s">
        <v>64</v>
      </c>
      <c r="BA7" s="88" t="s">
        <v>65</v>
      </c>
      <c r="BB7" s="356" t="s">
        <v>66</v>
      </c>
      <c r="BC7" s="326" t="s">
        <v>67</v>
      </c>
      <c r="BD7" s="326" t="s">
        <v>68</v>
      </c>
      <c r="BE7" s="357" t="s">
        <v>69</v>
      </c>
      <c r="BF7" s="326" t="s">
        <v>70</v>
      </c>
      <c r="BG7" s="326" t="s">
        <v>71</v>
      </c>
      <c r="BH7" s="326" t="s">
        <v>72</v>
      </c>
      <c r="BI7" s="326" t="s">
        <v>73</v>
      </c>
      <c r="BJ7" s="326" t="s">
        <v>74</v>
      </c>
      <c r="BK7" s="326" t="s">
        <v>75</v>
      </c>
      <c r="BL7" s="327" t="s">
        <v>76</v>
      </c>
      <c r="BM7" s="326" t="s">
        <v>77</v>
      </c>
      <c r="BN7" s="324" t="s">
        <v>78</v>
      </c>
      <c r="BO7" s="326" t="s">
        <v>79</v>
      </c>
      <c r="BP7" s="324" t="s">
        <v>80</v>
      </c>
      <c r="BQ7" s="324" t="s">
        <v>81</v>
      </c>
      <c r="BR7" s="332"/>
      <c r="BS7" s="332"/>
      <c r="BT7" s="332"/>
      <c r="BU7" s="329"/>
      <c r="BV7"/>
      <c r="BW7" s="344"/>
      <c r="BX7" s="349"/>
      <c r="BY7" s="350"/>
      <c r="BZ7" s="350"/>
      <c r="CA7" s="345"/>
      <c r="CB7" s="332"/>
      <c r="CC7" s="332"/>
      <c r="CD7" s="332"/>
      <c r="CH7" s="16"/>
      <c r="CI7" s="17"/>
    </row>
    <row r="8" spans="1:87" s="18" customFormat="1" ht="38.25" customHeight="1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19" t="s">
        <v>82</v>
      </c>
      <c r="W8" s="19" t="s">
        <v>83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30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227" t="s">
        <v>84</v>
      </c>
      <c r="AZ8" s="227" t="s">
        <v>85</v>
      </c>
      <c r="BA8" s="227" t="s">
        <v>86</v>
      </c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30"/>
      <c r="BV8"/>
      <c r="BW8" s="345"/>
      <c r="BX8" s="61" t="s">
        <v>87</v>
      </c>
      <c r="BY8" s="61" t="s">
        <v>88</v>
      </c>
      <c r="BZ8" s="61" t="s">
        <v>89</v>
      </c>
      <c r="CA8" s="62" t="s">
        <v>90</v>
      </c>
      <c r="CB8" s="337"/>
      <c r="CC8" s="337"/>
      <c r="CD8" s="337"/>
      <c r="CE8" s="2"/>
      <c r="CF8" s="20"/>
      <c r="CH8" s="16"/>
      <c r="CI8" s="17"/>
    </row>
    <row r="9" spans="1:87" s="117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/>
      <c r="BK9" s="22"/>
      <c r="BL9" s="22">
        <f>BE9+1</f>
        <v>55</v>
      </c>
      <c r="BM9" s="22">
        <f t="shared" si="0"/>
        <v>56</v>
      </c>
      <c r="BN9" s="22">
        <f t="shared" si="0"/>
        <v>57</v>
      </c>
      <c r="BO9" s="22">
        <f t="shared" ref="BO9:BU9" si="1">BN9+1</f>
        <v>58</v>
      </c>
      <c r="BP9" s="22">
        <f t="shared" si="1"/>
        <v>59</v>
      </c>
      <c r="BQ9" s="22">
        <f t="shared" si="1"/>
        <v>60</v>
      </c>
      <c r="BR9" s="22">
        <f t="shared" si="1"/>
        <v>61</v>
      </c>
      <c r="BS9" s="22">
        <f t="shared" si="1"/>
        <v>62</v>
      </c>
      <c r="BT9" s="22">
        <f t="shared" si="1"/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4"/>
      <c r="CH9" s="112"/>
      <c r="CI9" s="113"/>
    </row>
    <row r="10" spans="1:87" s="118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9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81</v>
      </c>
      <c r="L11" s="123"/>
      <c r="M11" s="123"/>
      <c r="N11" s="123"/>
      <c r="O11" s="123"/>
      <c r="P11" s="123"/>
      <c r="Q11" s="123"/>
      <c r="R11" s="123">
        <f>SUM(R12:R14)</f>
        <v>0</v>
      </c>
      <c r="S11" s="123">
        <f t="shared" si="4"/>
        <v>0</v>
      </c>
      <c r="T11" s="124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24403846.153846152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>SUM(AH12:AH14)</f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1620000</v>
      </c>
      <c r="AO11" s="121">
        <f t="shared" si="4"/>
        <v>79899230.769230768</v>
      </c>
      <c r="AP11" s="121"/>
      <c r="AQ11" s="121"/>
      <c r="AR11" s="121"/>
      <c r="AS11" s="121"/>
      <c r="AT11" s="121"/>
      <c r="AU11" s="121"/>
      <c r="AV11" s="121">
        <f t="shared" si="4"/>
        <v>107483076.92307693</v>
      </c>
      <c r="AW11" s="121"/>
      <c r="AX11" s="121"/>
      <c r="AY11" s="121">
        <f t="shared" si="4"/>
        <v>1204800</v>
      </c>
      <c r="AZ11" s="121">
        <f>SUM(AZ12:AZ14)</f>
        <v>225900</v>
      </c>
      <c r="BA11" s="121">
        <f t="shared" si="4"/>
        <v>150600</v>
      </c>
      <c r="BB11" s="121">
        <f t="shared" si="4"/>
        <v>1581300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/>
      <c r="BK11" s="121"/>
      <c r="BL11" s="121">
        <f t="shared" si="4"/>
        <v>6662827.230769231</v>
      </c>
      <c r="BM11" s="121">
        <f t="shared" si="4"/>
        <v>0</v>
      </c>
      <c r="BN11" s="121">
        <f t="shared" si="4"/>
        <v>0</v>
      </c>
      <c r="BO11" s="121">
        <f t="shared" si="4"/>
        <v>0</v>
      </c>
      <c r="BP11" s="121">
        <f t="shared" si="4"/>
        <v>0</v>
      </c>
      <c r="BQ11" s="121">
        <f t="shared" si="4"/>
        <v>0</v>
      </c>
      <c r="BR11" s="121"/>
      <c r="BS11" s="121"/>
      <c r="BT11" s="121">
        <f t="shared" si="4"/>
        <v>0</v>
      </c>
      <c r="BU11" s="125">
        <f t="shared" si="4"/>
        <v>99003949.692307696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102</v>
      </c>
      <c r="E12" s="133" t="s">
        <v>99</v>
      </c>
      <c r="F12" s="134" t="s">
        <v>94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27</v>
      </c>
      <c r="L12" s="137"/>
      <c r="M12" s="137"/>
      <c r="N12" s="137"/>
      <c r="O12" s="137"/>
      <c r="P12" s="137"/>
      <c r="Q12" s="137"/>
      <c r="R12" s="137">
        <v>0</v>
      </c>
      <c r="S12" s="137">
        <v>0</v>
      </c>
      <c r="T12" s="138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9886153.846153846</v>
      </c>
      <c r="Z12" s="135">
        <f>M12*G12/26</f>
        <v>0</v>
      </c>
      <c r="AA12" s="135">
        <f>G12*N12/26</f>
        <v>0</v>
      </c>
      <c r="AB12" s="135">
        <f>G12*O12/26</f>
        <v>0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ROUND((G12+H12)/26*S12*30%,0)</f>
        <v>0</v>
      </c>
      <c r="AG12" s="135">
        <f>T12*G12/26/8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810000</v>
      </c>
      <c r="AO12" s="13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35"/>
      <c r="AQ12" s="135"/>
      <c r="AR12" s="135">
        <v>780000</v>
      </c>
      <c r="AS12" s="135"/>
      <c r="AT12" s="135"/>
      <c r="AU12" s="135"/>
      <c r="AV12" s="139">
        <f>Y12+Z12+AA12+AB12+AC12+AD12+AE12+AF12+AG12+AI12+AJ12+AK12+AL12+AM12+AN12+AO12+AP12-AQ12+AR12+AS12+AT12+AU12</f>
        <v>63087692.307692312</v>
      </c>
      <c r="AW12" s="139"/>
      <c r="AX12" s="139">
        <f>IF(E12="CT","x",0)</f>
        <v>0</v>
      </c>
      <c r="AY12" s="140">
        <f>ROUND(IF($AX12="x",($G12+$H12)*AY$8,0),0)</f>
        <v>0</v>
      </c>
      <c r="AZ12" s="140">
        <f>ROUND(IF($AX12="x",($G12+$H12)*AZ$8,0),0)</f>
        <v>0</v>
      </c>
      <c r="BA12" s="140">
        <f t="shared" ref="BA12" si="5">ROUND(IF($AX12="x",($G12+$H12)*BA$8,0),0)</f>
        <v>0</v>
      </c>
      <c r="BB12" s="140">
        <f>SUM(AY12:BA12)</f>
        <v>0</v>
      </c>
      <c r="BC12" s="140"/>
      <c r="BD12" s="140"/>
      <c r="BE12" s="140">
        <f>IF(G12*1%&gt;=234000,234000,G12*1%)</f>
        <v>95200</v>
      </c>
      <c r="BF12" s="140">
        <f>AM12+IF(E12="CT",IF(AR12&gt;=730000,730000,AR12),0)+IF(((AV12-AM12-IF(AR12&gt;=730000,730000,AR12)-AS12)*15%-AS12)&gt;"0",((AV12-AM12-IF(AR12&gt;=730000,730000,AR12)-AS12)*15%-AS12),0)</f>
        <v>0</v>
      </c>
      <c r="BG12" s="140">
        <f>AV12-BF12+AW12</f>
        <v>63087692.307692312</v>
      </c>
      <c r="BH12" s="140">
        <v>3</v>
      </c>
      <c r="BI12" s="140">
        <v>4400000</v>
      </c>
      <c r="BJ12" s="140">
        <f>IF(E12="CT",11000000,0)</f>
        <v>0</v>
      </c>
      <c r="BK12" s="140">
        <f>BG12-BB12-BC12+BD12-BH12*BI12-BJ12</f>
        <v>49887692.307692312</v>
      </c>
      <c r="BL12" s="12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40"/>
      <c r="BN12" s="140"/>
      <c r="BO12" s="140">
        <v>0</v>
      </c>
      <c r="BP12" s="140"/>
      <c r="BQ12" s="140"/>
      <c r="BR12" s="140"/>
      <c r="BS12" s="140"/>
      <c r="BT12" s="140">
        <f>SUMIFS('[1]Bảng lương tạm ứng kỳ 1'!BT:BT,'[1]Mô tả Bảng lương CB-NV'!B:B,'[1]Bảng lương tạm ứng kỳ 1'!B15)</f>
        <v>0</v>
      </c>
      <c r="BU12" s="141">
        <f>AV12-BB12-BC12+BD12-BE12-BL12-BM12-BN12-BO12-BP12-BQ12-BR12+BS12-BT12</f>
        <v>58003723.07692308</v>
      </c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 ht="31.5" customHeight="1">
      <c r="A13" s="129">
        <f>IF(B13=0,"",COUNTA($B$12:(B13)))</f>
        <v>2</v>
      </c>
      <c r="B13" s="130">
        <v>3562789</v>
      </c>
      <c r="C13" s="131" t="s">
        <v>149</v>
      </c>
      <c r="D13" s="132" t="s">
        <v>102</v>
      </c>
      <c r="E13" s="133" t="s">
        <v>93</v>
      </c>
      <c r="F13" s="134" t="s">
        <v>94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27</v>
      </c>
      <c r="L13" s="137"/>
      <c r="M13" s="137">
        <v>0</v>
      </c>
      <c r="N13" s="137"/>
      <c r="O13" s="137"/>
      <c r="P13" s="137"/>
      <c r="Q13" s="137"/>
      <c r="R13" s="137">
        <v>0</v>
      </c>
      <c r="S13" s="137">
        <v>0</v>
      </c>
      <c r="T13" s="138"/>
      <c r="U13" s="137">
        <v>0</v>
      </c>
      <c r="V13" s="137">
        <v>0</v>
      </c>
      <c r="W13" s="137">
        <v>0</v>
      </c>
      <c r="X13" s="137">
        <v>0</v>
      </c>
      <c r="Y13" s="135">
        <f>G13*(K13+L13)/26</f>
        <v>7258846.153846154</v>
      </c>
      <c r="Z13" s="135">
        <f t="shared" ref="Z13:Z14" si="6">M13*G13/26</f>
        <v>0</v>
      </c>
      <c r="AA13" s="135">
        <f t="shared" ref="AA13:AA14" si="7">G13*N13/26</f>
        <v>0</v>
      </c>
      <c r="AB13" s="135">
        <f t="shared" ref="AB13:AB14" si="8">G13*O13/26</f>
        <v>0</v>
      </c>
      <c r="AC13" s="135">
        <f t="shared" ref="AC13:AC14" si="9">G13*P13*150%/26</f>
        <v>0</v>
      </c>
      <c r="AD13" s="135">
        <f t="shared" ref="AD13:AD14" si="10">G13*Q13/26*200%</f>
        <v>0</v>
      </c>
      <c r="AE13" s="135">
        <f t="shared" ref="AE13:AE14" si="11">G13*R13/26*300%</f>
        <v>0</v>
      </c>
      <c r="AF13" s="135">
        <f>ROUND((G13+H13)/26*S13*30%,0)</f>
        <v>0</v>
      </c>
      <c r="AG13" s="135">
        <f t="shared" ref="AG13:AG14" si="12">T13*G13/26/8</f>
        <v>0</v>
      </c>
      <c r="AH13" s="135">
        <f>CB13/26*U13</f>
        <v>0</v>
      </c>
      <c r="AI13" s="135">
        <f t="shared" ref="AI13:AI14" si="13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" si="14">H13/26*K13</f>
        <v>810000</v>
      </c>
      <c r="AO13" s="13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35"/>
      <c r="AQ13" s="135"/>
      <c r="AR13" s="135">
        <v>780000</v>
      </c>
      <c r="AS13" s="135"/>
      <c r="AT13" s="135"/>
      <c r="AU13" s="135"/>
      <c r="AV13" s="139">
        <f t="shared" ref="AV13:AV14" si="15">Y13+Z13+AA13+AB13+AC13+AD13+AE13+AF13+AG13+AI13+AJ13+AK13+AL13+AM13+AN13+AO13+AP13-AQ13+AR13+AS13+AT13+AU13</f>
        <v>25858846.153846152</v>
      </c>
      <c r="AW13" s="139"/>
      <c r="AX13" s="139" t="str">
        <f>IF(E13="CT","x",0)</f>
        <v>x</v>
      </c>
      <c r="AY13" s="140">
        <f t="shared" ref="AY13:AZ14" si="16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17">IF(G13*1%&gt;=234000,234000,G13*1%)</f>
        <v>69900</v>
      </c>
      <c r="BF13" s="14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40">
        <f t="shared" ref="BG13:BG14" si="19">AV13-BF13+AW13</f>
        <v>25128846.153846152</v>
      </c>
      <c r="BH13" s="140"/>
      <c r="BI13" s="140">
        <v>4400000</v>
      </c>
      <c r="BJ13" s="140">
        <f>IF(E13="CT",11000000,0)</f>
        <v>11000000</v>
      </c>
      <c r="BK13" s="140">
        <f t="shared" ref="BK13:BK14" si="20">BG13-BB13-BC13+BD13-BH13*BI13-BJ13</f>
        <v>13312996.153846152</v>
      </c>
      <c r="BL13" s="12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40"/>
      <c r="BN13" s="140"/>
      <c r="BO13" s="140">
        <v>0</v>
      </c>
      <c r="BP13" s="140"/>
      <c r="BQ13" s="140"/>
      <c r="BR13" s="140"/>
      <c r="BS13" s="140"/>
      <c r="BT13" s="140">
        <f>SUMIFS('[1]Bảng lương tạm ứng kỳ 1'!BT:BT,'[1]Mô tả Bảng lương CB-NV'!B:B,'[1]Bảng lương tạm ứng kỳ 1'!B20)</f>
        <v>0</v>
      </c>
      <c r="BU13" s="141">
        <f t="shared" ref="BU13:BU14" si="22">AV13-BB13-BC13+BD13-BE13-BL13-BM13-BN13-BO13-BP13-BQ13-BR13+BS13-BT13</f>
        <v>23726147.153846152</v>
      </c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3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102</v>
      </c>
      <c r="E14" s="133" t="s">
        <v>93</v>
      </c>
      <c r="F14" s="134" t="s">
        <v>94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27</v>
      </c>
      <c r="L14" s="137"/>
      <c r="M14" s="137"/>
      <c r="N14" s="137"/>
      <c r="O14" s="137"/>
      <c r="P14" s="137"/>
      <c r="Q14" s="137"/>
      <c r="R14" s="137">
        <v>0</v>
      </c>
      <c r="S14" s="137">
        <v>0</v>
      </c>
      <c r="T14" s="138"/>
      <c r="U14" s="137">
        <v>0</v>
      </c>
      <c r="V14" s="137">
        <v>0</v>
      </c>
      <c r="W14" s="137">
        <v>0</v>
      </c>
      <c r="X14" s="137">
        <v>0</v>
      </c>
      <c r="Y14" s="135">
        <f>G14*(K14+L14)/26</f>
        <v>7258846.153846154</v>
      </c>
      <c r="Z14" s="135">
        <f t="shared" si="6"/>
        <v>0</v>
      </c>
      <c r="AA14" s="135">
        <f t="shared" si="7"/>
        <v>0</v>
      </c>
      <c r="AB14" s="135">
        <f t="shared" si="8"/>
        <v>0</v>
      </c>
      <c r="AC14" s="135">
        <f t="shared" si="9"/>
        <v>0</v>
      </c>
      <c r="AD14" s="135">
        <f t="shared" si="10"/>
        <v>0</v>
      </c>
      <c r="AE14" s="135">
        <f t="shared" si="11"/>
        <v>0</v>
      </c>
      <c r="AF14" s="135">
        <f>IF(F14="LN",(G14+H14)/26*S14*30%,0)</f>
        <v>0</v>
      </c>
      <c r="AG14" s="135">
        <f t="shared" si="12"/>
        <v>0</v>
      </c>
      <c r="AH14" s="135">
        <f>CB14/26*U14</f>
        <v>0</v>
      </c>
      <c r="AI14" s="135">
        <f t="shared" si="13"/>
        <v>0</v>
      </c>
      <c r="AJ14" s="135"/>
      <c r="AK14" s="135">
        <f>BZ14*L14/26</f>
        <v>0</v>
      </c>
      <c r="AL14" s="135"/>
      <c r="AM14" s="135">
        <f>X14*CD14</f>
        <v>0</v>
      </c>
      <c r="AN14" s="135"/>
      <c r="AO14" s="13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35"/>
      <c r="AQ14" s="135"/>
      <c r="AR14" s="135"/>
      <c r="AS14" s="135"/>
      <c r="AT14" s="135"/>
      <c r="AU14" s="135"/>
      <c r="AV14" s="139">
        <f t="shared" si="15"/>
        <v>18536538.461538464</v>
      </c>
      <c r="AW14" s="139"/>
      <c r="AX14" s="139" t="str">
        <f>IF(E14="CT","x",0)</f>
        <v>x</v>
      </c>
      <c r="AY14" s="140">
        <f t="shared" si="16"/>
        <v>583200</v>
      </c>
      <c r="AZ14" s="140">
        <f t="shared" si="16"/>
        <v>109350</v>
      </c>
      <c r="BA14" s="140">
        <f>ROUND(IF($AX14="x",($G14+$H14)*BA$8,0),0)</f>
        <v>72900</v>
      </c>
      <c r="BB14" s="140">
        <f t="shared" ref="BB14" si="24">SUM(AY14:BA14)</f>
        <v>765450</v>
      </c>
      <c r="BC14" s="140"/>
      <c r="BD14" s="140"/>
      <c r="BE14" s="140">
        <f t="shared" si="17"/>
        <v>69900</v>
      </c>
      <c r="BF14" s="140">
        <f t="shared" si="18"/>
        <v>0</v>
      </c>
      <c r="BG14" s="140">
        <f t="shared" si="19"/>
        <v>18536538.461538464</v>
      </c>
      <c r="BH14" s="140"/>
      <c r="BI14" s="140">
        <v>4400000</v>
      </c>
      <c r="BJ14" s="140">
        <f>IF(E14="CT",11000000,0)</f>
        <v>11000000</v>
      </c>
      <c r="BK14" s="140">
        <f t="shared" si="20"/>
        <v>6771088.4615384638</v>
      </c>
      <c r="BL14" s="127">
        <f t="shared" si="21"/>
        <v>427109</v>
      </c>
      <c r="BM14" s="140"/>
      <c r="BN14" s="140"/>
      <c r="BO14" s="140">
        <v>0</v>
      </c>
      <c r="BP14" s="140"/>
      <c r="BQ14" s="140"/>
      <c r="BR14" s="140"/>
      <c r="BS14" s="140"/>
      <c r="BT14" s="140">
        <f>SUMIFS('[1]Bảng lương tạm ứng kỳ 1'!BT:BT,'[1]Mô tả Bảng lương CB-NV'!B:B,'[1]Bảng lương tạm ứng kỳ 1'!B21)</f>
        <v>0</v>
      </c>
      <c r="BU14" s="141">
        <f t="shared" si="22"/>
        <v>17274079.461538464</v>
      </c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3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ht="43" customHeight="1"/>
    <row r="17" spans="1:87" s="160" customFormat="1" ht="36">
      <c r="A17" s="159" t="str">
        <f>A5&amp;A6&amp;A7&amp;A8</f>
        <v>TT</v>
      </c>
      <c r="B17" s="159" t="str">
        <f t="shared" ref="B17:X17" si="25">B5&amp;B6&amp;B7&amp;B8</f>
        <v>MSNV</v>
      </c>
      <c r="C17" s="159" t="str">
        <f t="shared" si="25"/>
        <v>Full name</v>
      </c>
      <c r="D17" s="159" t="str">
        <f t="shared" si="25"/>
        <v>Unit</v>
      </c>
      <c r="E17" s="159" t="str">
        <f t="shared" si="25"/>
        <v>Type of labor contract</v>
      </c>
      <c r="F17" s="159" t="str">
        <f t="shared" si="25"/>
        <v>Subjects are counted as working overtime</v>
      </c>
      <c r="G17" s="159" t="str">
        <f t="shared" si="25"/>
        <v>Labor contract salary</v>
      </c>
      <c r="H17" s="207" t="str">
        <f>H5&amp;H6&amp;H7&amp;H8</f>
        <v>Allowances (fire protection, safety)</v>
      </c>
      <c r="I17" s="159" t="str">
        <f t="shared" si="25"/>
        <v>HQCV Bonus norms</v>
      </c>
      <c r="J17" s="159" t="str">
        <f t="shared" si="25"/>
        <v>Percentage of HQCV bonus advance</v>
      </c>
      <c r="K17" s="209" t="str">
        <f>K5&amp;K6&amp;K7&amp;K8</f>
        <v>Workdays in the monthCong goes to work on weekdays</v>
      </c>
      <c r="L17" s="159" t="str">
        <f t="shared" si="25"/>
        <v>Collaborate</v>
      </c>
      <c r="M17" s="159" t="str">
        <f t="shared" si="25"/>
        <v>Permit year</v>
      </c>
      <c r="N17" s="159" t="str">
        <f t="shared" si="25"/>
        <v>Vacation mode</v>
      </c>
      <c r="O17" s="159" t="str">
        <f t="shared" si="25"/>
        <v>Holiday/Tet</v>
      </c>
      <c r="P17" s="159" t="str">
        <f t="shared" si="25"/>
        <v>Overtime on weekdays</v>
      </c>
      <c r="Q17" s="159" t="str">
        <f t="shared" si="25"/>
        <v>Overtime on Sunday</v>
      </c>
      <c r="R17" s="159" t="str">
        <f t="shared" si="25"/>
        <v>Overtime for Tet holiday</v>
      </c>
      <c r="S17" s="159" t="str">
        <f t="shared" si="25"/>
        <v>Night allowance</v>
      </c>
      <c r="T17" s="159" t="str">
        <f t="shared" si="25"/>
        <v>Working hours are off in HK</v>
      </c>
      <c r="U17" s="159" t="str">
        <f t="shared" si="25"/>
        <v>Working on Saturdays is off</v>
      </c>
      <c r="V17" s="159" t="str">
        <f t="shared" si="25"/>
        <v>Date of work stoppage in the monthFirst 14 days</v>
      </c>
      <c r="W17" s="159" t="str">
        <f t="shared" si="25"/>
        <v>From the 15th onwards</v>
      </c>
      <c r="X17" s="159" t="str">
        <f t="shared" si="25"/>
        <v>PHSK work day</v>
      </c>
      <c r="Y17" s="207" t="str">
        <f>Y6</f>
        <v>Lương
Ngày thường</v>
      </c>
      <c r="Z17" s="207" t="str">
        <f t="shared" ref="Z17:AN17" si="26">Z6</f>
        <v>Salary for vacation days</v>
      </c>
      <c r="AA17" s="207" t="str">
        <f t="shared" si="26"/>
        <v>Salary for days off</v>
      </c>
      <c r="AB17" s="207" t="str">
        <f t="shared" si="26"/>
        <v>Holiday pay</v>
      </c>
      <c r="AC17" s="207" t="str">
        <f t="shared" si="26"/>
        <v>Salary Overtime on weekdays</v>
      </c>
      <c r="AD17" s="207" t="str">
        <f t="shared" si="26"/>
        <v>Overtime pay on holidays</v>
      </c>
      <c r="AE17" s="207" t="str">
        <f t="shared" si="26"/>
        <v>Overtime pay on Holidays/New Year</v>
      </c>
      <c r="AF17" s="207" t="str">
        <f t="shared" si="26"/>
        <v>Night allowance salary</v>
      </c>
      <c r="AG17" s="207" t="str">
        <f t="shared" si="26"/>
        <v>Salary female leave HK</v>
      </c>
      <c r="AH17" s="207" t="str">
        <f t="shared" si="26"/>
        <v>Salary for work on Saturdays is off</v>
      </c>
      <c r="AI17" s="207" t="str">
        <f t="shared" si="26"/>
        <v>Salary for days of temporary suspension</v>
      </c>
      <c r="AJ17" s="207" t="str">
        <f t="shared" si="26"/>
        <v>Salary on duty to support security</v>
      </c>
      <c r="AK17" s="207" t="str">
        <f t="shared" si="26"/>
        <v>Working allowances</v>
      </c>
      <c r="AL17" s="207" t="str">
        <f t="shared" si="26"/>
        <v>Annual leave from work</v>
      </c>
      <c r="AM17" s="207" t="str">
        <f t="shared" si="26"/>
        <v>Nursing care training</v>
      </c>
      <c r="AN17" s="207" t="str">
        <f t="shared" si="26"/>
        <v>Fire protection allowance (DT, DP), Safety and sanitation allowance</v>
      </c>
      <c r="AO17" s="207" t="str">
        <f>AO6</f>
        <v>Advance payment of HQCV bonus</v>
      </c>
      <c r="AP17" s="159" t="str">
        <f t="shared" ref="AP17:AX17" si="27">AP5</f>
        <v>Receiving salary</v>
      </c>
      <c r="AQ17" s="159" t="str">
        <f t="shared" si="27"/>
        <v>Salary collection</v>
      </c>
      <c r="AR17" s="159" t="str">
        <f t="shared" si="27"/>
        <v>Rice support</v>
      </c>
      <c r="AS17" s="159" t="str">
        <f t="shared" si="27"/>
        <v>Housing Support</v>
      </c>
      <c r="AT17" s="159" t="str">
        <f t="shared" si="27"/>
        <v>Annual bonus</v>
      </c>
      <c r="AU17" s="159" t="str">
        <f t="shared" si="27"/>
        <v>Payment of unused annual leave</v>
      </c>
      <c r="AV17" s="159" t="str">
        <f t="shared" si="27"/>
        <v>Total income</v>
      </c>
      <c r="AW17" s="159" t="str">
        <f t="shared" si="27"/>
        <v>Other taxable income</v>
      </c>
      <c r="AX17" s="159" t="str">
        <f t="shared" si="27"/>
        <v>Tham gia BHXH</v>
      </c>
      <c r="AY17" s="207" t="str">
        <f>AY7</f>
        <v>BHXH</v>
      </c>
      <c r="AZ17" s="207" t="str">
        <f t="shared" ref="AZ17:BQ17" si="28">AZ7</f>
        <v>BHYT</v>
      </c>
      <c r="BA17" s="207" t="str">
        <f t="shared" si="28"/>
        <v>BHTN</v>
      </c>
      <c r="BB17" s="207" t="str">
        <f t="shared" si="28"/>
        <v>TOTAL social insurance</v>
      </c>
      <c r="BC17" s="207" t="str">
        <f t="shared" si="28"/>
        <v>Truy thu BHXH</v>
      </c>
      <c r="BD17" s="207" t="str">
        <f t="shared" si="28"/>
        <v>Refund of social insurance</v>
      </c>
      <c r="BE17" s="207" t="str">
        <f t="shared" si="28"/>
        <v>Phí 
công đoàn</v>
      </c>
      <c r="BF17" s="207" t="str">
        <f t="shared" si="28"/>
        <v>Tax-free income</v>
      </c>
      <c r="BG17" s="207" t="str">
        <f t="shared" si="28"/>
        <v>Taxable income</v>
      </c>
      <c r="BH17" s="207" t="str">
        <f t="shared" si="28"/>
        <v>NPT</v>
      </c>
      <c r="BI17" s="207" t="str">
        <f t="shared" si="28"/>
        <v>NPT deduction</v>
      </c>
      <c r="BJ17" s="207" t="str">
        <f t="shared" si="28"/>
        <v>Personal deductions</v>
      </c>
      <c r="BK17" s="207" t="str">
        <f t="shared" si="28"/>
        <v>TNTT</v>
      </c>
      <c r="BL17" s="207" t="str">
        <f t="shared" si="28"/>
        <v>Personal income tax</v>
      </c>
      <c r="BM17" s="207" t="str">
        <f t="shared" si="28"/>
        <v>Collect advance payment</v>
      </c>
      <c r="BN17" s="207" t="str">
        <f t="shared" si="28"/>
        <v>Collect money for the Investment Company on behalf of the Reserve...,</v>
      </c>
      <c r="BO17" s="207" t="str">
        <f t="shared" si="28"/>
        <v>Excessive phone bill collection</v>
      </c>
      <c r="BP17" s="207" t="str">
        <f t="shared" si="28"/>
        <v>Funeral money</v>
      </c>
      <c r="BQ17" s="207" t="str">
        <f t="shared" si="28"/>
        <v>…..............</v>
      </c>
      <c r="BR17" s="207" t="str">
        <f>BR6</f>
        <v>Truy thu theo QTT</v>
      </c>
      <c r="BS17" s="207" t="str">
        <f>BS6</f>
        <v>Refund according to QTT</v>
      </c>
      <c r="BT17" s="159" t="str">
        <f t="shared" ref="BT17:CD17" si="29">BT5</f>
        <v>Realization part 1</v>
      </c>
      <c r="BU17" s="159" t="str">
        <f t="shared" si="29"/>
        <v>Real acceptance part 2</v>
      </c>
      <c r="BV17"/>
      <c r="BW17" s="159" t="str">
        <f t="shared" si="29"/>
        <v>Salary quota</v>
      </c>
      <c r="BX17" s="208" t="str">
        <f>BX8</f>
        <v>PC title</v>
      </c>
      <c r="BY17" s="208" t="str">
        <f t="shared" ref="BY17:CA17" si="30">BY8</f>
        <v>PC concurrently</v>
      </c>
      <c r="BZ17" s="208" t="str">
        <f t="shared" si="30"/>
        <v>PC Seconded</v>
      </c>
      <c r="CA17" s="208" t="str">
        <f t="shared" si="30"/>
        <v>PC seniority</v>
      </c>
      <c r="CB17" s="159" t="str">
        <f t="shared" si="29"/>
        <v>Total salary and other PC payments</v>
      </c>
      <c r="CC17" s="159" t="str">
        <f t="shared" si="29"/>
        <v>Is a dispatcher, fire protection officer, and AT-VSV</v>
      </c>
      <c r="CD17" s="159" t="str">
        <f t="shared" si="29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175" t="s">
        <v>151</v>
      </c>
      <c r="B19" s="176" t="s">
        <v>104</v>
      </c>
      <c r="C19" s="176" t="s">
        <v>105</v>
      </c>
      <c r="D19" s="177" t="s">
        <v>106</v>
      </c>
      <c r="E19" s="178" t="s">
        <v>107</v>
      </c>
      <c r="F19" s="179" t="s">
        <v>108</v>
      </c>
      <c r="G19" s="178" t="s">
        <v>109</v>
      </c>
      <c r="H19" s="174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4" t="str">
        <f>"["&amp;CB17&amp;"]-["&amp;BZ17&amp;"]-["&amp;G17&amp;"]-["&amp;H17&amp;"]"</f>
        <v>[Total salary and other PC payments]-[PC Seconded]-[Labor contract salary]-[Allowances (fire protection, safety)]</v>
      </c>
      <c r="J19" s="180" t="s">
        <v>152</v>
      </c>
      <c r="K19" s="174" t="s">
        <v>110</v>
      </c>
      <c r="L19" s="174" t="s">
        <v>111</v>
      </c>
      <c r="M19" s="174" t="s">
        <v>112</v>
      </c>
      <c r="N19" s="174" t="s">
        <v>112</v>
      </c>
      <c r="O19" s="174" t="s">
        <v>113</v>
      </c>
      <c r="P19" s="174" t="s">
        <v>114</v>
      </c>
      <c r="Q19" s="174" t="s">
        <v>115</v>
      </c>
      <c r="R19" s="174" t="s">
        <v>116</v>
      </c>
      <c r="S19" s="174" t="s">
        <v>112</v>
      </c>
      <c r="T19" s="181"/>
      <c r="U19" s="174">
        <v>0</v>
      </c>
      <c r="V19" s="174">
        <v>0</v>
      </c>
      <c r="W19" s="174">
        <v>0</v>
      </c>
      <c r="X19" s="174">
        <v>0</v>
      </c>
      <c r="Y19" s="174" t="str">
        <f>"["&amp;G17&amp;"]*(["&amp;K17&amp;"]+["&amp;L17&amp;"])/26"</f>
        <v>[Labor contract salary]*([Workdays in the monthCong goes to work on weekdays]+[Collaborate])/26</v>
      </c>
      <c r="Z19" s="174" t="str">
        <f>"["&amp;M17&amp;"]*["&amp;G17&amp;"]/26"</f>
        <v>[Permit year]*[Labor contract salary]/26</v>
      </c>
      <c r="AA19" s="174" t="str">
        <f>"["&amp;G17&amp;"]*["&amp;N17&amp;"]/26"</f>
        <v>[Labor contract salary]*[Vacation mode]/26</v>
      </c>
      <c r="AB19" s="174" t="str">
        <f>"["&amp;G17&amp;"]*["&amp;O17&amp;"]/26"</f>
        <v>[Labor contract salary]*[Holiday/Tet]/26</v>
      </c>
      <c r="AC19" s="174" t="str">
        <f>"["&amp;G17&amp;"]*["&amp;P17&amp;"]*150%/26"</f>
        <v>[Labor contract salary]*[Overtime on weekdays]*150%/26</v>
      </c>
      <c r="AD19" s="174" t="str">
        <f>"["&amp;G17&amp;"]*["&amp;Q17&amp;"]/26*200%"</f>
        <v>[Labor contract salary]*[Overtime on Sunday]/26*200%</v>
      </c>
      <c r="AE19" s="174" t="str">
        <f>"["&amp;G17&amp;"]*["&amp;R17&amp;"]/26*300%"</f>
        <v>[Labor contract salary]*[Overtime for Tet holiday]/26*300%</v>
      </c>
      <c r="AF19" s="174" t="str">
        <f>"ROUND((["&amp;G17&amp;"]+["&amp;H17&amp;"])/26*["&amp;S17&amp;"]*30%,0)"</f>
        <v>ROUND(([Labor contract salary]+[Allowances (fire protection, safety)])/26*[Night allowance]*30%,0)</v>
      </c>
      <c r="AG19" s="174" t="str">
        <f>"["&amp;T17&amp;"]*["&amp;G17&amp;"]/26/8"</f>
        <v>[Working hours are off in HK]*[Labor contract salary]/26/8</v>
      </c>
      <c r="AH19" s="174" t="str">
        <f>"["&amp;CB17&amp;"]/26*["&amp;U17&amp;"]"</f>
        <v>[Total salary and other PC payments]/26*[Working on Saturdays is off]</v>
      </c>
      <c r="AI19" s="174" t="str">
        <f>"["&amp;G17&amp;"]*["&amp;V17&amp;"]/26"</f>
        <v>[Labor contract salary]*[Date of work stoppage in the monthFirst 14 days]/26</v>
      </c>
      <c r="AJ19" s="174"/>
      <c r="AK19" s="174" t="str">
        <f>"["&amp;BZ17&amp;"]*["&amp;L17&amp;"]/26"</f>
        <v>[PC Seconded]*[Collaborate]/26</v>
      </c>
      <c r="AL19" s="174"/>
      <c r="AM19" s="174" t="str">
        <f>"["&amp;X17&amp;"]*["&amp;CD17&amp;"]"</f>
        <v>[PHSK work day]*[Level of health compensation]</v>
      </c>
      <c r="AN19" s="174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norms]*([Workdays in the monthCong goes to work on weekdays]+[Collaborate])/26+([Allowances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4"/>
      <c r="AQ19" s="174"/>
      <c r="AR19" s="174">
        <v>780000</v>
      </c>
      <c r="AS19" s="174"/>
      <c r="AT19" s="174"/>
      <c r="AU19" s="174"/>
      <c r="AV19" s="18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82"/>
      <c r="AX19" s="182" t="str">
        <f>"IF(["&amp;E17&amp;"]=""CT"",""x"",0)"</f>
        <v>IF([Type of labor contract]="CT","x",0)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[BHXH]+[BHYT]+[BHTN]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[Nursing care training]+IF([Type of labor contract]="CT",IF([Rice support]&gt;=730000,730000,[Rice support]),0)+IF((([Total income]-[Nursing care training]-IF([Rice support]&gt;=730000,730000,[Rice support])-[Housing Support])*15%-[Housing Support])&gt;"0",(([Total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>
        <v>4400000</v>
      </c>
      <c r="BJ19" s="174" t="str">
        <f>"IF(["&amp;E17&amp;"]=""CT"",11000000,0)"</f>
        <v>IF([Type of labor contract]="CT",11000000,0)</v>
      </c>
      <c r="BK19" s="174" t="str">
        <f>"["&amp;BG17&amp;"]-["&amp;BB17&amp;"]-["&amp;BC17&amp;"]+["&amp;BD17&amp;"]-["&amp;BH17&amp;"]*["&amp;BI17&amp;"]-["&amp;BJ17&amp;"]"</f>
        <v>[Taxable income]-[TOTAL social insurance]-[Truy thu BHXH]+[Refund of social insurance]-[NPT]*[NPT deduction]-[Personal deductions]</v>
      </c>
      <c r="BL19" s="17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IF([Type of labor contract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174"/>
      <c r="BN19" s="174"/>
      <c r="BO19" s="174">
        <v>0</v>
      </c>
      <c r="BP19" s="174"/>
      <c r="BQ19" s="174"/>
      <c r="BR19" s="174"/>
      <c r="BS19" s="174"/>
      <c r="BT19" s="186" t="str">
        <f>"["&amp;'[1]Mô tả Bảng lương tạm ứng kỳ 1'!BT17&amp;"]"</f>
        <v>[Thực nhận kỳ 1]</v>
      </c>
      <c r="BU19" s="17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V19"/>
      <c r="BW19" s="174">
        <v>60000000</v>
      </c>
      <c r="BX19" s="174">
        <v>0</v>
      </c>
      <c r="BY19" s="174"/>
      <c r="BZ19" s="174"/>
      <c r="CA19" s="174">
        <v>0</v>
      </c>
      <c r="CB19" s="174" t="str">
        <f>"["&amp;BW17&amp;"]+["&amp;BX17&amp;"]+["&amp;BY17&amp;"]+["&amp;BZ17&amp;"]+["&amp;CA17&amp;"]"</f>
        <v>[Salary quota]+[PC title]+[PC concurrently]+[PC Seconded]+[PC seniority]</v>
      </c>
      <c r="CC19" s="174" t="s">
        <v>148</v>
      </c>
      <c r="CD19" s="174"/>
      <c r="CE19" s="183"/>
      <c r="CF19" s="183"/>
      <c r="CG19" s="183"/>
      <c r="CI19" s="185"/>
    </row>
    <row r="20" spans="1:87" s="172" customFormat="1">
      <c r="A20" s="163"/>
      <c r="B20" s="164"/>
      <c r="C20" s="165"/>
      <c r="D20" s="166"/>
      <c r="E20" s="166"/>
      <c r="F20" s="167"/>
      <c r="G20" s="168"/>
      <c r="H20" s="168"/>
      <c r="I20" s="169"/>
      <c r="J20" s="169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/>
      <c r="BW20" s="168"/>
      <c r="BX20" s="168"/>
      <c r="BY20" s="168"/>
      <c r="BZ20" s="168"/>
      <c r="CA20" s="168"/>
      <c r="CB20" s="171"/>
      <c r="CC20" s="171"/>
      <c r="CD20" s="171"/>
    </row>
    <row r="21" spans="1:87" s="172" customFormat="1">
      <c r="A21" s="163"/>
      <c r="B21" s="164"/>
      <c r="C21" s="165"/>
      <c r="D21" s="166"/>
      <c r="E21" s="166"/>
      <c r="F21" s="167"/>
      <c r="G21" s="168"/>
      <c r="H21" s="168"/>
      <c r="I21" s="169"/>
      <c r="J21" s="169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/>
      <c r="BW21" s="168"/>
      <c r="BX21" s="168"/>
      <c r="BY21" s="168"/>
      <c r="BZ21" s="168"/>
      <c r="CA21" s="168"/>
      <c r="CB21" s="171"/>
      <c r="CC21" s="171"/>
      <c r="CD21" s="171"/>
    </row>
    <row r="22" spans="1:87" s="172" customFormat="1">
      <c r="A22" s="238"/>
      <c r="B22" s="239"/>
      <c r="C22" s="240"/>
      <c r="D22" s="151"/>
      <c r="E22" s="151"/>
      <c r="F22" s="152"/>
      <c r="G22" s="168"/>
      <c r="H22" s="168"/>
      <c r="I22" s="169"/>
      <c r="J22" s="169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/>
      <c r="BW22" s="168"/>
      <c r="BX22" s="168"/>
      <c r="BY22" s="168"/>
      <c r="BZ22" s="168"/>
      <c r="CA22" s="168"/>
      <c r="CB22" s="171"/>
      <c r="CC22" s="171"/>
      <c r="CD22" s="171"/>
    </row>
    <row r="23" spans="1:87" s="172" customFormat="1">
      <c r="A23" s="238"/>
      <c r="B23" s="239"/>
      <c r="C23" s="241"/>
      <c r="D23" s="151"/>
      <c r="E23" s="151"/>
      <c r="F23" s="152"/>
      <c r="G23" s="168"/>
      <c r="H23" s="168"/>
      <c r="I23" s="169"/>
      <c r="J23" s="169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/>
      <c r="BW23" s="168"/>
      <c r="BX23" s="168"/>
      <c r="BY23" s="168"/>
      <c r="BZ23" s="168"/>
      <c r="CA23" s="168"/>
      <c r="CB23" s="171"/>
      <c r="CC23" s="171"/>
      <c r="CD23" s="171"/>
    </row>
    <row r="24" spans="1:87" s="172" customFormat="1">
      <c r="A24" s="238"/>
      <c r="B24" s="239"/>
      <c r="C24" s="241"/>
      <c r="D24" s="151"/>
      <c r="E24" s="151"/>
      <c r="F24" s="152"/>
      <c r="G24" s="168"/>
      <c r="H24" s="168"/>
      <c r="I24" s="169"/>
      <c r="J24" s="169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/>
      <c r="BW24" s="168"/>
      <c r="BX24" s="168"/>
      <c r="BY24" s="168"/>
      <c r="BZ24" s="168"/>
      <c r="CA24" s="168"/>
      <c r="CB24" s="171"/>
      <c r="CC24" s="171"/>
      <c r="CD24" s="171"/>
    </row>
    <row r="25" spans="1:87" ht="48">
      <c r="A25" s="238"/>
      <c r="B25" s="239"/>
      <c r="C25" s="242" t="s">
        <v>153</v>
      </c>
    </row>
    <row r="26" spans="1:87">
      <c r="A26" s="238"/>
      <c r="B26" s="239"/>
      <c r="C26" s="241"/>
    </row>
    <row r="27" spans="1:87">
      <c r="A27" s="238"/>
      <c r="B27" s="239"/>
      <c r="C27" s="241"/>
    </row>
    <row r="28" spans="1:87">
      <c r="A28" s="238"/>
      <c r="B28" s="239"/>
      <c r="C28" s="241"/>
    </row>
    <row r="29" spans="1:87">
      <c r="A29" s="238"/>
      <c r="B29" s="239"/>
      <c r="C29" s="240"/>
    </row>
    <row r="30" spans="1:87">
      <c r="A30" s="238"/>
      <c r="B30" s="239"/>
      <c r="C30" s="240"/>
    </row>
    <row r="31" spans="1:87">
      <c r="A31" s="238"/>
      <c r="B31" s="239"/>
      <c r="C31" s="240"/>
    </row>
  </sheetData>
  <autoFilter ref="A5:CI10" xr:uid="{00000000-0009-0000-0000-000001000000}"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AQ5:AQ8"/>
    <mergeCell ref="AR5:AR8"/>
    <mergeCell ref="AS5:AS8"/>
    <mergeCell ref="AT5:AT8"/>
    <mergeCell ref="AU5:AU8"/>
    <mergeCell ref="AV5:AV8"/>
    <mergeCell ref="AW5:AW8"/>
    <mergeCell ref="AX5:AX8"/>
    <mergeCell ref="AY5:BQ5"/>
    <mergeCell ref="BR5:BS5"/>
    <mergeCell ref="BT5:BT8"/>
    <mergeCell ref="AY6:BL6"/>
    <mergeCell ref="BM6:BQ6"/>
    <mergeCell ref="BR6:BR8"/>
    <mergeCell ref="BS6:BS8"/>
    <mergeCell ref="BB7:BB8"/>
    <mergeCell ref="BC7:BC8"/>
    <mergeCell ref="BD7:BD8"/>
    <mergeCell ref="BE7:BE8"/>
    <mergeCell ref="BF7:BF8"/>
    <mergeCell ref="BG7:BG8"/>
    <mergeCell ref="BH7:BH8"/>
    <mergeCell ref="BU5:BU8"/>
    <mergeCell ref="BW5:BW8"/>
    <mergeCell ref="BX5:CA7"/>
    <mergeCell ref="CB5:CB8"/>
    <mergeCell ref="CC5:CC8"/>
    <mergeCell ref="CD5:CD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W7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BN7:BN8"/>
    <mergeCell ref="BO7:BO8"/>
    <mergeCell ref="BP7:BP8"/>
    <mergeCell ref="BQ7:BQ8"/>
    <mergeCell ref="BI7:BI8"/>
    <mergeCell ref="BJ7:BJ8"/>
    <mergeCell ref="BK7:BK8"/>
    <mergeCell ref="BL7:BL8"/>
    <mergeCell ref="BM7:BM8"/>
  </mergeCells>
  <conditionalFormatting sqref="B5:B8">
    <cfRule type="duplicateValues" dxfId="27" priority="1"/>
    <cfRule type="duplicateValues" dxfId="26" priority="2"/>
    <cfRule type="duplicateValues" dxfId="25" priority="3"/>
  </conditionalFormatting>
  <conditionalFormatting sqref="B12:B16 B1:B4 B20:B1048576 B9:BU9">
    <cfRule type="duplicateValues" dxfId="24" priority="8"/>
    <cfRule type="duplicateValues" dxfId="23" priority="9"/>
  </conditionalFormatting>
  <conditionalFormatting sqref="B12:B16 B1:B4 D10:F10 J10:BK10 BM10:BU10 B20:B1048576 BW9:CD10 B9:BU9">
    <cfRule type="duplicateValues" dxfId="22" priority="10"/>
  </conditionalFormatting>
  <conditionalFormatting sqref="B19:C19">
    <cfRule type="duplicateValues" dxfId="21" priority="4"/>
    <cfRule type="duplicateValues" dxfId="20" priority="5"/>
    <cfRule type="duplicateValues" dxfId="19" priority="6"/>
  </conditionalFormatting>
  <conditionalFormatting sqref="BL10">
    <cfRule type="duplicateValues" dxfId="18" priority="7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6E38-C5DA-434F-B615-7872F6BFEB41}">
  <dimension ref="A1:CI26"/>
  <sheetViews>
    <sheetView zoomScale="120" zoomScaleNormal="120" workbookViewId="0">
      <selection activeCell="K9" sqref="K9:K11"/>
    </sheetView>
  </sheetViews>
  <sheetFormatPr baseColWidth="10" defaultColWidth="9.1640625" defaultRowHeight="15" outlineLevelRow="1" outlineLevelCol="1"/>
  <cols>
    <col min="1" max="1" width="5.5" style="50" customWidth="1"/>
    <col min="2" max="2" width="8.5" style="55" customWidth="1"/>
    <col min="3" max="3" width="10.83203125" style="56" bestFit="1" customWidth="1"/>
    <col min="4" max="4" width="5.5" style="57" bestFit="1" customWidth="1" outlineLevel="1"/>
    <col min="5" max="5" width="5.5" style="57" customWidth="1" outlineLevel="1"/>
    <col min="6" max="6" width="5.5" style="58" bestFit="1" customWidth="1" outlineLevel="1"/>
    <col min="7" max="7" width="13.6640625" style="53" bestFit="1" customWidth="1"/>
    <col min="8" max="8" width="12.5" style="53" customWidth="1"/>
    <col min="9" max="9" width="12.5" customWidth="1"/>
    <col min="10" max="10" width="7.5" customWidth="1" outlineLevel="1"/>
    <col min="11" max="24" width="7.1640625" style="51" customWidth="1"/>
    <col min="25" max="47" width="12.33203125" style="52" customWidth="1"/>
    <col min="48" max="49" width="13" style="52" customWidth="1"/>
    <col min="50" max="50" width="6.6640625" style="52" customWidth="1"/>
    <col min="51" max="53" width="10.5" style="52" customWidth="1" outlineLevel="1"/>
    <col min="54" max="71" width="10.5" style="52" customWidth="1"/>
    <col min="72" max="73" width="12.5" style="52" customWidth="1"/>
    <col min="74" max="74" width="12.5" style="107" customWidth="1"/>
    <col min="75" max="79" width="12.6640625" style="53" customWidth="1" outlineLevel="1"/>
    <col min="80" max="80" width="12.6640625" style="54" customWidth="1" outlineLevel="1"/>
    <col min="81" max="82" width="10.6640625" style="54" customWidth="1" outlineLevel="1"/>
    <col min="83" max="83" width="19.5" style="25" customWidth="1"/>
    <col min="84" max="84" width="12.33203125" style="25" customWidth="1"/>
    <col min="85" max="85" width="12.5" style="25" customWidth="1"/>
    <col min="86" max="86" width="11.6640625" style="25" customWidth="1"/>
    <col min="87" max="16384" width="9.1640625" style="25"/>
  </cols>
  <sheetData>
    <row r="1" spans="1:87" s="215" customFormat="1" ht="24" outlineLevel="1">
      <c r="A1" s="211" t="s">
        <v>129</v>
      </c>
      <c r="B1" s="212"/>
      <c r="C1" s="213"/>
      <c r="D1" s="214"/>
      <c r="E1" s="214"/>
      <c r="F1" s="214"/>
      <c r="I1" s="1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8"/>
      <c r="BO1" s="218"/>
      <c r="BP1" s="217"/>
      <c r="BQ1" s="217"/>
      <c r="BR1" s="217"/>
      <c r="BS1" s="217"/>
      <c r="BU1" s="217"/>
      <c r="BV1" s="219"/>
      <c r="BW1" s="220"/>
      <c r="BX1" s="220"/>
      <c r="BY1" s="220"/>
      <c r="BZ1" s="220"/>
      <c r="CA1" s="220"/>
      <c r="CB1" s="221"/>
      <c r="CC1" s="221"/>
      <c r="CD1" s="221"/>
    </row>
    <row r="2" spans="1:87" s="215" customFormat="1" ht="24" outlineLevel="1">
      <c r="A2" s="222" t="s">
        <v>130</v>
      </c>
      <c r="B2" s="212"/>
      <c r="C2" s="223"/>
      <c r="D2" s="214"/>
      <c r="E2" s="214"/>
      <c r="F2" s="214"/>
      <c r="I2" s="1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9"/>
      <c r="BW2" s="224"/>
      <c r="BX2" s="224"/>
      <c r="BY2" s="224"/>
      <c r="BZ2" s="224"/>
      <c r="CA2" s="224"/>
      <c r="CB2" s="223"/>
      <c r="CC2" s="223"/>
      <c r="CD2" s="223"/>
    </row>
    <row r="3" spans="1:87" s="5" customFormat="1" ht="30" outlineLevel="1">
      <c r="A3" s="370" t="str">
        <f ca="1">"BẢNG THANH TOÁN TIỀN LƯƠNG THÁNG …."&amp;" NĂM "&amp;YEAR(NOW())</f>
        <v>BẢNG THANH TOÁN TIỀN LƯƠNG THÁNG …. NĂM 2026</v>
      </c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0"/>
      <c r="AH3" s="370"/>
      <c r="AI3" s="370"/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370"/>
      <c r="BG3" s="370"/>
      <c r="BH3" s="370"/>
      <c r="BI3" s="370"/>
      <c r="BJ3" s="370"/>
      <c r="BK3" s="370"/>
      <c r="BL3" s="370"/>
      <c r="BM3" s="370"/>
      <c r="BN3" s="370"/>
      <c r="BO3" s="370"/>
      <c r="BP3" s="370"/>
      <c r="BQ3" s="370"/>
      <c r="BR3" s="370"/>
      <c r="BS3" s="370"/>
      <c r="BT3" s="370"/>
      <c r="BU3" s="370"/>
      <c r="BV3" s="225"/>
      <c r="BW3" s="371" t="s">
        <v>131</v>
      </c>
      <c r="BX3" s="371"/>
      <c r="BY3" s="371"/>
      <c r="BZ3" s="371"/>
      <c r="CA3" s="371"/>
      <c r="CB3" s="372"/>
      <c r="CC3" s="60"/>
      <c r="CD3" s="60"/>
      <c r="CE3" s="5" t="s">
        <v>132</v>
      </c>
      <c r="CF3" s="5">
        <v>25</v>
      </c>
    </row>
    <row r="4" spans="1:87" s="5" customFormat="1" ht="33" hidden="1" outlineLevel="1">
      <c r="A4" s="4"/>
      <c r="B4" s="4"/>
      <c r="C4" s="4"/>
      <c r="D4" s="4"/>
      <c r="E4" s="4"/>
      <c r="F4" s="4"/>
      <c r="G4" s="4"/>
      <c r="H4" s="4"/>
      <c r="I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96"/>
      <c r="BW4" s="372"/>
      <c r="BX4" s="372"/>
      <c r="BY4" s="372"/>
      <c r="BZ4" s="372"/>
      <c r="CA4" s="372"/>
      <c r="CB4" s="372"/>
      <c r="CC4" s="60"/>
      <c r="CD4" s="60"/>
    </row>
    <row r="5" spans="1:87" s="3" customFormat="1" ht="33" hidden="1" outlineLevel="1">
      <c r="A5" s="4"/>
      <c r="B5" s="4"/>
      <c r="C5" s="4"/>
      <c r="D5" s="4"/>
      <c r="E5" s="4"/>
      <c r="F5" s="4"/>
      <c r="G5" s="4"/>
      <c r="H5" s="4"/>
      <c r="I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96"/>
      <c r="BW5" s="372"/>
      <c r="BX5" s="372"/>
      <c r="BY5" s="372"/>
      <c r="BZ5" s="372"/>
      <c r="CA5" s="372"/>
      <c r="CB5" s="372"/>
      <c r="CC5" s="60"/>
      <c r="CD5" s="60"/>
    </row>
    <row r="6" spans="1:87" s="3" customFormat="1" ht="33" hidden="1" outlineLevel="1">
      <c r="A6" s="7"/>
      <c r="B6" s="7"/>
      <c r="C6" s="7"/>
      <c r="D6" s="7"/>
      <c r="E6" s="7"/>
      <c r="F6" s="7"/>
      <c r="G6" s="7"/>
      <c r="H6" s="7"/>
      <c r="I6" s="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4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97"/>
      <c r="BW6" s="371"/>
      <c r="BX6" s="371"/>
      <c r="BY6" s="371"/>
      <c r="BZ6" s="371"/>
      <c r="CA6" s="371"/>
      <c r="CB6" s="372"/>
      <c r="CC6" s="60"/>
      <c r="CD6" s="60"/>
    </row>
    <row r="7" spans="1:87" s="3" customFormat="1" ht="33" hidden="1" outlineLevel="1">
      <c r="A7" s="10"/>
      <c r="B7" s="11"/>
      <c r="C7" s="10"/>
      <c r="D7" s="11"/>
      <c r="E7" s="11"/>
      <c r="F7" s="12"/>
      <c r="G7" s="11"/>
      <c r="H7" s="11"/>
      <c r="I7" s="1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3"/>
      <c r="W7" s="13"/>
      <c r="X7" s="13"/>
      <c r="Y7" s="9"/>
      <c r="Z7" s="9"/>
      <c r="AA7" s="9"/>
      <c r="AB7" s="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10"/>
      <c r="AW7" s="10"/>
      <c r="AX7" s="10"/>
      <c r="AY7" s="11"/>
      <c r="AZ7" s="10"/>
      <c r="BA7" s="11"/>
      <c r="BB7" s="11"/>
      <c r="BC7" s="10"/>
      <c r="BD7" s="10"/>
      <c r="BE7" s="11"/>
      <c r="BF7" s="11"/>
      <c r="BG7" s="11"/>
      <c r="BH7" s="11"/>
      <c r="BI7" s="11"/>
      <c r="BJ7" s="10"/>
      <c r="BK7" s="10"/>
      <c r="BL7" s="11"/>
      <c r="BM7" s="10"/>
      <c r="BN7" s="11"/>
      <c r="BO7" s="11"/>
      <c r="BP7" s="10"/>
      <c r="BQ7" s="10"/>
      <c r="BR7" s="10"/>
      <c r="BS7" s="10"/>
      <c r="BT7" s="11"/>
      <c r="BU7" s="10"/>
      <c r="BV7" s="98"/>
      <c r="BW7" s="15"/>
      <c r="BX7" s="15"/>
      <c r="BY7" s="15"/>
      <c r="BZ7" s="15"/>
      <c r="CA7" s="15"/>
      <c r="CB7" s="14"/>
      <c r="CC7" s="14"/>
      <c r="CD7" s="14"/>
    </row>
    <row r="8" spans="1:87" s="2" customFormat="1" ht="19.25" customHeight="1">
      <c r="A8" s="361" t="s">
        <v>0</v>
      </c>
      <c r="B8" s="362" t="s">
        <v>1</v>
      </c>
      <c r="C8" s="331" t="s">
        <v>2</v>
      </c>
      <c r="D8" s="363" t="s">
        <v>117</v>
      </c>
      <c r="E8" s="363" t="s">
        <v>4</v>
      </c>
      <c r="F8" s="373" t="s">
        <v>118</v>
      </c>
      <c r="G8" s="358" t="s">
        <v>6</v>
      </c>
      <c r="H8" s="364" t="s">
        <v>7</v>
      </c>
      <c r="I8" s="364" t="s">
        <v>8</v>
      </c>
      <c r="J8" s="358" t="s">
        <v>9</v>
      </c>
      <c r="K8" s="365" t="s">
        <v>10</v>
      </c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8" t="s">
        <v>11</v>
      </c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3"/>
      <c r="AP8" s="358" t="s">
        <v>12</v>
      </c>
      <c r="AQ8" s="358" t="s">
        <v>13</v>
      </c>
      <c r="AR8" s="358" t="s">
        <v>14</v>
      </c>
      <c r="AS8" s="358" t="s">
        <v>15</v>
      </c>
      <c r="AT8" s="358" t="s">
        <v>16</v>
      </c>
      <c r="AU8" s="358" t="s">
        <v>17</v>
      </c>
      <c r="AV8" s="331" t="s">
        <v>18</v>
      </c>
      <c r="AW8" s="331" t="s">
        <v>19</v>
      </c>
      <c r="AX8" s="331" t="s">
        <v>20</v>
      </c>
      <c r="AY8" s="324" t="s">
        <v>21</v>
      </c>
      <c r="AZ8" s="352"/>
      <c r="BA8" s="352"/>
      <c r="BB8" s="352"/>
      <c r="BC8" s="352"/>
      <c r="BD8" s="352"/>
      <c r="BE8" s="352"/>
      <c r="BF8" s="352"/>
      <c r="BG8" s="352"/>
      <c r="BH8" s="352"/>
      <c r="BI8" s="352"/>
      <c r="BJ8" s="352"/>
      <c r="BK8" s="352"/>
      <c r="BL8" s="352"/>
      <c r="BM8" s="352"/>
      <c r="BN8" s="352"/>
      <c r="BO8" s="352"/>
      <c r="BP8" s="353"/>
      <c r="BQ8" s="354" t="s">
        <v>22</v>
      </c>
      <c r="BR8" s="340"/>
      <c r="BS8" s="324" t="s">
        <v>119</v>
      </c>
      <c r="BT8" s="324" t="s">
        <v>23</v>
      </c>
      <c r="BU8" s="342" t="s">
        <v>24</v>
      </c>
      <c r="BV8" s="99"/>
      <c r="BW8" s="343" t="s">
        <v>25</v>
      </c>
      <c r="BX8" s="346" t="s">
        <v>26</v>
      </c>
      <c r="BY8" s="347"/>
      <c r="BZ8" s="347"/>
      <c r="CA8" s="340"/>
      <c r="CB8" s="351" t="s">
        <v>27</v>
      </c>
      <c r="CC8" s="336" t="s">
        <v>28</v>
      </c>
      <c r="CD8" s="336" t="s">
        <v>29</v>
      </c>
      <c r="CH8" s="16"/>
      <c r="CI8" s="17"/>
    </row>
    <row r="9" spans="1:87" s="2" customFormat="1" ht="19.25" customHeight="1">
      <c r="A9" s="332"/>
      <c r="B9" s="332"/>
      <c r="C9" s="332"/>
      <c r="D9" s="332"/>
      <c r="E9" s="332"/>
      <c r="F9" s="332"/>
      <c r="G9" s="332"/>
      <c r="H9" s="332"/>
      <c r="I9" s="332"/>
      <c r="J9" s="332"/>
      <c r="K9" s="338" t="s">
        <v>30</v>
      </c>
      <c r="L9" s="338" t="s">
        <v>31</v>
      </c>
      <c r="M9" s="338" t="s">
        <v>32</v>
      </c>
      <c r="N9" s="338" t="s">
        <v>33</v>
      </c>
      <c r="O9" s="338" t="s">
        <v>34</v>
      </c>
      <c r="P9" s="338" t="s">
        <v>35</v>
      </c>
      <c r="Q9" s="338" t="s">
        <v>36</v>
      </c>
      <c r="R9" s="338" t="s">
        <v>37</v>
      </c>
      <c r="S9" s="338" t="s">
        <v>38</v>
      </c>
      <c r="T9" s="338" t="s">
        <v>39</v>
      </c>
      <c r="U9" s="338" t="s">
        <v>40</v>
      </c>
      <c r="V9" s="339" t="s">
        <v>41</v>
      </c>
      <c r="W9" s="340"/>
      <c r="X9" s="338" t="s">
        <v>42</v>
      </c>
      <c r="Y9" s="333" t="s">
        <v>43</v>
      </c>
      <c r="Z9" s="333" t="s">
        <v>44</v>
      </c>
      <c r="AA9" s="333" t="s">
        <v>45</v>
      </c>
      <c r="AB9" s="333" t="s">
        <v>46</v>
      </c>
      <c r="AC9" s="335" t="s">
        <v>47</v>
      </c>
      <c r="AD9" s="335" t="s">
        <v>120</v>
      </c>
      <c r="AE9" s="335" t="s">
        <v>49</v>
      </c>
      <c r="AF9" s="335" t="s">
        <v>50</v>
      </c>
      <c r="AG9" s="333" t="s">
        <v>51</v>
      </c>
      <c r="AH9" s="335" t="s">
        <v>52</v>
      </c>
      <c r="AI9" s="335" t="s">
        <v>53</v>
      </c>
      <c r="AJ9" s="333" t="s">
        <v>54</v>
      </c>
      <c r="AK9" s="328" t="s">
        <v>55</v>
      </c>
      <c r="AL9" s="331" t="s">
        <v>56</v>
      </c>
      <c r="AM9" s="333" t="s">
        <v>57</v>
      </c>
      <c r="AN9" s="334" t="s">
        <v>58</v>
      </c>
      <c r="AO9" s="331" t="s">
        <v>59</v>
      </c>
      <c r="AP9" s="332"/>
      <c r="AQ9" s="332"/>
      <c r="AR9" s="332"/>
      <c r="AS9" s="332"/>
      <c r="AT9" s="332"/>
      <c r="AU9" s="332"/>
      <c r="AV9" s="332"/>
      <c r="AW9" s="332"/>
      <c r="AX9" s="332"/>
      <c r="AY9" s="324" t="s">
        <v>21</v>
      </c>
      <c r="AZ9" s="352"/>
      <c r="BA9" s="352"/>
      <c r="BB9" s="352"/>
      <c r="BC9" s="352"/>
      <c r="BD9" s="352"/>
      <c r="BE9" s="352"/>
      <c r="BF9" s="352"/>
      <c r="BG9" s="352"/>
      <c r="BH9" s="352"/>
      <c r="BI9" s="352"/>
      <c r="BJ9" s="353"/>
      <c r="BK9" s="324" t="s">
        <v>60</v>
      </c>
      <c r="BL9" s="352"/>
      <c r="BM9" s="352"/>
      <c r="BN9" s="352"/>
      <c r="BO9" s="352"/>
      <c r="BP9" s="353"/>
      <c r="BQ9" s="355" t="s">
        <v>61</v>
      </c>
      <c r="BR9" s="355" t="s">
        <v>62</v>
      </c>
      <c r="BS9" s="332"/>
      <c r="BT9" s="332"/>
      <c r="BU9" s="329"/>
      <c r="BV9" s="99"/>
      <c r="BW9" s="344"/>
      <c r="BX9" s="329"/>
      <c r="BY9" s="348"/>
      <c r="BZ9" s="348"/>
      <c r="CA9" s="344"/>
      <c r="CB9" s="332"/>
      <c r="CC9" s="332"/>
      <c r="CD9" s="332"/>
      <c r="CH9" s="16"/>
      <c r="CI9" s="17"/>
    </row>
    <row r="10" spans="1:87" s="18" customFormat="1" ht="19.25" customHeight="1">
      <c r="A10" s="332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0"/>
      <c r="W10" s="341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29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88" t="s">
        <v>63</v>
      </c>
      <c r="AZ10" s="88" t="s">
        <v>64</v>
      </c>
      <c r="BA10" s="88" t="s">
        <v>65</v>
      </c>
      <c r="BB10" s="369" t="s">
        <v>66</v>
      </c>
      <c r="BC10" s="367" t="s">
        <v>67</v>
      </c>
      <c r="BD10" s="367" t="s">
        <v>68</v>
      </c>
      <c r="BE10" s="367" t="s">
        <v>121</v>
      </c>
      <c r="BF10" s="367" t="s">
        <v>70</v>
      </c>
      <c r="BG10" s="367" t="s">
        <v>71</v>
      </c>
      <c r="BH10" s="367" t="s">
        <v>72</v>
      </c>
      <c r="BI10" s="367" t="s">
        <v>75</v>
      </c>
      <c r="BJ10" s="368" t="s">
        <v>76</v>
      </c>
      <c r="BK10" s="367" t="s">
        <v>77</v>
      </c>
      <c r="BL10" s="366" t="s">
        <v>78</v>
      </c>
      <c r="BM10" s="367" t="s">
        <v>79</v>
      </c>
      <c r="BN10" s="366" t="s">
        <v>80</v>
      </c>
      <c r="BO10" s="366" t="s">
        <v>122</v>
      </c>
      <c r="BP10" s="324" t="s">
        <v>81</v>
      </c>
      <c r="BQ10" s="332"/>
      <c r="BR10" s="332"/>
      <c r="BS10" s="332"/>
      <c r="BT10" s="332"/>
      <c r="BU10" s="329"/>
      <c r="BV10" s="99"/>
      <c r="BW10" s="344"/>
      <c r="BX10" s="349"/>
      <c r="BY10" s="350"/>
      <c r="BZ10" s="350"/>
      <c r="CA10" s="345"/>
      <c r="CB10" s="332"/>
      <c r="CC10" s="332"/>
      <c r="CD10" s="332"/>
      <c r="CH10" s="16"/>
      <c r="CI10" s="17"/>
    </row>
    <row r="11" spans="1:87" s="18" customFormat="1" ht="38.25" customHeight="1">
      <c r="A11" s="325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19" t="s">
        <v>82</v>
      </c>
      <c r="W11" s="19" t="s">
        <v>83</v>
      </c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325"/>
      <c r="AJ11" s="325"/>
      <c r="AK11" s="330"/>
      <c r="AL11" s="325"/>
      <c r="AM11" s="325"/>
      <c r="AN11" s="325"/>
      <c r="AO11" s="325"/>
      <c r="AP11" s="325"/>
      <c r="AQ11" s="325"/>
      <c r="AR11" s="325"/>
      <c r="AS11" s="325"/>
      <c r="AT11" s="325"/>
      <c r="AU11" s="325"/>
      <c r="AV11" s="325"/>
      <c r="AW11" s="325"/>
      <c r="AX11" s="325"/>
      <c r="AY11" s="89" t="s">
        <v>84</v>
      </c>
      <c r="AZ11" s="89" t="s">
        <v>85</v>
      </c>
      <c r="BA11" s="89" t="s">
        <v>86</v>
      </c>
      <c r="BB11" s="325"/>
      <c r="BC11" s="325"/>
      <c r="BD11" s="325"/>
      <c r="BE11" s="325"/>
      <c r="BF11" s="325"/>
      <c r="BG11" s="325"/>
      <c r="BH11" s="325"/>
      <c r="BI11" s="325"/>
      <c r="BJ11" s="325"/>
      <c r="BK11" s="325"/>
      <c r="BL11" s="325"/>
      <c r="BM11" s="325"/>
      <c r="BN11" s="325"/>
      <c r="BO11" s="325"/>
      <c r="BP11" s="325"/>
      <c r="BQ11" s="325"/>
      <c r="BR11" s="325"/>
      <c r="BS11" s="325"/>
      <c r="BT11" s="325"/>
      <c r="BU11" s="330"/>
      <c r="BV11" s="99"/>
      <c r="BW11" s="345"/>
      <c r="BX11" s="61" t="s">
        <v>87</v>
      </c>
      <c r="BY11" s="61" t="s">
        <v>88</v>
      </c>
      <c r="BZ11" s="61" t="s">
        <v>89</v>
      </c>
      <c r="CA11" s="62" t="s">
        <v>90</v>
      </c>
      <c r="CB11" s="337"/>
      <c r="CC11" s="337"/>
      <c r="CD11" s="337"/>
      <c r="CE11" s="2"/>
      <c r="CF11" s="20"/>
      <c r="CH11" s="16"/>
      <c r="CI11" s="17"/>
    </row>
    <row r="12" spans="1:87" s="23" customFormat="1" ht="16">
      <c r="A12" s="21">
        <v>1</v>
      </c>
      <c r="B12" s="22">
        <f>A12+1</f>
        <v>2</v>
      </c>
      <c r="C12" s="22">
        <f t="shared" ref="C12:BN12" si="0">B12+1</f>
        <v>3</v>
      </c>
      <c r="D12" s="22">
        <f t="shared" si="0"/>
        <v>4</v>
      </c>
      <c r="E12" s="22"/>
      <c r="F12" s="22">
        <f>D12+1</f>
        <v>5</v>
      </c>
      <c r="G12" s="22">
        <f t="shared" si="0"/>
        <v>6</v>
      </c>
      <c r="H12" s="22">
        <f t="shared" si="0"/>
        <v>7</v>
      </c>
      <c r="I12" s="22">
        <f t="shared" si="0"/>
        <v>8</v>
      </c>
      <c r="J12" s="22">
        <f t="shared" si="0"/>
        <v>9</v>
      </c>
      <c r="K12" s="22">
        <f t="shared" si="0"/>
        <v>10</v>
      </c>
      <c r="L12" s="22">
        <f t="shared" si="0"/>
        <v>11</v>
      </c>
      <c r="M12" s="22">
        <f t="shared" si="0"/>
        <v>12</v>
      </c>
      <c r="N12" s="22">
        <f t="shared" si="0"/>
        <v>13</v>
      </c>
      <c r="O12" s="22">
        <f t="shared" si="0"/>
        <v>14</v>
      </c>
      <c r="P12" s="22">
        <f t="shared" si="0"/>
        <v>15</v>
      </c>
      <c r="Q12" s="22">
        <f t="shared" si="0"/>
        <v>16</v>
      </c>
      <c r="R12" s="22">
        <f t="shared" si="0"/>
        <v>17</v>
      </c>
      <c r="S12" s="22">
        <f t="shared" si="0"/>
        <v>18</v>
      </c>
      <c r="T12" s="22">
        <f t="shared" si="0"/>
        <v>19</v>
      </c>
      <c r="U12" s="22">
        <f t="shared" si="0"/>
        <v>20</v>
      </c>
      <c r="V12" s="22">
        <f t="shared" si="0"/>
        <v>21</v>
      </c>
      <c r="W12" s="22">
        <f t="shared" si="0"/>
        <v>22</v>
      </c>
      <c r="X12" s="22">
        <f t="shared" si="0"/>
        <v>23</v>
      </c>
      <c r="Y12" s="22">
        <f t="shared" si="0"/>
        <v>24</v>
      </c>
      <c r="Z12" s="22">
        <f t="shared" si="0"/>
        <v>25</v>
      </c>
      <c r="AA12" s="22">
        <f t="shared" si="0"/>
        <v>26</v>
      </c>
      <c r="AB12" s="22">
        <f t="shared" si="0"/>
        <v>27</v>
      </c>
      <c r="AC12" s="22">
        <f t="shared" si="0"/>
        <v>28</v>
      </c>
      <c r="AD12" s="22">
        <f t="shared" si="0"/>
        <v>29</v>
      </c>
      <c r="AE12" s="22">
        <f t="shared" si="0"/>
        <v>30</v>
      </c>
      <c r="AF12" s="22">
        <f t="shared" si="0"/>
        <v>31</v>
      </c>
      <c r="AG12" s="22">
        <f t="shared" si="0"/>
        <v>32</v>
      </c>
      <c r="AH12" s="22">
        <f t="shared" si="0"/>
        <v>33</v>
      </c>
      <c r="AI12" s="22">
        <f t="shared" si="0"/>
        <v>34</v>
      </c>
      <c r="AJ12" s="22">
        <f t="shared" si="0"/>
        <v>35</v>
      </c>
      <c r="AK12" s="22">
        <f t="shared" si="0"/>
        <v>36</v>
      </c>
      <c r="AL12" s="22">
        <f t="shared" si="0"/>
        <v>37</v>
      </c>
      <c r="AM12" s="22">
        <f t="shared" si="0"/>
        <v>38</v>
      </c>
      <c r="AN12" s="22">
        <f t="shared" si="0"/>
        <v>39</v>
      </c>
      <c r="AO12" s="22">
        <f t="shared" si="0"/>
        <v>40</v>
      </c>
      <c r="AP12" s="22">
        <f t="shared" si="0"/>
        <v>41</v>
      </c>
      <c r="AQ12" s="22">
        <f t="shared" si="0"/>
        <v>42</v>
      </c>
      <c r="AR12" s="22">
        <f t="shared" si="0"/>
        <v>43</v>
      </c>
      <c r="AS12" s="22">
        <f t="shared" si="0"/>
        <v>44</v>
      </c>
      <c r="AT12" s="22">
        <f t="shared" si="0"/>
        <v>45</v>
      </c>
      <c r="AU12" s="22">
        <f t="shared" si="0"/>
        <v>46</v>
      </c>
      <c r="AV12" s="22">
        <f t="shared" si="0"/>
        <v>47</v>
      </c>
      <c r="AW12" s="22"/>
      <c r="AX12" s="22"/>
      <c r="AY12" s="22">
        <f>AV12+1</f>
        <v>48</v>
      </c>
      <c r="AZ12" s="22">
        <f t="shared" si="0"/>
        <v>49</v>
      </c>
      <c r="BA12" s="22">
        <f t="shared" si="0"/>
        <v>50</v>
      </c>
      <c r="BB12" s="22">
        <f t="shared" si="0"/>
        <v>51</v>
      </c>
      <c r="BC12" s="22">
        <f t="shared" si="0"/>
        <v>52</v>
      </c>
      <c r="BD12" s="22">
        <f t="shared" si="0"/>
        <v>53</v>
      </c>
      <c r="BE12" s="22">
        <f t="shared" si="0"/>
        <v>54</v>
      </c>
      <c r="BF12" s="22"/>
      <c r="BG12" s="22"/>
      <c r="BH12" s="22"/>
      <c r="BI12" s="22"/>
      <c r="BJ12" s="22">
        <f>BE12+1</f>
        <v>55</v>
      </c>
      <c r="BK12" s="22">
        <f t="shared" si="0"/>
        <v>56</v>
      </c>
      <c r="BL12" s="22">
        <f t="shared" si="0"/>
        <v>57</v>
      </c>
      <c r="BM12" s="22">
        <f t="shared" si="0"/>
        <v>58</v>
      </c>
      <c r="BN12" s="22">
        <f t="shared" si="0"/>
        <v>59</v>
      </c>
      <c r="BO12" s="22"/>
      <c r="BP12" s="22">
        <f>BN12+1</f>
        <v>60</v>
      </c>
      <c r="BQ12" s="22">
        <f t="shared" ref="BQ12:BU12" si="1">BP12+1</f>
        <v>61</v>
      </c>
      <c r="BR12" s="22">
        <f t="shared" si="1"/>
        <v>62</v>
      </c>
      <c r="BS12" s="22"/>
      <c r="BT12" s="22">
        <f>BR12+1</f>
        <v>63</v>
      </c>
      <c r="BU12" s="22">
        <f t="shared" si="1"/>
        <v>64</v>
      </c>
      <c r="BV12" s="100"/>
      <c r="BW12" s="93" t="s">
        <v>91</v>
      </c>
      <c r="BX12" s="22">
        <f t="shared" ref="BX12:CD12" si="2">BW12+1</f>
        <v>66</v>
      </c>
      <c r="BY12" s="22">
        <f t="shared" si="2"/>
        <v>67</v>
      </c>
      <c r="BZ12" s="22">
        <f t="shared" si="2"/>
        <v>68</v>
      </c>
      <c r="CA12" s="22">
        <f t="shared" si="2"/>
        <v>69</v>
      </c>
      <c r="CB12" s="22">
        <f t="shared" si="2"/>
        <v>70</v>
      </c>
      <c r="CC12" s="22">
        <f t="shared" si="2"/>
        <v>71</v>
      </c>
      <c r="CD12" s="22">
        <f t="shared" si="2"/>
        <v>72</v>
      </c>
      <c r="CG12" s="18"/>
      <c r="CH12" s="16"/>
      <c r="CI12" s="17"/>
    </row>
    <row r="13" spans="1:87" s="64" customFormat="1" ht="16">
      <c r="A13" s="66" t="s">
        <v>92</v>
      </c>
      <c r="B13" s="66" t="s">
        <v>92</v>
      </c>
      <c r="C13" s="66" t="s">
        <v>92</v>
      </c>
      <c r="D13" s="22"/>
      <c r="E13" s="22"/>
      <c r="F13" s="22"/>
      <c r="G13" s="66" t="s">
        <v>92</v>
      </c>
      <c r="H13" s="66" t="s">
        <v>92</v>
      </c>
      <c r="I13" s="66" t="s">
        <v>92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90"/>
      <c r="BV13" s="101"/>
      <c r="BW13" s="94"/>
      <c r="BX13" s="63"/>
      <c r="BY13" s="63"/>
      <c r="BZ13" s="63"/>
      <c r="CA13" s="63"/>
      <c r="CB13" s="63"/>
      <c r="CC13" s="63"/>
      <c r="CD13" s="63"/>
      <c r="CG13" s="65"/>
      <c r="CH13" s="16"/>
      <c r="CI13" s="17"/>
    </row>
    <row r="14" spans="1:87" s="73" customFormat="1" ht="13">
      <c r="A14" s="67"/>
      <c r="B14" s="68"/>
      <c r="C14" s="68"/>
      <c r="D14" s="69"/>
      <c r="E14" s="69"/>
      <c r="F14" s="69"/>
      <c r="G14" s="68">
        <f>SUM(G15:G21)</f>
        <v>50340000</v>
      </c>
      <c r="H14" s="68">
        <f t="shared" ref="H14:I14" si="3">SUM(H15:H21)</f>
        <v>4020000</v>
      </c>
      <c r="I14" s="68">
        <f t="shared" si="3"/>
        <v>167340000</v>
      </c>
      <c r="J14" s="68"/>
      <c r="K14" s="70">
        <f t="shared" ref="K14:BU14" si="4">SUM(K15:K21)</f>
        <v>75.5</v>
      </c>
      <c r="L14" s="70"/>
      <c r="M14" s="70"/>
      <c r="N14" s="70"/>
      <c r="O14" s="70"/>
      <c r="P14" s="70"/>
      <c r="Q14" s="70"/>
      <c r="R14" s="70">
        <f>SUM(R15:R21)</f>
        <v>12</v>
      </c>
      <c r="S14" s="70">
        <f t="shared" si="4"/>
        <v>0</v>
      </c>
      <c r="T14" s="70"/>
      <c r="U14" s="70">
        <f t="shared" si="4"/>
        <v>0</v>
      </c>
      <c r="V14" s="70">
        <f t="shared" si="4"/>
        <v>0</v>
      </c>
      <c r="W14" s="70">
        <f t="shared" si="4"/>
        <v>0</v>
      </c>
      <c r="X14" s="70">
        <f t="shared" si="4"/>
        <v>0</v>
      </c>
      <c r="Y14" s="68">
        <f t="shared" si="4"/>
        <v>20878269.230769232</v>
      </c>
      <c r="Z14" s="68"/>
      <c r="AA14" s="68"/>
      <c r="AB14" s="68"/>
      <c r="AC14" s="68">
        <f t="shared" si="4"/>
        <v>0</v>
      </c>
      <c r="AD14" s="68">
        <f t="shared" si="4"/>
        <v>0</v>
      </c>
      <c r="AE14" s="68"/>
      <c r="AF14" s="68">
        <f t="shared" si="4"/>
        <v>0</v>
      </c>
      <c r="AG14" s="68">
        <f t="shared" si="4"/>
        <v>0</v>
      </c>
      <c r="AH14" s="68">
        <f t="shared" si="4"/>
        <v>0</v>
      </c>
      <c r="AI14" s="68">
        <f t="shared" si="4"/>
        <v>0</v>
      </c>
      <c r="AJ14" s="68">
        <f t="shared" si="4"/>
        <v>0</v>
      </c>
      <c r="AK14" s="68">
        <f t="shared" si="4"/>
        <v>0</v>
      </c>
      <c r="AL14" s="68">
        <f t="shared" si="4"/>
        <v>0</v>
      </c>
      <c r="AM14" s="68">
        <f t="shared" si="4"/>
        <v>0</v>
      </c>
      <c r="AN14" s="68">
        <f t="shared" si="4"/>
        <v>1655769.230769231</v>
      </c>
      <c r="AO14" s="68">
        <f t="shared" si="4"/>
        <v>92927596.15384616</v>
      </c>
      <c r="AP14" s="68"/>
      <c r="AQ14" s="68"/>
      <c r="AR14" s="68"/>
      <c r="AS14" s="68"/>
      <c r="AT14" s="68"/>
      <c r="AU14" s="68"/>
      <c r="AV14" s="68">
        <f t="shared" si="4"/>
        <v>128527211.53846155</v>
      </c>
      <c r="AW14" s="68"/>
      <c r="AX14" s="68"/>
      <c r="AY14" s="68">
        <f t="shared" si="4"/>
        <v>4348800</v>
      </c>
      <c r="AZ14" s="68">
        <f t="shared" si="4"/>
        <v>815400</v>
      </c>
      <c r="BA14" s="68">
        <f t="shared" si="4"/>
        <v>543600</v>
      </c>
      <c r="BB14" s="68">
        <f t="shared" si="4"/>
        <v>5707800</v>
      </c>
      <c r="BC14" s="68">
        <f t="shared" si="4"/>
        <v>0</v>
      </c>
      <c r="BD14" s="68"/>
      <c r="BE14" s="68">
        <f t="shared" si="4"/>
        <v>503400</v>
      </c>
      <c r="BF14" s="68"/>
      <c r="BG14" s="68"/>
      <c r="BH14" s="68"/>
      <c r="BI14" s="68"/>
      <c r="BJ14" s="68">
        <f t="shared" si="4"/>
        <v>4630005</v>
      </c>
      <c r="BK14" s="68">
        <f t="shared" si="4"/>
        <v>0</v>
      </c>
      <c r="BL14" s="68">
        <f t="shared" si="4"/>
        <v>0</v>
      </c>
      <c r="BM14" s="68">
        <f t="shared" si="4"/>
        <v>0</v>
      </c>
      <c r="BN14" s="68">
        <f t="shared" si="4"/>
        <v>0</v>
      </c>
      <c r="BO14" s="68"/>
      <c r="BP14" s="68">
        <f t="shared" si="4"/>
        <v>0</v>
      </c>
      <c r="BQ14" s="68"/>
      <c r="BR14" s="68"/>
      <c r="BS14" s="68"/>
      <c r="BT14" s="68">
        <f t="shared" si="4"/>
        <v>104321384.61538464</v>
      </c>
      <c r="BU14" s="91">
        <f t="shared" si="4"/>
        <v>0</v>
      </c>
      <c r="BV14" s="102"/>
      <c r="BW14" s="95"/>
      <c r="BX14" s="71"/>
      <c r="BY14" s="71"/>
      <c r="BZ14" s="71"/>
      <c r="CA14" s="71"/>
      <c r="CB14" s="71"/>
      <c r="CC14" s="71"/>
      <c r="CD14" s="71"/>
    </row>
    <row r="15" spans="1:87" s="86" customFormat="1" ht="13">
      <c r="A15" s="74">
        <f>IF(B15=0,"",COUNTA($B$15:(B15)))</f>
        <v>1</v>
      </c>
      <c r="B15" s="75">
        <v>2405236</v>
      </c>
      <c r="C15" s="76" t="s">
        <v>133</v>
      </c>
      <c r="D15" s="77" t="s">
        <v>134</v>
      </c>
      <c r="E15" s="108" t="s">
        <v>99</v>
      </c>
      <c r="F15" s="109" t="s">
        <v>94</v>
      </c>
      <c r="G15" s="78">
        <v>9520000</v>
      </c>
      <c r="H15" s="78">
        <f t="shared" ref="H15:H21" si="5">+IF(OR(CC15="ĐT PCCC",CC15="ĐP PCCC"),780000,IF(CC15="AT-VSV",300000,0))</f>
        <v>780000</v>
      </c>
      <c r="I15" s="78">
        <f t="shared" ref="I15:I21" si="6">CB15-BZ15-G15-H15</f>
        <v>49700000</v>
      </c>
      <c r="J15" s="79">
        <v>1</v>
      </c>
      <c r="K15" s="80">
        <v>11</v>
      </c>
      <c r="L15" s="80"/>
      <c r="M15" s="80"/>
      <c r="N15" s="80"/>
      <c r="O15" s="80">
        <v>2</v>
      </c>
      <c r="P15" s="80"/>
      <c r="Q15" s="80"/>
      <c r="R15" s="80">
        <v>0</v>
      </c>
      <c r="S15" s="80">
        <v>0</v>
      </c>
      <c r="T15" s="80"/>
      <c r="U15" s="80">
        <v>0</v>
      </c>
      <c r="V15" s="80">
        <v>0</v>
      </c>
      <c r="W15" s="80">
        <v>0</v>
      </c>
      <c r="X15" s="80">
        <v>0</v>
      </c>
      <c r="Y15" s="78">
        <f>G15*(K15+L15)/26</f>
        <v>4027692.3076923075</v>
      </c>
      <c r="Z15" s="78">
        <f>M15*G15/26</f>
        <v>0</v>
      </c>
      <c r="AA15" s="78">
        <f>G15*N15/26</f>
        <v>0</v>
      </c>
      <c r="AB15" s="78">
        <f>G15*O15/26</f>
        <v>732307.69230769225</v>
      </c>
      <c r="AC15" s="78">
        <f>G15*P15*150%/26</f>
        <v>0</v>
      </c>
      <c r="AD15" s="78">
        <f>G15*Q15/26*200%</f>
        <v>0</v>
      </c>
      <c r="AE15" s="78">
        <f>G15*R15/26*300%</f>
        <v>0</v>
      </c>
      <c r="AF15" s="78">
        <f>IF(F15="LT",0,(G15+H15)/26*S15*30%)</f>
        <v>0</v>
      </c>
      <c r="AG15" s="78">
        <f>T15*G15/23/8</f>
        <v>0</v>
      </c>
      <c r="AH15" s="78">
        <f t="shared" ref="AH15:AH21" si="7">CB15/26*U15</f>
        <v>0</v>
      </c>
      <c r="AI15" s="78">
        <f>G15*V15/26</f>
        <v>0</v>
      </c>
      <c r="AJ15" s="78"/>
      <c r="AK15" s="78">
        <f t="shared" ref="AK15:AK21" si="8">BZ15*L15/26</f>
        <v>0</v>
      </c>
      <c r="AL15" s="78"/>
      <c r="AM15" s="78">
        <f t="shared" ref="AM15:AM21" si="9">X15*CD15</f>
        <v>0</v>
      </c>
      <c r="AN15" s="78">
        <f>H15/26*(K15+L15)</f>
        <v>330000</v>
      </c>
      <c r="AO15" s="78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78"/>
      <c r="AQ15" s="78"/>
      <c r="AR15" s="78"/>
      <c r="AS15" s="78"/>
      <c r="AT15" s="78"/>
      <c r="AU15" s="78"/>
      <c r="AV15" s="81">
        <f>Y15+Z15+AA15+AB15+AC15+AD15+AE15+AF15+AG15+AI15+AJ15+AK15+AL15+AM15+AN15+AO15+AP15-AQ15+AR15+AS15+AT15+AU15</f>
        <v>32307692.307692312</v>
      </c>
      <c r="AW15" s="81"/>
      <c r="AX15" s="81" t="s">
        <v>95</v>
      </c>
      <c r="AY15" s="72">
        <f>ROUND(IF($AX15="x",($G15+$H15)*AY$11,0),0)</f>
        <v>824000</v>
      </c>
      <c r="AZ15" s="72">
        <f>ROUND(IF($AX15="x",($G15+$H15)*AZ$11,0),0)</f>
        <v>154500</v>
      </c>
      <c r="BA15" s="72">
        <f>ROUND(IF($AX15="x",($G15+$H15)*BA$11,0),0)</f>
        <v>103000</v>
      </c>
      <c r="BB15" s="72">
        <f>SUM(AY15:BA15)</f>
        <v>1081500</v>
      </c>
      <c r="BC15" s="72"/>
      <c r="BD15" s="72"/>
      <c r="BE15" s="72">
        <f>IF(G15*1%&gt;=234000,234000,G15*1%)</f>
        <v>95200</v>
      </c>
      <c r="BF15" s="72">
        <f>AM15+IF(AR15&gt;="730000",730000,AR15)+IF(((AV15-AM15-IF(AR15&gt;="730000",730000,AR15)-AS15)*15%-AS15)&gt;"0",((AV15-AM15-IF(AR15&gt;="730000",730000,AR15)-AS15)*15%-AS15),0)</f>
        <v>0</v>
      </c>
      <c r="BG15" s="72">
        <f>AV15-BF15+AW15</f>
        <v>32307692.307692312</v>
      </c>
      <c r="BH15" s="72">
        <v>3</v>
      </c>
      <c r="BI15" s="72">
        <f>BG15-BB15-BC15+BD15-BH15*4400000-IF(E15="CT",11000000,0)</f>
        <v>18026192.307692312</v>
      </c>
      <c r="BJ15" s="71">
        <f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1955238</v>
      </c>
      <c r="BK15" s="72"/>
      <c r="BL15" s="72"/>
      <c r="BM15" s="72">
        <v>0</v>
      </c>
      <c r="BN15" s="72"/>
      <c r="BO15" s="72"/>
      <c r="BP15" s="72"/>
      <c r="BQ15" s="72"/>
      <c r="BR15" s="72"/>
      <c r="BS15" s="72" t="str">
        <f>IF(AV15&gt;=11000000,"80%","100%")</f>
        <v>80%</v>
      </c>
      <c r="BT15" s="72">
        <f>AV15*BS15-BN15-BK15-BP15-BO15</f>
        <v>25846153.846153852</v>
      </c>
      <c r="BU15" s="92"/>
      <c r="BV15" s="103"/>
      <c r="BW15" s="95">
        <v>60000000</v>
      </c>
      <c r="BX15" s="71">
        <v>0</v>
      </c>
      <c r="BY15" s="71"/>
      <c r="BZ15" s="71"/>
      <c r="CA15" s="71">
        <v>0</v>
      </c>
      <c r="CB15" s="71">
        <f>SUM(BW15:CA15)</f>
        <v>60000000</v>
      </c>
      <c r="CC15" s="71" t="s">
        <v>148</v>
      </c>
      <c r="CD15" s="71"/>
      <c r="CE15" s="82"/>
      <c r="CF15" s="83"/>
      <c r="CG15" s="83"/>
      <c r="CH15" s="84"/>
      <c r="CI15" s="85"/>
    </row>
    <row r="16" spans="1:87" s="86" customFormat="1" ht="13">
      <c r="A16" s="74">
        <f>IF(B16=0,"",COUNTA($B$15:(B16)))</f>
        <v>2</v>
      </c>
      <c r="B16" s="75">
        <v>2106723</v>
      </c>
      <c r="C16" s="76" t="s">
        <v>135</v>
      </c>
      <c r="D16" s="77" t="s">
        <v>136</v>
      </c>
      <c r="E16" s="108" t="s">
        <v>93</v>
      </c>
      <c r="F16" s="109" t="s">
        <v>94</v>
      </c>
      <c r="G16" s="78">
        <v>8480000</v>
      </c>
      <c r="H16" s="78">
        <f t="shared" si="5"/>
        <v>780000</v>
      </c>
      <c r="I16" s="78">
        <f t="shared" si="6"/>
        <v>32740000</v>
      </c>
      <c r="J16" s="79">
        <v>1</v>
      </c>
      <c r="K16" s="80">
        <v>10.5</v>
      </c>
      <c r="L16" s="80"/>
      <c r="M16" s="80">
        <v>0.5</v>
      </c>
      <c r="N16" s="80"/>
      <c r="O16" s="80">
        <v>2</v>
      </c>
      <c r="P16" s="80"/>
      <c r="Q16" s="80"/>
      <c r="R16" s="80">
        <v>0</v>
      </c>
      <c r="S16" s="80">
        <v>0</v>
      </c>
      <c r="T16" s="80"/>
      <c r="U16" s="80">
        <v>0</v>
      </c>
      <c r="V16" s="80">
        <v>0</v>
      </c>
      <c r="W16" s="80">
        <v>0</v>
      </c>
      <c r="X16" s="80">
        <v>0</v>
      </c>
      <c r="Y16" s="78">
        <f t="shared" ref="Y16:Y21" si="10">G16*(K16+L16)/26</f>
        <v>3424615.3846153845</v>
      </c>
      <c r="Z16" s="78">
        <f t="shared" ref="Z16:Z21" si="11">M16*G16/26</f>
        <v>163076.92307692306</v>
      </c>
      <c r="AA16" s="78">
        <f t="shared" ref="AA16:AA21" si="12">G16*N16/26</f>
        <v>0</v>
      </c>
      <c r="AB16" s="78">
        <f t="shared" ref="AB16:AB21" si="13">G16*O16/26</f>
        <v>652307.69230769225</v>
      </c>
      <c r="AC16" s="78">
        <f t="shared" ref="AC16:AC21" si="14">G16*P16*150%/26</f>
        <v>0</v>
      </c>
      <c r="AD16" s="78">
        <f t="shared" ref="AD16:AD21" si="15">G16*Q16/26*200%</f>
        <v>0</v>
      </c>
      <c r="AE16" s="78">
        <f t="shared" ref="AE16:AE21" si="16">G16*R16/26*300%</f>
        <v>0</v>
      </c>
      <c r="AF16" s="78">
        <f t="shared" ref="AF16:AF21" si="17">IF(F16="LT",0,(G16+H16)/26*S16*30%)</f>
        <v>0</v>
      </c>
      <c r="AG16" s="78">
        <f t="shared" ref="AG16:AG21" si="18">T16*G16/23/8</f>
        <v>0</v>
      </c>
      <c r="AH16" s="78">
        <f t="shared" si="7"/>
        <v>0</v>
      </c>
      <c r="AI16" s="78">
        <f t="shared" ref="AI16:AI21" si="19">G16*V16/26</f>
        <v>0</v>
      </c>
      <c r="AJ16" s="78"/>
      <c r="AK16" s="78">
        <f t="shared" si="8"/>
        <v>0</v>
      </c>
      <c r="AL16" s="78"/>
      <c r="AM16" s="78">
        <f t="shared" si="9"/>
        <v>0</v>
      </c>
      <c r="AN16" s="78">
        <f t="shared" ref="AN16:AN21" si="20">H16/26*K16</f>
        <v>315000</v>
      </c>
      <c r="AO16" s="78">
        <f t="shared" ref="AO16:AO21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78"/>
      <c r="AQ16" s="78"/>
      <c r="AR16" s="78"/>
      <c r="AS16" s="78"/>
      <c r="AT16" s="78"/>
      <c r="AU16" s="78"/>
      <c r="AV16" s="81">
        <f t="shared" ref="AV16:AV21" si="22">Y16+Z16+AA16+AB16+AC16+AD16+AE16+AF16+AG16+AI16+AJ16+AK16+AL16+AM16+AN16+AO16+AP16-AQ16+AR16+AS16+AT16+AU16</f>
        <v>22139230.769230772</v>
      </c>
      <c r="AW16" s="81"/>
      <c r="AX16" s="81" t="s">
        <v>95</v>
      </c>
      <c r="AY16" s="72">
        <f t="shared" ref="AY16:BA21" si="23">ROUND(IF($AX16="x",($G16+$H16)*AY$11,0),0)</f>
        <v>740800</v>
      </c>
      <c r="AZ16" s="72">
        <f t="shared" si="23"/>
        <v>138900</v>
      </c>
      <c r="BA16" s="72">
        <f t="shared" si="23"/>
        <v>92600</v>
      </c>
      <c r="BB16" s="72">
        <f>SUM(AY16:BA16)</f>
        <v>972300</v>
      </c>
      <c r="BC16" s="72"/>
      <c r="BD16" s="72"/>
      <c r="BE16" s="72">
        <f t="shared" ref="BE16:BE21" si="24">IF(G16*1%&gt;=234000,234000,G16*1%)</f>
        <v>84800</v>
      </c>
      <c r="BF16" s="72">
        <f t="shared" ref="BF16:BF21" si="25">AM16+IF(AR16&gt;="730000",730000,AR16)+IF(((AV16-AM16-IF(AR16&gt;="730000",730000,AR16)-AS16)*15%-AS16)&gt;"0",((AV16-AM16-IF(AR16&gt;="730000",730000,AR16)-AS16)*15%-AS16),0)</f>
        <v>0</v>
      </c>
      <c r="BG16" s="72">
        <f t="shared" ref="BG16:BG21" si="26">AV16-BF16+AW16</f>
        <v>22139230.769230772</v>
      </c>
      <c r="BH16" s="72"/>
      <c r="BI16" s="72">
        <f t="shared" ref="BI16:BI21" si="27">BG16-BB16-BC16+BD16-BH16*4400000-IF(E16="CT",11000000,0)</f>
        <v>10166930.769230772</v>
      </c>
      <c r="BJ16" s="71">
        <f t="shared" ref="BJ16:BJ21" si="28">IF(BI16&gt;0,ROUND(IF(BI16&gt;=80000000,BI16*35%-9850000,IF(BI16&gt;=52000000,BI16*30%-5850000,IF(BI16&gt;=32000000,BI16*25%-3250000,IF(BI16&gt;=18000000,BI16*20%-1650000,IF(BI16&gt;=10000000,BI16*15%-750000,IF(BI16&gt;5000000,BI16*10%-250000,BI16*5%)))))),0),0)</f>
        <v>775040</v>
      </c>
      <c r="BK16" s="72"/>
      <c r="BL16" s="72"/>
      <c r="BM16" s="72">
        <v>0</v>
      </c>
      <c r="BN16" s="72"/>
      <c r="BO16" s="72"/>
      <c r="BP16" s="72"/>
      <c r="BQ16" s="72"/>
      <c r="BR16" s="72"/>
      <c r="BS16" s="72" t="str">
        <f t="shared" ref="BS16:BS21" si="29">IF(AV16&gt;=11000000,"80%","100%")</f>
        <v>80%</v>
      </c>
      <c r="BT16" s="72">
        <f t="shared" ref="BT16:BT21" si="30">AV16*BS16-BN16-BK16-BP16-BO16</f>
        <v>17711384.61538462</v>
      </c>
      <c r="BU16" s="92"/>
      <c r="BV16" s="103"/>
      <c r="BW16" s="95">
        <v>40000000</v>
      </c>
      <c r="BX16" s="71">
        <v>0</v>
      </c>
      <c r="BY16" s="71">
        <v>0</v>
      </c>
      <c r="BZ16" s="71"/>
      <c r="CA16" s="71">
        <f t="shared" ref="CA16:CA21" si="31">+BW16*5%</f>
        <v>2000000</v>
      </c>
      <c r="CB16" s="71">
        <f t="shared" ref="CB16:CB21" si="32">SUM(BW16:CA16)</f>
        <v>42000000</v>
      </c>
      <c r="CC16" s="71" t="s">
        <v>143</v>
      </c>
      <c r="CD16" s="71"/>
      <c r="CE16" s="82"/>
      <c r="CF16" s="83"/>
      <c r="CG16" s="83"/>
      <c r="CH16" s="84"/>
      <c r="CI16" s="85"/>
    </row>
    <row r="17" spans="1:87" s="86" customFormat="1" ht="13">
      <c r="A17" s="74">
        <f>IF(B17=0,"",COUNTA($B$15:(B17)))</f>
        <v>3</v>
      </c>
      <c r="B17" s="87" t="s">
        <v>96</v>
      </c>
      <c r="C17" s="76" t="s">
        <v>137</v>
      </c>
      <c r="D17" s="77" t="s">
        <v>138</v>
      </c>
      <c r="E17" s="108" t="s">
        <v>93</v>
      </c>
      <c r="F17" s="109" t="s">
        <v>94</v>
      </c>
      <c r="G17" s="78">
        <v>7820000</v>
      </c>
      <c r="H17" s="78">
        <f t="shared" si="5"/>
        <v>300000</v>
      </c>
      <c r="I17" s="78">
        <f t="shared" si="6"/>
        <v>33880000</v>
      </c>
      <c r="J17" s="79">
        <v>1</v>
      </c>
      <c r="K17" s="80">
        <v>11</v>
      </c>
      <c r="L17" s="80"/>
      <c r="M17" s="80"/>
      <c r="N17" s="80"/>
      <c r="O17" s="80">
        <v>2</v>
      </c>
      <c r="P17" s="80"/>
      <c r="Q17" s="80"/>
      <c r="R17" s="80">
        <v>4</v>
      </c>
      <c r="S17" s="80">
        <v>0</v>
      </c>
      <c r="T17" s="80"/>
      <c r="U17" s="80">
        <v>0</v>
      </c>
      <c r="V17" s="80">
        <v>0</v>
      </c>
      <c r="W17" s="80">
        <v>0</v>
      </c>
      <c r="X17" s="80">
        <v>0</v>
      </c>
      <c r="Y17" s="78">
        <f t="shared" si="10"/>
        <v>3308461.5384615385</v>
      </c>
      <c r="Z17" s="78">
        <f t="shared" si="11"/>
        <v>0</v>
      </c>
      <c r="AA17" s="78">
        <f t="shared" si="12"/>
        <v>0</v>
      </c>
      <c r="AB17" s="78">
        <f t="shared" si="13"/>
        <v>601538.4615384615</v>
      </c>
      <c r="AC17" s="78">
        <f t="shared" si="14"/>
        <v>0</v>
      </c>
      <c r="AD17" s="78">
        <f t="shared" si="15"/>
        <v>0</v>
      </c>
      <c r="AE17" s="78">
        <f t="shared" si="16"/>
        <v>3609230.769230769</v>
      </c>
      <c r="AF17" s="78">
        <f t="shared" si="17"/>
        <v>0</v>
      </c>
      <c r="AG17" s="78">
        <f t="shared" si="18"/>
        <v>0</v>
      </c>
      <c r="AH17" s="78">
        <f t="shared" si="7"/>
        <v>0</v>
      </c>
      <c r="AI17" s="78">
        <f t="shared" si="19"/>
        <v>0</v>
      </c>
      <c r="AJ17" s="78"/>
      <c r="AK17" s="78">
        <f t="shared" si="8"/>
        <v>0</v>
      </c>
      <c r="AL17" s="78"/>
      <c r="AM17" s="78">
        <f t="shared" si="9"/>
        <v>0</v>
      </c>
      <c r="AN17" s="78">
        <f t="shared" si="20"/>
        <v>126923.07692307694</v>
      </c>
      <c r="AO17" s="78">
        <f t="shared" si="21"/>
        <v>20969230.769230772</v>
      </c>
      <c r="AP17" s="78"/>
      <c r="AQ17" s="78"/>
      <c r="AR17" s="78"/>
      <c r="AS17" s="78"/>
      <c r="AT17" s="78"/>
      <c r="AU17" s="78"/>
      <c r="AV17" s="81">
        <f t="shared" si="22"/>
        <v>28615384.615384616</v>
      </c>
      <c r="AW17" s="81"/>
      <c r="AX17" s="81" t="s">
        <v>95</v>
      </c>
      <c r="AY17" s="72">
        <f t="shared" si="23"/>
        <v>649600</v>
      </c>
      <c r="AZ17" s="72">
        <f t="shared" si="23"/>
        <v>121800</v>
      </c>
      <c r="BA17" s="72">
        <f t="shared" si="23"/>
        <v>81200</v>
      </c>
      <c r="BB17" s="72">
        <f t="shared" ref="BB17" si="33">SUM(AY17:BA17)</f>
        <v>852600</v>
      </c>
      <c r="BC17" s="72"/>
      <c r="BD17" s="72"/>
      <c r="BE17" s="72">
        <f t="shared" si="24"/>
        <v>78200</v>
      </c>
      <c r="BF17" s="72">
        <f t="shared" si="25"/>
        <v>0</v>
      </c>
      <c r="BG17" s="72">
        <f t="shared" si="26"/>
        <v>28615384.615384616</v>
      </c>
      <c r="BH17" s="72"/>
      <c r="BI17" s="72">
        <f t="shared" si="27"/>
        <v>16762784.615384616</v>
      </c>
      <c r="BJ17" s="71">
        <f t="shared" si="28"/>
        <v>1764418</v>
      </c>
      <c r="BK17" s="72"/>
      <c r="BL17" s="72"/>
      <c r="BM17" s="72">
        <v>0</v>
      </c>
      <c r="BN17" s="72"/>
      <c r="BO17" s="72"/>
      <c r="BP17" s="72"/>
      <c r="BQ17" s="72"/>
      <c r="BR17" s="72"/>
      <c r="BS17" s="72" t="str">
        <f t="shared" si="29"/>
        <v>80%</v>
      </c>
      <c r="BT17" s="72">
        <f t="shared" si="30"/>
        <v>22892307.692307696</v>
      </c>
      <c r="BU17" s="92"/>
      <c r="BV17" s="103"/>
      <c r="BW17" s="95">
        <v>40000000</v>
      </c>
      <c r="BX17" s="71">
        <v>0</v>
      </c>
      <c r="BY17" s="71">
        <v>0</v>
      </c>
      <c r="BZ17" s="71"/>
      <c r="CA17" s="71">
        <f t="shared" si="31"/>
        <v>2000000</v>
      </c>
      <c r="CB17" s="71">
        <f t="shared" si="32"/>
        <v>42000000</v>
      </c>
      <c r="CC17" s="71" t="s">
        <v>101</v>
      </c>
      <c r="CD17" s="71"/>
      <c r="CE17" s="82"/>
      <c r="CF17" s="83"/>
      <c r="CG17" s="83"/>
      <c r="CH17" s="84"/>
      <c r="CI17" s="85"/>
    </row>
    <row r="18" spans="1:87" s="86" customFormat="1" ht="13">
      <c r="A18" s="74">
        <f>IF(B18=0,"",COUNTA($B$15:(B18)))</f>
        <v>4</v>
      </c>
      <c r="B18" s="75">
        <v>2406198</v>
      </c>
      <c r="C18" s="76" t="s">
        <v>139</v>
      </c>
      <c r="D18" s="77" t="s">
        <v>134</v>
      </c>
      <c r="E18" s="108" t="s">
        <v>93</v>
      </c>
      <c r="F18" s="109" t="s">
        <v>94</v>
      </c>
      <c r="G18" s="78">
        <v>6990000</v>
      </c>
      <c r="H18" s="78">
        <f t="shared" si="5"/>
        <v>780000</v>
      </c>
      <c r="I18" s="78">
        <f t="shared" si="6"/>
        <v>16380000</v>
      </c>
      <c r="J18" s="79">
        <v>1</v>
      </c>
      <c r="K18" s="80">
        <v>10.5</v>
      </c>
      <c r="L18" s="80"/>
      <c r="M18" s="80">
        <v>0.5</v>
      </c>
      <c r="N18" s="80"/>
      <c r="O18" s="80">
        <v>2</v>
      </c>
      <c r="P18" s="80"/>
      <c r="Q18" s="80"/>
      <c r="R18" s="80">
        <v>0</v>
      </c>
      <c r="S18" s="80">
        <v>0</v>
      </c>
      <c r="T18" s="80"/>
      <c r="U18" s="80">
        <v>0</v>
      </c>
      <c r="V18" s="80">
        <v>0</v>
      </c>
      <c r="W18" s="80">
        <v>0</v>
      </c>
      <c r="X18" s="80">
        <v>0</v>
      </c>
      <c r="Y18" s="78">
        <f t="shared" si="10"/>
        <v>2822884.6153846155</v>
      </c>
      <c r="Z18" s="78">
        <f t="shared" si="11"/>
        <v>134423.07692307694</v>
      </c>
      <c r="AA18" s="78">
        <f t="shared" si="12"/>
        <v>0</v>
      </c>
      <c r="AB18" s="78">
        <f t="shared" si="13"/>
        <v>537692.30769230775</v>
      </c>
      <c r="AC18" s="78">
        <f t="shared" si="14"/>
        <v>0</v>
      </c>
      <c r="AD18" s="78">
        <f t="shared" si="15"/>
        <v>0</v>
      </c>
      <c r="AE18" s="78">
        <f t="shared" si="16"/>
        <v>0</v>
      </c>
      <c r="AF18" s="78">
        <f t="shared" si="17"/>
        <v>0</v>
      </c>
      <c r="AG18" s="78">
        <f t="shared" si="18"/>
        <v>0</v>
      </c>
      <c r="AH18" s="78">
        <f t="shared" si="7"/>
        <v>0</v>
      </c>
      <c r="AI18" s="78">
        <f t="shared" si="19"/>
        <v>0</v>
      </c>
      <c r="AJ18" s="78"/>
      <c r="AK18" s="78">
        <f t="shared" si="8"/>
        <v>0</v>
      </c>
      <c r="AL18" s="78"/>
      <c r="AM18" s="78">
        <f t="shared" si="9"/>
        <v>0</v>
      </c>
      <c r="AN18" s="78">
        <f t="shared" si="20"/>
        <v>315000</v>
      </c>
      <c r="AO18" s="78">
        <f t="shared" si="21"/>
        <v>8940384.615384616</v>
      </c>
      <c r="AP18" s="78"/>
      <c r="AQ18" s="78"/>
      <c r="AR18" s="78"/>
      <c r="AS18" s="78"/>
      <c r="AT18" s="78"/>
      <c r="AU18" s="78"/>
      <c r="AV18" s="81">
        <f t="shared" si="22"/>
        <v>12750384.615384616</v>
      </c>
      <c r="AW18" s="81"/>
      <c r="AX18" s="81" t="s">
        <v>95</v>
      </c>
      <c r="AY18" s="72">
        <f t="shared" si="23"/>
        <v>621600</v>
      </c>
      <c r="AZ18" s="72">
        <f t="shared" si="23"/>
        <v>116550</v>
      </c>
      <c r="BA18" s="72">
        <f t="shared" si="23"/>
        <v>77700</v>
      </c>
      <c r="BB18" s="72">
        <f>SUM(AY18:BA18)</f>
        <v>815850</v>
      </c>
      <c r="BC18" s="72"/>
      <c r="BD18" s="72"/>
      <c r="BE18" s="72">
        <f t="shared" si="24"/>
        <v>69900</v>
      </c>
      <c r="BF18" s="72">
        <f t="shared" si="25"/>
        <v>0</v>
      </c>
      <c r="BG18" s="72">
        <f t="shared" si="26"/>
        <v>12750384.615384616</v>
      </c>
      <c r="BH18" s="72"/>
      <c r="BI18" s="72">
        <f t="shared" si="27"/>
        <v>934534.61538461596</v>
      </c>
      <c r="BJ18" s="71">
        <f t="shared" si="28"/>
        <v>46727</v>
      </c>
      <c r="BK18" s="72"/>
      <c r="BL18" s="72"/>
      <c r="BM18" s="72">
        <v>0</v>
      </c>
      <c r="BN18" s="72"/>
      <c r="BO18" s="72"/>
      <c r="BP18" s="72"/>
      <c r="BQ18" s="72"/>
      <c r="BR18" s="72"/>
      <c r="BS18" s="72" t="str">
        <f t="shared" si="29"/>
        <v>80%</v>
      </c>
      <c r="BT18" s="72">
        <f t="shared" si="30"/>
        <v>10200307.692307694</v>
      </c>
      <c r="BU18" s="92"/>
      <c r="BV18" s="103"/>
      <c r="BW18" s="95">
        <v>23000000</v>
      </c>
      <c r="BX18" s="71">
        <v>0</v>
      </c>
      <c r="BY18" s="71">
        <v>0</v>
      </c>
      <c r="BZ18" s="71"/>
      <c r="CA18" s="71">
        <f t="shared" si="31"/>
        <v>1150000</v>
      </c>
      <c r="CB18" s="71">
        <f t="shared" si="32"/>
        <v>24150000</v>
      </c>
      <c r="CC18" s="71" t="s">
        <v>143</v>
      </c>
      <c r="CD18" s="71"/>
      <c r="CE18" s="82"/>
      <c r="CF18" s="83"/>
      <c r="CG18" s="83"/>
      <c r="CH18" s="84"/>
      <c r="CI18" s="85"/>
    </row>
    <row r="19" spans="1:87" s="86" customFormat="1" ht="13">
      <c r="A19" s="74">
        <f>IF(B19=0,"",COUNTA($B$15:(B19)))</f>
        <v>5</v>
      </c>
      <c r="B19" s="87" t="s">
        <v>97</v>
      </c>
      <c r="C19" s="76" t="s">
        <v>140</v>
      </c>
      <c r="D19" s="77" t="s">
        <v>141</v>
      </c>
      <c r="E19" s="108" t="s">
        <v>93</v>
      </c>
      <c r="F19" s="109" t="s">
        <v>98</v>
      </c>
      <c r="G19" s="78">
        <v>4850000</v>
      </c>
      <c r="H19" s="78">
        <f t="shared" si="5"/>
        <v>300000</v>
      </c>
      <c r="I19" s="78">
        <f t="shared" si="6"/>
        <v>6400000</v>
      </c>
      <c r="J19" s="79">
        <v>1</v>
      </c>
      <c r="K19" s="80">
        <v>11</v>
      </c>
      <c r="L19" s="80"/>
      <c r="M19" s="80"/>
      <c r="N19" s="80"/>
      <c r="O19" s="80">
        <v>2</v>
      </c>
      <c r="P19" s="80"/>
      <c r="Q19" s="80"/>
      <c r="R19" s="80">
        <v>4</v>
      </c>
      <c r="S19" s="80">
        <v>0</v>
      </c>
      <c r="T19" s="80"/>
      <c r="U19" s="80">
        <v>0</v>
      </c>
      <c r="V19" s="80">
        <v>0</v>
      </c>
      <c r="W19" s="80">
        <v>0</v>
      </c>
      <c r="X19" s="80">
        <v>0</v>
      </c>
      <c r="Y19" s="78">
        <f t="shared" si="10"/>
        <v>2051923.076923077</v>
      </c>
      <c r="Z19" s="78">
        <f t="shared" si="11"/>
        <v>0</v>
      </c>
      <c r="AA19" s="78">
        <f t="shared" si="12"/>
        <v>0</v>
      </c>
      <c r="AB19" s="78">
        <f t="shared" si="13"/>
        <v>373076.92307692306</v>
      </c>
      <c r="AC19" s="78">
        <f t="shared" si="14"/>
        <v>0</v>
      </c>
      <c r="AD19" s="78">
        <f t="shared" si="15"/>
        <v>0</v>
      </c>
      <c r="AE19" s="78">
        <f t="shared" si="16"/>
        <v>2238461.5384615385</v>
      </c>
      <c r="AF19" s="78">
        <f t="shared" si="17"/>
        <v>0</v>
      </c>
      <c r="AG19" s="78">
        <f t="shared" si="18"/>
        <v>0</v>
      </c>
      <c r="AH19" s="78">
        <f t="shared" si="7"/>
        <v>0</v>
      </c>
      <c r="AI19" s="78">
        <f t="shared" si="19"/>
        <v>0</v>
      </c>
      <c r="AJ19" s="78"/>
      <c r="AK19" s="78">
        <f t="shared" si="8"/>
        <v>0</v>
      </c>
      <c r="AL19" s="78"/>
      <c r="AM19" s="78">
        <f t="shared" si="9"/>
        <v>0</v>
      </c>
      <c r="AN19" s="78">
        <f t="shared" si="20"/>
        <v>126923.07692307694</v>
      </c>
      <c r="AO19" s="78">
        <f t="shared" si="21"/>
        <v>2707692.3076923075</v>
      </c>
      <c r="AP19" s="78"/>
      <c r="AQ19" s="78"/>
      <c r="AR19" s="78"/>
      <c r="AS19" s="78"/>
      <c r="AT19" s="78"/>
      <c r="AU19" s="78"/>
      <c r="AV19" s="81">
        <f t="shared" si="22"/>
        <v>7498076.9230769221</v>
      </c>
      <c r="AW19" s="81"/>
      <c r="AX19" s="81" t="s">
        <v>95</v>
      </c>
      <c r="AY19" s="72">
        <f t="shared" si="23"/>
        <v>412000</v>
      </c>
      <c r="AZ19" s="72">
        <f t="shared" si="23"/>
        <v>77250</v>
      </c>
      <c r="BA19" s="72">
        <f t="shared" si="23"/>
        <v>51500</v>
      </c>
      <c r="BB19" s="72">
        <f t="shared" ref="BB19" si="34">SUM(AY19:BA19)</f>
        <v>540750</v>
      </c>
      <c r="BC19" s="72"/>
      <c r="BD19" s="72"/>
      <c r="BE19" s="72">
        <f t="shared" si="24"/>
        <v>48500</v>
      </c>
      <c r="BF19" s="72">
        <f t="shared" si="25"/>
        <v>0</v>
      </c>
      <c r="BG19" s="72">
        <f t="shared" si="26"/>
        <v>7498076.9230769221</v>
      </c>
      <c r="BH19" s="72"/>
      <c r="BI19" s="72">
        <f t="shared" si="27"/>
        <v>-4042673.0769230779</v>
      </c>
      <c r="BJ19" s="71">
        <f t="shared" si="28"/>
        <v>0</v>
      </c>
      <c r="BK19" s="72"/>
      <c r="BL19" s="72"/>
      <c r="BM19" s="72">
        <v>0</v>
      </c>
      <c r="BN19" s="72"/>
      <c r="BO19" s="72"/>
      <c r="BP19" s="72"/>
      <c r="BQ19" s="72"/>
      <c r="BR19" s="72"/>
      <c r="BS19" s="72" t="str">
        <f t="shared" si="29"/>
        <v>100%</v>
      </c>
      <c r="BT19" s="72">
        <f t="shared" si="30"/>
        <v>7498076.9230769221</v>
      </c>
      <c r="BU19" s="92"/>
      <c r="BV19" s="103"/>
      <c r="BW19" s="95">
        <v>11000000</v>
      </c>
      <c r="BX19" s="71">
        <v>0</v>
      </c>
      <c r="BY19" s="71">
        <v>0</v>
      </c>
      <c r="BZ19" s="71"/>
      <c r="CA19" s="71">
        <f t="shared" si="31"/>
        <v>550000</v>
      </c>
      <c r="CB19" s="71">
        <f t="shared" si="32"/>
        <v>11550000</v>
      </c>
      <c r="CC19" s="71" t="s">
        <v>101</v>
      </c>
      <c r="CD19" s="71"/>
      <c r="CE19" s="82"/>
      <c r="CF19" s="83"/>
      <c r="CG19" s="83"/>
      <c r="CH19" s="84"/>
      <c r="CI19" s="85"/>
    </row>
    <row r="20" spans="1:87" s="86" customFormat="1" ht="13">
      <c r="A20" s="74">
        <f>IF(B20=0,"",COUNTA($B$15:(B20)))</f>
        <v>6</v>
      </c>
      <c r="B20" s="75">
        <v>2406145</v>
      </c>
      <c r="C20" s="76" t="s">
        <v>142</v>
      </c>
      <c r="D20" s="77" t="s">
        <v>136</v>
      </c>
      <c r="E20" s="108" t="s">
        <v>93</v>
      </c>
      <c r="F20" s="109" t="s">
        <v>94</v>
      </c>
      <c r="G20" s="78">
        <v>6340000</v>
      </c>
      <c r="H20" s="78">
        <f t="shared" si="5"/>
        <v>780000</v>
      </c>
      <c r="I20" s="78">
        <f t="shared" si="6"/>
        <v>17030000</v>
      </c>
      <c r="J20" s="79">
        <v>1</v>
      </c>
      <c r="K20" s="80">
        <v>10.5</v>
      </c>
      <c r="L20" s="80"/>
      <c r="M20" s="80">
        <v>0.5</v>
      </c>
      <c r="N20" s="80"/>
      <c r="O20" s="80">
        <v>2</v>
      </c>
      <c r="P20" s="80"/>
      <c r="Q20" s="80"/>
      <c r="R20" s="80">
        <v>0</v>
      </c>
      <c r="S20" s="80">
        <v>0</v>
      </c>
      <c r="T20" s="80"/>
      <c r="U20" s="80">
        <v>0</v>
      </c>
      <c r="V20" s="80">
        <v>0</v>
      </c>
      <c r="W20" s="80">
        <v>0</v>
      </c>
      <c r="X20" s="80">
        <v>0</v>
      </c>
      <c r="Y20" s="78">
        <f t="shared" si="10"/>
        <v>2560384.6153846155</v>
      </c>
      <c r="Z20" s="78">
        <f t="shared" si="11"/>
        <v>121923.07692307692</v>
      </c>
      <c r="AA20" s="78">
        <f t="shared" si="12"/>
        <v>0</v>
      </c>
      <c r="AB20" s="78">
        <f t="shared" si="13"/>
        <v>487692.30769230769</v>
      </c>
      <c r="AC20" s="78">
        <f t="shared" si="14"/>
        <v>0</v>
      </c>
      <c r="AD20" s="78">
        <f t="shared" si="15"/>
        <v>0</v>
      </c>
      <c r="AE20" s="78">
        <f t="shared" si="16"/>
        <v>0</v>
      </c>
      <c r="AF20" s="78">
        <f t="shared" si="17"/>
        <v>0</v>
      </c>
      <c r="AG20" s="78">
        <f t="shared" si="18"/>
        <v>0</v>
      </c>
      <c r="AH20" s="78">
        <f t="shared" si="7"/>
        <v>0</v>
      </c>
      <c r="AI20" s="78">
        <f t="shared" si="19"/>
        <v>0</v>
      </c>
      <c r="AJ20" s="78"/>
      <c r="AK20" s="78">
        <f t="shared" si="8"/>
        <v>0</v>
      </c>
      <c r="AL20" s="78"/>
      <c r="AM20" s="78">
        <f t="shared" si="9"/>
        <v>0</v>
      </c>
      <c r="AN20" s="78">
        <f t="shared" si="20"/>
        <v>315000</v>
      </c>
      <c r="AO20" s="78">
        <f t="shared" si="21"/>
        <v>9259134.615384616</v>
      </c>
      <c r="AP20" s="78"/>
      <c r="AQ20" s="78"/>
      <c r="AR20" s="78"/>
      <c r="AS20" s="78"/>
      <c r="AT20" s="78"/>
      <c r="AU20" s="78"/>
      <c r="AV20" s="81">
        <f t="shared" si="22"/>
        <v>12744134.615384616</v>
      </c>
      <c r="AW20" s="81"/>
      <c r="AX20" s="81" t="s">
        <v>95</v>
      </c>
      <c r="AY20" s="72">
        <f t="shared" si="23"/>
        <v>569600</v>
      </c>
      <c r="AZ20" s="72">
        <f t="shared" si="23"/>
        <v>106800</v>
      </c>
      <c r="BA20" s="72">
        <f t="shared" si="23"/>
        <v>71200</v>
      </c>
      <c r="BB20" s="72">
        <f>SUM(AY20:BA20)</f>
        <v>747600</v>
      </c>
      <c r="BC20" s="72"/>
      <c r="BD20" s="72"/>
      <c r="BE20" s="72">
        <f t="shared" si="24"/>
        <v>63400</v>
      </c>
      <c r="BF20" s="72">
        <f t="shared" si="25"/>
        <v>0</v>
      </c>
      <c r="BG20" s="72">
        <f t="shared" si="26"/>
        <v>12744134.615384616</v>
      </c>
      <c r="BH20" s="72"/>
      <c r="BI20" s="72">
        <f t="shared" si="27"/>
        <v>996534.61538461596</v>
      </c>
      <c r="BJ20" s="71">
        <f t="shared" si="28"/>
        <v>49827</v>
      </c>
      <c r="BK20" s="72"/>
      <c r="BL20" s="72"/>
      <c r="BM20" s="72">
        <v>0</v>
      </c>
      <c r="BN20" s="72"/>
      <c r="BO20" s="72"/>
      <c r="BP20" s="72"/>
      <c r="BQ20" s="72"/>
      <c r="BR20" s="72"/>
      <c r="BS20" s="72" t="str">
        <f t="shared" si="29"/>
        <v>80%</v>
      </c>
      <c r="BT20" s="72">
        <f t="shared" si="30"/>
        <v>10195307.692307694</v>
      </c>
      <c r="BU20" s="92"/>
      <c r="BV20" s="103"/>
      <c r="BW20" s="95">
        <v>23000000</v>
      </c>
      <c r="BX20" s="71">
        <v>0</v>
      </c>
      <c r="BY20" s="71">
        <v>0</v>
      </c>
      <c r="BZ20" s="71"/>
      <c r="CA20" s="71">
        <f t="shared" si="31"/>
        <v>1150000</v>
      </c>
      <c r="CB20" s="71">
        <f t="shared" si="32"/>
        <v>24150000</v>
      </c>
      <c r="CC20" s="71" t="s">
        <v>143</v>
      </c>
      <c r="CD20" s="71"/>
      <c r="CE20" s="82"/>
      <c r="CF20" s="83"/>
      <c r="CG20" s="83"/>
      <c r="CH20" s="84"/>
      <c r="CI20" s="85"/>
    </row>
    <row r="21" spans="1:87" s="86" customFormat="1" ht="13">
      <c r="A21" s="74">
        <f>IF(B21=0,"",COUNTA($B$15:(B21)))</f>
        <v>7</v>
      </c>
      <c r="B21" s="87" t="s">
        <v>100</v>
      </c>
      <c r="C21" s="76" t="s">
        <v>144</v>
      </c>
      <c r="D21" s="77" t="s">
        <v>145</v>
      </c>
      <c r="E21" s="108" t="s">
        <v>93</v>
      </c>
      <c r="F21" s="109" t="s">
        <v>94</v>
      </c>
      <c r="G21" s="78">
        <v>6340000</v>
      </c>
      <c r="H21" s="78">
        <f t="shared" si="5"/>
        <v>300000</v>
      </c>
      <c r="I21" s="78">
        <f t="shared" si="6"/>
        <v>11210000</v>
      </c>
      <c r="J21" s="79">
        <v>1</v>
      </c>
      <c r="K21" s="80">
        <v>11</v>
      </c>
      <c r="L21" s="80"/>
      <c r="M21" s="80"/>
      <c r="N21" s="80"/>
      <c r="O21" s="80">
        <v>2</v>
      </c>
      <c r="P21" s="80"/>
      <c r="Q21" s="80"/>
      <c r="R21" s="80">
        <v>4</v>
      </c>
      <c r="S21" s="80">
        <v>0</v>
      </c>
      <c r="T21" s="80"/>
      <c r="U21" s="80">
        <v>0</v>
      </c>
      <c r="V21" s="80">
        <v>0</v>
      </c>
      <c r="W21" s="80">
        <v>0</v>
      </c>
      <c r="X21" s="80">
        <v>0</v>
      </c>
      <c r="Y21" s="78">
        <f t="shared" si="10"/>
        <v>2682307.6923076925</v>
      </c>
      <c r="Z21" s="78">
        <f t="shared" si="11"/>
        <v>0</v>
      </c>
      <c r="AA21" s="78">
        <f t="shared" si="12"/>
        <v>0</v>
      </c>
      <c r="AB21" s="78">
        <f t="shared" si="13"/>
        <v>487692.30769230769</v>
      </c>
      <c r="AC21" s="78">
        <f t="shared" si="14"/>
        <v>0</v>
      </c>
      <c r="AD21" s="78">
        <f t="shared" si="15"/>
        <v>0</v>
      </c>
      <c r="AE21" s="78">
        <f t="shared" si="16"/>
        <v>2926153.846153846</v>
      </c>
      <c r="AF21" s="78">
        <f t="shared" si="17"/>
        <v>0</v>
      </c>
      <c r="AG21" s="78">
        <f t="shared" si="18"/>
        <v>0</v>
      </c>
      <c r="AH21" s="78">
        <f t="shared" si="7"/>
        <v>0</v>
      </c>
      <c r="AI21" s="78">
        <f t="shared" si="19"/>
        <v>0</v>
      </c>
      <c r="AJ21" s="78"/>
      <c r="AK21" s="78">
        <f t="shared" si="8"/>
        <v>0</v>
      </c>
      <c r="AL21" s="78"/>
      <c r="AM21" s="78">
        <f t="shared" si="9"/>
        <v>0</v>
      </c>
      <c r="AN21" s="78">
        <f t="shared" si="20"/>
        <v>126923.07692307694</v>
      </c>
      <c r="AO21" s="78">
        <f t="shared" si="21"/>
        <v>6249230.7692307699</v>
      </c>
      <c r="AP21" s="78"/>
      <c r="AQ21" s="78"/>
      <c r="AR21" s="78"/>
      <c r="AS21" s="78"/>
      <c r="AT21" s="78"/>
      <c r="AU21" s="78"/>
      <c r="AV21" s="81">
        <f t="shared" si="22"/>
        <v>12472307.692307692</v>
      </c>
      <c r="AW21" s="81"/>
      <c r="AX21" s="81" t="s">
        <v>95</v>
      </c>
      <c r="AY21" s="72">
        <f t="shared" si="23"/>
        <v>531200</v>
      </c>
      <c r="AZ21" s="72">
        <f t="shared" si="23"/>
        <v>99600</v>
      </c>
      <c r="BA21" s="72">
        <f t="shared" si="23"/>
        <v>66400</v>
      </c>
      <c r="BB21" s="72">
        <f t="shared" ref="BB21" si="35">SUM(AY21:BA21)</f>
        <v>697200</v>
      </c>
      <c r="BC21" s="72"/>
      <c r="BD21" s="72"/>
      <c r="BE21" s="72">
        <f t="shared" si="24"/>
        <v>63400</v>
      </c>
      <c r="BF21" s="72">
        <f t="shared" si="25"/>
        <v>0</v>
      </c>
      <c r="BG21" s="72">
        <f t="shared" si="26"/>
        <v>12472307.692307692</v>
      </c>
      <c r="BH21" s="72"/>
      <c r="BI21" s="72">
        <f t="shared" si="27"/>
        <v>775107.69230769202</v>
      </c>
      <c r="BJ21" s="71">
        <f t="shared" si="28"/>
        <v>38755</v>
      </c>
      <c r="BK21" s="72"/>
      <c r="BL21" s="72"/>
      <c r="BM21" s="72">
        <v>0</v>
      </c>
      <c r="BN21" s="72"/>
      <c r="BO21" s="72"/>
      <c r="BP21" s="72"/>
      <c r="BQ21" s="72"/>
      <c r="BR21" s="72"/>
      <c r="BS21" s="72" t="str">
        <f t="shared" si="29"/>
        <v>80%</v>
      </c>
      <c r="BT21" s="72">
        <f t="shared" si="30"/>
        <v>9977846.153846154</v>
      </c>
      <c r="BU21" s="92"/>
      <c r="BV21" s="103"/>
      <c r="BW21" s="95">
        <v>17000000</v>
      </c>
      <c r="BX21" s="71">
        <v>0</v>
      </c>
      <c r="BY21" s="71">
        <v>0</v>
      </c>
      <c r="BZ21" s="71"/>
      <c r="CA21" s="71">
        <f t="shared" si="31"/>
        <v>850000</v>
      </c>
      <c r="CB21" s="71">
        <f t="shared" si="32"/>
        <v>17850000</v>
      </c>
      <c r="CC21" s="71" t="s">
        <v>101</v>
      </c>
      <c r="CD21" s="71"/>
      <c r="CE21" s="82"/>
      <c r="CF21" s="83"/>
      <c r="CG21" s="83"/>
      <c r="CH21" s="84"/>
      <c r="CI21" s="85"/>
    </row>
    <row r="22" spans="1:87" s="26" customFormat="1" ht="19">
      <c r="B22" s="27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30"/>
      <c r="V22" s="30"/>
      <c r="W22" s="31"/>
      <c r="X22" s="31"/>
      <c r="Y22" s="32"/>
      <c r="Z22" s="32"/>
      <c r="AA22" s="32"/>
      <c r="AB22" s="32"/>
      <c r="AC22" s="33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BJ22" s="34"/>
      <c r="BN22" s="34"/>
      <c r="BO22" s="34"/>
      <c r="BP22" s="34"/>
      <c r="BQ22" s="34"/>
      <c r="BR22" s="34"/>
      <c r="BS22" s="34"/>
      <c r="BT22" s="34"/>
      <c r="BU22" s="34"/>
      <c r="BV22" s="104"/>
      <c r="BW22" s="36"/>
      <c r="BX22" s="36"/>
      <c r="BY22" s="36"/>
      <c r="BZ22" s="36"/>
      <c r="CA22" s="36"/>
      <c r="CF22" s="35"/>
    </row>
    <row r="23" spans="1:87" s="37" customFormat="1" ht="21">
      <c r="B23" s="38"/>
      <c r="C23" s="39"/>
      <c r="D23" s="39"/>
      <c r="E23" s="39"/>
      <c r="F23" s="39"/>
      <c r="G23" s="39"/>
      <c r="H23" s="39"/>
      <c r="I23" s="39"/>
      <c r="J23" s="40"/>
      <c r="K23" s="41"/>
      <c r="L23" s="41"/>
      <c r="M23" s="41"/>
      <c r="N23" s="41"/>
      <c r="O23" s="41"/>
      <c r="P23" s="41"/>
      <c r="Q23" s="41"/>
      <c r="U23" s="43"/>
      <c r="V23" s="41"/>
      <c r="W23" s="39"/>
      <c r="X23" s="39"/>
      <c r="Y23" s="39"/>
      <c r="Z23" s="39"/>
      <c r="AA23" s="39"/>
      <c r="AB23" s="39"/>
      <c r="AC23" s="39"/>
      <c r="AD23" s="44"/>
      <c r="AE23" s="44"/>
      <c r="AF23" s="44"/>
      <c r="AH23" s="44"/>
      <c r="AI23" s="44"/>
      <c r="AJ23" s="44"/>
      <c r="AK23" s="39"/>
      <c r="AL23" s="44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BC23" s="45"/>
      <c r="BD23" s="45"/>
      <c r="BJ23" s="39"/>
      <c r="BL23" s="39"/>
      <c r="BM23" s="39"/>
      <c r="BN23" s="39" t="s">
        <v>146</v>
      </c>
      <c r="BO23" s="39"/>
      <c r="BP23" s="39"/>
      <c r="BQ23" s="39"/>
      <c r="BR23" s="39"/>
      <c r="BS23" s="39"/>
      <c r="BT23" s="39"/>
      <c r="BU23" s="39"/>
      <c r="BV23" s="105"/>
      <c r="BW23" s="47"/>
      <c r="BX23" s="47"/>
      <c r="BY23" s="47"/>
      <c r="BZ23" s="47"/>
      <c r="CA23" s="47"/>
    </row>
    <row r="24" spans="1:87" s="37" customFormat="1" ht="21">
      <c r="B24" s="48"/>
      <c r="I24" s="40"/>
      <c r="J24" s="40"/>
      <c r="K24" s="43"/>
      <c r="L24" s="43"/>
      <c r="M24" s="43"/>
      <c r="N24" s="43"/>
      <c r="O24" s="43"/>
      <c r="P24" s="43"/>
      <c r="Q24" s="43"/>
      <c r="R24" s="42"/>
      <c r="U24" s="43"/>
      <c r="V24" s="43"/>
      <c r="W24" s="49"/>
      <c r="X24" s="49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7"/>
      <c r="AO24" s="44"/>
      <c r="AP24" s="44"/>
      <c r="AQ24" s="44"/>
      <c r="AR24" s="44"/>
      <c r="AS24" s="44"/>
      <c r="AT24" s="44"/>
      <c r="AU24" s="44"/>
      <c r="AV24" s="39"/>
      <c r="AW24" s="39"/>
      <c r="AX24" s="39"/>
      <c r="AY24" s="47"/>
      <c r="AZ24" s="47"/>
      <c r="BA24" s="47"/>
      <c r="BB24" s="47"/>
      <c r="BL24" s="39"/>
      <c r="BM24" s="45"/>
      <c r="BV24" s="106"/>
      <c r="BW24" s="47"/>
      <c r="BX24" s="47"/>
      <c r="BY24" s="47"/>
      <c r="BZ24" s="47"/>
      <c r="CA24" s="47"/>
      <c r="CF24" s="46"/>
    </row>
    <row r="25" spans="1:87" ht="16">
      <c r="I25" s="59"/>
      <c r="X25" s="52"/>
      <c r="BZ25" s="53" t="s">
        <v>123</v>
      </c>
      <c r="CF25" s="24"/>
    </row>
    <row r="26" spans="1:87" ht="73.5" customHeight="1">
      <c r="H26" s="210" t="s">
        <v>127</v>
      </c>
      <c r="J26" s="51"/>
      <c r="X26" s="52"/>
    </row>
  </sheetData>
  <mergeCells count="82"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P9:P11"/>
    <mergeCell ref="Q9:Q11"/>
    <mergeCell ref="R9:R11"/>
    <mergeCell ref="S9:S11"/>
    <mergeCell ref="CD8:CD11"/>
    <mergeCell ref="K9:K11"/>
    <mergeCell ref="L9:L11"/>
    <mergeCell ref="M9:M11"/>
    <mergeCell ref="N9:N11"/>
    <mergeCell ref="O9:O11"/>
    <mergeCell ref="AX8:AX11"/>
    <mergeCell ref="AY8:BP8"/>
    <mergeCell ref="BQ8:BR8"/>
    <mergeCell ref="BS8:BS11"/>
    <mergeCell ref="BT8:BT11"/>
    <mergeCell ref="BU8:BU11"/>
    <mergeCell ref="BR9:BR11"/>
    <mergeCell ref="BF10:BF11"/>
    <mergeCell ref="BG10:BG11"/>
    <mergeCell ref="BH10:BH11"/>
    <mergeCell ref="Z9:Z11"/>
    <mergeCell ref="BW8:BW11"/>
    <mergeCell ref="BX8:CA10"/>
    <mergeCell ref="CB8:CB11"/>
    <mergeCell ref="CC8:CC11"/>
    <mergeCell ref="AR8:AR11"/>
    <mergeCell ref="AS8:AS11"/>
    <mergeCell ref="AT8:AT11"/>
    <mergeCell ref="AU8:AU11"/>
    <mergeCell ref="AV8:AV11"/>
    <mergeCell ref="AW8:AW11"/>
    <mergeCell ref="AQ8:AQ11"/>
    <mergeCell ref="T9:T11"/>
    <mergeCell ref="U9:U11"/>
    <mergeCell ref="V9:W10"/>
    <mergeCell ref="X9:X11"/>
    <mergeCell ref="Y9:Y11"/>
    <mergeCell ref="AL9:AL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BQ9:BQ11"/>
    <mergeCell ref="BB10:BB11"/>
    <mergeCell ref="BC10:BC11"/>
    <mergeCell ref="BD10:BD11"/>
    <mergeCell ref="BE10:BE11"/>
    <mergeCell ref="AM9:AM11"/>
    <mergeCell ref="AN9:AN11"/>
    <mergeCell ref="AO9:AO11"/>
    <mergeCell ref="AY9:BJ9"/>
    <mergeCell ref="BK9:BP9"/>
    <mergeCell ref="BO10:BO11"/>
    <mergeCell ref="BP10:BP11"/>
    <mergeCell ref="BI10:BI11"/>
    <mergeCell ref="BJ10:BJ11"/>
    <mergeCell ref="BK10:BK11"/>
    <mergeCell ref="BL10:BL11"/>
    <mergeCell ref="BM10:BM11"/>
    <mergeCell ref="BN10:BN11"/>
  </mergeCells>
  <conditionalFormatting sqref="B1:B7 B22:B1048576 B12:BU12">
    <cfRule type="duplicateValues" dxfId="17" priority="8"/>
  </conditionalFormatting>
  <conditionalFormatting sqref="B1:B7 D13:F13 J13:BI13 BK13:CD13 B22:B1048576 B12:CD12">
    <cfRule type="duplicateValues" dxfId="16" priority="7"/>
  </conditionalFormatting>
  <conditionalFormatting sqref="B8:B11">
    <cfRule type="duplicateValues" dxfId="15" priority="1"/>
    <cfRule type="duplicateValues" dxfId="14" priority="2"/>
  </conditionalFormatting>
  <conditionalFormatting sqref="B15:B21">
    <cfRule type="duplicateValues" dxfId="13" priority="3"/>
    <cfRule type="duplicateValues" dxfId="12" priority="4"/>
    <cfRule type="duplicateValues" dxfId="11" priority="5"/>
  </conditionalFormatting>
  <conditionalFormatting sqref="BJ13">
    <cfRule type="duplicateValues" dxfId="10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303A-3C95-F04D-941B-E8E81ABE2BC9}">
  <dimension ref="A1:CI23"/>
  <sheetViews>
    <sheetView workbookViewId="0">
      <selection activeCell="K6" sqref="K6:K8"/>
    </sheetView>
  </sheetViews>
  <sheetFormatPr baseColWidth="10" defaultRowHeight="15" outlineLevelRow="1"/>
  <cols>
    <col min="61" max="61" width="17.5" customWidth="1"/>
    <col min="62" max="62" width="17" customWidth="1"/>
  </cols>
  <sheetData>
    <row r="1" spans="1:87" s="230" customFormat="1" outlineLevel="1">
      <c r="A1" s="228" t="s">
        <v>129</v>
      </c>
      <c r="B1" s="229"/>
      <c r="C1" s="228"/>
      <c r="D1" s="220"/>
      <c r="E1" s="220"/>
      <c r="F1" s="220"/>
      <c r="I1" s="231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U1" s="220"/>
      <c r="BV1"/>
      <c r="BW1" s="220"/>
      <c r="BX1" s="220"/>
      <c r="BY1" s="220"/>
      <c r="BZ1" s="220"/>
      <c r="CA1" s="220"/>
      <c r="CB1" s="233"/>
      <c r="CC1" s="233"/>
      <c r="CD1" s="233"/>
    </row>
    <row r="2" spans="1:87" s="230" customFormat="1" outlineLevel="1">
      <c r="A2" s="234" t="s">
        <v>130</v>
      </c>
      <c r="B2" s="229"/>
      <c r="C2" s="235"/>
      <c r="D2" s="220"/>
      <c r="E2" s="220"/>
      <c r="F2" s="220"/>
      <c r="I2" s="231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/>
      <c r="BW2" s="220"/>
      <c r="BX2" s="220"/>
      <c r="BY2" s="220"/>
      <c r="BZ2" s="220"/>
      <c r="CA2" s="220"/>
      <c r="CB2" s="235"/>
      <c r="CC2" s="235"/>
      <c r="CD2" s="235"/>
    </row>
    <row r="3" spans="1:87" s="236" customFormat="1" outlineLevel="1">
      <c r="A3" s="359" t="str">
        <f ca="1">"BẢNG THANH TOÁN TIỀN LƯƠNG THÁNG …."&amp;" NĂM "&amp;YEAR(NOW())</f>
        <v>BẢNG THANH TOÁN TIỀN LƯƠNG THÁNG …. NĂM 2026</v>
      </c>
      <c r="B3" s="359"/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  <c r="AN3" s="359"/>
      <c r="AO3" s="359"/>
      <c r="AP3" s="359"/>
      <c r="AQ3" s="359"/>
      <c r="AR3" s="359"/>
      <c r="AS3" s="359"/>
      <c r="AT3" s="359"/>
      <c r="AU3" s="359"/>
      <c r="AV3" s="359"/>
      <c r="AW3" s="359"/>
      <c r="AX3" s="359"/>
      <c r="AY3" s="359"/>
      <c r="AZ3" s="359"/>
      <c r="BA3" s="359"/>
      <c r="BB3" s="359"/>
      <c r="BC3" s="359"/>
      <c r="BD3" s="359"/>
      <c r="BE3" s="359"/>
      <c r="BF3" s="359"/>
      <c r="BG3" s="359"/>
      <c r="BH3" s="359"/>
      <c r="BI3" s="359"/>
      <c r="BJ3" s="359"/>
      <c r="BK3" s="359"/>
      <c r="BL3" s="359"/>
      <c r="BM3" s="359"/>
      <c r="BN3" s="359"/>
      <c r="BO3" s="359"/>
      <c r="BP3" s="359"/>
      <c r="BQ3" s="359"/>
      <c r="BR3" s="359"/>
      <c r="BS3" s="359"/>
      <c r="BT3" s="359"/>
      <c r="BU3" s="359"/>
      <c r="BV3"/>
      <c r="BW3" s="360" t="s">
        <v>131</v>
      </c>
      <c r="BX3" s="360"/>
      <c r="BY3" s="360"/>
      <c r="BZ3" s="360"/>
      <c r="CA3" s="360"/>
      <c r="CB3" s="359"/>
      <c r="CC3" s="110"/>
      <c r="CD3" s="110"/>
      <c r="CE3" s="236" t="s">
        <v>132</v>
      </c>
      <c r="CF3" s="236">
        <v>25</v>
      </c>
    </row>
    <row r="4" spans="1:87" s="236" customFormat="1" outlineLevel="1">
      <c r="A4" s="237"/>
      <c r="B4" s="237"/>
      <c r="C4" s="237"/>
      <c r="D4" s="237"/>
      <c r="E4" s="237"/>
      <c r="F4" s="237"/>
      <c r="G4" s="237"/>
      <c r="H4" s="237"/>
      <c r="I4" s="231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7"/>
      <c r="AX4" s="237"/>
      <c r="AY4" s="237"/>
      <c r="AZ4" s="237"/>
      <c r="BA4" s="237"/>
      <c r="BB4" s="237"/>
      <c r="BC4" s="237"/>
      <c r="BD4" s="237"/>
      <c r="BE4" s="237"/>
      <c r="BF4" s="237"/>
      <c r="BG4" s="237"/>
      <c r="BH4" s="237"/>
      <c r="BI4" s="237"/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/>
      <c r="BW4" s="359"/>
      <c r="BX4" s="359"/>
      <c r="BY4" s="359"/>
      <c r="BZ4" s="359"/>
      <c r="CA4" s="359"/>
      <c r="CB4" s="359"/>
      <c r="CC4" s="110"/>
      <c r="CD4" s="110"/>
    </row>
    <row r="5" spans="1:87" s="111" customFormat="1" ht="11">
      <c r="A5" s="424" t="s">
        <v>0</v>
      </c>
      <c r="B5" s="427" t="s">
        <v>1</v>
      </c>
      <c r="C5" s="378" t="s">
        <v>2</v>
      </c>
      <c r="D5" s="430" t="s">
        <v>117</v>
      </c>
      <c r="E5" s="430" t="s">
        <v>4</v>
      </c>
      <c r="F5" s="433" t="s">
        <v>118</v>
      </c>
      <c r="G5" s="378" t="s">
        <v>6</v>
      </c>
      <c r="H5" s="387" t="s">
        <v>7</v>
      </c>
      <c r="I5" s="387" t="s">
        <v>8</v>
      </c>
      <c r="J5" s="378" t="s">
        <v>9</v>
      </c>
      <c r="K5" s="419" t="s">
        <v>10</v>
      </c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1"/>
      <c r="Y5" s="328" t="s">
        <v>11</v>
      </c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3"/>
      <c r="AP5" s="378" t="s">
        <v>12</v>
      </c>
      <c r="AQ5" s="378" t="s">
        <v>13</v>
      </c>
      <c r="AR5" s="378" t="s">
        <v>14</v>
      </c>
      <c r="AS5" s="378" t="s">
        <v>15</v>
      </c>
      <c r="AT5" s="378" t="s">
        <v>16</v>
      </c>
      <c r="AU5" s="378" t="s">
        <v>17</v>
      </c>
      <c r="AV5" s="378" t="s">
        <v>18</v>
      </c>
      <c r="AW5" s="378" t="s">
        <v>19</v>
      </c>
      <c r="AX5" s="378" t="s">
        <v>20</v>
      </c>
      <c r="AY5" s="342" t="s">
        <v>21</v>
      </c>
      <c r="AZ5" s="384"/>
      <c r="BA5" s="384"/>
      <c r="BB5" s="384"/>
      <c r="BC5" s="384"/>
      <c r="BD5" s="384"/>
      <c r="BE5" s="384"/>
      <c r="BF5" s="384"/>
      <c r="BG5" s="384"/>
      <c r="BH5" s="384"/>
      <c r="BI5" s="384"/>
      <c r="BJ5" s="384"/>
      <c r="BK5" s="384"/>
      <c r="BL5" s="384"/>
      <c r="BM5" s="384"/>
      <c r="BN5" s="384"/>
      <c r="BO5" s="384"/>
      <c r="BP5" s="385"/>
      <c r="BQ5" s="415" t="s">
        <v>22</v>
      </c>
      <c r="BR5" s="416"/>
      <c r="BS5" s="354" t="s">
        <v>119</v>
      </c>
      <c r="BT5" s="354" t="s">
        <v>23</v>
      </c>
      <c r="BU5" s="415" t="s">
        <v>24</v>
      </c>
      <c r="BW5" s="397" t="s">
        <v>25</v>
      </c>
      <c r="BX5" s="400" t="s">
        <v>26</v>
      </c>
      <c r="BY5" s="401"/>
      <c r="BZ5" s="401"/>
      <c r="CA5" s="402"/>
      <c r="CB5" s="409" t="s">
        <v>27</v>
      </c>
      <c r="CC5" s="412" t="s">
        <v>28</v>
      </c>
      <c r="CD5" s="412" t="s">
        <v>29</v>
      </c>
      <c r="CH5" s="112"/>
      <c r="CI5" s="113"/>
    </row>
    <row r="6" spans="1:87" s="111" customFormat="1" ht="11">
      <c r="A6" s="425"/>
      <c r="B6" s="428"/>
      <c r="C6" s="379"/>
      <c r="D6" s="431"/>
      <c r="E6" s="431"/>
      <c r="F6" s="434"/>
      <c r="G6" s="379"/>
      <c r="H6" s="388"/>
      <c r="I6" s="388"/>
      <c r="J6" s="379"/>
      <c r="K6" s="390" t="s">
        <v>30</v>
      </c>
      <c r="L6" s="390" t="s">
        <v>31</v>
      </c>
      <c r="M6" s="390" t="s">
        <v>32</v>
      </c>
      <c r="N6" s="390" t="s">
        <v>33</v>
      </c>
      <c r="O6" s="390" t="s">
        <v>34</v>
      </c>
      <c r="P6" s="390" t="s">
        <v>35</v>
      </c>
      <c r="Q6" s="390" t="s">
        <v>36</v>
      </c>
      <c r="R6" s="390" t="s">
        <v>37</v>
      </c>
      <c r="S6" s="390" t="s">
        <v>38</v>
      </c>
      <c r="T6" s="390" t="s">
        <v>39</v>
      </c>
      <c r="U6" s="390" t="s">
        <v>40</v>
      </c>
      <c r="V6" s="393" t="s">
        <v>41</v>
      </c>
      <c r="W6" s="394"/>
      <c r="X6" s="390" t="s">
        <v>42</v>
      </c>
      <c r="Y6" s="378" t="s">
        <v>43</v>
      </c>
      <c r="Z6" s="378" t="s">
        <v>44</v>
      </c>
      <c r="AA6" s="378" t="s">
        <v>45</v>
      </c>
      <c r="AB6" s="378" t="s">
        <v>46</v>
      </c>
      <c r="AC6" s="387" t="s">
        <v>47</v>
      </c>
      <c r="AD6" s="387" t="s">
        <v>120</v>
      </c>
      <c r="AE6" s="387" t="s">
        <v>49</v>
      </c>
      <c r="AF6" s="387" t="s">
        <v>50</v>
      </c>
      <c r="AG6" s="378" t="s">
        <v>51</v>
      </c>
      <c r="AH6" s="387" t="s">
        <v>52</v>
      </c>
      <c r="AI6" s="387" t="s">
        <v>53</v>
      </c>
      <c r="AJ6" s="378" t="s">
        <v>54</v>
      </c>
      <c r="AK6" s="378" t="s">
        <v>55</v>
      </c>
      <c r="AL6" s="378" t="s">
        <v>56</v>
      </c>
      <c r="AM6" s="378" t="s">
        <v>57</v>
      </c>
      <c r="AN6" s="381" t="s">
        <v>58</v>
      </c>
      <c r="AO6" s="378" t="s">
        <v>59</v>
      </c>
      <c r="AP6" s="379"/>
      <c r="AQ6" s="379"/>
      <c r="AR6" s="379"/>
      <c r="AS6" s="379"/>
      <c r="AT6" s="379"/>
      <c r="AU6" s="379"/>
      <c r="AV6" s="379"/>
      <c r="AW6" s="379"/>
      <c r="AX6" s="379"/>
      <c r="AY6" s="342" t="s">
        <v>21</v>
      </c>
      <c r="AZ6" s="384"/>
      <c r="BA6" s="384"/>
      <c r="BB6" s="384"/>
      <c r="BC6" s="384"/>
      <c r="BD6" s="384"/>
      <c r="BE6" s="384"/>
      <c r="BF6" s="384"/>
      <c r="BG6" s="384"/>
      <c r="BH6" s="384"/>
      <c r="BI6" s="384"/>
      <c r="BJ6" s="385"/>
      <c r="BK6" s="342" t="s">
        <v>60</v>
      </c>
      <c r="BL6" s="384"/>
      <c r="BM6" s="384"/>
      <c r="BN6" s="384"/>
      <c r="BO6" s="384"/>
      <c r="BP6" s="385"/>
      <c r="BQ6" s="386" t="s">
        <v>61</v>
      </c>
      <c r="BR6" s="386" t="s">
        <v>62</v>
      </c>
      <c r="BS6" s="386"/>
      <c r="BT6" s="386"/>
      <c r="BU6" s="417"/>
      <c r="BW6" s="398"/>
      <c r="BX6" s="403"/>
      <c r="BY6" s="404"/>
      <c r="BZ6" s="404"/>
      <c r="CA6" s="405"/>
      <c r="CB6" s="410"/>
      <c r="CC6" s="413"/>
      <c r="CD6" s="413"/>
      <c r="CH6" s="112"/>
      <c r="CI6" s="113"/>
    </row>
    <row r="7" spans="1:87" s="111" customFormat="1" ht="12">
      <c r="A7" s="425"/>
      <c r="B7" s="428"/>
      <c r="C7" s="379"/>
      <c r="D7" s="431"/>
      <c r="E7" s="431"/>
      <c r="F7" s="434"/>
      <c r="G7" s="379"/>
      <c r="H7" s="388"/>
      <c r="I7" s="388"/>
      <c r="J7" s="379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5"/>
      <c r="W7" s="396"/>
      <c r="X7" s="391"/>
      <c r="Y7" s="379"/>
      <c r="Z7" s="379"/>
      <c r="AA7" s="379"/>
      <c r="AB7" s="379"/>
      <c r="AC7" s="388"/>
      <c r="AD7" s="388"/>
      <c r="AE7" s="388"/>
      <c r="AF7" s="388"/>
      <c r="AG7" s="379"/>
      <c r="AH7" s="388"/>
      <c r="AI7" s="388"/>
      <c r="AJ7" s="379"/>
      <c r="AK7" s="379"/>
      <c r="AL7" s="379"/>
      <c r="AM7" s="379"/>
      <c r="AN7" s="382"/>
      <c r="AO7" s="379"/>
      <c r="AP7" s="379"/>
      <c r="AQ7" s="379"/>
      <c r="AR7" s="379"/>
      <c r="AS7" s="379"/>
      <c r="AT7" s="379"/>
      <c r="AU7" s="379"/>
      <c r="AV7" s="379"/>
      <c r="AW7" s="379"/>
      <c r="AX7" s="379"/>
      <c r="AY7" s="88" t="s">
        <v>63</v>
      </c>
      <c r="AZ7" s="88" t="s">
        <v>64</v>
      </c>
      <c r="BA7" s="88" t="s">
        <v>65</v>
      </c>
      <c r="BB7" s="354" t="s">
        <v>66</v>
      </c>
      <c r="BC7" s="374" t="s">
        <v>67</v>
      </c>
      <c r="BD7" s="374" t="s">
        <v>68</v>
      </c>
      <c r="BE7" s="374" t="s">
        <v>121</v>
      </c>
      <c r="BF7" s="374" t="s">
        <v>70</v>
      </c>
      <c r="BG7" s="374" t="s">
        <v>71</v>
      </c>
      <c r="BH7" s="374" t="s">
        <v>72</v>
      </c>
      <c r="BI7" s="374" t="s">
        <v>75</v>
      </c>
      <c r="BJ7" s="376" t="s">
        <v>76</v>
      </c>
      <c r="BK7" s="374" t="s">
        <v>77</v>
      </c>
      <c r="BL7" s="354" t="s">
        <v>78</v>
      </c>
      <c r="BM7" s="374" t="s">
        <v>79</v>
      </c>
      <c r="BN7" s="354" t="s">
        <v>80</v>
      </c>
      <c r="BO7" s="354" t="s">
        <v>122</v>
      </c>
      <c r="BP7" s="354" t="s">
        <v>81</v>
      </c>
      <c r="BQ7" s="386"/>
      <c r="BR7" s="386"/>
      <c r="BS7" s="386"/>
      <c r="BT7" s="386"/>
      <c r="BU7" s="417"/>
      <c r="BW7" s="398"/>
      <c r="BX7" s="406"/>
      <c r="BY7" s="407"/>
      <c r="BZ7" s="407"/>
      <c r="CA7" s="408"/>
      <c r="CB7" s="410"/>
      <c r="CC7" s="413"/>
      <c r="CD7" s="413"/>
      <c r="CH7" s="112"/>
      <c r="CI7" s="113"/>
    </row>
    <row r="8" spans="1:87" s="111" customFormat="1" ht="24">
      <c r="A8" s="426"/>
      <c r="B8" s="429"/>
      <c r="C8" s="380"/>
      <c r="D8" s="432"/>
      <c r="E8" s="432"/>
      <c r="F8" s="435"/>
      <c r="G8" s="380"/>
      <c r="H8" s="389"/>
      <c r="I8" s="389"/>
      <c r="J8" s="380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115" t="s">
        <v>82</v>
      </c>
      <c r="W8" s="115" t="s">
        <v>83</v>
      </c>
      <c r="X8" s="392"/>
      <c r="Y8" s="380"/>
      <c r="Z8" s="380"/>
      <c r="AA8" s="380"/>
      <c r="AB8" s="380"/>
      <c r="AC8" s="389"/>
      <c r="AD8" s="389"/>
      <c r="AE8" s="389"/>
      <c r="AF8" s="389"/>
      <c r="AG8" s="380"/>
      <c r="AH8" s="389"/>
      <c r="AI8" s="389"/>
      <c r="AJ8" s="380"/>
      <c r="AK8" s="380"/>
      <c r="AL8" s="380"/>
      <c r="AM8" s="380"/>
      <c r="AN8" s="383"/>
      <c r="AO8" s="380"/>
      <c r="AP8" s="380"/>
      <c r="AQ8" s="380"/>
      <c r="AR8" s="380"/>
      <c r="AS8" s="380"/>
      <c r="AT8" s="380"/>
      <c r="AU8" s="380"/>
      <c r="AV8" s="380"/>
      <c r="AW8" s="380"/>
      <c r="AX8" s="380"/>
      <c r="AY8" s="89" t="s">
        <v>84</v>
      </c>
      <c r="AZ8" s="89" t="s">
        <v>85</v>
      </c>
      <c r="BA8" s="89" t="s">
        <v>86</v>
      </c>
      <c r="BB8" s="355"/>
      <c r="BC8" s="375"/>
      <c r="BD8" s="375"/>
      <c r="BE8" s="375"/>
      <c r="BF8" s="375"/>
      <c r="BG8" s="375"/>
      <c r="BH8" s="375"/>
      <c r="BI8" s="375"/>
      <c r="BJ8" s="377"/>
      <c r="BK8" s="375"/>
      <c r="BL8" s="355"/>
      <c r="BM8" s="375"/>
      <c r="BN8" s="355"/>
      <c r="BO8" s="355"/>
      <c r="BP8" s="355"/>
      <c r="BQ8" s="355"/>
      <c r="BR8" s="355"/>
      <c r="BS8" s="355"/>
      <c r="BT8" s="355"/>
      <c r="BU8" s="418"/>
      <c r="BW8" s="399"/>
      <c r="BX8" s="61" t="s">
        <v>87</v>
      </c>
      <c r="BY8" s="61" t="s">
        <v>88</v>
      </c>
      <c r="BZ8" s="61" t="s">
        <v>89</v>
      </c>
      <c r="CA8" s="62" t="s">
        <v>90</v>
      </c>
      <c r="CB8" s="411"/>
      <c r="CC8" s="414"/>
      <c r="CD8" s="414"/>
      <c r="CF8" s="116"/>
      <c r="CH8" s="112"/>
      <c r="CI8" s="113"/>
    </row>
    <row r="9" spans="1:87" s="188" customFormat="1">
      <c r="A9" s="21">
        <v>1</v>
      </c>
      <c r="B9" s="22">
        <f>A9+1</f>
        <v>2</v>
      </c>
      <c r="C9" s="22">
        <f t="shared" ref="C9:BN9" si="0">B9+1</f>
        <v>3</v>
      </c>
      <c r="D9" s="22">
        <f t="shared" si="0"/>
        <v>4</v>
      </c>
      <c r="E9" s="22"/>
      <c r="F9" s="22">
        <f>D9+1</f>
        <v>5</v>
      </c>
      <c r="G9" s="22">
        <f t="shared" si="0"/>
        <v>6</v>
      </c>
      <c r="H9" s="22">
        <f t="shared" si="0"/>
        <v>7</v>
      </c>
      <c r="I9" s="22">
        <f t="shared" si="0"/>
        <v>8</v>
      </c>
      <c r="J9" s="22">
        <f t="shared" si="0"/>
        <v>9</v>
      </c>
      <c r="K9" s="22">
        <f t="shared" si="0"/>
        <v>10</v>
      </c>
      <c r="L9" s="22">
        <f t="shared" si="0"/>
        <v>11</v>
      </c>
      <c r="M9" s="22">
        <f t="shared" si="0"/>
        <v>12</v>
      </c>
      <c r="N9" s="22">
        <f t="shared" si="0"/>
        <v>13</v>
      </c>
      <c r="O9" s="22">
        <f t="shared" si="0"/>
        <v>14</v>
      </c>
      <c r="P9" s="22">
        <f t="shared" si="0"/>
        <v>15</v>
      </c>
      <c r="Q9" s="22">
        <f t="shared" si="0"/>
        <v>16</v>
      </c>
      <c r="R9" s="22">
        <f t="shared" si="0"/>
        <v>17</v>
      </c>
      <c r="S9" s="22">
        <f t="shared" si="0"/>
        <v>18</v>
      </c>
      <c r="T9" s="22">
        <f t="shared" si="0"/>
        <v>19</v>
      </c>
      <c r="U9" s="22">
        <f t="shared" si="0"/>
        <v>20</v>
      </c>
      <c r="V9" s="22">
        <f t="shared" si="0"/>
        <v>21</v>
      </c>
      <c r="W9" s="22">
        <f t="shared" si="0"/>
        <v>22</v>
      </c>
      <c r="X9" s="22">
        <f t="shared" si="0"/>
        <v>23</v>
      </c>
      <c r="Y9" s="22">
        <f t="shared" si="0"/>
        <v>24</v>
      </c>
      <c r="Z9" s="22">
        <f t="shared" si="0"/>
        <v>25</v>
      </c>
      <c r="AA9" s="22">
        <f t="shared" si="0"/>
        <v>26</v>
      </c>
      <c r="AB9" s="22">
        <f t="shared" si="0"/>
        <v>27</v>
      </c>
      <c r="AC9" s="22">
        <f t="shared" si="0"/>
        <v>28</v>
      </c>
      <c r="AD9" s="22">
        <f t="shared" si="0"/>
        <v>29</v>
      </c>
      <c r="AE9" s="22">
        <f t="shared" si="0"/>
        <v>30</v>
      </c>
      <c r="AF9" s="22">
        <f t="shared" si="0"/>
        <v>31</v>
      </c>
      <c r="AG9" s="22">
        <f t="shared" si="0"/>
        <v>32</v>
      </c>
      <c r="AH9" s="22">
        <f t="shared" si="0"/>
        <v>33</v>
      </c>
      <c r="AI9" s="22">
        <f t="shared" si="0"/>
        <v>34</v>
      </c>
      <c r="AJ9" s="22">
        <f t="shared" si="0"/>
        <v>35</v>
      </c>
      <c r="AK9" s="22">
        <f t="shared" si="0"/>
        <v>36</v>
      </c>
      <c r="AL9" s="22">
        <f t="shared" si="0"/>
        <v>37</v>
      </c>
      <c r="AM9" s="22">
        <f t="shared" si="0"/>
        <v>38</v>
      </c>
      <c r="AN9" s="22">
        <f t="shared" si="0"/>
        <v>39</v>
      </c>
      <c r="AO9" s="22">
        <f t="shared" si="0"/>
        <v>40</v>
      </c>
      <c r="AP9" s="22">
        <f t="shared" si="0"/>
        <v>41</v>
      </c>
      <c r="AQ9" s="22">
        <f t="shared" si="0"/>
        <v>42</v>
      </c>
      <c r="AR9" s="22">
        <f t="shared" si="0"/>
        <v>43</v>
      </c>
      <c r="AS9" s="22">
        <f t="shared" si="0"/>
        <v>44</v>
      </c>
      <c r="AT9" s="22">
        <f t="shared" si="0"/>
        <v>45</v>
      </c>
      <c r="AU9" s="22">
        <f t="shared" si="0"/>
        <v>46</v>
      </c>
      <c r="AV9" s="22">
        <f t="shared" si="0"/>
        <v>47</v>
      </c>
      <c r="AW9" s="22"/>
      <c r="AX9" s="22"/>
      <c r="AY9" s="22">
        <f>AV9+1</f>
        <v>48</v>
      </c>
      <c r="AZ9" s="22">
        <f t="shared" si="0"/>
        <v>49</v>
      </c>
      <c r="BA9" s="22">
        <f t="shared" si="0"/>
        <v>50</v>
      </c>
      <c r="BB9" s="22">
        <f t="shared" si="0"/>
        <v>51</v>
      </c>
      <c r="BC9" s="22">
        <f t="shared" si="0"/>
        <v>52</v>
      </c>
      <c r="BD9" s="22">
        <f t="shared" si="0"/>
        <v>53</v>
      </c>
      <c r="BE9" s="22">
        <f t="shared" si="0"/>
        <v>54</v>
      </c>
      <c r="BF9" s="22"/>
      <c r="BG9" s="22"/>
      <c r="BH9" s="22"/>
      <c r="BI9" s="22"/>
      <c r="BJ9" s="22">
        <f>BE9+1</f>
        <v>55</v>
      </c>
      <c r="BK9" s="22">
        <f t="shared" si="0"/>
        <v>56</v>
      </c>
      <c r="BL9" s="22">
        <f t="shared" si="0"/>
        <v>57</v>
      </c>
      <c r="BM9" s="22">
        <f t="shared" si="0"/>
        <v>58</v>
      </c>
      <c r="BN9" s="22">
        <f t="shared" si="0"/>
        <v>59</v>
      </c>
      <c r="BO9" s="22"/>
      <c r="BP9" s="22">
        <f>BN9+1</f>
        <v>60</v>
      </c>
      <c r="BQ9" s="22">
        <f t="shared" ref="BQ9:BU9" si="1">BP9+1</f>
        <v>61</v>
      </c>
      <c r="BR9" s="22">
        <f t="shared" si="1"/>
        <v>62</v>
      </c>
      <c r="BS9" s="22"/>
      <c r="BT9" s="22">
        <f>BR9+1</f>
        <v>63</v>
      </c>
      <c r="BU9" s="22">
        <f t="shared" si="1"/>
        <v>64</v>
      </c>
      <c r="BV9"/>
      <c r="BW9" s="93" t="s">
        <v>91</v>
      </c>
      <c r="BX9" s="22">
        <f t="shared" ref="BX9:CD9" si="2">BW9+1</f>
        <v>66</v>
      </c>
      <c r="BY9" s="22">
        <f t="shared" si="2"/>
        <v>67</v>
      </c>
      <c r="BZ9" s="22">
        <f t="shared" si="2"/>
        <v>68</v>
      </c>
      <c r="CA9" s="22">
        <f t="shared" si="2"/>
        <v>69</v>
      </c>
      <c r="CB9" s="22">
        <f t="shared" si="2"/>
        <v>70</v>
      </c>
      <c r="CC9" s="22">
        <f t="shared" si="2"/>
        <v>71</v>
      </c>
      <c r="CD9" s="22">
        <f t="shared" si="2"/>
        <v>72</v>
      </c>
      <c r="CG9" s="111"/>
      <c r="CH9" s="112"/>
      <c r="CI9" s="113"/>
    </row>
    <row r="10" spans="1:87" s="189" customFormat="1">
      <c r="A10" s="66" t="s">
        <v>92</v>
      </c>
      <c r="B10" s="66" t="s">
        <v>92</v>
      </c>
      <c r="C10" s="66" t="s">
        <v>92</v>
      </c>
      <c r="D10" s="22"/>
      <c r="E10" s="22"/>
      <c r="F10" s="22"/>
      <c r="G10" s="66" t="s">
        <v>92</v>
      </c>
      <c r="H10" s="66" t="s">
        <v>92</v>
      </c>
      <c r="I10" s="66" t="s">
        <v>92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90"/>
      <c r="BV10"/>
      <c r="BW10" s="94"/>
      <c r="BX10" s="63"/>
      <c r="BY10" s="63"/>
      <c r="BZ10" s="63"/>
      <c r="CA10" s="63"/>
      <c r="CB10" s="63"/>
      <c r="CC10" s="63"/>
      <c r="CD10" s="63"/>
      <c r="CG10" s="110"/>
      <c r="CH10" s="112"/>
      <c r="CI10" s="113"/>
    </row>
    <row r="11" spans="1:87" s="128" customFormat="1">
      <c r="A11" s="120"/>
      <c r="B11" s="121"/>
      <c r="C11" s="121"/>
      <c r="D11" s="122"/>
      <c r="E11" s="122"/>
      <c r="F11" s="122"/>
      <c r="G11" s="121">
        <f>SUM(G12:G14)</f>
        <v>23500000</v>
      </c>
      <c r="H11" s="121">
        <f t="shared" ref="H11:I11" si="3">SUM(H12:H14)</f>
        <v>1860000</v>
      </c>
      <c r="I11" s="121">
        <f t="shared" si="3"/>
        <v>76640000</v>
      </c>
      <c r="J11" s="121"/>
      <c r="K11" s="123">
        <f t="shared" ref="K11:BU11" si="4">SUM(K12:K14)</f>
        <v>32.5</v>
      </c>
      <c r="L11" s="123"/>
      <c r="M11" s="123"/>
      <c r="N11" s="123"/>
      <c r="O11" s="123"/>
      <c r="P11" s="123"/>
      <c r="Q11" s="123"/>
      <c r="R11" s="123">
        <f>SUM(R12:R14)</f>
        <v>4</v>
      </c>
      <c r="S11" s="123">
        <f t="shared" si="4"/>
        <v>0</v>
      </c>
      <c r="T11" s="123"/>
      <c r="U11" s="123">
        <f t="shared" si="4"/>
        <v>0</v>
      </c>
      <c r="V11" s="123">
        <f t="shared" si="4"/>
        <v>0</v>
      </c>
      <c r="W11" s="123">
        <f t="shared" si="4"/>
        <v>0</v>
      </c>
      <c r="X11" s="123">
        <f t="shared" si="4"/>
        <v>0</v>
      </c>
      <c r="Y11" s="121">
        <f t="shared" si="4"/>
        <v>9807884.615384616</v>
      </c>
      <c r="Z11" s="121"/>
      <c r="AA11" s="121"/>
      <c r="AB11" s="121"/>
      <c r="AC11" s="121">
        <f t="shared" si="4"/>
        <v>0</v>
      </c>
      <c r="AD11" s="121">
        <f t="shared" si="4"/>
        <v>0</v>
      </c>
      <c r="AE11" s="121"/>
      <c r="AF11" s="121">
        <f t="shared" si="4"/>
        <v>0</v>
      </c>
      <c r="AG11" s="121">
        <f t="shared" si="4"/>
        <v>0</v>
      </c>
      <c r="AH11" s="121">
        <f t="shared" si="4"/>
        <v>0</v>
      </c>
      <c r="AI11" s="121">
        <f t="shared" si="4"/>
        <v>0</v>
      </c>
      <c r="AJ11" s="121">
        <f t="shared" si="4"/>
        <v>0</v>
      </c>
      <c r="AK11" s="121">
        <f t="shared" si="4"/>
        <v>0</v>
      </c>
      <c r="AL11" s="121">
        <f t="shared" si="4"/>
        <v>0</v>
      </c>
      <c r="AM11" s="121">
        <f t="shared" si="4"/>
        <v>0</v>
      </c>
      <c r="AN11" s="121">
        <f t="shared" si="4"/>
        <v>771923.07692307699</v>
      </c>
      <c r="AO11" s="121">
        <f t="shared" si="4"/>
        <v>40625769.230769232</v>
      </c>
      <c r="AP11" s="121"/>
      <c r="AQ11" s="121"/>
      <c r="AR11" s="121"/>
      <c r="AS11" s="121"/>
      <c r="AT11" s="121"/>
      <c r="AU11" s="121"/>
      <c r="AV11" s="121">
        <f t="shared" si="4"/>
        <v>56373846.15384616</v>
      </c>
      <c r="AW11" s="121"/>
      <c r="AX11" s="121"/>
      <c r="AY11" s="121">
        <f t="shared" si="4"/>
        <v>2028800</v>
      </c>
      <c r="AZ11" s="121">
        <f t="shared" si="4"/>
        <v>380400</v>
      </c>
      <c r="BA11" s="121">
        <f t="shared" si="4"/>
        <v>253600</v>
      </c>
      <c r="BB11" s="121">
        <f t="shared" si="4"/>
        <v>2662800</v>
      </c>
      <c r="BC11" s="121">
        <f t="shared" si="4"/>
        <v>0</v>
      </c>
      <c r="BD11" s="121"/>
      <c r="BE11" s="121">
        <f t="shared" si="4"/>
        <v>235000</v>
      </c>
      <c r="BF11" s="121"/>
      <c r="BG11" s="121"/>
      <c r="BH11" s="121"/>
      <c r="BI11" s="121"/>
      <c r="BJ11" s="121">
        <f t="shared" si="4"/>
        <v>499346</v>
      </c>
      <c r="BK11" s="121">
        <f t="shared" si="4"/>
        <v>0</v>
      </c>
      <c r="BL11" s="121">
        <f t="shared" si="4"/>
        <v>0</v>
      </c>
      <c r="BM11" s="121">
        <f t="shared" si="4"/>
        <v>0</v>
      </c>
      <c r="BN11" s="121">
        <f t="shared" si="4"/>
        <v>0</v>
      </c>
      <c r="BO11" s="121"/>
      <c r="BP11" s="121">
        <f t="shared" si="4"/>
        <v>0</v>
      </c>
      <c r="BQ11" s="121"/>
      <c r="BR11" s="121"/>
      <c r="BS11" s="121"/>
      <c r="BT11" s="121">
        <f t="shared" si="4"/>
        <v>45099076.923076928</v>
      </c>
      <c r="BU11" s="125">
        <f t="shared" si="4"/>
        <v>0</v>
      </c>
      <c r="BV11"/>
      <c r="BW11" s="126"/>
      <c r="BX11" s="127"/>
      <c r="BY11" s="127"/>
      <c r="BZ11" s="127"/>
      <c r="CA11" s="127"/>
      <c r="CB11" s="127"/>
      <c r="CC11" s="127"/>
      <c r="CD11" s="127"/>
    </row>
    <row r="12" spans="1:87" s="146" customFormat="1">
      <c r="A12" s="129">
        <f>IF(B12=0,"",COUNTA($B$12:(B12)))</f>
        <v>1</v>
      </c>
      <c r="B12" s="130">
        <v>123456</v>
      </c>
      <c r="C12" s="131" t="s">
        <v>147</v>
      </c>
      <c r="D12" s="132" t="s">
        <v>124</v>
      </c>
      <c r="E12" s="132" t="s">
        <v>93</v>
      </c>
      <c r="F12" s="132" t="str">
        <f>IF(BW12&gt;=18000000,"LT","LN")</f>
        <v>LT</v>
      </c>
      <c r="G12" s="135">
        <v>9520000</v>
      </c>
      <c r="H12" s="135">
        <f>+IF(OR(CC12="ĐT PCCC",CC12="ĐP PCCC"),780000,IF(CC12="AT-VSV",300000,0))</f>
        <v>780000</v>
      </c>
      <c r="I12" s="135">
        <f>CB12-BZ12-G12-H12</f>
        <v>49700000</v>
      </c>
      <c r="J12" s="136">
        <v>1</v>
      </c>
      <c r="K12" s="137">
        <v>11</v>
      </c>
      <c r="L12" s="137"/>
      <c r="M12" s="137"/>
      <c r="N12" s="137"/>
      <c r="O12" s="137">
        <v>2</v>
      </c>
      <c r="P12" s="137"/>
      <c r="Q12" s="137"/>
      <c r="R12" s="137">
        <v>0</v>
      </c>
      <c r="S12" s="137">
        <v>0</v>
      </c>
      <c r="T12" s="137"/>
      <c r="U12" s="137">
        <v>0</v>
      </c>
      <c r="V12" s="137">
        <v>0</v>
      </c>
      <c r="W12" s="137">
        <v>0</v>
      </c>
      <c r="X12" s="137">
        <v>0</v>
      </c>
      <c r="Y12" s="135">
        <f>G12*(K12+L12)/26</f>
        <v>4027692.3076923075</v>
      </c>
      <c r="Z12" s="135">
        <f>M12*G12/26</f>
        <v>0</v>
      </c>
      <c r="AA12" s="135">
        <f>G12*N12/26</f>
        <v>0</v>
      </c>
      <c r="AB12" s="135">
        <f>G12*O12/26</f>
        <v>732307.69230769225</v>
      </c>
      <c r="AC12" s="135">
        <f>G12*P12*150%/26</f>
        <v>0</v>
      </c>
      <c r="AD12" s="135">
        <f>G12*Q12/26*200%</f>
        <v>0</v>
      </c>
      <c r="AE12" s="135">
        <f>G12*R12/26*300%</f>
        <v>0</v>
      </c>
      <c r="AF12" s="135">
        <f>IF(F12="LT",0,(G12+H12)/26*S12*30%)</f>
        <v>0</v>
      </c>
      <c r="AG12" s="135">
        <f>T12*G12/23/8</f>
        <v>0</v>
      </c>
      <c r="AH12" s="135">
        <f>CB12/26*U12</f>
        <v>0</v>
      </c>
      <c r="AI12" s="135">
        <f>G12*V12/26</f>
        <v>0</v>
      </c>
      <c r="AJ12" s="135"/>
      <c r="AK12" s="135">
        <f>BZ12*L12/26</f>
        <v>0</v>
      </c>
      <c r="AL12" s="135"/>
      <c r="AM12" s="135">
        <f>X12*CD12</f>
        <v>0</v>
      </c>
      <c r="AN12" s="135">
        <f>H12/26*(K12+L12)</f>
        <v>330000</v>
      </c>
      <c r="AO12" s="13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35"/>
      <c r="AQ12" s="135"/>
      <c r="AR12" s="135"/>
      <c r="AS12" s="135"/>
      <c r="AT12" s="135"/>
      <c r="AU12" s="135"/>
      <c r="AV12" s="139">
        <f>Y12+Z12+AA12+AB12+AC12+AD12+AE12+AF12+AG12+AI12+AJ12+AK12+AL12+AM12+AN12+AO12+AP12-AQ12+AR12+AS12+AT12+AU12</f>
        <v>32307692.307692312</v>
      </c>
      <c r="AW12" s="139"/>
      <c r="AX12" s="139" t="s">
        <v>95</v>
      </c>
      <c r="AY12" s="140">
        <f>ROUND(IF($AX12="x",($G12+$H12)*AY$8,0),0)</f>
        <v>824000</v>
      </c>
      <c r="AZ12" s="140">
        <f>ROUND(IF($AX12="x",($G12+$H12)*AZ$8,0),0)</f>
        <v>154500</v>
      </c>
      <c r="BA12" s="140">
        <f>ROUND(IF($AX12="x",($G12+$H12)*BA$8,0),0)</f>
        <v>103000</v>
      </c>
      <c r="BB12" s="140">
        <f>SUM(AY12:BA12)</f>
        <v>1081500</v>
      </c>
      <c r="BC12" s="140"/>
      <c r="BD12" s="140"/>
      <c r="BE12" s="140">
        <f>IF(G12*1%&gt;=234000,234000,G12*1%)</f>
        <v>95200</v>
      </c>
      <c r="BF12" s="140">
        <f>AM12+IF(AR12&gt;=730000,730000,AR12)+IF(((AV12-AM12-IF(AR12&gt;=730000,730000,AR12)-AS12)*15%-AS12)&gt;"0",((AV12-AM12-IF(AR12&gt;=730000,730000,AR12)-AS12)*15%-AS12),0)</f>
        <v>0</v>
      </c>
      <c r="BG12" s="140">
        <f>AV12-BF12+AW12</f>
        <v>32307692.307692312</v>
      </c>
      <c r="BH12" s="140">
        <v>3</v>
      </c>
      <c r="BI12" s="140">
        <f>BG12-BB12-BC12+BD12-BH12*4400000-IF(E12="CT",11000000,0)</f>
        <v>7026192.3076923117</v>
      </c>
      <c r="BJ12" s="12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40"/>
      <c r="BL12" s="140"/>
      <c r="BM12" s="140">
        <v>0</v>
      </c>
      <c r="BN12" s="140"/>
      <c r="BO12" s="140"/>
      <c r="BP12" s="140"/>
      <c r="BQ12" s="140"/>
      <c r="BR12" s="140"/>
      <c r="BS12" s="140" t="str">
        <f>IF(AV12&gt;=11000000,"80%","100%")</f>
        <v>80%</v>
      </c>
      <c r="BT12" s="140">
        <f>AV12*BS12-BN12-BK12-BP12-BO12</f>
        <v>25846153.846153852</v>
      </c>
      <c r="BU12" s="141"/>
      <c r="BV12"/>
      <c r="BW12" s="126">
        <v>60000000</v>
      </c>
      <c r="BX12" s="127">
        <v>0</v>
      </c>
      <c r="BY12" s="127"/>
      <c r="BZ12" s="127"/>
      <c r="CA12" s="127">
        <v>0</v>
      </c>
      <c r="CB12" s="127">
        <f>SUM(BW12:CA12)</f>
        <v>60000000</v>
      </c>
      <c r="CC12" s="127" t="s">
        <v>148</v>
      </c>
      <c r="CD12" s="127"/>
      <c r="CE12" s="142"/>
      <c r="CF12" s="143"/>
      <c r="CG12" s="143"/>
      <c r="CH12" s="144"/>
      <c r="CI12" s="145"/>
    </row>
    <row r="13" spans="1:87" s="146" customFormat="1">
      <c r="A13" s="129">
        <f>IF(B13=0,"",COUNTA($B$12:(B13)))</f>
        <v>2</v>
      </c>
      <c r="B13" s="130">
        <v>3562789</v>
      </c>
      <c r="C13" s="131" t="s">
        <v>149</v>
      </c>
      <c r="D13" s="132" t="s">
        <v>125</v>
      </c>
      <c r="E13" s="132" t="s">
        <v>93</v>
      </c>
      <c r="F13" s="132" t="str">
        <f t="shared" ref="F13:F14" si="5">IF(BW13&gt;=18000000,"LT","LN")</f>
        <v>LT</v>
      </c>
      <c r="G13" s="135">
        <v>6990000</v>
      </c>
      <c r="H13" s="135">
        <f>+IF(OR(CC13="ĐT PCCC",CC13="ĐP PCCC"),780000,IF(CC13="AT-VSV",300000,0))</f>
        <v>780000</v>
      </c>
      <c r="I13" s="135">
        <f>CB13-BZ13-G13-H13</f>
        <v>16380000</v>
      </c>
      <c r="J13" s="136">
        <v>1</v>
      </c>
      <c r="K13" s="137">
        <v>10.5</v>
      </c>
      <c r="L13" s="137"/>
      <c r="M13" s="137">
        <v>0.5</v>
      </c>
      <c r="N13" s="137"/>
      <c r="O13" s="137">
        <v>2</v>
      </c>
      <c r="P13" s="137"/>
      <c r="Q13" s="137"/>
      <c r="R13" s="137">
        <v>0</v>
      </c>
      <c r="S13" s="137">
        <v>0</v>
      </c>
      <c r="T13" s="137"/>
      <c r="U13" s="137">
        <v>0</v>
      </c>
      <c r="V13" s="137">
        <v>0</v>
      </c>
      <c r="W13" s="137">
        <v>0</v>
      </c>
      <c r="X13" s="137">
        <v>0</v>
      </c>
      <c r="Y13" s="135">
        <f t="shared" ref="Y13:Y14" si="6">G13*(K13+L13)/26</f>
        <v>2822884.6153846155</v>
      </c>
      <c r="Z13" s="135">
        <f t="shared" ref="Z13:Z14" si="7">M13*G13/26</f>
        <v>134423.07692307694</v>
      </c>
      <c r="AA13" s="135">
        <f t="shared" ref="AA13:AA14" si="8">G13*N13/26</f>
        <v>0</v>
      </c>
      <c r="AB13" s="135">
        <f t="shared" ref="AB13:AB14" si="9">G13*O13/26</f>
        <v>537692.30769230775</v>
      </c>
      <c r="AC13" s="135">
        <f t="shared" ref="AC13:AC14" si="10">G13*P13*150%/26</f>
        <v>0</v>
      </c>
      <c r="AD13" s="135">
        <f t="shared" ref="AD13:AD14" si="11">G13*Q13/26*200%</f>
        <v>0</v>
      </c>
      <c r="AE13" s="135">
        <f t="shared" ref="AE13:AE14" si="12">G13*R13/26*300%</f>
        <v>0</v>
      </c>
      <c r="AF13" s="135">
        <f t="shared" ref="AF13:AF14" si="13">IF(F13="LT",0,(G13+H13)/26*S13*30%)</f>
        <v>0</v>
      </c>
      <c r="AG13" s="135">
        <f t="shared" ref="AG13:AG14" si="14">T13*G13/23/8</f>
        <v>0</v>
      </c>
      <c r="AH13" s="135">
        <f>CB13/26*U13</f>
        <v>0</v>
      </c>
      <c r="AI13" s="135">
        <f t="shared" ref="AI13:AI14" si="15">G13*V13/26</f>
        <v>0</v>
      </c>
      <c r="AJ13" s="135"/>
      <c r="AK13" s="135">
        <f>BZ13*L13/26</f>
        <v>0</v>
      </c>
      <c r="AL13" s="135"/>
      <c r="AM13" s="135">
        <f>X13*CD13</f>
        <v>0</v>
      </c>
      <c r="AN13" s="135">
        <f t="shared" ref="AN13:AN14" si="16">H13/26*K13</f>
        <v>315000</v>
      </c>
      <c r="AO13" s="13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35"/>
      <c r="AQ13" s="135"/>
      <c r="AR13" s="135"/>
      <c r="AS13" s="135"/>
      <c r="AT13" s="135"/>
      <c r="AU13" s="135"/>
      <c r="AV13" s="139">
        <f t="shared" ref="AV13:AV14" si="18">Y13+Z13+AA13+AB13+AC13+AD13+AE13+AF13+AG13+AI13+AJ13+AK13+AL13+AM13+AN13+AO13+AP13-AQ13+AR13+AS13+AT13+AU13</f>
        <v>12750384.615384616</v>
      </c>
      <c r="AW13" s="139"/>
      <c r="AX13" s="139" t="s">
        <v>95</v>
      </c>
      <c r="AY13" s="140">
        <f t="shared" ref="AY13:AY14" si="19">ROUND(IF($AX13="x",($G13+$H13)*AY$8,0),0)</f>
        <v>621600</v>
      </c>
      <c r="AZ13" s="140">
        <f>ROUND(IF($AX13="x",($G13+$H13)*AZ$8,0),0)</f>
        <v>116550</v>
      </c>
      <c r="BA13" s="140">
        <f>ROUND(IF($AX13="x",($G13+$H13)*BA$8,0),0)</f>
        <v>77700</v>
      </c>
      <c r="BB13" s="140">
        <f>SUM(AY13:BA13)</f>
        <v>815850</v>
      </c>
      <c r="BC13" s="140"/>
      <c r="BD13" s="140"/>
      <c r="BE13" s="140">
        <f t="shared" ref="BE13:BE14" si="20">IF(G13*1%&gt;=234000,234000,G13*1%)</f>
        <v>69900</v>
      </c>
      <c r="BF13" s="140">
        <f t="shared" ref="BF13:BF14" si="21">AM13+IF(AR13&gt;=730000,730000,AR13)+IF(((AV13-AM13-IF(AR13&gt;=730000,730000,AR13)-AS13)*15%-AS13)&gt;"0",((AV13-AM13-IF(AR13&gt;=730000,730000,AR13)-AS13)*15%-AS13),0)</f>
        <v>0</v>
      </c>
      <c r="BG13" s="140">
        <f t="shared" ref="BG13:BG14" si="22">AV13-BF13+AW13</f>
        <v>12750384.615384616</v>
      </c>
      <c r="BH13" s="140"/>
      <c r="BI13" s="140">
        <f t="shared" ref="BI13:BI14" si="23">BG13-BB13-BC13+BD13-BH13*4400000-IF(E13="CT",11000000,0)</f>
        <v>934534.61538461596</v>
      </c>
      <c r="BJ13" s="12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40"/>
      <c r="BL13" s="140"/>
      <c r="BM13" s="140">
        <v>0</v>
      </c>
      <c r="BN13" s="140"/>
      <c r="BO13" s="140"/>
      <c r="BP13" s="140"/>
      <c r="BQ13" s="140"/>
      <c r="BR13" s="140"/>
      <c r="BS13" s="140" t="str">
        <f t="shared" ref="BS13:BS14" si="25">IF(AV13&gt;=11000000,"80%","100%")</f>
        <v>80%</v>
      </c>
      <c r="BT13" s="140">
        <f t="shared" ref="BT13:BT14" si="26">AV13*BS13-BN13-BK13-BP13-BO13</f>
        <v>10200307.692307694</v>
      </c>
      <c r="BU13" s="141"/>
      <c r="BV13"/>
      <c r="BW13" s="126">
        <v>23000000</v>
      </c>
      <c r="BX13" s="127">
        <v>0</v>
      </c>
      <c r="BY13" s="127">
        <v>0</v>
      </c>
      <c r="BZ13" s="127"/>
      <c r="CA13" s="127">
        <f>+BW13*5%</f>
        <v>1150000</v>
      </c>
      <c r="CB13" s="127">
        <f t="shared" ref="CB13:CB14" si="27">SUM(BW13:CA13)</f>
        <v>24150000</v>
      </c>
      <c r="CC13" s="127" t="s">
        <v>143</v>
      </c>
      <c r="CD13" s="127"/>
      <c r="CE13" s="142"/>
      <c r="CF13" s="143"/>
      <c r="CG13" s="143"/>
      <c r="CH13" s="144"/>
      <c r="CI13" s="145"/>
    </row>
    <row r="14" spans="1:87" s="146" customFormat="1">
      <c r="A14" s="129">
        <f>IF(B14=0,"",COUNTA($B$12:(B14)))</f>
        <v>3</v>
      </c>
      <c r="B14" s="147" t="s">
        <v>103</v>
      </c>
      <c r="C14" s="131" t="s">
        <v>150</v>
      </c>
      <c r="D14" s="132" t="s">
        <v>125</v>
      </c>
      <c r="E14" s="132" t="s">
        <v>93</v>
      </c>
      <c r="F14" s="132" t="str">
        <f t="shared" si="5"/>
        <v>LN</v>
      </c>
      <c r="G14" s="135">
        <v>6990000</v>
      </c>
      <c r="H14" s="135">
        <f>+IF(OR(CC14="ĐT PCCC",CC14="ĐP PCCC"),780000,IF(CC14="AT-VSV",300000,0))</f>
        <v>300000</v>
      </c>
      <c r="I14" s="135">
        <f>CB14-BZ14-G14-H14</f>
        <v>10560000</v>
      </c>
      <c r="J14" s="136">
        <v>1</v>
      </c>
      <c r="K14" s="137">
        <v>11</v>
      </c>
      <c r="L14" s="137"/>
      <c r="M14" s="137"/>
      <c r="N14" s="137"/>
      <c r="O14" s="137">
        <v>2</v>
      </c>
      <c r="P14" s="137"/>
      <c r="Q14" s="137"/>
      <c r="R14" s="137">
        <v>4</v>
      </c>
      <c r="S14" s="137">
        <v>0</v>
      </c>
      <c r="T14" s="137"/>
      <c r="U14" s="137">
        <v>0</v>
      </c>
      <c r="V14" s="137">
        <v>0</v>
      </c>
      <c r="W14" s="137">
        <v>0</v>
      </c>
      <c r="X14" s="137">
        <v>0</v>
      </c>
      <c r="Y14" s="135">
        <f t="shared" si="6"/>
        <v>2957307.6923076925</v>
      </c>
      <c r="Z14" s="135">
        <f t="shared" si="7"/>
        <v>0</v>
      </c>
      <c r="AA14" s="135">
        <f t="shared" si="8"/>
        <v>0</v>
      </c>
      <c r="AB14" s="135">
        <f t="shared" si="9"/>
        <v>537692.30769230775</v>
      </c>
      <c r="AC14" s="135">
        <f t="shared" si="10"/>
        <v>0</v>
      </c>
      <c r="AD14" s="135">
        <f t="shared" si="11"/>
        <v>0</v>
      </c>
      <c r="AE14" s="135">
        <f t="shared" si="12"/>
        <v>3226153.8461538465</v>
      </c>
      <c r="AF14" s="135">
        <f t="shared" si="13"/>
        <v>0</v>
      </c>
      <c r="AG14" s="135">
        <f t="shared" si="14"/>
        <v>0</v>
      </c>
      <c r="AH14" s="135">
        <f>CB14/26*U14</f>
        <v>0</v>
      </c>
      <c r="AI14" s="135">
        <f t="shared" si="15"/>
        <v>0</v>
      </c>
      <c r="AJ14" s="135"/>
      <c r="AK14" s="135">
        <f>BZ14*L14/26</f>
        <v>0</v>
      </c>
      <c r="AL14" s="135"/>
      <c r="AM14" s="135">
        <f>X14*CD14</f>
        <v>0</v>
      </c>
      <c r="AN14" s="135">
        <f t="shared" si="16"/>
        <v>126923.07692307694</v>
      </c>
      <c r="AO14" s="135">
        <f t="shared" si="17"/>
        <v>4467692.307692308</v>
      </c>
      <c r="AP14" s="135"/>
      <c r="AQ14" s="135"/>
      <c r="AR14" s="135"/>
      <c r="AS14" s="135"/>
      <c r="AT14" s="135"/>
      <c r="AU14" s="135"/>
      <c r="AV14" s="139">
        <f t="shared" si="18"/>
        <v>11315769.230769232</v>
      </c>
      <c r="AW14" s="139"/>
      <c r="AX14" s="139" t="s">
        <v>95</v>
      </c>
      <c r="AY14" s="140">
        <f t="shared" si="19"/>
        <v>583200</v>
      </c>
      <c r="AZ14" s="140">
        <f>ROUND(IF($AX14="x",($G14+$H14)*AZ$8,0),0)</f>
        <v>109350</v>
      </c>
      <c r="BA14" s="140">
        <f>ROUND(IF($AX14="x",($G14+$H14)*BA$8,0),0)</f>
        <v>72900</v>
      </c>
      <c r="BB14" s="140">
        <f t="shared" ref="BB14" si="28">SUM(AY14:BA14)</f>
        <v>765450</v>
      </c>
      <c r="BC14" s="140"/>
      <c r="BD14" s="140"/>
      <c r="BE14" s="140">
        <f t="shared" si="20"/>
        <v>69900</v>
      </c>
      <c r="BF14" s="140">
        <f t="shared" si="21"/>
        <v>0</v>
      </c>
      <c r="BG14" s="140">
        <f t="shared" si="22"/>
        <v>11315769.230769232</v>
      </c>
      <c r="BH14" s="140"/>
      <c r="BI14" s="140">
        <f t="shared" si="23"/>
        <v>-449680.76923076808</v>
      </c>
      <c r="BJ14" s="127">
        <f t="shared" si="24"/>
        <v>0</v>
      </c>
      <c r="BK14" s="140"/>
      <c r="BL14" s="140"/>
      <c r="BM14" s="140">
        <v>0</v>
      </c>
      <c r="BN14" s="140"/>
      <c r="BO14" s="140"/>
      <c r="BP14" s="140"/>
      <c r="BQ14" s="140"/>
      <c r="BR14" s="140"/>
      <c r="BS14" s="140" t="str">
        <f t="shared" si="25"/>
        <v>80%</v>
      </c>
      <c r="BT14" s="140">
        <f t="shared" si="26"/>
        <v>9052615.3846153859</v>
      </c>
      <c r="BU14" s="141"/>
      <c r="BV14"/>
      <c r="BW14" s="126">
        <v>17000000</v>
      </c>
      <c r="BX14" s="127">
        <v>0</v>
      </c>
      <c r="BY14" s="127">
        <v>0</v>
      </c>
      <c r="BZ14" s="127"/>
      <c r="CA14" s="127">
        <f>+BW14*5%</f>
        <v>850000</v>
      </c>
      <c r="CB14" s="127">
        <f t="shared" si="27"/>
        <v>17850000</v>
      </c>
      <c r="CC14" s="127" t="s">
        <v>101</v>
      </c>
      <c r="CD14" s="127"/>
      <c r="CE14" s="142"/>
      <c r="CF14" s="143"/>
      <c r="CG14" s="143"/>
      <c r="CH14" s="144"/>
      <c r="CI14" s="145"/>
    </row>
    <row r="15" spans="1:87" s="199" customFormat="1">
      <c r="A15" s="190"/>
      <c r="B15" s="191"/>
      <c r="C15" s="192"/>
      <c r="D15" s="193"/>
      <c r="E15" s="193"/>
      <c r="F15" s="194"/>
      <c r="G15" s="195"/>
      <c r="H15" s="195"/>
      <c r="I15" s="187"/>
      <c r="J15" s="187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/>
      <c r="BW15" s="195"/>
      <c r="BX15" s="195"/>
      <c r="BY15" s="195"/>
      <c r="BZ15" s="195"/>
      <c r="CA15" s="195"/>
      <c r="CB15" s="198"/>
      <c r="CC15" s="198"/>
      <c r="CD15" s="198"/>
    </row>
    <row r="16" spans="1:87" s="199" customFormat="1">
      <c r="A16" s="190"/>
      <c r="B16" s="191"/>
      <c r="C16" s="192"/>
      <c r="D16" s="193"/>
      <c r="E16" s="193"/>
      <c r="F16" s="194"/>
      <c r="G16" s="195"/>
      <c r="H16" s="195"/>
      <c r="I16" s="187"/>
      <c r="J16" s="187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/>
      <c r="BW16" s="195"/>
      <c r="BX16" s="195"/>
      <c r="BY16" s="195"/>
      <c r="BZ16" s="195"/>
      <c r="CA16" s="195"/>
      <c r="CB16" s="198"/>
      <c r="CC16" s="198"/>
      <c r="CD16" s="198"/>
    </row>
    <row r="17" spans="1:87" s="162" customFormat="1" ht="72">
      <c r="A17" s="159" t="str">
        <f>A5&amp;A6&amp;A7&amp;A8</f>
        <v>TT</v>
      </c>
      <c r="B17" s="159" t="str">
        <f t="shared" ref="B17:BM17" si="29">B5&amp;B6&amp;B7&amp;B8</f>
        <v>MSNV</v>
      </c>
      <c r="C17" s="159" t="str">
        <f t="shared" si="29"/>
        <v>Full name</v>
      </c>
      <c r="D17" s="159" t="str">
        <f t="shared" si="29"/>
        <v>Block</v>
      </c>
      <c r="E17" s="159" t="str">
        <f t="shared" si="29"/>
        <v>Type of labor contract</v>
      </c>
      <c r="F17" s="159" t="str">
        <f t="shared" si="29"/>
        <v>LN/LT</v>
      </c>
      <c r="G17" s="159" t="str">
        <f t="shared" si="29"/>
        <v>Labor contract salary</v>
      </c>
      <c r="H17" s="159" t="str">
        <f t="shared" si="29"/>
        <v>Allowances (fire protection, safety)</v>
      </c>
      <c r="I17" s="159" t="str">
        <f t="shared" si="29"/>
        <v>HQCV Bonus norms</v>
      </c>
      <c r="J17" s="159" t="str">
        <f t="shared" si="29"/>
        <v>Percentage of HQCV bonus advance</v>
      </c>
      <c r="K17" s="159" t="str">
        <f t="shared" si="29"/>
        <v>Workdays in the monthCong goes to work on weekdays</v>
      </c>
      <c r="L17" s="159" t="str">
        <f t="shared" si="29"/>
        <v>Collaborate</v>
      </c>
      <c r="M17" s="159" t="str">
        <f t="shared" si="29"/>
        <v>Permit year</v>
      </c>
      <c r="N17" s="159" t="str">
        <f t="shared" si="29"/>
        <v>Vacation mode</v>
      </c>
      <c r="O17" s="159" t="str">
        <f t="shared" si="29"/>
        <v>Holiday/Tet</v>
      </c>
      <c r="P17" s="159" t="str">
        <f t="shared" si="29"/>
        <v>Overtime on weekdays</v>
      </c>
      <c r="Q17" s="159" t="str">
        <f t="shared" si="29"/>
        <v>Overtime on Sunday</v>
      </c>
      <c r="R17" s="159" t="str">
        <f t="shared" si="29"/>
        <v>Overtime for Tet holiday</v>
      </c>
      <c r="S17" s="159" t="str">
        <f t="shared" si="29"/>
        <v>Night allowance</v>
      </c>
      <c r="T17" s="159" t="str">
        <f t="shared" si="29"/>
        <v>Working hours are off in HK</v>
      </c>
      <c r="U17" s="159" t="str">
        <f t="shared" si="29"/>
        <v>Working on Saturdays is off</v>
      </c>
      <c r="V17" s="159" t="str">
        <f t="shared" si="29"/>
        <v>Date of work stoppage in the monthFirst 14 days</v>
      </c>
      <c r="W17" s="159" t="str">
        <f t="shared" si="29"/>
        <v>From the 15th onwards</v>
      </c>
      <c r="X17" s="159" t="str">
        <f t="shared" si="29"/>
        <v>PHSK work day</v>
      </c>
      <c r="Y17" s="159" t="str">
        <f t="shared" si="29"/>
        <v>Amounts received during the monthLương
Ngày thường</v>
      </c>
      <c r="Z17" s="159" t="str">
        <f t="shared" si="29"/>
        <v>Salary for vacation days</v>
      </c>
      <c r="AA17" s="159" t="str">
        <f t="shared" si="29"/>
        <v>Salary for days off</v>
      </c>
      <c r="AB17" s="159" t="str">
        <f t="shared" si="29"/>
        <v>Holiday pay</v>
      </c>
      <c r="AC17" s="159" t="str">
        <f t="shared" si="29"/>
        <v>Salary Overtime on weekdays</v>
      </c>
      <c r="AD17" s="159" t="str">
        <f t="shared" si="29"/>
        <v>Sunday salary</v>
      </c>
      <c r="AE17" s="159" t="str">
        <f t="shared" si="29"/>
        <v>Overtime pay on Holidays/New Year</v>
      </c>
      <c r="AF17" s="159" t="str">
        <f t="shared" si="29"/>
        <v>Night allowance salary</v>
      </c>
      <c r="AG17" s="159" t="str">
        <f t="shared" si="29"/>
        <v>Salary female leave HK</v>
      </c>
      <c r="AH17" s="159" t="str">
        <f t="shared" si="29"/>
        <v>Salary for work on Saturdays is off</v>
      </c>
      <c r="AI17" s="159" t="str">
        <f t="shared" si="29"/>
        <v>Salary for days of temporary suspension</v>
      </c>
      <c r="AJ17" s="159" t="str">
        <f t="shared" si="29"/>
        <v>Salary on duty to support security</v>
      </c>
      <c r="AK17" s="159" t="str">
        <f t="shared" si="29"/>
        <v>Working allowances</v>
      </c>
      <c r="AL17" s="159" t="str">
        <f t="shared" si="29"/>
        <v>Annual leave from work</v>
      </c>
      <c r="AM17" s="159" t="str">
        <f t="shared" si="29"/>
        <v>Nursing care training</v>
      </c>
      <c r="AN17" s="159" t="str">
        <f t="shared" si="29"/>
        <v>Fire protection allowance (DT, DP), Safety and sanitation allowance</v>
      </c>
      <c r="AO17" s="159" t="str">
        <f t="shared" si="29"/>
        <v>Advance payment of HQCV bonus</v>
      </c>
      <c r="AP17" s="159" t="str">
        <f t="shared" si="29"/>
        <v>Receiving salary</v>
      </c>
      <c r="AQ17" s="159" t="str">
        <f t="shared" si="29"/>
        <v>Salary collection</v>
      </c>
      <c r="AR17" s="159" t="str">
        <f t="shared" si="29"/>
        <v>Rice support</v>
      </c>
      <c r="AS17" s="159" t="str">
        <f t="shared" si="29"/>
        <v>Housing Support</v>
      </c>
      <c r="AT17" s="159" t="str">
        <f t="shared" si="29"/>
        <v>Annual bonus</v>
      </c>
      <c r="AU17" s="159" t="str">
        <f t="shared" si="29"/>
        <v>Payment of unused annual leave</v>
      </c>
      <c r="AV17" s="159" t="str">
        <f t="shared" si="29"/>
        <v>Total income</v>
      </c>
      <c r="AW17" s="159" t="str">
        <f t="shared" si="29"/>
        <v>Other taxable income</v>
      </c>
      <c r="AX17" s="159" t="str">
        <f t="shared" si="29"/>
        <v>Tham gia BHXH</v>
      </c>
      <c r="AY17" s="159" t="str">
        <f t="shared" si="29"/>
        <v>DeductionsDeductionsBHXH8%</v>
      </c>
      <c r="AZ17" s="159" t="str">
        <f t="shared" si="29"/>
        <v>BHYT1.5%</v>
      </c>
      <c r="BA17" s="159" t="str">
        <f t="shared" si="29"/>
        <v>BHTN1%</v>
      </c>
      <c r="BB17" s="159" t="str">
        <f t="shared" si="29"/>
        <v>TOTAL social insurance</v>
      </c>
      <c r="BC17" s="159" t="str">
        <f t="shared" si="29"/>
        <v>Truy thu BHXH</v>
      </c>
      <c r="BD17" s="159" t="str">
        <f t="shared" si="29"/>
        <v>Refund of social insurance</v>
      </c>
      <c r="BE17" s="159" t="str">
        <f t="shared" si="29"/>
        <v>Phí 
công đoàn
(Lương HĐLĐ *1%)</v>
      </c>
      <c r="BF17" s="159" t="str">
        <f t="shared" si="29"/>
        <v>Tax-free income</v>
      </c>
      <c r="BG17" s="159" t="str">
        <f t="shared" si="29"/>
        <v>Taxable income</v>
      </c>
      <c r="BH17" s="159" t="str">
        <f t="shared" si="29"/>
        <v>NPT</v>
      </c>
      <c r="BI17" s="159" t="str">
        <f t="shared" si="29"/>
        <v>TNTT</v>
      </c>
      <c r="BJ17" s="159" t="str">
        <f t="shared" si="29"/>
        <v>Personal income tax</v>
      </c>
      <c r="BK17" s="159" t="str">
        <f t="shared" si="29"/>
        <v>Other fees/collectionsCollect advance payment</v>
      </c>
      <c r="BL17" s="159" t="str">
        <f t="shared" si="29"/>
        <v>Collect money for the Investment Company on behalf of the Reserve...,</v>
      </c>
      <c r="BM17" s="159" t="str">
        <f t="shared" si="29"/>
        <v>Excessive phone bill collection</v>
      </c>
      <c r="BN17" s="159" t="str">
        <f t="shared" ref="BN17:CD17" si="30">BN5&amp;BN6&amp;BN7&amp;BN8</f>
        <v>Funeral money</v>
      </c>
      <c r="BO17" s="159" t="str">
        <f t="shared" si="30"/>
        <v>Food money</v>
      </c>
      <c r="BP17" s="159" t="str">
        <f t="shared" si="30"/>
        <v>…..............</v>
      </c>
      <c r="BQ17" s="159" t="str">
        <f t="shared" si="30"/>
        <v>Tax finalizationTruy thu theo QTT</v>
      </c>
      <c r="BR17" s="159" t="str">
        <f t="shared" si="30"/>
        <v>Refund according to QTT</v>
      </c>
      <c r="BS17" s="159" t="str">
        <f t="shared" si="30"/>
        <v>Salary advance rate</v>
      </c>
      <c r="BT17" s="159" t="str">
        <f t="shared" si="30"/>
        <v>Realization part 1</v>
      </c>
      <c r="BU17" s="159" t="str">
        <f t="shared" si="30"/>
        <v>Real acceptance part 2</v>
      </c>
      <c r="BV17"/>
      <c r="BW17" s="159" t="str">
        <f t="shared" si="30"/>
        <v>Salary quota</v>
      </c>
      <c r="BX17" s="159" t="str">
        <f t="shared" si="30"/>
        <v>BenefitsPC title</v>
      </c>
      <c r="BY17" s="159" t="str">
        <f t="shared" si="30"/>
        <v>PC concurrently</v>
      </c>
      <c r="BZ17" s="159" t="str">
        <f t="shared" si="30"/>
        <v>PC Seconded</v>
      </c>
      <c r="CA17" s="159" t="str">
        <f t="shared" si="30"/>
        <v>PC seniority</v>
      </c>
      <c r="CB17" s="159" t="str">
        <f t="shared" si="30"/>
        <v>Total salary and other PC payments</v>
      </c>
      <c r="CC17" s="159" t="str">
        <f t="shared" si="30"/>
        <v>Is a dispatcher, fire protection officer, and AT-VSV</v>
      </c>
      <c r="CD17" s="159" t="str">
        <f t="shared" si="30"/>
        <v>Level of health compensation</v>
      </c>
    </row>
    <row r="18" spans="1:87" s="162" customFormat="1">
      <c r="A18" s="161" t="str">
        <f>SUBSTITUTE(ADDRESS(1,COLUMN(),4),1,"")</f>
        <v>A</v>
      </c>
      <c r="B18" s="161" t="str">
        <f t="shared" ref="B18:BM18" si="31">SUBSTITUTE(ADDRESS(1,COLUMN(),4),1,"")</f>
        <v>B</v>
      </c>
      <c r="C18" s="161" t="str">
        <f t="shared" si="31"/>
        <v>C</v>
      </c>
      <c r="D18" s="161" t="str">
        <f t="shared" si="31"/>
        <v>D</v>
      </c>
      <c r="E18" s="161" t="str">
        <f t="shared" si="31"/>
        <v>E</v>
      </c>
      <c r="F18" s="161" t="str">
        <f t="shared" si="31"/>
        <v>F</v>
      </c>
      <c r="G18" s="161" t="str">
        <f t="shared" si="31"/>
        <v>G</v>
      </c>
      <c r="H18" s="161" t="str">
        <f t="shared" si="31"/>
        <v>H</v>
      </c>
      <c r="I18" s="161" t="str">
        <f t="shared" si="31"/>
        <v>I</v>
      </c>
      <c r="J18" s="161" t="str">
        <f t="shared" si="31"/>
        <v>J</v>
      </c>
      <c r="K18" s="161" t="str">
        <f t="shared" si="31"/>
        <v>K</v>
      </c>
      <c r="L18" s="161" t="str">
        <f t="shared" si="31"/>
        <v>L</v>
      </c>
      <c r="M18" s="161" t="str">
        <f t="shared" si="31"/>
        <v>M</v>
      </c>
      <c r="N18" s="161" t="str">
        <f t="shared" si="31"/>
        <v>N</v>
      </c>
      <c r="O18" s="161" t="str">
        <f t="shared" si="31"/>
        <v>O</v>
      </c>
      <c r="P18" s="161" t="str">
        <f t="shared" si="31"/>
        <v>P</v>
      </c>
      <c r="Q18" s="161" t="str">
        <f t="shared" si="31"/>
        <v>Q</v>
      </c>
      <c r="R18" s="161" t="str">
        <f t="shared" si="31"/>
        <v>R</v>
      </c>
      <c r="S18" s="161" t="str">
        <f t="shared" si="31"/>
        <v>S</v>
      </c>
      <c r="T18" s="161" t="str">
        <f t="shared" si="31"/>
        <v>T</v>
      </c>
      <c r="U18" s="161" t="str">
        <f t="shared" si="31"/>
        <v>U</v>
      </c>
      <c r="V18" s="161" t="str">
        <f t="shared" si="31"/>
        <v>V</v>
      </c>
      <c r="W18" s="161" t="str">
        <f t="shared" si="31"/>
        <v>W</v>
      </c>
      <c r="X18" s="161" t="str">
        <f t="shared" si="31"/>
        <v>X</v>
      </c>
      <c r="Y18" s="161" t="str">
        <f t="shared" si="31"/>
        <v>Y</v>
      </c>
      <c r="Z18" s="161" t="str">
        <f t="shared" si="31"/>
        <v>Z</v>
      </c>
      <c r="AA18" s="161" t="str">
        <f t="shared" si="31"/>
        <v>AA</v>
      </c>
      <c r="AB18" s="161" t="str">
        <f t="shared" si="31"/>
        <v>AB</v>
      </c>
      <c r="AC18" s="161" t="str">
        <f t="shared" si="31"/>
        <v>AC</v>
      </c>
      <c r="AD18" s="161" t="str">
        <f t="shared" si="31"/>
        <v>AD</v>
      </c>
      <c r="AE18" s="161" t="str">
        <f t="shared" si="31"/>
        <v>AE</v>
      </c>
      <c r="AF18" s="161" t="str">
        <f t="shared" si="31"/>
        <v>AF</v>
      </c>
      <c r="AG18" s="161" t="str">
        <f t="shared" si="31"/>
        <v>AG</v>
      </c>
      <c r="AH18" s="161" t="str">
        <f t="shared" si="31"/>
        <v>AH</v>
      </c>
      <c r="AI18" s="161" t="str">
        <f t="shared" si="31"/>
        <v>AI</v>
      </c>
      <c r="AJ18" s="161" t="str">
        <f t="shared" si="31"/>
        <v>AJ</v>
      </c>
      <c r="AK18" s="161" t="str">
        <f t="shared" si="31"/>
        <v>AK</v>
      </c>
      <c r="AL18" s="161" t="str">
        <f t="shared" si="31"/>
        <v>AL</v>
      </c>
      <c r="AM18" s="161" t="str">
        <f t="shared" si="31"/>
        <v>AM</v>
      </c>
      <c r="AN18" s="161" t="str">
        <f t="shared" si="31"/>
        <v>AN</v>
      </c>
      <c r="AO18" s="161" t="str">
        <f t="shared" si="31"/>
        <v>AO</v>
      </c>
      <c r="AP18" s="161" t="str">
        <f t="shared" si="31"/>
        <v>AP</v>
      </c>
      <c r="AQ18" s="161" t="str">
        <f t="shared" si="31"/>
        <v>AQ</v>
      </c>
      <c r="AR18" s="161" t="str">
        <f t="shared" si="31"/>
        <v>AR</v>
      </c>
      <c r="AS18" s="161" t="str">
        <f t="shared" si="31"/>
        <v>AS</v>
      </c>
      <c r="AT18" s="161" t="str">
        <f t="shared" si="31"/>
        <v>AT</v>
      </c>
      <c r="AU18" s="161" t="str">
        <f t="shared" si="31"/>
        <v>AU</v>
      </c>
      <c r="AV18" s="161" t="str">
        <f t="shared" si="31"/>
        <v>AV</v>
      </c>
      <c r="AW18" s="161" t="str">
        <f t="shared" si="31"/>
        <v>AW</v>
      </c>
      <c r="AX18" s="161" t="str">
        <f t="shared" si="31"/>
        <v>AX</v>
      </c>
      <c r="AY18" s="161" t="str">
        <f t="shared" si="31"/>
        <v>AY</v>
      </c>
      <c r="AZ18" s="161" t="str">
        <f t="shared" si="31"/>
        <v>AZ</v>
      </c>
      <c r="BA18" s="161" t="str">
        <f t="shared" si="31"/>
        <v>BA</v>
      </c>
      <c r="BB18" s="161" t="str">
        <f t="shared" si="31"/>
        <v>BB</v>
      </c>
      <c r="BC18" s="161" t="str">
        <f t="shared" si="31"/>
        <v>BC</v>
      </c>
      <c r="BD18" s="161" t="str">
        <f t="shared" si="31"/>
        <v>BD</v>
      </c>
      <c r="BE18" s="161" t="str">
        <f t="shared" si="31"/>
        <v>BE</v>
      </c>
      <c r="BF18" s="161" t="str">
        <f t="shared" si="31"/>
        <v>BF</v>
      </c>
      <c r="BG18" s="161" t="str">
        <f t="shared" si="31"/>
        <v>BG</v>
      </c>
      <c r="BH18" s="161" t="str">
        <f t="shared" si="31"/>
        <v>BH</v>
      </c>
      <c r="BI18" s="161" t="str">
        <f t="shared" si="31"/>
        <v>BI</v>
      </c>
      <c r="BJ18" s="161" t="str">
        <f t="shared" si="31"/>
        <v>BJ</v>
      </c>
      <c r="BK18" s="161" t="str">
        <f t="shared" si="31"/>
        <v>BK</v>
      </c>
      <c r="BL18" s="161" t="str">
        <f t="shared" si="31"/>
        <v>BL</v>
      </c>
      <c r="BM18" s="161" t="str">
        <f t="shared" si="31"/>
        <v>BM</v>
      </c>
      <c r="BN18" s="161" t="str">
        <f t="shared" ref="BN18:CD18" si="32">SUBSTITUTE(ADDRESS(1,COLUMN(),4),1,"")</f>
        <v>BN</v>
      </c>
      <c r="BO18" s="161" t="str">
        <f t="shared" si="32"/>
        <v>BO</v>
      </c>
      <c r="BP18" s="161" t="str">
        <f t="shared" si="32"/>
        <v>BP</v>
      </c>
      <c r="BQ18" s="161" t="str">
        <f t="shared" si="32"/>
        <v>BQ</v>
      </c>
      <c r="BR18" s="161" t="str">
        <f t="shared" si="32"/>
        <v>BR</v>
      </c>
      <c r="BS18" s="161" t="str">
        <f t="shared" si="32"/>
        <v>BS</v>
      </c>
      <c r="BT18" s="161" t="str">
        <f t="shared" si="32"/>
        <v>BT</v>
      </c>
      <c r="BU18" s="161" t="str">
        <f t="shared" si="32"/>
        <v>BU</v>
      </c>
      <c r="BV18"/>
      <c r="BW18" s="161" t="str">
        <f t="shared" si="32"/>
        <v>BW</v>
      </c>
      <c r="BX18" s="161" t="str">
        <f t="shared" si="32"/>
        <v>BX</v>
      </c>
      <c r="BY18" s="161" t="str">
        <f t="shared" si="32"/>
        <v>BY</v>
      </c>
      <c r="BZ18" s="161" t="str">
        <f t="shared" si="32"/>
        <v>BZ</v>
      </c>
      <c r="CA18" s="161" t="str">
        <f t="shared" si="32"/>
        <v>CA</v>
      </c>
      <c r="CB18" s="161" t="str">
        <f t="shared" si="32"/>
        <v>CB</v>
      </c>
      <c r="CC18" s="161" t="str">
        <f t="shared" si="32"/>
        <v>CC</v>
      </c>
      <c r="CD18" s="161" t="str">
        <f t="shared" si="32"/>
        <v>CD</v>
      </c>
    </row>
    <row r="19" spans="1:87" s="184" customFormat="1" ht="409.6">
      <c r="A19" s="200">
        <f>IF(B17=0,"",COUNTA($B$12:(B17)))</f>
        <v>4</v>
      </c>
      <c r="B19" s="176">
        <v>123456</v>
      </c>
      <c r="C19" s="177" t="s">
        <v>147</v>
      </c>
      <c r="D19" s="201" t="s">
        <v>124</v>
      </c>
      <c r="E19" s="201" t="s">
        <v>93</v>
      </c>
      <c r="F19" s="201" t="str">
        <f>"IF(["&amp;BW17&amp;"]&gt;=18000000,""LT"",""LN"")"</f>
        <v>IF([Salary quota]&gt;=18000000,"LT","LN")</v>
      </c>
      <c r="G19" s="173">
        <v>9520000</v>
      </c>
      <c r="H19" s="173" t="str">
        <f>"+IF(OR(["&amp;CC17&amp;"]=""ĐT PCCC"",["&amp;CC17&amp;"]=""ĐP PCCC""),780000,IF(["&amp;CC17&amp;"]=""AT-VSV"",300000,0))"</f>
        <v>+IF(OR([Is a dispatcher, fire protection officer, and AT-VSV]="ĐT PCCC",[Is a dispatcher, fire protection officer, and AT-VSV]="ĐP PCCC"),780000,IF([Is a dispatcher, fire protection officer, and AT-VSV]="AT-VSV",300000,0))</v>
      </c>
      <c r="I19" s="173" t="str">
        <f>"["&amp;CB17&amp;"]-["&amp;BZ17&amp;"]-["&amp;G17&amp;"]-["&amp;H17&amp;"]"</f>
        <v>[Total salary and other PC payments]-[PC Seconded]-[Labor contract salary]-[Allowances (fire protection, safety)]</v>
      </c>
      <c r="J19" s="202">
        <v>1</v>
      </c>
      <c r="K19" s="173">
        <v>11</v>
      </c>
      <c r="L19" s="173"/>
      <c r="M19" s="173"/>
      <c r="N19" s="173"/>
      <c r="O19" s="173">
        <v>2</v>
      </c>
      <c r="P19" s="173"/>
      <c r="Q19" s="173"/>
      <c r="R19" s="173">
        <v>0</v>
      </c>
      <c r="S19" s="173">
        <v>0</v>
      </c>
      <c r="T19" s="173"/>
      <c r="U19" s="173">
        <v>0</v>
      </c>
      <c r="V19" s="173">
        <v>0</v>
      </c>
      <c r="W19" s="173">
        <v>0</v>
      </c>
      <c r="X19" s="173">
        <v>0</v>
      </c>
      <c r="Y19" s="173" t="str">
        <f>"["&amp;G17&amp;"]*(["&amp;K17&amp;"]+["&amp;L17&amp;"])/26"</f>
        <v>[Labor contract salary]*([Workdays in the monthCong goes to work on weekdays]+[Collaborate])/26</v>
      </c>
      <c r="Z19" s="173" t="str">
        <f>"["&amp;M17&amp;"]*["&amp;G17&amp;"]/26"</f>
        <v>[Permit year]*[Labor contract salary]/26</v>
      </c>
      <c r="AA19" s="173" t="str">
        <f>"["&amp;G17&amp;"]*["&amp;N17&amp;"]/26"</f>
        <v>[Labor contract salary]*[Vacation mode]/26</v>
      </c>
      <c r="AB19" s="173" t="str">
        <f>"["&amp;G17&amp;"]*["&amp;O17&amp;"]/26"</f>
        <v>[Labor contract salary]*[Holiday/Tet]/26</v>
      </c>
      <c r="AC19" s="173" t="str">
        <f>"["&amp;G17&amp;"]*["&amp;P17&amp;"]*150%/26"</f>
        <v>[Labor contract salary]*[Overtime on weekdays]*150%/26</v>
      </c>
      <c r="AD19" s="173" t="str">
        <f>"["&amp;G17&amp;"]*["&amp;Q17&amp;"]/26*200%"</f>
        <v>[Labor contract salary]*[Overtime on Sunday]/26*200%</v>
      </c>
      <c r="AE19" s="173" t="str">
        <f>"["&amp;G17&amp;"]*["&amp;R17&amp;"]/26*300%"</f>
        <v>[Labor contract salary]*[Overtime for Tet holiday]/26*300%</v>
      </c>
      <c r="AF19" s="173" t="str">
        <f>"IF(["&amp;F17&amp;"]=""LT"",0,(["&amp;G17&amp;"]+["&amp;H17&amp;"])/26*["&amp;S17&amp;"]*30%)"</f>
        <v>IF([LN/LT]="LT",0,([Labor contract salary]+[Allowances (fire protection, safety)])/26*[Night allowance]*30%)</v>
      </c>
      <c r="AG19" s="173" t="str">
        <f>"["&amp;T17&amp;"]*["&amp;G17&amp;"]/23/8"</f>
        <v>[Working hours are off in HK]*[Labor contract salary]/23/8</v>
      </c>
      <c r="AH19" s="173" t="str">
        <f>"["&amp;CB17&amp;"]/26*["&amp;U17&amp;"]"</f>
        <v>[Total salary and other PC payments]/26*[Working on Saturdays is off]</v>
      </c>
      <c r="AI19" s="173" t="str">
        <f>"["&amp;G17&amp;"]*["&amp;V17&amp;"]/26"</f>
        <v>[Labor contract salary]*[Date of work stoppage in the monthFirst 14 days]/26</v>
      </c>
      <c r="AJ19" s="173"/>
      <c r="AK19" s="173" t="str">
        <f>"["&amp;BZ17&amp;"]*["&amp;L17&amp;"]/26"</f>
        <v>[PC Seconded]*[Collaborate]/26</v>
      </c>
      <c r="AL19" s="173"/>
      <c r="AM19" s="173" t="str">
        <f>"["&amp;X17&amp;"]*["&amp;CD17&amp;"]"</f>
        <v>[PHSK work day]*[Level of health compensation]</v>
      </c>
      <c r="AN19" s="173" t="str">
        <f>"["&amp;H17&amp;"]/26*(["&amp;K17&amp;"]+["&amp;L17&amp;"])"</f>
        <v>[Allowances (fire protection, safety)]/26*([Workdays in the monthCong goes to work on weekdays]+[Collaborate])</v>
      </c>
      <c r="AO19" s="17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norms]*([Workdays in the monthCong goes to work on weekdays]+[Collaborate])/26+([Allowances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norms]*([Ngày công thực tế tháng ]-[Workdays in the monthCong goes to work on weekdays]-[Collaborate])/26+([Allowances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salary]*([Ngày công thực tế tháng ]-[Workdays in the monthCong goes to work on weekdays]-[Collaborate])/26-[Amounts received during the monthLương
Ngày thường])+([Allowances (fire protection, safety)]-[Allowances (fire protection, safety)]*([Ngày công thực tế tháng ]-[Workdays in the monthCong goes to work on weekdays]-[Collaborate])/26-[Fire protection allowance (DT, DP), Safety and sanitation allowance]))</v>
      </c>
      <c r="AP19" s="173"/>
      <c r="AQ19" s="173"/>
      <c r="AR19" s="173"/>
      <c r="AS19" s="173"/>
      <c r="AT19" s="173"/>
      <c r="AU19" s="173"/>
      <c r="AV19" s="20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3"/>
      <c r="AX19" s="203" t="s">
        <v>95</v>
      </c>
      <c r="AY19" s="174" t="str">
        <f>"ROUND(IF(["&amp;$AX17&amp;"]=""x"",(["&amp;$G17&amp;"]+["&amp;$H17&amp;"])*["&amp;AY$8&amp;"],0),0)"</f>
        <v>ROUND(IF([Tham gia BHXH]="x",([Labor contract salary]+[Allowances (fire protection, safety)])*[8%],0),0)</v>
      </c>
      <c r="AZ19" s="174" t="str">
        <f>"ROUND(IF(["&amp;$AX17&amp;"]=""x"",(["&amp;$G17&amp;"]+["&amp;$H17&amp;"])*["&amp;AZ$8&amp;"],0),0)"</f>
        <v>ROUND(IF([Tham gia BHXH]="x",([Labor contract salary]+[Allowances (fire protection, safety)])*[1.5%],0),0)</v>
      </c>
      <c r="BA19" s="174" t="str">
        <f>"ROUND(IF(["&amp;$AX17&amp;"]=""x"",(["&amp;$G17&amp;"]+["&amp;$H17&amp;"])*["&amp;BA$8&amp;"],0),0)"</f>
        <v>ROUND(IF([Tham gia BHXH]="x",([Labor contract salary]+[Allowances (fire protection, safety)])*[1%],0),0)</v>
      </c>
      <c r="BB19" s="174" t="str">
        <f>"["&amp;AY17&amp;"]+["&amp;AZ17&amp;"]+["&amp;BA17&amp;"]"</f>
        <v>[DeductionsDeductionsBHXH8%]+[BHYT1.5%]+[BHTN1%]</v>
      </c>
      <c r="BC19" s="174"/>
      <c r="BD19" s="174"/>
      <c r="BE19" s="174" t="str">
        <f>"IF(["&amp;G17&amp;"]*1%&gt;=234000,234000,["&amp;G17&amp;"]*1%)"</f>
        <v>IF([Labor contract salary]*1%&gt;=234000,234000,[Labor contract salary]*1%)</v>
      </c>
      <c r="BF19" s="17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[Nursing care training]+IF([Rice support]&gt;=730000,730000,[Rice support])+IF((([Total income]-[Nursing care training]-IF([Rice support]&gt;=730000,730000,[Rice support])-[Housing Support])*15%-[Housing Support])&gt;0,(([Total income]-[Nursing care training]-IF([Rice support]&gt;=730000,730000,[Rice support])-[Housing Support])*15%-[Housing Support]),0)</v>
      </c>
      <c r="BG19" s="174" t="str">
        <f>"["&amp;AV17&amp;"]-["&amp;BF17&amp;"]+["&amp;AW17&amp;"]"</f>
        <v>[Total income]-[Tax-free income]+[Other taxable income]</v>
      </c>
      <c r="BH19" s="174">
        <v>3</v>
      </c>
      <c r="BI19" s="174" t="str">
        <f>"["&amp;BG17&amp;"]-["&amp;BB17&amp;"]-["&amp;BC17&amp;"]+["&amp;BD17&amp;"]-["&amp;BH17&amp;"]*4400000-IF(["&amp;E17&amp;"]=""CT"",11000000,0)"</f>
        <v>[Taxable income]-[TOTAL social insurance]-[Truy thu BHXH]+[Refund of social insurance]-[NPT]*4400000-IF([Type of labor contract]="CT",11000000,0)</v>
      </c>
      <c r="BJ19" s="20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74"/>
      <c r="BL19" s="174"/>
      <c r="BM19" s="174">
        <v>0</v>
      </c>
      <c r="BN19" s="174"/>
      <c r="BO19" s="174"/>
      <c r="BP19" s="174"/>
      <c r="BQ19" s="174"/>
      <c r="BR19" s="174"/>
      <c r="BS19" s="174" t="str">
        <f>"IF(["&amp;AV17&amp;"]&gt;=11000000,80%,100%)"</f>
        <v>IF([Total income]&gt;=11000000,80%,100%)</v>
      </c>
      <c r="BT19" s="174" t="str">
        <f>"["&amp;AV17&amp;"]*["&amp;BS17&amp;"]-["&amp;BN17&amp;"]-["&amp;BK17&amp;"]-["&amp;BP17&amp;"]-["&amp;BO17&amp;"]"</f>
        <v>[Total income]*[Salary advance rate]-[Funeral money]-[Other fees/collectionsCollect advance payment]-[…..............]-[Food money]</v>
      </c>
      <c r="BU19" s="205"/>
      <c r="BV19"/>
      <c r="BW19" s="206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[Salary quota]+[BenefitsPC title]+[PC concurrently]+[PC Seconded]+[PC seniority]</v>
      </c>
      <c r="CC19" s="204" t="s">
        <v>148</v>
      </c>
      <c r="CD19" s="204"/>
      <c r="CE19" s="183"/>
      <c r="CF19" s="183"/>
      <c r="CG19" s="183"/>
      <c r="CI19" s="185"/>
    </row>
    <row r="20" spans="1:87" s="199" customFormat="1">
      <c r="A20" s="190"/>
      <c r="B20" s="191"/>
      <c r="C20" s="192"/>
      <c r="D20" s="193"/>
      <c r="E20" s="193"/>
      <c r="F20" s="194"/>
      <c r="G20" s="195"/>
      <c r="H20" s="195"/>
      <c r="I20" s="187"/>
      <c r="J20" s="187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/>
      <c r="BW20" s="195"/>
      <c r="BX20" s="195"/>
      <c r="BY20" s="195"/>
      <c r="BZ20" s="195"/>
      <c r="CA20" s="195"/>
      <c r="CB20" s="198"/>
      <c r="CC20" s="198"/>
      <c r="CD20" s="198"/>
    </row>
    <row r="23" spans="1:87" ht="17">
      <c r="D23" s="210" t="s">
        <v>128</v>
      </c>
    </row>
  </sheetData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BF7:BF8"/>
    <mergeCell ref="BG7:BG8"/>
    <mergeCell ref="BH7:BH8"/>
    <mergeCell ref="Z6:Z8"/>
    <mergeCell ref="BW5:BW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AQ5:AQ8"/>
    <mergeCell ref="T6:T8"/>
    <mergeCell ref="U6:U8"/>
    <mergeCell ref="V6:W7"/>
    <mergeCell ref="X6:X8"/>
    <mergeCell ref="Y6:Y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BB7:BB8"/>
    <mergeCell ref="BC7:BC8"/>
    <mergeCell ref="BD7:BD8"/>
    <mergeCell ref="BE7:BE8"/>
    <mergeCell ref="AM6:AM8"/>
    <mergeCell ref="AN6:AN8"/>
    <mergeCell ref="AO6:AO8"/>
    <mergeCell ref="AY6:BJ6"/>
    <mergeCell ref="BK6:BP6"/>
    <mergeCell ref="BO7:BO8"/>
    <mergeCell ref="BP7:BP8"/>
    <mergeCell ref="BI7:BI8"/>
    <mergeCell ref="BJ7:BJ8"/>
    <mergeCell ref="BK7:BK8"/>
    <mergeCell ref="BL7:BL8"/>
    <mergeCell ref="BM7:BM8"/>
    <mergeCell ref="BN7:BN8"/>
  </mergeCells>
  <conditionalFormatting sqref="B1:B4 B12:B16 B20 B9:BU9">
    <cfRule type="duplicateValues" dxfId="9" priority="9"/>
  </conditionalFormatting>
  <conditionalFormatting sqref="B1:B4 B12:B16 D10:F10 J10:BI10 BK10:BU10 B20 BW9:CD10 B9:BU9">
    <cfRule type="duplicateValues" dxfId="8" priority="10"/>
  </conditionalFormatting>
  <conditionalFormatting sqref="B5:B8">
    <cfRule type="duplicateValues" dxfId="7" priority="1"/>
    <cfRule type="duplicateValues" dxfId="6" priority="2"/>
    <cfRule type="duplicateValues" dxfId="5" priority="3"/>
  </conditionalFormatting>
  <conditionalFormatting sqref="B12:B16 B1:B4 B20 B9:BU9">
    <cfRule type="duplicateValues" dxfId="4" priority="8"/>
  </conditionalFormatting>
  <conditionalFormatting sqref="B19">
    <cfRule type="duplicateValues" dxfId="3" priority="4"/>
    <cfRule type="duplicateValues" dxfId="2" priority="5"/>
    <cfRule type="duplicateValues" dxfId="1" priority="6"/>
  </conditionalFormatting>
  <conditionalFormatting sqref="BJ1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Bảng lương CB-NV</vt:lpstr>
      <vt:lpstr>Mô tả Bảng lương CB-NV</vt:lpstr>
      <vt:lpstr>Bảng lương tạm ứng kỳ 1</vt:lpstr>
      <vt:lpstr>Mô tả Bảng lương tạm ứng kỳ 1</vt:lpstr>
      <vt:lpstr>'Mô tả Bảng lương CB-NV'!Print_Area</vt:lpstr>
      <vt:lpstr>'Mô tả Bảng lương CB-NV'!Print_Titles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2026-01-06T02:41:41Z</dcterms:modified>
</cp:coreProperties>
</file>