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4A799C75-829C-DE4F-9BDF-6B2035CA9C29}" xr6:coauthVersionLast="47" xr6:coauthVersionMax="47" xr10:uidLastSave="{00000000-0000-0000-0000-000000000000}"/>
  <bookViews>
    <workbookView xWindow="38700" yWindow="880" windowWidth="38100" windowHeight="20800" tabRatio="650" xr2:uid="{00000000-000D-0000-FFFF-FFFF00000000}"/>
  </bookViews>
  <sheets>
    <sheet name="Template Payroll" sheetId="439" r:id="rId1"/>
    <sheet name="PC cơm " sheetId="430" r:id="rId2"/>
    <sheet name="TimeTB 2" sheetId="340" r:id="rId3"/>
    <sheet name=" TimeTB 1" sheetId="328" r:id="rId4"/>
    <sheet name="OT" sheetId="440" r:id="rId5"/>
    <sheet name="NS" sheetId="5" r:id="rId6"/>
    <sheet name="Others" sheetId="366" r:id="rId7"/>
    <sheet name="Incentive" sheetId="347" r:id="rId8"/>
    <sheet name="Benefit tính thuế" sheetId="348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7">Incentive!#REF!</definedName>
    <definedName name="__xlnm._FilterDatabase" localSheetId="5">NS!#REF!</definedName>
    <definedName name="__xlnm._FilterDatabase_1" localSheetId="3">#REF!</definedName>
    <definedName name="__xlnm._FilterDatabase_1" localSheetId="7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7">#REF!</definedName>
    <definedName name="__xlnm._FilterDatabase_2">#REF!</definedName>
    <definedName name="__xlnm._FilterDatabase_3" localSheetId="3">#REF!</definedName>
    <definedName name="__xlnm._FilterDatabase_3" localSheetId="7">#REF!</definedName>
    <definedName name="__xlnm._FilterDatabase_3">#REF!</definedName>
    <definedName name="__xlnm._FilterDatabase_4" localSheetId="3">#REF!</definedName>
    <definedName name="__xlnm._FilterDatabase_4" localSheetId="7">#REF!</definedName>
    <definedName name="__xlnm._FilterDatabase_4">#REF!</definedName>
    <definedName name="__xlnm._FilterDatabase_5" localSheetId="3">#REF!</definedName>
    <definedName name="__xlnm._FilterDatabase_5" localSheetId="7">#REF!</definedName>
    <definedName name="__xlnm._FilterDatabase_5">#REF!</definedName>
    <definedName name="__xlnm._FilterDatabase_6" localSheetId="7">#REF!</definedName>
    <definedName name="__xlnm._FilterDatabase_6">#REF!</definedName>
    <definedName name="__xlnm._FilterDatabase_7" localSheetId="3">#REF!</definedName>
    <definedName name="__xlnm._FilterDatabase_7" localSheetId="7">#REF!</definedName>
    <definedName name="__xlnm._FilterDatabase_7">#REF!</definedName>
    <definedName name="__xlnm.Print_Area" localSheetId="7">Incentive!$A$1:$G$8</definedName>
    <definedName name="__xlnm.Print_Titles" localSheetId="7">(Incentive!$A:$F,Incentive!$3:$3)</definedName>
    <definedName name="__xlnm.Print_Titles" localSheetId="5">NS!$1:$1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>' TimeTB 1'!$A$3:$P$10</definedName>
    <definedName name="_xlnm._FilterDatabase" localSheetId="8" hidden="1">'Benefit tính thuế'!$A$1:$G$18</definedName>
    <definedName name="_xlnm._FilterDatabase" localSheetId="7" hidden="1">Incentive!$A$3:$J$7</definedName>
    <definedName name="_xlnm._FilterDatabase" localSheetId="5" hidden="1">NS!$A$1:$F$5</definedName>
    <definedName name="_xlnm._FilterDatabase" localSheetId="6" hidden="1">Others!$A$7:$F$9</definedName>
    <definedName name="_xlnm._FilterDatabase" localSheetId="1" hidden="1">'PC cơm '!$A$2:$L$4</definedName>
    <definedName name="_xlnm._FilterDatabase" localSheetId="0" hidden="1">'Template Payroll'!$A$4:$CG$5</definedName>
    <definedName name="_xlnm._FilterDatabase" localSheetId="2">'TimeTB 2'!$A$3:$S$5</definedName>
    <definedName name="_xlnm._FilterDatabase" hidden="1">'[2]#REF'!$A$6:$H$6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7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7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7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7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7">#REF!</definedName>
    <definedName name="dayinmonth">#REF!</definedName>
    <definedName name="daymonth" localSheetId="3">[6]Payroll!$XEP$19:$XES$32</definedName>
    <definedName name="daymonth" localSheetId="7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7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7">#REF!</definedName>
    <definedName name="HUYEN_HOC_MON">#REF!</definedName>
    <definedName name="HUYEN_NHA_BE" localSheetId="3">#REF!</definedName>
    <definedName name="HUYEN_NHA_BE" localSheetId="7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7">"#REF!"</definedName>
    <definedName name="ot_ID" localSheetId="5">NS!$A:$A</definedName>
    <definedName name="ot_ID" localSheetId="0">#REF!</definedName>
    <definedName name="ot_ID">"#REF!"</definedName>
    <definedName name="ot_total" localSheetId="3">"#REF!"</definedName>
    <definedName name="ot_total" localSheetId="7">"#REF!"</definedName>
    <definedName name="ot_total" localSheetId="5">#N/A</definedName>
    <definedName name="ot_total" localSheetId="0">#REF!</definedName>
    <definedName name="ot_total">"#REF!"</definedName>
    <definedName name="ot_untax" localSheetId="3">"#REF!"</definedName>
    <definedName name="ot_untax" localSheetId="7">"#REF!"</definedName>
    <definedName name="ot_untax" localSheetId="5">#N/A</definedName>
    <definedName name="ot_untax" localSheetId="0">#REF!</definedName>
    <definedName name="ot_untax">"#REF!"</definedName>
    <definedName name="otDetail_150" localSheetId="3">"#REF!"</definedName>
    <definedName name="otDetail_150" localSheetId="7">"#REF!"</definedName>
    <definedName name="otDetail_150" localSheetId="5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7">"#REF!"</definedName>
    <definedName name="otDetail_200" localSheetId="5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7">"#REF!"</definedName>
    <definedName name="otDetail_215" localSheetId="5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7">"#REF!"</definedName>
    <definedName name="otDetail_280" localSheetId="5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7">"#REF!"</definedName>
    <definedName name="otDetail_300" localSheetId="5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7">"#REF!"</definedName>
    <definedName name="otDetail_410" localSheetId="5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7">"#REF!"</definedName>
    <definedName name="OtDetail_Name" localSheetId="5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7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7">Incentive!#REF!</definedName>
    <definedName name="payroll" localSheetId="5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7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7">Incentive!$A$1:$J$8</definedName>
    <definedName name="_xlnm.Print_Area" localSheetId="2">'TimeTB 2'!$B$1:$S$27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7">Incentive!$A:$F,Incentive!$3:$3</definedName>
    <definedName name="_xlnm.Print_Titles" localSheetId="5">NS!$1:$1</definedName>
    <definedName name="_xlnm.Print_Titles" localSheetId="1">'PC cơm '!$1:$2</definedName>
    <definedName name="_xlnm.Print_Titles" localSheetId="0">'Template Payroll'!$A:$H,'Template Payroll'!$4:$4</definedName>
    <definedName name="_xlnm.Print_Titles" localSheetId="2">'TimeTB 2'!$1:$3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7">#REF!</definedName>
    <definedName name="QUAN_1">#REF!</definedName>
    <definedName name="QUAN_10" localSheetId="3">#REF!</definedName>
    <definedName name="QUAN_10" localSheetId="7">#REF!</definedName>
    <definedName name="QUAN_10">#REF!</definedName>
    <definedName name="QUAN_11" localSheetId="3">#REF!</definedName>
    <definedName name="QUAN_11" localSheetId="7">#REF!</definedName>
    <definedName name="QUAN_11">#REF!</definedName>
    <definedName name="QUAN_12" localSheetId="3">#REF!</definedName>
    <definedName name="QUAN_12" localSheetId="7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7">#REF!</definedName>
    <definedName name="QUAN_2">#REF!</definedName>
    <definedName name="quan_21">!#REF!</definedName>
    <definedName name="QUAN_3" localSheetId="3">#REF!</definedName>
    <definedName name="QUAN_3" localSheetId="7">#REF!</definedName>
    <definedName name="QUAN_3">#REF!</definedName>
    <definedName name="QUẬN_3">!#REF!</definedName>
    <definedName name="QUAN_4" localSheetId="3">#REF!</definedName>
    <definedName name="QUAN_4" localSheetId="7">#REF!</definedName>
    <definedName name="QUAN_4">#REF!</definedName>
    <definedName name="QUAN_41">!#REF!</definedName>
    <definedName name="QUAN_5" localSheetId="3">#REF!</definedName>
    <definedName name="QUAN_5" localSheetId="7">#REF!</definedName>
    <definedName name="QUAN_5">#REF!</definedName>
    <definedName name="QUAN_6" localSheetId="3">#REF!</definedName>
    <definedName name="QUAN_6" localSheetId="7">#REF!</definedName>
    <definedName name="QUAN_6">#REF!</definedName>
    <definedName name="QUAN_7" localSheetId="3">#REF!</definedName>
    <definedName name="QUAN_7" localSheetId="7">#REF!</definedName>
    <definedName name="QUAN_7">#REF!</definedName>
    <definedName name="QUAN_8" localSheetId="3">#REF!</definedName>
    <definedName name="QUAN_8" localSheetId="7">#REF!</definedName>
    <definedName name="QUAN_8">#REF!</definedName>
    <definedName name="QUAN_9" localSheetId="3">#REF!</definedName>
    <definedName name="QUAN_9" localSheetId="7">#REF!</definedName>
    <definedName name="QUAN_9">#REF!</definedName>
    <definedName name="QUAN_BINH_TAN" localSheetId="3">#REF!</definedName>
    <definedName name="QUAN_BINH_TAN" localSheetId="7">#REF!</definedName>
    <definedName name="QUAN_BINH_TAN">#REF!</definedName>
    <definedName name="QUAN_BINH_THANH" localSheetId="3">#REF!</definedName>
    <definedName name="QUAN_BINH_THANH" localSheetId="7">#REF!</definedName>
    <definedName name="QUAN_BINH_THANH">#REF!</definedName>
    <definedName name="QUAN_GO_VAP" localSheetId="3">#REF!</definedName>
    <definedName name="QUAN_GO_VAP" localSheetId="7">#REF!</definedName>
    <definedName name="QUAN_GO_VAP">#REF!</definedName>
    <definedName name="QUAN_PHU_NHUAN" localSheetId="3">#REF!</definedName>
    <definedName name="QUAN_PHU_NHUAN" localSheetId="7">#REF!</definedName>
    <definedName name="QUAN_PHU_NHUAN">#REF!</definedName>
    <definedName name="QUAN_TAN_BINH" localSheetId="3">#REF!</definedName>
    <definedName name="QUAN_TAN_BINH" localSheetId="7">#REF!</definedName>
    <definedName name="QUAN_TAN_BINH">#REF!</definedName>
    <definedName name="QUAN_TAN_PHU" localSheetId="3">#REF!</definedName>
    <definedName name="QUAN_TAN_PHU" localSheetId="7">#REF!</definedName>
    <definedName name="QUAN_TAN_PHU">#REF!</definedName>
    <definedName name="QUAN_THU_DUC" localSheetId="3">#REF!</definedName>
    <definedName name="QUAN_THU_DUC" localSheetId="7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7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7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7">Incentive!#REF!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7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3" i="439" l="1"/>
  <c r="BB24" i="439" s="1"/>
  <c r="BG3" i="439"/>
  <c r="BD24" i="439"/>
  <c r="AN6" i="439" l="1"/>
  <c r="AN7" i="439"/>
  <c r="AN8" i="439"/>
  <c r="AN9" i="439"/>
  <c r="AN10" i="439"/>
  <c r="AN11" i="439"/>
  <c r="AN5" i="439"/>
  <c r="D3" i="5" l="1"/>
  <c r="F3" i="5" s="1"/>
  <c r="D4" i="5"/>
  <c r="F4" i="5" s="1"/>
  <c r="D5" i="5"/>
  <c r="F5" i="5" s="1"/>
  <c r="D6" i="5"/>
  <c r="F6" i="5" s="1"/>
  <c r="H6" i="5" s="1"/>
  <c r="G6" i="5" s="1"/>
  <c r="D7" i="5"/>
  <c r="F7" i="5" s="1"/>
  <c r="H7" i="5" s="1"/>
  <c r="G7" i="5" s="1"/>
  <c r="D8" i="5"/>
  <c r="F8" i="5" s="1"/>
  <c r="H8" i="5" s="1"/>
  <c r="G8" i="5" s="1"/>
  <c r="D9" i="5"/>
  <c r="F9" i="5" s="1"/>
  <c r="H9" i="5" s="1"/>
  <c r="G9" i="5" s="1"/>
  <c r="D2" i="5"/>
  <c r="F4" i="430"/>
  <c r="F5" i="430"/>
  <c r="I5" i="430" s="1"/>
  <c r="F6" i="430"/>
  <c r="I6" i="430" s="1"/>
  <c r="F7" i="430"/>
  <c r="I7" i="430" s="1"/>
  <c r="F8" i="430"/>
  <c r="F9" i="430"/>
  <c r="I9" i="430" s="1"/>
  <c r="F10" i="430"/>
  <c r="I10" i="430" s="1"/>
  <c r="F3" i="430"/>
  <c r="E7" i="430"/>
  <c r="H7" i="430" s="1"/>
  <c r="E9" i="430"/>
  <c r="H9" i="430" s="1"/>
  <c r="E10" i="430"/>
  <c r="H10" i="430" s="1"/>
  <c r="N6" i="439"/>
  <c r="P6" i="439" s="1"/>
  <c r="N7" i="439"/>
  <c r="P7" i="439" s="1"/>
  <c r="N8" i="439"/>
  <c r="P8" i="439" s="1"/>
  <c r="N10" i="439"/>
  <c r="P10" i="439" s="1"/>
  <c r="N11" i="439"/>
  <c r="N5" i="439"/>
  <c r="P5" i="439" s="1"/>
  <c r="D10" i="440"/>
  <c r="D9" i="440"/>
  <c r="R9" i="440" s="1"/>
  <c r="D8" i="440"/>
  <c r="R8" i="440" s="1"/>
  <c r="D7" i="440"/>
  <c r="D6" i="440"/>
  <c r="R6" i="440" s="1"/>
  <c r="D5" i="440"/>
  <c r="R5" i="440" s="1"/>
  <c r="D4" i="440"/>
  <c r="R4" i="440" s="1"/>
  <c r="I8" i="430"/>
  <c r="G10" i="430"/>
  <c r="J10" i="430" s="1"/>
  <c r="G9" i="430"/>
  <c r="J9" i="430" s="1"/>
  <c r="G8" i="430"/>
  <c r="J8" i="430" s="1"/>
  <c r="E8" i="430"/>
  <c r="H8" i="430" s="1"/>
  <c r="G7" i="430"/>
  <c r="J7" i="430" s="1"/>
  <c r="G6" i="430"/>
  <c r="J6" i="430" s="1"/>
  <c r="E6" i="430"/>
  <c r="H6" i="430" s="1"/>
  <c r="G5" i="430"/>
  <c r="J5" i="430" s="1"/>
  <c r="E5" i="430"/>
  <c r="H5" i="430" s="1"/>
  <c r="L5" i="439"/>
  <c r="L6" i="439"/>
  <c r="L8" i="439"/>
  <c r="L9" i="439"/>
  <c r="L10" i="439"/>
  <c r="L11" i="439"/>
  <c r="L7" i="439"/>
  <c r="L12" i="439"/>
  <c r="BN12" i="439"/>
  <c r="BL12" i="439"/>
  <c r="BK12" i="439"/>
  <c r="BJ12" i="439"/>
  <c r="AY12" i="439"/>
  <c r="AX12" i="439"/>
  <c r="AU12" i="439"/>
  <c r="AP12" i="439"/>
  <c r="AN12" i="439"/>
  <c r="AM12" i="439"/>
  <c r="AL12" i="439"/>
  <c r="AK12" i="439"/>
  <c r="AH12" i="439"/>
  <c r="AG12" i="439"/>
  <c r="AF12" i="439"/>
  <c r="AB12" i="439"/>
  <c r="AA12" i="439"/>
  <c r="BN7" i="439"/>
  <c r="BL7" i="439"/>
  <c r="BK7" i="439"/>
  <c r="AP7" i="439"/>
  <c r="AM7" i="439"/>
  <c r="AK7" i="439"/>
  <c r="AG7" i="439"/>
  <c r="AF7" i="439"/>
  <c r="AA7" i="439"/>
  <c r="BN11" i="439"/>
  <c r="BL11" i="439"/>
  <c r="BK11" i="439"/>
  <c r="AP11" i="439"/>
  <c r="AM11" i="439"/>
  <c r="AL11" i="439"/>
  <c r="AK11" i="439"/>
  <c r="AH11" i="439"/>
  <c r="AG11" i="439"/>
  <c r="AF11" i="439"/>
  <c r="AB11" i="439"/>
  <c r="AA11" i="439"/>
  <c r="BN10" i="439"/>
  <c r="BL10" i="439"/>
  <c r="BK10" i="439"/>
  <c r="AP10" i="439"/>
  <c r="AM10" i="439"/>
  <c r="AL10" i="439"/>
  <c r="AK10" i="439"/>
  <c r="AH10" i="439"/>
  <c r="AG10" i="439"/>
  <c r="AF10" i="439"/>
  <c r="AB10" i="439"/>
  <c r="AA10" i="439"/>
  <c r="BN9" i="439"/>
  <c r="BL9" i="439"/>
  <c r="BK9" i="439"/>
  <c r="BJ9" i="439"/>
  <c r="AY9" i="439"/>
  <c r="AX9" i="439"/>
  <c r="AU9" i="439"/>
  <c r="AP9" i="439"/>
  <c r="AM9" i="439"/>
  <c r="AL9" i="439"/>
  <c r="AK9" i="439"/>
  <c r="AH9" i="439"/>
  <c r="AG9" i="439"/>
  <c r="AF9" i="439"/>
  <c r="AB9" i="439"/>
  <c r="AA9" i="439"/>
  <c r="BN8" i="439"/>
  <c r="BL8" i="439"/>
  <c r="BK8" i="439"/>
  <c r="BJ8" i="439"/>
  <c r="AP8" i="439"/>
  <c r="AM8" i="439"/>
  <c r="AL8" i="439"/>
  <c r="AK8" i="439"/>
  <c r="AH8" i="439"/>
  <c r="AG8" i="439"/>
  <c r="AF8" i="439"/>
  <c r="AB8" i="439"/>
  <c r="AA8" i="439"/>
  <c r="BN6" i="439"/>
  <c r="BL6" i="439"/>
  <c r="BK6" i="439"/>
  <c r="AP6" i="439"/>
  <c r="AM6" i="439"/>
  <c r="AL6" i="439"/>
  <c r="AK6" i="439"/>
  <c r="AH6" i="439"/>
  <c r="AG6" i="439"/>
  <c r="AF6" i="439"/>
  <c r="AB6" i="439"/>
  <c r="AA6" i="439"/>
  <c r="AF5" i="439"/>
  <c r="AG5" i="439"/>
  <c r="AH5" i="439"/>
  <c r="AM5" i="439"/>
  <c r="AP5" i="439"/>
  <c r="BK5" i="439"/>
  <c r="BL5" i="439"/>
  <c r="H5" i="5" l="1"/>
  <c r="G5" i="5" s="1"/>
  <c r="H4" i="5"/>
  <c r="G4" i="5"/>
  <c r="H3" i="5"/>
  <c r="G3" i="5"/>
  <c r="M9" i="340"/>
  <c r="O9" i="340" s="1"/>
  <c r="O10" i="439" s="1"/>
  <c r="Q10" i="439" s="1"/>
  <c r="R10" i="439" s="1"/>
  <c r="M10" i="340"/>
  <c r="O10" i="340" s="1"/>
  <c r="O11" i="439" s="1"/>
  <c r="Q11" i="439" s="1"/>
  <c r="M7" i="340"/>
  <c r="O7" i="340" s="1"/>
  <c r="O8" i="439" s="1"/>
  <c r="T8" i="439" s="1"/>
  <c r="M11" i="340"/>
  <c r="O11" i="340" s="1"/>
  <c r="O12" i="439" s="1"/>
  <c r="Q12" i="439" s="1"/>
  <c r="M6" i="340"/>
  <c r="O6" i="340" s="1"/>
  <c r="M8" i="340"/>
  <c r="O8" i="340" s="1"/>
  <c r="O9" i="439" s="1"/>
  <c r="Q9" i="439" s="1"/>
  <c r="S10" i="439"/>
  <c r="S8" i="439"/>
  <c r="BQ12" i="439"/>
  <c r="P11" i="439"/>
  <c r="BQ9" i="439"/>
  <c r="S11" i="439"/>
  <c r="S6" i="439"/>
  <c r="S7" i="439"/>
  <c r="S5" i="439"/>
  <c r="T9" i="439" l="1"/>
  <c r="U8" i="439"/>
  <c r="T11" i="439"/>
  <c r="U11" i="439" s="1"/>
  <c r="E4" i="366"/>
  <c r="O7" i="439"/>
  <c r="Q8" i="439"/>
  <c r="R8" i="439" s="1"/>
  <c r="T10" i="439"/>
  <c r="U10" i="439" s="1"/>
  <c r="T12" i="439"/>
  <c r="R11" i="439"/>
  <c r="Q7" i="439" l="1"/>
  <c r="R7" i="439" s="1"/>
  <c r="T7" i="439"/>
  <c r="U7" i="439" s="1"/>
  <c r="D3" i="440" l="1"/>
  <c r="G4" i="430"/>
  <c r="F4" i="328"/>
  <c r="N9" i="439" s="1"/>
  <c r="O3" i="440" l="1"/>
  <c r="P3" i="440"/>
  <c r="N3" i="440"/>
  <c r="L3" i="440"/>
  <c r="M3" i="440"/>
  <c r="K3" i="440"/>
  <c r="R3" i="440"/>
  <c r="Q3" i="440" l="1"/>
  <c r="S3" i="440" l="1"/>
  <c r="AK5" i="439" s="1"/>
  <c r="AA5" i="439"/>
  <c r="G3" i="430" l="1"/>
  <c r="E3" i="430"/>
  <c r="E4" i="430"/>
  <c r="BG8" i="439" l="1"/>
  <c r="BG5" i="439"/>
  <c r="BG6" i="439"/>
  <c r="BG10" i="439"/>
  <c r="BG12" i="439"/>
  <c r="BG9" i="439"/>
  <c r="BG11" i="439"/>
  <c r="BG7" i="439"/>
  <c r="BF8" i="439"/>
  <c r="BF5" i="439"/>
  <c r="BF9" i="439"/>
  <c r="BF10" i="439"/>
  <c r="BF6" i="439"/>
  <c r="BF12" i="439"/>
  <c r="BF11" i="439"/>
  <c r="BF7" i="439"/>
  <c r="AQ9" i="439" l="1"/>
  <c r="BB9" i="439"/>
  <c r="BA9" i="439"/>
  <c r="AR9" i="439"/>
  <c r="BC6" i="439"/>
  <c r="BD6" i="439"/>
  <c r="AS6" i="439"/>
  <c r="AQ8" i="439"/>
  <c r="AR8" i="439"/>
  <c r="BA8" i="439"/>
  <c r="BB8" i="439"/>
  <c r="BD11" i="439"/>
  <c r="AS11" i="439"/>
  <c r="BC11" i="439"/>
  <c r="AS12" i="439"/>
  <c r="BD12" i="439"/>
  <c r="BC12" i="439"/>
  <c r="AS5" i="439"/>
  <c r="BD5" i="439"/>
  <c r="BC5" i="439"/>
  <c r="BJ10" i="439"/>
  <c r="BA10" i="439"/>
  <c r="AQ10" i="439"/>
  <c r="AR10" i="439"/>
  <c r="BB10" i="439"/>
  <c r="BJ5" i="439"/>
  <c r="BB5" i="439"/>
  <c r="AQ5" i="439"/>
  <c r="BA5" i="439"/>
  <c r="AR5" i="439"/>
  <c r="AS7" i="439"/>
  <c r="BD7" i="439"/>
  <c r="BC7" i="439"/>
  <c r="AS9" i="439"/>
  <c r="AT9" i="439" s="1"/>
  <c r="BD9" i="439"/>
  <c r="BC9" i="439"/>
  <c r="BA7" i="439"/>
  <c r="BJ7" i="439"/>
  <c r="AQ7" i="439"/>
  <c r="AR7" i="439"/>
  <c r="BB7" i="439"/>
  <c r="BD10" i="439"/>
  <c r="BC10" i="439"/>
  <c r="AS10" i="439"/>
  <c r="AR11" i="439"/>
  <c r="BJ11" i="439"/>
  <c r="AQ11" i="439"/>
  <c r="BA11" i="439"/>
  <c r="BB11" i="439"/>
  <c r="BB12" i="439"/>
  <c r="BA12" i="439"/>
  <c r="AQ12" i="439"/>
  <c r="AR12" i="439"/>
  <c r="BB6" i="439"/>
  <c r="AR6" i="439"/>
  <c r="AQ6" i="439"/>
  <c r="BJ6" i="439"/>
  <c r="BA6" i="439"/>
  <c r="BD8" i="439"/>
  <c r="BC8" i="439"/>
  <c r="AS8" i="439"/>
  <c r="AT7" i="439" l="1"/>
  <c r="BE11" i="439"/>
  <c r="AT10" i="439"/>
  <c r="BE6" i="439"/>
  <c r="BE10" i="439"/>
  <c r="AT12" i="439"/>
  <c r="AT6" i="439"/>
  <c r="AT5" i="439"/>
  <c r="BE9" i="439"/>
  <c r="BE12" i="439"/>
  <c r="BE8" i="439"/>
  <c r="BE5" i="439"/>
  <c r="AT8" i="439"/>
  <c r="BE7" i="439"/>
  <c r="AT11" i="439"/>
  <c r="G5" i="348" l="1"/>
  <c r="G4" i="348"/>
  <c r="G3" i="348"/>
  <c r="G2" i="348"/>
  <c r="BN5" i="439" s="1"/>
  <c r="E27" i="366"/>
  <c r="A26" i="366"/>
  <c r="G25" i="366"/>
  <c r="H25" i="366" s="1"/>
  <c r="D25" i="366"/>
  <c r="F25" i="366" s="1"/>
  <c r="C25" i="366"/>
  <c r="A25" i="366"/>
  <c r="G24" i="366"/>
  <c r="H24" i="366" s="1"/>
  <c r="D24" i="366"/>
  <c r="F24" i="366" s="1"/>
  <c r="C24" i="366"/>
  <c r="A24" i="366"/>
  <c r="G23" i="366"/>
  <c r="H23" i="366" s="1"/>
  <c r="D23" i="366"/>
  <c r="F23" i="366" s="1"/>
  <c r="C23" i="366"/>
  <c r="A23" i="366"/>
  <c r="G22" i="366"/>
  <c r="H22" i="366" s="1"/>
  <c r="D22" i="366"/>
  <c r="F22" i="366" s="1"/>
  <c r="C22" i="366"/>
  <c r="A22" i="366"/>
  <c r="A9" i="366"/>
  <c r="F5" i="366"/>
  <c r="G6" i="347"/>
  <c r="K6" i="347"/>
  <c r="K5" i="347"/>
  <c r="K4" i="347"/>
  <c r="F10" i="328"/>
  <c r="F9" i="328"/>
  <c r="F8" i="328"/>
  <c r="F7" i="328"/>
  <c r="F6" i="328"/>
  <c r="S5" i="328"/>
  <c r="F5" i="328"/>
  <c r="N12" i="439" s="1"/>
  <c r="A5" i="340"/>
  <c r="A6" i="340" s="1"/>
  <c r="A7" i="340" s="1"/>
  <c r="A8" i="340" s="1"/>
  <c r="A9" i="340" s="1"/>
  <c r="A10" i="340" s="1"/>
  <c r="A11" i="340" s="1"/>
  <c r="J4" i="430"/>
  <c r="I4" i="430"/>
  <c r="H4" i="430"/>
  <c r="J3" i="430"/>
  <c r="I3" i="430"/>
  <c r="H3" i="430"/>
  <c r="K3" i="430" l="1"/>
  <c r="Y5" i="439" s="1"/>
  <c r="AU5" i="439" s="1"/>
  <c r="BQ5" i="439" s="1"/>
  <c r="H1" i="347"/>
  <c r="L6" i="347"/>
  <c r="H2" i="347"/>
  <c r="J2" i="347"/>
  <c r="J1" i="347"/>
  <c r="G5" i="347"/>
  <c r="I2" i="347"/>
  <c r="G4" i="347"/>
  <c r="I1" i="347"/>
  <c r="F9" i="366"/>
  <c r="K4" i="430"/>
  <c r="M4" i="340"/>
  <c r="M5" i="340"/>
  <c r="O5" i="340" s="1"/>
  <c r="O6" i="439" s="1"/>
  <c r="F27" i="366"/>
  <c r="O4" i="340" l="1"/>
  <c r="O5" i="439" s="1"/>
  <c r="Q6" i="439"/>
  <c r="R6" i="439" s="1"/>
  <c r="T6" i="439"/>
  <c r="U6" i="439" s="1"/>
  <c r="Z5" i="439"/>
  <c r="F4" i="366"/>
  <c r="L4" i="347"/>
  <c r="L5" i="347"/>
  <c r="G2" i="347"/>
  <c r="G1" i="347"/>
  <c r="Q5" i="439" l="1"/>
  <c r="R5" i="439" s="1"/>
  <c r="T5" i="439"/>
  <c r="U5" i="439" s="1"/>
  <c r="F8" i="366"/>
  <c r="F2" i="5"/>
  <c r="AB5" i="439" s="1"/>
  <c r="AJ5" i="439" s="1"/>
  <c r="H2" i="5" l="1"/>
  <c r="AL5" i="439" s="1"/>
  <c r="AV5" i="439" s="1"/>
  <c r="AW5" i="439" s="1"/>
  <c r="AX5" i="439" l="1"/>
  <c r="AY5" i="439"/>
  <c r="AZ5" i="439" s="1"/>
  <c r="G2" i="5"/>
  <c r="BR5" i="439" l="1"/>
  <c r="BM5" i="439"/>
  <c r="AB7" i="439" l="1"/>
  <c r="AL7" i="439" l="1"/>
  <c r="Y12" i="439" l="1"/>
  <c r="Z12" i="439" s="1"/>
  <c r="Y8" i="439"/>
  <c r="Y11" i="439"/>
  <c r="Y9" i="439"/>
  <c r="Z9" i="439" s="1"/>
  <c r="Y7" i="439"/>
  <c r="Y10" i="439"/>
  <c r="Y6" i="439"/>
  <c r="P12" i="439"/>
  <c r="R12" i="439" s="1"/>
  <c r="S12" i="439"/>
  <c r="U12" i="439" s="1"/>
  <c r="AJ12" i="439" s="1"/>
  <c r="P9" i="439"/>
  <c r="R9" i="439" s="1"/>
  <c r="S9" i="439"/>
  <c r="U9" i="439" s="1"/>
  <c r="AU10" i="439" l="1"/>
  <c r="BQ10" i="439" s="1"/>
  <c r="Z10" i="439"/>
  <c r="AJ10" i="439" s="1"/>
  <c r="AU7" i="439"/>
  <c r="BQ7" i="439" s="1"/>
  <c r="Z7" i="439"/>
  <c r="Z11" i="439"/>
  <c r="AJ11" i="439" s="1"/>
  <c r="AU11" i="439"/>
  <c r="BQ11" i="439" s="1"/>
  <c r="AU8" i="439"/>
  <c r="BQ8" i="439" s="1"/>
  <c r="Z8" i="439"/>
  <c r="AJ8" i="439" s="1"/>
  <c r="AH7" i="439"/>
  <c r="AU6" i="439"/>
  <c r="BQ6" i="439" s="1"/>
  <c r="Z6" i="439"/>
  <c r="AJ6" i="439" s="1"/>
  <c r="AJ9" i="439"/>
  <c r="AV9" i="439" s="1"/>
  <c r="AW9" i="439" s="1"/>
  <c r="AZ9" i="439" s="1"/>
  <c r="BR9" i="439" s="1"/>
  <c r="AV12" i="439"/>
  <c r="AW12" i="439" s="1"/>
  <c r="AZ12" i="439" s="1"/>
  <c r="BR12" i="439" s="1"/>
  <c r="AV11" i="439" l="1"/>
  <c r="AW11" i="439" s="1"/>
  <c r="AV6" i="439"/>
  <c r="AW6" i="439" s="1"/>
  <c r="AV10" i="439"/>
  <c r="AW10" i="439" s="1"/>
  <c r="AV8" i="439"/>
  <c r="AW8" i="439" s="1"/>
  <c r="AJ7" i="439"/>
  <c r="BM12" i="439"/>
  <c r="BM9" i="439"/>
  <c r="AY10" i="439" l="1"/>
  <c r="AX10" i="439"/>
  <c r="AV7" i="439"/>
  <c r="AW7" i="439" s="1"/>
  <c r="AY6" i="439"/>
  <c r="AX6" i="439"/>
  <c r="AY8" i="439"/>
  <c r="AX8" i="439"/>
  <c r="AX11" i="439"/>
  <c r="AY11" i="439"/>
  <c r="AZ10" i="439" l="1"/>
  <c r="AZ8" i="439"/>
  <c r="BR8" i="439" s="1"/>
  <c r="AZ6" i="439"/>
  <c r="BR6" i="439" s="1"/>
  <c r="AZ11" i="439"/>
  <c r="BR11" i="439" s="1"/>
  <c r="BR10" i="439"/>
  <c r="BM10" i="439"/>
  <c r="AY7" i="439"/>
  <c r="AX7" i="439"/>
  <c r="BM6" i="439" l="1"/>
  <c r="BM8" i="439"/>
  <c r="BM11" i="439"/>
  <c r="AZ7" i="439"/>
  <c r="BR7" i="439" s="1"/>
  <c r="BM7" i="439" l="1"/>
  <c r="K9" i="430" l="1"/>
  <c r="K8" i="430"/>
  <c r="K10" i="430"/>
  <c r="K7" i="430"/>
  <c r="K6" i="430"/>
  <c r="K5" i="430"/>
  <c r="S5" i="440" l="1"/>
  <c r="Q5" i="440"/>
  <c r="R7" i="440"/>
  <c r="Q7" i="440"/>
  <c r="K7" i="440"/>
  <c r="S8" i="440"/>
  <c r="Q8" i="440"/>
  <c r="K8" i="440"/>
  <c r="K4" i="440"/>
  <c r="Q4" i="440"/>
  <c r="S4" i="440"/>
  <c r="P9" i="440"/>
  <c r="P4" i="440"/>
  <c r="P7" i="440"/>
  <c r="P10" i="440"/>
  <c r="P8" i="440"/>
  <c r="P5" i="440"/>
  <c r="P6" i="440"/>
  <c r="R10" i="440"/>
  <c r="Q10" i="440"/>
  <c r="K10" i="440"/>
  <c r="O9" i="440"/>
  <c r="O6" i="440"/>
  <c r="O10" i="440"/>
  <c r="O7" i="440"/>
  <c r="O4" i="440"/>
  <c r="O5" i="440"/>
  <c r="O8" i="440"/>
  <c r="K9" i="440"/>
  <c r="Q9" i="440"/>
  <c r="S9" i="440"/>
  <c r="M10" i="440"/>
  <c r="M4" i="440"/>
  <c r="M8" i="440"/>
  <c r="M6" i="440"/>
  <c r="M7" i="440"/>
  <c r="M5" i="440"/>
  <c r="M9" i="440"/>
  <c r="N7" i="440"/>
  <c r="N8" i="440"/>
  <c r="N10" i="440"/>
  <c r="N4" i="440"/>
  <c r="N6" i="440"/>
  <c r="N5" i="440"/>
  <c r="N9" i="440"/>
  <c r="K5" i="440"/>
  <c r="K6" i="440"/>
  <c r="Q6" i="440"/>
  <c r="S6" i="440"/>
  <c r="L10" i="440"/>
  <c r="L6" i="440"/>
  <c r="L9" i="440"/>
  <c r="L4" i="440"/>
  <c r="L8" i="440"/>
  <c r="L5" i="440"/>
  <c r="L7" i="4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duyen</author>
  </authors>
  <commentList>
    <comment ref="BT4" authorId="0" shapeId="0" xr:uid="{40AD2205-CFB7-4C2E-86E8-CD001C7B73FE}">
      <text>
        <r>
          <rPr>
            <b/>
            <sz val="9"/>
            <color indexed="81"/>
            <rFont val="Tahoma"/>
            <family val="2"/>
          </rPr>
          <t>duyen:</t>
        </r>
        <r>
          <rPr>
            <sz val="9"/>
            <color indexed="81"/>
            <rFont val="Tahoma"/>
            <family val="2"/>
          </rPr>
          <t xml:space="preserve">
0: lũy tiến
1: toàn phần</t>
        </r>
      </text>
    </comment>
  </commentList>
</comments>
</file>

<file path=xl/sharedStrings.xml><?xml version="1.0" encoding="utf-8"?>
<sst xmlns="http://schemas.openxmlformats.org/spreadsheetml/2006/main" count="417" uniqueCount="245">
  <si>
    <t>DATE:</t>
  </si>
  <si>
    <t>c</t>
  </si>
  <si>
    <t>Qty.</t>
  </si>
  <si>
    <t>Tax rate</t>
  </si>
  <si>
    <t>Min Tax</t>
  </si>
  <si>
    <t>Net salary</t>
  </si>
  <si>
    <t>Total Reduction</t>
  </si>
  <si>
    <t>Total  obligation of employee</t>
  </si>
  <si>
    <t>Email</t>
  </si>
  <si>
    <t>No.</t>
  </si>
  <si>
    <t>Emp.Code</t>
  </si>
  <si>
    <t>Full Name</t>
  </si>
  <si>
    <t>Division</t>
  </si>
  <si>
    <t>Dept.</t>
  </si>
  <si>
    <t>Position</t>
  </si>
  <si>
    <t>Responsibility Allows</t>
  </si>
  <si>
    <t>Transportation Allows</t>
  </si>
  <si>
    <t>Mob Allows</t>
  </si>
  <si>
    <t>Meal Allows</t>
  </si>
  <si>
    <t>Overtime</t>
  </si>
  <si>
    <t>Manager</t>
  </si>
  <si>
    <t>Security</t>
  </si>
  <si>
    <t>Assistant</t>
  </si>
  <si>
    <t>Staff</t>
  </si>
  <si>
    <t>No</t>
  </si>
  <si>
    <t>Overtime taxable</t>
  </si>
  <si>
    <t>OT.Untaxable</t>
  </si>
  <si>
    <t>Emp. Code</t>
  </si>
  <si>
    <t>Full name</t>
  </si>
  <si>
    <t>Department</t>
  </si>
  <si>
    <t>Holiday</t>
  </si>
  <si>
    <t>Name</t>
  </si>
  <si>
    <t xml:space="preserve">Total hour night shift </t>
  </si>
  <si>
    <t>Dept</t>
  </si>
  <si>
    <t>ML</t>
  </si>
  <si>
    <t>CL</t>
  </si>
  <si>
    <t>1/2CL</t>
  </si>
  <si>
    <t>X</t>
  </si>
  <si>
    <t>OFF</t>
  </si>
  <si>
    <t>Tổng ngày Off</t>
  </si>
  <si>
    <t>Total days/month</t>
  </si>
  <si>
    <t>Compensation</t>
  </si>
  <si>
    <t>OT
Sunday</t>
  </si>
  <si>
    <t>OT
Holiday</t>
  </si>
  <si>
    <t>Bộ Phận</t>
  </si>
  <si>
    <t>REMARK</t>
  </si>
  <si>
    <t xml:space="preserve">Joining date
</t>
  </si>
  <si>
    <t>Self-
deduction</t>
  </si>
  <si>
    <t xml:space="preserve">Total
payment
(VND)
</t>
  </si>
  <si>
    <t>Nghỉ việc</t>
  </si>
  <si>
    <t>PP. Center</t>
  </si>
  <si>
    <t>Joinging date</t>
  </si>
  <si>
    <t xml:space="preserve">Incentive 
</t>
  </si>
  <si>
    <t>Total</t>
  </si>
  <si>
    <t>Bill</t>
  </si>
  <si>
    <t>Cashier incentive</t>
  </si>
  <si>
    <t>AL</t>
  </si>
  <si>
    <t>SL1</t>
  </si>
  <si>
    <t>UP</t>
  </si>
  <si>
    <t>Cashier</t>
  </si>
  <si>
    <t>CC</t>
  </si>
  <si>
    <t>FP</t>
  </si>
  <si>
    <t>Maternity leave / Nghỉ thai sản</t>
  </si>
  <si>
    <t>Children care leave / Nghỉ con ốm/ vợ sinh (hưởng BHXH)</t>
  </si>
  <si>
    <t>LL</t>
  </si>
  <si>
    <t>Lactation leave/ Về sớm/đi trễ 1 tiếng/nghỉ 1 ngày sau 7 ngày làm việc</t>
  </si>
  <si>
    <t>SL2</t>
  </si>
  <si>
    <t>Sabbatical leave /Nghỉ để đi học/nâng cao kiến thức, đi công tác</t>
  </si>
  <si>
    <t>Code</t>
  </si>
  <si>
    <t>Sub. Dept</t>
  </si>
  <si>
    <t>Job Title</t>
  </si>
  <si>
    <t>Cashier Staff</t>
  </si>
  <si>
    <t>PP.Shipper</t>
  </si>
  <si>
    <t>Thâm niên CASHIER bổ sung</t>
  </si>
  <si>
    <t>1/2AL</t>
  </si>
  <si>
    <t>Security Staff</t>
  </si>
  <si>
    <t>Gross</t>
  </si>
  <si>
    <t>ALs</t>
  </si>
  <si>
    <t xml:space="preserve">Thâm niên CASHIER </t>
  </si>
  <si>
    <t>24/10/2022</t>
  </si>
  <si>
    <t>12/10/2016</t>
  </si>
  <si>
    <t>19/12/2022</t>
  </si>
  <si>
    <t>22/06/2022</t>
  </si>
  <si>
    <t xml:space="preserve">2. Thâm niên CASHIER </t>
  </si>
  <si>
    <t>1/2UP</t>
  </si>
  <si>
    <t>HL</t>
  </si>
  <si>
    <t>Nghĩ Lễ, Tết</t>
  </si>
  <si>
    <t>Nghỉ 1 ngày OFFca hàng tuần</t>
  </si>
  <si>
    <t xml:space="preserve"> Annual Leave/ Nghỉ phép năm 01 ngày</t>
  </si>
  <si>
    <t>1/2 Annual Leave/ Nghỉ phép năm 1/2 ngày + Đi làm 1/2 ngày</t>
  </si>
  <si>
    <t>Full paid leave for personal affairs/Nghỉ việc riêng có hưởng lương 01 ngày (kết hôn, tang chế...)</t>
  </si>
  <si>
    <t>Unpaid leave/ Nghỉ việc riêng không hưởng lương 01 ngày</t>
  </si>
  <si>
    <t>1/2 Unpaid leave/ Nghỉ việc không hưởng lương 1/2 ngày + Đi làm 1/2 ngày</t>
  </si>
  <si>
    <t>Sick leave / Nghỉ bệnh (hưởng BHXH)</t>
  </si>
  <si>
    <t>Compensation leave ( in-lieu day-off)/ Nghỉ bù 1 ngày</t>
  </si>
  <si>
    <t xml:space="preserve"> 1/2 Compensation leave ( in-lieu day-off)/ Nghỉ bù 1/2 ngày + Đi làm 1/2 ngày</t>
  </si>
  <si>
    <t>Nghỉ hưởng lương
 (Nghỉ Phép/ Nghỉ Bù/ Nghỉ chế độ/ Nghỉ Lễ)</t>
  </si>
  <si>
    <t>Amount</t>
  </si>
  <si>
    <t>Shipper Staff</t>
  </si>
  <si>
    <t>27/07/2015</t>
  </si>
  <si>
    <t>Corporate Function Manager</t>
  </si>
  <si>
    <t>OT 
untaxable</t>
  </si>
  <si>
    <t>Obligation Health Insurance Employer</t>
  </si>
  <si>
    <t>Obligation Health Insurance Employee</t>
  </si>
  <si>
    <t>Trade Union
(Company)</t>
  </si>
  <si>
    <t>Trade Union
(Employee)</t>
  </si>
  <si>
    <t>PIT payable last year</t>
  </si>
  <si>
    <t xml:space="preserve">Government funds </t>
  </si>
  <si>
    <t>Job title</t>
  </si>
  <si>
    <t>Bonus</t>
  </si>
  <si>
    <t>AL Remain</t>
  </si>
  <si>
    <t>Rest of annual leave</t>
  </si>
  <si>
    <t>Incentives</t>
  </si>
  <si>
    <t>Store Manager - Emart Phan Van Tri</t>
  </si>
  <si>
    <t>QA Assistant</t>
  </si>
  <si>
    <t xml:space="preserve"> Total Actual All Allows</t>
  </si>
  <si>
    <t>3. Ngày phép/công bổ sung (AL payment)</t>
  </si>
  <si>
    <t>Income 
Salary</t>
  </si>
  <si>
    <t>Efficiency salary</t>
  </si>
  <si>
    <t xml:space="preserve">Working day current month
 </t>
  </si>
  <si>
    <t>Total 
Actual 
Basic Salary</t>
  </si>
  <si>
    <t>Working day
last month
 (21-25)</t>
  </si>
  <si>
    <t>Actual
 Basic Salary last month
 (21-25)</t>
  </si>
  <si>
    <t>Efficiency salary Advance
last month
 (21-25)</t>
  </si>
  <si>
    <t>Total 
Efficiency salary Advance</t>
  </si>
  <si>
    <t>Severance pay</t>
  </si>
  <si>
    <t xml:space="preserve">Total 
Gross Salary </t>
  </si>
  <si>
    <t>Night shift
untaxable</t>
  </si>
  <si>
    <t>Support Funeral Fund</t>
  </si>
  <si>
    <t>AMT</t>
  </si>
  <si>
    <t>Đi làm 01 ngày</t>
  </si>
  <si>
    <t>Quy định ký hiệu chấm công</t>
  </si>
  <si>
    <t>ID No</t>
  </si>
  <si>
    <t>Joning Date</t>
  </si>
  <si>
    <t>Basic 
Salary</t>
  </si>
  <si>
    <t>Standard working day</t>
  </si>
  <si>
    <t>Night shift</t>
  </si>
  <si>
    <t>Acting 
Allowance</t>
  </si>
  <si>
    <t>Other 
Allowance</t>
  </si>
  <si>
    <t>Severance pay untaxable</t>
  </si>
  <si>
    <t>Social Ins.
8%</t>
  </si>
  <si>
    <t>Health Ins.
1.5%</t>
  </si>
  <si>
    <t>Jobless Ins.
1%</t>
  </si>
  <si>
    <t>Total Ins.
Employees paid 10.5%</t>
  </si>
  <si>
    <t>Lunch
Max
(730,000đ)</t>
  </si>
  <si>
    <t>Taxable income</t>
  </si>
  <si>
    <t>Assessable income</t>
  </si>
  <si>
    <t>Monthly PIT
개인소득세</t>
  </si>
  <si>
    <t>Social Ins.
17%</t>
  </si>
  <si>
    <t>Health Ins.
3%</t>
  </si>
  <si>
    <t>Accident &amp; occupational disease
0.5%</t>
  </si>
  <si>
    <t>Total Ins. Employer paid
21.5%</t>
  </si>
  <si>
    <t>Insurance salary 
(SI &amp; HI)</t>
  </si>
  <si>
    <t>Insurance salary
(Jobless)</t>
  </si>
  <si>
    <t>Benefit TAX</t>
  </si>
  <si>
    <t>Store Management</t>
  </si>
  <si>
    <t>Cooperate Function</t>
  </si>
  <si>
    <t xml:space="preserve">Quality Assurance </t>
  </si>
  <si>
    <t>PVT2500113</t>
  </si>
  <si>
    <t>PVT2500114</t>
  </si>
  <si>
    <t>PVT2500115</t>
  </si>
  <si>
    <t>PVT2500116</t>
  </si>
  <si>
    <t>PVT2500117</t>
  </si>
  <si>
    <t>PVT - Store Manager</t>
  </si>
  <si>
    <t>PVT - Cooperate Function</t>
  </si>
  <si>
    <t xml:space="preserve">PVT - Quality Assurance </t>
  </si>
  <si>
    <t>PVT - Security</t>
  </si>
  <si>
    <t>PVT - Operation</t>
  </si>
  <si>
    <t>Phụ cấp điều phối</t>
  </si>
  <si>
    <t>Ngày công tính lương</t>
  </si>
  <si>
    <t xml:space="preserve">PVT - Cashier </t>
  </si>
  <si>
    <t>Actual 
Basic Salary current month</t>
  </si>
  <si>
    <t xml:space="preserve">Efficiency salary Advance current month </t>
  </si>
  <si>
    <t>Tham gia BHXH</t>
  </si>
  <si>
    <t>Đối tượng tính thuế TNCN</t>
  </si>
  <si>
    <t>Tham gia Công đoàn</t>
  </si>
  <si>
    <t>Tham gia Tang chế</t>
  </si>
  <si>
    <t>Gift (10%)</t>
  </si>
  <si>
    <t>Nguyen Van A</t>
  </si>
  <si>
    <t>Nguyen Van B</t>
  </si>
  <si>
    <t>SLA2500111</t>
  </si>
  <si>
    <t>PHI2500112</t>
  </si>
  <si>
    <t>PVT2500118</t>
  </si>
  <si>
    <t>Income salary</t>
  </si>
  <si>
    <t xml:space="preserve">
Payment night shift 
 </t>
  </si>
  <si>
    <t xml:space="preserve">
Night shift taxable </t>
  </si>
  <si>
    <t xml:space="preserve">
Night shift untax  </t>
  </si>
  <si>
    <t>Số đám tang phát sinh trong kỳ</t>
  </si>
  <si>
    <t>Truy thu BHYT 3%</t>
  </si>
  <si>
    <t>Truy thu BHYT 1.5%</t>
  </si>
  <si>
    <t xml:space="preserve">TEAMPLATE PAYROLL </t>
  </si>
  <si>
    <t>Nguyễn Thị Hà</t>
  </si>
  <si>
    <t>Phùng Mạnh Hà</t>
  </si>
  <si>
    <t>Nguyễn Đức Khánh</t>
  </si>
  <si>
    <t>Nguyễn Sơn Tùng</t>
  </si>
  <si>
    <t>Nguyễn Quang Cường</t>
  </si>
  <si>
    <t>Phạm Đức Kiên</t>
  </si>
  <si>
    <t>Nguyễn Văn Quân</t>
  </si>
  <si>
    <t>Ngô Văn Tuấn</t>
  </si>
  <si>
    <t>Join Date</t>
  </si>
  <si>
    <t>Dept/Div</t>
  </si>
  <si>
    <t>Actual work days (excl. Holidays)</t>
  </si>
  <si>
    <t>OT days ≥ 4 hours</t>
  </si>
  <si>
    <t>Work days on Holidays</t>
  </si>
  <si>
    <t>Amount for actual work days (excl. Holidays)</t>
  </si>
  <si>
    <t>Amount for OT days ≥ 4 hours</t>
  </si>
  <si>
    <t>Amount for work on Holidays</t>
  </si>
  <si>
    <t>Total Amount</t>
  </si>
  <si>
    <t>Notes</t>
  </si>
  <si>
    <t>Total OFF days</t>
  </si>
  <si>
    <t>Unpaid leave</t>
  </si>
  <si>
    <t>Actual working days</t>
  </si>
  <si>
    <t>Work adjustment</t>
  </si>
  <si>
    <t>Total paid workdays</t>
  </si>
  <si>
    <t>Total working days paid regular meals</t>
  </si>
  <si>
    <t>Total working days pay for meals during Tet holidays</t>
  </si>
  <si>
    <t>Total workdays pay for overtime meals</t>
  </si>
  <si>
    <t>Note</t>
  </si>
  <si>
    <t>Monthly bonus</t>
  </si>
  <si>
    <t>Birthday (Company)</t>
  </si>
  <si>
    <t>Seniority</t>
  </si>
  <si>
    <t>Total taxable benefits</t>
  </si>
  <si>
    <t>Paid Leave (Annual Leave / Compensatory Leave / Policy Leave / Public Holiday)</t>
  </si>
  <si>
    <t>Total Paid Leave Days</t>
  </si>
  <si>
    <t>Total Unpaid Leave Days</t>
  </si>
  <si>
    <t>Actual Working Days</t>
  </si>
  <si>
    <t>SALARY CALCULATION DAYS</t>
  </si>
  <si>
    <t>Hour_150</t>
  </si>
  <si>
    <t>Hour_215</t>
  </si>
  <si>
    <t>Hour_200</t>
  </si>
  <si>
    <t>Hour_280</t>
  </si>
  <si>
    <t>Hour_300</t>
  </si>
  <si>
    <t>Hour_410</t>
  </si>
  <si>
    <t>OTPay_150</t>
  </si>
  <si>
    <t>OTPay_215</t>
  </si>
  <si>
    <t>OTPay_200</t>
  </si>
  <si>
    <t>OTPay_280</t>
  </si>
  <si>
    <t>OTPay_300</t>
  </si>
  <si>
    <t>OTPay_410</t>
  </si>
  <si>
    <t>Admin Supervisor - Store Division</t>
  </si>
  <si>
    <t>HR Supervisor - Store Division</t>
  </si>
  <si>
    <t>HR Staff - Store Divison</t>
  </si>
  <si>
    <t>Treasury Staff</t>
  </si>
  <si>
    <t xml:space="preserve">Hr/Admin 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</si>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</sst>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3" formatCode="_(* #,##0.00_);_(* \(#,##0.00\);_(* &quot;-&quot;??_);_(@_)"/>
    <numFmt numFmtId="164" formatCode="_-* #,##0.00\ _₫_-;\-* #,##0.00\ _₫_-;_-* &quot;-&quot;??\ _₫_-;_-@_-"/>
    <numFmt numFmtId="165" formatCode="_-* #,##0.00\ _₫_-;\-* #,##0.00\ _₫_-;_-* \-??\ _₫_-;_-@_-"/>
    <numFmt numFmtId="166" formatCode="_(* #,##0.00_);_(* \(#,##0.00\);_(* \-??_);_(@_)"/>
    <numFmt numFmtId="167" formatCode="_(* #,##0_);_(* \(#,##0\);_(* \-??_);_(@_)"/>
    <numFmt numFmtId="168" formatCode="d\-mmm\-yy;@"/>
    <numFmt numFmtId="169" formatCode="0.0"/>
    <numFmt numFmtId="170" formatCode="_(* #,##0.0_);_(* \(#,##0.0\);_(* \-??_);_(@_)"/>
    <numFmt numFmtId="171" formatCode="_(* #,##0_);_(* \(#,##0\);_(* &quot;-&quot;??_);_(@_)"/>
    <numFmt numFmtId="172" formatCode="[$-409]mmmm\ d\,\ yyyy;@"/>
    <numFmt numFmtId="173" formatCode="_-* #,##0.0\ _₫_-;\-* #,##0.0\ _₫_-;_-* &quot;-&quot;??\ _₫_-;_-@_-"/>
    <numFmt numFmtId="174" formatCode="_(* #,##0.0_);_(* \(#,##0.0\);_(* &quot;-&quot;??_);_(@_)"/>
    <numFmt numFmtId="175" formatCode="_-* #,##0.00_-;\-* #,##0.00_-;_-* &quot;-&quot;??_-;_-@_-"/>
    <numFmt numFmtId="176" formatCode="[$-409]d\-mmm\-yy;@"/>
    <numFmt numFmtId="177" formatCode="_-* #,##0_-;\-* #,##0_-;_-* &quot;-&quot;??_-;_-@_-"/>
    <numFmt numFmtId="178" formatCode="&quot; &quot;#,##0.00&quot; &quot;;&quot; (&quot;#,##0.00&quot;)&quot;;&quot; -&quot;00&quot; &quot;;&quot; &quot;@&quot; &quot;"/>
    <numFmt numFmtId="179" formatCode="_(* #,##0_);_(* \(#,##0\);_(* &quot;-&quot;?_);_(@_)"/>
    <numFmt numFmtId="180" formatCode="[$-1010000]d/m/yyyy;@"/>
    <numFmt numFmtId="181" formatCode="&quot; &quot;#,##0&quot; &quot;;&quot; (&quot;#,##0&quot;)&quot;;&quot; -&quot;00&quot; &quot;;&quot; &quot;@&quot; &quot;"/>
    <numFmt numFmtId="182" formatCode="dd\/mm\/yyyy"/>
    <numFmt numFmtId="183" formatCode="&quot; &quot;#,##0.0&quot; &quot;;&quot; (&quot;#,##0.0&quot;)&quot;;&quot; -&quot;00.0&quot; &quot;;&quot; &quot;@&quot; &quot;"/>
    <numFmt numFmtId="184" formatCode="0.0%"/>
    <numFmt numFmtId="185" formatCode="&quot; &quot;#,##0&quot; &quot;;&quot;-&quot;#,##0&quot; &quot;;&quot; -&quot;00&quot; &quot;;&quot; &quot;@&quot; &quot;"/>
  </numFmts>
  <fonts count="316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b/>
      <sz val="11"/>
      <color indexed="9"/>
      <name val="Times New Roman"/>
      <family val="1"/>
      <charset val="1"/>
    </font>
    <font>
      <sz val="11"/>
      <color indexed="9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sz val="9"/>
      <name val="Times New Roman"/>
      <family val="1"/>
      <charset val="1"/>
    </font>
    <font>
      <i/>
      <sz val="9"/>
      <name val="Times New Roman"/>
      <family val="1"/>
      <charset val="163"/>
    </font>
    <font>
      <sz val="11"/>
      <color indexed="9"/>
      <name val="Tahoma"/>
      <family val="2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sz val="11"/>
      <color theme="0"/>
      <name val="Times New Roman"/>
      <family val="2"/>
    </font>
    <font>
      <sz val="1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1"/>
      <color theme="1"/>
      <name val="Tahoma"/>
      <family val="2"/>
    </font>
    <font>
      <b/>
      <sz val="1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1"/>
      <name val="Times New Roman"/>
      <family val="1"/>
    </font>
    <font>
      <sz val="10"/>
      <name val="Arial"/>
      <family val="2"/>
    </font>
    <font>
      <sz val="10"/>
      <color indexed="9"/>
      <name val="Times New Roman"/>
      <family val="1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u/>
      <sz val="11"/>
      <color theme="10"/>
      <name val="Calibri"/>
      <family val="2"/>
    </font>
    <font>
      <b/>
      <sz val="11"/>
      <name val="Times New Roman"/>
      <family val="1"/>
      <charset val="1"/>
    </font>
    <font>
      <sz val="11"/>
      <color rgb="FF000000"/>
      <name val="Calibri"/>
      <family val="2"/>
    </font>
    <font>
      <sz val="9"/>
      <name val="Arial"/>
      <family val="2"/>
    </font>
    <font>
      <sz val="13"/>
      <name val="Times New Roman"/>
      <family val="1"/>
    </font>
    <font>
      <sz val="10"/>
      <color indexed="8"/>
      <name val="Times New Roman"/>
      <family val="1"/>
    </font>
    <font>
      <i/>
      <sz val="10"/>
      <name val="Times New Roman"/>
      <family val="1"/>
    </font>
    <font>
      <sz val="12"/>
      <color rgb="FF374151"/>
      <name val="Arial"/>
      <family val="2"/>
    </font>
    <font>
      <u/>
      <sz val="11"/>
      <name val="Times New Roman"/>
      <family val="1"/>
    </font>
    <font>
      <sz val="9"/>
      <name val="Times New Roman"/>
      <family val="1"/>
    </font>
    <font>
      <sz val="11"/>
      <name val="Calibri"/>
      <family val="2"/>
      <scheme val="minor"/>
    </font>
    <font>
      <sz val="18"/>
      <name val="Calibri"/>
      <family val="2"/>
      <scheme val="minor"/>
    </font>
    <font>
      <sz val="8.5500000000000007"/>
      <color rgb="FF374151"/>
      <name val="Arial"/>
      <family val="2"/>
    </font>
    <font>
      <i/>
      <sz val="10"/>
      <name val="Times New Roman"/>
      <family val="1"/>
      <charset val="1"/>
    </font>
    <font>
      <b/>
      <sz val="28"/>
      <name val="Times New Roman"/>
      <family val="1"/>
    </font>
    <font>
      <sz val="14"/>
      <name val="Times New Roman"/>
      <family val="1"/>
    </font>
    <font>
      <sz val="10"/>
      <name val="Mangal"/>
      <family val="1"/>
    </font>
    <font>
      <sz val="10"/>
      <color rgb="FF00B0F0"/>
      <name val="Times New Roman"/>
      <family val="1"/>
    </font>
    <font>
      <i/>
      <sz val="9"/>
      <name val="Times New Roman"/>
      <family val="1"/>
    </font>
    <font>
      <sz val="12"/>
      <color rgb="FF000000"/>
      <name val="Times New Roman"/>
      <family val="1"/>
    </font>
    <font>
      <sz val="12"/>
      <color rgb="FF00B0F0"/>
      <name val="Times New Roman"/>
      <family val="1"/>
    </font>
    <font>
      <sz val="11"/>
      <color indexed="8"/>
      <name val="Times New Roman"/>
      <family val="1"/>
    </font>
    <font>
      <b/>
      <sz val="18"/>
      <name val="Times New Roman"/>
      <family val="1"/>
    </font>
    <font>
      <sz val="18"/>
      <color rgb="FF00B0F0"/>
      <name val="Mangal"/>
      <family val="2"/>
    </font>
    <font>
      <b/>
      <sz val="18"/>
      <color rgb="FF00B0F0"/>
      <name val="Times New Roman"/>
      <family val="1"/>
    </font>
  </fonts>
  <fills count="27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E0C0"/>
      </patternFill>
    </fill>
    <fill>
      <patternFill patternType="solid">
        <fgColor rgb="FF92D050"/>
        <bgColor indexed="64"/>
      </patternFill>
    </fill>
  </fills>
  <borders count="88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8000"/>
      </left>
      <right/>
      <top style="thin">
        <color indexed="64"/>
      </top>
      <bottom style="thin">
        <color rgb="FF008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</borders>
  <cellStyleXfs count="6034">
    <xf numFmtId="0" fontId="0" fillId="0" borderId="0"/>
    <xf numFmtId="166" fontId="236" fillId="0" borderId="0" applyFill="0" applyBorder="0" applyAlignment="0" applyProtection="0"/>
    <xf numFmtId="165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0" fontId="237" fillId="2" borderId="1">
      <alignment horizontal="center" vertical="center"/>
    </xf>
    <xf numFmtId="0" fontId="243" fillId="3" borderId="0" applyNumberFormat="0" applyBorder="0" applyAlignment="0" applyProtection="0"/>
    <xf numFmtId="0" fontId="250" fillId="4" borderId="0" applyNumberFormat="0" applyBorder="0" applyAlignment="0" applyProtection="0"/>
    <xf numFmtId="0" fontId="255" fillId="5" borderId="0" applyNumberFormat="0" applyBorder="0" applyAlignment="0" applyProtection="0"/>
    <xf numFmtId="0" fontId="255" fillId="6" borderId="0" applyNumberFormat="0" applyBorder="0" applyAlignment="0" applyProtection="0"/>
    <xf numFmtId="0" fontId="255" fillId="7" borderId="0" applyNumberFormat="0" applyBorder="0" applyAlignment="0" applyProtection="0"/>
    <xf numFmtId="0" fontId="255" fillId="8" borderId="0" applyNumberFormat="0" applyBorder="0" applyAlignment="0" applyProtection="0"/>
    <xf numFmtId="0" fontId="256" fillId="0" borderId="0"/>
    <xf numFmtId="0" fontId="238" fillId="0" borderId="0" applyNumberFormat="0" applyFill="0" applyBorder="0" applyAlignment="0" applyProtection="0"/>
    <xf numFmtId="0" fontId="239" fillId="0" borderId="0"/>
    <xf numFmtId="0" fontId="240" fillId="0" borderId="0"/>
    <xf numFmtId="0" fontId="241" fillId="0" borderId="0"/>
    <xf numFmtId="0" fontId="239" fillId="0" borderId="0"/>
    <xf numFmtId="0" fontId="242" fillId="0" borderId="0"/>
    <xf numFmtId="0" fontId="243" fillId="0" borderId="0"/>
    <xf numFmtId="0" fontId="239" fillId="0" borderId="0"/>
    <xf numFmtId="0" fontId="244" fillId="0" borderId="0"/>
    <xf numFmtId="0" fontId="242" fillId="0" borderId="0"/>
    <xf numFmtId="0" fontId="245" fillId="0" borderId="0"/>
    <xf numFmtId="0" fontId="246" fillId="0" borderId="0"/>
    <xf numFmtId="0" fontId="235" fillId="0" borderId="0"/>
    <xf numFmtId="43" fontId="235" fillId="0" borderId="0" applyFont="0" applyFill="0" applyBorder="0" applyAlignment="0" applyProtection="0"/>
    <xf numFmtId="0" fontId="263" fillId="0" borderId="0"/>
    <xf numFmtId="0" fontId="264" fillId="0" borderId="0"/>
    <xf numFmtId="43" fontId="264" fillId="0" borderId="0" applyFont="0" applyFill="0" applyBorder="0" applyAlignment="0" applyProtection="0"/>
    <xf numFmtId="0" fontId="234" fillId="0" borderId="0"/>
    <xf numFmtId="0" fontId="234" fillId="11" borderId="0" applyNumberFormat="0" applyBorder="0" applyAlignment="0" applyProtection="0"/>
    <xf numFmtId="0" fontId="233" fillId="0" borderId="0"/>
    <xf numFmtId="0" fontId="264" fillId="0" borderId="0"/>
    <xf numFmtId="0" fontId="233" fillId="0" borderId="0"/>
    <xf numFmtId="0" fontId="233" fillId="0" borderId="0"/>
    <xf numFmtId="164" fontId="233" fillId="0" borderId="0" applyFont="0" applyFill="0" applyBorder="0" applyAlignment="0" applyProtection="0"/>
    <xf numFmtId="43" fontId="233" fillId="0" borderId="0" applyFont="0" applyFill="0" applyBorder="0" applyAlignment="0" applyProtection="0"/>
    <xf numFmtId="0" fontId="267" fillId="0" borderId="0"/>
    <xf numFmtId="0" fontId="261" fillId="13" borderId="0" applyNumberFormat="0" applyBorder="0" applyAlignment="0" applyProtection="0"/>
    <xf numFmtId="0" fontId="261" fillId="12" borderId="0" applyNumberFormat="0" applyBorder="0" applyAlignment="0" applyProtection="0"/>
    <xf numFmtId="0" fontId="261" fillId="10" borderId="0" applyNumberFormat="0" applyBorder="0" applyAlignment="0" applyProtection="0"/>
    <xf numFmtId="0" fontId="261" fillId="14" borderId="0" applyNumberFormat="0" applyBorder="0" applyAlignment="0" applyProtection="0"/>
    <xf numFmtId="0" fontId="267" fillId="11" borderId="0" applyNumberFormat="0" applyBorder="0" applyAlignment="0" applyProtection="0"/>
    <xf numFmtId="0" fontId="268" fillId="0" borderId="0"/>
    <xf numFmtId="43" fontId="232" fillId="0" borderId="0" applyFont="0" applyFill="0" applyBorder="0" applyAlignment="0" applyProtection="0"/>
    <xf numFmtId="0" fontId="231" fillId="0" borderId="0"/>
    <xf numFmtId="43" fontId="231" fillId="0" borderId="0" applyFont="0" applyFill="0" applyBorder="0" applyAlignment="0" applyProtection="0"/>
    <xf numFmtId="0" fontId="263" fillId="0" borderId="0"/>
    <xf numFmtId="0" fontId="230" fillId="0" borderId="0"/>
    <xf numFmtId="43" fontId="230" fillId="0" borderId="0" applyFont="0" applyFill="0" applyBorder="0" applyAlignment="0" applyProtection="0"/>
    <xf numFmtId="0" fontId="229" fillId="0" borderId="0"/>
    <xf numFmtId="0" fontId="228" fillId="0" borderId="0"/>
    <xf numFmtId="43" fontId="228" fillId="0" borderId="0" applyFont="0" applyFill="0" applyBorder="0" applyAlignment="0" applyProtection="0"/>
    <xf numFmtId="0" fontId="269" fillId="0" borderId="0"/>
    <xf numFmtId="0" fontId="228" fillId="0" borderId="0"/>
    <xf numFmtId="43" fontId="228" fillId="0" borderId="0" applyFont="0" applyFill="0" applyBorder="0" applyAlignment="0" applyProtection="0"/>
    <xf numFmtId="43" fontId="227" fillId="0" borderId="0" applyFont="0" applyFill="0" applyBorder="0" applyAlignment="0" applyProtection="0"/>
    <xf numFmtId="0" fontId="226" fillId="0" borderId="0"/>
    <xf numFmtId="0" fontId="225" fillId="0" borderId="0"/>
    <xf numFmtId="43" fontId="225" fillId="0" borderId="0" applyFont="0" applyFill="0" applyBorder="0" applyAlignment="0" applyProtection="0"/>
    <xf numFmtId="43" fontId="224" fillId="0" borderId="0" applyFont="0" applyFill="0" applyBorder="0" applyAlignment="0" applyProtection="0"/>
    <xf numFmtId="0" fontId="223" fillId="0" borderId="0"/>
    <xf numFmtId="164" fontId="223" fillId="0" borderId="0" applyFont="0" applyFill="0" applyBorder="0" applyAlignment="0" applyProtection="0"/>
    <xf numFmtId="43" fontId="223" fillId="0" borderId="0" applyFont="0" applyFill="0" applyBorder="0" applyAlignment="0" applyProtection="0"/>
    <xf numFmtId="0" fontId="223" fillId="0" borderId="0"/>
    <xf numFmtId="0" fontId="222" fillId="0" borderId="0"/>
    <xf numFmtId="0" fontId="221" fillId="0" borderId="0"/>
    <xf numFmtId="0" fontId="272" fillId="0" borderId="0">
      <alignment vertical="center"/>
    </xf>
    <xf numFmtId="175" fontId="272" fillId="0" borderId="0" applyFont="0" applyFill="0" applyBorder="0" applyAlignment="0" applyProtection="0">
      <alignment vertical="center"/>
    </xf>
    <xf numFmtId="0" fontId="220" fillId="0" borderId="0"/>
    <xf numFmtId="43" fontId="220" fillId="0" borderId="0" applyFont="0" applyFill="0" applyBorder="0" applyAlignment="0" applyProtection="0"/>
    <xf numFmtId="0" fontId="219" fillId="0" borderId="0"/>
    <xf numFmtId="0" fontId="218" fillId="0" borderId="0"/>
    <xf numFmtId="43" fontId="218" fillId="0" borderId="0" applyFont="0" applyFill="0" applyBorder="0" applyAlignment="0" applyProtection="0"/>
    <xf numFmtId="0" fontId="218" fillId="0" borderId="0"/>
    <xf numFmtId="164" fontId="218" fillId="0" borderId="0" applyFont="0" applyFill="0" applyBorder="0" applyAlignment="0" applyProtection="0"/>
    <xf numFmtId="43" fontId="218" fillId="0" borderId="0" applyFont="0" applyFill="0" applyBorder="0" applyAlignment="0" applyProtection="0"/>
    <xf numFmtId="0" fontId="218" fillId="0" borderId="0"/>
    <xf numFmtId="0" fontId="217" fillId="0" borderId="0"/>
    <xf numFmtId="164" fontId="217" fillId="0" borderId="0" applyFont="0" applyFill="0" applyBorder="0" applyAlignment="0" applyProtection="0"/>
    <xf numFmtId="43" fontId="217" fillId="0" borderId="0" applyFont="0" applyFill="0" applyBorder="0" applyAlignment="0" applyProtection="0"/>
    <xf numFmtId="0" fontId="217" fillId="0" borderId="0"/>
    <xf numFmtId="0" fontId="216" fillId="0" borderId="0"/>
    <xf numFmtId="43" fontId="216" fillId="0" borderId="0" applyFont="0" applyFill="0" applyBorder="0" applyAlignment="0" applyProtection="0"/>
    <xf numFmtId="0" fontId="215" fillId="0" borderId="0"/>
    <xf numFmtId="43" fontId="215" fillId="0" borderId="0" applyFont="0" applyFill="0" applyBorder="0" applyAlignment="0" applyProtection="0"/>
    <xf numFmtId="0" fontId="273" fillId="0" borderId="0"/>
    <xf numFmtId="43" fontId="214" fillId="0" borderId="0" applyFont="0" applyFill="0" applyBorder="0" applyAlignment="0" applyProtection="0"/>
    <xf numFmtId="0" fontId="213" fillId="0" borderId="0"/>
    <xf numFmtId="0" fontId="212" fillId="0" borderId="0"/>
    <xf numFmtId="43" fontId="212" fillId="0" borderId="0" applyFont="0" applyFill="0" applyBorder="0" applyAlignment="0" applyProtection="0"/>
    <xf numFmtId="0" fontId="211" fillId="0" borderId="0"/>
    <xf numFmtId="43" fontId="211" fillId="0" borderId="0" applyFont="0" applyFill="0" applyBorder="0" applyAlignment="0" applyProtection="0"/>
    <xf numFmtId="0" fontId="211" fillId="0" borderId="0"/>
    <xf numFmtId="164" fontId="211" fillId="0" borderId="0" applyFont="0" applyFill="0" applyBorder="0" applyAlignment="0" applyProtection="0"/>
    <xf numFmtId="43" fontId="211" fillId="0" borderId="0" applyFont="0" applyFill="0" applyBorder="0" applyAlignment="0" applyProtection="0"/>
    <xf numFmtId="0" fontId="211" fillId="0" borderId="0"/>
    <xf numFmtId="0" fontId="276" fillId="0" borderId="0"/>
    <xf numFmtId="43" fontId="210" fillId="0" borderId="0" applyFont="0" applyFill="0" applyBorder="0" applyAlignment="0" applyProtection="0"/>
    <xf numFmtId="0" fontId="209" fillId="0" borderId="0"/>
    <xf numFmtId="0" fontId="208" fillId="0" borderId="0"/>
    <xf numFmtId="43" fontId="208" fillId="0" borderId="0" applyFont="0" applyFill="0" applyBorder="0" applyAlignment="0" applyProtection="0"/>
    <xf numFmtId="0" fontId="207" fillId="0" borderId="0"/>
    <xf numFmtId="164" fontId="207" fillId="0" borderId="0" applyFont="0" applyFill="0" applyBorder="0" applyAlignment="0" applyProtection="0"/>
    <xf numFmtId="43" fontId="207" fillId="0" borderId="0" applyFont="0" applyFill="0" applyBorder="0" applyAlignment="0" applyProtection="0"/>
    <xf numFmtId="0" fontId="207" fillId="0" borderId="0"/>
    <xf numFmtId="0" fontId="206" fillId="0" borderId="0"/>
    <xf numFmtId="0" fontId="205" fillId="0" borderId="0"/>
    <xf numFmtId="0" fontId="204" fillId="0" borderId="0"/>
    <xf numFmtId="164" fontId="204" fillId="0" borderId="0" applyFont="0" applyFill="0" applyBorder="0" applyAlignment="0" applyProtection="0"/>
    <xf numFmtId="43" fontId="204" fillId="0" borderId="0" applyFont="0" applyFill="0" applyBorder="0" applyAlignment="0" applyProtection="0"/>
    <xf numFmtId="0" fontId="204" fillId="0" borderId="0"/>
    <xf numFmtId="0" fontId="203" fillId="0" borderId="0"/>
    <xf numFmtId="164" fontId="203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203" fillId="0" borderId="0"/>
    <xf numFmtId="0" fontId="202" fillId="0" borderId="0"/>
    <xf numFmtId="43" fontId="202" fillId="0" borderId="0" applyFont="0" applyFill="0" applyBorder="0" applyAlignment="0" applyProtection="0"/>
    <xf numFmtId="0" fontId="277" fillId="0" borderId="0"/>
    <xf numFmtId="0" fontId="201" fillId="0" borderId="0"/>
    <xf numFmtId="164" fontId="201" fillId="0" borderId="0" applyFont="0" applyFill="0" applyBorder="0" applyAlignment="0" applyProtection="0"/>
    <xf numFmtId="43" fontId="201" fillId="0" borderId="0" applyFont="0" applyFill="0" applyBorder="0" applyAlignment="0" applyProtection="0"/>
    <xf numFmtId="0" fontId="201" fillId="0" borderId="0"/>
    <xf numFmtId="0" fontId="200" fillId="0" borderId="0"/>
    <xf numFmtId="0" fontId="199" fillId="0" borderId="0"/>
    <xf numFmtId="43" fontId="199" fillId="0" borderId="0" applyFont="0" applyFill="0" applyBorder="0" applyAlignment="0" applyProtection="0"/>
    <xf numFmtId="0" fontId="240" fillId="0" borderId="0"/>
    <xf numFmtId="0" fontId="198" fillId="0" borderId="0"/>
    <xf numFmtId="164" fontId="198" fillId="0" borderId="0" applyFont="0" applyFill="0" applyBorder="0" applyAlignment="0" applyProtection="0"/>
    <xf numFmtId="43" fontId="198" fillId="0" borderId="0" applyFont="0" applyFill="0" applyBorder="0" applyAlignment="0" applyProtection="0"/>
    <xf numFmtId="0" fontId="198" fillId="0" borderId="0"/>
    <xf numFmtId="0" fontId="197" fillId="0" borderId="0"/>
    <xf numFmtId="43" fontId="197" fillId="0" borderId="0" applyFont="0" applyFill="0" applyBorder="0" applyAlignment="0" applyProtection="0"/>
    <xf numFmtId="43" fontId="196" fillId="0" borderId="0" applyFont="0" applyFill="0" applyBorder="0" applyAlignment="0" applyProtection="0"/>
    <xf numFmtId="0" fontId="196" fillId="0" borderId="0"/>
    <xf numFmtId="0" fontId="195" fillId="0" borderId="0"/>
    <xf numFmtId="43" fontId="195" fillId="0" borderId="0" applyFont="0" applyFill="0" applyBorder="0" applyAlignment="0" applyProtection="0"/>
    <xf numFmtId="0" fontId="195" fillId="0" borderId="0"/>
    <xf numFmtId="164" fontId="195" fillId="0" borderId="0" applyFont="0" applyFill="0" applyBorder="0" applyAlignment="0" applyProtection="0"/>
    <xf numFmtId="43" fontId="195" fillId="0" borderId="0" applyFont="0" applyFill="0" applyBorder="0" applyAlignment="0" applyProtection="0"/>
    <xf numFmtId="0" fontId="195" fillId="0" borderId="0"/>
    <xf numFmtId="0" fontId="194" fillId="0" borderId="0"/>
    <xf numFmtId="43" fontId="194" fillId="0" borderId="0" applyFont="0" applyFill="0" applyBorder="0" applyAlignment="0" applyProtection="0"/>
    <xf numFmtId="0" fontId="193" fillId="0" borderId="0"/>
    <xf numFmtId="164" fontId="193" fillId="0" borderId="0" applyFont="0" applyFill="0" applyBorder="0" applyAlignment="0" applyProtection="0"/>
    <xf numFmtId="43" fontId="193" fillId="0" borderId="0" applyFont="0" applyFill="0" applyBorder="0" applyAlignment="0" applyProtection="0"/>
    <xf numFmtId="0" fontId="193" fillId="0" borderId="0"/>
    <xf numFmtId="43" fontId="263" fillId="0" borderId="0" applyFont="0" applyFill="0" applyBorder="0" applyAlignment="0" applyProtection="0"/>
    <xf numFmtId="0" fontId="192" fillId="0" borderId="0"/>
    <xf numFmtId="43" fontId="192" fillId="0" borderId="0" applyFont="0" applyFill="0" applyBorder="0" applyAlignment="0" applyProtection="0"/>
    <xf numFmtId="0" fontId="191" fillId="0" borderId="0"/>
    <xf numFmtId="0" fontId="263" fillId="0" borderId="0"/>
    <xf numFmtId="0" fontId="190" fillId="0" borderId="0"/>
    <xf numFmtId="164" fontId="190" fillId="0" borderId="0" applyFont="0" applyFill="0" applyBorder="0" applyAlignment="0" applyProtection="0"/>
    <xf numFmtId="43" fontId="190" fillId="0" borderId="0" applyFont="0" applyFill="0" applyBorder="0" applyAlignment="0" applyProtection="0"/>
    <xf numFmtId="0" fontId="190" fillId="0" borderId="0"/>
    <xf numFmtId="0" fontId="189" fillId="0" borderId="0"/>
    <xf numFmtId="43" fontId="189" fillId="0" borderId="0" applyFont="0" applyFill="0" applyBorder="0" applyAlignment="0" applyProtection="0"/>
    <xf numFmtId="0" fontId="188" fillId="0" borderId="0"/>
    <xf numFmtId="0" fontId="188" fillId="0" borderId="0"/>
    <xf numFmtId="164" fontId="188" fillId="0" borderId="0" applyFont="0" applyFill="0" applyBorder="0" applyAlignment="0" applyProtection="0"/>
    <xf numFmtId="43" fontId="188" fillId="0" borderId="0" applyFont="0" applyFill="0" applyBorder="0" applyAlignment="0" applyProtection="0"/>
    <xf numFmtId="0" fontId="188" fillId="0" borderId="0"/>
    <xf numFmtId="0" fontId="279" fillId="0" borderId="0"/>
    <xf numFmtId="0" fontId="188" fillId="0" borderId="0"/>
    <xf numFmtId="0" fontId="187" fillId="0" borderId="0"/>
    <xf numFmtId="0" fontId="187" fillId="0" borderId="0"/>
    <xf numFmtId="43" fontId="187" fillId="0" borderId="0" applyFont="0" applyFill="0" applyBorder="0" applyAlignment="0" applyProtection="0"/>
    <xf numFmtId="0" fontId="186" fillId="0" borderId="0"/>
    <xf numFmtId="43" fontId="186" fillId="0" borderId="0" applyFont="0" applyFill="0" applyBorder="0" applyAlignment="0" applyProtection="0"/>
    <xf numFmtId="0" fontId="185" fillId="0" borderId="0"/>
    <xf numFmtId="0" fontId="185" fillId="0" borderId="0"/>
    <xf numFmtId="43" fontId="185" fillId="0" borderId="0" applyFont="0" applyFill="0" applyBorder="0" applyAlignment="0" applyProtection="0"/>
    <xf numFmtId="0" fontId="184" fillId="0" borderId="0"/>
    <xf numFmtId="164" fontId="184" fillId="0" borderId="0" applyFont="0" applyFill="0" applyBorder="0" applyAlignment="0" applyProtection="0"/>
    <xf numFmtId="43" fontId="184" fillId="0" borderId="0" applyFont="0" applyFill="0" applyBorder="0" applyAlignment="0" applyProtection="0"/>
    <xf numFmtId="0" fontId="184" fillId="0" borderId="0"/>
    <xf numFmtId="0" fontId="184" fillId="0" borderId="0"/>
    <xf numFmtId="0" fontId="183" fillId="0" borderId="0"/>
    <xf numFmtId="0" fontId="237" fillId="2" borderId="6">
      <alignment horizontal="center" vertical="center"/>
    </xf>
    <xf numFmtId="0" fontId="182" fillId="0" borderId="0"/>
    <xf numFmtId="0" fontId="181" fillId="0" borderId="0"/>
    <xf numFmtId="0" fontId="181" fillId="0" borderId="0"/>
    <xf numFmtId="43" fontId="181" fillId="0" borderId="0" applyFont="0" applyFill="0" applyBorder="0" applyAlignment="0" applyProtection="0"/>
    <xf numFmtId="0" fontId="180" fillId="0" borderId="0"/>
    <xf numFmtId="0" fontId="179" fillId="0" borderId="0"/>
    <xf numFmtId="0" fontId="178" fillId="0" borderId="0"/>
    <xf numFmtId="164" fontId="178" fillId="0" borderId="0" applyFont="0" applyFill="0" applyBorder="0" applyAlignment="0" applyProtection="0"/>
    <xf numFmtId="43" fontId="178" fillId="0" borderId="0" applyFont="0" applyFill="0" applyBorder="0" applyAlignment="0" applyProtection="0"/>
    <xf numFmtId="0" fontId="178" fillId="0" borderId="0"/>
    <xf numFmtId="0" fontId="178" fillId="0" borderId="0"/>
    <xf numFmtId="0" fontId="177" fillId="0" borderId="0"/>
    <xf numFmtId="0" fontId="176" fillId="0" borderId="0"/>
    <xf numFmtId="0" fontId="176" fillId="0" borderId="0"/>
    <xf numFmtId="43" fontId="176" fillId="0" borderId="0" applyFont="0" applyFill="0" applyBorder="0" applyAlignment="0" applyProtection="0"/>
    <xf numFmtId="0" fontId="175" fillId="0" borderId="0"/>
    <xf numFmtId="164" fontId="175" fillId="0" borderId="0" applyFont="0" applyFill="0" applyBorder="0" applyAlignment="0" applyProtection="0"/>
    <xf numFmtId="0" fontId="174" fillId="0" borderId="0"/>
    <xf numFmtId="0" fontId="174" fillId="0" borderId="0"/>
    <xf numFmtId="43" fontId="174" fillId="0" borderId="0" applyFont="0" applyFill="0" applyBorder="0" applyAlignment="0" applyProtection="0"/>
    <xf numFmtId="0" fontId="173" fillId="0" borderId="0"/>
    <xf numFmtId="164" fontId="173" fillId="0" borderId="0" applyFont="0" applyFill="0" applyBorder="0" applyAlignment="0" applyProtection="0"/>
    <xf numFmtId="43" fontId="173" fillId="0" borderId="0" applyFont="0" applyFill="0" applyBorder="0" applyAlignment="0" applyProtection="0"/>
    <xf numFmtId="0" fontId="173" fillId="0" borderId="0"/>
    <xf numFmtId="0" fontId="173" fillId="0" borderId="0"/>
    <xf numFmtId="0" fontId="172" fillId="0" borderId="0"/>
    <xf numFmtId="0" fontId="171" fillId="0" borderId="0"/>
    <xf numFmtId="0" fontId="171" fillId="0" borderId="0"/>
    <xf numFmtId="43" fontId="171" fillId="0" borderId="0" applyFont="0" applyFill="0" applyBorder="0" applyAlignment="0" applyProtection="0"/>
    <xf numFmtId="0" fontId="170" fillId="0" borderId="0"/>
    <xf numFmtId="164" fontId="170" fillId="0" borderId="0" applyFont="0" applyFill="0" applyBorder="0" applyAlignment="0" applyProtection="0"/>
    <xf numFmtId="0" fontId="169" fillId="0" borderId="0"/>
    <xf numFmtId="0" fontId="169" fillId="0" borderId="0"/>
    <xf numFmtId="43" fontId="169" fillId="0" borderId="0" applyFont="0" applyFill="0" applyBorder="0" applyAlignment="0" applyProtection="0"/>
    <xf numFmtId="0" fontId="168" fillId="0" borderId="0"/>
    <xf numFmtId="164" fontId="168" fillId="0" borderId="0" applyFont="0" applyFill="0" applyBorder="0" applyAlignment="0" applyProtection="0"/>
    <xf numFmtId="43" fontId="168" fillId="0" borderId="0" applyFont="0" applyFill="0" applyBorder="0" applyAlignment="0" applyProtection="0"/>
    <xf numFmtId="0" fontId="168" fillId="0" borderId="0"/>
    <xf numFmtId="0" fontId="168" fillId="0" borderId="0"/>
    <xf numFmtId="0" fontId="167" fillId="0" borderId="0"/>
    <xf numFmtId="164" fontId="167" fillId="0" borderId="0" applyFont="0" applyFill="0" applyBorder="0" applyAlignment="0" applyProtection="0"/>
    <xf numFmtId="0" fontId="166" fillId="0" borderId="0"/>
    <xf numFmtId="0" fontId="166" fillId="0" borderId="0"/>
    <xf numFmtId="43" fontId="166" fillId="0" borderId="0" applyFont="0" applyFill="0" applyBorder="0" applyAlignment="0" applyProtection="0"/>
    <xf numFmtId="0" fontId="165" fillId="0" borderId="0"/>
    <xf numFmtId="0" fontId="164" fillId="0" borderId="0"/>
    <xf numFmtId="164" fontId="164" fillId="0" borderId="0" applyFont="0" applyFill="0" applyBorder="0" applyAlignment="0" applyProtection="0"/>
    <xf numFmtId="43" fontId="164" fillId="0" borderId="0" applyFont="0" applyFill="0" applyBorder="0" applyAlignment="0" applyProtection="0"/>
    <xf numFmtId="0" fontId="164" fillId="0" borderId="0"/>
    <xf numFmtId="0" fontId="164" fillId="0" borderId="0"/>
    <xf numFmtId="0" fontId="163" fillId="0" borderId="0"/>
    <xf numFmtId="164" fontId="163" fillId="0" borderId="0" applyFont="0" applyFill="0" applyBorder="0" applyAlignment="0" applyProtection="0"/>
    <xf numFmtId="0" fontId="162" fillId="0" borderId="0"/>
    <xf numFmtId="0" fontId="162" fillId="0" borderId="0"/>
    <xf numFmtId="43" fontId="162" fillId="0" borderId="0" applyFont="0" applyFill="0" applyBorder="0" applyAlignment="0" applyProtection="0"/>
    <xf numFmtId="0" fontId="161" fillId="0" borderId="0"/>
    <xf numFmtId="0" fontId="161" fillId="0" borderId="0"/>
    <xf numFmtId="43" fontId="161" fillId="0" borderId="0" applyFont="0" applyFill="0" applyBorder="0" applyAlignment="0" applyProtection="0"/>
    <xf numFmtId="0" fontId="160" fillId="0" borderId="0"/>
    <xf numFmtId="164" fontId="160" fillId="0" borderId="0" applyFont="0" applyFill="0" applyBorder="0" applyAlignment="0" applyProtection="0"/>
    <xf numFmtId="43" fontId="160" fillId="0" borderId="0" applyFont="0" applyFill="0" applyBorder="0" applyAlignment="0" applyProtection="0"/>
    <xf numFmtId="0" fontId="160" fillId="0" borderId="0"/>
    <xf numFmtId="0" fontId="160" fillId="0" borderId="0"/>
    <xf numFmtId="175" fontId="159" fillId="0" borderId="0" applyFont="0" applyFill="0" applyBorder="0" applyAlignment="0" applyProtection="0"/>
    <xf numFmtId="0" fontId="159" fillId="0" borderId="0"/>
    <xf numFmtId="0" fontId="158" fillId="0" borderId="0"/>
    <xf numFmtId="0" fontId="158" fillId="0" borderId="0"/>
    <xf numFmtId="43" fontId="158" fillId="0" borderId="0" applyFont="0" applyFill="0" applyBorder="0" applyAlignment="0" applyProtection="0"/>
    <xf numFmtId="0" fontId="157" fillId="0" borderId="0"/>
    <xf numFmtId="164" fontId="157" fillId="0" borderId="0" applyFont="0" applyFill="0" applyBorder="0" applyAlignment="0" applyProtection="0"/>
    <xf numFmtId="0" fontId="157" fillId="0" borderId="0"/>
    <xf numFmtId="164" fontId="157" fillId="0" borderId="0" applyFont="0" applyFill="0" applyBorder="0" applyAlignment="0" applyProtection="0"/>
    <xf numFmtId="43" fontId="157" fillId="0" borderId="0" applyFont="0" applyFill="0" applyBorder="0" applyAlignment="0" applyProtection="0"/>
    <xf numFmtId="0" fontId="157" fillId="0" borderId="0"/>
    <xf numFmtId="0" fontId="157" fillId="0" borderId="0"/>
    <xf numFmtId="0" fontId="156" fillId="0" borderId="0"/>
    <xf numFmtId="175" fontId="156" fillId="0" borderId="0" applyFont="0" applyFill="0" applyBorder="0" applyAlignment="0" applyProtection="0"/>
    <xf numFmtId="0" fontId="155" fillId="0" borderId="0"/>
    <xf numFmtId="0" fontId="155" fillId="0" borderId="0"/>
    <xf numFmtId="43" fontId="155" fillId="0" borderId="0" applyFont="0" applyFill="0" applyBorder="0" applyAlignment="0" applyProtection="0"/>
    <xf numFmtId="0" fontId="154" fillId="0" borderId="0"/>
    <xf numFmtId="164" fontId="154" fillId="0" borderId="0" applyFont="0" applyFill="0" applyBorder="0" applyAlignment="0" applyProtection="0"/>
    <xf numFmtId="43" fontId="154" fillId="0" borderId="0" applyFont="0" applyFill="0" applyBorder="0" applyAlignment="0" applyProtection="0"/>
    <xf numFmtId="0" fontId="154" fillId="0" borderId="0"/>
    <xf numFmtId="0" fontId="154" fillId="0" borderId="0"/>
    <xf numFmtId="175" fontId="154" fillId="0" borderId="0" applyFont="0" applyFill="0" applyBorder="0" applyAlignment="0" applyProtection="0"/>
    <xf numFmtId="0" fontId="153" fillId="0" borderId="0"/>
    <xf numFmtId="164" fontId="153" fillId="0" borderId="0" applyFont="0" applyFill="0" applyBorder="0" applyAlignment="0" applyProtection="0"/>
    <xf numFmtId="0" fontId="152" fillId="0" borderId="0"/>
    <xf numFmtId="0" fontId="152" fillId="0" borderId="0"/>
    <xf numFmtId="43" fontId="152" fillId="0" borderId="0" applyFont="0" applyFill="0" applyBorder="0" applyAlignment="0" applyProtection="0"/>
    <xf numFmtId="0" fontId="151" fillId="0" borderId="0"/>
    <xf numFmtId="0" fontId="151" fillId="0" borderId="0"/>
    <xf numFmtId="43" fontId="151" fillId="0" borderId="0" applyFont="0" applyFill="0" applyBorder="0" applyAlignment="0" applyProtection="0"/>
    <xf numFmtId="0" fontId="150" fillId="0" borderId="0"/>
    <xf numFmtId="175" fontId="150" fillId="0" borderId="0" applyFont="0" applyFill="0" applyBorder="0" applyAlignment="0" applyProtection="0"/>
    <xf numFmtId="0" fontId="149" fillId="0" borderId="0"/>
    <xf numFmtId="164" fontId="149" fillId="0" borderId="0" applyFont="0" applyFill="0" applyBorder="0" applyAlignment="0" applyProtection="0"/>
    <xf numFmtId="43" fontId="149" fillId="0" borderId="0" applyFont="0" applyFill="0" applyBorder="0" applyAlignment="0" applyProtection="0"/>
    <xf numFmtId="0" fontId="149" fillId="0" borderId="0"/>
    <xf numFmtId="0" fontId="149" fillId="0" borderId="0"/>
    <xf numFmtId="0" fontId="148" fillId="0" borderId="0"/>
    <xf numFmtId="0" fontId="148" fillId="0" borderId="0"/>
    <xf numFmtId="43" fontId="148" fillId="0" borderId="0" applyFont="0" applyFill="0" applyBorder="0" applyAlignment="0" applyProtection="0"/>
    <xf numFmtId="0" fontId="147" fillId="0" borderId="0"/>
    <xf numFmtId="164" fontId="147" fillId="0" borderId="0" applyFont="0" applyFill="0" applyBorder="0" applyAlignment="0" applyProtection="0"/>
    <xf numFmtId="0" fontId="146" fillId="0" borderId="0"/>
    <xf numFmtId="0" fontId="146" fillId="0" borderId="0"/>
    <xf numFmtId="43" fontId="146" fillId="0" borderId="0" applyFont="0" applyFill="0" applyBorder="0" applyAlignment="0" applyProtection="0"/>
    <xf numFmtId="0" fontId="145" fillId="0" borderId="0"/>
    <xf numFmtId="43" fontId="145" fillId="0" borderId="0" applyFont="0" applyFill="0" applyBorder="0" applyAlignment="0" applyProtection="0"/>
    <xf numFmtId="0" fontId="271" fillId="18" borderId="7">
      <alignment horizontal="center" vertical="center"/>
    </xf>
    <xf numFmtId="0" fontId="144" fillId="0" borderId="0"/>
    <xf numFmtId="164" fontId="144" fillId="0" borderId="0" applyFont="0" applyFill="0" applyBorder="0" applyAlignment="0" applyProtection="0"/>
    <xf numFmtId="43" fontId="144" fillId="0" borderId="0" applyFont="0" applyFill="0" applyBorder="0" applyAlignment="0" applyProtection="0"/>
    <xf numFmtId="0" fontId="144" fillId="0" borderId="0"/>
    <xf numFmtId="0" fontId="144" fillId="0" borderId="0"/>
    <xf numFmtId="175" fontId="144" fillId="0" borderId="0" applyFont="0" applyFill="0" applyBorder="0" applyAlignment="0" applyProtection="0"/>
    <xf numFmtId="0" fontId="143" fillId="0" borderId="0"/>
    <xf numFmtId="0" fontId="143" fillId="0" borderId="0"/>
    <xf numFmtId="0" fontId="143" fillId="0" borderId="0"/>
    <xf numFmtId="43" fontId="143" fillId="0" borderId="0" applyFont="0" applyFill="0" applyBorder="0" applyAlignment="0" applyProtection="0"/>
    <xf numFmtId="0" fontId="142" fillId="0" borderId="0"/>
    <xf numFmtId="164" fontId="142" fillId="0" borderId="0" applyFont="0" applyFill="0" applyBorder="0" applyAlignment="0" applyProtection="0"/>
    <xf numFmtId="43" fontId="142" fillId="0" borderId="0" applyFont="0" applyFill="0" applyBorder="0" applyAlignment="0" applyProtection="0"/>
    <xf numFmtId="0" fontId="142" fillId="0" borderId="0"/>
    <xf numFmtId="0" fontId="142" fillId="0" borderId="0"/>
    <xf numFmtId="0" fontId="141" fillId="0" borderId="0"/>
    <xf numFmtId="164" fontId="141" fillId="0" borderId="0" applyFont="0" applyFill="0" applyBorder="0" applyAlignment="0" applyProtection="0"/>
    <xf numFmtId="0" fontId="140" fillId="0" borderId="0"/>
    <xf numFmtId="175" fontId="140" fillId="0" borderId="0" applyFont="0" applyFill="0" applyBorder="0" applyAlignment="0" applyProtection="0"/>
    <xf numFmtId="0" fontId="139" fillId="0" borderId="0"/>
    <xf numFmtId="0" fontId="139" fillId="0" borderId="0"/>
    <xf numFmtId="0" fontId="139" fillId="0" borderId="0"/>
    <xf numFmtId="43" fontId="139" fillId="0" borderId="0" applyFont="0" applyFill="0" applyBorder="0" applyAlignment="0" applyProtection="0"/>
    <xf numFmtId="0" fontId="138" fillId="0" borderId="0"/>
    <xf numFmtId="175" fontId="138" fillId="0" borderId="0" applyFont="0" applyFill="0" applyBorder="0" applyAlignment="0" applyProtection="0"/>
    <xf numFmtId="0" fontId="137" fillId="0" borderId="0"/>
    <xf numFmtId="164" fontId="137" fillId="0" borderId="0" applyFont="0" applyFill="0" applyBorder="0" applyAlignment="0" applyProtection="0"/>
    <xf numFmtId="43" fontId="137" fillId="0" borderId="0" applyFont="0" applyFill="0" applyBorder="0" applyAlignment="0" applyProtection="0"/>
    <xf numFmtId="0" fontId="137" fillId="0" borderId="0"/>
    <xf numFmtId="0" fontId="137" fillId="0" borderId="0"/>
    <xf numFmtId="0" fontId="136" fillId="0" borderId="0"/>
    <xf numFmtId="0" fontId="136" fillId="0" borderId="0"/>
    <xf numFmtId="43" fontId="136" fillId="0" borderId="0" applyFont="0" applyFill="0" applyBorder="0" applyAlignment="0" applyProtection="0"/>
    <xf numFmtId="0" fontId="135" fillId="0" borderId="0"/>
    <xf numFmtId="0" fontId="135" fillId="0" borderId="0"/>
    <xf numFmtId="0" fontId="135" fillId="0" borderId="0"/>
    <xf numFmtId="43" fontId="135" fillId="0" borderId="0" applyFont="0" applyFill="0" applyBorder="0" applyAlignment="0" applyProtection="0"/>
    <xf numFmtId="0" fontId="134" fillId="0" borderId="0"/>
    <xf numFmtId="0" fontId="134" fillId="0" borderId="0"/>
    <xf numFmtId="43" fontId="134" fillId="0" borderId="0" applyFont="0" applyFill="0" applyBorder="0" applyAlignment="0" applyProtection="0"/>
    <xf numFmtId="0" fontId="133" fillId="0" borderId="0"/>
    <xf numFmtId="175" fontId="133" fillId="0" borderId="0" applyFont="0" applyFill="0" applyBorder="0" applyAlignment="0" applyProtection="0"/>
    <xf numFmtId="0" fontId="132" fillId="0" borderId="0"/>
    <xf numFmtId="164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0" fontId="132" fillId="0" borderId="0"/>
    <xf numFmtId="0" fontId="132" fillId="0" borderId="0"/>
    <xf numFmtId="0" fontId="131" fillId="0" borderId="0"/>
    <xf numFmtId="164" fontId="131" fillId="0" borderId="0" applyFont="0" applyFill="0" applyBorder="0" applyAlignment="0" applyProtection="0"/>
    <xf numFmtId="0" fontId="130" fillId="0" borderId="0"/>
    <xf numFmtId="0" fontId="130" fillId="0" borderId="0"/>
    <xf numFmtId="43" fontId="130" fillId="0" borderId="0" applyFont="0" applyFill="0" applyBorder="0" applyAlignment="0" applyProtection="0"/>
    <xf numFmtId="0" fontId="130" fillId="0" borderId="0"/>
    <xf numFmtId="0" fontId="129" fillId="0" borderId="0"/>
    <xf numFmtId="164" fontId="129" fillId="0" borderId="0" applyFont="0" applyFill="0" applyBorder="0" applyAlignment="0" applyProtection="0"/>
    <xf numFmtId="43" fontId="129" fillId="0" borderId="0" applyFont="0" applyFill="0" applyBorder="0" applyAlignment="0" applyProtection="0"/>
    <xf numFmtId="0" fontId="129" fillId="0" borderId="0"/>
    <xf numFmtId="0" fontId="129" fillId="0" borderId="0"/>
    <xf numFmtId="175" fontId="129" fillId="0" borderId="0" applyFont="0" applyFill="0" applyBorder="0" applyAlignment="0" applyProtection="0"/>
    <xf numFmtId="0" fontId="128" fillId="0" borderId="0"/>
    <xf numFmtId="164" fontId="128" fillId="0" borderId="0" applyFont="0" applyFill="0" applyBorder="0" applyAlignment="0" applyProtection="0"/>
    <xf numFmtId="0" fontId="127" fillId="0" borderId="0"/>
    <xf numFmtId="0" fontId="127" fillId="0" borderId="0"/>
    <xf numFmtId="0" fontId="127" fillId="0" borderId="0"/>
    <xf numFmtId="43" fontId="127" fillId="0" borderId="0" applyFont="0" applyFill="0" applyBorder="0" applyAlignment="0" applyProtection="0"/>
    <xf numFmtId="0" fontId="126" fillId="0" borderId="0"/>
    <xf numFmtId="175" fontId="126" fillId="0" borderId="0" applyFont="0" applyFill="0" applyBorder="0" applyAlignment="0" applyProtection="0"/>
    <xf numFmtId="0" fontId="125" fillId="0" borderId="0"/>
    <xf numFmtId="164" fontId="125" fillId="0" borderId="0" applyFont="0" applyFill="0" applyBorder="0" applyAlignment="0" applyProtection="0"/>
    <xf numFmtId="0" fontId="124" fillId="0" borderId="0"/>
    <xf numFmtId="164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0" fontId="124" fillId="0" borderId="0"/>
    <xf numFmtId="0" fontId="124" fillId="0" borderId="0"/>
    <xf numFmtId="0" fontId="123" fillId="0" borderId="0"/>
    <xf numFmtId="0" fontId="123" fillId="0" borderId="0"/>
    <xf numFmtId="43" fontId="123" fillId="0" borderId="0" applyFont="0" applyFill="0" applyBorder="0" applyAlignment="0" applyProtection="0"/>
    <xf numFmtId="0" fontId="123" fillId="0" borderId="0"/>
    <xf numFmtId="0" fontId="122" fillId="0" borderId="0"/>
    <xf numFmtId="175" fontId="122" fillId="0" borderId="0" applyFont="0" applyFill="0" applyBorder="0" applyAlignment="0" applyProtection="0"/>
    <xf numFmtId="164" fontId="122" fillId="0" borderId="0" applyFont="0" applyFill="0" applyBorder="0" applyAlignment="0" applyProtection="0"/>
    <xf numFmtId="0" fontId="121" fillId="0" borderId="0"/>
    <xf numFmtId="164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121" fillId="0" borderId="0"/>
    <xf numFmtId="0" fontId="121" fillId="0" borderId="0"/>
    <xf numFmtId="0" fontId="120" fillId="0" borderId="0"/>
    <xf numFmtId="0" fontId="120" fillId="0" borderId="0"/>
    <xf numFmtId="43" fontId="120" fillId="0" borderId="0" applyFont="0" applyFill="0" applyBorder="0" applyAlignment="0" applyProtection="0"/>
    <xf numFmtId="0" fontId="120" fillId="0" borderId="0"/>
    <xf numFmtId="0" fontId="119" fillId="0" borderId="0"/>
    <xf numFmtId="164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0" fontId="119" fillId="0" borderId="0"/>
    <xf numFmtId="0" fontId="119" fillId="0" borderId="0"/>
    <xf numFmtId="0" fontId="118" fillId="0" borderId="0"/>
    <xf numFmtId="164" fontId="118" fillId="0" borderId="0" applyFont="0" applyFill="0" applyBorder="0" applyAlignment="0" applyProtection="0"/>
    <xf numFmtId="0" fontId="117" fillId="0" borderId="0"/>
    <xf numFmtId="0" fontId="117" fillId="0" borderId="0"/>
    <xf numFmtId="43" fontId="117" fillId="0" borderId="0" applyFont="0" applyFill="0" applyBorder="0" applyAlignment="0" applyProtection="0"/>
    <xf numFmtId="0" fontId="117" fillId="0" borderId="0"/>
    <xf numFmtId="175" fontId="117" fillId="0" borderId="0" applyFont="0" applyFill="0" applyBorder="0" applyAlignment="0" applyProtection="0"/>
    <xf numFmtId="0" fontId="116" fillId="0" borderId="0"/>
    <xf numFmtId="0" fontId="116" fillId="0" borderId="0"/>
    <xf numFmtId="43" fontId="116" fillId="0" borderId="0" applyFont="0" applyFill="0" applyBorder="0" applyAlignment="0" applyProtection="0"/>
    <xf numFmtId="0" fontId="115" fillId="0" borderId="0"/>
    <xf numFmtId="164" fontId="115" fillId="0" borderId="0" applyFont="0" applyFill="0" applyBorder="0" applyAlignment="0" applyProtection="0"/>
    <xf numFmtId="175" fontId="115" fillId="0" borderId="0" applyFont="0" applyFill="0" applyBorder="0" applyAlignment="0" applyProtection="0"/>
    <xf numFmtId="0" fontId="114" fillId="0" borderId="0"/>
    <xf numFmtId="164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0" fontId="114" fillId="0" borderId="0"/>
    <xf numFmtId="0" fontId="114" fillId="0" borderId="0"/>
    <xf numFmtId="0" fontId="113" fillId="0" borderId="0"/>
    <xf numFmtId="0" fontId="113" fillId="0" borderId="0"/>
    <xf numFmtId="43" fontId="113" fillId="0" borderId="0" applyFont="0" applyFill="0" applyBorder="0" applyAlignment="0" applyProtection="0"/>
    <xf numFmtId="0" fontId="113" fillId="0" borderId="0"/>
    <xf numFmtId="0" fontId="112" fillId="0" borderId="0"/>
    <xf numFmtId="164" fontId="112" fillId="0" borderId="0" applyFont="0" applyFill="0" applyBorder="0" applyAlignment="0" applyProtection="0"/>
    <xf numFmtId="43" fontId="112" fillId="0" borderId="0" applyFont="0" applyFill="0" applyBorder="0" applyAlignment="0" applyProtection="0"/>
    <xf numFmtId="0" fontId="112" fillId="0" borderId="0"/>
    <xf numFmtId="0" fontId="112" fillId="0" borderId="0"/>
    <xf numFmtId="175" fontId="112" fillId="0" borderId="0" applyFont="0" applyFill="0" applyBorder="0" applyAlignment="0" applyProtection="0"/>
    <xf numFmtId="0" fontId="111" fillId="0" borderId="0"/>
    <xf numFmtId="164" fontId="111" fillId="0" borderId="0" applyFont="0" applyFill="0" applyBorder="0" applyAlignment="0" applyProtection="0"/>
    <xf numFmtId="0" fontId="110" fillId="0" borderId="0"/>
    <xf numFmtId="0" fontId="110" fillId="0" borderId="0"/>
    <xf numFmtId="43" fontId="110" fillId="0" borderId="0" applyFont="0" applyFill="0" applyBorder="0" applyAlignment="0" applyProtection="0"/>
    <xf numFmtId="0" fontId="110" fillId="0" borderId="0"/>
    <xf numFmtId="0" fontId="109" fillId="0" borderId="0"/>
    <xf numFmtId="164" fontId="109" fillId="0" borderId="0" applyFont="0" applyFill="0" applyBorder="0" applyAlignment="0" applyProtection="0"/>
    <xf numFmtId="0" fontId="109" fillId="0" borderId="0"/>
    <xf numFmtId="164" fontId="109" fillId="0" borderId="0" applyFont="0" applyFill="0" applyBorder="0" applyAlignment="0" applyProtection="0"/>
    <xf numFmtId="43" fontId="109" fillId="0" borderId="0" applyFont="0" applyFill="0" applyBorder="0" applyAlignment="0" applyProtection="0"/>
    <xf numFmtId="0" fontId="109" fillId="0" borderId="0"/>
    <xf numFmtId="0" fontId="109" fillId="0" borderId="0"/>
    <xf numFmtId="175" fontId="109" fillId="0" borderId="0" applyFont="0" applyFill="0" applyBorder="0" applyAlignment="0" applyProtection="0"/>
    <xf numFmtId="0" fontId="109" fillId="0" borderId="0"/>
    <xf numFmtId="0" fontId="108" fillId="0" borderId="0"/>
    <xf numFmtId="164" fontId="108" fillId="0" borderId="0" applyFont="0" applyFill="0" applyBorder="0" applyAlignment="0" applyProtection="0"/>
    <xf numFmtId="43" fontId="108" fillId="0" borderId="0" applyFont="0" applyFill="0" applyBorder="0" applyAlignment="0" applyProtection="0"/>
    <xf numFmtId="0" fontId="108" fillId="0" borderId="0"/>
    <xf numFmtId="0" fontId="108" fillId="0" borderId="0"/>
    <xf numFmtId="175" fontId="108" fillId="0" borderId="0" applyFont="0" applyFill="0" applyBorder="0" applyAlignment="0" applyProtection="0"/>
    <xf numFmtId="0" fontId="107" fillId="0" borderId="0"/>
    <xf numFmtId="175" fontId="107" fillId="0" borderId="0" applyFont="0" applyFill="0" applyBorder="0" applyAlignment="0" applyProtection="0"/>
    <xf numFmtId="164" fontId="107" fillId="0" borderId="0" applyFont="0" applyFill="0" applyBorder="0" applyAlignment="0" applyProtection="0"/>
    <xf numFmtId="0" fontId="106" fillId="0" borderId="0"/>
    <xf numFmtId="0" fontId="106" fillId="0" borderId="0"/>
    <xf numFmtId="43" fontId="106" fillId="0" borderId="0" applyFont="0" applyFill="0" applyBorder="0" applyAlignment="0" applyProtection="0"/>
    <xf numFmtId="0" fontId="105" fillId="0" borderId="0"/>
    <xf numFmtId="0" fontId="105" fillId="0" borderId="0"/>
    <xf numFmtId="43" fontId="105" fillId="0" borderId="0" applyFont="0" applyFill="0" applyBorder="0" applyAlignment="0" applyProtection="0"/>
    <xf numFmtId="0" fontId="105" fillId="0" borderId="0"/>
    <xf numFmtId="0" fontId="104" fillId="0" borderId="0"/>
    <xf numFmtId="43" fontId="104" fillId="0" borderId="0" applyFont="0" applyFill="0" applyBorder="0" applyAlignment="0" applyProtection="0"/>
    <xf numFmtId="0" fontId="271" fillId="18" borderId="12">
      <alignment horizontal="center" vertical="center"/>
    </xf>
    <xf numFmtId="0" fontId="103" fillId="0" borderId="0"/>
    <xf numFmtId="164" fontId="103" fillId="0" borderId="0" applyFont="0" applyFill="0" applyBorder="0" applyAlignment="0" applyProtection="0"/>
    <xf numFmtId="43" fontId="103" fillId="0" borderId="0" applyFont="0" applyFill="0" applyBorder="0" applyAlignment="0" applyProtection="0"/>
    <xf numFmtId="0" fontId="103" fillId="0" borderId="0"/>
    <xf numFmtId="0" fontId="103" fillId="0" borderId="0"/>
    <xf numFmtId="0" fontId="102" fillId="0" borderId="0"/>
    <xf numFmtId="175" fontId="102" fillId="0" borderId="0" applyFont="0" applyFill="0" applyBorder="0" applyAlignment="0" applyProtection="0"/>
    <xf numFmtId="0" fontId="101" fillId="0" borderId="0"/>
    <xf numFmtId="0" fontId="101" fillId="0" borderId="0"/>
    <xf numFmtId="43" fontId="101" fillId="0" borderId="0" applyFont="0" applyFill="0" applyBorder="0" applyAlignment="0" applyProtection="0"/>
    <xf numFmtId="164" fontId="101" fillId="0" borderId="0" applyFont="0" applyFill="0" applyBorder="0" applyAlignment="0" applyProtection="0"/>
    <xf numFmtId="0" fontId="100" fillId="0" borderId="0"/>
    <xf numFmtId="0" fontId="100" fillId="0" borderId="0"/>
    <xf numFmtId="43" fontId="100" fillId="0" borderId="0" applyFont="0" applyFill="0" applyBorder="0" applyAlignment="0" applyProtection="0"/>
    <xf numFmtId="0" fontId="100" fillId="0" borderId="0"/>
    <xf numFmtId="0" fontId="99" fillId="0" borderId="0"/>
    <xf numFmtId="164" fontId="99" fillId="0" borderId="0" applyFont="0" applyFill="0" applyBorder="0" applyAlignment="0" applyProtection="0"/>
    <xf numFmtId="43" fontId="99" fillId="0" borderId="0" applyFont="0" applyFill="0" applyBorder="0" applyAlignment="0" applyProtection="0"/>
    <xf numFmtId="0" fontId="99" fillId="0" borderId="0"/>
    <xf numFmtId="0" fontId="99" fillId="0" borderId="0"/>
    <xf numFmtId="0" fontId="98" fillId="0" borderId="0"/>
    <xf numFmtId="0" fontId="98" fillId="0" borderId="0"/>
    <xf numFmtId="43" fontId="98" fillId="0" borderId="0" applyFont="0" applyFill="0" applyBorder="0" applyAlignment="0" applyProtection="0"/>
    <xf numFmtId="0" fontId="97" fillId="0" borderId="0"/>
    <xf numFmtId="175" fontId="97" fillId="0" borderId="0" applyFont="0" applyFill="0" applyBorder="0" applyAlignment="0" applyProtection="0"/>
    <xf numFmtId="164" fontId="97" fillId="0" borderId="0" applyFont="0" applyFill="0" applyBorder="0" applyAlignment="0" applyProtection="0"/>
    <xf numFmtId="0" fontId="96" fillId="0" borderId="0"/>
    <xf numFmtId="0" fontId="96" fillId="0" borderId="0"/>
    <xf numFmtId="43" fontId="96" fillId="0" borderId="0" applyFont="0" applyFill="0" applyBorder="0" applyAlignment="0" applyProtection="0"/>
    <xf numFmtId="0" fontId="96" fillId="0" borderId="0"/>
    <xf numFmtId="0" fontId="95" fillId="0" borderId="0"/>
    <xf numFmtId="175" fontId="95" fillId="0" borderId="0" applyFont="0" applyFill="0" applyBorder="0" applyAlignment="0" applyProtection="0"/>
    <xf numFmtId="0" fontId="228" fillId="0" borderId="0"/>
    <xf numFmtId="0" fontId="94" fillId="0" borderId="0"/>
    <xf numFmtId="164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0" fontId="94" fillId="0" borderId="0"/>
    <xf numFmtId="0" fontId="94" fillId="0" borderId="0"/>
    <xf numFmtId="0" fontId="93" fillId="0" borderId="0"/>
    <xf numFmtId="164" fontId="93" fillId="0" borderId="0" applyFont="0" applyFill="0" applyBorder="0" applyAlignment="0" applyProtection="0"/>
    <xf numFmtId="0" fontId="92" fillId="0" borderId="0"/>
    <xf numFmtId="0" fontId="92" fillId="0" borderId="0"/>
    <xf numFmtId="43" fontId="92" fillId="0" borderId="0" applyFont="0" applyFill="0" applyBorder="0" applyAlignment="0" applyProtection="0"/>
    <xf numFmtId="0" fontId="92" fillId="0" borderId="0"/>
    <xf numFmtId="0" fontId="91" fillId="0" borderId="0"/>
    <xf numFmtId="164" fontId="91" fillId="0" borderId="0" applyFont="0" applyFill="0" applyBorder="0" applyAlignment="0" applyProtection="0"/>
    <xf numFmtId="43" fontId="91" fillId="0" borderId="0" applyFont="0" applyFill="0" applyBorder="0" applyAlignment="0" applyProtection="0"/>
    <xf numFmtId="0" fontId="91" fillId="0" borderId="0"/>
    <xf numFmtId="0" fontId="91" fillId="0" borderId="0"/>
    <xf numFmtId="0" fontId="90" fillId="0" borderId="0"/>
    <xf numFmtId="175" fontId="90" fillId="0" borderId="0" applyFont="0" applyFill="0" applyBorder="0" applyAlignment="0" applyProtection="0"/>
    <xf numFmtId="0" fontId="89" fillId="0" borderId="0"/>
    <xf numFmtId="0" fontId="89" fillId="0" borderId="0"/>
    <xf numFmtId="43" fontId="89" fillId="0" borderId="0" applyFont="0" applyFill="0" applyBorder="0" applyAlignment="0" applyProtection="0"/>
    <xf numFmtId="0" fontId="89" fillId="0" borderId="0"/>
    <xf numFmtId="0" fontId="88" fillId="0" borderId="0"/>
    <xf numFmtId="164" fontId="88" fillId="0" borderId="0" applyFont="0" applyFill="0" applyBorder="0" applyAlignment="0" applyProtection="0"/>
    <xf numFmtId="43" fontId="88" fillId="0" borderId="0" applyFont="0" applyFill="0" applyBorder="0" applyAlignment="0" applyProtection="0"/>
    <xf numFmtId="0" fontId="88" fillId="0" borderId="0"/>
    <xf numFmtId="0" fontId="88" fillId="0" borderId="0"/>
    <xf numFmtId="175" fontId="88" fillId="0" borderId="0" applyFont="0" applyFill="0" applyBorder="0" applyAlignment="0" applyProtection="0"/>
    <xf numFmtId="0" fontId="87" fillId="0" borderId="0"/>
    <xf numFmtId="164" fontId="87" fillId="0" borderId="0" applyFont="0" applyFill="0" applyBorder="0" applyAlignment="0" applyProtection="0"/>
    <xf numFmtId="0" fontId="86" fillId="0" borderId="0"/>
    <xf numFmtId="0" fontId="86" fillId="0" borderId="0"/>
    <xf numFmtId="43" fontId="86" fillId="0" borderId="0" applyFont="0" applyFill="0" applyBorder="0" applyAlignment="0" applyProtection="0"/>
    <xf numFmtId="0" fontId="86" fillId="0" borderId="0"/>
    <xf numFmtId="0" fontId="85" fillId="0" borderId="0"/>
    <xf numFmtId="164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0" fontId="85" fillId="0" borderId="0"/>
    <xf numFmtId="0" fontId="85" fillId="0" borderId="0"/>
    <xf numFmtId="0" fontId="84" fillId="0" borderId="0"/>
    <xf numFmtId="175" fontId="84" fillId="0" borderId="0" applyFont="0" applyFill="0" applyBorder="0" applyAlignment="0" applyProtection="0"/>
    <xf numFmtId="0" fontId="83" fillId="0" borderId="0"/>
    <xf numFmtId="0" fontId="83" fillId="0" borderId="0"/>
    <xf numFmtId="43" fontId="83" fillId="0" borderId="0" applyFont="0" applyFill="0" applyBorder="0" applyAlignment="0" applyProtection="0"/>
    <xf numFmtId="0" fontId="83" fillId="0" borderId="0"/>
    <xf numFmtId="0" fontId="82" fillId="0" borderId="0"/>
    <xf numFmtId="164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0" fontId="82" fillId="0" borderId="0"/>
    <xf numFmtId="0" fontId="82" fillId="0" borderId="0"/>
    <xf numFmtId="175" fontId="82" fillId="0" borderId="0" applyFont="0" applyFill="0" applyBorder="0" applyAlignment="0" applyProtection="0"/>
    <xf numFmtId="0" fontId="81" fillId="0" borderId="0"/>
    <xf numFmtId="0" fontId="81" fillId="0" borderId="0"/>
    <xf numFmtId="43" fontId="81" fillId="0" borderId="0" applyFont="0" applyFill="0" applyBorder="0" applyAlignment="0" applyProtection="0"/>
    <xf numFmtId="164" fontId="81" fillId="0" borderId="0" applyFont="0" applyFill="0" applyBorder="0" applyAlignment="0" applyProtection="0"/>
    <xf numFmtId="43" fontId="81" fillId="0" borderId="0" applyFont="0" applyFill="0" applyBorder="0" applyAlignment="0" applyProtection="0"/>
    <xf numFmtId="0" fontId="81" fillId="0" borderId="0"/>
    <xf numFmtId="0" fontId="80" fillId="0" borderId="0"/>
    <xf numFmtId="0" fontId="80" fillId="0" borderId="0"/>
    <xf numFmtId="43" fontId="80" fillId="0" borderId="0" applyFont="0" applyFill="0" applyBorder="0" applyAlignment="0" applyProtection="0"/>
    <xf numFmtId="0" fontId="80" fillId="0" borderId="0"/>
    <xf numFmtId="0" fontId="79" fillId="0" borderId="0"/>
    <xf numFmtId="175" fontId="79" fillId="0" borderId="0" applyFont="0" applyFill="0" applyBorder="0" applyAlignment="0" applyProtection="0"/>
    <xf numFmtId="0" fontId="78" fillId="0" borderId="0"/>
    <xf numFmtId="164" fontId="78" fillId="0" borderId="0" applyFont="0" applyFill="0" applyBorder="0" applyAlignment="0" applyProtection="0"/>
    <xf numFmtId="43" fontId="78" fillId="0" borderId="0" applyFont="0" applyFill="0" applyBorder="0" applyAlignment="0" applyProtection="0"/>
    <xf numFmtId="0" fontId="78" fillId="0" borderId="0"/>
    <xf numFmtId="0" fontId="78" fillId="0" borderId="0"/>
    <xf numFmtId="0" fontId="77" fillId="0" borderId="0"/>
    <xf numFmtId="0" fontId="77" fillId="0" borderId="0"/>
    <xf numFmtId="43" fontId="77" fillId="0" borderId="0" applyFont="0" applyFill="0" applyBorder="0" applyAlignment="0" applyProtection="0"/>
    <xf numFmtId="0" fontId="76" fillId="0" borderId="0"/>
    <xf numFmtId="164" fontId="76" fillId="0" borderId="0" applyFont="0" applyFill="0" applyBorder="0" applyAlignment="0" applyProtection="0"/>
    <xf numFmtId="0" fontId="75" fillId="0" borderId="0"/>
    <xf numFmtId="0" fontId="75" fillId="0" borderId="0"/>
    <xf numFmtId="43" fontId="75" fillId="0" borderId="0" applyFont="0" applyFill="0" applyBorder="0" applyAlignment="0" applyProtection="0"/>
    <xf numFmtId="0" fontId="75" fillId="0" borderId="0"/>
    <xf numFmtId="0" fontId="74" fillId="0" borderId="0"/>
    <xf numFmtId="164" fontId="74" fillId="0" borderId="0" applyFont="0" applyFill="0" applyBorder="0" applyAlignment="0" applyProtection="0"/>
    <xf numFmtId="0" fontId="73" fillId="0" borderId="0"/>
    <xf numFmtId="164" fontId="73" fillId="0" borderId="0" applyFont="0" applyFill="0" applyBorder="0" applyAlignment="0" applyProtection="0"/>
    <xf numFmtId="43" fontId="73" fillId="0" borderId="0" applyFont="0" applyFill="0" applyBorder="0" applyAlignment="0" applyProtection="0"/>
    <xf numFmtId="0" fontId="73" fillId="0" borderId="0"/>
    <xf numFmtId="0" fontId="73" fillId="0" borderId="0"/>
    <xf numFmtId="0" fontId="72" fillId="0" borderId="0"/>
    <xf numFmtId="175" fontId="72" fillId="0" borderId="0" applyFont="0" applyFill="0" applyBorder="0" applyAlignment="0" applyProtection="0"/>
    <xf numFmtId="0" fontId="71" fillId="0" borderId="0"/>
    <xf numFmtId="0" fontId="71" fillId="0" borderId="0"/>
    <xf numFmtId="43" fontId="71" fillId="0" borderId="0" applyFont="0" applyFill="0" applyBorder="0" applyAlignment="0" applyProtection="0"/>
    <xf numFmtId="0" fontId="71" fillId="0" borderId="0"/>
    <xf numFmtId="0" fontId="70" fillId="0" borderId="0"/>
    <xf numFmtId="0" fontId="70" fillId="0" borderId="0"/>
    <xf numFmtId="43" fontId="70" fillId="0" borderId="0" applyFont="0" applyFill="0" applyBorder="0" applyAlignment="0" applyProtection="0"/>
    <xf numFmtId="0" fontId="70" fillId="0" borderId="0"/>
    <xf numFmtId="164" fontId="70" fillId="0" borderId="0" applyFont="0" applyFill="0" applyBorder="0" applyAlignment="0" applyProtection="0"/>
    <xf numFmtId="43" fontId="70" fillId="0" borderId="0" applyFont="0" applyFill="0" applyBorder="0" applyAlignment="0" applyProtection="0"/>
    <xf numFmtId="0" fontId="69" fillId="0" borderId="0"/>
    <xf numFmtId="175" fontId="69" fillId="0" borderId="0" applyFont="0" applyFill="0" applyBorder="0" applyAlignment="0" applyProtection="0"/>
    <xf numFmtId="0" fontId="69" fillId="0" borderId="0"/>
    <xf numFmtId="164" fontId="69" fillId="0" borderId="0" applyFont="0" applyFill="0" applyBorder="0" applyAlignment="0" applyProtection="0"/>
    <xf numFmtId="43" fontId="69" fillId="0" borderId="0" applyFont="0" applyFill="0" applyBorder="0" applyAlignment="0" applyProtection="0"/>
    <xf numFmtId="0" fontId="69" fillId="0" borderId="0"/>
    <xf numFmtId="0" fontId="69" fillId="0" borderId="0"/>
    <xf numFmtId="164" fontId="263" fillId="0" borderId="0" applyFont="0" applyFill="0" applyBorder="0" applyAlignment="0" applyProtection="0"/>
    <xf numFmtId="0" fontId="68" fillId="0" borderId="0"/>
    <xf numFmtId="164" fontId="68" fillId="0" borderId="0" applyFont="0" applyFill="0" applyBorder="0" applyAlignment="0" applyProtection="0"/>
    <xf numFmtId="43" fontId="68" fillId="0" borderId="0" applyFont="0" applyFill="0" applyBorder="0" applyAlignment="0" applyProtection="0"/>
    <xf numFmtId="0" fontId="68" fillId="0" borderId="0"/>
    <xf numFmtId="0" fontId="67" fillId="0" borderId="0"/>
    <xf numFmtId="0" fontId="67" fillId="0" borderId="0"/>
    <xf numFmtId="43" fontId="67" fillId="0" borderId="0" applyFont="0" applyFill="0" applyBorder="0" applyAlignment="0" applyProtection="0"/>
    <xf numFmtId="0" fontId="66" fillId="0" borderId="0"/>
    <xf numFmtId="0" fontId="66" fillId="0" borderId="0"/>
    <xf numFmtId="0" fontId="66" fillId="0" borderId="0"/>
    <xf numFmtId="43" fontId="66" fillId="0" borderId="0" applyFont="0" applyFill="0" applyBorder="0" applyAlignment="0" applyProtection="0"/>
    <xf numFmtId="0" fontId="66" fillId="0" borderId="0"/>
    <xf numFmtId="43" fontId="66" fillId="0" borderId="0" applyFont="0" applyFill="0" applyBorder="0" applyAlignment="0" applyProtection="0"/>
    <xf numFmtId="0" fontId="65" fillId="0" borderId="0"/>
    <xf numFmtId="175" fontId="65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0" fontId="64" fillId="0" borderId="0"/>
    <xf numFmtId="0" fontId="63" fillId="0" borderId="0"/>
    <xf numFmtId="175" fontId="63" fillId="0" borderId="0" applyFont="0" applyFill="0" applyBorder="0" applyAlignment="0" applyProtection="0"/>
    <xf numFmtId="0" fontId="62" fillId="0" borderId="0"/>
    <xf numFmtId="43" fontId="62" fillId="0" borderId="0" applyFont="0" applyFill="0" applyBorder="0" applyAlignment="0" applyProtection="0"/>
    <xf numFmtId="0" fontId="61" fillId="0" borderId="0"/>
    <xf numFmtId="0" fontId="61" fillId="0" borderId="0"/>
    <xf numFmtId="43" fontId="61" fillId="0" borderId="0" applyFont="0" applyFill="0" applyBorder="0" applyAlignment="0" applyProtection="0"/>
    <xf numFmtId="0" fontId="61" fillId="0" borderId="0"/>
    <xf numFmtId="0" fontId="60" fillId="0" borderId="0"/>
    <xf numFmtId="43" fontId="60" fillId="0" borderId="0" applyFont="0" applyFill="0" applyBorder="0" applyAlignment="0" applyProtection="0"/>
    <xf numFmtId="0" fontId="271" fillId="18" borderId="13">
      <alignment horizontal="center" vertical="center"/>
    </xf>
    <xf numFmtId="0" fontId="59" fillId="0" borderId="0"/>
    <xf numFmtId="164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0" fontId="59" fillId="0" borderId="0"/>
    <xf numFmtId="0" fontId="58" fillId="0" borderId="0"/>
    <xf numFmtId="164" fontId="58" fillId="0" borderId="0" applyFont="0" applyFill="0" applyBorder="0" applyAlignment="0" applyProtection="0"/>
    <xf numFmtId="43" fontId="58" fillId="0" borderId="0" applyFont="0" applyFill="0" applyBorder="0" applyAlignment="0" applyProtection="0"/>
    <xf numFmtId="0" fontId="241" fillId="0" borderId="0"/>
    <xf numFmtId="0" fontId="58" fillId="0" borderId="0"/>
    <xf numFmtId="165" fontId="236" fillId="0" borderId="0" applyFill="0" applyBorder="0" applyAlignment="0" applyProtection="0"/>
    <xf numFmtId="0" fontId="281" fillId="0" borderId="0"/>
    <xf numFmtId="0" fontId="58" fillId="0" borderId="0"/>
    <xf numFmtId="0" fontId="283" fillId="0" borderId="0"/>
    <xf numFmtId="0" fontId="57" fillId="0" borderId="0"/>
    <xf numFmtId="0" fontId="57" fillId="0" borderId="0"/>
    <xf numFmtId="0" fontId="284" fillId="0" borderId="0"/>
    <xf numFmtId="0" fontId="56" fillId="0" borderId="0"/>
    <xf numFmtId="0" fontId="56" fillId="0" borderId="0"/>
    <xf numFmtId="43" fontId="56" fillId="0" borderId="0" applyFont="0" applyFill="0" applyBorder="0" applyAlignment="0" applyProtection="0"/>
    <xf numFmtId="0" fontId="55" fillId="0" borderId="0"/>
    <xf numFmtId="0" fontId="54" fillId="0" borderId="0"/>
    <xf numFmtId="43" fontId="54" fillId="0" borderId="0" applyFont="0" applyFill="0" applyBorder="0" applyAlignment="0" applyProtection="0"/>
    <xf numFmtId="0" fontId="53" fillId="0" borderId="0"/>
    <xf numFmtId="0" fontId="53" fillId="0" borderId="0"/>
    <xf numFmtId="43" fontId="53" fillId="0" borderId="0" applyFont="0" applyFill="0" applyBorder="0" applyAlignment="0" applyProtection="0"/>
    <xf numFmtId="0" fontId="52" fillId="0" borderId="0"/>
    <xf numFmtId="43" fontId="52" fillId="0" borderId="0" applyFont="0" applyFill="0" applyBorder="0" applyAlignment="0" applyProtection="0"/>
    <xf numFmtId="0" fontId="286" fillId="0" borderId="0"/>
    <xf numFmtId="178" fontId="286" fillId="0" borderId="0" applyFont="0" applyFill="0" applyBorder="0" applyAlignment="0" applyProtection="0"/>
    <xf numFmtId="0" fontId="287" fillId="20" borderId="0" applyNumberFormat="0" applyBorder="0" applyAlignment="0" applyProtection="0"/>
    <xf numFmtId="0" fontId="286" fillId="21" borderId="0" applyNumberFormat="0" applyFont="0" applyBorder="0" applyAlignment="0" applyProtection="0"/>
    <xf numFmtId="0" fontId="287" fillId="20" borderId="0" applyNumberFormat="0" applyBorder="0" applyAlignment="0" applyProtection="0"/>
    <xf numFmtId="178" fontId="286" fillId="0" borderId="0" applyFont="0" applyFill="0" applyBorder="0" applyAlignment="0" applyProtection="0"/>
    <xf numFmtId="0" fontId="288" fillId="22" borderId="0" applyNumberFormat="0" applyBorder="0" applyAlignment="0" applyProtection="0"/>
    <xf numFmtId="0" fontId="289" fillId="0" borderId="0" applyNumberFormat="0" applyBorder="0" applyProtection="0"/>
    <xf numFmtId="0" fontId="286" fillId="0" borderId="0" applyNumberFormat="0" applyFont="0" applyBorder="0" applyProtection="0"/>
    <xf numFmtId="0" fontId="286" fillId="0" borderId="0" applyNumberFormat="0" applyFont="0" applyBorder="0" applyProtection="0"/>
    <xf numFmtId="0" fontId="286" fillId="0" borderId="0" applyNumberFormat="0" applyFont="0" applyBorder="0" applyProtection="0"/>
    <xf numFmtId="0" fontId="290" fillId="0" borderId="0" applyNumberFormat="0" applyBorder="0" applyProtection="0"/>
    <xf numFmtId="0" fontId="51" fillId="0" borderId="0"/>
    <xf numFmtId="43" fontId="51" fillId="0" borderId="0" applyFont="0" applyFill="0" applyBorder="0" applyAlignment="0" applyProtection="0"/>
    <xf numFmtId="0" fontId="51" fillId="0" borderId="0"/>
    <xf numFmtId="166" fontId="236" fillId="0" borderId="0" applyFill="0" applyBorder="0" applyAlignment="0" applyProtection="0"/>
    <xf numFmtId="0" fontId="237" fillId="2" borderId="20">
      <alignment horizontal="center" vertical="center"/>
    </xf>
    <xf numFmtId="0" fontId="50" fillId="0" borderId="0"/>
    <xf numFmtId="43" fontId="50" fillId="0" borderId="0"/>
    <xf numFmtId="0" fontId="271" fillId="18" borderId="14">
      <alignment horizontal="center" vertical="center"/>
    </xf>
    <xf numFmtId="0" fontId="257" fillId="23" borderId="0"/>
    <xf numFmtId="0" fontId="291" fillId="0" borderId="0">
      <alignment vertical="top"/>
      <protection locked="0"/>
    </xf>
    <xf numFmtId="0" fontId="50" fillId="0" borderId="0"/>
    <xf numFmtId="0" fontId="49" fillId="0" borderId="0"/>
    <xf numFmtId="0" fontId="228" fillId="0" borderId="0"/>
    <xf numFmtId="43" fontId="49" fillId="0" borderId="0" applyFont="0" applyFill="0" applyBorder="0" applyAlignment="0" applyProtection="0"/>
    <xf numFmtId="175" fontId="228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293" fillId="0" borderId="0"/>
    <xf numFmtId="43" fontId="286" fillId="0" borderId="0" applyFont="0" applyFill="0" applyBorder="0" applyAlignment="0" applyProtection="0"/>
    <xf numFmtId="0" fontId="48" fillId="0" borderId="0"/>
    <xf numFmtId="43" fontId="48" fillId="0" borderId="0"/>
    <xf numFmtId="0" fontId="271" fillId="18" borderId="23">
      <alignment horizontal="center" vertical="center"/>
    </xf>
    <xf numFmtId="0" fontId="48" fillId="0" borderId="0"/>
    <xf numFmtId="0" fontId="47" fillId="0" borderId="0"/>
    <xf numFmtId="43" fontId="47" fillId="0" borderId="0"/>
    <xf numFmtId="0" fontId="47" fillId="0" borderId="0"/>
    <xf numFmtId="43" fontId="47" fillId="0" borderId="0"/>
    <xf numFmtId="0" fontId="47" fillId="0" borderId="0"/>
    <xf numFmtId="43" fontId="46" fillId="0" borderId="0"/>
    <xf numFmtId="0" fontId="46" fillId="0" borderId="0"/>
    <xf numFmtId="0" fontId="46" fillId="0" borderId="0"/>
    <xf numFmtId="0" fontId="46" fillId="0" borderId="0"/>
    <xf numFmtId="43" fontId="46" fillId="0" borderId="0"/>
    <xf numFmtId="0" fontId="45" fillId="0" borderId="0"/>
    <xf numFmtId="43" fontId="45" fillId="0" borderId="0"/>
    <xf numFmtId="0" fontId="45" fillId="0" borderId="0"/>
    <xf numFmtId="0" fontId="45" fillId="0" borderId="0"/>
    <xf numFmtId="0" fontId="45" fillId="0" borderId="0"/>
    <xf numFmtId="43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4" fillId="0" borderId="0"/>
    <xf numFmtId="43" fontId="44" fillId="0" borderId="0"/>
    <xf numFmtId="0" fontId="271" fillId="18" borderId="31">
      <alignment horizontal="center" vertical="center"/>
    </xf>
    <xf numFmtId="0" fontId="44" fillId="0" borderId="0"/>
    <xf numFmtId="0" fontId="43" fillId="0" borderId="0"/>
    <xf numFmtId="43" fontId="43" fillId="0" borderId="0" applyFont="0" applyFill="0" applyBorder="0" applyAlignment="0" applyProtection="0"/>
    <xf numFmtId="0" fontId="271" fillId="18" borderId="31">
      <alignment horizontal="center" vertical="center"/>
    </xf>
    <xf numFmtId="0" fontId="257" fillId="23" borderId="0" applyNumberFormat="0" applyBorder="0" applyAlignment="0" applyProtection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43" fontId="41" fillId="0" borderId="0"/>
    <xf numFmtId="0" fontId="41" fillId="0" borderId="0"/>
    <xf numFmtId="0" fontId="41" fillId="0" borderId="0"/>
    <xf numFmtId="0" fontId="271" fillId="18" borderId="31">
      <alignment horizontal="center" vertical="center"/>
    </xf>
    <xf numFmtId="0" fontId="40" fillId="0" borderId="0"/>
    <xf numFmtId="43" fontId="40" fillId="0" borderId="0"/>
    <xf numFmtId="0" fontId="40" fillId="0" borderId="0"/>
    <xf numFmtId="0" fontId="39" fillId="0" borderId="0"/>
    <xf numFmtId="0" fontId="39" fillId="0" borderId="0"/>
    <xf numFmtId="164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8" fillId="0" borderId="0"/>
    <xf numFmtId="43" fontId="38" fillId="0" borderId="0"/>
    <xf numFmtId="0" fontId="38" fillId="0" borderId="0"/>
    <xf numFmtId="0" fontId="38" fillId="0" borderId="0"/>
    <xf numFmtId="43" fontId="38" fillId="0" borderId="0"/>
    <xf numFmtId="0" fontId="37" fillId="0" borderId="0"/>
    <xf numFmtId="43" fontId="37" fillId="0" borderId="0"/>
    <xf numFmtId="0" fontId="37" fillId="0" borderId="0"/>
    <xf numFmtId="43" fontId="37" fillId="0" borderId="0"/>
    <xf numFmtId="0" fontId="37" fillId="0" borderId="0"/>
    <xf numFmtId="0" fontId="37" fillId="0" borderId="0"/>
    <xf numFmtId="43" fontId="37" fillId="0" borderId="0"/>
    <xf numFmtId="0" fontId="36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4" fillId="0" borderId="0"/>
    <xf numFmtId="43" fontId="34" fillId="0" borderId="0"/>
    <xf numFmtId="43" fontId="34" fillId="0" borderId="0"/>
    <xf numFmtId="0" fontId="34" fillId="0" borderId="0"/>
    <xf numFmtId="0" fontId="34" fillId="0" borderId="0"/>
    <xf numFmtId="43" fontId="34" fillId="0" borderId="0"/>
    <xf numFmtId="0" fontId="34" fillId="0" borderId="0"/>
    <xf numFmtId="0" fontId="34" fillId="0" borderId="0"/>
    <xf numFmtId="0" fontId="34" fillId="0" borderId="0"/>
    <xf numFmtId="43" fontId="34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281" fillId="0" borderId="0"/>
    <xf numFmtId="166" fontId="236" fillId="0" borderId="0" applyFill="0" applyBorder="0" applyAlignment="0" applyProtection="0"/>
    <xf numFmtId="0" fontId="237" fillId="2" borderId="34">
      <alignment horizontal="center" vertical="center"/>
    </xf>
    <xf numFmtId="0" fontId="33" fillId="0" borderId="0"/>
    <xf numFmtId="43" fontId="33" fillId="0" borderId="0" applyFont="0" applyFill="0" applyBorder="0" applyAlignment="0" applyProtection="0"/>
    <xf numFmtId="0" fontId="228" fillId="0" borderId="0"/>
    <xf numFmtId="43" fontId="228" fillId="0" borderId="0" applyFont="0" applyFill="0" applyBorder="0" applyAlignment="0" applyProtection="0"/>
    <xf numFmtId="0" fontId="33" fillId="0" borderId="0"/>
    <xf numFmtId="0" fontId="33" fillId="11" borderId="0" applyNumberFormat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26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26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26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26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237" fillId="2" borderId="34">
      <alignment horizontal="center" vertical="center"/>
    </xf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237" fillId="2" borderId="34">
      <alignment horizontal="center" vertical="center"/>
    </xf>
    <xf numFmtId="0" fontId="33" fillId="0" borderId="0"/>
    <xf numFmtId="43" fontId="33" fillId="0" borderId="0"/>
    <xf numFmtId="0" fontId="271" fillId="18" borderId="31">
      <alignment horizontal="center" vertical="center"/>
    </xf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286" fillId="0" borderId="0"/>
    <xf numFmtId="0" fontId="33" fillId="0" borderId="0"/>
    <xf numFmtId="43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43" fontId="33" fillId="0" borderId="0"/>
    <xf numFmtId="43" fontId="33" fillId="0" borderId="0"/>
    <xf numFmtId="43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43" fontId="32" fillId="0" borderId="0"/>
    <xf numFmtId="0" fontId="32" fillId="0" borderId="0"/>
    <xf numFmtId="0" fontId="32" fillId="0" borderId="0"/>
    <xf numFmtId="43" fontId="32" fillId="0" borderId="0"/>
    <xf numFmtId="43" fontId="31" fillId="0" borderId="0"/>
    <xf numFmtId="0" fontId="31" fillId="0" borderId="0"/>
    <xf numFmtId="0" fontId="31" fillId="0" borderId="0"/>
    <xf numFmtId="43" fontId="31" fillId="0" borderId="0"/>
    <xf numFmtId="0" fontId="31" fillId="0" borderId="0"/>
    <xf numFmtId="0" fontId="31" fillId="0" borderId="0"/>
    <xf numFmtId="0" fontId="31" fillId="0" borderId="0"/>
    <xf numFmtId="43" fontId="31" fillId="0" borderId="0"/>
    <xf numFmtId="0" fontId="31" fillId="0" borderId="0"/>
    <xf numFmtId="0" fontId="31" fillId="0" borderId="0"/>
    <xf numFmtId="43" fontId="31" fillId="0" borderId="0"/>
    <xf numFmtId="0" fontId="30" fillId="0" borderId="0"/>
    <xf numFmtId="43" fontId="30" fillId="0" borderId="0"/>
    <xf numFmtId="0" fontId="30" fillId="0" borderId="0"/>
    <xf numFmtId="0" fontId="30" fillId="0" borderId="0"/>
    <xf numFmtId="43" fontId="30" fillId="0" borderId="0"/>
    <xf numFmtId="0" fontId="30" fillId="0" borderId="0"/>
    <xf numFmtId="43" fontId="29" fillId="0" borderId="0"/>
    <xf numFmtId="0" fontId="29" fillId="0" borderId="0"/>
    <xf numFmtId="0" fontId="271" fillId="18" borderId="35">
      <alignment horizontal="center" vertical="center"/>
    </xf>
    <xf numFmtId="0" fontId="29" fillId="0" borderId="0"/>
    <xf numFmtId="0" fontId="29" fillId="0" borderId="0"/>
    <xf numFmtId="43" fontId="29" fillId="0" borderId="0"/>
    <xf numFmtId="0" fontId="29" fillId="0" borderId="0"/>
    <xf numFmtId="0" fontId="28" fillId="0" borderId="0"/>
    <xf numFmtId="43" fontId="28" fillId="0" borderId="0"/>
    <xf numFmtId="0" fontId="271" fillId="18" borderId="36">
      <alignment horizontal="center" vertical="center"/>
    </xf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8" fillId="0" borderId="0"/>
    <xf numFmtId="0" fontId="28" fillId="0" borderId="0"/>
    <xf numFmtId="43" fontId="28" fillId="0" borderId="0"/>
    <xf numFmtId="43" fontId="28" fillId="0" borderId="0"/>
    <xf numFmtId="0" fontId="28" fillId="0" borderId="0"/>
    <xf numFmtId="0" fontId="28" fillId="0" borderId="0"/>
    <xf numFmtId="43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43" fontId="27" fillId="0" borderId="0"/>
    <xf numFmtId="0" fontId="27" fillId="0" borderId="0"/>
    <xf numFmtId="0" fontId="27" fillId="0" borderId="0"/>
    <xf numFmtId="0" fontId="27" fillId="0" borderId="0"/>
    <xf numFmtId="43" fontId="27" fillId="0" borderId="0"/>
    <xf numFmtId="0" fontId="27" fillId="0" borderId="0"/>
    <xf numFmtId="0" fontId="27" fillId="0" borderId="0"/>
    <xf numFmtId="43" fontId="27" fillId="0" borderId="0"/>
    <xf numFmtId="43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5" fillId="0" borderId="0"/>
    <xf numFmtId="43" fontId="25" fillId="0" borderId="0" applyFont="0" applyFill="0" applyBorder="0" applyAlignment="0" applyProtection="0"/>
    <xf numFmtId="0" fontId="25" fillId="0" borderId="0"/>
    <xf numFmtId="0" fontId="271" fillId="18" borderId="35">
      <alignment horizontal="center" vertical="center"/>
    </xf>
    <xf numFmtId="0" fontId="25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3" fillId="0" borderId="0"/>
    <xf numFmtId="43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43" fontId="22" fillId="0" borderId="0"/>
    <xf numFmtId="43" fontId="22" fillId="0" borderId="0"/>
    <xf numFmtId="0" fontId="22" fillId="0" borderId="0"/>
    <xf numFmtId="0" fontId="22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237" fillId="2" borderId="38">
      <alignment horizontal="center" vertical="center"/>
    </xf>
    <xf numFmtId="0" fontId="19" fillId="11" borderId="0" applyNumberFormat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11" borderId="0" applyNumberFormat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71" fillId="18" borderId="44">
      <alignment horizontal="center" vertical="center"/>
    </xf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37" fillId="2" borderId="38">
      <alignment horizontal="center" vertical="center"/>
    </xf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271" fillId="18" borderId="39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1" fillId="18" borderId="39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1" fillId="18" borderId="39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37" fillId="2" borderId="38">
      <alignment horizontal="center" vertical="center"/>
    </xf>
    <xf numFmtId="0" fontId="19" fillId="0" borderId="0"/>
    <xf numFmtId="43" fontId="19" fillId="0" borderId="0"/>
    <xf numFmtId="0" fontId="271" fillId="18" borderId="39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71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271" fillId="18" borderId="36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1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/>
    <xf numFmtId="0" fontId="19" fillId="0" borderId="0"/>
    <xf numFmtId="0" fontId="271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0" fontId="237" fillId="2" borderId="40">
      <alignment horizontal="center" vertical="center"/>
    </xf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11" borderId="0" applyNumberFormat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37" fillId="2" borderId="40">
      <alignment horizontal="center" vertical="center"/>
    </xf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37" fillId="2" borderId="40">
      <alignment horizontal="center" vertical="center"/>
    </xf>
    <xf numFmtId="0" fontId="19" fillId="0" borderId="0"/>
    <xf numFmtId="43" fontId="19" fillId="0" borderId="0"/>
    <xf numFmtId="0" fontId="271" fillId="18" borderId="36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271" fillId="18" borderId="36">
      <alignment horizontal="center" vertical="center"/>
    </xf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71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271" fillId="18" borderId="41">
      <alignment horizontal="center" vertical="center"/>
    </xf>
    <xf numFmtId="0" fontId="271" fillId="18" borderId="43">
      <alignment horizontal="center" vertical="center"/>
    </xf>
    <xf numFmtId="0" fontId="271" fillId="18" borderId="41">
      <alignment horizontal="center" vertical="center"/>
    </xf>
    <xf numFmtId="0" fontId="271" fillId="18" borderId="43">
      <alignment horizontal="center" vertical="center"/>
    </xf>
    <xf numFmtId="0" fontId="271" fillId="18" borderId="41">
      <alignment horizontal="center" vertical="center"/>
    </xf>
    <xf numFmtId="0" fontId="271" fillId="18" borderId="41">
      <alignment horizontal="center" vertical="center"/>
    </xf>
    <xf numFmtId="0" fontId="271" fillId="18" borderId="41">
      <alignment horizontal="center" vertical="center"/>
    </xf>
    <xf numFmtId="0" fontId="271" fillId="18" borderId="44">
      <alignment horizontal="center" vertical="center"/>
    </xf>
    <xf numFmtId="0" fontId="271" fillId="18" borderId="43">
      <alignment horizontal="center" vertical="center"/>
    </xf>
    <xf numFmtId="0" fontId="271" fillId="18" borderId="44">
      <alignment horizontal="center" vertical="center"/>
    </xf>
    <xf numFmtId="0" fontId="237" fillId="2" borderId="42">
      <alignment horizontal="center" vertical="center"/>
    </xf>
    <xf numFmtId="0" fontId="271" fillId="18" borderId="44">
      <alignment horizontal="center" vertical="center"/>
    </xf>
    <xf numFmtId="0" fontId="237" fillId="2" borderId="42">
      <alignment horizontal="center" vertical="center"/>
    </xf>
    <xf numFmtId="0" fontId="237" fillId="2" borderId="42">
      <alignment horizontal="center" vertical="center"/>
    </xf>
    <xf numFmtId="0" fontId="271" fillId="18" borderId="43">
      <alignment horizontal="center" vertical="center"/>
    </xf>
    <xf numFmtId="0" fontId="271" fillId="18" borderId="44">
      <alignment horizontal="center" vertical="center"/>
    </xf>
    <xf numFmtId="0" fontId="271" fillId="18" borderId="44">
      <alignment horizontal="center" vertical="center"/>
    </xf>
    <xf numFmtId="0" fontId="271" fillId="18" borderId="44">
      <alignment horizontal="center" vertical="center"/>
    </xf>
    <xf numFmtId="0" fontId="271" fillId="18" borderId="44">
      <alignment horizontal="center" vertical="center"/>
    </xf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237" fillId="2" borderId="46">
      <alignment horizontal="center" vertical="center"/>
    </xf>
    <xf numFmtId="0" fontId="18" fillId="11" borderId="0" applyNumberFormat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6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271" fillId="18" borderId="47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1" fillId="18" borderId="47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1" fillId="18" borderId="47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6">
      <alignment horizontal="center" vertical="center"/>
    </xf>
    <xf numFmtId="0" fontId="18" fillId="0" borderId="0"/>
    <xf numFmtId="43" fontId="18" fillId="0" borderId="0"/>
    <xf numFmtId="0" fontId="271" fillId="18" borderId="47">
      <alignment horizontal="center" vertical="center"/>
    </xf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237" fillId="2" borderId="52">
      <alignment horizontal="center" vertical="center"/>
    </xf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237" fillId="2" borderId="48">
      <alignment horizontal="center" vertical="center"/>
    </xf>
    <xf numFmtId="0" fontId="18" fillId="11" borderId="0" applyNumberFormat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71" fillId="18" borderId="51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271" fillId="18" borderId="49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1" fillId="18" borderId="49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1" fillId="18" borderId="49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/>
    <xf numFmtId="0" fontId="271" fillId="18" borderId="49">
      <alignment horizontal="center" vertical="center"/>
    </xf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271" fillId="18" borderId="49">
      <alignment horizontal="center" vertical="center"/>
    </xf>
    <xf numFmtId="0" fontId="271" fillId="18" borderId="51">
      <alignment horizontal="center" vertical="center"/>
    </xf>
    <xf numFmtId="0" fontId="271" fillId="18" borderId="49">
      <alignment horizontal="center" vertical="center"/>
    </xf>
    <xf numFmtId="0" fontId="271" fillId="18" borderId="51">
      <alignment horizontal="center" vertical="center"/>
    </xf>
    <xf numFmtId="0" fontId="271" fillId="18" borderId="49">
      <alignment horizontal="center" vertical="center"/>
    </xf>
    <xf numFmtId="0" fontId="271" fillId="18" borderId="49">
      <alignment horizontal="center" vertical="center"/>
    </xf>
    <xf numFmtId="0" fontId="271" fillId="18" borderId="49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37" fillId="2" borderId="50">
      <alignment horizontal="center" vertical="center"/>
    </xf>
    <xf numFmtId="0" fontId="271" fillId="18" borderId="51">
      <alignment horizontal="center" vertical="center"/>
    </xf>
    <xf numFmtId="0" fontId="237" fillId="2" borderId="50">
      <alignment horizontal="center" vertical="center"/>
    </xf>
    <xf numFmtId="0" fontId="237" fillId="2" borderId="50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37" fillId="2" borderId="52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37" fillId="2" borderId="54">
      <alignment horizontal="center" vertical="center"/>
    </xf>
    <xf numFmtId="0" fontId="237" fillId="2" borderId="54">
      <alignment horizontal="center" vertical="center"/>
    </xf>
    <xf numFmtId="0" fontId="237" fillId="2" borderId="54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37" fillId="2" borderId="45">
      <alignment horizontal="center" vertical="center"/>
    </xf>
    <xf numFmtId="0" fontId="271" fillId="18" borderId="56">
      <alignment horizontal="center" vertical="center"/>
    </xf>
    <xf numFmtId="0" fontId="237" fillId="2" borderId="45">
      <alignment horizontal="center" vertical="center"/>
    </xf>
    <xf numFmtId="0" fontId="271" fillId="18" borderId="55">
      <alignment horizontal="center" vertical="center"/>
    </xf>
    <xf numFmtId="0" fontId="271" fillId="18" borderId="55">
      <alignment horizontal="center" vertical="center"/>
    </xf>
    <xf numFmtId="0" fontId="271" fillId="18" borderId="55">
      <alignment horizontal="center" vertical="center"/>
    </xf>
    <xf numFmtId="0" fontId="237" fillId="2" borderId="45">
      <alignment horizontal="center" vertical="center"/>
    </xf>
    <xf numFmtId="0" fontId="271" fillId="18" borderId="55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37" fillId="2" borderId="45">
      <alignment horizontal="center" vertical="center"/>
    </xf>
    <xf numFmtId="0" fontId="237" fillId="2" borderId="45">
      <alignment horizontal="center" vertical="center"/>
    </xf>
    <xf numFmtId="0" fontId="237" fillId="2" borderId="45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5">
      <alignment horizontal="center" vertical="center"/>
    </xf>
    <xf numFmtId="0" fontId="271" fillId="18" borderId="56">
      <alignment horizontal="center" vertical="center"/>
    </xf>
    <xf numFmtId="0" fontId="271" fillId="18" borderId="55">
      <alignment horizontal="center" vertical="center"/>
    </xf>
    <xf numFmtId="0" fontId="271" fillId="18" borderId="56">
      <alignment horizontal="center" vertical="center"/>
    </xf>
    <xf numFmtId="0" fontId="271" fillId="18" borderId="55">
      <alignment horizontal="center" vertical="center"/>
    </xf>
    <xf numFmtId="0" fontId="271" fillId="18" borderId="55">
      <alignment horizontal="center" vertical="center"/>
    </xf>
    <xf numFmtId="0" fontId="271" fillId="18" borderId="55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37" fillId="2" borderId="52">
      <alignment horizontal="center" vertical="center"/>
    </xf>
    <xf numFmtId="0" fontId="271" fillId="18" borderId="56">
      <alignment horizontal="center" vertical="center"/>
    </xf>
    <xf numFmtId="0" fontId="237" fillId="2" borderId="52">
      <alignment horizontal="center" vertical="center"/>
    </xf>
    <xf numFmtId="0" fontId="237" fillId="2" borderId="52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43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43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43" fontId="17" fillId="0" borderId="0"/>
    <xf numFmtId="43" fontId="16" fillId="0" borderId="0"/>
    <xf numFmtId="0" fontId="16" fillId="0" borderId="0"/>
    <xf numFmtId="0" fontId="16" fillId="0" borderId="0"/>
    <xf numFmtId="0" fontId="236" fillId="0" borderId="0" applyFill="0" applyBorder="0" applyAlignment="0" applyProtection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43" fontId="16" fillId="0" borderId="0"/>
    <xf numFmtId="0" fontId="15" fillId="0" borderId="0"/>
    <xf numFmtId="43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0" fontId="15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43" fontId="14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43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43" fontId="12" fillId="0" borderId="0"/>
    <xf numFmtId="0" fontId="11" fillId="0" borderId="0"/>
    <xf numFmtId="43" fontId="11" fillId="0" borderId="0"/>
    <xf numFmtId="0" fontId="271" fillId="18" borderId="62">
      <alignment horizontal="center" vertical="center"/>
    </xf>
    <xf numFmtId="9" fontId="11" fillId="0" borderId="0"/>
    <xf numFmtId="0" fontId="10" fillId="0" borderId="0"/>
    <xf numFmtId="43" fontId="10" fillId="0" borderId="0"/>
    <xf numFmtId="9" fontId="10" fillId="0" borderId="0"/>
    <xf numFmtId="0" fontId="9" fillId="0" borderId="0"/>
    <xf numFmtId="0" fontId="9" fillId="0" borderId="0"/>
    <xf numFmtId="0" fontId="8" fillId="0" borderId="0"/>
    <xf numFmtId="175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281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71" fillId="18" borderId="66">
      <alignment horizontal="center" vertical="center"/>
    </xf>
    <xf numFmtId="9" fontId="7" fillId="0" borderId="0"/>
    <xf numFmtId="0" fontId="271" fillId="18" borderId="67">
      <alignment horizontal="center" vertical="center"/>
    </xf>
    <xf numFmtId="0" fontId="7" fillId="0" borderId="0"/>
    <xf numFmtId="43" fontId="7" fillId="0" borderId="0"/>
    <xf numFmtId="43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286" fillId="0" borderId="0"/>
    <xf numFmtId="0" fontId="5" fillId="0" borderId="0"/>
    <xf numFmtId="43" fontId="5" fillId="0" borderId="0"/>
    <xf numFmtId="9" fontId="5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3" fillId="0" borderId="0"/>
    <xf numFmtId="0" fontId="3" fillId="0" borderId="0"/>
    <xf numFmtId="9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/>
    <xf numFmtId="43" fontId="2" fillId="0" borderId="0"/>
    <xf numFmtId="0" fontId="1" fillId="0" borderId="0"/>
    <xf numFmtId="43" fontId="1" fillId="0" borderId="0"/>
    <xf numFmtId="9" fontId="1" fillId="0" borderId="0"/>
  </cellStyleXfs>
  <cellXfs count="357">
    <xf numFmtId="0" fontId="0" fillId="0" borderId="0" xfId="0"/>
    <xf numFmtId="0" fontId="259" fillId="0" borderId="0" xfId="623" applyFont="1" applyAlignment="1">
      <alignment vertical="center"/>
    </xf>
    <xf numFmtId="0" fontId="258" fillId="0" borderId="0" xfId="623" applyFont="1" applyAlignment="1">
      <alignment horizontal="center" vertical="center"/>
    </xf>
    <xf numFmtId="0" fontId="258" fillId="17" borderId="0" xfId="623" applyFont="1" applyFill="1" applyAlignment="1">
      <alignment vertical="center"/>
    </xf>
    <xf numFmtId="0" fontId="258" fillId="0" borderId="0" xfId="623" applyFont="1" applyAlignment="1">
      <alignment vertical="center"/>
    </xf>
    <xf numFmtId="0" fontId="247" fillId="0" borderId="0" xfId="629" applyFont="1"/>
    <xf numFmtId="0" fontId="285" fillId="0" borderId="0" xfId="0" applyFont="1"/>
    <xf numFmtId="0" fontId="247" fillId="9" borderId="0" xfId="629" applyFont="1" applyFill="1"/>
    <xf numFmtId="14" fontId="247" fillId="9" borderId="0" xfId="629" applyNumberFormat="1" applyFont="1" applyFill="1" applyAlignment="1">
      <alignment horizontal="center"/>
    </xf>
    <xf numFmtId="168" fontId="249" fillId="9" borderId="0" xfId="629" applyNumberFormat="1" applyFont="1" applyFill="1"/>
    <xf numFmtId="168" fontId="282" fillId="9" borderId="0" xfId="629" applyNumberFormat="1" applyFont="1" applyFill="1" applyAlignment="1">
      <alignment horizontal="center"/>
    </xf>
    <xf numFmtId="0" fontId="249" fillId="9" borderId="0" xfId="629" applyFont="1" applyFill="1"/>
    <xf numFmtId="0" fontId="237" fillId="9" borderId="9" xfId="662" applyFill="1" applyBorder="1" applyAlignment="1">
      <alignment horizontal="center"/>
    </xf>
    <xf numFmtId="0" fontId="237" fillId="9" borderId="0" xfId="629" applyFont="1" applyFill="1" applyAlignment="1">
      <alignment horizontal="center"/>
    </xf>
    <xf numFmtId="168" fontId="252" fillId="9" borderId="20" xfId="629" applyNumberFormat="1" applyFont="1" applyFill="1" applyBorder="1" applyAlignment="1">
      <alignment horizontal="center"/>
    </xf>
    <xf numFmtId="14" fontId="237" fillId="9" borderId="0" xfId="629" applyNumberFormat="1" applyFont="1" applyFill="1" applyAlignment="1">
      <alignment horizontal="center"/>
    </xf>
    <xf numFmtId="14" fontId="248" fillId="9" borderId="9" xfId="662" applyNumberFormat="1" applyFont="1" applyFill="1" applyBorder="1" applyAlignment="1">
      <alignment horizontal="center"/>
    </xf>
    <xf numFmtId="0" fontId="248" fillId="9" borderId="9" xfId="662" applyFont="1" applyFill="1" applyBorder="1" applyAlignment="1">
      <alignment horizontal="center"/>
    </xf>
    <xf numFmtId="0" fontId="247" fillId="19" borderId="0" xfId="629" applyFont="1" applyFill="1" applyAlignment="1">
      <alignment vertical="center"/>
    </xf>
    <xf numFmtId="14" fontId="247" fillId="0" borderId="0" xfId="629" applyNumberFormat="1" applyFont="1" applyAlignment="1">
      <alignment horizontal="center"/>
    </xf>
    <xf numFmtId="0" fontId="251" fillId="0" borderId="0" xfId="629" applyFont="1" applyAlignment="1">
      <alignment horizontal="center"/>
    </xf>
    <xf numFmtId="0" fontId="259" fillId="0" borderId="23" xfId="623" applyFont="1" applyBorder="1" applyAlignment="1">
      <alignment horizontal="center" vertical="center"/>
    </xf>
    <xf numFmtId="0" fontId="259" fillId="0" borderId="23" xfId="627" applyFont="1" applyBorder="1" applyAlignment="1">
      <alignment vertical="center"/>
    </xf>
    <xf numFmtId="169" fontId="259" fillId="0" borderId="29" xfId="626" applyNumberFormat="1" applyFont="1" applyBorder="1" applyAlignment="1">
      <alignment horizontal="center" vertical="center"/>
    </xf>
    <xf numFmtId="167" fontId="280" fillId="9" borderId="0" xfId="629" applyNumberFormat="1" applyFont="1" applyFill="1"/>
    <xf numFmtId="167" fontId="280" fillId="19" borderId="0" xfId="629" applyNumberFormat="1" applyFont="1" applyFill="1"/>
    <xf numFmtId="0" fontId="292" fillId="9" borderId="0" xfId="629" applyFont="1" applyFill="1" applyAlignment="1">
      <alignment horizontal="center"/>
    </xf>
    <xf numFmtId="0" fontId="252" fillId="19" borderId="36" xfId="0" applyFont="1" applyFill="1" applyBorder="1" applyAlignment="1">
      <alignment horizontal="center" wrapText="1"/>
    </xf>
    <xf numFmtId="0" fontId="259" fillId="0" borderId="36" xfId="623" applyFont="1" applyBorder="1" applyAlignment="1">
      <alignment horizontal="center" vertical="center"/>
    </xf>
    <xf numFmtId="0" fontId="259" fillId="0" borderId="37" xfId="623" applyFont="1" applyBorder="1" applyAlignment="1">
      <alignment horizontal="center" vertical="center"/>
    </xf>
    <xf numFmtId="14" fontId="258" fillId="16" borderId="23" xfId="623" applyNumberFormat="1" applyFont="1" applyFill="1" applyBorder="1" applyAlignment="1">
      <alignment vertical="center"/>
    </xf>
    <xf numFmtId="14" fontId="258" fillId="16" borderId="37" xfId="623" applyNumberFormat="1" applyFont="1" applyFill="1" applyBorder="1" applyAlignment="1">
      <alignment vertical="center"/>
    </xf>
    <xf numFmtId="14" fontId="258" fillId="16" borderId="36" xfId="623" applyNumberFormat="1" applyFont="1" applyFill="1" applyBorder="1" applyAlignment="1">
      <alignment vertical="center"/>
    </xf>
    <xf numFmtId="0" fontId="259" fillId="0" borderId="59" xfId="623" applyFont="1" applyBorder="1" applyAlignment="1">
      <alignment horizontal="center" vertical="center"/>
    </xf>
    <xf numFmtId="0" fontId="252" fillId="19" borderId="59" xfId="0" applyFont="1" applyFill="1" applyBorder="1" applyAlignment="1">
      <alignment horizontal="center" wrapText="1"/>
    </xf>
    <xf numFmtId="0" fontId="259" fillId="0" borderId="59" xfId="627" applyFont="1" applyBorder="1" applyAlignment="1">
      <alignment vertical="center"/>
    </xf>
    <xf numFmtId="14" fontId="258" fillId="16" borderId="59" xfId="623" applyNumberFormat="1" applyFont="1" applyFill="1" applyBorder="1" applyAlignment="1">
      <alignment vertical="center"/>
    </xf>
    <xf numFmtId="0" fontId="4" fillId="0" borderId="0" xfId="6020"/>
    <xf numFmtId="0" fontId="278" fillId="0" borderId="67" xfId="6020" applyFont="1" applyBorder="1"/>
    <xf numFmtId="171" fontId="278" fillId="0" borderId="67" xfId="6021" applyNumberFormat="1" applyFont="1" applyBorder="1"/>
    <xf numFmtId="171" fontId="270" fillId="0" borderId="67" xfId="6020" applyNumberFormat="1" applyFont="1" applyBorder="1"/>
    <xf numFmtId="167" fontId="259" fillId="0" borderId="67" xfId="1" applyNumberFormat="1" applyFont="1" applyBorder="1"/>
    <xf numFmtId="0" fontId="278" fillId="0" borderId="67" xfId="6020" applyFont="1" applyBorder="1" applyAlignment="1">
      <alignment shrinkToFit="1"/>
    </xf>
    <xf numFmtId="14" fontId="278" fillId="0" borderId="67" xfId="6020" applyNumberFormat="1" applyFont="1" applyBorder="1"/>
    <xf numFmtId="0" fontId="1" fillId="0" borderId="0" xfId="6020" applyFont="1"/>
    <xf numFmtId="0" fontId="280" fillId="0" borderId="0" xfId="6031" applyFont="1" applyAlignment="1">
      <alignment wrapText="1"/>
    </xf>
    <xf numFmtId="0" fontId="280" fillId="0" borderId="68" xfId="6031" applyFont="1" applyBorder="1" applyAlignment="1">
      <alignment wrapText="1"/>
    </xf>
    <xf numFmtId="0" fontId="258" fillId="0" borderId="0" xfId="6031" applyFont="1"/>
    <xf numFmtId="0" fontId="258" fillId="0" borderId="0" xfId="6031" applyFont="1" applyAlignment="1">
      <alignment shrinkToFit="1"/>
    </xf>
    <xf numFmtId="171" fontId="258" fillId="0" borderId="0" xfId="6032" applyNumberFormat="1" applyFont="1"/>
    <xf numFmtId="0" fontId="280" fillId="0" borderId="0" xfId="6031" applyFont="1"/>
    <xf numFmtId="0" fontId="265" fillId="0" borderId="0" xfId="666" applyFont="1" applyFill="1" applyAlignment="1">
      <alignment horizontal="center" vertical="center" wrapText="1"/>
    </xf>
    <xf numFmtId="0" fontId="280" fillId="0" borderId="62" xfId="0" applyFont="1" applyBorder="1" applyAlignment="1">
      <alignment horizontal="center"/>
    </xf>
    <xf numFmtId="0" fontId="252" fillId="0" borderId="0" xfId="0" applyFont="1" applyAlignment="1">
      <alignment horizontal="center" wrapText="1"/>
    </xf>
    <xf numFmtId="170" fontId="236" fillId="0" borderId="0" xfId="1" applyNumberFormat="1" applyFill="1" applyAlignment="1">
      <alignment horizontal="right"/>
    </xf>
    <xf numFmtId="0" fontId="259" fillId="0" borderId="67" xfId="6020" applyFont="1" applyBorder="1"/>
    <xf numFmtId="14" fontId="0" fillId="0" borderId="0" xfId="0" applyNumberFormat="1"/>
    <xf numFmtId="0" fontId="0" fillId="0" borderId="0" xfId="0" applyAlignment="1">
      <alignment shrinkToFit="1"/>
    </xf>
    <xf numFmtId="171" fontId="0" fillId="0" borderId="0" xfId="0" applyNumberFormat="1"/>
    <xf numFmtId="0" fontId="258" fillId="0" borderId="60" xfId="0" applyFont="1" applyBorder="1" applyAlignment="1">
      <alignment horizontal="left"/>
    </xf>
    <xf numFmtId="0" fontId="258" fillId="0" borderId="61" xfId="0" applyFont="1" applyBorder="1" applyAlignment="1">
      <alignment horizontal="left"/>
    </xf>
    <xf numFmtId="14" fontId="258" fillId="0" borderId="61" xfId="0" applyNumberFormat="1" applyFont="1" applyBorder="1" applyAlignment="1">
      <alignment horizontal="left"/>
    </xf>
    <xf numFmtId="182" fontId="300" fillId="0" borderId="0" xfId="0" applyNumberFormat="1" applyFont="1" applyAlignment="1">
      <alignment horizontal="left" wrapText="1"/>
    </xf>
    <xf numFmtId="14" fontId="300" fillId="0" borderId="0" xfId="0" applyNumberFormat="1" applyFont="1" applyAlignment="1">
      <alignment horizontal="left" wrapText="1"/>
    </xf>
    <xf numFmtId="180" fontId="300" fillId="0" borderId="0" xfId="0" quotePrefix="1" applyNumberFormat="1" applyFont="1" applyAlignment="1">
      <alignment horizontal="left" wrapText="1"/>
    </xf>
    <xf numFmtId="180" fontId="300" fillId="0" borderId="0" xfId="0" applyNumberFormat="1" applyFont="1" applyAlignment="1">
      <alignment horizontal="left" wrapText="1"/>
    </xf>
    <xf numFmtId="0" fontId="258" fillId="17" borderId="0" xfId="623" applyFont="1" applyFill="1" applyAlignment="1">
      <alignment horizontal="center" vertical="center"/>
    </xf>
    <xf numFmtId="0" fontId="262" fillId="16" borderId="65" xfId="6031" applyFont="1" applyFill="1" applyBorder="1" applyAlignment="1">
      <alignment horizontal="left" vertical="center"/>
    </xf>
    <xf numFmtId="0" fontId="262" fillId="16" borderId="65" xfId="6031" applyFont="1" applyFill="1" applyBorder="1" applyAlignment="1">
      <alignment horizontal="left" vertical="center" shrinkToFit="1"/>
    </xf>
    <xf numFmtId="0" fontId="259" fillId="0" borderId="67" xfId="6020" applyFont="1" applyBorder="1" applyAlignment="1">
      <alignment shrinkToFit="1"/>
    </xf>
    <xf numFmtId="0" fontId="262" fillId="24" borderId="0" xfId="0" applyFont="1" applyFill="1" applyAlignment="1">
      <alignment horizontal="center" vertical="center"/>
    </xf>
    <xf numFmtId="0" fontId="262" fillId="25" borderId="0" xfId="0" applyFont="1" applyFill="1" applyAlignment="1">
      <alignment horizontal="center" vertical="center"/>
    </xf>
    <xf numFmtId="0" fontId="295" fillId="0" borderId="67" xfId="697" applyFont="1" applyBorder="1" applyAlignment="1">
      <alignment horizontal="left" vertical="center"/>
    </xf>
    <xf numFmtId="177" fontId="259" fillId="0" borderId="67" xfId="672" applyNumberFormat="1" applyFont="1" applyFill="1" applyBorder="1" applyAlignment="1">
      <alignment horizontal="left" vertical="center" wrapText="1"/>
    </xf>
    <xf numFmtId="171" fontId="259" fillId="0" borderId="67" xfId="3" applyNumberFormat="1" applyFont="1" applyFill="1" applyBorder="1" applyAlignment="1">
      <alignment horizontal="left" vertical="center" wrapText="1"/>
    </xf>
    <xf numFmtId="0" fontId="301" fillId="0" borderId="0" xfId="669" applyFont="1"/>
    <xf numFmtId="171" fontId="258" fillId="0" borderId="67" xfId="1" applyNumberFormat="1" applyFont="1" applyFill="1" applyBorder="1"/>
    <xf numFmtId="171" fontId="258" fillId="0" borderId="67" xfId="669" applyNumberFormat="1" applyFont="1" applyBorder="1"/>
    <xf numFmtId="0" fontId="302" fillId="0" borderId="0" xfId="669" applyFont="1"/>
    <xf numFmtId="167" fontId="304" fillId="0" borderId="5" xfId="1" applyNumberFormat="1" applyFont="1" applyFill="1" applyBorder="1" applyAlignment="1" applyProtection="1">
      <alignment vertical="center"/>
    </xf>
    <xf numFmtId="0" fontId="253" fillId="0" borderId="0" xfId="0" applyFont="1" applyAlignment="1">
      <alignment vertical="center"/>
    </xf>
    <xf numFmtId="0" fontId="296" fillId="0" borderId="67" xfId="0" applyFont="1" applyBorder="1" applyAlignment="1">
      <alignment horizontal="center" vertical="center" wrapText="1"/>
    </xf>
    <xf numFmtId="14" fontId="262" fillId="0" borderId="67" xfId="0" applyNumberFormat="1" applyFont="1" applyBorder="1" applyAlignment="1">
      <alignment vertical="center"/>
    </xf>
    <xf numFmtId="171" fontId="266" fillId="0" borderId="67" xfId="1" applyNumberFormat="1" applyFont="1" applyFill="1" applyBorder="1"/>
    <xf numFmtId="0" fontId="254" fillId="0" borderId="0" xfId="0" applyFont="1" applyAlignment="1">
      <alignment horizontal="center" vertical="center"/>
    </xf>
    <xf numFmtId="0" fontId="253" fillId="0" borderId="0" xfId="0" applyFont="1"/>
    <xf numFmtId="3" fontId="253" fillId="0" borderId="0" xfId="0" applyNumberFormat="1" applyFont="1"/>
    <xf numFmtId="4" fontId="253" fillId="0" borderId="0" xfId="0" applyNumberFormat="1" applyFont="1"/>
    <xf numFmtId="0" fontId="262" fillId="0" borderId="65" xfId="6031" applyFont="1" applyBorder="1" applyAlignment="1">
      <alignment horizontal="left" vertical="center"/>
    </xf>
    <xf numFmtId="0" fontId="262" fillId="0" borderId="65" xfId="6031" applyFont="1" applyBorder="1" applyAlignment="1">
      <alignment horizontal="left" vertical="center" shrinkToFit="1"/>
    </xf>
    <xf numFmtId="0" fontId="262" fillId="0" borderId="65" xfId="6031" applyFont="1" applyBorder="1" applyAlignment="1">
      <alignment horizontal="center" vertical="center"/>
    </xf>
    <xf numFmtId="0" fontId="262" fillId="0" borderId="65" xfId="6031" applyFont="1" applyBorder="1" applyAlignment="1">
      <alignment vertical="center"/>
    </xf>
    <xf numFmtId="171" fontId="262" fillId="0" borderId="65" xfId="6032" applyNumberFormat="1" applyFont="1" applyBorder="1" applyAlignment="1">
      <alignment vertical="center"/>
    </xf>
    <xf numFmtId="174" fontId="262" fillId="0" borderId="65" xfId="6032" applyNumberFormat="1" applyFont="1" applyBorder="1" applyAlignment="1">
      <alignment vertical="center"/>
    </xf>
    <xf numFmtId="171" fontId="262" fillId="0" borderId="65" xfId="6032" applyNumberFormat="1" applyFont="1" applyBorder="1" applyAlignment="1">
      <alignment horizontal="center" vertical="center"/>
    </xf>
    <xf numFmtId="171" fontId="262" fillId="0" borderId="65" xfId="6031" applyNumberFormat="1" applyFont="1" applyBorder="1" applyAlignment="1">
      <alignment vertical="center"/>
    </xf>
    <xf numFmtId="9" fontId="262" fillId="0" borderId="65" xfId="6032" applyNumberFormat="1" applyFont="1" applyBorder="1" applyAlignment="1">
      <alignment vertical="center"/>
    </xf>
    <xf numFmtId="171" fontId="262" fillId="0" borderId="65" xfId="6032" quotePrefix="1" applyNumberFormat="1" applyFont="1" applyBorder="1" applyAlignment="1">
      <alignment vertical="center"/>
    </xf>
    <xf numFmtId="171" fontId="297" fillId="0" borderId="65" xfId="6032" applyNumberFormat="1" applyFont="1" applyBorder="1" applyAlignment="1">
      <alignment vertical="center"/>
    </xf>
    <xf numFmtId="171" fontId="297" fillId="0" borderId="65" xfId="6031" applyNumberFormat="1" applyFont="1" applyBorder="1" applyAlignment="1">
      <alignment vertical="center"/>
    </xf>
    <xf numFmtId="171" fontId="258" fillId="0" borderId="65" xfId="6031" applyNumberFormat="1" applyFont="1" applyBorder="1" applyAlignment="1">
      <alignment vertical="center"/>
    </xf>
    <xf numFmtId="1" fontId="258" fillId="0" borderId="65" xfId="6031" applyNumberFormat="1" applyFont="1" applyBorder="1" applyAlignment="1">
      <alignment vertical="center"/>
    </xf>
    <xf numFmtId="0" fontId="299" fillId="0" borderId="65" xfId="667" applyFont="1" applyBorder="1" applyAlignment="1" applyProtection="1">
      <alignment vertical="center"/>
    </xf>
    <xf numFmtId="0" fontId="258" fillId="0" borderId="0" xfId="6031" applyFont="1" applyAlignment="1">
      <alignment vertical="center"/>
    </xf>
    <xf numFmtId="176" fontId="262" fillId="0" borderId="67" xfId="627" applyNumberFormat="1" applyFont="1" applyBorder="1" applyAlignment="1">
      <alignment horizontal="left" vertical="center" wrapText="1"/>
    </xf>
    <xf numFmtId="0" fontId="305" fillId="0" borderId="0" xfId="6031" applyFont="1"/>
    <xf numFmtId="172" fontId="280" fillId="0" borderId="0" xfId="6031" applyNumberFormat="1" applyFont="1" applyAlignment="1">
      <alignment horizontal="center"/>
    </xf>
    <xf numFmtId="172" fontId="280" fillId="0" borderId="0" xfId="6031" applyNumberFormat="1" applyFont="1" applyAlignment="1">
      <alignment shrinkToFit="1"/>
    </xf>
    <xf numFmtId="0" fontId="280" fillId="0" borderId="0" xfId="6031" applyFont="1" applyAlignment="1">
      <alignment horizontal="center"/>
    </xf>
    <xf numFmtId="14" fontId="262" fillId="0" borderId="65" xfId="6031" applyNumberFormat="1" applyFont="1" applyBorder="1" applyAlignment="1">
      <alignment horizontal="center" vertical="center"/>
    </xf>
    <xf numFmtId="0" fontId="265" fillId="15" borderId="63" xfId="666" applyFont="1" applyFill="1" applyBorder="1" applyAlignment="1">
      <alignment horizontal="center" vertical="center" wrapText="1"/>
    </xf>
    <xf numFmtId="0" fontId="265" fillId="15" borderId="63" xfId="666" applyFont="1" applyFill="1" applyBorder="1" applyAlignment="1">
      <alignment horizontal="center" vertical="center" shrinkToFit="1"/>
    </xf>
    <xf numFmtId="184" fontId="265" fillId="15" borderId="63" xfId="6033" applyNumberFormat="1" applyFont="1" applyFill="1" applyBorder="1" applyAlignment="1">
      <alignment horizontal="center" vertical="center" wrapText="1"/>
    </xf>
    <xf numFmtId="0" fontId="260" fillId="15" borderId="63" xfId="666" applyFont="1" applyFill="1" applyBorder="1" applyAlignment="1">
      <alignment horizontal="center" vertical="center" wrapText="1"/>
    </xf>
    <xf numFmtId="0" fontId="265" fillId="15" borderId="69" xfId="666" applyFont="1" applyFill="1" applyBorder="1" applyAlignment="1">
      <alignment horizontal="center" vertical="center" wrapText="1"/>
    </xf>
    <xf numFmtId="0" fontId="265" fillId="15" borderId="64" xfId="666" applyFont="1" applyFill="1" applyBorder="1" applyAlignment="1">
      <alignment horizontal="center" vertical="center" wrapText="1"/>
    </xf>
    <xf numFmtId="0" fontId="262" fillId="26" borderId="65" xfId="6031" applyFont="1" applyFill="1" applyBorder="1" applyAlignment="1">
      <alignment horizontal="left" vertical="center"/>
    </xf>
    <xf numFmtId="0" fontId="262" fillId="26" borderId="65" xfId="6031" applyFont="1" applyFill="1" applyBorder="1" applyAlignment="1">
      <alignment horizontal="left" vertical="center" shrinkToFit="1"/>
    </xf>
    <xf numFmtId="0" fontId="262" fillId="26" borderId="65" xfId="6031" applyFont="1" applyFill="1" applyBorder="1" applyAlignment="1">
      <alignment horizontal="center" vertical="center"/>
    </xf>
    <xf numFmtId="0" fontId="262" fillId="26" borderId="65" xfId="6031" applyFont="1" applyFill="1" applyBorder="1" applyAlignment="1">
      <alignment vertical="center"/>
    </xf>
    <xf numFmtId="167" fontId="262" fillId="26" borderId="53" xfId="1" applyNumberFormat="1" applyFont="1" applyFill="1" applyBorder="1" applyAlignment="1" applyProtection="1">
      <alignment vertical="center"/>
    </xf>
    <xf numFmtId="171" fontId="262" fillId="26" borderId="65" xfId="6032" applyNumberFormat="1" applyFont="1" applyFill="1" applyBorder="1" applyAlignment="1">
      <alignment vertical="center"/>
    </xf>
    <xf numFmtId="174" fontId="262" fillId="26" borderId="65" xfId="6032" applyNumberFormat="1" applyFont="1" applyFill="1" applyBorder="1" applyAlignment="1">
      <alignment vertical="center"/>
    </xf>
    <xf numFmtId="171" fontId="262" fillId="26" borderId="65" xfId="6032" applyNumberFormat="1" applyFont="1" applyFill="1" applyBorder="1" applyAlignment="1">
      <alignment horizontal="center" vertical="center"/>
    </xf>
    <xf numFmtId="171" fontId="262" fillId="26" borderId="65" xfId="6031" applyNumberFormat="1" applyFont="1" applyFill="1" applyBorder="1" applyAlignment="1">
      <alignment vertical="center"/>
    </xf>
    <xf numFmtId="9" fontId="262" fillId="26" borderId="65" xfId="6032" applyNumberFormat="1" applyFont="1" applyFill="1" applyBorder="1" applyAlignment="1">
      <alignment vertical="center"/>
    </xf>
    <xf numFmtId="171" fontId="262" fillId="26" borderId="65" xfId="6032" quotePrefix="1" applyNumberFormat="1" applyFont="1" applyFill="1" applyBorder="1" applyAlignment="1">
      <alignment vertical="center"/>
    </xf>
    <xf numFmtId="171" fontId="297" fillId="26" borderId="65" xfId="6032" applyNumberFormat="1" applyFont="1" applyFill="1" applyBorder="1" applyAlignment="1">
      <alignment vertical="center"/>
    </xf>
    <xf numFmtId="171" fontId="297" fillId="26" borderId="65" xfId="6031" applyNumberFormat="1" applyFont="1" applyFill="1" applyBorder="1" applyAlignment="1">
      <alignment vertical="center"/>
    </xf>
    <xf numFmtId="171" fontId="258" fillId="26" borderId="65" xfId="6031" applyNumberFormat="1" applyFont="1" applyFill="1" applyBorder="1" applyAlignment="1">
      <alignment vertical="center"/>
    </xf>
    <xf numFmtId="1" fontId="258" fillId="26" borderId="65" xfId="6031" applyNumberFormat="1" applyFont="1" applyFill="1" applyBorder="1" applyAlignment="1">
      <alignment vertical="center"/>
    </xf>
    <xf numFmtId="0" fontId="299" fillId="26" borderId="65" xfId="667" applyFont="1" applyFill="1" applyBorder="1" applyAlignment="1" applyProtection="1">
      <alignment vertical="center"/>
    </xf>
    <xf numFmtId="0" fontId="298" fillId="15" borderId="0" xfId="0" applyFont="1" applyFill="1" applyAlignment="1">
      <alignment wrapText="1"/>
    </xf>
    <xf numFmtId="0" fontId="278" fillId="26" borderId="67" xfId="6020" applyFont="1" applyFill="1" applyBorder="1"/>
    <xf numFmtId="14" fontId="278" fillId="26" borderId="67" xfId="6020" applyNumberFormat="1" applyFont="1" applyFill="1" applyBorder="1"/>
    <xf numFmtId="0" fontId="278" fillId="26" borderId="67" xfId="6020" applyFont="1" applyFill="1" applyBorder="1" applyAlignment="1">
      <alignment shrinkToFit="1"/>
    </xf>
    <xf numFmtId="167" fontId="259" fillId="26" borderId="67" xfId="1" applyNumberFormat="1" applyFont="1" applyFill="1" applyBorder="1"/>
    <xf numFmtId="171" fontId="278" fillId="26" borderId="67" xfId="6021" applyNumberFormat="1" applyFont="1" applyFill="1" applyBorder="1"/>
    <xf numFmtId="171" fontId="270" fillId="26" borderId="67" xfId="6020" applyNumberFormat="1" applyFont="1" applyFill="1" applyBorder="1"/>
    <xf numFmtId="0" fontId="258" fillId="0" borderId="0" xfId="0" applyFont="1"/>
    <xf numFmtId="0" fontId="252" fillId="0" borderId="36" xfId="0" applyFont="1" applyBorder="1" applyAlignment="1">
      <alignment horizontal="center" vertical="center" wrapText="1"/>
    </xf>
    <xf numFmtId="176" fontId="262" fillId="0" borderId="36" xfId="627" applyNumberFormat="1" applyFont="1" applyBorder="1" applyAlignment="1">
      <alignment horizontal="left" vertical="center" wrapText="1"/>
    </xf>
    <xf numFmtId="176" fontId="262" fillId="0" borderId="36" xfId="627" applyNumberFormat="1" applyFont="1" applyBorder="1" applyAlignment="1">
      <alignment horizontal="right" vertical="center" wrapText="1"/>
    </xf>
    <xf numFmtId="176" fontId="262" fillId="0" borderId="36" xfId="627" applyNumberFormat="1" applyFont="1" applyBorder="1" applyAlignment="1">
      <alignment horizontal="left" vertical="center" shrinkToFit="1"/>
    </xf>
    <xf numFmtId="0" fontId="252" fillId="0" borderId="67" xfId="0" applyFont="1" applyBorder="1" applyAlignment="1">
      <alignment horizontal="center" vertical="center" wrapText="1"/>
    </xf>
    <xf numFmtId="176" fontId="262" fillId="0" borderId="67" xfId="627" applyNumberFormat="1" applyFont="1" applyBorder="1" applyAlignment="1">
      <alignment horizontal="right" vertical="center" wrapText="1"/>
    </xf>
    <xf numFmtId="176" fontId="262" fillId="0" borderId="67" xfId="627" applyNumberFormat="1" applyFont="1" applyBorder="1" applyAlignment="1">
      <alignment horizontal="left" vertical="center" shrinkToFit="1"/>
    </xf>
    <xf numFmtId="0" fontId="258" fillId="0" borderId="0" xfId="0" applyFont="1" applyAlignment="1">
      <alignment shrinkToFit="1"/>
    </xf>
    <xf numFmtId="14" fontId="258" fillId="0" borderId="0" xfId="0" applyNumberFormat="1" applyFont="1"/>
    <xf numFmtId="1" fontId="236" fillId="0" borderId="14" xfId="1" applyNumberFormat="1" applyFill="1" applyBorder="1" applyAlignment="1">
      <alignment horizontal="center"/>
    </xf>
    <xf numFmtId="167" fontId="236" fillId="0" borderId="37" xfId="1" applyNumberFormat="1" applyFill="1" applyBorder="1"/>
    <xf numFmtId="1" fontId="236" fillId="0" borderId="67" xfId="1" applyNumberFormat="1" applyFill="1" applyBorder="1" applyAlignment="1">
      <alignment horizontal="center"/>
    </xf>
    <xf numFmtId="167" fontId="236" fillId="0" borderId="67" xfId="1" applyNumberFormat="1" applyFill="1" applyBorder="1"/>
    <xf numFmtId="169" fontId="236" fillId="0" borderId="67" xfId="1" applyNumberFormat="1" applyFill="1" applyBorder="1" applyAlignment="1">
      <alignment horizontal="center"/>
    </xf>
    <xf numFmtId="14" fontId="262" fillId="0" borderId="67" xfId="0" applyNumberFormat="1" applyFont="1" applyBorder="1" applyAlignment="1">
      <alignment horizontal="center" vertical="center"/>
    </xf>
    <xf numFmtId="14" fontId="252" fillId="0" borderId="31" xfId="0" applyNumberFormat="1" applyFont="1" applyBorder="1" applyAlignment="1">
      <alignment horizontal="center"/>
    </xf>
    <xf numFmtId="0" fontId="258" fillId="0" borderId="33" xfId="0" applyFont="1" applyBorder="1" applyAlignment="1">
      <alignment horizontal="center" vertical="center"/>
    </xf>
    <xf numFmtId="0" fontId="258" fillId="0" borderId="22" xfId="0" applyFont="1" applyBorder="1" applyAlignment="1">
      <alignment horizontal="center" vertical="center"/>
    </xf>
    <xf numFmtId="169" fontId="258" fillId="0" borderId="22" xfId="0" quotePrefix="1" applyNumberFormat="1" applyFont="1" applyBorder="1" applyAlignment="1">
      <alignment horizontal="center" vertical="center"/>
    </xf>
    <xf numFmtId="169" fontId="307" fillId="0" borderId="14" xfId="1" applyNumberFormat="1" applyFont="1" applyFill="1" applyBorder="1" applyAlignment="1">
      <alignment horizontal="center"/>
    </xf>
    <xf numFmtId="169" fontId="307" fillId="0" borderId="67" xfId="1" applyNumberFormat="1" applyFont="1" applyFill="1" applyBorder="1" applyAlignment="1">
      <alignment horizontal="center"/>
    </xf>
    <xf numFmtId="169" fontId="258" fillId="0" borderId="22" xfId="0" applyNumberFormat="1" applyFont="1" applyBorder="1" applyAlignment="1">
      <alignment horizontal="center" vertical="center"/>
    </xf>
    <xf numFmtId="14" fontId="252" fillId="0" borderId="67" xfId="0" applyNumberFormat="1" applyFont="1" applyBorder="1" applyAlignment="1">
      <alignment horizontal="center"/>
    </xf>
    <xf numFmtId="0" fontId="306" fillId="0" borderId="0" xfId="0" applyFont="1"/>
    <xf numFmtId="0" fontId="258" fillId="0" borderId="62" xfId="0" applyFont="1" applyBorder="1" applyAlignment="1">
      <alignment horizontal="center"/>
    </xf>
    <xf numFmtId="0" fontId="252" fillId="26" borderId="36" xfId="0" applyFont="1" applyFill="1" applyBorder="1" applyAlignment="1">
      <alignment horizontal="center" vertical="center" wrapText="1"/>
    </xf>
    <xf numFmtId="0" fontId="259" fillId="26" borderId="67" xfId="6020" applyFont="1" applyFill="1" applyBorder="1"/>
    <xf numFmtId="176" fontId="262" fillId="26" borderId="36" xfId="627" applyNumberFormat="1" applyFont="1" applyFill="1" applyBorder="1" applyAlignment="1">
      <alignment horizontal="left" vertical="center" wrapText="1"/>
    </xf>
    <xf numFmtId="176" fontId="262" fillId="26" borderId="36" xfId="627" applyNumberFormat="1" applyFont="1" applyFill="1" applyBorder="1" applyAlignment="1">
      <alignment horizontal="right" vertical="center" wrapText="1"/>
    </xf>
    <xf numFmtId="176" fontId="262" fillId="26" borderId="36" xfId="627" applyNumberFormat="1" applyFont="1" applyFill="1" applyBorder="1" applyAlignment="1">
      <alignment horizontal="left" vertical="center" shrinkToFit="1"/>
    </xf>
    <xf numFmtId="14" fontId="252" fillId="26" borderId="31" xfId="0" applyNumberFormat="1" applyFont="1" applyFill="1" applyBorder="1" applyAlignment="1">
      <alignment horizontal="center"/>
    </xf>
    <xf numFmtId="0" fontId="258" fillId="26" borderId="33" xfId="0" applyFont="1" applyFill="1" applyBorder="1" applyAlignment="1">
      <alignment horizontal="center" vertical="center"/>
    </xf>
    <xf numFmtId="0" fontId="258" fillId="26" borderId="22" xfId="0" applyFont="1" applyFill="1" applyBorder="1" applyAlignment="1">
      <alignment horizontal="center" vertical="center"/>
    </xf>
    <xf numFmtId="169" fontId="258" fillId="26" borderId="22" xfId="0" quotePrefix="1" applyNumberFormat="1" applyFont="1" applyFill="1" applyBorder="1" applyAlignment="1">
      <alignment horizontal="center" vertical="center"/>
    </xf>
    <xf numFmtId="1" fontId="236" fillId="26" borderId="14" xfId="1" applyNumberFormat="1" applyFill="1" applyBorder="1" applyAlignment="1">
      <alignment horizontal="center"/>
    </xf>
    <xf numFmtId="169" fontId="307" fillId="26" borderId="14" xfId="1" applyNumberFormat="1" applyFont="1" applyFill="1" applyBorder="1" applyAlignment="1">
      <alignment horizontal="center"/>
    </xf>
    <xf numFmtId="169" fontId="307" fillId="26" borderId="67" xfId="1" applyNumberFormat="1" applyFont="1" applyFill="1" applyBorder="1" applyAlignment="1">
      <alignment horizontal="center"/>
    </xf>
    <xf numFmtId="167" fontId="236" fillId="26" borderId="37" xfId="1" applyNumberFormat="1" applyFill="1" applyBorder="1"/>
    <xf numFmtId="173" fontId="259" fillId="0" borderId="23" xfId="628" applyNumberFormat="1" applyFont="1" applyFill="1" applyBorder="1" applyAlignment="1">
      <alignment vertical="center"/>
    </xf>
    <xf numFmtId="0" fontId="262" fillId="0" borderId="0" xfId="0" applyFont="1" applyAlignment="1">
      <alignment horizontal="center" vertical="center"/>
    </xf>
    <xf numFmtId="0" fontId="0" fillId="0" borderId="36" xfId="0" applyBorder="1"/>
    <xf numFmtId="170" fontId="236" fillId="0" borderId="0" xfId="1" applyNumberFormat="1" applyAlignment="1">
      <alignment horizontal="right"/>
    </xf>
    <xf numFmtId="0" fontId="0" fillId="16" borderId="0" xfId="0" applyFill="1"/>
    <xf numFmtId="3" fontId="262" fillId="0" borderId="67" xfId="0" applyNumberFormat="1" applyFont="1" applyBorder="1" applyAlignment="1">
      <alignment vertical="center"/>
    </xf>
    <xf numFmtId="3" fontId="252" fillId="0" borderId="8" xfId="0" applyNumberFormat="1" applyFont="1" applyBorder="1" applyAlignment="1">
      <alignment vertical="center"/>
    </xf>
    <xf numFmtId="166" fontId="252" fillId="0" borderId="5" xfId="1" applyFont="1" applyFill="1" applyBorder="1" applyAlignment="1" applyProtection="1">
      <alignment vertical="center"/>
    </xf>
    <xf numFmtId="9" fontId="308" fillId="0" borderId="1" xfId="0" applyNumberFormat="1" applyFont="1" applyBorder="1" applyAlignment="1">
      <alignment vertical="center" wrapText="1"/>
    </xf>
    <xf numFmtId="0" fontId="252" fillId="0" borderId="86" xfId="0" applyFont="1" applyBorder="1" applyAlignment="1">
      <alignment horizontal="center" vertical="center" wrapText="1"/>
    </xf>
    <xf numFmtId="14" fontId="252" fillId="0" borderId="67" xfId="0" applyNumberFormat="1" applyFont="1" applyBorder="1" applyAlignment="1">
      <alignment vertical="center"/>
    </xf>
    <xf numFmtId="167" fontId="252" fillId="0" borderId="85" xfId="1" applyNumberFormat="1" applyFont="1" applyFill="1" applyBorder="1" applyAlignment="1" applyProtection="1">
      <alignment vertical="center"/>
    </xf>
    <xf numFmtId="167" fontId="304" fillId="0" borderId="85" xfId="1" applyNumberFormat="1" applyFont="1" applyFill="1" applyBorder="1" applyAlignment="1" applyProtection="1">
      <alignment vertical="center"/>
    </xf>
    <xf numFmtId="167" fontId="252" fillId="0" borderId="5" xfId="1" applyNumberFormat="1" applyFont="1" applyFill="1" applyBorder="1" applyAlignment="1" applyProtection="1">
      <alignment vertical="center"/>
    </xf>
    <xf numFmtId="4" fontId="262" fillId="15" borderId="15" xfId="0" applyNumberFormat="1" applyFont="1" applyFill="1" applyBorder="1" applyAlignment="1">
      <alignment vertical="center" wrapText="1"/>
    </xf>
    <xf numFmtId="4" fontId="262" fillId="15" borderId="16" xfId="0" applyNumberFormat="1" applyFont="1" applyFill="1" applyBorder="1" applyAlignment="1">
      <alignment vertical="center" wrapText="1"/>
    </xf>
    <xf numFmtId="4" fontId="262" fillId="15" borderId="17" xfId="0" applyNumberFormat="1" applyFont="1" applyFill="1" applyBorder="1" applyAlignment="1">
      <alignment vertical="center" wrapText="1"/>
    </xf>
    <xf numFmtId="0" fontId="262" fillId="26" borderId="58" xfId="0" applyFont="1" applyFill="1" applyBorder="1" applyAlignment="1">
      <alignment horizontal="center" vertical="center" wrapText="1"/>
    </xf>
    <xf numFmtId="14" fontId="262" fillId="26" borderId="0" xfId="0" applyNumberFormat="1" applyFont="1" applyFill="1" applyAlignment="1">
      <alignment vertical="center"/>
    </xf>
    <xf numFmtId="3" fontId="262" fillId="26" borderId="67" xfId="0" applyNumberFormat="1" applyFont="1" applyFill="1" applyBorder="1" applyAlignment="1">
      <alignment vertical="center"/>
    </xf>
    <xf numFmtId="166" fontId="262" fillId="26" borderId="8" xfId="1" applyFont="1" applyFill="1" applyBorder="1" applyAlignment="1" applyProtection="1">
      <alignment vertical="center"/>
    </xf>
    <xf numFmtId="166" fontId="262" fillId="26" borderId="2" xfId="1" applyFont="1" applyFill="1" applyBorder="1" applyAlignment="1" applyProtection="1">
      <alignment vertical="center"/>
    </xf>
    <xf numFmtId="167" fontId="262" fillId="26" borderId="1" xfId="1" applyNumberFormat="1" applyFont="1" applyFill="1" applyBorder="1" applyAlignment="1" applyProtection="1">
      <alignment vertical="center"/>
    </xf>
    <xf numFmtId="167" fontId="297" fillId="26" borderId="1" xfId="1" applyNumberFormat="1" applyFont="1" applyFill="1" applyBorder="1" applyAlignment="1" applyProtection="1">
      <alignment vertical="center"/>
    </xf>
    <xf numFmtId="167" fontId="297" fillId="26" borderId="2" xfId="1" applyNumberFormat="1" applyFont="1" applyFill="1" applyBorder="1" applyAlignment="1" applyProtection="1">
      <alignment vertical="center"/>
    </xf>
    <xf numFmtId="167" fontId="262" fillId="26" borderId="2" xfId="1" applyNumberFormat="1" applyFont="1" applyFill="1" applyBorder="1" applyAlignment="1" applyProtection="1">
      <alignment vertical="center"/>
    </xf>
    <xf numFmtId="0" fontId="262" fillId="15" borderId="63" xfId="666" applyFont="1" applyFill="1" applyBorder="1" applyAlignment="1">
      <alignment horizontal="center" vertical="center" wrapText="1"/>
    </xf>
    <xf numFmtId="0" fontId="296" fillId="15" borderId="70" xfId="0" applyFont="1" applyFill="1" applyBorder="1" applyAlignment="1">
      <alignment vertical="center" wrapText="1"/>
    </xf>
    <xf numFmtId="3" fontId="296" fillId="15" borderId="70" xfId="0" applyNumberFormat="1" applyFont="1" applyFill="1" applyBorder="1" applyAlignment="1">
      <alignment vertical="center" wrapText="1"/>
    </xf>
    <xf numFmtId="0" fontId="296" fillId="15" borderId="70" xfId="0" applyFont="1" applyFill="1" applyBorder="1" applyAlignment="1">
      <alignment horizontal="center" vertical="center" wrapText="1"/>
    </xf>
    <xf numFmtId="9" fontId="296" fillId="15" borderId="70" xfId="0" applyNumberFormat="1" applyFont="1" applyFill="1" applyBorder="1" applyAlignment="1">
      <alignment horizontal="center" vertical="center" wrapText="1"/>
    </xf>
    <xf numFmtId="0" fontId="296" fillId="0" borderId="67" xfId="0" applyFont="1" applyBorder="1" applyAlignment="1">
      <alignment vertical="center"/>
    </xf>
    <xf numFmtId="170" fontId="262" fillId="0" borderId="67" xfId="1" applyNumberFormat="1" applyFont="1" applyFill="1" applyBorder="1" applyAlignment="1" applyProtection="1">
      <alignment vertical="center"/>
    </xf>
    <xf numFmtId="171" fontId="309" fillId="0" borderId="67" xfId="0" applyNumberFormat="1" applyFont="1" applyBorder="1" applyAlignment="1">
      <alignment horizontal="center" vertical="center"/>
    </xf>
    <xf numFmtId="0" fontId="309" fillId="0" borderId="0" xfId="0" applyFont="1" applyAlignment="1">
      <alignment horizontal="center" vertical="center"/>
    </xf>
    <xf numFmtId="0" fontId="300" fillId="0" borderId="0" xfId="0" applyFont="1"/>
    <xf numFmtId="3" fontId="300" fillId="0" borderId="0" xfId="0" applyNumberFormat="1" applyFont="1"/>
    <xf numFmtId="4" fontId="300" fillId="0" borderId="0" xfId="0" applyNumberFormat="1" applyFont="1"/>
    <xf numFmtId="0" fontId="296" fillId="26" borderId="67" xfId="0" applyFont="1" applyFill="1" applyBorder="1" applyAlignment="1">
      <alignment horizontal="center" vertical="center" wrapText="1"/>
    </xf>
    <xf numFmtId="0" fontId="296" fillId="26" borderId="67" xfId="0" applyFont="1" applyFill="1" applyBorder="1" applyAlignment="1">
      <alignment vertical="center"/>
    </xf>
    <xf numFmtId="14" fontId="262" fillId="26" borderId="67" xfId="0" applyNumberFormat="1" applyFont="1" applyFill="1" applyBorder="1" applyAlignment="1">
      <alignment vertical="center"/>
    </xf>
    <xf numFmtId="170" fontId="262" fillId="26" borderId="67" xfId="1" applyNumberFormat="1" applyFont="1" applyFill="1" applyBorder="1" applyAlignment="1" applyProtection="1">
      <alignment vertical="center"/>
    </xf>
    <xf numFmtId="171" fontId="266" fillId="26" borderId="67" xfId="1" applyNumberFormat="1" applyFont="1" applyFill="1" applyBorder="1"/>
    <xf numFmtId="171" fontId="309" fillId="26" borderId="67" xfId="0" applyNumberFormat="1" applyFont="1" applyFill="1" applyBorder="1" applyAlignment="1">
      <alignment horizontal="center" vertical="center"/>
    </xf>
    <xf numFmtId="0" fontId="262" fillId="0" borderId="14" xfId="629" applyFont="1" applyBorder="1" applyAlignment="1">
      <alignment horizontal="right" wrapText="1"/>
    </xf>
    <xf numFmtId="0" fontId="262" fillId="0" borderId="14" xfId="629" applyFont="1" applyBorder="1" applyAlignment="1">
      <alignment vertical="center"/>
    </xf>
    <xf numFmtId="14" fontId="262" fillId="0" borderId="14" xfId="629" applyNumberFormat="1" applyFont="1" applyBorder="1" applyAlignment="1">
      <alignment vertical="center"/>
    </xf>
    <xf numFmtId="167" fontId="262" fillId="0" borderId="14" xfId="629" applyNumberFormat="1" applyFont="1" applyBorder="1" applyAlignment="1">
      <alignment vertical="center"/>
    </xf>
    <xf numFmtId="0" fontId="262" fillId="0" borderId="31" xfId="629" applyFont="1" applyBorder="1" applyAlignment="1">
      <alignment horizontal="right" wrapText="1"/>
    </xf>
    <xf numFmtId="14" fontId="262" fillId="0" borderId="31" xfId="629" applyNumberFormat="1" applyFont="1" applyBorder="1" applyAlignment="1">
      <alignment vertical="center"/>
    </xf>
    <xf numFmtId="0" fontId="262" fillId="0" borderId="31" xfId="629" applyFont="1" applyBorder="1" applyAlignment="1">
      <alignment vertical="center"/>
    </xf>
    <xf numFmtId="167" fontId="262" fillId="0" borderId="31" xfId="629" applyNumberFormat="1" applyFont="1" applyBorder="1" applyAlignment="1">
      <alignment vertical="center"/>
    </xf>
    <xf numFmtId="0" fontId="258" fillId="0" borderId="0" xfId="629" applyFont="1"/>
    <xf numFmtId="0" fontId="258" fillId="0" borderId="0" xfId="629" applyFont="1" applyAlignment="1">
      <alignment horizontal="center"/>
    </xf>
    <xf numFmtId="14" fontId="258" fillId="0" borderId="0" xfId="629" applyNumberFormat="1" applyFont="1" applyAlignment="1">
      <alignment horizontal="center"/>
    </xf>
    <xf numFmtId="0" fontId="262" fillId="0" borderId="0" xfId="629" applyFont="1" applyAlignment="1">
      <alignment horizontal="center"/>
    </xf>
    <xf numFmtId="0" fontId="258" fillId="0" borderId="0" xfId="629" applyFont="1" applyAlignment="1">
      <alignment vertical="center"/>
    </xf>
    <xf numFmtId="167" fontId="258" fillId="0" borderId="0" xfId="629" applyNumberFormat="1" applyFont="1" applyAlignment="1">
      <alignment vertical="center"/>
    </xf>
    <xf numFmtId="0" fontId="259" fillId="15" borderId="14" xfId="629" applyFont="1" applyFill="1" applyBorder="1" applyAlignment="1">
      <alignment horizontal="center" vertical="center" wrapText="1"/>
    </xf>
    <xf numFmtId="0" fontId="262" fillId="26" borderId="14" xfId="629" applyFont="1" applyFill="1" applyBorder="1" applyAlignment="1">
      <alignment horizontal="right" wrapText="1"/>
    </xf>
    <xf numFmtId="0" fontId="262" fillId="26" borderId="14" xfId="629" applyFont="1" applyFill="1" applyBorder="1" applyAlignment="1">
      <alignment vertical="center"/>
    </xf>
    <xf numFmtId="14" fontId="262" fillId="26" borderId="14" xfId="629" applyNumberFormat="1" applyFont="1" applyFill="1" applyBorder="1" applyAlignment="1">
      <alignment vertical="center"/>
    </xf>
    <xf numFmtId="167" fontId="262" fillId="26" borderId="14" xfId="629" applyNumberFormat="1" applyFont="1" applyFill="1" applyBorder="1" applyAlignment="1">
      <alignment vertical="center"/>
    </xf>
    <xf numFmtId="167" fontId="259" fillId="0" borderId="31" xfId="712" applyNumberFormat="1" applyFont="1" applyFill="1" applyBorder="1" applyAlignment="1">
      <alignment horizontal="center"/>
    </xf>
    <xf numFmtId="167" fontId="259" fillId="0" borderId="10" xfId="712" applyNumberFormat="1" applyFont="1" applyFill="1" applyBorder="1" applyAlignment="1">
      <alignment horizontal="center" vertical="center"/>
    </xf>
    <xf numFmtId="167" fontId="259" fillId="0" borderId="31" xfId="712" applyNumberFormat="1" applyFont="1" applyFill="1" applyBorder="1" applyAlignment="1">
      <alignment horizontal="center" vertical="center"/>
    </xf>
    <xf numFmtId="167" fontId="259" fillId="0" borderId="10" xfId="1" applyNumberFormat="1" applyFont="1" applyFill="1" applyBorder="1" applyAlignment="1">
      <alignment horizontal="center"/>
    </xf>
    <xf numFmtId="43" fontId="259" fillId="0" borderId="10" xfId="1" applyNumberFormat="1" applyFont="1" applyFill="1" applyBorder="1" applyAlignment="1">
      <alignment horizontal="center"/>
    </xf>
    <xf numFmtId="167" fontId="259" fillId="0" borderId="31" xfId="1" applyNumberFormat="1" applyFont="1" applyFill="1" applyBorder="1" applyAlignment="1">
      <alignment horizontal="left"/>
    </xf>
    <xf numFmtId="167" fontId="259" fillId="0" borderId="31" xfId="1" applyNumberFormat="1" applyFont="1" applyFill="1" applyBorder="1" applyAlignment="1">
      <alignment horizontal="center"/>
    </xf>
    <xf numFmtId="171" fontId="259" fillId="0" borderId="31" xfId="1" applyNumberFormat="1" applyFont="1" applyFill="1" applyBorder="1" applyAlignment="1">
      <alignment horizontal="center"/>
    </xf>
    <xf numFmtId="171" fontId="259" fillId="0" borderId="36" xfId="1" applyNumberFormat="1" applyFont="1" applyFill="1" applyBorder="1" applyAlignment="1">
      <alignment horizontal="center"/>
    </xf>
    <xf numFmtId="0" fontId="301" fillId="0" borderId="0" xfId="709" applyFont="1"/>
    <xf numFmtId="0" fontId="259" fillId="0" borderId="31" xfId="711" applyFont="1" applyBorder="1" applyAlignment="1">
      <alignment horizontal="center" vertical="center"/>
    </xf>
    <xf numFmtId="0" fontId="258" fillId="0" borderId="31" xfId="709" applyFont="1" applyBorder="1"/>
    <xf numFmtId="179" fontId="259" fillId="0" borderId="31" xfId="711" applyNumberFormat="1" applyFont="1" applyBorder="1" applyAlignment="1">
      <alignment horizontal="center"/>
    </xf>
    <xf numFmtId="0" fontId="259" fillId="0" borderId="0" xfId="711" applyFont="1" applyAlignment="1">
      <alignment horizontal="left"/>
    </xf>
    <xf numFmtId="0" fontId="259" fillId="0" borderId="31" xfId="711" applyFont="1" applyBorder="1" applyAlignment="1">
      <alignment horizontal="center"/>
    </xf>
    <xf numFmtId="0" fontId="259" fillId="0" borderId="31" xfId="711" applyFont="1" applyBorder="1" applyAlignment="1">
      <alignment horizontal="left" wrapText="1"/>
    </xf>
    <xf numFmtId="0" fontId="259" fillId="0" borderId="31" xfId="711" applyFont="1" applyBorder="1" applyAlignment="1">
      <alignment horizontal="center" vertical="center" wrapText="1"/>
    </xf>
    <xf numFmtId="0" fontId="259" fillId="0" borderId="4" xfId="711" applyFont="1" applyBorder="1" applyAlignment="1">
      <alignment horizontal="center"/>
    </xf>
    <xf numFmtId="0" fontId="259" fillId="0" borderId="10" xfId="711" applyFont="1" applyBorder="1" applyAlignment="1">
      <alignment horizontal="left"/>
    </xf>
    <xf numFmtId="0" fontId="259" fillId="0" borderId="32" xfId="711" applyFont="1" applyBorder="1" applyAlignment="1">
      <alignment horizontal="center"/>
    </xf>
    <xf numFmtId="0" fontId="259" fillId="0" borderId="32" xfId="711" applyFont="1" applyBorder="1" applyAlignment="1">
      <alignment horizontal="left"/>
    </xf>
    <xf numFmtId="0" fontId="259" fillId="0" borderId="10" xfId="581" applyFont="1" applyBorder="1" applyAlignment="1">
      <alignment horizontal="center"/>
    </xf>
    <xf numFmtId="0" fontId="259" fillId="0" borderId="31" xfId="711" applyFont="1" applyBorder="1" applyAlignment="1">
      <alignment horizontal="left"/>
    </xf>
    <xf numFmtId="169" fontId="259" fillId="0" borderId="31" xfId="581" applyNumberFormat="1" applyFont="1" applyBorder="1" applyAlignment="1">
      <alignment horizontal="center"/>
    </xf>
    <xf numFmtId="169" fontId="301" fillId="0" borderId="0" xfId="709" applyNumberFormat="1" applyFont="1"/>
    <xf numFmtId="43" fontId="301" fillId="0" borderId="0" xfId="709" applyNumberFormat="1" applyFont="1"/>
    <xf numFmtId="169" fontId="259" fillId="0" borderId="36" xfId="581" applyNumberFormat="1" applyFont="1" applyBorder="1" applyAlignment="1">
      <alignment horizontal="center"/>
    </xf>
    <xf numFmtId="169" fontId="259" fillId="0" borderId="56" xfId="581" applyNumberFormat="1" applyFont="1" applyBorder="1" applyAlignment="1">
      <alignment horizontal="center"/>
    </xf>
    <xf numFmtId="0" fontId="259" fillId="0" borderId="31" xfId="581" applyFont="1" applyBorder="1" applyAlignment="1">
      <alignment horizontal="center"/>
    </xf>
    <xf numFmtId="0" fontId="259" fillId="0" borderId="24" xfId="711" applyFont="1" applyBorder="1"/>
    <xf numFmtId="0" fontId="259" fillId="0" borderId="25" xfId="711" applyFont="1" applyBorder="1"/>
    <xf numFmtId="0" fontId="259" fillId="0" borderId="26" xfId="711" applyFont="1" applyBorder="1"/>
    <xf numFmtId="0" fontId="301" fillId="0" borderId="36" xfId="709" applyFont="1" applyBorder="1"/>
    <xf numFmtId="167" fontId="236" fillId="0" borderId="36" xfId="1" applyNumberFormat="1" applyFill="1" applyBorder="1"/>
    <xf numFmtId="169" fontId="259" fillId="0" borderId="31" xfId="709" applyNumberFormat="1" applyFont="1" applyBorder="1" applyAlignment="1">
      <alignment horizontal="center" vertical="center"/>
    </xf>
    <xf numFmtId="0" fontId="259" fillId="0" borderId="11" xfId="711" applyFont="1" applyBorder="1"/>
    <xf numFmtId="0" fontId="259" fillId="0" borderId="4" xfId="711" applyFont="1" applyBorder="1" applyAlignment="1">
      <alignment wrapText="1"/>
    </xf>
    <xf numFmtId="0" fontId="259" fillId="0" borderId="4" xfId="711" applyFont="1" applyBorder="1" applyAlignment="1">
      <alignment horizontal="left"/>
    </xf>
    <xf numFmtId="0" fontId="0" fillId="0" borderId="56" xfId="0" applyBorder="1"/>
    <xf numFmtId="183" fontId="259" fillId="0" borderId="31" xfId="711" applyNumberFormat="1" applyFont="1" applyBorder="1" applyAlignment="1">
      <alignment horizontal="center"/>
    </xf>
    <xf numFmtId="181" fontId="259" fillId="0" borderId="31" xfId="711" applyNumberFormat="1" applyFont="1" applyBorder="1" applyAlignment="1">
      <alignment horizontal="center"/>
    </xf>
    <xf numFmtId="0" fontId="258" fillId="26" borderId="31" xfId="709" applyFont="1" applyFill="1" applyBorder="1" applyAlignment="1">
      <alignment vertical="center"/>
    </xf>
    <xf numFmtId="0" fontId="259" fillId="26" borderId="31" xfId="711" applyFont="1" applyFill="1" applyBorder="1" applyAlignment="1">
      <alignment horizontal="center" vertical="center"/>
    </xf>
    <xf numFmtId="179" fontId="259" fillId="26" borderId="31" xfId="711" applyNumberFormat="1" applyFont="1" applyFill="1" applyBorder="1" applyAlignment="1">
      <alignment horizontal="center" vertical="center"/>
    </xf>
    <xf numFmtId="167" fontId="259" fillId="26" borderId="31" xfId="712" applyNumberFormat="1" applyFont="1" applyFill="1" applyBorder="1" applyAlignment="1">
      <alignment vertical="center"/>
    </xf>
    <xf numFmtId="0" fontId="259" fillId="15" borderId="67" xfId="0" applyFont="1" applyFill="1" applyBorder="1" applyAlignment="1">
      <alignment horizontal="center" vertical="center"/>
    </xf>
    <xf numFmtId="0" fontId="259" fillId="15" borderId="67" xfId="0" applyFont="1" applyFill="1" applyBorder="1" applyAlignment="1">
      <alignment horizontal="center" vertical="center" wrapText="1"/>
    </xf>
    <xf numFmtId="0" fontId="259" fillId="15" borderId="67" xfId="669" applyFont="1" applyFill="1" applyBorder="1" applyAlignment="1">
      <alignment horizontal="center" vertical="center" wrapText="1"/>
    </xf>
    <xf numFmtId="0" fontId="295" fillId="26" borderId="67" xfId="697" applyFont="1" applyFill="1" applyBorder="1" applyAlignment="1">
      <alignment horizontal="left" vertical="center"/>
    </xf>
    <xf numFmtId="171" fontId="258" fillId="26" borderId="67" xfId="1" applyNumberFormat="1" applyFont="1" applyFill="1" applyBorder="1"/>
    <xf numFmtId="177" fontId="259" fillId="26" borderId="67" xfId="672" applyNumberFormat="1" applyFont="1" applyFill="1" applyBorder="1" applyAlignment="1">
      <alignment horizontal="left" vertical="center" wrapText="1"/>
    </xf>
    <xf numFmtId="171" fontId="259" fillId="26" borderId="67" xfId="3" applyNumberFormat="1" applyFont="1" applyFill="1" applyBorder="1" applyAlignment="1">
      <alignment horizontal="left" vertical="center" wrapText="1"/>
    </xf>
    <xf numFmtId="171" fontId="258" fillId="26" borderId="67" xfId="669" applyNumberFormat="1" applyFont="1" applyFill="1" applyBorder="1"/>
    <xf numFmtId="185" fontId="311" fillId="0" borderId="30" xfId="6021" applyNumberFormat="1" applyFont="1" applyBorder="1" applyAlignment="1">
      <alignment horizontal="center" vertical="center"/>
    </xf>
    <xf numFmtId="0" fontId="262" fillId="15" borderId="14" xfId="9" applyFont="1" applyFill="1" applyBorder="1" applyAlignment="1" applyProtection="1">
      <alignment horizontal="center" vertical="center"/>
    </xf>
    <xf numFmtId="0" fontId="262" fillId="15" borderId="19" xfId="9" applyFont="1" applyFill="1" applyBorder="1" applyAlignment="1" applyProtection="1">
      <alignment horizontal="center" wrapText="1"/>
    </xf>
    <xf numFmtId="14" fontId="258" fillId="15" borderId="21" xfId="629" applyNumberFormat="1" applyFont="1" applyFill="1" applyBorder="1" applyAlignment="1">
      <alignment horizontal="center" vertical="center"/>
    </xf>
    <xf numFmtId="0" fontId="262" fillId="15" borderId="18" xfId="9" applyFont="1" applyFill="1" applyBorder="1" applyAlignment="1" applyProtection="1">
      <alignment horizontal="center" vertical="center"/>
    </xf>
    <xf numFmtId="0" fontId="262" fillId="15" borderId="18" xfId="9" applyFont="1" applyFill="1" applyBorder="1" applyAlignment="1" applyProtection="1">
      <alignment horizontal="center" vertical="center" wrapText="1"/>
    </xf>
    <xf numFmtId="0" fontId="312" fillId="9" borderId="0" xfId="629" applyFont="1" applyFill="1"/>
    <xf numFmtId="0" fontId="313" fillId="0" borderId="0" xfId="666" applyFont="1" applyFill="1" applyAlignment="1">
      <alignment horizontal="center" vertical="center"/>
    </xf>
    <xf numFmtId="0" fontId="313" fillId="0" borderId="0" xfId="666" applyFont="1" applyFill="1" applyAlignment="1">
      <alignment horizontal="center" vertical="center" shrinkToFit="1"/>
    </xf>
    <xf numFmtId="0" fontId="313" fillId="0" borderId="0" xfId="666" applyFont="1" applyFill="1" applyAlignment="1">
      <alignment horizontal="center" vertical="center" wrapText="1"/>
    </xf>
    <xf numFmtId="0" fontId="313" fillId="0" borderId="0" xfId="6031" applyFont="1"/>
    <xf numFmtId="0" fontId="313" fillId="0" borderId="0" xfId="6008" applyFont="1" applyFill="1" applyBorder="1" applyAlignment="1">
      <alignment horizontal="center" vertical="center" wrapText="1"/>
    </xf>
    <xf numFmtId="167" fontId="314" fillId="0" borderId="67" xfId="1" applyNumberFormat="1" applyFont="1" applyFill="1" applyBorder="1" applyAlignment="1">
      <alignment horizontal="center" vertical="center" wrapText="1"/>
    </xf>
    <xf numFmtId="10" fontId="315" fillId="0" borderId="67" xfId="6008" applyNumberFormat="1" applyFont="1" applyFill="1">
      <alignment horizontal="center" vertical="center"/>
    </xf>
    <xf numFmtId="10" fontId="313" fillId="0" borderId="0" xfId="6008" applyNumberFormat="1" applyFont="1" applyFill="1" applyBorder="1">
      <alignment horizontal="center" vertical="center"/>
    </xf>
    <xf numFmtId="0" fontId="313" fillId="0" borderId="0" xfId="6008" applyFont="1" applyFill="1" applyBorder="1">
      <alignment horizontal="center" vertical="center"/>
    </xf>
    <xf numFmtId="0" fontId="315" fillId="0" borderId="0" xfId="6008" applyFont="1" applyFill="1" applyBorder="1" applyAlignment="1">
      <alignment horizontal="center" vertical="center" wrapText="1"/>
    </xf>
    <xf numFmtId="0" fontId="280" fillId="0" borderId="0" xfId="6031" applyFont="1" applyAlignment="1">
      <alignment horizontal="center"/>
    </xf>
    <xf numFmtId="0" fontId="298" fillId="15" borderId="73" xfId="0" applyFont="1" applyFill="1" applyBorder="1" applyAlignment="1">
      <alignment horizontal="center" wrapText="1"/>
    </xf>
    <xf numFmtId="0" fontId="298" fillId="15" borderId="77" xfId="0" applyFont="1" applyFill="1" applyBorder="1" applyAlignment="1">
      <alignment horizontal="center" wrapText="1"/>
    </xf>
    <xf numFmtId="0" fontId="310" fillId="15" borderId="30" xfId="6020" applyFont="1" applyFill="1" applyBorder="1" applyAlignment="1">
      <alignment horizontal="center" vertical="center"/>
    </xf>
    <xf numFmtId="0" fontId="310" fillId="15" borderId="74" xfId="6020" applyFont="1" applyFill="1" applyBorder="1" applyAlignment="1">
      <alignment horizontal="center" vertical="center"/>
    </xf>
    <xf numFmtId="0" fontId="310" fillId="15" borderId="22" xfId="6020" applyFont="1" applyFill="1" applyBorder="1" applyAlignment="1">
      <alignment horizontal="center" vertical="center"/>
    </xf>
    <xf numFmtId="0" fontId="0" fillId="15" borderId="75" xfId="0" applyFill="1" applyBorder="1"/>
    <xf numFmtId="0" fontId="310" fillId="15" borderId="22" xfId="6020" applyFont="1" applyFill="1" applyBorder="1" applyAlignment="1">
      <alignment horizontal="center" vertical="center" wrapText="1"/>
    </xf>
    <xf numFmtId="0" fontId="298" fillId="15" borderId="71" xfId="0" applyFont="1" applyFill="1" applyBorder="1" applyAlignment="1">
      <alignment horizontal="center" wrapText="1"/>
    </xf>
    <xf numFmtId="0" fontId="298" fillId="15" borderId="74" xfId="0" applyFont="1" applyFill="1" applyBorder="1" applyAlignment="1">
      <alignment horizontal="center" wrapText="1"/>
    </xf>
    <xf numFmtId="0" fontId="298" fillId="15" borderId="72" xfId="0" applyFont="1" applyFill="1" applyBorder="1" applyAlignment="1">
      <alignment horizontal="center" wrapText="1"/>
    </xf>
    <xf numFmtId="0" fontId="298" fillId="15" borderId="76" xfId="0" applyFont="1" applyFill="1" applyBorder="1" applyAlignment="1">
      <alignment horizontal="center" wrapText="1"/>
    </xf>
    <xf numFmtId="0" fontId="262" fillId="15" borderId="78" xfId="36" applyFont="1" applyFill="1" applyBorder="1" applyAlignment="1">
      <alignment horizontal="center" vertical="center" wrapText="1"/>
    </xf>
    <xf numFmtId="0" fontId="262" fillId="15" borderId="32" xfId="36" applyFont="1" applyFill="1" applyBorder="1" applyAlignment="1">
      <alignment horizontal="center" vertical="center" wrapText="1"/>
    </xf>
    <xf numFmtId="0" fontId="262" fillId="15" borderId="10" xfId="36" applyFont="1" applyFill="1" applyBorder="1" applyAlignment="1">
      <alignment horizontal="center" vertical="center" wrapText="1"/>
    </xf>
    <xf numFmtId="0" fontId="262" fillId="15" borderId="79" xfId="0" applyFont="1" applyFill="1" applyBorder="1" applyAlignment="1">
      <alignment horizontal="center" vertical="center" wrapText="1"/>
    </xf>
    <xf numFmtId="0" fontId="0" fillId="15" borderId="3" xfId="0" applyFill="1" applyBorder="1"/>
    <xf numFmtId="0" fontId="0" fillId="15" borderId="57" xfId="0" applyFill="1" applyBorder="1"/>
    <xf numFmtId="0" fontId="306" fillId="15" borderId="68" xfId="36" applyFont="1" applyFill="1" applyBorder="1" applyAlignment="1">
      <alignment horizontal="center" vertical="center" wrapText="1"/>
    </xf>
    <xf numFmtId="0" fontId="306" fillId="15" borderId="0" xfId="36" applyFont="1" applyFill="1" applyAlignment="1">
      <alignment horizontal="center" vertical="center" wrapText="1"/>
    </xf>
    <xf numFmtId="0" fontId="306" fillId="15" borderId="84" xfId="36" applyFont="1" applyFill="1" applyBorder="1" applyAlignment="1">
      <alignment horizontal="center" vertical="center" wrapText="1"/>
    </xf>
    <xf numFmtId="0" fontId="294" fillId="15" borderId="10" xfId="0" applyFont="1" applyFill="1" applyBorder="1" applyAlignment="1">
      <alignment horizontal="center" vertical="center" wrapText="1"/>
    </xf>
    <xf numFmtId="0" fontId="0" fillId="15" borderId="32" xfId="0" applyFill="1" applyBorder="1"/>
    <xf numFmtId="0" fontId="0" fillId="15" borderId="10" xfId="0" applyFill="1" applyBorder="1"/>
    <xf numFmtId="14" fontId="262" fillId="15" borderId="67" xfId="36" applyNumberFormat="1" applyFont="1" applyFill="1" applyBorder="1" applyAlignment="1">
      <alignment horizontal="center" vertical="center" wrapText="1"/>
    </xf>
    <xf numFmtId="0" fontId="262" fillId="15" borderId="83" xfId="623" applyFont="1" applyFill="1" applyBorder="1" applyAlignment="1">
      <alignment horizontal="center" vertical="center" wrapText="1"/>
    </xf>
    <xf numFmtId="0" fontId="262" fillId="15" borderId="32" xfId="623" applyFont="1" applyFill="1" applyBorder="1" applyAlignment="1">
      <alignment horizontal="center" vertical="center" wrapText="1"/>
    </xf>
    <xf numFmtId="0" fontId="262" fillId="15" borderId="10" xfId="623" applyFont="1" applyFill="1" applyBorder="1" applyAlignment="1">
      <alignment horizontal="center" vertical="center" wrapText="1"/>
    </xf>
    <xf numFmtId="0" fontId="262" fillId="15" borderId="27" xfId="623" applyFont="1" applyFill="1" applyBorder="1" applyAlignment="1">
      <alignment horizontal="center" vertical="center" wrapText="1"/>
    </xf>
    <xf numFmtId="0" fontId="0" fillId="0" borderId="32" xfId="0" applyBorder="1"/>
    <xf numFmtId="0" fontId="0" fillId="0" borderId="10" xfId="0" applyBorder="1"/>
    <xf numFmtId="0" fontId="303" fillId="15" borderId="32" xfId="0" applyFont="1" applyFill="1" applyBorder="1" applyAlignment="1">
      <alignment horizontal="center"/>
    </xf>
    <xf numFmtId="0" fontId="303" fillId="15" borderId="10" xfId="0" applyFont="1" applyFill="1" applyBorder="1" applyAlignment="1">
      <alignment horizontal="center"/>
    </xf>
    <xf numFmtId="0" fontId="259" fillId="15" borderId="28" xfId="623" applyFont="1" applyFill="1" applyBorder="1" applyAlignment="1">
      <alignment horizontal="center" vertical="center" wrapText="1"/>
    </xf>
    <xf numFmtId="0" fontId="0" fillId="0" borderId="80" xfId="0" applyBorder="1"/>
    <xf numFmtId="0" fontId="0" fillId="0" borderId="81" xfId="0" applyBorder="1"/>
    <xf numFmtId="4" fontId="262" fillId="15" borderId="70" xfId="0" applyNumberFormat="1" applyFont="1" applyFill="1" applyBorder="1" applyAlignment="1">
      <alignment horizontal="center" vertical="center" wrapText="1"/>
    </xf>
    <xf numFmtId="4" fontId="262" fillId="15" borderId="5" xfId="0" applyNumberFormat="1" applyFont="1" applyFill="1" applyBorder="1" applyAlignment="1">
      <alignment horizontal="center" vertical="center" wrapText="1"/>
    </xf>
    <xf numFmtId="0" fontId="262" fillId="15" borderId="0" xfId="666" applyFont="1" applyFill="1" applyAlignment="1">
      <alignment horizontal="center" vertical="center" wrapText="1"/>
    </xf>
    <xf numFmtId="0" fontId="262" fillId="15" borderId="9" xfId="666" applyFont="1" applyFill="1" applyBorder="1" applyAlignment="1">
      <alignment horizontal="center" vertical="center" wrapText="1"/>
    </xf>
    <xf numFmtId="0" fontId="262" fillId="15" borderId="0" xfId="0" applyFont="1" applyFill="1" applyAlignment="1">
      <alignment horizontal="center" vertical="center" wrapText="1"/>
    </xf>
    <xf numFmtId="0" fontId="262" fillId="15" borderId="4" xfId="0" applyFont="1" applyFill="1" applyBorder="1" applyAlignment="1">
      <alignment horizontal="center" vertical="center" wrapText="1"/>
    </xf>
    <xf numFmtId="0" fontId="262" fillId="15" borderId="82" xfId="0" applyFont="1" applyFill="1" applyBorder="1" applyAlignment="1">
      <alignment horizontal="center" vertical="center" wrapText="1"/>
    </xf>
    <xf numFmtId="0" fontId="262" fillId="15" borderId="70" xfId="0" applyFont="1" applyFill="1" applyBorder="1" applyAlignment="1">
      <alignment horizontal="center" vertical="center" wrapText="1"/>
    </xf>
    <xf numFmtId="0" fontId="262" fillId="15" borderId="87" xfId="0" applyFont="1" applyFill="1" applyBorder="1" applyAlignment="1">
      <alignment horizontal="center" vertical="center" wrapText="1"/>
    </xf>
    <xf numFmtId="0" fontId="259" fillId="15" borderId="31" xfId="711" applyFont="1" applyFill="1" applyBorder="1" applyAlignment="1">
      <alignment horizontal="center" vertical="center"/>
    </xf>
  </cellXfs>
  <cellStyles count="6034">
    <cellStyle name="40% - Accent3 2" xfId="33" xr:uid="{00000000-0005-0000-0000-000001000000}"/>
    <cellStyle name="40% - Accent3 2 2" xfId="774" xr:uid="{00000000-0005-0000-0000-000002000000}"/>
    <cellStyle name="40% - Accent3 2 2 2" xfId="2226" xr:uid="{A4A32928-8CF7-4190-9344-83D9825A6B33}"/>
    <cellStyle name="40% - Accent3 2 2 2 2" xfId="5082" xr:uid="{8125183E-6A5E-4C5A-B828-6926316E0D93}"/>
    <cellStyle name="40% - Accent3 2 2 3" xfId="3664" xr:uid="{FE8E4A6B-02B1-4643-9966-3411869D4691}"/>
    <cellStyle name="40% - Accent3 2 3" xfId="1578" xr:uid="{876D8142-DC42-428D-A247-C8CF73620F21}"/>
    <cellStyle name="40% - Accent3 2 3 2" xfId="4438" xr:uid="{5CA90B2A-A467-4446-AAC8-C9FC9F4BBBEE}"/>
    <cellStyle name="40% - Accent3 2 4" xfId="3023" xr:uid="{F188118F-BF77-40A6-B7F9-9FE22C61E7CD}"/>
    <cellStyle name="40% - Accent3 3" xfId="45" xr:uid="{00000000-0005-0000-0000-000003000000}"/>
    <cellStyle name="40% - Accent3 4" xfId="1574" xr:uid="{DE38F329-3E85-47A7-844F-DE92DC717062}"/>
    <cellStyle name="40% - Accent3 4 2" xfId="4434" xr:uid="{E6FA29AE-70DA-4479-B369-EA0536B9AC96}"/>
    <cellStyle name="40% - Accent3 5" xfId="3019" xr:uid="{BBD0A701-90D6-4306-B541-B9D80FFDE17B}"/>
    <cellStyle name="Accent1 2" xfId="666" xr:uid="{00000000-0005-0000-0000-000004000000}"/>
    <cellStyle name="Accent1 2 2" xfId="706" xr:uid="{00000000-0005-0000-0000-000005000000}"/>
    <cellStyle name="Accent2 2" xfId="43" xr:uid="{00000000-0005-0000-0000-000007000000}"/>
    <cellStyle name="Accent4 2" xfId="42" xr:uid="{00000000-0005-0000-0000-000009000000}"/>
    <cellStyle name="Accent5 2" xfId="41" xr:uid="{00000000-0005-0000-0000-00000B000000}"/>
    <cellStyle name="Accent6 2" xfId="44" xr:uid="{00000000-0005-0000-0000-00000D000000}"/>
    <cellStyle name="cf1" xfId="648" xr:uid="{00000000-0005-0000-0000-00000E000000}"/>
    <cellStyle name="cf2" xfId="649" xr:uid="{00000000-0005-0000-0000-00000F000000}"/>
    <cellStyle name="cf3" xfId="650" xr:uid="{00000000-0005-0000-0000-000010000000}"/>
    <cellStyle name="Comma" xfId="1" builtinId="3"/>
    <cellStyle name="Comma 10" xfId="63" xr:uid="{00000000-0005-0000-0000-000012000000}"/>
    <cellStyle name="Comma 10 2" xfId="791" xr:uid="{00000000-0005-0000-0000-000013000000}"/>
    <cellStyle name="Comma 10 2 2" xfId="2242" xr:uid="{D9E0DD95-62DF-4C6B-8B40-89F4BC1EFDF9}"/>
    <cellStyle name="Comma 10 2 2 2" xfId="5098" xr:uid="{05DF9FF5-E97C-4669-926E-B6A1DFC591FD}"/>
    <cellStyle name="Comma 10 2 3" xfId="3680" xr:uid="{5334453A-C54F-47CF-BB8E-13836B5EA4AC}"/>
    <cellStyle name="Comma 10 3" xfId="1594" xr:uid="{3DE3FF0A-3A83-4B0E-9C99-DEA0F8120248}"/>
    <cellStyle name="Comma 10 3 2" xfId="4454" xr:uid="{18806713-D31D-4B15-842E-F16E9FDE468F}"/>
    <cellStyle name="Comma 10 4" xfId="3039" xr:uid="{450AAFA8-752A-43E9-B6F7-C608FB51D5F8}"/>
    <cellStyle name="Comma 100" xfId="557" xr:uid="{00000000-0005-0000-0000-000014000000}"/>
    <cellStyle name="Comma 100 2" xfId="1276" xr:uid="{00000000-0005-0000-0000-000015000000}"/>
    <cellStyle name="Comma 100 2 2" xfId="2724" xr:uid="{EAF49FE6-2AB0-4270-8B85-0ECBAB89B2D0}"/>
    <cellStyle name="Comma 100 2 2 2" xfId="5580" xr:uid="{F6503B31-8F1E-493D-837A-6D735905F142}"/>
    <cellStyle name="Comma 100 2 3" xfId="4162" xr:uid="{A2197C55-C92D-41C1-91C5-288F15CA0552}"/>
    <cellStyle name="Comma 100 3" xfId="2079" xr:uid="{A099488A-88FB-40FB-B368-3C8514393057}"/>
    <cellStyle name="Comma 100 3 2" xfId="4939" xr:uid="{A2DC9AD4-2C35-40AF-9473-270281B1EF28}"/>
    <cellStyle name="Comma 100 4" xfId="3523" xr:uid="{A3461A3A-310C-4D8C-B45D-90037377B094}"/>
    <cellStyle name="Comma 101" xfId="560" xr:uid="{00000000-0005-0000-0000-000016000000}"/>
    <cellStyle name="Comma 101 2" xfId="1279" xr:uid="{00000000-0005-0000-0000-000017000000}"/>
    <cellStyle name="Comma 101 2 2" xfId="2727" xr:uid="{16E68536-A35D-42DF-B69C-D7970191701B}"/>
    <cellStyle name="Comma 101 2 2 2" xfId="5583" xr:uid="{47B32792-7C46-414D-B409-DB4A1ECF71F4}"/>
    <cellStyle name="Comma 101 2 3" xfId="4165" xr:uid="{35EE3653-0CC0-49AD-8CA9-DFAAF3ECE3FD}"/>
    <cellStyle name="Comma 101 3" xfId="2082" xr:uid="{8FE3B485-F484-4DF1-9770-98CD787F4A2B}"/>
    <cellStyle name="Comma 101 3 2" xfId="4942" xr:uid="{4EF0C655-4004-4CCC-AEC7-5532E8D4462E}"/>
    <cellStyle name="Comma 101 4" xfId="3526" xr:uid="{0ADC0613-1343-4B00-89E6-3B19A00DEADD}"/>
    <cellStyle name="Comma 102" xfId="563" xr:uid="{00000000-0005-0000-0000-000018000000}"/>
    <cellStyle name="Comma 102 2" xfId="1282" xr:uid="{00000000-0005-0000-0000-000019000000}"/>
    <cellStyle name="Comma 102 2 2" xfId="2730" xr:uid="{A397FE26-1D37-4392-9040-B1ECC8E63876}"/>
    <cellStyle name="Comma 102 2 2 2" xfId="5586" xr:uid="{1F9A73CF-8911-4211-BD92-9BD1348F1889}"/>
    <cellStyle name="Comma 102 2 3" xfId="4168" xr:uid="{E6AB9DEE-47A0-4017-BDBA-58599EF7C9C4}"/>
    <cellStyle name="Comma 102 3" xfId="2085" xr:uid="{54DABFF9-78CD-4AC8-8081-24DCAAF45C11}"/>
    <cellStyle name="Comma 102 3 2" xfId="4945" xr:uid="{B238E71D-64BC-4DEE-BAD2-F65564D37BBD}"/>
    <cellStyle name="Comma 102 4" xfId="3529" xr:uid="{4A8175B3-E8D8-4427-A086-9F511218DE7D}"/>
    <cellStyle name="Comma 103" xfId="573" xr:uid="{00000000-0005-0000-0000-00001A000000}"/>
    <cellStyle name="Comma 103 2" xfId="601" xr:uid="{00000000-0005-0000-0000-00001B000000}"/>
    <cellStyle name="Comma 103 2 2" xfId="1319" xr:uid="{00000000-0005-0000-0000-00001C000000}"/>
    <cellStyle name="Comma 103 2 2 2" xfId="2767" xr:uid="{628516E5-F32D-4EAC-88CC-3FF10B12AF90}"/>
    <cellStyle name="Comma 103 2 2 2 2" xfId="5623" xr:uid="{A6E6A5EB-2D5A-46E9-AA4B-9574E17B9177}"/>
    <cellStyle name="Comma 103 2 2 3" xfId="4205" xr:uid="{D7D82F51-B67F-454B-88D3-BA96DD157CA2}"/>
    <cellStyle name="Comma 103 2 3" xfId="2122" xr:uid="{C4ABE135-B1D2-4DC0-87E4-EFA860807D76}"/>
    <cellStyle name="Comma 103 2 3 2" xfId="4982" xr:uid="{1D1D7019-2A47-4625-88E8-E05B93C598D7}"/>
    <cellStyle name="Comma 103 2 4" xfId="3566" xr:uid="{D12A3134-14EF-4468-A75F-5CC61CCCD4E1}"/>
    <cellStyle name="Comma 103 3" xfId="1292" xr:uid="{00000000-0005-0000-0000-00001D000000}"/>
    <cellStyle name="Comma 103 3 2" xfId="2740" xr:uid="{565219D3-F6C3-4D0B-B5FD-727F292DA37F}"/>
    <cellStyle name="Comma 103 3 2 2" xfId="5596" xr:uid="{4F621327-2004-4D55-B264-63718EF9BD2C}"/>
    <cellStyle name="Comma 103 3 3" xfId="4178" xr:uid="{E34D784E-3ED6-4672-B839-F5F148A7FE89}"/>
    <cellStyle name="Comma 103 4" xfId="2095" xr:uid="{BCA3622D-BA68-4027-A4D6-022BFA09A503}"/>
    <cellStyle name="Comma 103 4 2" xfId="4955" xr:uid="{DFCD6FC8-CFB1-495D-A1AF-6C7B803B969C}"/>
    <cellStyle name="Comma 103 5" xfId="3539" xr:uid="{240121AC-F81B-4D9E-BDF5-36A7F2F742C8}"/>
    <cellStyle name="Comma 104" xfId="577" xr:uid="{00000000-0005-0000-0000-00001E000000}"/>
    <cellStyle name="Comma 104 2" xfId="1296" xr:uid="{00000000-0005-0000-0000-00001F000000}"/>
    <cellStyle name="Comma 104 2 2" xfId="2744" xr:uid="{63AB434D-49D2-443B-AB10-0D81E182A42A}"/>
    <cellStyle name="Comma 104 2 2 2" xfId="5600" xr:uid="{A5329CE4-AB18-424E-8A8C-5B17F20482E9}"/>
    <cellStyle name="Comma 104 2 3" xfId="4182" xr:uid="{A92D8AC3-F2E1-4E56-B4D8-2A67CB74B8E2}"/>
    <cellStyle name="Comma 104 3" xfId="2099" xr:uid="{6CC0B6DF-0AFD-4E8D-8C67-2941EFC44E67}"/>
    <cellStyle name="Comma 104 3 2" xfId="4959" xr:uid="{B28FEBC6-FF12-4D76-9D9C-6B5D2C5A9BD6}"/>
    <cellStyle name="Comma 104 4" xfId="3543" xr:uid="{CEA330A7-A79A-4E83-810B-89D5886B7D16}"/>
    <cellStyle name="Comma 105" xfId="588" xr:uid="{00000000-0005-0000-0000-000020000000}"/>
    <cellStyle name="Comma 106" xfId="595" xr:uid="{00000000-0005-0000-0000-000021000000}"/>
    <cellStyle name="Comma 106 2" xfId="1313" xr:uid="{00000000-0005-0000-0000-000022000000}"/>
    <cellStyle name="Comma 106 2 2" xfId="2761" xr:uid="{A551185D-04EB-4642-BD5E-80F901A9B619}"/>
    <cellStyle name="Comma 106 2 2 2" xfId="5617" xr:uid="{8E65EC87-E75B-4A9B-9D1C-083F01159827}"/>
    <cellStyle name="Comma 106 2 3" xfId="4199" xr:uid="{93E91823-FF25-4A4F-AE80-0CE03DD85008}"/>
    <cellStyle name="Comma 106 3" xfId="2116" xr:uid="{29754D28-089A-4A9D-AC92-A2B686376965}"/>
    <cellStyle name="Comma 106 3 2" xfId="4976" xr:uid="{A679AA5C-0521-4D69-8116-F27AF4E92479}"/>
    <cellStyle name="Comma 106 4" xfId="3560" xr:uid="{9493EBEF-EEAB-4BBE-897E-24F2FBEC0647}"/>
    <cellStyle name="Comma 107" xfId="599" xr:uid="{00000000-0005-0000-0000-000023000000}"/>
    <cellStyle name="Comma 107 2" xfId="1317" xr:uid="{00000000-0005-0000-0000-000024000000}"/>
    <cellStyle name="Comma 107 2 2" xfId="2765" xr:uid="{4F4F29D2-0248-495E-A1FC-4BBACB29AAA1}"/>
    <cellStyle name="Comma 107 2 2 2" xfId="5621" xr:uid="{FD251947-7A6D-42CD-8465-5F3312F69352}"/>
    <cellStyle name="Comma 107 2 3" xfId="4203" xr:uid="{802FEAE1-D463-413F-918B-4C1D57E7C4D1}"/>
    <cellStyle name="Comma 107 3" xfId="2120" xr:uid="{C33BC9C9-5DE2-4C97-9785-C1064BC6FC8A}"/>
    <cellStyle name="Comma 107 3 2" xfId="4980" xr:uid="{69EA02C0-15A9-4CBF-B272-368837346E1F}"/>
    <cellStyle name="Comma 107 4" xfId="3564" xr:uid="{908A4A46-FB3B-47C3-BEFE-906486D6B22C}"/>
    <cellStyle name="Comma 108" xfId="606" xr:uid="{00000000-0005-0000-0000-000025000000}"/>
    <cellStyle name="Comma 108 2" xfId="1324" xr:uid="{00000000-0005-0000-0000-000026000000}"/>
    <cellStyle name="Comma 108 2 2" xfId="2772" xr:uid="{C02CCA41-EB12-4396-8841-CDC100097A67}"/>
    <cellStyle name="Comma 108 2 2 2" xfId="5628" xr:uid="{25B64A0A-AEB8-4521-AD6D-B1F75253605B}"/>
    <cellStyle name="Comma 108 2 3" xfId="4210" xr:uid="{08582330-1613-4229-9A84-FB106C8B972B}"/>
    <cellStyle name="Comma 108 3" xfId="2127" xr:uid="{3107F9E3-A667-4E3C-9A3D-98A0B0D9CD6B}"/>
    <cellStyle name="Comma 108 3 2" xfId="4987" xr:uid="{5D45B0A5-8A9D-4DFB-878E-72048191096C}"/>
    <cellStyle name="Comma 108 4" xfId="3571" xr:uid="{4AA9958D-6F8A-4D17-8057-2B885E4437D6}"/>
    <cellStyle name="Comma 109" xfId="611" xr:uid="{00000000-0005-0000-0000-000027000000}"/>
    <cellStyle name="Comma 109 2" xfId="1329" xr:uid="{00000000-0005-0000-0000-000028000000}"/>
    <cellStyle name="Comma 109 2 2" xfId="2777" xr:uid="{767590A1-987A-40E8-A5B2-0DAB62621CD9}"/>
    <cellStyle name="Comma 109 2 2 2" xfId="5633" xr:uid="{C2799139-137C-4847-B8BD-82DEC90C2410}"/>
    <cellStyle name="Comma 109 2 3" xfId="4215" xr:uid="{76D61C38-E741-4CAC-B63D-6752EDD6E2E8}"/>
    <cellStyle name="Comma 109 3" xfId="2132" xr:uid="{BED96DF2-545A-4220-8D65-DBA639675A84}"/>
    <cellStyle name="Comma 109 3 2" xfId="4992" xr:uid="{E30D3005-9ABF-4937-9319-39FC07CA7780}"/>
    <cellStyle name="Comma 109 4" xfId="3576" xr:uid="{E28F2293-A14D-4E2D-B468-6DECB73E8DAE}"/>
    <cellStyle name="Comma 11" xfId="71" xr:uid="{00000000-0005-0000-0000-000029000000}"/>
    <cellStyle name="Comma 110" xfId="614" xr:uid="{00000000-0005-0000-0000-00002A000000}"/>
    <cellStyle name="Comma 110 2" xfId="1332" xr:uid="{00000000-0005-0000-0000-00002B000000}"/>
    <cellStyle name="Comma 110 2 2" xfId="2780" xr:uid="{1B95485C-CD90-4011-ACBA-212874870E97}"/>
    <cellStyle name="Comma 110 2 2 2" xfId="5636" xr:uid="{75CA8EA0-0D9F-44A3-9CBB-F0D2C356CAA4}"/>
    <cellStyle name="Comma 110 2 3" xfId="4218" xr:uid="{95928238-888C-4852-A40C-6041EE947929}"/>
    <cellStyle name="Comma 110 3" xfId="2135" xr:uid="{C63E156E-13C1-4825-AB08-3F9495250953}"/>
    <cellStyle name="Comma 110 3 2" xfId="4995" xr:uid="{5E89A63D-FDA1-49DE-ADE7-5C38577C7609}"/>
    <cellStyle name="Comma 110 4" xfId="3579" xr:uid="{79E054B6-CA47-4EE9-B087-FF4CF5847A09}"/>
    <cellStyle name="Comma 111" xfId="637" xr:uid="{00000000-0005-0000-0000-00002C000000}"/>
    <cellStyle name="Comma 111 2" xfId="1351" xr:uid="{00000000-0005-0000-0000-00002D000000}"/>
    <cellStyle name="Comma 111 2 2" xfId="2799" xr:uid="{8B78185D-ADA7-4F53-B85F-D8C94B7C7391}"/>
    <cellStyle name="Comma 111 2 2 2" xfId="5655" xr:uid="{B230424C-4BDF-4705-A112-EC1BEE19065A}"/>
    <cellStyle name="Comma 111 2 3" xfId="4237" xr:uid="{9D41AAFB-6ADA-46E0-B54B-3D21AB7977D9}"/>
    <cellStyle name="Comma 111 3" xfId="2155" xr:uid="{49B6710A-EC1B-4BF5-AB56-42DB6B89FEAF}"/>
    <cellStyle name="Comma 111 3 2" xfId="5015" xr:uid="{565D3C0D-F827-4C7D-9076-221CC1D234A3}"/>
    <cellStyle name="Comma 111 4" xfId="3599" xr:uid="{542B1911-29E5-4B67-9C92-155AEF346134}"/>
    <cellStyle name="Comma 112" xfId="640" xr:uid="{00000000-0005-0000-0000-00002E000000}"/>
    <cellStyle name="Comma 112 2" xfId="1354" xr:uid="{00000000-0005-0000-0000-00002F000000}"/>
    <cellStyle name="Comma 112 2 2" xfId="2802" xr:uid="{3FD78218-771D-4754-A0E8-B426DE5FFF7F}"/>
    <cellStyle name="Comma 112 2 2 2" xfId="5658" xr:uid="{AF53A495-210B-4E77-ABFD-CB7F61AC8079}"/>
    <cellStyle name="Comma 112 2 3" xfId="4240" xr:uid="{31863564-355A-4891-83CA-0A0F23804976}"/>
    <cellStyle name="Comma 112 3" xfId="2158" xr:uid="{D85AE49D-D52F-4AB7-80A0-361BE6179FE7}"/>
    <cellStyle name="Comma 112 3 2" xfId="5018" xr:uid="{32590D2C-D8EC-4BCB-AE6E-E8186B931EA7}"/>
    <cellStyle name="Comma 112 4" xfId="3602" xr:uid="{9552C7AA-0323-42DD-848D-1A8F700DFC1F}"/>
    <cellStyle name="Comma 113" xfId="643" xr:uid="{00000000-0005-0000-0000-000030000000}"/>
    <cellStyle name="Comma 113 2" xfId="1357" xr:uid="{00000000-0005-0000-0000-000031000000}"/>
    <cellStyle name="Comma 113 2 2" xfId="2805" xr:uid="{3711150A-656E-41AE-B0BE-C474797905A4}"/>
    <cellStyle name="Comma 113 2 2 2" xfId="5661" xr:uid="{89B0B3AC-394C-45A3-AA27-3CA1F28BF7F5}"/>
    <cellStyle name="Comma 113 2 3" xfId="4243" xr:uid="{F53F847F-5419-48D0-AA4C-EBECE41F04FE}"/>
    <cellStyle name="Comma 113 3" xfId="2161" xr:uid="{CBEE8E6E-440A-4DA3-9745-5C7C68EF8870}"/>
    <cellStyle name="Comma 113 3 2" xfId="5021" xr:uid="{D3E83CAD-5924-457F-A35B-70DB64E90C5E}"/>
    <cellStyle name="Comma 113 4" xfId="3605" xr:uid="{535A9BCE-F3C3-49C8-870B-1C90DB993305}"/>
    <cellStyle name="Comma 114" xfId="645" xr:uid="{00000000-0005-0000-0000-000032000000}"/>
    <cellStyle name="Comma 114 2" xfId="1359" xr:uid="{00000000-0005-0000-0000-000033000000}"/>
    <cellStyle name="Comma 114 2 2" xfId="2807" xr:uid="{240CC4F1-4DB5-4D61-BF2D-51942B9B0AFA}"/>
    <cellStyle name="Comma 114 2 2 2" xfId="5663" xr:uid="{1C8FF613-A868-4737-B5B2-ABBBBA66A0C8}"/>
    <cellStyle name="Comma 114 2 3" xfId="4245" xr:uid="{AE642F33-563D-411A-AF6A-4C63C3DFBFDE}"/>
    <cellStyle name="Comma 114 3" xfId="2163" xr:uid="{A36E6CE0-5C9B-443B-BA59-717A4CBAB7CC}"/>
    <cellStyle name="Comma 114 3 2" xfId="5023" xr:uid="{9F9E182D-7A49-4943-9D8E-5813B568272D}"/>
    <cellStyle name="Comma 114 4" xfId="3607" xr:uid="{420630AE-DAC9-44D5-A706-65E2B91E6305}"/>
    <cellStyle name="Comma 115" xfId="647" xr:uid="{00000000-0005-0000-0000-000034000000}"/>
    <cellStyle name="Comma 116" xfId="659" xr:uid="{00000000-0005-0000-0000-000035000000}"/>
    <cellStyle name="Comma 116 2" xfId="1361" xr:uid="{00000000-0005-0000-0000-000036000000}"/>
    <cellStyle name="Comma 116 2 2" xfId="2809" xr:uid="{C629E6BB-95DB-4361-9A68-97EFF2042894}"/>
    <cellStyle name="Comma 116 2 2 2" xfId="5665" xr:uid="{184DE98A-7013-4CD5-82AE-006E1D055E60}"/>
    <cellStyle name="Comma 116 2 3" xfId="4247" xr:uid="{7C09170A-6B39-40BC-88B0-B36CB9319114}"/>
    <cellStyle name="Comma 116 3" xfId="2165" xr:uid="{67601BAC-7E61-44E6-BC38-ADAC9A80CA16}"/>
    <cellStyle name="Comma 116 3 2" xfId="5025" xr:uid="{AC91F8A4-EC4A-4D71-AA86-BBAB4BF85513}"/>
    <cellStyle name="Comma 116 4" xfId="3609" xr:uid="{79798A78-400A-467E-85A7-721A8C90CEA9}"/>
    <cellStyle name="Comma 117" xfId="664" xr:uid="{00000000-0005-0000-0000-000037000000}"/>
    <cellStyle name="Comma 117 2" xfId="1365" xr:uid="{00000000-0005-0000-0000-000038000000}"/>
    <cellStyle name="Comma 117 2 2" xfId="2813" xr:uid="{3814F696-6BCF-4E34-A1CE-194D38C04CEC}"/>
    <cellStyle name="Comma 117 2 2 2" xfId="5669" xr:uid="{A729E13E-4B9D-4D6C-8875-1491FD3181D8}"/>
    <cellStyle name="Comma 117 2 3" xfId="4251" xr:uid="{AD2F99F1-AC4D-4659-B97A-D966EA86A34C}"/>
    <cellStyle name="Comma 117 3" xfId="2169" xr:uid="{F3D90B15-94F6-4F0F-89F7-0DE2D5C58589}"/>
    <cellStyle name="Comma 117 3 2" xfId="5029" xr:uid="{D74C9B6E-4895-4082-B5F0-85D24EC5DCDD}"/>
    <cellStyle name="Comma 117 4" xfId="3613" xr:uid="{632FFC05-7A37-46DC-86BD-A5357977D749}"/>
    <cellStyle name="Comma 118" xfId="671" xr:uid="{00000000-0005-0000-0000-000039000000}"/>
    <cellStyle name="Comma 118 2" xfId="1369" xr:uid="{00000000-0005-0000-0000-00003A000000}"/>
    <cellStyle name="Comma 118 2 2" xfId="2817" xr:uid="{DE43C1F8-8072-4BC8-8AE9-75DB8D4531E9}"/>
    <cellStyle name="Comma 118 2 2 2" xfId="5672" xr:uid="{D3B3FE55-87EF-4445-A22E-A7B4942F88E9}"/>
    <cellStyle name="Comma 118 2 3" xfId="4254" xr:uid="{D0358C39-0A40-43D4-BA53-8AFF8D29C2A9}"/>
    <cellStyle name="Comma 118 3" xfId="2173" xr:uid="{54A7560C-FF42-41C1-9F16-55A5878CF067}"/>
    <cellStyle name="Comma 118 3 2" xfId="5033" xr:uid="{B54003B5-920D-406D-974F-1C3A06DF98F0}"/>
    <cellStyle name="Comma 118 4" xfId="3617" xr:uid="{D53B8FD8-A1C3-4245-A26A-3AEB26D333DB}"/>
    <cellStyle name="Comma 119" xfId="675" xr:uid="{00000000-0005-0000-0000-00003B000000}"/>
    <cellStyle name="Comma 12" xfId="73" xr:uid="{00000000-0005-0000-0000-00003C000000}"/>
    <cellStyle name="Comma 12 2" xfId="799" xr:uid="{00000000-0005-0000-0000-00003D000000}"/>
    <cellStyle name="Comma 12 2 2" xfId="2250" xr:uid="{E775565D-B793-4F0E-920C-B6BABB3E9EC8}"/>
    <cellStyle name="Comma 12 2 2 2" xfId="5106" xr:uid="{DC3DE09F-D8FC-44CA-AA23-EE91913E0324}"/>
    <cellStyle name="Comma 12 2 3" xfId="3688" xr:uid="{0D73A105-8D11-462D-9843-20C1BBC28276}"/>
    <cellStyle name="Comma 12 3" xfId="1603" xr:uid="{9717FACF-1FA8-467A-9762-2B2A990637E8}"/>
    <cellStyle name="Comma 12 3 2" xfId="4463" xr:uid="{F54829C6-B1B9-4A2F-962D-B06B5089387C}"/>
    <cellStyle name="Comma 12 4" xfId="3047" xr:uid="{0B213360-5E4E-4F82-A957-D49F13C81F84}"/>
    <cellStyle name="Comma 120" xfId="677" xr:uid="{00000000-0005-0000-0000-00003E000000}"/>
    <cellStyle name="Comma 120 2" xfId="683" xr:uid="{00000000-0005-0000-0000-00003F000000}"/>
    <cellStyle name="Comma 120 2 2" xfId="689" xr:uid="{00000000-0005-0000-0000-000040000000}"/>
    <cellStyle name="Comma 120 2 2 2" xfId="695" xr:uid="{00000000-0005-0000-0000-000041000000}"/>
    <cellStyle name="Comma 120 2 2 2 2" xfId="730" xr:uid="{00000000-0005-0000-0000-000042000000}"/>
    <cellStyle name="Comma 120 2 2 2 2 2" xfId="737" xr:uid="{00000000-0005-0000-0000-000043000000}"/>
    <cellStyle name="Comma 120 2 2 2 2 2 2" xfId="754" xr:uid="{00000000-0005-0000-0000-000044000000}"/>
    <cellStyle name="Comma 120 2 2 2 2 2 2 2" xfId="765" xr:uid="{00000000-0005-0000-0000-000045000000}"/>
    <cellStyle name="Comma 120 2 2 2 2 2 2 2 2" xfId="1422" xr:uid="{00000000-0005-0000-0000-000046000000}"/>
    <cellStyle name="Comma 120 2 2 2 2 2 2 2 2 2" xfId="1433" xr:uid="{00000000-0005-0000-0000-000047000000}"/>
    <cellStyle name="Comma 120 2 2 2 2 2 2 2 2 2 10" xfId="5953" xr:uid="{C791619F-CE13-400E-B4EF-A94B594F0EBE}"/>
    <cellStyle name="Comma 120 2 2 2 2 2 2 2 2 2 11" xfId="5969" xr:uid="{53D31B48-8651-405C-87DB-5BD26250BAC1}"/>
    <cellStyle name="Comma 120 2 2 2 2 2 2 2 2 2 12" xfId="5987" xr:uid="{96A0AB60-110A-4563-A717-FF519EB50D12}"/>
    <cellStyle name="Comma 120 2 2 2 2 2 2 2 2 2 2" xfId="1458" xr:uid="{00000000-0005-0000-0000-000048000000}"/>
    <cellStyle name="Comma 120 2 2 2 2 2 2 2 2 2 2 2" xfId="2886" xr:uid="{29D1FFE8-B3FE-446A-96CA-5B0FAC7C7A2E}"/>
    <cellStyle name="Comma 120 2 2 2 2 2 2 2 2 2 2 2 2" xfId="5740" xr:uid="{9DF18B9D-A8F5-4AD4-8061-6D81C6D32436}"/>
    <cellStyle name="Comma 120 2 2 2 2 2 2 2 2 2 2 3" xfId="4319" xr:uid="{A44AB6E2-E58B-4DA5-B8CC-75C3191BF4EC}"/>
    <cellStyle name="Comma 120 2 2 2 2 2 2 2 2 2 3" xfId="1475" xr:uid="{00000000-0005-0000-0000-000049000000}"/>
    <cellStyle name="Comma 120 2 2 2 2 2 2 2 2 2 3 2" xfId="2903" xr:uid="{DDA12D6D-EC72-4838-ACD3-D18AE2FBE68C}"/>
    <cellStyle name="Comma 120 2 2 2 2 2 2 2 2 2 3 2 2" xfId="5757" xr:uid="{EABF0F42-A54D-4399-9464-AC929AB4F09F}"/>
    <cellStyle name="Comma 120 2 2 2 2 2 2 2 2 2 3 3" xfId="4336" xr:uid="{54BF8B28-EB12-4CA2-AC85-27A6B8DF736F}"/>
    <cellStyle name="Comma 120 2 2 2 2 2 2 2 2 2 4" xfId="1489" xr:uid="{00000000-0005-0000-0000-00004A000000}"/>
    <cellStyle name="Comma 120 2 2 2 2 2 2 2 2 2 4 2" xfId="1509" xr:uid="{00000000-0005-0000-0000-00004B000000}"/>
    <cellStyle name="Comma 120 2 2 2 2 2 2 2 2 2 4 2 2" xfId="1539" xr:uid="{00000000-0005-0000-0000-00004C000000}"/>
    <cellStyle name="Comma 120 2 2 2 2 2 2 2 2 2 4 2 2 2" xfId="2967" xr:uid="{B426E782-C606-484D-B7C7-6C75420F22D2}"/>
    <cellStyle name="Comma 120 2 2 2 2 2 2 2 2 2 4 2 2 2 2" xfId="5820" xr:uid="{ECBD05CD-DBB1-4834-B108-EA49F0DDC381}"/>
    <cellStyle name="Comma 120 2 2 2 2 2 2 2 2 2 4 2 2 3" xfId="4399" xr:uid="{B8E06B83-AD02-4DE2-AB33-59130E6B1615}"/>
    <cellStyle name="Comma 120 2 2 2 2 2 2 2 2 2 4 2 3" xfId="2937" xr:uid="{06BF883D-19C2-4C91-A96E-4F7CF0475910}"/>
    <cellStyle name="Comma 120 2 2 2 2 2 2 2 2 2 4 2 3 2" xfId="5790" xr:uid="{B6C4654A-BDE0-43FD-94EA-FD44920FFBD4}"/>
    <cellStyle name="Comma 120 2 2 2 2 2 2 2 2 2 4 2 4" xfId="4369" xr:uid="{53EC48DE-7C3F-47E9-8BEC-31EECE23D5D3}"/>
    <cellStyle name="Comma 120 2 2 2 2 2 2 2 2 2 4 3" xfId="2917" xr:uid="{78FAB586-8F08-4FE4-A7A9-CD7465D5063B}"/>
    <cellStyle name="Comma 120 2 2 2 2 2 2 2 2 2 4 3 2" xfId="5771" xr:uid="{B0FFEE4E-B055-4206-8D5C-9B3A7CE0BB79}"/>
    <cellStyle name="Comma 120 2 2 2 2 2 2 2 2 2 4 4" xfId="4350" xr:uid="{4EACAF0B-64F8-4B94-853B-1617C40587DA}"/>
    <cellStyle name="Comma 120 2 2 2 2 2 2 2 2 2 5" xfId="1520" xr:uid="{00000000-0005-0000-0000-00004D000000}"/>
    <cellStyle name="Comma 120 2 2 2 2 2 2 2 2 2 5 2" xfId="2948" xr:uid="{84AE408A-2F88-4B89-ADB3-C68CB612143C}"/>
    <cellStyle name="Comma 120 2 2 2 2 2 2 2 2 2 5 2 2" xfId="5801" xr:uid="{08A77DB3-998C-4BFD-A10A-EE3A4E384627}"/>
    <cellStyle name="Comma 120 2 2 2 2 2 2 2 2 2 5 3" xfId="4380" xr:uid="{AD38BB8E-A842-46CE-8EB6-A19FED80397F}"/>
    <cellStyle name="Comma 120 2 2 2 2 2 2 2 2 2 6" xfId="1556" xr:uid="{8253A540-0172-4BC2-9B42-8487CC93A86E}"/>
    <cellStyle name="Comma 120 2 2 2 2 2 2 2 2 2 6 2" xfId="2984" xr:uid="{DB826BAF-C868-4296-B4B5-21137C2BD0F5}"/>
    <cellStyle name="Comma 120 2 2 2 2 2 2 2 2 2 6 2 2" xfId="5837" xr:uid="{072CE27A-3E56-48D6-BCE2-AF2F5C9B754C}"/>
    <cellStyle name="Comma 120 2 2 2 2 2 2 2 2 2 6 3" xfId="4416" xr:uid="{6B4D29C2-1B18-42C8-B891-3A08AA8DD1FD}"/>
    <cellStyle name="Comma 120 2 2 2 2 2 2 2 2 2 7" xfId="1572" xr:uid="{DEE624DC-6718-42F5-B92B-7F16A855457D}"/>
    <cellStyle name="Comma 120 2 2 2 2 2 2 2 2 2 7 2" xfId="4432" xr:uid="{3000490B-3150-45D8-948B-76BC751D8E48}"/>
    <cellStyle name="Comma 120 2 2 2 2 2 2 2 2 2 8" xfId="3014" xr:uid="{A487A14C-DE15-42BE-9DF0-D9819853F0DE}"/>
    <cellStyle name="Comma 120 2 2 2 2 2 2 2 2 2 8 2" xfId="5926" xr:uid="{3FF83245-3E72-4792-BA7A-3E10B1273DB1}"/>
    <cellStyle name="Comma 120 2 2 2 2 2 2 2 2 2 9" xfId="5942" xr:uid="{80EC03F3-59DE-42EE-BD3C-FFD24D9AF896}"/>
    <cellStyle name="Comma 120 2 2 2 3" xfId="6014" xr:uid="{7C49288D-8D16-4CC0-8C95-24E93135087D}"/>
    <cellStyle name="Comma 120 2 2 2 4" xfId="6029" xr:uid="{33D9DCBE-9EC7-45C3-A615-87B12F09672D}"/>
    <cellStyle name="Comma 121" xfId="681" xr:uid="{00000000-0005-0000-0000-00004E000000}"/>
    <cellStyle name="Comma 121 2" xfId="1373" xr:uid="{00000000-0005-0000-0000-00004F000000}"/>
    <cellStyle name="Comma 121 2 2" xfId="2820" xr:uid="{917568AB-9AC6-4545-8A5C-B16A6F2498DF}"/>
    <cellStyle name="Comma 121 2 2 2" xfId="5675" xr:uid="{72CE7ED5-E604-42B2-86A5-2EF643D6945C}"/>
    <cellStyle name="Comma 121 2 3" xfId="4257" xr:uid="{2831FE18-3B53-4172-8158-E39BBFC2F389}"/>
    <cellStyle name="Comma 121 3" xfId="2177" xr:uid="{396075BE-B3B2-41E6-A934-451CAE282861}"/>
    <cellStyle name="Comma 121 3 2" xfId="5036" xr:uid="{DC907BD2-1B7C-493C-BE84-7B1032150833}"/>
    <cellStyle name="Comma 121 4" xfId="3620" xr:uid="{2AC80FAB-7CF3-48B8-A298-A37E855D3D11}"/>
    <cellStyle name="Comma 122" xfId="685" xr:uid="{00000000-0005-0000-0000-000050000000}"/>
    <cellStyle name="Comma 122 2" xfId="1375" xr:uid="{00000000-0005-0000-0000-000051000000}"/>
    <cellStyle name="Comma 122 2 2" xfId="2822" xr:uid="{BDAAE1F1-02EF-4F72-9BD7-465AB6EF5061}"/>
    <cellStyle name="Comma 122 2 2 2" xfId="5677" xr:uid="{0022E413-E8C1-4967-BC9F-4A0759D61114}"/>
    <cellStyle name="Comma 122 2 3" xfId="4259" xr:uid="{31F52AC2-005B-4E6E-AFD6-E65A5AA61E92}"/>
    <cellStyle name="Comma 122 3" xfId="2179" xr:uid="{29A09EAC-5EFC-4C85-AD12-47E12B7AFB89}"/>
    <cellStyle name="Comma 122 3 2" xfId="5038" xr:uid="{25379CA0-BA40-467A-972F-143DE1E07499}"/>
    <cellStyle name="Comma 122 4" xfId="3622" xr:uid="{07535A3C-F145-49D6-A07B-4CFD8D0191E6}"/>
    <cellStyle name="Comma 123" xfId="691" xr:uid="{00000000-0005-0000-0000-000052000000}"/>
    <cellStyle name="Comma 123 2" xfId="1378" xr:uid="{00000000-0005-0000-0000-000053000000}"/>
    <cellStyle name="Comma 123 2 2" xfId="2825" xr:uid="{77395894-852F-4BFE-A22A-B489692B10F8}"/>
    <cellStyle name="Comma 123 2 2 2" xfId="5680" xr:uid="{189EDD11-1A58-476F-8C22-85EA5109AA69}"/>
    <cellStyle name="Comma 123 2 3" xfId="4262" xr:uid="{95BD69B0-4B3E-43E9-92F9-28D463E8378F}"/>
    <cellStyle name="Comma 123 3" xfId="2182" xr:uid="{4878B9C9-8016-4FB5-BE31-8F622316BF02}"/>
    <cellStyle name="Comma 123 3 2" xfId="5041" xr:uid="{04017480-7E3F-4293-9F74-CD7E928DF5B3}"/>
    <cellStyle name="Comma 123 4" xfId="3625" xr:uid="{9BD781DA-BBFF-4637-80F3-DF1C3EDEAABE}"/>
    <cellStyle name="Comma 124" xfId="698" xr:uid="{00000000-0005-0000-0000-000054000000}"/>
    <cellStyle name="Comma 124 2" xfId="1382" xr:uid="{00000000-0005-0000-0000-000055000000}"/>
    <cellStyle name="Comma 124 2 2" xfId="2829" xr:uid="{410E7445-3215-410E-A4C6-752CD7AAE73D}"/>
    <cellStyle name="Comma 124 2 2 2" xfId="5684" xr:uid="{2B7AA9D4-4510-4612-AA19-B77BBF95E215}"/>
    <cellStyle name="Comma 124 2 3" xfId="4266" xr:uid="{67410E64-403A-436D-8CE2-89373FDC9F72}"/>
    <cellStyle name="Comma 124 3" xfId="2186" xr:uid="{B97B7041-43A2-4834-ACA6-97BBADB0D9BD}"/>
    <cellStyle name="Comma 124 3 2" xfId="5045" xr:uid="{38696EED-31D0-47BF-AEC6-BCE382BA323B}"/>
    <cellStyle name="Comma 124 4" xfId="3629" xr:uid="{D084E154-2CB7-40BE-83D5-D4D378B8CC46}"/>
    <cellStyle name="Comma 125" xfId="700" xr:uid="{00000000-0005-0000-0000-000056000000}"/>
    <cellStyle name="Comma 125 2" xfId="1384" xr:uid="{00000000-0005-0000-0000-000057000000}"/>
    <cellStyle name="Comma 125 2 2" xfId="2831" xr:uid="{AE1133E8-AE85-4942-92AE-D8BA7106784D}"/>
    <cellStyle name="Comma 125 2 2 2" xfId="5686" xr:uid="{E645200E-BAD3-4D1E-966E-3ABCF8C59880}"/>
    <cellStyle name="Comma 125 2 3" xfId="4268" xr:uid="{FEE372FD-4D6E-4C6E-A2A7-25A0246CF6F1}"/>
    <cellStyle name="Comma 125 3" xfId="2188" xr:uid="{7F538160-DF32-46F6-B3D4-EDCE05F7ABCC}"/>
    <cellStyle name="Comma 125 3 2" xfId="5047" xr:uid="{0C6ECDF2-3207-42DA-95BB-2457C9AA8DAA}"/>
    <cellStyle name="Comma 125 4" xfId="3631" xr:uid="{513D8090-C47F-4695-99BB-242066B61B23}"/>
    <cellStyle name="Comma 126" xfId="708" xr:uid="{00000000-0005-0000-0000-000058000000}"/>
    <cellStyle name="Comma 126 2" xfId="1389" xr:uid="{00000000-0005-0000-0000-000059000000}"/>
    <cellStyle name="Comma 126 2 2" xfId="2836" xr:uid="{A0C06B0E-6464-4AB0-A866-B820542708FD}"/>
    <cellStyle name="Comma 126 2 2 2" xfId="5691" xr:uid="{D3934836-6FC7-40FA-8127-4B4587C316CE}"/>
    <cellStyle name="Comma 126 2 3" xfId="4273" xr:uid="{F980B925-9A55-4C63-97FF-6FAF04D81881}"/>
    <cellStyle name="Comma 126 3" xfId="2195" xr:uid="{CE643CA6-ECA1-4643-B740-2A1C1426EFA1}"/>
    <cellStyle name="Comma 126 3 2" xfId="5052" xr:uid="{F36DB217-8065-4899-9692-DE5558BC75ED}"/>
    <cellStyle name="Comma 126 4" xfId="3636" xr:uid="{3E8E8657-939C-4B17-8E14-C3AEB01F0C09}"/>
    <cellStyle name="Comma 127" xfId="712" xr:uid="{00000000-0005-0000-0000-00005A000000}"/>
    <cellStyle name="Comma 127 2" xfId="1393" xr:uid="{00000000-0005-0000-0000-00005B000000}"/>
    <cellStyle name="Comma 127 2 2" xfId="2840" xr:uid="{ABF61F1D-F299-43A4-A0E7-D1E92BF3A828}"/>
    <cellStyle name="Comma 127 2 2 2" xfId="5695" xr:uid="{8322D26B-582B-4253-A98A-E726090F8209}"/>
    <cellStyle name="Comma 127 2 3" xfId="4277" xr:uid="{0B8E72C6-2759-4BD5-A885-E629A9856FF2}"/>
    <cellStyle name="Comma 127 3" xfId="2199" xr:uid="{DA63FAD7-6BB2-478D-9A59-4AA497838B13}"/>
    <cellStyle name="Comma 127 3 2" xfId="5056" xr:uid="{34D06544-5DD7-46E0-9802-D10FEB14DA11}"/>
    <cellStyle name="Comma 127 4" xfId="3640" xr:uid="{19DC1C59-AF39-4B8F-9B94-94F81A0FF910}"/>
    <cellStyle name="Comma 128" xfId="713" xr:uid="{00000000-0005-0000-0000-00005C000000}"/>
    <cellStyle name="Comma 128 2" xfId="1394" xr:uid="{00000000-0005-0000-0000-00005D000000}"/>
    <cellStyle name="Comma 128 2 2" xfId="2841" xr:uid="{9CFD5375-B182-4DF3-ACF0-CAC3F3C03481}"/>
    <cellStyle name="Comma 128 2 2 2" xfId="5696" xr:uid="{F2DE4CE6-435D-4267-9AEA-18A141AA63E5}"/>
    <cellStyle name="Comma 128 2 3" xfId="4278" xr:uid="{D7D24C64-1142-4F7F-8CD4-D4F59DEDDE09}"/>
    <cellStyle name="Comma 128 3" xfId="2200" xr:uid="{43206C4B-E823-41CB-950F-204FF056FAEA}"/>
    <cellStyle name="Comma 128 3 2" xfId="5057" xr:uid="{22C56F2A-98C9-483F-ACD5-F53BF3D8F390}"/>
    <cellStyle name="Comma 128 4" xfId="3641" xr:uid="{E2AE9C58-3CEF-4175-88FD-267124DAEEED}"/>
    <cellStyle name="Comma 129" xfId="718" xr:uid="{00000000-0005-0000-0000-00005E000000}"/>
    <cellStyle name="Comma 129 2" xfId="1397" xr:uid="{00000000-0005-0000-0000-00005F000000}"/>
    <cellStyle name="Comma 129 2 2" xfId="2844" xr:uid="{255E9CA4-2F6A-4A8A-B7A7-528142941CCD}"/>
    <cellStyle name="Comma 129 2 2 2" xfId="5699" xr:uid="{AEE1F0E4-EF3F-48BC-8861-1760B27AFA76}"/>
    <cellStyle name="Comma 129 2 3" xfId="4281" xr:uid="{CABC86E3-874D-45E9-B37A-923BE9F9CAFD}"/>
    <cellStyle name="Comma 129 3" xfId="2204" xr:uid="{43F49483-56A8-487C-92AD-72CFDEE6F1A8}"/>
    <cellStyle name="Comma 129 3 2" xfId="5060" xr:uid="{1BF0C015-FCAA-4B16-B869-089307C95291}"/>
    <cellStyle name="Comma 129 4" xfId="3644" xr:uid="{022020E7-A86D-4799-9CDB-C91F632AD40A}"/>
    <cellStyle name="Comma 13" xfId="76" xr:uid="{00000000-0005-0000-0000-000060000000}"/>
    <cellStyle name="Comma 13 2" xfId="802" xr:uid="{00000000-0005-0000-0000-000061000000}"/>
    <cellStyle name="Comma 13 2 2" xfId="2253" xr:uid="{2D3827BC-8DE3-470B-ABC1-A3251280C65A}"/>
    <cellStyle name="Comma 13 2 2 2" xfId="5109" xr:uid="{F9FB87AB-0FC4-4F6D-9407-663CA41F042E}"/>
    <cellStyle name="Comma 13 2 3" xfId="3691" xr:uid="{F19C8663-6669-4B9B-B71B-75A75DCFB43F}"/>
    <cellStyle name="Comma 13 3" xfId="1606" xr:uid="{C5634B0D-9B85-4FA1-8623-FAD58CCB7EDF}"/>
    <cellStyle name="Comma 13 3 2" xfId="4466" xr:uid="{1D754967-740B-4292-B663-9A7CB6E2C3B5}"/>
    <cellStyle name="Comma 13 4" xfId="3050" xr:uid="{0BAEA212-C808-493D-9F10-B0FD1F5B0F95}"/>
    <cellStyle name="Comma 130" xfId="727" xr:uid="{00000000-0005-0000-0000-000062000000}"/>
    <cellStyle name="Comma 130 2" xfId="734" xr:uid="{00000000-0005-0000-0000-000063000000}"/>
    <cellStyle name="Comma 130 2 2" xfId="1406" xr:uid="{00000000-0005-0000-0000-000064000000}"/>
    <cellStyle name="Comma 130 2 2 2" xfId="2853" xr:uid="{567F9398-CAAA-48CE-A086-0E5BAC490302}"/>
    <cellStyle name="Comma 130 2 2 2 2" xfId="5708" xr:uid="{B2B65CC8-AA0E-43C8-A14B-997AFB3A5A9D}"/>
    <cellStyle name="Comma 130 2 2 3" xfId="4290" xr:uid="{F7515D81-EA6E-4FC3-859A-BEC1F96759C2}"/>
    <cellStyle name="Comma 130 2 3" xfId="2213" xr:uid="{05D5DEB7-936B-4201-9BEB-963352C1DD09}"/>
    <cellStyle name="Comma 130 2 3 2" xfId="5069" xr:uid="{9C492490-60B3-464F-990C-D2E48F3D1A19}"/>
    <cellStyle name="Comma 130 2 4" xfId="3653" xr:uid="{A73FE5C7-3012-48D5-B880-E7DB7BFD75B0}"/>
    <cellStyle name="Comma 130 3" xfId="743" xr:uid="{00000000-0005-0000-0000-000065000000}"/>
    <cellStyle name="Comma 130 3 2" xfId="750" xr:uid="{00000000-0005-0000-0000-000066000000}"/>
    <cellStyle name="Comma 130 3 2 2" xfId="760" xr:uid="{00000000-0005-0000-0000-000067000000}"/>
    <cellStyle name="Comma 130 3 2 2 2" xfId="1419" xr:uid="{00000000-0005-0000-0000-000068000000}"/>
    <cellStyle name="Comma 130 3 2 2 2 2" xfId="1430" xr:uid="{00000000-0005-0000-0000-000069000000}"/>
    <cellStyle name="Comma 130 3 2 2 2 2 10" xfId="5950" xr:uid="{F58D7890-382F-4061-A81C-8ECEA97D5FB5}"/>
    <cellStyle name="Comma 130 3 2 2 2 2 11" xfId="5966" xr:uid="{B985DDF0-C9B5-4FA4-BA63-9CF4296E6A61}"/>
    <cellStyle name="Comma 130 3 2 2 2 2 12" xfId="5984" xr:uid="{DD5276F0-6439-4364-A3BC-CDF7A0784BAB}"/>
    <cellStyle name="Comma 130 3 2 2 2 2 2" xfId="1455" xr:uid="{00000000-0005-0000-0000-00006A000000}"/>
    <cellStyle name="Comma 130 3 2 2 2 2 2 2" xfId="2883" xr:uid="{20780A21-B21C-4EA4-ACD7-3C0A4D5444C9}"/>
    <cellStyle name="Comma 130 3 2 2 2 2 2 2 2" xfId="5737" xr:uid="{ECD9148E-F1F6-48D5-AEBF-AD3EAB7DD5EE}"/>
    <cellStyle name="Comma 130 3 2 2 2 2 2 3" xfId="4316" xr:uid="{85AD12CF-25CF-4E87-AED4-AA5F2F277F28}"/>
    <cellStyle name="Comma 130 3 2 2 2 2 3" xfId="1472" xr:uid="{00000000-0005-0000-0000-00006B000000}"/>
    <cellStyle name="Comma 130 3 2 2 2 2 3 2" xfId="2900" xr:uid="{EAB2CC31-B860-4B53-9186-02A81D42F555}"/>
    <cellStyle name="Comma 130 3 2 2 2 2 3 2 2" xfId="5754" xr:uid="{01FAA63A-9D64-4CD8-8411-CA615DE98EA2}"/>
    <cellStyle name="Comma 130 3 2 2 2 2 3 3" xfId="4333" xr:uid="{A9C28271-5617-4C90-97F5-AF8AB961FBB7}"/>
    <cellStyle name="Comma 130 3 2 2 2 2 4" xfId="1485" xr:uid="{00000000-0005-0000-0000-00006C000000}"/>
    <cellStyle name="Comma 130 3 2 2 2 2 4 2" xfId="1505" xr:uid="{00000000-0005-0000-0000-00006D000000}"/>
    <cellStyle name="Comma 130 3 2 2 2 2 4 2 2" xfId="1535" xr:uid="{00000000-0005-0000-0000-00006E000000}"/>
    <cellStyle name="Comma 130 3 2 2 2 2 4 2 2 2" xfId="2963" xr:uid="{8441228A-0E96-40FE-ADFD-B7A1A92F6794}"/>
    <cellStyle name="Comma 130 3 2 2 2 2 4 2 2 2 2" xfId="5816" xr:uid="{F3E7889E-04D6-4AB7-A1DB-AF37424D60FA}"/>
    <cellStyle name="Comma 130 3 2 2 2 2 4 2 2 3" xfId="4395" xr:uid="{303C7EAD-4E74-4CE9-8AB1-6FACB2679AE2}"/>
    <cellStyle name="Comma 130 3 2 2 2 2 4 2 3" xfId="2933" xr:uid="{5FE71B27-2D93-461C-BD49-93463EACF0D6}"/>
    <cellStyle name="Comma 130 3 2 2 2 2 4 2 3 2" xfId="5786" xr:uid="{515D186D-D259-4668-BA68-BFD23AAAA51B}"/>
    <cellStyle name="Comma 130 3 2 2 2 2 4 2 3 2 2" xfId="5921" xr:uid="{8DAD51E6-5039-4A97-A402-5A6ED388587C}"/>
    <cellStyle name="Comma 130 3 2 2 2 2 4 2 4" xfId="4365" xr:uid="{6C4F31DF-D3C6-49E4-B1AF-E075A42BF581}"/>
    <cellStyle name="Comma 130 3 2 2 2 2 4 3" xfId="2913" xr:uid="{56716B53-71E6-4C2F-AC68-CC18FB22C7C8}"/>
    <cellStyle name="Comma 130 3 2 2 2 2 4 3 2" xfId="5767" xr:uid="{1DC2F0E0-68E2-4D5D-9F79-9204429C7BA1}"/>
    <cellStyle name="Comma 130 3 2 2 2 2 4 4" xfId="4346" xr:uid="{2C4E1741-021B-46D0-A5DA-D1447FF7A99C}"/>
    <cellStyle name="Comma 130 3 2 2 2 2 5" xfId="1517" xr:uid="{00000000-0005-0000-0000-00006F000000}"/>
    <cellStyle name="Comma 130 3 2 2 2 2 5 2" xfId="2945" xr:uid="{D82A4B8F-B8E9-4F90-ABEC-D9D8DB42343A}"/>
    <cellStyle name="Comma 130 3 2 2 2 2 5 2 2" xfId="5798" xr:uid="{D580D5DC-650E-47EF-BDE5-5BB1989D7964}"/>
    <cellStyle name="Comma 130 3 2 2 2 2 5 3" xfId="4377" xr:uid="{2FC5A120-049F-46F0-91BD-2656B6EE4C4D}"/>
    <cellStyle name="Comma 130 3 2 2 2 2 6" xfId="1553" xr:uid="{A38B5591-B23E-496D-87E2-938AB6957790}"/>
    <cellStyle name="Comma 130 3 2 2 2 2 6 2" xfId="2981" xr:uid="{5B358A9C-0739-434A-B6B6-22AB0E208161}"/>
    <cellStyle name="Comma 130 3 2 2 2 2 6 2 2" xfId="5834" xr:uid="{D8CB4337-BCD9-4790-9188-4496CCDCD34E}"/>
    <cellStyle name="Comma 130 3 2 2 2 2 6 3" xfId="4413" xr:uid="{583943A4-C45A-4755-86CB-C1566C82766C}"/>
    <cellStyle name="Comma 130 3 2 2 2 2 7" xfId="1569" xr:uid="{009788A5-FABA-40FC-A4B3-5BEDDA330E32}"/>
    <cellStyle name="Comma 130 3 2 2 2 2 7 2" xfId="4429" xr:uid="{E453C829-A40D-4BB3-B977-A02AC66E4993}"/>
    <cellStyle name="Comma 130 3 2 2 2 2 8" xfId="3011" xr:uid="{96B5CB8B-B21A-421D-8C30-E1C9E0A3C2D5}"/>
    <cellStyle name="Comma 130 3 2 2 2 2 8 2" xfId="5923" xr:uid="{26A48C99-BBCC-4BDE-89E6-B602A8CEA3B2}"/>
    <cellStyle name="Comma 130 3 2 2 2 2 9" xfId="5939" xr:uid="{61E21570-2907-4746-9C34-8C5F41A75F79}"/>
    <cellStyle name="Comma 130 3 2 3" xfId="1438" xr:uid="{00000000-0005-0000-0000-000070000000}"/>
    <cellStyle name="Comma 130 3 2 3 2" xfId="2867" xr:uid="{8A5A1E77-3CAB-4502-9D0F-DD1EE6BF78A0}"/>
    <cellStyle name="Comma 130 3 2 3 2 2" xfId="5722" xr:uid="{883101B8-E3E6-4AEF-9EB5-4F196D990778}"/>
    <cellStyle name="Comma 130 3 2 3 3" xfId="4302" xr:uid="{52D020C4-DBC3-403A-A151-24D07258919C}"/>
    <cellStyle name="Comma 130 3 2 4" xfId="1445" xr:uid="{00000000-0005-0000-0000-000071000000}"/>
    <cellStyle name="Comma 130 3 2 4 2" xfId="2874" xr:uid="{C118AD11-C6FE-4C13-A659-B290B233D7AC}"/>
    <cellStyle name="Comma 130 3 2 4 2 2" xfId="5728" xr:uid="{1DD00E08-2FD5-4E7E-BF90-088FD7DBD5C1}"/>
    <cellStyle name="Comma 130 3 2 4 3" xfId="4307" xr:uid="{AFE8A55E-9F79-45D6-ADBC-9463807BF3F5}"/>
    <cellStyle name="Comma 131" xfId="732" xr:uid="{00000000-0005-0000-0000-000072000000}"/>
    <cellStyle name="Comma 131 2" xfId="1405" xr:uid="{00000000-0005-0000-0000-000073000000}"/>
    <cellStyle name="Comma 131 2 2" xfId="2852" xr:uid="{4FC9106A-37A7-43E7-8602-6A427D355CAB}"/>
    <cellStyle name="Comma 131 2 2 2" xfId="5707" xr:uid="{9C4F8751-5638-4B3E-9DDB-50E1656B5D1C}"/>
    <cellStyle name="Comma 131 2 3" xfId="4289" xr:uid="{B68B1860-6942-4EA6-B754-D1AD2BC696D1}"/>
    <cellStyle name="Comma 131 3" xfId="2212" xr:uid="{275AC301-88F6-4D6E-884F-851BD54C02ED}"/>
    <cellStyle name="Comma 131 3 2" xfId="5068" xr:uid="{C031A835-8CD8-4C3E-94A7-541AFC49A02C}"/>
    <cellStyle name="Comma 131 4" xfId="3652" xr:uid="{E6A5064F-E6AA-45C6-B9FA-CDD960EE2B87}"/>
    <cellStyle name="Comma 132" xfId="739" xr:uid="{00000000-0005-0000-0000-000074000000}"/>
    <cellStyle name="Comma 132 2" xfId="747" xr:uid="{00000000-0005-0000-0000-000075000000}"/>
    <cellStyle name="Comma 132 2 2" xfId="1411" xr:uid="{00000000-0005-0000-0000-000076000000}"/>
    <cellStyle name="Comma 132 2 2 2" xfId="2858" xr:uid="{DF300B30-307C-4823-AE24-DF68FF4B5041}"/>
    <cellStyle name="Comma 132 2 2 2 2" xfId="5713" xr:uid="{E75CA167-E4EB-49B9-9566-E15987678E96}"/>
    <cellStyle name="Comma 132 2 2 3" xfId="4295" xr:uid="{329B0A0E-0C49-4C26-AABB-EC7ECA276A14}"/>
    <cellStyle name="Comma 132 2 3" xfId="2219" xr:uid="{52AC2C1A-F1F0-409B-B261-982AE6F82A4E}"/>
    <cellStyle name="Comma 132 2 3 2" xfId="5075" xr:uid="{C6F8B211-A492-415B-A9B2-5F77EEB20149}"/>
    <cellStyle name="Comma 132 2 4" xfId="3658" xr:uid="{69E0EBDB-1865-4052-B4C9-75BA909A2456}"/>
    <cellStyle name="Comma 132 3" xfId="1409" xr:uid="{00000000-0005-0000-0000-000077000000}"/>
    <cellStyle name="Comma 132 3 2" xfId="2856" xr:uid="{DCD21687-7B1A-426F-A395-56E9F49D58C4}"/>
    <cellStyle name="Comma 132 3 2 2" xfId="5711" xr:uid="{4C2C8414-C288-4804-9B5F-9D78FF89B4E1}"/>
    <cellStyle name="Comma 132 3 3" xfId="4293" xr:uid="{99CEF99E-6329-4F52-803D-148832259345}"/>
    <cellStyle name="Comma 132 4" xfId="2216" xr:uid="{99D7F65B-CC37-4D67-88A8-C5B88426C155}"/>
    <cellStyle name="Comma 132 4 2" xfId="5072" xr:uid="{76E26813-BE95-4D12-B6D4-C40D1910ABF0}"/>
    <cellStyle name="Comma 132 5" xfId="3656" xr:uid="{71377464-E7CA-4696-B3E9-A573784BD36A}"/>
    <cellStyle name="Comma 133" xfId="746" xr:uid="{00000000-0005-0000-0000-000078000000}"/>
    <cellStyle name="Comma 133 2" xfId="1410" xr:uid="{00000000-0005-0000-0000-000079000000}"/>
    <cellStyle name="Comma 133 2 2" xfId="2857" xr:uid="{46164CCE-408D-4DB5-95AD-0B3DD64DCE10}"/>
    <cellStyle name="Comma 133 2 2 2" xfId="5712" xr:uid="{FEA11BA0-1BF6-4816-BF7A-4E6AEA410AC0}"/>
    <cellStyle name="Comma 133 2 3" xfId="4294" xr:uid="{74EE970E-B462-436F-8E70-5081F49C67C5}"/>
    <cellStyle name="Comma 133 3" xfId="2218" xr:uid="{F870C095-4E08-43D7-97A6-83156DDBE20E}"/>
    <cellStyle name="Comma 133 3 2" xfId="5074" xr:uid="{9B23BB8C-A9F4-4D0C-A339-4281B7BF5599}"/>
    <cellStyle name="Comma 133 4" xfId="3657" xr:uid="{C3957BCC-5133-452E-AD0C-3C796D2D5790}"/>
    <cellStyle name="Comma 134" xfId="755" xr:uid="{00000000-0005-0000-0000-00007A000000}"/>
    <cellStyle name="Comma 134 2" xfId="1412" xr:uid="{00000000-0005-0000-0000-00007B000000}"/>
    <cellStyle name="Comma 134 2 2" xfId="1426" xr:uid="{00000000-0005-0000-0000-00007C000000}"/>
    <cellStyle name="Comma 134 2 2 10" xfId="5946" xr:uid="{8051634C-0640-4BD3-8375-65CC34BCA690}"/>
    <cellStyle name="Comma 134 2 2 11" xfId="5962" xr:uid="{00B374CC-0317-4583-B8AE-C5AE7306221B}"/>
    <cellStyle name="Comma 134 2 2 12" xfId="5980" xr:uid="{9D9BF083-FA5D-4ED7-A847-AFCAE78BEC63}"/>
    <cellStyle name="Comma 134 2 2 2" xfId="1451" xr:uid="{00000000-0005-0000-0000-00007D000000}"/>
    <cellStyle name="Comma 134 2 2 2 2" xfId="2879" xr:uid="{E3FBBF08-D166-475F-BF09-0B6FBADA50C9}"/>
    <cellStyle name="Comma 134 2 2 2 2 2" xfId="5733" xr:uid="{33AC9983-A899-48FA-B320-C05FD056B59C}"/>
    <cellStyle name="Comma 134 2 2 2 3" xfId="4312" xr:uid="{025DE99E-85A1-482E-AF1E-D4F575E698F4}"/>
    <cellStyle name="Comma 134 2 2 3" xfId="1468" xr:uid="{00000000-0005-0000-0000-00007E000000}"/>
    <cellStyle name="Comma 134 2 2 3 2" xfId="1503" xr:uid="{00000000-0005-0000-0000-00007F000000}"/>
    <cellStyle name="Comma 134 2 2 3 2 2" xfId="1533" xr:uid="{00000000-0005-0000-0000-000080000000}"/>
    <cellStyle name="Comma 134 2 2 3 2 2 2" xfId="2961" xr:uid="{76C08B66-62B8-4AF0-82AC-F034ECC8B8F1}"/>
    <cellStyle name="Comma 134 2 2 3 2 2 2 2" xfId="5814" xr:uid="{7567C8CA-BF75-4D5F-984F-BA6323F4CA79}"/>
    <cellStyle name="Comma 134 2 2 3 2 2 3" xfId="4393" xr:uid="{4FFDFB3F-ED75-4510-8558-5421369BEAA5}"/>
    <cellStyle name="Comma 134 2 2 3 2 3" xfId="2931" xr:uid="{07F2EAA7-44FF-4AB2-8D09-E4D6C17E1446}"/>
    <cellStyle name="Comma 134 2 2 3 2 3 2" xfId="5784" xr:uid="{A5D6FFDA-979E-43AA-A073-52BB68EE9548}"/>
    <cellStyle name="Comma 134 2 2 3 2 4" xfId="4363" xr:uid="{9D269A12-4808-48A3-90A8-DB9E6B82F1B5}"/>
    <cellStyle name="Comma 134 2 2 3 3" xfId="2896" xr:uid="{1E36B5F2-38B8-4882-B183-7220B9C07E87}"/>
    <cellStyle name="Comma 134 2 2 3 3 2" xfId="5750" xr:uid="{335F1A1E-A22F-42FA-97EF-6F6FA68962E8}"/>
    <cellStyle name="Comma 134 2 2 3 4" xfId="4329" xr:uid="{A9B69C68-0B9E-4714-87D7-EB0CDE92DA01}"/>
    <cellStyle name="Comma 134 2 2 4" xfId="1481" xr:uid="{00000000-0005-0000-0000-000081000000}"/>
    <cellStyle name="Comma 134 2 2 4 2" xfId="1499" xr:uid="{00000000-0005-0000-0000-000082000000}"/>
    <cellStyle name="Comma 134 2 2 4 2 2" xfId="1529" xr:uid="{00000000-0005-0000-0000-000083000000}"/>
    <cellStyle name="Comma 134 2 2 4 2 2 2" xfId="2957" xr:uid="{AE2773C7-1EC5-40F3-9D1D-21143C7B3222}"/>
    <cellStyle name="Comma 134 2 2 4 2 2 2 2" xfId="5810" xr:uid="{2512A235-324F-4035-83C5-B059D55D83FA}"/>
    <cellStyle name="Comma 134 2 2 4 2 2 2 2 2" xfId="5911" xr:uid="{1C7A4398-BB72-4917-B4E4-CB73A505F70B}"/>
    <cellStyle name="Comma 134 2 2 4 2 2 3" xfId="4389" xr:uid="{77E2D4A9-44C7-42B2-B60B-291CEE61A91D}"/>
    <cellStyle name="Comma 134 2 2 4 2 3" xfId="2927" xr:uid="{CD38C7CE-1E02-4C56-AF6E-580C6291A7D5}"/>
    <cellStyle name="Comma 134 2 2 4 2 3 2" xfId="5780" xr:uid="{8A57BE7E-9AD7-4783-B502-21A0A4036220}"/>
    <cellStyle name="Comma 134 2 2 4 2 3 2 2" xfId="5919" xr:uid="{5BAED230-4574-48BF-B244-E84E7976C334}"/>
    <cellStyle name="Comma 134 2 2 4 2 4" xfId="4359" xr:uid="{8B892B46-F9D6-4E50-B04D-CEBA2C865025}"/>
    <cellStyle name="Comma 134 2 2 4 3" xfId="2909" xr:uid="{D9783E68-DCB8-4CCC-BBAF-744ADD813DBC}"/>
    <cellStyle name="Comma 134 2 2 4 3 2" xfId="5763" xr:uid="{5C34D3EF-5674-495C-B3C3-5BBEC62B5ACA}"/>
    <cellStyle name="Comma 134 2 2 4 4" xfId="4342" xr:uid="{C8A29567-D4FD-4254-9F2F-A596FC95C1A3}"/>
    <cellStyle name="Comma 134 2 2 5" xfId="1513" xr:uid="{00000000-0005-0000-0000-000084000000}"/>
    <cellStyle name="Comma 134 2 2 5 2" xfId="2941" xr:uid="{487FB439-E8D5-4105-875E-849B47D39C2A}"/>
    <cellStyle name="Comma 134 2 2 5 2 2" xfId="5794" xr:uid="{648344B8-1C56-4A49-A377-B42F2C1B1E96}"/>
    <cellStyle name="Comma 134 2 2 5 3" xfId="4373" xr:uid="{55431448-0429-4CDC-8336-90024A0064C8}"/>
    <cellStyle name="Comma 134 2 2 6" xfId="1549" xr:uid="{A75E3041-EC8B-4141-9A2F-C894F424F2CB}"/>
    <cellStyle name="Comma 134 2 2 6 2" xfId="2977" xr:uid="{E4F2F91D-1587-4BE6-816E-B3B2072BE423}"/>
    <cellStyle name="Comma 134 2 2 6 2 2" xfId="5830" xr:uid="{BC94583E-DD1A-4AF2-A98C-5D2D087665F4}"/>
    <cellStyle name="Comma 134 2 2 6 3" xfId="4409" xr:uid="{C0C87E87-0BDE-4907-A96F-A1F404AF3380}"/>
    <cellStyle name="Comma 134 2 2 7" xfId="1565" xr:uid="{2541B762-1942-4246-A89C-BC65369411D1}"/>
    <cellStyle name="Comma 134 2 2 7 2" xfId="4425" xr:uid="{E065DA8E-25CF-492A-8923-C4BDFFFAA585}"/>
    <cellStyle name="Comma 134 2 2 8" xfId="3007" xr:uid="{51E43833-C0AB-4C38-B648-8C4FFA3DBB69}"/>
    <cellStyle name="Comma 134 2 2 8 2" xfId="5915" xr:uid="{58C72751-38F5-423C-870B-6AC213994FCB}"/>
    <cellStyle name="Comma 134 2 2 9" xfId="5935" xr:uid="{5E64D871-E750-470C-A87B-202EE14F2212}"/>
    <cellStyle name="Comma 135" xfId="767" xr:uid="{00000000-0005-0000-0000-000085000000}"/>
    <cellStyle name="Comma 136" xfId="1423" xr:uid="{00000000-0005-0000-0000-000086000000}"/>
    <cellStyle name="Comma 136 2" xfId="2861" xr:uid="{C3C95E07-4CFA-4A9F-AB54-E349BF5DF3DB}"/>
    <cellStyle name="Comma 136 2 2" xfId="5716" xr:uid="{384C5496-7F55-4439-AF72-56A841814E08}"/>
    <cellStyle name="Comma 136 3" xfId="4296" xr:uid="{495A28FF-491E-44B3-82B2-29FF4C3E83E0}"/>
    <cellStyle name="Comma 137" xfId="1435" xr:uid="{00000000-0005-0000-0000-000087000000}"/>
    <cellStyle name="Comma 137 2" xfId="2864" xr:uid="{5984468B-15BD-4864-9C0B-3F3F6063D895}"/>
    <cellStyle name="Comma 137 2 2" xfId="5719" xr:uid="{F6A24B7D-DF3F-4812-9DA7-C4A3A488678E}"/>
    <cellStyle name="Comma 137 3" xfId="4299" xr:uid="{C4536D22-9709-472E-90C2-CA0305BB0C33}"/>
    <cellStyle name="Comma 138" xfId="1440" xr:uid="{00000000-0005-0000-0000-000088000000}"/>
    <cellStyle name="Comma 138 10" xfId="5905" xr:uid="{F5CFCA6E-72FD-4F7B-996F-C1D6A75DA2F9}"/>
    <cellStyle name="Comma 138 11" xfId="5931" xr:uid="{86B0D371-6A8A-4D26-BE7C-A9C590D3C1ED}"/>
    <cellStyle name="Comma 138 12" xfId="5954" xr:uid="{E0D21E33-E362-400C-B5A4-843CFF0245D5}"/>
    <cellStyle name="Comma 138 2" xfId="1459" xr:uid="{00000000-0005-0000-0000-000089000000}"/>
    <cellStyle name="Comma 138 2 2" xfId="2887" xr:uid="{FCC9EA21-B24E-4B11-93E8-DCE998FF2FED}"/>
    <cellStyle name="Comma 138 2 2 2" xfId="5741" xr:uid="{D6FDBBD9-0B62-45BB-A804-FD8E9EB87DFC}"/>
    <cellStyle name="Comma 138 2 3" xfId="4320" xr:uid="{B14B4359-93FD-4DC7-8CBE-D463733A2D6D}"/>
    <cellStyle name="Comma 138 3" xfId="1462" xr:uid="{00000000-0005-0000-0000-00008A000000}"/>
    <cellStyle name="Comma 138 3 2" xfId="1476" xr:uid="{00000000-0005-0000-0000-00008B000000}"/>
    <cellStyle name="Comma 138 3 2 2" xfId="1495" xr:uid="{00000000-0005-0000-0000-00008C000000}"/>
    <cellStyle name="Comma 138 3 2 2 2" xfId="2923" xr:uid="{86DBEA9A-2AEC-47E8-A445-4D22B96D4196}"/>
    <cellStyle name="Comma 138 3 2 2 2 2" xfId="5776" xr:uid="{5B1092F2-9675-4C68-9C3B-C9F9A47C1821}"/>
    <cellStyle name="Comma 138 3 2 2 3" xfId="4355" xr:uid="{D36D7179-C427-4B15-BC5F-2E0923B1908D}"/>
    <cellStyle name="Comma 138 3 2 3" xfId="2904" xr:uid="{6C615059-DFE9-4F9C-87A2-34C46386EAA7}"/>
    <cellStyle name="Comma 138 3 2 3 2" xfId="5758" xr:uid="{F33AD430-55D0-4EAE-B061-61B911D46B3E}"/>
    <cellStyle name="Comma 138 3 2 4" xfId="4337" xr:uid="{F843F9A5-F627-4E56-B5B9-BFE3BB97B956}"/>
    <cellStyle name="Comma 138 3 3" xfId="2890" xr:uid="{92E7AAF4-DF15-4D9A-A1C4-6F1F8FB8B64F}"/>
    <cellStyle name="Comma 138 3 3 2" xfId="5744" xr:uid="{905B1CE4-D389-4C96-9795-B7A36D5C1D5C}"/>
    <cellStyle name="Comma 138 3 4" xfId="4323" xr:uid="{0B91776F-508D-40AA-981D-5A8E87B575FE}"/>
    <cellStyle name="Comma 138 4" xfId="1521" xr:uid="{00000000-0005-0000-0000-00008D000000}"/>
    <cellStyle name="Comma 138 4 2" xfId="2949" xr:uid="{A24C4FDA-921C-4B42-BEC8-999C3C774352}"/>
    <cellStyle name="Comma 138 4 2 2" xfId="5802" xr:uid="{52206C31-D174-467E-BFE3-F7BC7D368754}"/>
    <cellStyle name="Comma 138 4 3" xfId="4381" xr:uid="{016BE64E-1169-41AD-A220-B6B25D297577}"/>
    <cellStyle name="Comma 138 5" xfId="1540" xr:uid="{00000000-0005-0000-0000-00008E000000}"/>
    <cellStyle name="Comma 138 5 2" xfId="2968" xr:uid="{CF09DF45-E62A-4F6E-8099-0AC024A1269B}"/>
    <cellStyle name="Comma 138 5 2 2" xfId="5821" xr:uid="{596BF448-9C11-4479-A932-6C829D700AC3}"/>
    <cellStyle name="Comma 138 5 3" xfId="4400" xr:uid="{88AC72D8-8E36-4E42-A86A-79EA4CFDC59F}"/>
    <cellStyle name="Comma 138 6" xfId="1543" xr:uid="{89B6A0C3-EBEE-44DE-A703-9503051C5CE3}"/>
    <cellStyle name="Comma 138 6 2" xfId="2971" xr:uid="{962D54C7-B7D4-452E-B21E-318786A0DAF6}"/>
    <cellStyle name="Comma 138 6 2 2" xfId="5824" xr:uid="{2543EFA0-607D-4442-8D84-B2ECF86E40CC}"/>
    <cellStyle name="Comma 138 6 3" xfId="4403" xr:uid="{0AE218B2-92E3-46E9-8970-100FEBE9446A}"/>
    <cellStyle name="Comma 138 7" xfId="1557" xr:uid="{31CAAB11-43BD-4CD7-9844-DFAB4E168BF3}"/>
    <cellStyle name="Comma 138 7 2" xfId="4417" xr:uid="{F7B2F88E-4F08-4361-833E-C316F58F2684}"/>
    <cellStyle name="Comma 138 8" xfId="2869" xr:uid="{2CCA96C1-8EAE-4F6B-96B3-E0629F39EDFD}"/>
    <cellStyle name="Comma 138 8 2" xfId="5724" xr:uid="{A0C99C98-646F-4DA0-9ACE-776114AAD1FE}"/>
    <cellStyle name="Comma 138 9" xfId="3015" xr:uid="{70A8EF93-E714-437A-AF94-72FA21C9A3D9}"/>
    <cellStyle name="Comma 139" xfId="1448" xr:uid="{00000000-0005-0000-0000-00008F000000}"/>
    <cellStyle name="Comma 139 2" xfId="2877" xr:uid="{89181689-FE30-4B97-9ACF-B11A69BBF17E}"/>
    <cellStyle name="Comma 139 2 2" xfId="5731" xr:uid="{2123FE04-419D-4970-9012-2D3555B4B1DF}"/>
    <cellStyle name="Comma 139 3" xfId="4310" xr:uid="{FBCF2DA0-0BAE-4C9E-9043-CBA84EB4905A}"/>
    <cellStyle name="Comma 14" xfId="86" xr:uid="{00000000-0005-0000-0000-000090000000}"/>
    <cellStyle name="Comma 14 2" xfId="812" xr:uid="{00000000-0005-0000-0000-000091000000}"/>
    <cellStyle name="Comma 14 2 2" xfId="2263" xr:uid="{A1DE8E51-EF66-407A-A18B-E037DB332AB4}"/>
    <cellStyle name="Comma 14 2 2 2" xfId="5119" xr:uid="{4E906E71-BD1A-47F9-B31F-63984AF36679}"/>
    <cellStyle name="Comma 14 2 3" xfId="3701" xr:uid="{730FB3B9-B2A0-450C-9076-F8DF70E5E209}"/>
    <cellStyle name="Comma 14 3" xfId="1616" xr:uid="{8A26FB97-99D2-40DB-B548-F87CDC6FD3DD}"/>
    <cellStyle name="Comma 14 3 2" xfId="4476" xr:uid="{CB81EE59-5737-43B5-9381-71E853A7813E}"/>
    <cellStyle name="Comma 14 4" xfId="3060" xr:uid="{E3C80E25-FDB1-487B-AE15-F69E33A3BB75}"/>
    <cellStyle name="Comma 140" xfId="1511" xr:uid="{00000000-0005-0000-0000-000092000000}"/>
    <cellStyle name="Comma 140 2" xfId="1527" xr:uid="{00000000-0005-0000-0000-000093000000}"/>
    <cellStyle name="Comma 140 2 2" xfId="2955" xr:uid="{425CB5A2-7A2C-43F7-A6F0-179945E1C74E}"/>
    <cellStyle name="Comma 140 2 2 2" xfId="5808" xr:uid="{FD4D86EB-88A8-453B-AF71-A5A31828BEAD}"/>
    <cellStyle name="Comma 140 2 3" xfId="4387" xr:uid="{30904806-0CFD-43DA-A4CA-B0DC2CAFB0F5}"/>
    <cellStyle name="Comma 140 3" xfId="2939" xr:uid="{75B1D1FD-41DF-445B-8911-6CD30AFC59A0}"/>
    <cellStyle name="Comma 140 3 2" xfId="5792" xr:uid="{621496B6-7296-47B3-9DF0-1D1A9E29872D}"/>
    <cellStyle name="Comma 140 4" xfId="4371" xr:uid="{7BF87D77-16D3-4394-BC84-24CD3D15BE5E}"/>
    <cellStyle name="Comma 141" xfId="1525" xr:uid="{00000000-0005-0000-0000-000094000000}"/>
    <cellStyle name="Comma 141 2" xfId="2953" xr:uid="{AD8E0145-6306-4D27-B51B-205C25CC1B11}"/>
    <cellStyle name="Comma 141 2 2" xfId="5806" xr:uid="{3A3837F7-48B9-4560-A6BB-0E344D74F12F}"/>
    <cellStyle name="Comma 141 3" xfId="4385" xr:uid="{0B5854AF-979B-4A18-B012-C6F561034189}"/>
    <cellStyle name="Comma 142" xfId="1563" xr:uid="{84C6F93C-66ED-4164-B539-92185F3E76B3}"/>
    <cellStyle name="Comma 142 2" xfId="4423" xr:uid="{F1CDBF0D-89E5-4D19-95F4-AFFD62F928BE}"/>
    <cellStyle name="Comma 143" xfId="3005" xr:uid="{56420024-1DF3-497A-A5EF-42D997B5660F}"/>
    <cellStyle name="Comma 144" xfId="5944" xr:uid="{79A471E2-0234-42BF-A26A-669343814E9E}"/>
    <cellStyle name="Comma 145" xfId="5957" xr:uid="{1B5F4499-8252-4B79-9CFE-BD385DFBB052}"/>
    <cellStyle name="Comma 146" xfId="5971" xr:uid="{6293B845-FA20-428C-A20F-F7B3D14A5FE8}"/>
    <cellStyle name="Comma 147" xfId="5975" xr:uid="{6EB98590-479C-4615-9B93-346EAFE08C7A}"/>
    <cellStyle name="Comma 148" xfId="5989" xr:uid="{8399BDF0-2192-434B-95BA-02F94C9E3E4D}"/>
    <cellStyle name="Comma 148 2" xfId="6010" xr:uid="{CC4B095B-6F1F-45D3-BCB9-81285D82CBC0}"/>
    <cellStyle name="Comma 149" xfId="5993" xr:uid="{2A7D9C6D-1CB3-4186-A790-C0CD78C90272}"/>
    <cellStyle name="Comma 15" xfId="88" xr:uid="{00000000-0005-0000-0000-000095000000}"/>
    <cellStyle name="Comma 15 2" xfId="814" xr:uid="{00000000-0005-0000-0000-000096000000}"/>
    <cellStyle name="Comma 15 2 2" xfId="2265" xr:uid="{4F812DCC-DA67-419B-8A8D-0FAD71DDE524}"/>
    <cellStyle name="Comma 15 2 2 2" xfId="5121" xr:uid="{43460F70-F235-4284-8EAD-821CB09E200F}"/>
    <cellStyle name="Comma 15 2 3" xfId="3703" xr:uid="{A17AFC58-8545-4008-9907-8C56179763FE}"/>
    <cellStyle name="Comma 15 3" xfId="1618" xr:uid="{66154BDC-5BAA-487E-8E63-F24AB53159D1}"/>
    <cellStyle name="Comma 15 3 2" xfId="4478" xr:uid="{F044E396-76B4-41E7-8B98-A028286E853F}"/>
    <cellStyle name="Comma 15 4" xfId="3062" xr:uid="{18233F24-E903-44FA-B5C8-3AFA28EC9821}"/>
    <cellStyle name="Comma 150" xfId="5998" xr:uid="{BA6F4F0E-5A7F-4B06-87B1-E668E642BD57}"/>
    <cellStyle name="Comma 151" xfId="6001" xr:uid="{14FF36EF-A3B1-4561-AB14-4BEDB4F34A06}"/>
    <cellStyle name="Comma 152" xfId="6018" xr:uid="{B674DF81-7F69-480D-BC6E-9DA4166A8F4A}"/>
    <cellStyle name="Comma 153" xfId="6021" xr:uid="{A61C104D-BDE5-4DD0-9321-8CD1444B0D94}"/>
    <cellStyle name="Comma 154" xfId="6023" xr:uid="{275EB3AE-95CE-451B-BB1B-2480115CFF7C}"/>
    <cellStyle name="Comma 155" xfId="6032" xr:uid="{AA51CE9A-F1A9-4689-9CC3-67B09FD49307}"/>
    <cellStyle name="Comma 16" xfId="90" xr:uid="{00000000-0005-0000-0000-000097000000}"/>
    <cellStyle name="Comma 16 2" xfId="816" xr:uid="{00000000-0005-0000-0000-000098000000}"/>
    <cellStyle name="Comma 16 2 2" xfId="2266" xr:uid="{0B161DF3-90FF-4052-A237-C4FE1588A5BD}"/>
    <cellStyle name="Comma 16 2 2 2" xfId="5122" xr:uid="{0C6E677A-A5FB-4293-B6F0-76BF58DF1C2F}"/>
    <cellStyle name="Comma 16 2 3" xfId="3704" xr:uid="{B28FE741-DCDE-4158-A8E6-9D3AD69D5064}"/>
    <cellStyle name="Comma 16 3" xfId="1619" xr:uid="{3EC91FC8-6975-498D-91AF-FB94BB8DECC6}"/>
    <cellStyle name="Comma 16 3 2" xfId="4479" xr:uid="{C22B9E24-0158-4CE8-904D-F7EE6986BBC5}"/>
    <cellStyle name="Comma 16 4" xfId="3063" xr:uid="{12DEA15B-23C4-4650-BECB-C9E731F00245}"/>
    <cellStyle name="Comma 17" xfId="93" xr:uid="{00000000-0005-0000-0000-000099000000}"/>
    <cellStyle name="Comma 17 2" xfId="819" xr:uid="{00000000-0005-0000-0000-00009A000000}"/>
    <cellStyle name="Comma 17 2 2" xfId="2269" xr:uid="{075D6B81-D14D-40D8-9E66-BFE3C6E61986}"/>
    <cellStyle name="Comma 17 2 2 2" xfId="5125" xr:uid="{E8676A86-0DF3-4D38-B6EF-2D318E3F5358}"/>
    <cellStyle name="Comma 17 2 3" xfId="3707" xr:uid="{37BCECD5-046C-434D-91E9-B5550AF5C6FD}"/>
    <cellStyle name="Comma 17 3" xfId="1622" xr:uid="{292EB9E0-DC3D-43AF-835F-8988B50D6F53}"/>
    <cellStyle name="Comma 17 3 2" xfId="4482" xr:uid="{B956CCE6-94E3-45D5-9724-1AA6B9D64052}"/>
    <cellStyle name="Comma 17 4" xfId="3066" xr:uid="{C6ADF7A6-289A-4EBA-B00F-96DB029ECB10}"/>
    <cellStyle name="Comma 18" xfId="95" xr:uid="{00000000-0005-0000-0000-00009B000000}"/>
    <cellStyle name="Comma 18 2" xfId="821" xr:uid="{00000000-0005-0000-0000-00009C000000}"/>
    <cellStyle name="Comma 18 2 2" xfId="2271" xr:uid="{AD4766E1-AFE0-43AA-AA23-AB3F06B08144}"/>
    <cellStyle name="Comma 18 2 2 2" xfId="5127" xr:uid="{92EA17E9-295A-4B0C-8080-61702C95A079}"/>
    <cellStyle name="Comma 18 2 3" xfId="3709" xr:uid="{F4D2AF30-989C-4D13-8FCE-DA7B70B29B30}"/>
    <cellStyle name="Comma 18 3" xfId="1624" xr:uid="{5894F41A-8C63-4D9D-BFF9-E11957214557}"/>
    <cellStyle name="Comma 18 3 2" xfId="4484" xr:uid="{B75E5870-CBCA-498C-97C2-01E78F2F0D3B}"/>
    <cellStyle name="Comma 18 4" xfId="3068" xr:uid="{F80DA9D8-3D15-4BBE-A173-94D6441C0BC0}"/>
    <cellStyle name="Comma 19" xfId="101" xr:uid="{00000000-0005-0000-0000-00009D000000}"/>
    <cellStyle name="Comma 19 2" xfId="827" xr:uid="{00000000-0005-0000-0000-00009E000000}"/>
    <cellStyle name="Comma 19 2 2" xfId="2276" xr:uid="{BF3DDC61-7162-42FD-A1A5-8538E140F84B}"/>
    <cellStyle name="Comma 19 2 2 2" xfId="5132" xr:uid="{B9CD2E3D-6A6C-4948-B22C-00775CA70CA7}"/>
    <cellStyle name="Comma 19 2 3" xfId="3714" xr:uid="{FC27C556-B276-4172-AF7B-F1DDC589ABD8}"/>
    <cellStyle name="Comma 19 3" xfId="1629" xr:uid="{C3BE4555-73A0-4C20-8D4B-76708330A928}"/>
    <cellStyle name="Comma 19 3 2" xfId="4489" xr:uid="{5C87B79C-0070-463C-81A5-8D5D97DA71CA}"/>
    <cellStyle name="Comma 19 4" xfId="3073" xr:uid="{F44B8BD7-4F56-4745-976E-31A6AA38CE1F}"/>
    <cellStyle name="Comma 2" xfId="2" xr:uid="{00000000-0005-0000-0000-00009F000000}"/>
    <cellStyle name="Comma 2 10" xfId="112" xr:uid="{00000000-0005-0000-0000-0000A0000000}"/>
    <cellStyle name="Comma 2 10 2" xfId="838" xr:uid="{00000000-0005-0000-0000-0000A1000000}"/>
    <cellStyle name="Comma 2 10 2 2" xfId="2287" xr:uid="{01053FBF-2C60-435C-9B64-DF2F595D76DB}"/>
    <cellStyle name="Comma 2 10 2 2 2" xfId="5143" xr:uid="{E5FF0B49-0053-4E6F-868B-E035E9681CB2}"/>
    <cellStyle name="Comma 2 10 2 3" xfId="3725" xr:uid="{F677EA1A-21B3-4437-9B93-6D7779ED39D4}"/>
    <cellStyle name="Comma 2 10 3" xfId="1640" xr:uid="{23F9AE50-94EC-4FCD-AC4D-20FD96D65504}"/>
    <cellStyle name="Comma 2 10 3 2" xfId="4500" xr:uid="{32F5A1BA-EEE2-413B-AF51-F7C739B4F31C}"/>
    <cellStyle name="Comma 2 10 4" xfId="3084" xr:uid="{0B6592F3-F00B-4E7E-B54F-65DAF9CDC44D}"/>
    <cellStyle name="Comma 2 11" xfId="116" xr:uid="{00000000-0005-0000-0000-0000A2000000}"/>
    <cellStyle name="Comma 2 11 2" xfId="842" xr:uid="{00000000-0005-0000-0000-0000A3000000}"/>
    <cellStyle name="Comma 2 11 2 2" xfId="2291" xr:uid="{740994BD-71D2-430D-9719-21046F5037AD}"/>
    <cellStyle name="Comma 2 11 2 2 2" xfId="5147" xr:uid="{7FAC73EC-A537-48E4-BFE4-CB3A36BCA7B3}"/>
    <cellStyle name="Comma 2 11 2 3" xfId="3729" xr:uid="{4993165B-B30B-47B6-B015-39DC45DEECEA}"/>
    <cellStyle name="Comma 2 11 3" xfId="1644" xr:uid="{ADAE7788-9109-4B30-A76F-99E5C9ECE2D5}"/>
    <cellStyle name="Comma 2 11 3 2" xfId="4504" xr:uid="{DE46D716-C5AB-44D9-993E-6BA0BA8F7D60}"/>
    <cellStyle name="Comma 2 11 4" xfId="3088" xr:uid="{596DB8AE-3273-4ED1-9D1B-8B49F716FFF6}"/>
    <cellStyle name="Comma 2 12" xfId="123" xr:uid="{00000000-0005-0000-0000-0000A4000000}"/>
    <cellStyle name="Comma 2 12 2" xfId="849" xr:uid="{00000000-0005-0000-0000-0000A5000000}"/>
    <cellStyle name="Comma 2 12 2 2" xfId="2297" xr:uid="{6ADAA4FE-AD83-44FB-847E-A845F310F5C8}"/>
    <cellStyle name="Comma 2 12 2 2 2" xfId="5153" xr:uid="{5826BE5F-7900-4188-A291-567CCF9BE394}"/>
    <cellStyle name="Comma 2 12 2 3" xfId="3735" xr:uid="{061AD660-2BA4-4C31-90CE-116FA817C871}"/>
    <cellStyle name="Comma 2 12 3" xfId="1650" xr:uid="{474B855B-F395-46AF-9118-8770CF75D38D}"/>
    <cellStyle name="Comma 2 12 3 2" xfId="4510" xr:uid="{B7D2B27B-C8A9-487C-AB87-D935A5814AD2}"/>
    <cellStyle name="Comma 2 12 4" xfId="3094" xr:uid="{AAA7A5EB-66E6-420B-BE14-4D999DBE4B53}"/>
    <cellStyle name="Comma 2 13" xfId="131" xr:uid="{00000000-0005-0000-0000-0000A6000000}"/>
    <cellStyle name="Comma 2 13 2" xfId="856" xr:uid="{00000000-0005-0000-0000-0000A7000000}"/>
    <cellStyle name="Comma 2 13 2 2" xfId="2304" xr:uid="{955C134D-2805-471A-907C-630B7FD20CBC}"/>
    <cellStyle name="Comma 2 13 2 2 2" xfId="5160" xr:uid="{933ACF15-F493-4CA8-9B40-73F8DFD88EF8}"/>
    <cellStyle name="Comma 2 13 2 3" xfId="3742" xr:uid="{40212B40-B98F-4DD7-8022-7DE8153F3E28}"/>
    <cellStyle name="Comma 2 13 3" xfId="1657" xr:uid="{FE411CCF-25EE-4686-BA4A-1B054E8C24CD}"/>
    <cellStyle name="Comma 2 13 3 2" xfId="4517" xr:uid="{F5766E52-BD3D-4EF7-A4E5-EC154C0E1D75}"/>
    <cellStyle name="Comma 2 13 4" xfId="3101" xr:uid="{C2BBDEA5-F3D7-4B0D-9F74-1C21F124BE2B}"/>
    <cellStyle name="Comma 2 14" xfId="141" xr:uid="{00000000-0005-0000-0000-0000A8000000}"/>
    <cellStyle name="Comma 2 14 2" xfId="866" xr:uid="{00000000-0005-0000-0000-0000A9000000}"/>
    <cellStyle name="Comma 2 14 2 2" xfId="2314" xr:uid="{93ACBA32-0111-4BBB-A1DF-CC00137172C7}"/>
    <cellStyle name="Comma 2 14 2 2 2" xfId="5170" xr:uid="{47AE7A70-CFC4-43F5-A8FB-9DE6FB520DD7}"/>
    <cellStyle name="Comma 2 14 2 3" xfId="3752" xr:uid="{C7EDD4D7-417F-4418-8921-CACC8F2F4AE3}"/>
    <cellStyle name="Comma 2 14 3" xfId="1667" xr:uid="{967E8434-4042-474E-8574-5BA8466F99C5}"/>
    <cellStyle name="Comma 2 14 3 2" xfId="4527" xr:uid="{7C306F0A-319C-433B-A4E0-A05A653A4F7F}"/>
    <cellStyle name="Comma 2 14 4" xfId="3111" xr:uid="{84E2AD6A-B2EC-416B-A711-9DCCDF861C80}"/>
    <cellStyle name="Comma 2 15" xfId="147" xr:uid="{00000000-0005-0000-0000-0000AA000000}"/>
    <cellStyle name="Comma 2 15 2" xfId="872" xr:uid="{00000000-0005-0000-0000-0000AB000000}"/>
    <cellStyle name="Comma 2 15 2 2" xfId="2320" xr:uid="{8A868C78-93B2-4206-8D95-D97E2A066708}"/>
    <cellStyle name="Comma 2 15 2 2 2" xfId="5176" xr:uid="{45234E62-DCB4-4E33-8723-6A635F014205}"/>
    <cellStyle name="Comma 2 15 2 3" xfId="3758" xr:uid="{2564ED03-A3FF-42C4-B1A2-07A559B8713D}"/>
    <cellStyle name="Comma 2 15 3" xfId="1673" xr:uid="{0B60B731-2811-418D-8E58-39DD15088EBD}"/>
    <cellStyle name="Comma 2 15 3 2" xfId="4533" xr:uid="{1863F766-80DA-41A1-A38B-537D624C7A60}"/>
    <cellStyle name="Comma 2 15 4" xfId="3117" xr:uid="{90B8A0DE-ADDE-4709-8FDA-75E70B20BF9D}"/>
    <cellStyle name="Comma 2 16" xfId="156" xr:uid="{00000000-0005-0000-0000-0000AC000000}"/>
    <cellStyle name="Comma 2 16 2" xfId="879" xr:uid="{00000000-0005-0000-0000-0000AD000000}"/>
    <cellStyle name="Comma 2 16 2 2" xfId="2327" xr:uid="{4EB079DA-C6CD-497E-82E4-4FFDE5E41315}"/>
    <cellStyle name="Comma 2 16 2 2 2" xfId="5183" xr:uid="{4A8D19EC-68EB-4DEB-B319-2CDBE8F02517}"/>
    <cellStyle name="Comma 2 16 2 3" xfId="3765" xr:uid="{823F9E21-81C2-48FE-AC26-12AACE6B7A2D}"/>
    <cellStyle name="Comma 2 16 3" xfId="1680" xr:uid="{364808ED-9D6D-4B55-95DE-1F71F3AAAE80}"/>
    <cellStyle name="Comma 2 16 3 2" xfId="4540" xr:uid="{0C273004-77D3-4905-97B9-6DB87313160F}"/>
    <cellStyle name="Comma 2 16 4" xfId="3124" xr:uid="{35D0DCF0-E4A4-41CC-AAEF-39E3AD112398}"/>
    <cellStyle name="Comma 2 17" xfId="163" xr:uid="{00000000-0005-0000-0000-0000AE000000}"/>
    <cellStyle name="Comma 2 17 2" xfId="886" xr:uid="{00000000-0005-0000-0000-0000AF000000}"/>
    <cellStyle name="Comma 2 17 2 2" xfId="2334" xr:uid="{2D50C83B-127F-4F53-923E-EC59A4C047B9}"/>
    <cellStyle name="Comma 2 17 2 2 2" xfId="5190" xr:uid="{99835E4E-D6E4-47AD-A263-C858BC1F30A0}"/>
    <cellStyle name="Comma 2 17 2 3" xfId="3772" xr:uid="{FB398CAC-CC2A-4002-A95C-7BECCC404E06}"/>
    <cellStyle name="Comma 2 17 3" xfId="1687" xr:uid="{44BB5A6C-E129-42B4-A46A-4F30D9D05E9A}"/>
    <cellStyle name="Comma 2 17 3 2" xfId="4547" xr:uid="{8EE5FB4B-C2A3-40A1-809E-2CCD99CA7CDF}"/>
    <cellStyle name="Comma 2 17 4" xfId="3131" xr:uid="{F61BA3EC-A889-420A-BFEA-00FD557BD65E}"/>
    <cellStyle name="Comma 2 18" xfId="177" xr:uid="{00000000-0005-0000-0000-0000B0000000}"/>
    <cellStyle name="Comma 2 18 2" xfId="899" xr:uid="{00000000-0005-0000-0000-0000B1000000}"/>
    <cellStyle name="Comma 2 18 2 2" xfId="2347" xr:uid="{014BECAC-E8E9-46AA-AD7F-87BDD64658C0}"/>
    <cellStyle name="Comma 2 18 2 2 2" xfId="5203" xr:uid="{7ED38F9D-89A3-41B7-9CE7-B15ED2C88811}"/>
    <cellStyle name="Comma 2 18 2 3" xfId="3785" xr:uid="{CDD69746-041F-481D-89D7-9888099563B3}"/>
    <cellStyle name="Comma 2 18 3" xfId="1700" xr:uid="{65BB5ED7-218E-46A7-9718-7D2CAF971EDD}"/>
    <cellStyle name="Comma 2 18 3 2" xfId="4560" xr:uid="{4ED3E1F3-D08E-4209-9674-5926429D053E}"/>
    <cellStyle name="Comma 2 18 4" xfId="3144" xr:uid="{9418EBB6-104D-4CFE-885A-E5EE0E335176}"/>
    <cellStyle name="Comma 2 19" xfId="190" xr:uid="{00000000-0005-0000-0000-0000B2000000}"/>
    <cellStyle name="Comma 2 19 2" xfId="912" xr:uid="{00000000-0005-0000-0000-0000B3000000}"/>
    <cellStyle name="Comma 2 19 2 2" xfId="2360" xr:uid="{5D834273-773D-4734-B20F-FA2664B0E635}"/>
    <cellStyle name="Comma 2 19 2 2 2" xfId="5216" xr:uid="{C3C1E122-0C77-4B18-84BE-127659EB5FF7}"/>
    <cellStyle name="Comma 2 19 2 3" xfId="3798" xr:uid="{7AC447AA-1A39-46AB-BDC6-53FA142CB920}"/>
    <cellStyle name="Comma 2 19 3" xfId="1713" xr:uid="{4E84CF56-F31A-4CE7-8C5B-7746A9CDA70D}"/>
    <cellStyle name="Comma 2 19 3 2" xfId="4573" xr:uid="{2445FD5A-1229-4F8B-AD55-88F43D099785}"/>
    <cellStyle name="Comma 2 19 4" xfId="3157" xr:uid="{AB4B3FFB-66E9-4D9E-9693-93CFDFE04DFD}"/>
    <cellStyle name="Comma 2 2" xfId="3" xr:uid="{00000000-0005-0000-0000-0000B4000000}"/>
    <cellStyle name="Comma 2 2 10" xfId="124" xr:uid="{00000000-0005-0000-0000-0000B5000000}"/>
    <cellStyle name="Comma 2 2 10 2" xfId="850" xr:uid="{00000000-0005-0000-0000-0000B6000000}"/>
    <cellStyle name="Comma 2 2 10 2 2" xfId="2298" xr:uid="{AB2A3412-C4BA-4242-8D2E-385B8D0ED5C4}"/>
    <cellStyle name="Comma 2 2 10 2 2 2" xfId="5154" xr:uid="{BBCF7E3D-81E1-4C71-A840-FF3AB7D974D3}"/>
    <cellStyle name="Comma 2 2 10 2 3" xfId="3736" xr:uid="{B91A8717-B379-445B-9B53-3D0125AFCF63}"/>
    <cellStyle name="Comma 2 2 10 3" xfId="1651" xr:uid="{CD16EC78-B30E-41A7-B835-999C8C8C9410}"/>
    <cellStyle name="Comma 2 2 10 3 2" xfId="4511" xr:uid="{C0D24221-6EDD-4F14-BE1A-9C0B135B4524}"/>
    <cellStyle name="Comma 2 2 10 4" xfId="3095" xr:uid="{5BA587FC-8377-489D-99F2-A0E6AEA059C2}"/>
    <cellStyle name="Comma 2 2 11" xfId="132" xr:uid="{00000000-0005-0000-0000-0000B7000000}"/>
    <cellStyle name="Comma 2 2 11 2" xfId="857" xr:uid="{00000000-0005-0000-0000-0000B8000000}"/>
    <cellStyle name="Comma 2 2 11 2 2" xfId="2305" xr:uid="{A36DD5E7-E9BF-444B-8113-D4486A39E963}"/>
    <cellStyle name="Comma 2 2 11 2 2 2" xfId="5161" xr:uid="{E5DAC97D-E936-4180-825B-6AB8A8FC6899}"/>
    <cellStyle name="Comma 2 2 11 2 3" xfId="3743" xr:uid="{CA204B7F-2549-43B7-AD19-60C81E132AE9}"/>
    <cellStyle name="Comma 2 2 11 3" xfId="1658" xr:uid="{B95E7A42-D527-4E3C-8C74-A3D40B149370}"/>
    <cellStyle name="Comma 2 2 11 3 2" xfId="4518" xr:uid="{DF51EEB2-265F-450C-A6F7-21C9BD166622}"/>
    <cellStyle name="Comma 2 2 11 4" xfId="3102" xr:uid="{9183A535-C76D-4B4E-AECA-C5B2162140AB}"/>
    <cellStyle name="Comma 2 2 12" xfId="142" xr:uid="{00000000-0005-0000-0000-0000B9000000}"/>
    <cellStyle name="Comma 2 2 12 2" xfId="867" xr:uid="{00000000-0005-0000-0000-0000BA000000}"/>
    <cellStyle name="Comma 2 2 12 2 2" xfId="2315" xr:uid="{93FD28D8-AA9A-4493-84B9-ACF3DFD851B5}"/>
    <cellStyle name="Comma 2 2 12 2 2 2" xfId="5171" xr:uid="{DFA21476-7A80-45B9-B150-CF5FBB386F38}"/>
    <cellStyle name="Comma 2 2 12 2 3" xfId="3753" xr:uid="{BCCB8776-691C-48DA-8173-DF548FA9B0CA}"/>
    <cellStyle name="Comma 2 2 12 3" xfId="1668" xr:uid="{853F2F98-2537-4A4C-A338-3A09683C00D4}"/>
    <cellStyle name="Comma 2 2 12 3 2" xfId="4528" xr:uid="{7D2D9564-8433-4FAD-8BB2-46601BE9FA41}"/>
    <cellStyle name="Comma 2 2 12 4" xfId="3112" xr:uid="{A6143F46-67CB-4513-8686-AC9A8596E919}"/>
    <cellStyle name="Comma 2 2 13" xfId="148" xr:uid="{00000000-0005-0000-0000-0000BB000000}"/>
    <cellStyle name="Comma 2 2 13 2" xfId="873" xr:uid="{00000000-0005-0000-0000-0000BC000000}"/>
    <cellStyle name="Comma 2 2 13 2 2" xfId="2321" xr:uid="{2019D3DC-88F9-40FA-ADB1-40F7CC3DAE27}"/>
    <cellStyle name="Comma 2 2 13 2 2 2" xfId="5177" xr:uid="{1B41A5BB-C51C-4C7E-886E-98DB2360D0E8}"/>
    <cellStyle name="Comma 2 2 13 2 3" xfId="3759" xr:uid="{D3627397-82A9-4E36-9A0A-A1F6E67DB15E}"/>
    <cellStyle name="Comma 2 2 13 3" xfId="1674" xr:uid="{C9F631AF-86D7-44A1-A19B-CADFC8CCAFEB}"/>
    <cellStyle name="Comma 2 2 13 3 2" xfId="4534" xr:uid="{2BC84858-BBD5-4F83-B96C-10CC8CFC1953}"/>
    <cellStyle name="Comma 2 2 13 4" xfId="3118" xr:uid="{BAEAA33F-9E21-455A-B461-3A83961C248E}"/>
    <cellStyle name="Comma 2 2 14" xfId="157" xr:uid="{00000000-0005-0000-0000-0000BD000000}"/>
    <cellStyle name="Comma 2 2 14 2" xfId="880" xr:uid="{00000000-0005-0000-0000-0000BE000000}"/>
    <cellStyle name="Comma 2 2 14 2 2" xfId="2328" xr:uid="{18378A8B-3241-45AF-A6AC-289EC3320546}"/>
    <cellStyle name="Comma 2 2 14 2 2 2" xfId="5184" xr:uid="{CC91A969-F20D-4174-B056-7456679BD300}"/>
    <cellStyle name="Comma 2 2 14 2 3" xfId="3766" xr:uid="{314A6F3E-29E8-419E-B874-3B20A874104D}"/>
    <cellStyle name="Comma 2 2 14 3" xfId="1681" xr:uid="{ECE45AD8-23EA-46B1-BC7D-71041334CC0D}"/>
    <cellStyle name="Comma 2 2 14 3 2" xfId="4541" xr:uid="{C2B65B99-348B-4159-BD6F-8DB1C2AD6279}"/>
    <cellStyle name="Comma 2 2 14 4" xfId="3125" xr:uid="{436B0E66-0554-4E2A-AC40-D470F938D7A5}"/>
    <cellStyle name="Comma 2 2 15" xfId="164" xr:uid="{00000000-0005-0000-0000-0000BF000000}"/>
    <cellStyle name="Comma 2 2 15 2" xfId="887" xr:uid="{00000000-0005-0000-0000-0000C0000000}"/>
    <cellStyle name="Comma 2 2 15 2 2" xfId="2335" xr:uid="{E6C6B1B9-6356-4037-A086-BEA023E128D7}"/>
    <cellStyle name="Comma 2 2 15 2 2 2" xfId="5191" xr:uid="{6B2EB9A2-2D87-4679-98B9-1CA435ABB44E}"/>
    <cellStyle name="Comma 2 2 15 2 3" xfId="3773" xr:uid="{D6087155-9DEE-4AC4-9E29-7CB0DB6182B3}"/>
    <cellStyle name="Comma 2 2 15 3" xfId="1688" xr:uid="{0FA7C1A6-0387-441D-9256-B1DE0A800785}"/>
    <cellStyle name="Comma 2 2 15 3 2" xfId="4548" xr:uid="{E688B1A4-A243-485D-9041-51CB695A99E3}"/>
    <cellStyle name="Comma 2 2 15 4" xfId="3132" xr:uid="{BE0753C0-D323-44A3-A834-C224F622EA94}"/>
    <cellStyle name="Comma 2 2 16" xfId="178" xr:uid="{00000000-0005-0000-0000-0000C1000000}"/>
    <cellStyle name="Comma 2 2 16 2" xfId="900" xr:uid="{00000000-0005-0000-0000-0000C2000000}"/>
    <cellStyle name="Comma 2 2 16 2 2" xfId="2348" xr:uid="{CF1A6CDA-23D8-48B6-8A59-BF4E76AA46A5}"/>
    <cellStyle name="Comma 2 2 16 2 2 2" xfId="5204" xr:uid="{5AB425BC-9540-490B-A3F3-AC59B6CE00D4}"/>
    <cellStyle name="Comma 2 2 16 2 3" xfId="3786" xr:uid="{E6FFC02D-9381-4D98-BC06-C27A6C0FB435}"/>
    <cellStyle name="Comma 2 2 16 3" xfId="1701" xr:uid="{100DA24E-23A8-4A0D-9B47-4A6309F3BDD6}"/>
    <cellStyle name="Comma 2 2 16 3 2" xfId="4561" xr:uid="{8D4F518C-FF45-4241-A9D6-106218CF7EFC}"/>
    <cellStyle name="Comma 2 2 16 4" xfId="3145" xr:uid="{F4A0BB3C-65BE-4CAB-B952-76E81EB5976E}"/>
    <cellStyle name="Comma 2 2 17" xfId="191" xr:uid="{00000000-0005-0000-0000-0000C3000000}"/>
    <cellStyle name="Comma 2 2 17 2" xfId="913" xr:uid="{00000000-0005-0000-0000-0000C4000000}"/>
    <cellStyle name="Comma 2 2 17 2 2" xfId="2361" xr:uid="{20D72A1E-9E85-48D8-8DD1-D6AB60A81F4D}"/>
    <cellStyle name="Comma 2 2 17 2 2 2" xfId="5217" xr:uid="{B40053BF-AD41-4099-A8A3-1E1CC20264E6}"/>
    <cellStyle name="Comma 2 2 17 2 3" xfId="3799" xr:uid="{F52527D3-4473-4D39-A869-F1B11E335FDC}"/>
    <cellStyle name="Comma 2 2 17 3" xfId="1714" xr:uid="{D6950DE5-F533-4DF3-BDFC-2EE4F1DC8A66}"/>
    <cellStyle name="Comma 2 2 17 3 2" xfId="4574" xr:uid="{FF0D1F81-0938-4466-84BC-B3D7C4BB7127}"/>
    <cellStyle name="Comma 2 2 17 4" xfId="3158" xr:uid="{821EDA6C-985B-4FA6-9E8D-8B62D4CDAE00}"/>
    <cellStyle name="Comma 2 2 18" xfId="205" xr:uid="{00000000-0005-0000-0000-0000C5000000}"/>
    <cellStyle name="Comma 2 2 18 2" xfId="927" xr:uid="{00000000-0005-0000-0000-0000C6000000}"/>
    <cellStyle name="Comma 2 2 18 2 2" xfId="2375" xr:uid="{5224EE1E-DAB4-4B9B-A8B7-FF7BAA9912D1}"/>
    <cellStyle name="Comma 2 2 18 2 2 2" xfId="5231" xr:uid="{574D2DFB-312A-4DC8-9232-9B8E2FFEAD52}"/>
    <cellStyle name="Comma 2 2 18 2 3" xfId="3813" xr:uid="{886FBA89-603C-4FEF-8891-41ABAC32EF74}"/>
    <cellStyle name="Comma 2 2 18 3" xfId="1728" xr:uid="{D779DCBD-5513-429A-B929-472AF495CF6C}"/>
    <cellStyle name="Comma 2 2 18 3 2" xfId="4588" xr:uid="{F528B406-BEBA-4140-B660-2E0923399244}"/>
    <cellStyle name="Comma 2 2 18 4" xfId="3172" xr:uid="{CE2F81DD-2693-4558-99C6-033FD0CBE811}"/>
    <cellStyle name="Comma 2 2 19" xfId="219" xr:uid="{00000000-0005-0000-0000-0000C7000000}"/>
    <cellStyle name="Comma 2 2 19 2" xfId="941" xr:uid="{00000000-0005-0000-0000-0000C8000000}"/>
    <cellStyle name="Comma 2 2 19 2 2" xfId="2389" xr:uid="{78261563-5D88-4BFA-8B91-0F285497BF82}"/>
    <cellStyle name="Comma 2 2 19 2 2 2" xfId="5245" xr:uid="{F5FCE24B-7F70-4DDE-945B-2BBB9A8DE518}"/>
    <cellStyle name="Comma 2 2 19 2 3" xfId="3827" xr:uid="{D04FF6DA-8B12-49A4-9EAA-EE5AAC943540}"/>
    <cellStyle name="Comma 2 2 19 3" xfId="1742" xr:uid="{5EE6D372-C1AC-4B22-BF5E-AAB39A24A07B}"/>
    <cellStyle name="Comma 2 2 19 3 2" xfId="4602" xr:uid="{D347926C-E8CA-4C09-8861-047435070A08}"/>
    <cellStyle name="Comma 2 2 19 4" xfId="3186" xr:uid="{A87B09A0-C168-4E5F-976B-55CD7F631317}"/>
    <cellStyle name="Comma 2 2 2" xfId="39" xr:uid="{00000000-0005-0000-0000-0000C9000000}"/>
    <cellStyle name="Comma 2 2 2 2" xfId="591" xr:uid="{00000000-0005-0000-0000-0000CA000000}"/>
    <cellStyle name="Comma 2 2 2 2 2" xfId="1309" xr:uid="{00000000-0005-0000-0000-0000CB000000}"/>
    <cellStyle name="Comma 2 2 2 2 2 2" xfId="2757" xr:uid="{310A3133-C798-4B23-A139-2DDE1B214592}"/>
    <cellStyle name="Comma 2 2 2 2 2 2 2" xfId="5613" xr:uid="{4C12F7ED-BC16-4416-B239-87AD56A8FE66}"/>
    <cellStyle name="Comma 2 2 2 2 2 3" xfId="4195" xr:uid="{6E76BDE3-F6FD-4DA7-8CAF-9BC397309F85}"/>
    <cellStyle name="Comma 2 2 2 2 3" xfId="2112" xr:uid="{3191FC13-DE7A-41EA-BBE6-6073349E5984}"/>
    <cellStyle name="Comma 2 2 2 2 3 2" xfId="4972" xr:uid="{51CE84A6-AB82-4933-9062-91E68E5A34B0}"/>
    <cellStyle name="Comma 2 2 2 2 4" xfId="3556" xr:uid="{3DF9EEC0-6D3E-41B0-8DF5-300A98709AC3}"/>
    <cellStyle name="Comma 2 2 2 3" xfId="621" xr:uid="{00000000-0005-0000-0000-0000CC000000}"/>
    <cellStyle name="Comma 2 2 2 3 2" xfId="625" xr:uid="{00000000-0005-0000-0000-0000CD000000}"/>
    <cellStyle name="Comma 2 2 2 3 2 2" xfId="1342" xr:uid="{00000000-0005-0000-0000-0000CE000000}"/>
    <cellStyle name="Comma 2 2 2 3 2 2 2" xfId="2790" xr:uid="{37E7BCB4-1EF1-4227-9760-7EE110AC94F9}"/>
    <cellStyle name="Comma 2 2 2 3 2 2 2 2" xfId="5646" xr:uid="{896312D2-D92B-4D49-A01B-FA7DB5AF1614}"/>
    <cellStyle name="Comma 2 2 2 3 2 2 3" xfId="4228" xr:uid="{5E2132EE-23F3-43D5-80E1-B96563A199C0}"/>
    <cellStyle name="Comma 2 2 2 3 2 3" xfId="2146" xr:uid="{CC085249-413E-4EFC-8693-2EC1F3E695B6}"/>
    <cellStyle name="Comma 2 2 2 3 2 3 2" xfId="5006" xr:uid="{F033F29B-A515-4956-B5E3-5920D4F1EC39}"/>
    <cellStyle name="Comma 2 2 2 3 2 4" xfId="3590" xr:uid="{8E18ED6C-BF73-4EC9-A4B2-27102D2D929B}"/>
    <cellStyle name="Comma 2 2 2 3 3" xfId="1338" xr:uid="{00000000-0005-0000-0000-0000CF000000}"/>
    <cellStyle name="Comma 2 2 2 3 3 2" xfId="2786" xr:uid="{AF54410C-BDEB-4143-B3EE-98AFB075FA46}"/>
    <cellStyle name="Comma 2 2 2 3 3 2 2" xfId="5642" xr:uid="{24192E73-50EA-4129-BF16-C07B2FD84A5B}"/>
    <cellStyle name="Comma 2 2 2 3 3 3" xfId="4224" xr:uid="{174820FD-315E-4921-85EA-425E186109CF}"/>
    <cellStyle name="Comma 2 2 2 3 4" xfId="2142" xr:uid="{304A981E-C887-49F0-A16D-7A107EE2C75C}"/>
    <cellStyle name="Comma 2 2 2 3 4 2" xfId="5002" xr:uid="{EF791F43-06D1-4DF2-BCF6-C6DCBED2A4A8}"/>
    <cellStyle name="Comma 2 2 2 3 5" xfId="3586" xr:uid="{9B9D582B-C4AF-4F82-8C20-44CB818636C6}"/>
    <cellStyle name="Comma 2 2 2 4" xfId="779" xr:uid="{00000000-0005-0000-0000-0000D0000000}"/>
    <cellStyle name="Comma 2 2 2 4 2" xfId="2231" xr:uid="{50F3B8BA-A657-404C-B20D-9EED7AC21463}"/>
    <cellStyle name="Comma 2 2 2 4 2 2" xfId="5087" xr:uid="{A5ADB34A-B536-4253-81A4-36FB19A26335}"/>
    <cellStyle name="Comma 2 2 2 4 3" xfId="3669" xr:uid="{3E124A37-E03B-40F3-A3CC-BDC55CB13280}"/>
    <cellStyle name="Comma 2 2 2 5" xfId="1583" xr:uid="{AB33B224-6904-4800-BCA1-5CC320793389}"/>
    <cellStyle name="Comma 2 2 2 5 2" xfId="4443" xr:uid="{72FEE5BB-1663-4260-BEAA-FCC7B64EF665}"/>
    <cellStyle name="Comma 2 2 2 6" xfId="3028" xr:uid="{46FC4D5E-5341-42FD-8F66-E63FCF99C34D}"/>
    <cellStyle name="Comma 2 2 20" xfId="230" xr:uid="{00000000-0005-0000-0000-0000D1000000}"/>
    <cellStyle name="Comma 2 2 20 2" xfId="952" xr:uid="{00000000-0005-0000-0000-0000D2000000}"/>
    <cellStyle name="Comma 2 2 20 2 2" xfId="2400" xr:uid="{195BD293-8CED-4D60-BF30-9158D5C5A2EE}"/>
    <cellStyle name="Comma 2 2 20 2 2 2" xfId="5256" xr:uid="{0D380BB4-0354-49BA-9328-B6EF53D58960}"/>
    <cellStyle name="Comma 2 2 20 2 3" xfId="3838" xr:uid="{25F03CD2-9BC7-4F16-AA76-C2B8D5D94585}"/>
    <cellStyle name="Comma 2 2 20 3" xfId="1753" xr:uid="{7766EB7F-B98C-4DA7-AE9D-98B2D578082F}"/>
    <cellStyle name="Comma 2 2 20 3 2" xfId="4613" xr:uid="{C3A39A66-0CF2-4839-9ED7-94493E033794}"/>
    <cellStyle name="Comma 2 2 20 4" xfId="3197" xr:uid="{A9AD77DC-8843-4F32-8AA8-2F47256584F5}"/>
    <cellStyle name="Comma 2 2 21" xfId="243" xr:uid="{00000000-0005-0000-0000-0000D3000000}"/>
    <cellStyle name="Comma 2 2 21 2" xfId="965" xr:uid="{00000000-0005-0000-0000-0000D4000000}"/>
    <cellStyle name="Comma 2 2 21 2 2" xfId="2413" xr:uid="{2842EDE7-BD8A-41FD-BA52-CEECE0BBC254}"/>
    <cellStyle name="Comma 2 2 21 2 2 2" xfId="5269" xr:uid="{FDFA63C4-FF0A-4543-A019-2B68ABCEAEDC}"/>
    <cellStyle name="Comma 2 2 21 2 3" xfId="3851" xr:uid="{198C1A11-FD0E-4D5E-A649-084E4E18C7B8}"/>
    <cellStyle name="Comma 2 2 21 3" xfId="1766" xr:uid="{4F9361DE-65EE-4E53-8829-5F510F356B49}"/>
    <cellStyle name="Comma 2 2 21 3 2" xfId="4626" xr:uid="{5BDC69D3-C6DD-4427-B9B0-E9B9748A7D61}"/>
    <cellStyle name="Comma 2 2 21 4" xfId="3210" xr:uid="{7D5DAEC3-0D5B-4A9E-8458-9C50EF28CBC7}"/>
    <cellStyle name="Comma 2 2 22" xfId="255" xr:uid="{00000000-0005-0000-0000-0000D5000000}"/>
    <cellStyle name="Comma 2 2 22 2" xfId="977" xr:uid="{00000000-0005-0000-0000-0000D6000000}"/>
    <cellStyle name="Comma 2 2 22 2 2" xfId="2425" xr:uid="{93F4B6A5-1105-4371-9A58-D1F2303E3A5A}"/>
    <cellStyle name="Comma 2 2 22 2 2 2" xfId="5281" xr:uid="{DE8E3082-63DB-49A7-A94F-9DBB46C99A1C}"/>
    <cellStyle name="Comma 2 2 22 2 3" xfId="3863" xr:uid="{DB4B0AE9-E72D-46EE-832C-8BDE7F8ED27D}"/>
    <cellStyle name="Comma 2 2 22 3" xfId="1778" xr:uid="{E2CBA457-AB5E-4924-815F-8231BE06F3A2}"/>
    <cellStyle name="Comma 2 2 22 3 2" xfId="4638" xr:uid="{F887636B-FC19-4463-8B64-8FE840338AEE}"/>
    <cellStyle name="Comma 2 2 22 4" xfId="3222" xr:uid="{05C2E826-D204-4073-813B-89B5FFB5D05F}"/>
    <cellStyle name="Comma 2 2 23" xfId="265" xr:uid="{00000000-0005-0000-0000-0000D7000000}"/>
    <cellStyle name="Comma 2 2 23 2" xfId="987" xr:uid="{00000000-0005-0000-0000-0000D8000000}"/>
    <cellStyle name="Comma 2 2 23 2 2" xfId="2435" xr:uid="{1B493F8E-E90A-4E79-ACB4-0191C09B7A2D}"/>
    <cellStyle name="Comma 2 2 23 2 2 2" xfId="5291" xr:uid="{FBADFF1A-8B5D-447C-B8D8-C917922E7F67}"/>
    <cellStyle name="Comma 2 2 23 2 3" xfId="3873" xr:uid="{95FD350F-32D5-40D9-83F0-FC00D5CC0736}"/>
    <cellStyle name="Comma 2 2 23 3" xfId="1788" xr:uid="{B0551F61-2545-4485-A1AF-97722631BDBB}"/>
    <cellStyle name="Comma 2 2 23 3 2" xfId="4648" xr:uid="{1EDF79E5-2757-4070-B98F-9733E1C7EA95}"/>
    <cellStyle name="Comma 2 2 23 4" xfId="3232" xr:uid="{C41A52C1-64BA-4393-A959-1AF37E8512E8}"/>
    <cellStyle name="Comma 2 2 24" xfId="281" xr:uid="{00000000-0005-0000-0000-0000D9000000}"/>
    <cellStyle name="Comma 2 2 24 2" xfId="1003" xr:uid="{00000000-0005-0000-0000-0000DA000000}"/>
    <cellStyle name="Comma 2 2 24 2 2" xfId="2451" xr:uid="{4546C4F1-BF8A-4265-97EA-128333BBAAA9}"/>
    <cellStyle name="Comma 2 2 24 2 2 2" xfId="5307" xr:uid="{81A402FB-3181-4D2B-AAB7-C48E3511B185}"/>
    <cellStyle name="Comma 2 2 24 2 3" xfId="3889" xr:uid="{F1A3D697-D096-4C05-9F67-741D03E93C53}"/>
    <cellStyle name="Comma 2 2 24 3" xfId="1804" xr:uid="{291F9633-E1B4-4083-839B-6543D5749A5F}"/>
    <cellStyle name="Comma 2 2 24 3 2" xfId="4664" xr:uid="{3FCFF0AF-0266-418F-8DDE-F520F1A5296B}"/>
    <cellStyle name="Comma 2 2 24 4" xfId="3248" xr:uid="{2BBE2713-9684-4595-81EF-1B1BF42886B9}"/>
    <cellStyle name="Comma 2 2 25" xfId="297" xr:uid="{00000000-0005-0000-0000-0000DB000000}"/>
    <cellStyle name="Comma 2 2 25 2" xfId="1018" xr:uid="{00000000-0005-0000-0000-0000DC000000}"/>
    <cellStyle name="Comma 2 2 25 2 2" xfId="2466" xr:uid="{2A83C73B-DB98-4111-B2EE-6388016CA94A}"/>
    <cellStyle name="Comma 2 2 25 2 2 2" xfId="5322" xr:uid="{E5EA9E91-20E4-490E-B014-95E88DCCA43B}"/>
    <cellStyle name="Comma 2 2 25 2 3" xfId="3904" xr:uid="{C0C96DE4-3527-4682-83D4-D7AAD334982E}"/>
    <cellStyle name="Comma 2 2 25 3" xfId="1820" xr:uid="{2BAB870D-7C6E-4FDF-B867-97CDAF18A0C4}"/>
    <cellStyle name="Comma 2 2 25 3 2" xfId="4680" xr:uid="{18FE6C0E-4D2E-4DD9-99E7-5EEC20D4C1A2}"/>
    <cellStyle name="Comma 2 2 25 4" xfId="3264" xr:uid="{E3C83B4E-BF6D-467F-B1FD-D235DE936EF1}"/>
    <cellStyle name="Comma 2 2 26" xfId="307" xr:uid="{00000000-0005-0000-0000-0000DD000000}"/>
    <cellStyle name="Comma 2 2 26 2" xfId="1028" xr:uid="{00000000-0005-0000-0000-0000DE000000}"/>
    <cellStyle name="Comma 2 2 26 2 2" xfId="2476" xr:uid="{4A7A6C48-3340-48D9-8DB9-052944EA1DFA}"/>
    <cellStyle name="Comma 2 2 26 2 2 2" xfId="5332" xr:uid="{2A54D7C3-0433-45A9-965F-3712DCFDC9E0}"/>
    <cellStyle name="Comma 2 2 26 2 3" xfId="3914" xr:uid="{BE32D4FE-1D56-48BF-86EB-B4B2A38ACF7D}"/>
    <cellStyle name="Comma 2 2 26 3" xfId="1830" xr:uid="{3CD7D8F5-9896-408B-9C7E-06F22B4386DA}"/>
    <cellStyle name="Comma 2 2 26 3 2" xfId="4690" xr:uid="{5FD0714B-0F57-4261-B0EC-682763C37E0E}"/>
    <cellStyle name="Comma 2 2 26 4" xfId="3274" xr:uid="{4DB9DB77-1CEF-468F-B7B5-CDB9A4982AA7}"/>
    <cellStyle name="Comma 2 2 27" xfId="322" xr:uid="{00000000-0005-0000-0000-0000DF000000}"/>
    <cellStyle name="Comma 2 2 27 2" xfId="1043" xr:uid="{00000000-0005-0000-0000-0000E0000000}"/>
    <cellStyle name="Comma 2 2 27 2 2" xfId="2491" xr:uid="{629A8A8B-B07E-4750-9903-0B6DAEC9D87A}"/>
    <cellStyle name="Comma 2 2 27 2 2 2" xfId="5347" xr:uid="{212DCA49-C196-49F7-B797-5ABAA2E4FA28}"/>
    <cellStyle name="Comma 2 2 27 2 3" xfId="3929" xr:uid="{309BC4B0-F227-4557-B21B-BB55A40663B5}"/>
    <cellStyle name="Comma 2 2 27 3" xfId="1845" xr:uid="{7C4232F3-0659-410F-AD33-F4593251403A}"/>
    <cellStyle name="Comma 2 2 27 3 2" xfId="4705" xr:uid="{456FABFE-355B-41C9-A2A5-1EE40B775C8F}"/>
    <cellStyle name="Comma 2 2 27 4" xfId="3289" xr:uid="{B0E21B12-82C3-4EB6-A0F0-F4A976076B93}"/>
    <cellStyle name="Comma 2 2 28" xfId="339" xr:uid="{00000000-0005-0000-0000-0000E1000000}"/>
    <cellStyle name="Comma 2 2 28 2" xfId="1060" xr:uid="{00000000-0005-0000-0000-0000E2000000}"/>
    <cellStyle name="Comma 2 2 28 2 2" xfId="2508" xr:uid="{36F0B527-35BE-42DD-94DA-56DE28AC1616}"/>
    <cellStyle name="Comma 2 2 28 2 2 2" xfId="5364" xr:uid="{33057088-3FAD-4857-9797-B24D46D683DF}"/>
    <cellStyle name="Comma 2 2 28 2 3" xfId="3946" xr:uid="{A9A9045C-1C16-4C4C-AA51-2E548A5537D3}"/>
    <cellStyle name="Comma 2 2 28 3" xfId="1862" xr:uid="{6ABBF185-7125-4F13-9F55-802C713EC312}"/>
    <cellStyle name="Comma 2 2 28 3 2" xfId="4722" xr:uid="{7CE994B0-7C44-4BD8-B37B-5BC474B2712D}"/>
    <cellStyle name="Comma 2 2 28 4" xfId="3306" xr:uid="{981A3334-0E15-472E-9FEF-B144D8ACBB9F}"/>
    <cellStyle name="Comma 2 2 29" xfId="350" xr:uid="{00000000-0005-0000-0000-0000E3000000}"/>
    <cellStyle name="Comma 2 2 29 2" xfId="1071" xr:uid="{00000000-0005-0000-0000-0000E4000000}"/>
    <cellStyle name="Comma 2 2 29 2 2" xfId="2519" xr:uid="{8E306184-6C10-4F3C-800D-955DCD1649C2}"/>
    <cellStyle name="Comma 2 2 29 2 2 2" xfId="5375" xr:uid="{36E8C9A0-ED48-4F7A-B7EF-B0BB9FD49DE7}"/>
    <cellStyle name="Comma 2 2 29 2 3" xfId="3957" xr:uid="{7319526A-5A79-4005-8F25-22964C71CFAC}"/>
    <cellStyle name="Comma 2 2 29 3" xfId="1873" xr:uid="{24F7B30B-EA3C-40BE-BE54-039F01A9C3EC}"/>
    <cellStyle name="Comma 2 2 29 3 2" xfId="4733" xr:uid="{7A516A1E-145E-4CF9-8122-2363571CC1F4}"/>
    <cellStyle name="Comma 2 2 29 4" xfId="3317" xr:uid="{631CED04-A2B8-48BD-ABE0-D3EA4E73794C}"/>
    <cellStyle name="Comma 2 2 3" xfId="66" xr:uid="{00000000-0005-0000-0000-0000E5000000}"/>
    <cellStyle name="Comma 2 2 3 2" xfId="794" xr:uid="{00000000-0005-0000-0000-0000E6000000}"/>
    <cellStyle name="Comma 2 2 3 2 2" xfId="2245" xr:uid="{EB4C1623-77D9-45F5-AAB2-315C763F378B}"/>
    <cellStyle name="Comma 2 2 3 2 2 2" xfId="5101" xr:uid="{63CE8BCB-3788-4405-891B-2DCA6B9602A9}"/>
    <cellStyle name="Comma 2 2 3 2 3" xfId="3683" xr:uid="{7DA7FDD6-96E7-4F05-97B5-F187EEF3B6A0}"/>
    <cellStyle name="Comma 2 2 3 3" xfId="1597" xr:uid="{E84F21CB-5F6E-4698-9ECB-42D4E7F3703E}"/>
    <cellStyle name="Comma 2 2 3 3 2" xfId="4457" xr:uid="{B2B12A2C-2617-4FDB-A00D-5A9860CDA043}"/>
    <cellStyle name="Comma 2 2 3 4" xfId="3042" xr:uid="{8AFBB8EE-2423-4694-ABE8-2D1170EF47E7}"/>
    <cellStyle name="Comma 2 2 30" xfId="366" xr:uid="{00000000-0005-0000-0000-0000E7000000}"/>
    <cellStyle name="Comma 2 2 30 2" xfId="1087" xr:uid="{00000000-0005-0000-0000-0000E8000000}"/>
    <cellStyle name="Comma 2 2 30 2 2" xfId="2535" xr:uid="{CC37E5C7-3228-43DC-9EC2-FD4798BE1BAF}"/>
    <cellStyle name="Comma 2 2 30 2 2 2" xfId="5391" xr:uid="{A3D51A80-E82E-4652-A490-171182087AB5}"/>
    <cellStyle name="Comma 2 2 30 2 3" xfId="3973" xr:uid="{22829F6B-0551-412A-938B-B73B24A1FC46}"/>
    <cellStyle name="Comma 2 2 30 3" xfId="1889" xr:uid="{945EE6EE-4D71-456D-9235-091F48BF864C}"/>
    <cellStyle name="Comma 2 2 30 3 2" xfId="4749" xr:uid="{32CA997A-4F23-4603-BA0A-6768042125DE}"/>
    <cellStyle name="Comma 2 2 30 4" xfId="3333" xr:uid="{F91899C9-BD5C-46AC-8A1A-7E4B6810CD23}"/>
    <cellStyle name="Comma 2 2 31" xfId="378" xr:uid="{00000000-0005-0000-0000-0000E9000000}"/>
    <cellStyle name="Comma 2 2 31 2" xfId="1099" xr:uid="{00000000-0005-0000-0000-0000EA000000}"/>
    <cellStyle name="Comma 2 2 31 2 2" xfId="2547" xr:uid="{DC2E4A3B-F513-4666-8AE0-FD1D8E6BB587}"/>
    <cellStyle name="Comma 2 2 31 2 2 2" xfId="5403" xr:uid="{4C5BB0A6-0FF0-45E5-99F6-948CA640B7C7}"/>
    <cellStyle name="Comma 2 2 31 2 3" xfId="3985" xr:uid="{D26636B9-617A-4496-86D2-7607167D7DC0}"/>
    <cellStyle name="Comma 2 2 31 3" xfId="1901" xr:uid="{9E5F4571-33CB-4C96-8E83-99C11FACD1BB}"/>
    <cellStyle name="Comma 2 2 31 3 2" xfId="4761" xr:uid="{6F3DD961-A536-4DEA-892B-F85848255874}"/>
    <cellStyle name="Comma 2 2 31 4" xfId="3345" xr:uid="{4778DAF4-B38D-4456-B187-FDA8F16D2CB2}"/>
    <cellStyle name="Comma 2 2 32" xfId="387" xr:uid="{00000000-0005-0000-0000-0000EB000000}"/>
    <cellStyle name="Comma 2 2 32 2" xfId="1108" xr:uid="{00000000-0005-0000-0000-0000EC000000}"/>
    <cellStyle name="Comma 2 2 32 2 2" xfId="2556" xr:uid="{FC739C9C-6799-4A28-B215-07D88D21C059}"/>
    <cellStyle name="Comma 2 2 32 2 2 2" xfId="5412" xr:uid="{1ED12D47-4FFA-448D-ADE3-98DFD7449390}"/>
    <cellStyle name="Comma 2 2 32 2 3" xfId="3994" xr:uid="{55DC1F3A-CAAE-4A15-BE83-5990CD2421C7}"/>
    <cellStyle name="Comma 2 2 32 3" xfId="1910" xr:uid="{4B24F559-068B-4CA3-A605-35F0CAAB8E14}"/>
    <cellStyle name="Comma 2 2 32 3 2" xfId="4770" xr:uid="{1208B2A3-00D0-477C-B4D3-AD680A3F82AB}"/>
    <cellStyle name="Comma 2 2 32 4" xfId="3354" xr:uid="{7B2056CC-1068-4251-8FE0-2A1C66C7B734}"/>
    <cellStyle name="Comma 2 2 33" xfId="405" xr:uid="{00000000-0005-0000-0000-0000ED000000}"/>
    <cellStyle name="Comma 2 2 33 2" xfId="1126" xr:uid="{00000000-0005-0000-0000-0000EE000000}"/>
    <cellStyle name="Comma 2 2 33 2 2" xfId="2574" xr:uid="{DAC44276-FBD5-4C82-AB1C-D700FDCB7E21}"/>
    <cellStyle name="Comma 2 2 33 2 2 2" xfId="5430" xr:uid="{59EA807A-4C05-498B-845D-FED9A19907F0}"/>
    <cellStyle name="Comma 2 2 33 2 3" xfId="4012" xr:uid="{0B880E50-E3E8-4EBC-B463-D582750B08C3}"/>
    <cellStyle name="Comma 2 2 33 3" xfId="1928" xr:uid="{B6379B08-87A8-43EE-8925-425CDDD01423}"/>
    <cellStyle name="Comma 2 2 33 3 2" xfId="4788" xr:uid="{DD127AF5-DDC4-408D-8BE7-47034BC39D24}"/>
    <cellStyle name="Comma 2 2 33 4" xfId="3372" xr:uid="{1EB7061D-B55D-4EE0-B2A0-B0CD7381DE11}"/>
    <cellStyle name="Comma 2 2 34" xfId="414" xr:uid="{00000000-0005-0000-0000-0000EF000000}"/>
    <cellStyle name="Comma 2 2 34 2" xfId="1135" xr:uid="{00000000-0005-0000-0000-0000F0000000}"/>
    <cellStyle name="Comma 2 2 34 2 2" xfId="2583" xr:uid="{C523C4D9-0E5B-4DE6-86A1-C98A9A5D5536}"/>
    <cellStyle name="Comma 2 2 34 2 2 2" xfId="5439" xr:uid="{A495352C-DE00-4964-A9F9-C1CEC15597D7}"/>
    <cellStyle name="Comma 2 2 34 2 3" xfId="4021" xr:uid="{5C2570AF-B95A-4175-ABC3-17964E358A1F}"/>
    <cellStyle name="Comma 2 2 34 3" xfId="1937" xr:uid="{3841C2AA-D85C-4288-9432-7D44EA4524CA}"/>
    <cellStyle name="Comma 2 2 34 3 2" xfId="4797" xr:uid="{CF5469B6-8325-4EE8-9A33-1FF587D96DC0}"/>
    <cellStyle name="Comma 2 2 34 4" xfId="3381" xr:uid="{C71979C4-84CE-4BD2-AD09-B9CAA4DFC9BF}"/>
    <cellStyle name="Comma 2 2 35" xfId="428" xr:uid="{00000000-0005-0000-0000-0000F1000000}"/>
    <cellStyle name="Comma 2 2 35 2" xfId="1149" xr:uid="{00000000-0005-0000-0000-0000F2000000}"/>
    <cellStyle name="Comma 2 2 35 2 2" xfId="2597" xr:uid="{194D72F0-50E1-4392-A9FE-9950D21940CA}"/>
    <cellStyle name="Comma 2 2 35 2 2 2" xfId="5453" xr:uid="{310326AB-1290-4FFF-98CC-E37C564679D8}"/>
    <cellStyle name="Comma 2 2 35 2 3" xfId="4035" xr:uid="{8AA9FE40-BE9B-4C84-90FE-50A2FA459B34}"/>
    <cellStyle name="Comma 2 2 35 3" xfId="1951" xr:uid="{BA28C067-0D2E-4E1B-8292-99FB4CF73EF4}"/>
    <cellStyle name="Comma 2 2 35 3 2" xfId="4811" xr:uid="{DA53F088-DEEB-450C-8265-3AFDB9E8A64E}"/>
    <cellStyle name="Comma 2 2 35 4" xfId="3395" xr:uid="{5FB07EEE-85E5-49BE-A9D2-3FE6C866C33C}"/>
    <cellStyle name="Comma 2 2 36" xfId="435" xr:uid="{00000000-0005-0000-0000-0000F3000000}"/>
    <cellStyle name="Comma 2 2 36 2" xfId="1156" xr:uid="{00000000-0005-0000-0000-0000F4000000}"/>
    <cellStyle name="Comma 2 2 36 2 2" xfId="2604" xr:uid="{6B4E845B-8F23-412D-B754-C4C58F71AD5E}"/>
    <cellStyle name="Comma 2 2 36 2 2 2" xfId="5460" xr:uid="{EFDE29E7-7290-4FFB-BC08-9B2EAFC9C076}"/>
    <cellStyle name="Comma 2 2 36 2 3" xfId="4042" xr:uid="{95A1E1B7-0996-42D3-B7B4-7D9CD97280F9}"/>
    <cellStyle name="Comma 2 2 36 3" xfId="1958" xr:uid="{24439840-9A41-4F89-B221-2EC2E622F428}"/>
    <cellStyle name="Comma 2 2 36 3 2" xfId="4818" xr:uid="{CCA1675C-1633-4A13-A613-08934CB639B6}"/>
    <cellStyle name="Comma 2 2 36 4" xfId="3402" xr:uid="{5CB2F48C-9A54-4E3A-B697-D57BD8B49DDE}"/>
    <cellStyle name="Comma 2 2 37" xfId="454" xr:uid="{00000000-0005-0000-0000-0000F5000000}"/>
    <cellStyle name="Comma 2 2 37 2" xfId="1174" xr:uid="{00000000-0005-0000-0000-0000F6000000}"/>
    <cellStyle name="Comma 2 2 37 2 2" xfId="2622" xr:uid="{CE9B6661-5464-42A4-9B2F-CC1857610D01}"/>
    <cellStyle name="Comma 2 2 37 2 2 2" xfId="5478" xr:uid="{AB03FE65-E692-4A09-9EB1-CB09AC38A8A7}"/>
    <cellStyle name="Comma 2 2 37 2 3" xfId="4060" xr:uid="{626716DB-5E65-48FA-9837-9D417F244086}"/>
    <cellStyle name="Comma 2 2 37 3" xfId="1977" xr:uid="{21EF1D98-5665-4C2C-861D-663296BA759A}"/>
    <cellStyle name="Comma 2 2 37 3 2" xfId="4837" xr:uid="{F564AC67-D603-4BFE-9843-5FBFE47C8447}"/>
    <cellStyle name="Comma 2 2 37 4" xfId="3421" xr:uid="{FCA6DEC5-C7F3-460C-A5AF-14EDE8C9A25E}"/>
    <cellStyle name="Comma 2 2 38" xfId="469" xr:uid="{00000000-0005-0000-0000-0000F7000000}"/>
    <cellStyle name="Comma 2 2 38 2" xfId="1189" xr:uid="{00000000-0005-0000-0000-0000F8000000}"/>
    <cellStyle name="Comma 2 2 38 2 2" xfId="2637" xr:uid="{18469857-BEE8-4988-AE56-79A593B2EDF6}"/>
    <cellStyle name="Comma 2 2 38 2 2 2" xfId="5493" xr:uid="{16CBAF9D-E56F-4B3C-9FE5-EF22C79B1B54}"/>
    <cellStyle name="Comma 2 2 38 2 3" xfId="4075" xr:uid="{2FF1EC53-630B-4377-84E2-14304061BB08}"/>
    <cellStyle name="Comma 2 2 38 3" xfId="1992" xr:uid="{689B0E66-E6A5-4CCA-92DF-C28CD5FCA159}"/>
    <cellStyle name="Comma 2 2 38 3 2" xfId="4852" xr:uid="{04E890F0-240D-4F16-91D8-30717A5EC4AE}"/>
    <cellStyle name="Comma 2 2 38 4" xfId="3436" xr:uid="{1211F3B7-4783-4BAC-9BDC-551C78C8E062}"/>
    <cellStyle name="Comma 2 2 39" xfId="487" xr:uid="{00000000-0005-0000-0000-0000F9000000}"/>
    <cellStyle name="Comma 2 2 39 2" xfId="1206" xr:uid="{00000000-0005-0000-0000-0000FA000000}"/>
    <cellStyle name="Comma 2 2 39 2 2" xfId="2654" xr:uid="{7D882DBD-F549-4E05-A518-FEB9E2F9742B}"/>
    <cellStyle name="Comma 2 2 39 2 2 2" xfId="5510" xr:uid="{0222E743-382A-41FA-BB0E-A7DC4627A953}"/>
    <cellStyle name="Comma 2 2 39 2 3" xfId="4092" xr:uid="{37955525-5C12-4C5A-94DE-F7EE7FEC0214}"/>
    <cellStyle name="Comma 2 2 39 3" xfId="2009" xr:uid="{21DE57E5-1F44-4DB1-96BD-A2EE87DCF860}"/>
    <cellStyle name="Comma 2 2 39 3 2" xfId="4869" xr:uid="{0A361014-2547-4A3F-811F-F749A31BD450}"/>
    <cellStyle name="Comma 2 2 39 4" xfId="3453" xr:uid="{D09D7187-DEE6-4F97-A4C8-A6D7742B7F4F}"/>
    <cellStyle name="Comma 2 2 4" xfId="79" xr:uid="{00000000-0005-0000-0000-0000FB000000}"/>
    <cellStyle name="Comma 2 2 4 2" xfId="805" xr:uid="{00000000-0005-0000-0000-0000FC000000}"/>
    <cellStyle name="Comma 2 2 4 2 2" xfId="2256" xr:uid="{37A28096-F812-450E-85B9-B7A013AA8FA1}"/>
    <cellStyle name="Comma 2 2 4 2 2 2" xfId="5112" xr:uid="{BEED5038-2562-4474-BED2-C48A07D66C48}"/>
    <cellStyle name="Comma 2 2 4 2 3" xfId="3694" xr:uid="{7D01FB19-26D5-4E49-BD52-0AE05E4D0EB0}"/>
    <cellStyle name="Comma 2 2 4 3" xfId="1609" xr:uid="{8B9FE16F-4E57-4E46-AA67-779EA45241B8}"/>
    <cellStyle name="Comma 2 2 4 3 2" xfId="4469" xr:uid="{E3DD647B-86D9-44B0-9DAC-ADF17F371FFF}"/>
    <cellStyle name="Comma 2 2 4 4" xfId="3053" xr:uid="{64F6AE50-BA3E-40B6-890E-0464BB5EB8AF}"/>
    <cellStyle name="Comma 2 2 40" xfId="498" xr:uid="{00000000-0005-0000-0000-0000FD000000}"/>
    <cellStyle name="Comma 2 2 40 2" xfId="1217" xr:uid="{00000000-0005-0000-0000-0000FE000000}"/>
    <cellStyle name="Comma 2 2 40 2 2" xfId="2665" xr:uid="{205C6B17-44DA-489D-8527-267B976A1714}"/>
    <cellStyle name="Comma 2 2 40 2 2 2" xfId="5521" xr:uid="{6FEE518C-D429-46D6-9F19-02D117319DA3}"/>
    <cellStyle name="Comma 2 2 40 2 3" xfId="4103" xr:uid="{1E447F59-74C2-42FA-BC67-14F8EA19E17B}"/>
    <cellStyle name="Comma 2 2 40 3" xfId="2020" xr:uid="{5ACC2B7A-4235-4D46-9202-C46FF112B372}"/>
    <cellStyle name="Comma 2 2 40 3 2" xfId="4880" xr:uid="{4DF2BDA3-2B48-4FCC-A836-1D84A25D6FC0}"/>
    <cellStyle name="Comma 2 2 40 4" xfId="3464" xr:uid="{9A57BDD1-BACD-4FA7-8917-86D491917845}"/>
    <cellStyle name="Comma 2 2 41" xfId="509" xr:uid="{00000000-0005-0000-0000-0000FF000000}"/>
    <cellStyle name="Comma 2 2 41 2" xfId="1228" xr:uid="{00000000-0005-0000-0000-000000010000}"/>
    <cellStyle name="Comma 2 2 41 2 2" xfId="2676" xr:uid="{6B70D9E3-737A-4BF8-8670-B73FE5BDC5E7}"/>
    <cellStyle name="Comma 2 2 41 2 2 2" xfId="5532" xr:uid="{C2C869E2-3A94-43E9-8C3E-2728D2B725ED}"/>
    <cellStyle name="Comma 2 2 41 2 3" xfId="4114" xr:uid="{234D3807-A003-4850-A978-5F148F8B7E1B}"/>
    <cellStyle name="Comma 2 2 41 3" xfId="2031" xr:uid="{5C23CD23-D8D0-4286-B78E-F005EC332FD5}"/>
    <cellStyle name="Comma 2 2 41 3 2" xfId="4891" xr:uid="{50D2E11A-68CF-4D9E-ABB3-5400C1B3AEE3}"/>
    <cellStyle name="Comma 2 2 41 4" xfId="3475" xr:uid="{5860C480-D7C1-4501-83A1-970819FD08EA}"/>
    <cellStyle name="Comma 2 2 42" xfId="521" xr:uid="{00000000-0005-0000-0000-000001010000}"/>
    <cellStyle name="Comma 2 2 42 2" xfId="1240" xr:uid="{00000000-0005-0000-0000-000002010000}"/>
    <cellStyle name="Comma 2 2 42 2 2" xfId="2688" xr:uid="{A4BEDA43-F39E-4B6D-BBFC-DBF4A9352D9B}"/>
    <cellStyle name="Comma 2 2 42 2 2 2" xfId="5544" xr:uid="{5D1F273A-9934-4E91-B4A8-424731A6E552}"/>
    <cellStyle name="Comma 2 2 42 2 3" xfId="4126" xr:uid="{2FD208BD-906E-4A7F-A98C-B4CA4B394401}"/>
    <cellStyle name="Comma 2 2 42 3" xfId="2043" xr:uid="{01D09693-DE11-4154-9232-C1E7A3529ABD}"/>
    <cellStyle name="Comma 2 2 42 3 2" xfId="4903" xr:uid="{04490039-5C90-409D-B48E-CC31676825FA}"/>
    <cellStyle name="Comma 2 2 42 4" xfId="3487" xr:uid="{9107C316-85F0-412E-A75D-31A4F2CF90F2}"/>
    <cellStyle name="Comma 2 2 43" xfId="532" xr:uid="{00000000-0005-0000-0000-000003010000}"/>
    <cellStyle name="Comma 2 2 43 2" xfId="1251" xr:uid="{00000000-0005-0000-0000-000004010000}"/>
    <cellStyle name="Comma 2 2 43 2 2" xfId="2699" xr:uid="{021F9096-55C7-46F3-8600-B1E49A8C1EA2}"/>
    <cellStyle name="Comma 2 2 43 2 2 2" xfId="5555" xr:uid="{2788EDA3-74F5-4A7E-ABE2-47B2BC7FD752}"/>
    <cellStyle name="Comma 2 2 43 2 3" xfId="4137" xr:uid="{CFD4D2C5-C2E2-4DA8-88BD-F24AE90387EA}"/>
    <cellStyle name="Comma 2 2 43 3" xfId="2054" xr:uid="{B631F453-2673-406E-BAB4-45C9267D86C5}"/>
    <cellStyle name="Comma 2 2 43 3 2" xfId="4914" xr:uid="{F5FF2F65-25ED-40ED-838F-34273D1ED497}"/>
    <cellStyle name="Comma 2 2 43 4" xfId="3498" xr:uid="{F6CEA62D-F6D7-4163-B0AB-6A8A18CC6A81}"/>
    <cellStyle name="Comma 2 2 44" xfId="540" xr:uid="{00000000-0005-0000-0000-000005010000}"/>
    <cellStyle name="Comma 2 2 44 2" xfId="1259" xr:uid="{00000000-0005-0000-0000-000006010000}"/>
    <cellStyle name="Comma 2 2 44 2 2" xfId="2707" xr:uid="{09EACA04-F059-41BD-BB8F-49AB0CF5B968}"/>
    <cellStyle name="Comma 2 2 44 2 2 2" xfId="5563" xr:uid="{E27EB74F-5945-41A0-915E-35F744BE9F83}"/>
    <cellStyle name="Comma 2 2 44 2 3" xfId="4145" xr:uid="{F679A676-487C-4CFA-830E-CD7BCEC549B3}"/>
    <cellStyle name="Comma 2 2 44 3" xfId="2062" xr:uid="{EBCEA04D-2786-4159-A880-715B9F9288C3}"/>
    <cellStyle name="Comma 2 2 44 3 2" xfId="4922" xr:uid="{3B266E81-9EC9-4DB4-9653-B88C588CCF6C}"/>
    <cellStyle name="Comma 2 2 44 4" xfId="3506" xr:uid="{98822042-897B-4759-AD44-74B6DA7DBBA4}"/>
    <cellStyle name="Comma 2 2 45" xfId="550" xr:uid="{00000000-0005-0000-0000-000007010000}"/>
    <cellStyle name="Comma 2 2 45 2" xfId="1269" xr:uid="{00000000-0005-0000-0000-000008010000}"/>
    <cellStyle name="Comma 2 2 45 2 2" xfId="2717" xr:uid="{13162A8A-A6B3-4DDF-B9EF-ACA84D314FFE}"/>
    <cellStyle name="Comma 2 2 45 2 2 2" xfId="5573" xr:uid="{EA5BC9C9-9817-4AD4-A83B-FF5518F410D0}"/>
    <cellStyle name="Comma 2 2 45 2 3" xfId="4155" xr:uid="{15E3C99A-CF21-43B6-8399-3FCE5E2480BA}"/>
    <cellStyle name="Comma 2 2 45 3" xfId="2072" xr:uid="{CD54CB61-11A3-412E-A425-CFF4818C0CCA}"/>
    <cellStyle name="Comma 2 2 45 3 2" xfId="4932" xr:uid="{62F32036-B953-4154-8626-FB79D7E6A130}"/>
    <cellStyle name="Comma 2 2 45 4" xfId="3516" xr:uid="{C41B1503-E99E-4EC4-A6D9-09836EB0404E}"/>
    <cellStyle name="Comma 2 2 46" xfId="566" xr:uid="{00000000-0005-0000-0000-000009010000}"/>
    <cellStyle name="Comma 2 2 46 2" xfId="1285" xr:uid="{00000000-0005-0000-0000-00000A010000}"/>
    <cellStyle name="Comma 2 2 46 2 2" xfId="2733" xr:uid="{487D59F3-0750-4C55-BE87-F98748B526C3}"/>
    <cellStyle name="Comma 2 2 46 2 2 2" xfId="5589" xr:uid="{CBF7BE76-DAD0-4583-BADD-288D1CE39CD3}"/>
    <cellStyle name="Comma 2 2 46 2 3" xfId="4171" xr:uid="{5E311761-29AF-4199-9A12-E76637E9CCA6}"/>
    <cellStyle name="Comma 2 2 46 3" xfId="2088" xr:uid="{1C4F0D39-17AE-45F0-A152-F49EAC19B337}"/>
    <cellStyle name="Comma 2 2 46 3 2" xfId="4948" xr:uid="{DB981EB4-2D18-49CB-BCCC-266B0B523985}"/>
    <cellStyle name="Comma 2 2 46 4" xfId="3532" xr:uid="{90F4F8A5-F5B3-4811-8D04-2448EBF3BD2B}"/>
    <cellStyle name="Comma 2 2 47" xfId="580" xr:uid="{00000000-0005-0000-0000-00000B010000}"/>
    <cellStyle name="Comma 2 2 47 2" xfId="1299" xr:uid="{00000000-0005-0000-0000-00000C010000}"/>
    <cellStyle name="Comma 2 2 47 2 2" xfId="2747" xr:uid="{40E0C530-A21A-4AEA-A4A3-B6A4689166E3}"/>
    <cellStyle name="Comma 2 2 47 2 2 2" xfId="5603" xr:uid="{50FBB770-08B0-4A30-8FFF-83C4FFA34505}"/>
    <cellStyle name="Comma 2 2 47 2 3" xfId="4185" xr:uid="{790C0D69-72BC-4311-8E58-177A5F106144}"/>
    <cellStyle name="Comma 2 2 47 3" xfId="2102" xr:uid="{509F0DB7-FAC1-4188-B395-013B52232AC9}"/>
    <cellStyle name="Comma 2 2 47 3 2" xfId="4962" xr:uid="{50914BEA-42DF-4FDF-9DC7-4E03059DFF08}"/>
    <cellStyle name="Comma 2 2 47 4" xfId="3546" xr:uid="{A24C10A5-3A8D-4607-A76B-5BF3A4DAA3FA}"/>
    <cellStyle name="Comma 2 2 48" xfId="585" xr:uid="{00000000-0005-0000-0000-00000D010000}"/>
    <cellStyle name="Comma 2 2 48 2" xfId="1304" xr:uid="{00000000-0005-0000-0000-00000E010000}"/>
    <cellStyle name="Comma 2 2 48 2 2" xfId="2752" xr:uid="{CA1D4F68-A835-47FB-9F68-E6A254420AA6}"/>
    <cellStyle name="Comma 2 2 48 2 2 2" xfId="5608" xr:uid="{092F43FF-81C6-42E4-998F-8F0C2B342835}"/>
    <cellStyle name="Comma 2 2 48 2 3" xfId="4190" xr:uid="{4DBA9527-7AB6-4F89-88BB-B2914D35DF84}"/>
    <cellStyle name="Comma 2 2 48 3" xfId="2107" xr:uid="{ED98C205-A7A5-4378-AFED-6DE1E446249F}"/>
    <cellStyle name="Comma 2 2 48 3 2" xfId="4967" xr:uid="{B357B409-0A8A-4A64-9B76-BDDE0E1D5FBE}"/>
    <cellStyle name="Comma 2 2 48 4" xfId="3551" xr:uid="{C980C26E-65AC-4D4E-A3AC-B29A351AFB29}"/>
    <cellStyle name="Comma 2 2 49" xfId="723" xr:uid="{00000000-0005-0000-0000-00000F010000}"/>
    <cellStyle name="Comma 2 2 49 2" xfId="1402" xr:uid="{00000000-0005-0000-0000-000010010000}"/>
    <cellStyle name="Comma 2 2 49 2 2" xfId="2849" xr:uid="{E90F9B85-F0A9-41BF-9E23-911ED283A08D}"/>
    <cellStyle name="Comma 2 2 49 2 2 2" xfId="5704" xr:uid="{6BB2CBC4-61B3-4730-8DDF-CDF3C9958D45}"/>
    <cellStyle name="Comma 2 2 49 2 3" xfId="4286" xr:uid="{064ED49B-0EBD-4FDA-B164-8C49F7CDE18A}"/>
    <cellStyle name="Comma 2 2 49 3" xfId="2209" xr:uid="{006911B1-517F-4B10-B0D1-43068DE2F952}"/>
    <cellStyle name="Comma 2 2 49 3 2" xfId="5065" xr:uid="{378A50AB-139E-4A3D-8AAF-80A2045F9F54}"/>
    <cellStyle name="Comma 2 2 49 4" xfId="3649" xr:uid="{B12B4688-54EB-46C1-B74B-994E484CFA8F}"/>
    <cellStyle name="Comma 2 2 5" xfId="83" xr:uid="{00000000-0005-0000-0000-000011010000}"/>
    <cellStyle name="Comma 2 2 5 2" xfId="809" xr:uid="{00000000-0005-0000-0000-000012010000}"/>
    <cellStyle name="Comma 2 2 5 2 2" xfId="2260" xr:uid="{9C2D27CE-ADE8-4955-AA32-C8D0387B2FEA}"/>
    <cellStyle name="Comma 2 2 5 2 2 2" xfId="5116" xr:uid="{CEC00BBD-EC14-436B-9C97-048C33BE9868}"/>
    <cellStyle name="Comma 2 2 5 2 3" xfId="3698" xr:uid="{DF95116C-F6BE-4018-B80A-74CC893BF63C}"/>
    <cellStyle name="Comma 2 2 5 3" xfId="1613" xr:uid="{1D35970D-570A-4F5F-8EEC-63FB9EFFADFA}"/>
    <cellStyle name="Comma 2 2 5 3 2" xfId="4473" xr:uid="{D522A8A0-8646-445A-9F0E-3B1D91F95B26}"/>
    <cellStyle name="Comma 2 2 5 4" xfId="3057" xr:uid="{4A23D2CE-DFC2-48C9-AE2B-6E602FDCE225}"/>
    <cellStyle name="Comma 2 2 6" xfId="98" xr:uid="{00000000-0005-0000-0000-000013010000}"/>
    <cellStyle name="Comma 2 2 6 2" xfId="824" xr:uid="{00000000-0005-0000-0000-000014010000}"/>
    <cellStyle name="Comma 2 2 6 2 2" xfId="2274" xr:uid="{4638F0FF-03D1-4EDD-B804-8D8313A3A237}"/>
    <cellStyle name="Comma 2 2 6 2 2 2" xfId="5130" xr:uid="{DE0AF118-36C1-41B5-9DE5-F1FB61BD5737}"/>
    <cellStyle name="Comma 2 2 6 2 3" xfId="3712" xr:uid="{5F9C9300-CC94-4D5B-89CC-9997C922F991}"/>
    <cellStyle name="Comma 2 2 6 3" xfId="1627" xr:uid="{7D30D825-5C1C-458C-9C1D-240C50C280C7}"/>
    <cellStyle name="Comma 2 2 6 3 2" xfId="4487" xr:uid="{905FD2D4-8802-45DC-AA6A-D13FE40B2DD2}"/>
    <cellStyle name="Comma 2 2 6 4" xfId="3071" xr:uid="{720FA729-CCDC-4BAE-A387-42B789ACF510}"/>
    <cellStyle name="Comma 2 2 7" xfId="107" xr:uid="{00000000-0005-0000-0000-000015010000}"/>
    <cellStyle name="Comma 2 2 7 2" xfId="833" xr:uid="{00000000-0005-0000-0000-000016010000}"/>
    <cellStyle name="Comma 2 2 7 2 2" xfId="2282" xr:uid="{B65EF3B1-2D0E-41FC-A74C-BE65B1D7F1A1}"/>
    <cellStyle name="Comma 2 2 7 2 2 2" xfId="5138" xr:uid="{B7A01637-59A4-4A67-A186-3E4A2604CD06}"/>
    <cellStyle name="Comma 2 2 7 2 3" xfId="3720" xr:uid="{78526E33-4FE7-4B90-8DB1-64BB8EA85228}"/>
    <cellStyle name="Comma 2 2 7 3" xfId="1635" xr:uid="{6E038988-3825-4B78-9550-63DB8974E26A}"/>
    <cellStyle name="Comma 2 2 7 3 2" xfId="4495" xr:uid="{3BC45D7B-2636-4F93-936F-A50C0F039294}"/>
    <cellStyle name="Comma 2 2 7 4" xfId="3079" xr:uid="{C967337B-D4C0-4B68-B86C-F898C494DAB5}"/>
    <cellStyle name="Comma 2 2 8" xfId="113" xr:uid="{00000000-0005-0000-0000-000017010000}"/>
    <cellStyle name="Comma 2 2 8 2" xfId="839" xr:uid="{00000000-0005-0000-0000-000018010000}"/>
    <cellStyle name="Comma 2 2 8 2 2" xfId="2288" xr:uid="{B6537B78-CDE3-43E4-A6A2-EDF18100ABF1}"/>
    <cellStyle name="Comma 2 2 8 2 2 2" xfId="5144" xr:uid="{98F6BB43-D387-4A6C-B898-B089798095D4}"/>
    <cellStyle name="Comma 2 2 8 2 3" xfId="3726" xr:uid="{4EA7223F-4193-4611-9DF0-70231E93687A}"/>
    <cellStyle name="Comma 2 2 8 3" xfId="1641" xr:uid="{57E6C5E6-524C-4B57-8DF8-CBD7001F70FB}"/>
    <cellStyle name="Comma 2 2 8 3 2" xfId="4501" xr:uid="{BB6D7311-8C2B-4597-B111-46AC419237A7}"/>
    <cellStyle name="Comma 2 2 8 4" xfId="3085" xr:uid="{3E5159EC-D0E3-4B03-9965-5AD38B2327EF}"/>
    <cellStyle name="Comma 2 2 9" xfId="117" xr:uid="{00000000-0005-0000-0000-000019010000}"/>
    <cellStyle name="Comma 2 2 9 2" xfId="843" xr:uid="{00000000-0005-0000-0000-00001A010000}"/>
    <cellStyle name="Comma 2 2 9 2 2" xfId="2292" xr:uid="{89580B86-909E-4707-828D-C10490C453D6}"/>
    <cellStyle name="Comma 2 2 9 2 2 2" xfId="5148" xr:uid="{30674FB3-087D-4798-BC59-E5225E4EC5D5}"/>
    <cellStyle name="Comma 2 2 9 2 3" xfId="3730" xr:uid="{07B12CE4-7940-4B39-9A3B-87AB94E57F15}"/>
    <cellStyle name="Comma 2 2 9 3" xfId="1645" xr:uid="{BF201F24-2B4B-4DB1-9A72-FE3D3357F60B}"/>
    <cellStyle name="Comma 2 2 9 3 2" xfId="4505" xr:uid="{7EB864A2-3A06-4D21-9187-26AFD6E127D6}"/>
    <cellStyle name="Comma 2 2 9 4" xfId="3089" xr:uid="{B13CFC89-6885-4002-B919-BFC3CFB1C950}"/>
    <cellStyle name="Comma 2 20" xfId="204" xr:uid="{00000000-0005-0000-0000-00001B010000}"/>
    <cellStyle name="Comma 2 20 2" xfId="926" xr:uid="{00000000-0005-0000-0000-00001C010000}"/>
    <cellStyle name="Comma 2 20 2 2" xfId="2374" xr:uid="{BFA48181-24AC-4C72-8179-288DC22385FD}"/>
    <cellStyle name="Comma 2 20 2 2 2" xfId="5230" xr:uid="{8DBF0364-94AC-4B10-8C67-54A5640DAAD2}"/>
    <cellStyle name="Comma 2 20 2 3" xfId="3812" xr:uid="{97EE83B5-3F77-4CA6-8989-409FD8694F46}"/>
    <cellStyle name="Comma 2 20 3" xfId="1727" xr:uid="{71B5B48E-4E7F-43E2-BD24-1D4A11EDF529}"/>
    <cellStyle name="Comma 2 20 3 2" xfId="4587" xr:uid="{FCE0FF6A-B401-4C26-A114-D497B63BFB1B}"/>
    <cellStyle name="Comma 2 20 4" xfId="3171" xr:uid="{E5A709C7-EAFB-496E-9443-2E5A0BA313A2}"/>
    <cellStyle name="Comma 2 21" xfId="218" xr:uid="{00000000-0005-0000-0000-00001D010000}"/>
    <cellStyle name="Comma 2 21 2" xfId="940" xr:uid="{00000000-0005-0000-0000-00001E010000}"/>
    <cellStyle name="Comma 2 21 2 2" xfId="2388" xr:uid="{D54DC7E4-2591-4FE4-871E-797970EDDE37}"/>
    <cellStyle name="Comma 2 21 2 2 2" xfId="5244" xr:uid="{401D5022-A384-4664-B44C-2B02011574E5}"/>
    <cellStyle name="Comma 2 21 2 3" xfId="3826" xr:uid="{03544D3D-1679-49E3-9E37-3CD36B1BCB59}"/>
    <cellStyle name="Comma 2 21 3" xfId="1741" xr:uid="{BA8291E7-1254-4AC8-9656-A6B244645366}"/>
    <cellStyle name="Comma 2 21 3 2" xfId="4601" xr:uid="{E6C31E64-E55F-4870-B1AF-BFC722A04184}"/>
    <cellStyle name="Comma 2 21 4" xfId="3185" xr:uid="{969E9FA3-0059-42A3-8DBF-8355CF140CF0}"/>
    <cellStyle name="Comma 2 22" xfId="229" xr:uid="{00000000-0005-0000-0000-00001F010000}"/>
    <cellStyle name="Comma 2 22 2" xfId="951" xr:uid="{00000000-0005-0000-0000-000020010000}"/>
    <cellStyle name="Comma 2 22 2 2" xfId="2399" xr:uid="{87D4DEA5-C78C-45E7-8AC1-ED76C2E62FCA}"/>
    <cellStyle name="Comma 2 22 2 2 2" xfId="5255" xr:uid="{35CDC46C-09C7-4FF5-9FF8-87EA0A01A051}"/>
    <cellStyle name="Comma 2 22 2 3" xfId="3837" xr:uid="{AE7C69E0-114D-4058-B3C5-113AFA166E48}"/>
    <cellStyle name="Comma 2 22 3" xfId="1752" xr:uid="{D46F609D-0CD3-45BC-A06C-318105953F41}"/>
    <cellStyle name="Comma 2 22 3 2" xfId="4612" xr:uid="{7E7EB405-D600-48C5-A9C5-9FD2A8EC70C9}"/>
    <cellStyle name="Comma 2 22 4" xfId="3196" xr:uid="{03E2F15E-8E2D-424F-91A3-958F8D8D4F86}"/>
    <cellStyle name="Comma 2 23" xfId="242" xr:uid="{00000000-0005-0000-0000-000021010000}"/>
    <cellStyle name="Comma 2 23 2" xfId="964" xr:uid="{00000000-0005-0000-0000-000022010000}"/>
    <cellStyle name="Comma 2 23 2 2" xfId="2412" xr:uid="{35362157-4F03-4979-A1E0-490B47A10BB1}"/>
    <cellStyle name="Comma 2 23 2 2 2" xfId="5268" xr:uid="{72804493-0440-45CB-91AA-5F8367618D73}"/>
    <cellStyle name="Comma 2 23 2 3" xfId="3850" xr:uid="{9BDE617E-56CC-46ED-9070-ADC792A506AA}"/>
    <cellStyle name="Comma 2 23 3" xfId="1765" xr:uid="{622BBDA0-25D4-452A-9EF9-D409AC5D2A72}"/>
    <cellStyle name="Comma 2 23 3 2" xfId="4625" xr:uid="{CA229E77-F030-4D48-A978-721A3E9BF7FB}"/>
    <cellStyle name="Comma 2 23 4" xfId="3209" xr:uid="{8231EE81-DBFB-4C7A-88EE-C44365CBC830}"/>
    <cellStyle name="Comma 2 24" xfId="254" xr:uid="{00000000-0005-0000-0000-000023010000}"/>
    <cellStyle name="Comma 2 24 2" xfId="976" xr:uid="{00000000-0005-0000-0000-000024010000}"/>
    <cellStyle name="Comma 2 24 2 2" xfId="2424" xr:uid="{028F0CC1-BB9C-485E-B06A-88BDD2618C1C}"/>
    <cellStyle name="Comma 2 24 2 2 2" xfId="5280" xr:uid="{6C7E0BDB-41DF-464E-85E5-69C89D66291F}"/>
    <cellStyle name="Comma 2 24 2 3" xfId="3862" xr:uid="{74B4F9D9-0120-4A69-9A4B-4BA21CDE3A44}"/>
    <cellStyle name="Comma 2 24 3" xfId="1777" xr:uid="{2F169286-4BB4-4CD3-84D4-483107410E29}"/>
    <cellStyle name="Comma 2 24 3 2" xfId="4637" xr:uid="{ABC63B7B-EA17-4641-BCE2-99D4ACA0CCE4}"/>
    <cellStyle name="Comma 2 24 4" xfId="3221" xr:uid="{95A5B4B8-D4F8-4097-AF42-1BD112FD6303}"/>
    <cellStyle name="Comma 2 25" xfId="264" xr:uid="{00000000-0005-0000-0000-000025010000}"/>
    <cellStyle name="Comma 2 25 2" xfId="986" xr:uid="{00000000-0005-0000-0000-000026010000}"/>
    <cellStyle name="Comma 2 25 2 2" xfId="2434" xr:uid="{A104CFFC-834E-4643-990E-EB33E76831B4}"/>
    <cellStyle name="Comma 2 25 2 2 2" xfId="5290" xr:uid="{30830DF0-39DB-408E-B277-AADD28B19481}"/>
    <cellStyle name="Comma 2 25 2 3" xfId="3872" xr:uid="{00C948E1-9CC9-4D4D-90FE-B53A64B97E3E}"/>
    <cellStyle name="Comma 2 25 3" xfId="1787" xr:uid="{75A51BCE-8C5B-44D2-957D-AE282EE911F1}"/>
    <cellStyle name="Comma 2 25 3 2" xfId="4647" xr:uid="{B374387B-4C53-4DA3-A3EB-9CCFA7B5AC68}"/>
    <cellStyle name="Comma 2 25 4" xfId="3231" xr:uid="{1A548D64-0B36-4CAC-B856-1E8A613CB97E}"/>
    <cellStyle name="Comma 2 26" xfId="280" xr:uid="{00000000-0005-0000-0000-000027010000}"/>
    <cellStyle name="Comma 2 26 2" xfId="1002" xr:uid="{00000000-0005-0000-0000-000028010000}"/>
    <cellStyle name="Comma 2 26 2 2" xfId="2450" xr:uid="{174AC6EE-F2AB-40C6-942D-C05EC3321CB8}"/>
    <cellStyle name="Comma 2 26 2 2 2" xfId="5306" xr:uid="{F95648C7-038A-49AB-A1B5-191019DC6BDA}"/>
    <cellStyle name="Comma 2 26 2 3" xfId="3888" xr:uid="{66ECEE53-76F4-402F-ADC8-CFD9A1520948}"/>
    <cellStyle name="Comma 2 26 3" xfId="1803" xr:uid="{28BD3442-F1ED-4929-87A2-BF452BA2D15F}"/>
    <cellStyle name="Comma 2 26 3 2" xfId="4663" xr:uid="{5A0AD0CB-3961-4397-90E3-92D4C2C53351}"/>
    <cellStyle name="Comma 2 26 4" xfId="3247" xr:uid="{B2C45E58-1361-4E5B-841F-BD8F085102A5}"/>
    <cellStyle name="Comma 2 27" xfId="296" xr:uid="{00000000-0005-0000-0000-000029010000}"/>
    <cellStyle name="Comma 2 27 2" xfId="1017" xr:uid="{00000000-0005-0000-0000-00002A010000}"/>
    <cellStyle name="Comma 2 27 2 2" xfId="2465" xr:uid="{1347F590-64AF-4818-B2D3-F55839C47E49}"/>
    <cellStyle name="Comma 2 27 2 2 2" xfId="5321" xr:uid="{9508E786-A6C5-4F35-B25D-7F53A0C032D5}"/>
    <cellStyle name="Comma 2 27 2 3" xfId="3903" xr:uid="{AFD109C5-3F7F-4A32-9471-13267FC25578}"/>
    <cellStyle name="Comma 2 27 3" xfId="1819" xr:uid="{B05A3EC2-795D-48CB-A2DF-4CCCC127DC1F}"/>
    <cellStyle name="Comma 2 27 3 2" xfId="4679" xr:uid="{0D0E06F2-529E-42C2-A62A-52CAE49F8E23}"/>
    <cellStyle name="Comma 2 27 4" xfId="3263" xr:uid="{BB8A82AD-970E-4D9F-B9CB-564887391D09}"/>
    <cellStyle name="Comma 2 28" xfId="306" xr:uid="{00000000-0005-0000-0000-00002B010000}"/>
    <cellStyle name="Comma 2 28 2" xfId="1027" xr:uid="{00000000-0005-0000-0000-00002C010000}"/>
    <cellStyle name="Comma 2 28 2 2" xfId="2475" xr:uid="{55F5B9BF-7CBF-46DC-836A-79A94750879B}"/>
    <cellStyle name="Comma 2 28 2 2 2" xfId="5331" xr:uid="{45CC7DEE-0426-4D22-B3A3-24F1AA7F8347}"/>
    <cellStyle name="Comma 2 28 2 3" xfId="3913" xr:uid="{303ECB5F-8048-4D8B-9AB1-FCF5458BAFCD}"/>
    <cellStyle name="Comma 2 28 3" xfId="1829" xr:uid="{297B634A-42D9-41FA-9F74-989521BDD3B4}"/>
    <cellStyle name="Comma 2 28 3 2" xfId="4689" xr:uid="{150A00D8-96DF-4AA7-A65A-8A7D4A8E3DAC}"/>
    <cellStyle name="Comma 2 28 4" xfId="3273" xr:uid="{592505FC-F6F1-4025-BF83-F91B10AE929A}"/>
    <cellStyle name="Comma 2 29" xfId="319" xr:uid="{00000000-0005-0000-0000-00002D010000}"/>
    <cellStyle name="Comma 2 29 2" xfId="1040" xr:uid="{00000000-0005-0000-0000-00002E010000}"/>
    <cellStyle name="Comma 2 29 2 2" xfId="2488" xr:uid="{891729FE-1FAF-4AA9-92AE-DDBDA518DC6D}"/>
    <cellStyle name="Comma 2 29 2 2 2" xfId="5344" xr:uid="{BA029614-0A85-4685-AAA7-68F2C97D73FD}"/>
    <cellStyle name="Comma 2 29 2 3" xfId="3926" xr:uid="{AAD36F5D-07AA-4FD7-8B50-7460ED29C704}"/>
    <cellStyle name="Comma 2 29 3" xfId="1842" xr:uid="{D267078F-FA8B-49A0-A075-6452991C3CA9}"/>
    <cellStyle name="Comma 2 29 3 2" xfId="4702" xr:uid="{FAA7994A-A98E-44AE-9C5E-609F2A6AE8DC}"/>
    <cellStyle name="Comma 2 29 4" xfId="3286" xr:uid="{78FEB73D-2246-4DD6-8F9F-0B3FCC06180D}"/>
    <cellStyle name="Comma 2 3" xfId="4" xr:uid="{00000000-0005-0000-0000-00002F010000}"/>
    <cellStyle name="Comma 2 30" xfId="321" xr:uid="{00000000-0005-0000-0000-000030010000}"/>
    <cellStyle name="Comma 2 30 2" xfId="1042" xr:uid="{00000000-0005-0000-0000-000031010000}"/>
    <cellStyle name="Comma 2 30 2 2" xfId="2490" xr:uid="{B0ED7101-FE63-4AC2-A771-684CC8ECC39C}"/>
    <cellStyle name="Comma 2 30 2 2 2" xfId="5346" xr:uid="{C79BCCDF-DDC2-491C-9E69-EA4BE3A8D763}"/>
    <cellStyle name="Comma 2 30 2 3" xfId="3928" xr:uid="{46424FC7-7CA9-4374-8B8A-53DEC064D0A3}"/>
    <cellStyle name="Comma 2 30 3" xfId="1844" xr:uid="{2EB7B881-D292-4636-A677-A9C2C2E99256}"/>
    <cellStyle name="Comma 2 30 3 2" xfId="4704" xr:uid="{EB53101D-2C8B-44E4-ACA1-DECDDF52920B}"/>
    <cellStyle name="Comma 2 30 4" xfId="3288" xr:uid="{B777119B-FAE1-4B07-BBE6-D4A2955AB0E0}"/>
    <cellStyle name="Comma 2 31" xfId="336" xr:uid="{00000000-0005-0000-0000-000032010000}"/>
    <cellStyle name="Comma 2 31 2" xfId="1057" xr:uid="{00000000-0005-0000-0000-000033010000}"/>
    <cellStyle name="Comma 2 31 2 2" xfId="2505" xr:uid="{795B40AD-6E75-40CF-802C-4250FB440925}"/>
    <cellStyle name="Comma 2 31 2 2 2" xfId="5361" xr:uid="{4DCBF60D-8B26-457F-B89E-994AEF401681}"/>
    <cellStyle name="Comma 2 31 2 3" xfId="3943" xr:uid="{E9A3195D-F65D-40B4-B24B-F86DA1457500}"/>
    <cellStyle name="Comma 2 31 3" xfId="1859" xr:uid="{B138AF52-D884-4D75-9C5D-709D1F17CF41}"/>
    <cellStyle name="Comma 2 31 3 2" xfId="4719" xr:uid="{E1A3C977-9D52-46E2-9165-893FCC5626B2}"/>
    <cellStyle name="Comma 2 31 4" xfId="3303" xr:uid="{EB859A73-8C5D-44DE-AF9B-D7EAE421EB8A}"/>
    <cellStyle name="Comma 2 32" xfId="338" xr:uid="{00000000-0005-0000-0000-000034010000}"/>
    <cellStyle name="Comma 2 32 2" xfId="1059" xr:uid="{00000000-0005-0000-0000-000035010000}"/>
    <cellStyle name="Comma 2 32 2 2" xfId="2507" xr:uid="{ACC92445-63F3-4C2B-9BD3-3BFBD1A26D33}"/>
    <cellStyle name="Comma 2 32 2 2 2" xfId="5363" xr:uid="{71995B6B-AD3F-41BE-B2A2-45B5543AA2D4}"/>
    <cellStyle name="Comma 2 32 2 3" xfId="3945" xr:uid="{4EFA287F-DC4E-47CD-B8EC-4D8CED67F568}"/>
    <cellStyle name="Comma 2 32 3" xfId="1861" xr:uid="{9B687346-EB0E-4FBE-8526-FA06DA563407}"/>
    <cellStyle name="Comma 2 32 3 2" xfId="4721" xr:uid="{B5B460CA-5087-4DF7-8308-9E64730BC952}"/>
    <cellStyle name="Comma 2 32 4" xfId="3305" xr:uid="{91A1E92B-D816-4FA0-B92F-783A959F8A23}"/>
    <cellStyle name="Comma 2 33" xfId="349" xr:uid="{00000000-0005-0000-0000-000036010000}"/>
    <cellStyle name="Comma 2 33 2" xfId="1070" xr:uid="{00000000-0005-0000-0000-000037010000}"/>
    <cellStyle name="Comma 2 33 2 2" xfId="2518" xr:uid="{28091A83-A311-407B-928A-61DA1E9FAE63}"/>
    <cellStyle name="Comma 2 33 2 2 2" xfId="5374" xr:uid="{D81CABA6-F3B2-4B06-8EE2-0ADE6FEE6981}"/>
    <cellStyle name="Comma 2 33 2 3" xfId="3956" xr:uid="{C0F92E2C-0DA0-4BE0-A76B-4F4213A00569}"/>
    <cellStyle name="Comma 2 33 3" xfId="1872" xr:uid="{83A5A7F2-7FB2-4DC8-9607-57FF8784225D}"/>
    <cellStyle name="Comma 2 33 3 2" xfId="4732" xr:uid="{49E37F7E-AC7D-4C2E-BBE0-48FD975B9C48}"/>
    <cellStyle name="Comma 2 33 4" xfId="3316" xr:uid="{D80914EC-8284-41F1-8326-E22D2A460049}"/>
    <cellStyle name="Comma 2 34" xfId="353" xr:uid="{00000000-0005-0000-0000-000038010000}"/>
    <cellStyle name="Comma 2 34 2" xfId="1074" xr:uid="{00000000-0005-0000-0000-000039010000}"/>
    <cellStyle name="Comma 2 34 2 2" xfId="2522" xr:uid="{DC915239-8CA4-4B6F-80F7-A770CEC2C170}"/>
    <cellStyle name="Comma 2 34 2 2 2" xfId="5378" xr:uid="{2039D716-A9B9-4ADD-8C98-9EB60CB40108}"/>
    <cellStyle name="Comma 2 34 2 3" xfId="3960" xr:uid="{239F041F-BF9A-4814-9DC0-946F17943D49}"/>
    <cellStyle name="Comma 2 34 3" xfId="1876" xr:uid="{2D7D6758-D7ED-4E75-93C4-30C0B18F0EB8}"/>
    <cellStyle name="Comma 2 34 3 2" xfId="4736" xr:uid="{8A7FA5DA-26EA-4541-9864-119A4F6B0089}"/>
    <cellStyle name="Comma 2 34 4" xfId="3320" xr:uid="{9FE135BC-1959-4AD6-9675-046801B1245A}"/>
    <cellStyle name="Comma 2 35" xfId="361" xr:uid="{00000000-0005-0000-0000-00003A010000}"/>
    <cellStyle name="Comma 2 35 2" xfId="1082" xr:uid="{00000000-0005-0000-0000-00003B010000}"/>
    <cellStyle name="Comma 2 35 2 2" xfId="2530" xr:uid="{8C74ACDB-65C6-474A-9A7E-408BB427302D}"/>
    <cellStyle name="Comma 2 35 2 2 2" xfId="5386" xr:uid="{C3940D61-C6E4-40CF-A962-8413B873BE40}"/>
    <cellStyle name="Comma 2 35 2 3" xfId="3968" xr:uid="{3CC9A97C-A403-4579-B21A-7A34A55DD8AF}"/>
    <cellStyle name="Comma 2 35 3" xfId="1884" xr:uid="{DAF4C14C-9BBD-4FA6-BDD8-22DCA2A9F7C1}"/>
    <cellStyle name="Comma 2 35 3 2" xfId="4744" xr:uid="{3B18AF83-0371-481D-B30F-510F1F9647CD}"/>
    <cellStyle name="Comma 2 35 4" xfId="3328" xr:uid="{F365C364-376B-4B15-8D3E-D7C8B39221E2}"/>
    <cellStyle name="Comma 2 36" xfId="365" xr:uid="{00000000-0005-0000-0000-00003C010000}"/>
    <cellStyle name="Comma 2 36 2" xfId="1086" xr:uid="{00000000-0005-0000-0000-00003D010000}"/>
    <cellStyle name="Comma 2 36 2 2" xfId="2534" xr:uid="{F29CBDC6-4F52-40EB-9D49-6FB3526DA3BA}"/>
    <cellStyle name="Comma 2 36 2 2 2" xfId="5390" xr:uid="{63224DDD-C596-446B-9182-28D0C5033C04}"/>
    <cellStyle name="Comma 2 36 2 3" xfId="3972" xr:uid="{ADF0F59B-84BE-43AB-ABD4-957D3A4D905D}"/>
    <cellStyle name="Comma 2 36 3" xfId="1888" xr:uid="{F0F2D549-01D0-4A7B-8F18-89BA895B943F}"/>
    <cellStyle name="Comma 2 36 3 2" xfId="4748" xr:uid="{464607C0-2137-473F-A25C-8F8B70FD6A40}"/>
    <cellStyle name="Comma 2 36 4" xfId="3332" xr:uid="{B0445D77-1E37-4E26-8517-F2A0D9F9D658}"/>
    <cellStyle name="Comma 2 37" xfId="374" xr:uid="{00000000-0005-0000-0000-00003E010000}"/>
    <cellStyle name="Comma 2 37 2" xfId="1095" xr:uid="{00000000-0005-0000-0000-00003F010000}"/>
    <cellStyle name="Comma 2 37 2 2" xfId="2543" xr:uid="{C3C176F8-10EB-41FB-8F62-863547B7E1A4}"/>
    <cellStyle name="Comma 2 37 2 2 2" xfId="5399" xr:uid="{C325CA19-34B2-4AFB-BD2B-D1A9DED9BED0}"/>
    <cellStyle name="Comma 2 37 2 3" xfId="3981" xr:uid="{4A1BCA7E-E470-4A32-93A4-5DE63BF0451E}"/>
    <cellStyle name="Comma 2 37 3" xfId="1897" xr:uid="{980D73F0-8DF1-4B38-95A4-66A88AD3206B}"/>
    <cellStyle name="Comma 2 37 3 2" xfId="4757" xr:uid="{A0ABC861-EAAC-4478-A83D-BC34A8878A61}"/>
    <cellStyle name="Comma 2 37 4" xfId="3341" xr:uid="{C1C42BEA-23E6-4DF1-ACE3-3FAF195F9CB9}"/>
    <cellStyle name="Comma 2 38" xfId="377" xr:uid="{00000000-0005-0000-0000-000040010000}"/>
    <cellStyle name="Comma 2 38 2" xfId="1098" xr:uid="{00000000-0005-0000-0000-000041010000}"/>
    <cellStyle name="Comma 2 38 2 2" xfId="2546" xr:uid="{0101DC31-6FC6-487E-817F-A5BFA633E4BE}"/>
    <cellStyle name="Comma 2 38 2 2 2" xfId="5402" xr:uid="{A37FDBAC-B53A-42E9-A672-ED383FB0483B}"/>
    <cellStyle name="Comma 2 38 2 3" xfId="3984" xr:uid="{8556B0BC-7411-448B-83F8-F9B1BB1635F5}"/>
    <cellStyle name="Comma 2 38 3" xfId="1900" xr:uid="{1499C8A2-7C35-4D71-BE48-746FF9C7942B}"/>
    <cellStyle name="Comma 2 38 3 2" xfId="4760" xr:uid="{A47372BF-A41D-4DFC-9348-0C5724A16686}"/>
    <cellStyle name="Comma 2 38 4" xfId="3344" xr:uid="{D4597B2E-6740-4C5C-ABAB-DBC7AF546A5E}"/>
    <cellStyle name="Comma 2 39" xfId="386" xr:uid="{00000000-0005-0000-0000-000042010000}"/>
    <cellStyle name="Comma 2 39 2" xfId="1107" xr:uid="{00000000-0005-0000-0000-000043010000}"/>
    <cellStyle name="Comma 2 39 2 2" xfId="2555" xr:uid="{D22EDE3D-ED42-411F-BAB8-E62BC8B0E0A8}"/>
    <cellStyle name="Comma 2 39 2 2 2" xfId="5411" xr:uid="{1C153BEC-B569-4670-B6D7-A373A805666F}"/>
    <cellStyle name="Comma 2 39 2 3" xfId="3993" xr:uid="{5F74A060-7212-4DED-915F-0DC33C58625E}"/>
    <cellStyle name="Comma 2 39 3" xfId="1909" xr:uid="{0CC448E4-AE7E-4D4D-9552-C34854A2DE83}"/>
    <cellStyle name="Comma 2 39 3 2" xfId="4769" xr:uid="{21CD6D64-8706-4010-970F-A464DDCCB700}"/>
    <cellStyle name="Comma 2 39 4" xfId="3353" xr:uid="{886B2FEF-EE06-48C9-8BBF-EC709F61670D}"/>
    <cellStyle name="Comma 2 4" xfId="38" xr:uid="{00000000-0005-0000-0000-000044010000}"/>
    <cellStyle name="Comma 2 4 2" xfId="590" xr:uid="{00000000-0005-0000-0000-000045010000}"/>
    <cellStyle name="Comma 2 4 2 2" xfId="1308" xr:uid="{00000000-0005-0000-0000-000046010000}"/>
    <cellStyle name="Comma 2 4 2 2 2" xfId="2756" xr:uid="{A2D42DAA-7DB5-4C9A-AFC4-F2B17A263D5A}"/>
    <cellStyle name="Comma 2 4 2 2 2 2" xfId="5612" xr:uid="{A34AAE61-BB32-4681-97BC-78CD5FDB105C}"/>
    <cellStyle name="Comma 2 4 2 2 3" xfId="4194" xr:uid="{E06EE46E-3888-4AF4-BDC2-0550E97F1FCC}"/>
    <cellStyle name="Comma 2 4 2 2 4" xfId="5930" xr:uid="{6912B6DB-EB64-47F5-9DA0-9C5CD7A01287}"/>
    <cellStyle name="Comma 2 4 2 3" xfId="2111" xr:uid="{DD87DBF2-F100-43A3-9056-683AC0DB94A1}"/>
    <cellStyle name="Comma 2 4 2 3 2" xfId="4971" xr:uid="{6AFA05E3-3150-4B17-A901-57748F12B7DF}"/>
    <cellStyle name="Comma 2 4 2 4" xfId="3555" xr:uid="{9F4B2B7C-71A2-407D-8401-F48D3ABC8657}"/>
    <cellStyle name="Comma 2 4 3" xfId="620" xr:uid="{00000000-0005-0000-0000-000047010000}"/>
    <cellStyle name="Comma 2 4 3 2" xfId="624" xr:uid="{00000000-0005-0000-0000-000048010000}"/>
    <cellStyle name="Comma 2 4 3 2 2" xfId="1341" xr:uid="{00000000-0005-0000-0000-000049010000}"/>
    <cellStyle name="Comma 2 4 3 2 2 2" xfId="2789" xr:uid="{B66F6FAA-6D15-4D0D-8DA4-774C1B46A58C}"/>
    <cellStyle name="Comma 2 4 3 2 2 2 2" xfId="5645" xr:uid="{B4A7D62A-D963-4395-91F5-8593D25475F0}"/>
    <cellStyle name="Comma 2 4 3 2 2 3" xfId="4227" xr:uid="{CE4FB86D-57EB-4E29-BA82-CA06251B94EF}"/>
    <cellStyle name="Comma 2 4 3 2 3" xfId="2145" xr:uid="{4EEAE87E-DDA7-40BC-8739-55D8DCAE6AE5}"/>
    <cellStyle name="Comma 2 4 3 2 3 2" xfId="5005" xr:uid="{E9A87D4F-7BFE-4048-9CB0-85CC5266DD2B}"/>
    <cellStyle name="Comma 2 4 3 2 4" xfId="3589" xr:uid="{9B95F546-09E1-4B2C-BB40-348E52C367A0}"/>
    <cellStyle name="Comma 2 4 3 3" xfId="1337" xr:uid="{00000000-0005-0000-0000-00004A010000}"/>
    <cellStyle name="Comma 2 4 3 3 2" xfId="2785" xr:uid="{2489C594-4C5D-46B3-9480-F859BE2DFB4F}"/>
    <cellStyle name="Comma 2 4 3 3 2 2" xfId="5641" xr:uid="{57A5C21A-BF1E-4FC2-8209-B49553E82953}"/>
    <cellStyle name="Comma 2 4 3 3 3" xfId="4223" xr:uid="{05F9A2FB-2286-455D-9670-AC43145E75A8}"/>
    <cellStyle name="Comma 2 4 3 4" xfId="2141" xr:uid="{7EC7CAD6-F40B-441D-B9F4-757E7C36BDA5}"/>
    <cellStyle name="Comma 2 4 3 4 2" xfId="5001" xr:uid="{5313D1CC-E1A4-49C8-BC44-2E03A64A9EBA}"/>
    <cellStyle name="Comma 2 4 3 5" xfId="3585" xr:uid="{8D7D0874-7392-4332-9663-5EFADC0A2DF0}"/>
    <cellStyle name="Comma 2 4 4" xfId="628" xr:uid="{00000000-0005-0000-0000-00004B010000}"/>
    <cellStyle name="Comma 2 4 5" xfId="778" xr:uid="{00000000-0005-0000-0000-00004C010000}"/>
    <cellStyle name="Comma 2 4 5 2" xfId="2230" xr:uid="{A58184F1-F33B-438A-B8CA-D457C58AFE24}"/>
    <cellStyle name="Comma 2 4 5 2 2" xfId="5086" xr:uid="{615C9C92-D22F-4881-819B-96F38FA45109}"/>
    <cellStyle name="Comma 2 4 5 3" xfId="3668" xr:uid="{0CECD5C2-6C52-4035-8843-2E71D8B5046A}"/>
    <cellStyle name="Comma 2 4 6" xfId="1582" xr:uid="{2DE10F36-6B44-437B-AEC7-A51FB529E75D}"/>
    <cellStyle name="Comma 2 4 6 2" xfId="4442" xr:uid="{4976F330-C9C3-44F9-A248-51AAFDE203D6}"/>
    <cellStyle name="Comma 2 4 7" xfId="3027" xr:uid="{EADB55A5-7E44-497B-82D6-DDA8531FE182}"/>
    <cellStyle name="Comma 2 40" xfId="396" xr:uid="{00000000-0005-0000-0000-00004D010000}"/>
    <cellStyle name="Comma 2 40 2" xfId="1117" xr:uid="{00000000-0005-0000-0000-00004E010000}"/>
    <cellStyle name="Comma 2 40 2 2" xfId="2565" xr:uid="{CC0B34B7-8086-4323-B6BD-F33C575D63DF}"/>
    <cellStyle name="Comma 2 40 2 2 2" xfId="5421" xr:uid="{C64638B5-C3FC-4B69-AEB3-C010C0B2BC51}"/>
    <cellStyle name="Comma 2 40 2 3" xfId="4003" xr:uid="{12EE3280-9FDE-40C6-AB38-38F5D03628F9}"/>
    <cellStyle name="Comma 2 40 3" xfId="1919" xr:uid="{622CAA60-5DF1-4FEE-941A-1C7C1DA0AEF2}"/>
    <cellStyle name="Comma 2 40 3 2" xfId="4779" xr:uid="{53B4170D-A51A-4AD5-BF8F-5A8BFD829EAC}"/>
    <cellStyle name="Comma 2 40 4" xfId="3363" xr:uid="{0495E1CD-C339-4646-98C9-9A915F3232F5}"/>
    <cellStyle name="Comma 2 41" xfId="402" xr:uid="{00000000-0005-0000-0000-00004F010000}"/>
    <cellStyle name="Comma 2 41 2" xfId="1123" xr:uid="{00000000-0005-0000-0000-000050010000}"/>
    <cellStyle name="Comma 2 41 2 2" xfId="2571" xr:uid="{66E1FD87-AFBA-4F1E-9CED-1924B3123FA6}"/>
    <cellStyle name="Comma 2 41 2 2 2" xfId="5427" xr:uid="{BE55B6DE-0685-43D1-BC3C-341532B35B8B}"/>
    <cellStyle name="Comma 2 41 2 3" xfId="4009" xr:uid="{49264B0B-FFEB-4EA0-9FB7-4952AA6E25FF}"/>
    <cellStyle name="Comma 2 41 3" xfId="1925" xr:uid="{6BF60CD6-EF74-4AF1-807A-5AE470299CB1}"/>
    <cellStyle name="Comma 2 41 3 2" xfId="4785" xr:uid="{37F99816-C974-46AC-A33D-513483C57B1C}"/>
    <cellStyle name="Comma 2 41 4" xfId="3369" xr:uid="{6AED34B9-AD3E-4C72-B0A3-54B0E32827DF}"/>
    <cellStyle name="Comma 2 42" xfId="404" xr:uid="{00000000-0005-0000-0000-000051010000}"/>
    <cellStyle name="Comma 2 42 2" xfId="1125" xr:uid="{00000000-0005-0000-0000-000052010000}"/>
    <cellStyle name="Comma 2 42 2 2" xfId="2573" xr:uid="{68462046-2FAF-47C7-B4DC-F1C2381511A1}"/>
    <cellStyle name="Comma 2 42 2 2 2" xfId="5429" xr:uid="{62EECAF6-6739-470F-A547-C7F4A4F70CFC}"/>
    <cellStyle name="Comma 2 42 2 3" xfId="4011" xr:uid="{5144C2F1-C42D-4089-88A5-D715558B88E7}"/>
    <cellStyle name="Comma 2 42 3" xfId="1927" xr:uid="{D008CD6E-2B6C-4447-90A0-96C3917A762E}"/>
    <cellStyle name="Comma 2 42 3 2" xfId="4787" xr:uid="{5B4B770F-C709-4436-AA04-18863286825B}"/>
    <cellStyle name="Comma 2 42 4" xfId="3371" xr:uid="{E4627EFB-63F7-4951-B0B5-44D6539FCF08}"/>
    <cellStyle name="Comma 2 43" xfId="413" xr:uid="{00000000-0005-0000-0000-000053010000}"/>
    <cellStyle name="Comma 2 43 2" xfId="1134" xr:uid="{00000000-0005-0000-0000-000054010000}"/>
    <cellStyle name="Comma 2 43 2 2" xfId="2582" xr:uid="{3BC3C799-B7AE-46FE-985C-AD278A6B8732}"/>
    <cellStyle name="Comma 2 43 2 2 2" xfId="5438" xr:uid="{F9F0912C-0952-47DC-9338-2E9B74E02FB0}"/>
    <cellStyle name="Comma 2 43 2 3" xfId="4020" xr:uid="{C6A4CD1F-86EE-401A-AF53-85D7DE5C6886}"/>
    <cellStyle name="Comma 2 43 3" xfId="1936" xr:uid="{8E53940E-60D2-438B-A068-CE366F10FB6B}"/>
    <cellStyle name="Comma 2 43 3 2" xfId="4796" xr:uid="{1DAF11AF-78FA-45C8-8F79-016CDC9812B8}"/>
    <cellStyle name="Comma 2 43 4" xfId="3380" xr:uid="{5E52E6AA-C750-420D-9F29-2F0993560DD7}"/>
    <cellStyle name="Comma 2 44" xfId="417" xr:uid="{00000000-0005-0000-0000-000055010000}"/>
    <cellStyle name="Comma 2 44 2" xfId="1138" xr:uid="{00000000-0005-0000-0000-000056010000}"/>
    <cellStyle name="Comma 2 44 2 2" xfId="2586" xr:uid="{3E3428AA-00C7-447D-841F-232155AEF7CE}"/>
    <cellStyle name="Comma 2 44 2 2 2" xfId="5442" xr:uid="{D24022D8-B848-4FD6-B5D7-4B8E7A657A0A}"/>
    <cellStyle name="Comma 2 44 2 3" xfId="4024" xr:uid="{281139A1-B7D0-4110-8271-D5ED60F312EC}"/>
    <cellStyle name="Comma 2 44 3" xfId="1940" xr:uid="{974F6F62-2790-4156-AEED-E02D7C838362}"/>
    <cellStyle name="Comma 2 44 3 2" xfId="4800" xr:uid="{A2C1D02F-2CA6-45C6-98DD-9B2306B45570}"/>
    <cellStyle name="Comma 2 44 4" xfId="3384" xr:uid="{465848D7-BCA6-4AED-9C1A-81E5CFF02610}"/>
    <cellStyle name="Comma 2 45" xfId="427" xr:uid="{00000000-0005-0000-0000-000057010000}"/>
    <cellStyle name="Comma 2 45 2" xfId="1148" xr:uid="{00000000-0005-0000-0000-000058010000}"/>
    <cellStyle name="Comma 2 45 2 2" xfId="2596" xr:uid="{7125D47C-E096-496F-BF6A-5D25DB19301A}"/>
    <cellStyle name="Comma 2 45 2 2 2" xfId="5452" xr:uid="{654F8D71-9643-47B3-AAD2-3CBE6C56051E}"/>
    <cellStyle name="Comma 2 45 2 3" xfId="4034" xr:uid="{39A7E255-94E2-430C-BB14-5DA6EA6F9005}"/>
    <cellStyle name="Comma 2 45 3" xfId="1950" xr:uid="{C0FBB702-6CB3-40A6-81BD-F614CCE36580}"/>
    <cellStyle name="Comma 2 45 3 2" xfId="4810" xr:uid="{E5ABB17F-E3F7-4A8A-9C38-DEDDC32A465F}"/>
    <cellStyle name="Comma 2 45 4" xfId="3394" xr:uid="{FB0E4B2B-9BBC-4DB0-A0DE-A0467B44BFBB}"/>
    <cellStyle name="Comma 2 46" xfId="431" xr:uid="{00000000-0005-0000-0000-000059010000}"/>
    <cellStyle name="Comma 2 46 2" xfId="1152" xr:uid="{00000000-0005-0000-0000-00005A010000}"/>
    <cellStyle name="Comma 2 46 2 2" xfId="2600" xr:uid="{E13C4E6B-D79D-499C-974B-1BED332F09BA}"/>
    <cellStyle name="Comma 2 46 2 2 2" xfId="5456" xr:uid="{0D844C20-CB7D-4320-82F8-C880F8DB8DD3}"/>
    <cellStyle name="Comma 2 46 2 3" xfId="4038" xr:uid="{3E28DADB-8556-41B3-97BC-C33FCB08396D}"/>
    <cellStyle name="Comma 2 46 3" xfId="1954" xr:uid="{8C7DA9EA-1ADE-425C-8AD8-24BC1A672F02}"/>
    <cellStyle name="Comma 2 46 3 2" xfId="4814" xr:uid="{767FAC77-2B52-40A3-BE09-DC4A73FD5512}"/>
    <cellStyle name="Comma 2 46 4" xfId="3398" xr:uid="{4A3F901B-DED4-40C8-B026-99CADA6DC4B0}"/>
    <cellStyle name="Comma 2 47" xfId="434" xr:uid="{00000000-0005-0000-0000-00005B010000}"/>
    <cellStyle name="Comma 2 47 2" xfId="1155" xr:uid="{00000000-0005-0000-0000-00005C010000}"/>
    <cellStyle name="Comma 2 47 2 2" xfId="2603" xr:uid="{41706C4F-3671-42E9-90A4-5D20ECC522C0}"/>
    <cellStyle name="Comma 2 47 2 2 2" xfId="5459" xr:uid="{017C338C-5C1B-4197-B06B-38BBE55B392C}"/>
    <cellStyle name="Comma 2 47 2 3" xfId="4041" xr:uid="{B233844E-2F99-41E8-8631-7ED88123F62B}"/>
    <cellStyle name="Comma 2 47 3" xfId="1957" xr:uid="{151CB459-FB72-4FCC-AA25-AF1967DA7B0E}"/>
    <cellStyle name="Comma 2 47 3 2" xfId="4817" xr:uid="{B185BF1C-F393-4924-9606-5A368106EE96}"/>
    <cellStyle name="Comma 2 47 4" xfId="3401" xr:uid="{F70E039A-FF24-4308-9CB8-E2A7D1677AC9}"/>
    <cellStyle name="Comma 2 48" xfId="438" xr:uid="{00000000-0005-0000-0000-00005D010000}"/>
    <cellStyle name="Comma 2 48 2" xfId="1159" xr:uid="{00000000-0005-0000-0000-00005E010000}"/>
    <cellStyle name="Comma 2 48 2 2" xfId="2607" xr:uid="{AB8383E8-058F-4688-9CEE-A7E6CF9DA45A}"/>
    <cellStyle name="Comma 2 48 2 2 2" xfId="5463" xr:uid="{BF0E9D3F-A235-41A0-9ACC-D4DB6737215B}"/>
    <cellStyle name="Comma 2 48 2 3" xfId="4045" xr:uid="{C6046527-9FC1-4D84-A20D-A0519E9A56FC}"/>
    <cellStyle name="Comma 2 48 3" xfId="1961" xr:uid="{152E1C3B-F4E9-47AC-873E-04718D72ACA4}"/>
    <cellStyle name="Comma 2 48 3 2" xfId="4821" xr:uid="{E439FE14-C53A-44C1-B95B-9DAE24E571F4}"/>
    <cellStyle name="Comma 2 48 4" xfId="3405" xr:uid="{21326918-6227-4BE3-9440-4F098B75188E}"/>
    <cellStyle name="Comma 2 49" xfId="440" xr:uid="{00000000-0005-0000-0000-00005F010000}"/>
    <cellStyle name="Comma 2 49 2" xfId="1161" xr:uid="{00000000-0005-0000-0000-000060010000}"/>
    <cellStyle name="Comma 2 49 2 2" xfId="2609" xr:uid="{55D2B32E-E528-43DE-A394-19DEBF696244}"/>
    <cellStyle name="Comma 2 49 2 2 2" xfId="5465" xr:uid="{B0CF3265-2E13-4B17-94F8-DF95E0DA8E1D}"/>
    <cellStyle name="Comma 2 49 2 3" xfId="4047" xr:uid="{FAD9AAAB-F348-4148-9978-4EAA12222A38}"/>
    <cellStyle name="Comma 2 49 3" xfId="1963" xr:uid="{1786F03C-110C-49C0-83AC-50D135ED0346}"/>
    <cellStyle name="Comma 2 49 3 2" xfId="4823" xr:uid="{BF85F030-1F1B-4A84-B5AC-B8506C780F25}"/>
    <cellStyle name="Comma 2 49 4" xfId="3407" xr:uid="{61E90A50-8DE2-405B-94F2-B4D33F2F9FA6}"/>
    <cellStyle name="Comma 2 5" xfId="65" xr:uid="{00000000-0005-0000-0000-000061010000}"/>
    <cellStyle name="Comma 2 5 2" xfId="793" xr:uid="{00000000-0005-0000-0000-000062010000}"/>
    <cellStyle name="Comma 2 5 2 2" xfId="2244" xr:uid="{905AB354-3F3F-46E7-91FE-7FA54C7DCE9D}"/>
    <cellStyle name="Comma 2 5 2 2 2" xfId="5100" xr:uid="{EFAB73BB-59BD-4258-8172-AE2ECC500CCE}"/>
    <cellStyle name="Comma 2 5 2 3" xfId="3682" xr:uid="{F1E2CFAF-67FC-4D9C-904D-37ADA5DE7E66}"/>
    <cellStyle name="Comma 2 5 3" xfId="1596" xr:uid="{236A0CC9-BA5C-47E0-BB87-F8CCAB39E9E3}"/>
    <cellStyle name="Comma 2 5 3 2" xfId="4456" xr:uid="{51B03385-2DE1-4C5D-8236-F8EF89116BF3}"/>
    <cellStyle name="Comma 2 5 4" xfId="3041" xr:uid="{12355417-0A05-47BE-BB0F-C48AE7984074}"/>
    <cellStyle name="Comma 2 50" xfId="453" xr:uid="{00000000-0005-0000-0000-000063010000}"/>
    <cellStyle name="Comma 2 50 2" xfId="1173" xr:uid="{00000000-0005-0000-0000-000064010000}"/>
    <cellStyle name="Comma 2 50 2 2" xfId="2621" xr:uid="{91F58C94-7F67-441D-8AC3-481243B66951}"/>
    <cellStyle name="Comma 2 50 2 2 2" xfId="5477" xr:uid="{79812FA4-E8A2-42F5-AC2C-EABEC4AAC61B}"/>
    <cellStyle name="Comma 2 50 2 3" xfId="4059" xr:uid="{CFF0EDE4-CE55-489E-9087-21496AF48563}"/>
    <cellStyle name="Comma 2 50 3" xfId="1976" xr:uid="{BFFF67F9-3161-4D6B-942D-C1FABB9BF74D}"/>
    <cellStyle name="Comma 2 50 3 2" xfId="4836" xr:uid="{4D83AF37-3EAC-4ABF-99E1-76BE534794F8}"/>
    <cellStyle name="Comma 2 50 4" xfId="3420" xr:uid="{DAD09580-3676-4D73-B296-7D52BD365F23}"/>
    <cellStyle name="Comma 2 51" xfId="458" xr:uid="{00000000-0005-0000-0000-000065010000}"/>
    <cellStyle name="Comma 2 51 2" xfId="1178" xr:uid="{00000000-0005-0000-0000-000066010000}"/>
    <cellStyle name="Comma 2 51 2 2" xfId="2626" xr:uid="{4D95AE24-4D6A-42E0-B75C-C7C2CACA4F5E}"/>
    <cellStyle name="Comma 2 51 2 2 2" xfId="5482" xr:uid="{0D326BD8-AF96-48BD-86AB-DB476737ACCF}"/>
    <cellStyle name="Comma 2 51 2 3" xfId="4064" xr:uid="{19DBA4DC-CAAD-4060-88A2-2C1638D939A9}"/>
    <cellStyle name="Comma 2 51 3" xfId="1981" xr:uid="{6EA9B890-86BE-48FF-A009-268923C92E63}"/>
    <cellStyle name="Comma 2 51 3 2" xfId="4841" xr:uid="{2C4A6E9B-0B8F-4589-936A-FE00E0FF69C0}"/>
    <cellStyle name="Comma 2 51 4" xfId="3425" xr:uid="{711C4427-CE94-4D0C-9871-4087C1B6C0B2}"/>
    <cellStyle name="Comma 2 52" xfId="468" xr:uid="{00000000-0005-0000-0000-000067010000}"/>
    <cellStyle name="Comma 2 52 2" xfId="1188" xr:uid="{00000000-0005-0000-0000-000068010000}"/>
    <cellStyle name="Comma 2 52 2 2" xfId="2636" xr:uid="{8BCCD0D5-3A31-438C-A9DA-A7942CD15686}"/>
    <cellStyle name="Comma 2 52 2 2 2" xfId="5492" xr:uid="{767834F3-D8B0-44F5-A4CD-2429C26F1E38}"/>
    <cellStyle name="Comma 2 52 2 3" xfId="4074" xr:uid="{1AE5E115-E9A5-4575-B436-D073BF784522}"/>
    <cellStyle name="Comma 2 52 3" xfId="1991" xr:uid="{53CF83FA-1002-4994-8956-E5899F1E0EBE}"/>
    <cellStyle name="Comma 2 52 3 2" xfId="4851" xr:uid="{F5E0928E-CD8E-4E3C-9988-BDB4FEFA94A5}"/>
    <cellStyle name="Comma 2 52 4" xfId="3435" xr:uid="{F8745A6F-6901-434C-B53F-C7C492A4A6A2}"/>
    <cellStyle name="Comma 2 53" xfId="476" xr:uid="{00000000-0005-0000-0000-000069010000}"/>
    <cellStyle name="Comma 2 53 2" xfId="1196" xr:uid="{00000000-0005-0000-0000-00006A010000}"/>
    <cellStyle name="Comma 2 53 2 2" xfId="2644" xr:uid="{3BC432F8-BBDF-4578-BA98-041278C2EEE1}"/>
    <cellStyle name="Comma 2 53 2 2 2" xfId="5500" xr:uid="{DD9E9F4D-125D-4705-8C91-F4DA8BE247A0}"/>
    <cellStyle name="Comma 2 53 2 3" xfId="4082" xr:uid="{F3022A5D-D43C-453C-8B21-4DE938CF229A}"/>
    <cellStyle name="Comma 2 53 3" xfId="1999" xr:uid="{4A9F9CBC-C83B-4CA1-A162-4A9EA4C810B1}"/>
    <cellStyle name="Comma 2 53 3 2" xfId="4859" xr:uid="{95644418-C90C-4FE5-98AC-E31E22315A49}"/>
    <cellStyle name="Comma 2 53 4" xfId="3443" xr:uid="{693BB9B4-2EA7-4B3A-9434-F1D75C40CCC9}"/>
    <cellStyle name="Comma 2 54" xfId="483" xr:uid="{00000000-0005-0000-0000-00006B010000}"/>
    <cellStyle name="Comma 2 54 2" xfId="1203" xr:uid="{00000000-0005-0000-0000-00006C010000}"/>
    <cellStyle name="Comma 2 54 2 2" xfId="2651" xr:uid="{A322ACE4-7E2B-4A1F-B5DB-8A0875C7F2FA}"/>
    <cellStyle name="Comma 2 54 2 2 2" xfId="5507" xr:uid="{EDD0ACD7-463D-40A2-BF44-82611F6B5818}"/>
    <cellStyle name="Comma 2 54 2 3" xfId="4089" xr:uid="{6B8F8C68-EE36-4362-A0BB-FA4CCA13CD38}"/>
    <cellStyle name="Comma 2 54 3" xfId="2006" xr:uid="{A540C2E5-4EC4-4ECC-B0BE-1802314C8A28}"/>
    <cellStyle name="Comma 2 54 3 2" xfId="4866" xr:uid="{82C848F6-BD01-474B-A2D7-AE96000B1A62}"/>
    <cellStyle name="Comma 2 54 4" xfId="3450" xr:uid="{C1504556-2C52-4523-9EA3-474168BA5D91}"/>
    <cellStyle name="Comma 2 55" xfId="486" xr:uid="{00000000-0005-0000-0000-00006D010000}"/>
    <cellStyle name="Comma 2 55 2" xfId="1205" xr:uid="{00000000-0005-0000-0000-00006E010000}"/>
    <cellStyle name="Comma 2 55 2 2" xfId="2653" xr:uid="{BCB398AC-D649-4051-908C-470B5420535C}"/>
    <cellStyle name="Comma 2 55 2 2 2" xfId="5509" xr:uid="{14AD9C4C-4BF4-4B4D-A6A5-3CF9B457B9E7}"/>
    <cellStyle name="Comma 2 55 2 3" xfId="4091" xr:uid="{47DF3A39-ED49-43C9-B59D-5920E2DF9505}"/>
    <cellStyle name="Comma 2 55 3" xfId="2008" xr:uid="{CFC8CAE6-9EF2-4CE8-AB8B-1E87786471AA}"/>
    <cellStyle name="Comma 2 55 3 2" xfId="4868" xr:uid="{F71EF405-844C-4FEE-82A6-0F8F4802A65E}"/>
    <cellStyle name="Comma 2 55 4" xfId="3452" xr:uid="{9C39D8EF-6CC5-4548-8120-43213D1E02E3}"/>
    <cellStyle name="Comma 2 56" xfId="497" xr:uid="{00000000-0005-0000-0000-00006F010000}"/>
    <cellStyle name="Comma 2 56 2" xfId="1216" xr:uid="{00000000-0005-0000-0000-000070010000}"/>
    <cellStyle name="Comma 2 56 2 2" xfId="2664" xr:uid="{2AAA9817-B559-49B5-A557-CACA2EC45455}"/>
    <cellStyle name="Comma 2 56 2 2 2" xfId="5520" xr:uid="{C83AEB7B-4C22-4605-B334-B5381EE2E420}"/>
    <cellStyle name="Comma 2 56 2 3" xfId="4102" xr:uid="{E50937D1-CB2A-4D84-971A-CAED25730E41}"/>
    <cellStyle name="Comma 2 56 3" xfId="2019" xr:uid="{D2A09565-003A-4CE1-B2D5-589CAF214ADB}"/>
    <cellStyle name="Comma 2 56 3 2" xfId="4879" xr:uid="{6D974B63-4A0C-403A-B32E-35CAF56039AA}"/>
    <cellStyle name="Comma 2 56 4" xfId="3463" xr:uid="{C44F6503-4EB2-4AFD-BF65-AD2086D771EC}"/>
    <cellStyle name="Comma 2 57" xfId="502" xr:uid="{00000000-0005-0000-0000-000071010000}"/>
    <cellStyle name="Comma 2 57 2" xfId="1221" xr:uid="{00000000-0005-0000-0000-000072010000}"/>
    <cellStyle name="Comma 2 57 2 2" xfId="2669" xr:uid="{2BCFF89D-8182-463A-BAEB-5A07AA1A384D}"/>
    <cellStyle name="Comma 2 57 2 2 2" xfId="5525" xr:uid="{A4021046-3D32-4E28-976D-342C16F18AAE}"/>
    <cellStyle name="Comma 2 57 2 3" xfId="4107" xr:uid="{7E8A3131-31E4-4A91-8269-00586478E8FC}"/>
    <cellStyle name="Comma 2 57 3" xfId="2024" xr:uid="{6817F96C-404B-41AB-8A69-ABDC616DA47A}"/>
    <cellStyle name="Comma 2 57 3 2" xfId="4884" xr:uid="{9E8188B5-5C4D-483D-844A-471306626DA5}"/>
    <cellStyle name="Comma 2 57 4" xfId="3468" xr:uid="{E4361089-D46F-4F08-8944-E57F1B4E88D8}"/>
    <cellStyle name="Comma 2 58" xfId="508" xr:uid="{00000000-0005-0000-0000-000073010000}"/>
    <cellStyle name="Comma 2 58 2" xfId="1227" xr:uid="{00000000-0005-0000-0000-000074010000}"/>
    <cellStyle name="Comma 2 58 2 2" xfId="2675" xr:uid="{D877E409-272E-45AA-9C4C-5EC207256386}"/>
    <cellStyle name="Comma 2 58 2 2 2" xfId="5531" xr:uid="{ED51A6F9-93C6-4256-A521-6116AA215056}"/>
    <cellStyle name="Comma 2 58 2 3" xfId="4113" xr:uid="{6BEC3D53-9CAC-4869-89E1-53F13C3F221B}"/>
    <cellStyle name="Comma 2 58 3" xfId="2030" xr:uid="{31334220-2857-404A-A330-5911BEE9278C}"/>
    <cellStyle name="Comma 2 58 3 2" xfId="4890" xr:uid="{83C0C511-C77A-4D7B-8E29-AE39B351B68D}"/>
    <cellStyle name="Comma 2 58 4" xfId="3474" xr:uid="{C35B0D28-F327-4384-A64A-24996FAAC0AC}"/>
    <cellStyle name="Comma 2 59" xfId="512" xr:uid="{00000000-0005-0000-0000-000075010000}"/>
    <cellStyle name="Comma 2 59 2" xfId="1231" xr:uid="{00000000-0005-0000-0000-000076010000}"/>
    <cellStyle name="Comma 2 59 2 2" xfId="2679" xr:uid="{84279127-9399-4B00-BA75-A756BCF5E345}"/>
    <cellStyle name="Comma 2 59 2 2 2" xfId="5535" xr:uid="{380E09D7-E766-4AEB-A0BF-9180CBFEDC07}"/>
    <cellStyle name="Comma 2 59 2 3" xfId="4117" xr:uid="{7522932B-F1AB-4095-953C-0141A79D1F3A}"/>
    <cellStyle name="Comma 2 59 3" xfId="2034" xr:uid="{768ED36A-8863-473C-B2AF-A620C0FB6F7D}"/>
    <cellStyle name="Comma 2 59 3 2" xfId="4894" xr:uid="{E687F5D0-9712-4A4A-9FAC-764225EE0489}"/>
    <cellStyle name="Comma 2 59 4" xfId="3478" xr:uid="{961BBEA4-2D8D-4082-B395-F298BBE01C2E}"/>
    <cellStyle name="Comma 2 6" xfId="78" xr:uid="{00000000-0005-0000-0000-000077010000}"/>
    <cellStyle name="Comma 2 6 2" xfId="804" xr:uid="{00000000-0005-0000-0000-000078010000}"/>
    <cellStyle name="Comma 2 6 2 2" xfId="2255" xr:uid="{14587792-998C-4B4F-8366-D588A0A5896B}"/>
    <cellStyle name="Comma 2 6 2 2 2" xfId="5111" xr:uid="{A74FEE3C-DCFD-4E3E-A839-868767C661FF}"/>
    <cellStyle name="Comma 2 6 2 3" xfId="3693" xr:uid="{30C8E784-DE58-473E-8CE9-5B113157FC9C}"/>
    <cellStyle name="Comma 2 6 3" xfId="1608" xr:uid="{D575945B-430C-4892-A188-632E0BF538EA}"/>
    <cellStyle name="Comma 2 6 3 2" xfId="4468" xr:uid="{2F6B73A4-3A0B-466B-A059-A4E8B3C5EF06}"/>
    <cellStyle name="Comma 2 6 4" xfId="3052" xr:uid="{2B6A68FB-36BF-43D2-9AAD-D1615D5C8F61}"/>
    <cellStyle name="Comma 2 60" xfId="520" xr:uid="{00000000-0005-0000-0000-000079010000}"/>
    <cellStyle name="Comma 2 60 2" xfId="1239" xr:uid="{00000000-0005-0000-0000-00007A010000}"/>
    <cellStyle name="Comma 2 60 2 2" xfId="2687" xr:uid="{7D9D8FD1-9302-470A-ADEA-7A63A64B0AE4}"/>
    <cellStyle name="Comma 2 60 2 2 2" xfId="5543" xr:uid="{44692A12-7DE1-4E95-88BD-D29487ABC6F6}"/>
    <cellStyle name="Comma 2 60 2 3" xfId="4125" xr:uid="{3D89B9B6-D93A-4523-B6AB-819690595582}"/>
    <cellStyle name="Comma 2 60 3" xfId="2042" xr:uid="{4A93D3D5-9C04-4BB2-A289-B5E1E3CDF496}"/>
    <cellStyle name="Comma 2 60 3 2" xfId="4902" xr:uid="{5C192B31-4F77-4EEC-AF0C-A33877212092}"/>
    <cellStyle name="Comma 2 60 4" xfId="3486" xr:uid="{62089767-6377-4F2E-A22A-4252E36F0B74}"/>
    <cellStyle name="Comma 2 61" xfId="525" xr:uid="{00000000-0005-0000-0000-00007B010000}"/>
    <cellStyle name="Comma 2 61 2" xfId="1244" xr:uid="{00000000-0005-0000-0000-00007C010000}"/>
    <cellStyle name="Comma 2 61 2 2" xfId="2692" xr:uid="{27A7DE5E-7DD4-4B99-98E6-AB28F1B336A2}"/>
    <cellStyle name="Comma 2 61 2 2 2" xfId="5548" xr:uid="{63980B98-F093-41B2-A86A-DF5C71178D84}"/>
    <cellStyle name="Comma 2 61 2 3" xfId="4130" xr:uid="{0CAAB612-B338-4E4B-A2DA-0B28F99D1778}"/>
    <cellStyle name="Comma 2 61 3" xfId="2047" xr:uid="{02FF8619-1BE7-4460-A459-CE81704CAFC5}"/>
    <cellStyle name="Comma 2 61 3 2" xfId="4907" xr:uid="{56F6FC1E-62B6-4478-B4E2-8C335693BDF3}"/>
    <cellStyle name="Comma 2 61 4" xfId="3491" xr:uid="{B7CC1CC0-45F3-4FB8-BA73-CCB1D63CB43B}"/>
    <cellStyle name="Comma 2 62" xfId="531" xr:uid="{00000000-0005-0000-0000-00007D010000}"/>
    <cellStyle name="Comma 2 62 2" xfId="1250" xr:uid="{00000000-0005-0000-0000-00007E010000}"/>
    <cellStyle name="Comma 2 62 2 2" xfId="2698" xr:uid="{E252549A-0ED2-4AEB-A863-4705925CF03C}"/>
    <cellStyle name="Comma 2 62 2 2 2" xfId="5554" xr:uid="{4406D96E-5E51-419F-9028-2A294631CA2F}"/>
    <cellStyle name="Comma 2 62 2 3" xfId="4136" xr:uid="{646C897A-2028-42FC-9BFF-16A1E15411CB}"/>
    <cellStyle name="Comma 2 62 3" xfId="2053" xr:uid="{BFF0D8B4-10D6-4A41-BF91-75086B9DD929}"/>
    <cellStyle name="Comma 2 62 3 2" xfId="4913" xr:uid="{93911FA1-93BC-4E51-AC5C-CDE1DA0BEDBB}"/>
    <cellStyle name="Comma 2 62 4" xfId="3497" xr:uid="{B3685C2C-7320-4388-93BB-C50F666D96DF}"/>
    <cellStyle name="Comma 2 63" xfId="535" xr:uid="{00000000-0005-0000-0000-00007F010000}"/>
    <cellStyle name="Comma 2 63 2" xfId="1254" xr:uid="{00000000-0005-0000-0000-000080010000}"/>
    <cellStyle name="Comma 2 63 2 2" xfId="2702" xr:uid="{83CB3F39-1D3B-4ED6-B949-5CB3CBCCF36A}"/>
    <cellStyle name="Comma 2 63 2 2 2" xfId="5558" xr:uid="{4E63A25B-A575-4056-834D-CE6737001078}"/>
    <cellStyle name="Comma 2 63 2 3" xfId="4140" xr:uid="{55605149-4020-454E-9AD6-4C8DF2D951DF}"/>
    <cellStyle name="Comma 2 63 3" xfId="2057" xr:uid="{AA66D0F6-7AD8-4222-A2BC-3C1E517B8529}"/>
    <cellStyle name="Comma 2 63 3 2" xfId="4917" xr:uid="{48BD3FA1-4A1E-42A0-8A05-3FBF65204AE4}"/>
    <cellStyle name="Comma 2 63 4" xfId="3501" xr:uid="{F9E2470A-63DE-456D-A02C-1635A9861E4F}"/>
    <cellStyle name="Comma 2 64" xfId="539" xr:uid="{00000000-0005-0000-0000-000081010000}"/>
    <cellStyle name="Comma 2 64 2" xfId="1258" xr:uid="{00000000-0005-0000-0000-000082010000}"/>
    <cellStyle name="Comma 2 64 2 2" xfId="2706" xr:uid="{965CB9E1-BADB-4A48-ADB9-25CEDD99687E}"/>
    <cellStyle name="Comma 2 64 2 2 2" xfId="5562" xr:uid="{8142B171-FDEC-4849-B463-9D11C0FF7DBC}"/>
    <cellStyle name="Comma 2 64 2 3" xfId="4144" xr:uid="{FB7BDB51-F30B-4002-9992-7BC67533B162}"/>
    <cellStyle name="Comma 2 64 3" xfId="2061" xr:uid="{40023DD1-8423-4114-B38F-9BC59F5C187F}"/>
    <cellStyle name="Comma 2 64 3 2" xfId="4921" xr:uid="{D87AAAF0-87D0-47F8-835D-960E8852EAD1}"/>
    <cellStyle name="Comma 2 64 4" xfId="3505" xr:uid="{42C63BB9-592F-41EB-9D2C-E881EA3FA0D3}"/>
    <cellStyle name="Comma 2 65" xfId="547" xr:uid="{00000000-0005-0000-0000-000083010000}"/>
    <cellStyle name="Comma 2 65 2" xfId="1266" xr:uid="{00000000-0005-0000-0000-000084010000}"/>
    <cellStyle name="Comma 2 65 2 2" xfId="2714" xr:uid="{C183417C-215D-440D-AC38-40A73BF72FFE}"/>
    <cellStyle name="Comma 2 65 2 2 2" xfId="5570" xr:uid="{2B72C051-72F8-4422-AE8C-E739ABCA02D4}"/>
    <cellStyle name="Comma 2 65 2 3" xfId="4152" xr:uid="{C1D51F3B-B572-4500-8B9D-264ECD0132B9}"/>
    <cellStyle name="Comma 2 65 3" xfId="2069" xr:uid="{9C3798CB-8294-4E09-B5D5-1398D43BA384}"/>
    <cellStyle name="Comma 2 65 3 2" xfId="4929" xr:uid="{C34B4A3A-AC8D-4040-8149-4119E3F4A65E}"/>
    <cellStyle name="Comma 2 65 4" xfId="3513" xr:uid="{680D207F-54C1-486B-996C-78EEC2E5211E}"/>
    <cellStyle name="Comma 2 66" xfId="549" xr:uid="{00000000-0005-0000-0000-000085010000}"/>
    <cellStyle name="Comma 2 66 2" xfId="1268" xr:uid="{00000000-0005-0000-0000-000086010000}"/>
    <cellStyle name="Comma 2 66 2 2" xfId="2716" xr:uid="{DC294C5E-88D8-4885-B1EA-C8D4A91F9BE8}"/>
    <cellStyle name="Comma 2 66 2 2 2" xfId="5572" xr:uid="{C47F5F53-5DDF-4F89-92D1-EDE334C03931}"/>
    <cellStyle name="Comma 2 66 2 3" xfId="4154" xr:uid="{1ADB4E6A-EFA8-4ECA-B591-56DDA966258B}"/>
    <cellStyle name="Comma 2 66 3" xfId="2071" xr:uid="{77FBFCFB-3496-4FD8-94BB-86C8A169EED0}"/>
    <cellStyle name="Comma 2 66 3 2" xfId="4931" xr:uid="{5F9ED97C-E11A-42C5-B234-849D17783F58}"/>
    <cellStyle name="Comma 2 66 4" xfId="3515" xr:uid="{FE597CF2-C379-495E-ADDC-674B9EC93007}"/>
    <cellStyle name="Comma 2 67" xfId="565" xr:uid="{00000000-0005-0000-0000-000087010000}"/>
    <cellStyle name="Comma 2 67 2" xfId="1284" xr:uid="{00000000-0005-0000-0000-000088010000}"/>
    <cellStyle name="Comma 2 67 2 2" xfId="2732" xr:uid="{989A55A5-FEBF-4649-B94D-66856C9DDA42}"/>
    <cellStyle name="Comma 2 67 2 2 2" xfId="5588" xr:uid="{E0462271-A4C2-4776-AE21-BBF3B82FD263}"/>
    <cellStyle name="Comma 2 67 2 3" xfId="4170" xr:uid="{8EDAD296-8D3B-459B-A539-5B314BC3CEA3}"/>
    <cellStyle name="Comma 2 67 3" xfId="2087" xr:uid="{0518211A-6FE9-4656-903D-8FE6D1FF7DE5}"/>
    <cellStyle name="Comma 2 67 3 2" xfId="4947" xr:uid="{56A029C9-6F5A-4484-9821-86B081FFB6AF}"/>
    <cellStyle name="Comma 2 67 4" xfId="3531" xr:uid="{70547BA6-92FD-428D-AE39-DA77A389A27D}"/>
    <cellStyle name="Comma 2 68" xfId="570" xr:uid="{00000000-0005-0000-0000-000089010000}"/>
    <cellStyle name="Comma 2 68 2" xfId="1289" xr:uid="{00000000-0005-0000-0000-00008A010000}"/>
    <cellStyle name="Comma 2 68 2 2" xfId="2737" xr:uid="{E28C5285-E5BE-49E9-99C4-7B24F0CA6B90}"/>
    <cellStyle name="Comma 2 68 2 2 2" xfId="5593" xr:uid="{E9234942-5647-48AE-A33C-DEC98E8B3C54}"/>
    <cellStyle name="Comma 2 68 2 3" xfId="4175" xr:uid="{20806328-91A5-4217-84F4-E1F8F9A46E42}"/>
    <cellStyle name="Comma 2 68 3" xfId="2092" xr:uid="{7B6BB819-BABB-4B5B-B5D6-D8D3D3DB8F92}"/>
    <cellStyle name="Comma 2 68 3 2" xfId="4952" xr:uid="{08D485A5-E02B-4D12-BFE1-A8722C30743F}"/>
    <cellStyle name="Comma 2 68 4" xfId="3536" xr:uid="{82F890C2-1550-4422-8CFF-9C826457269C}"/>
    <cellStyle name="Comma 2 69" xfId="579" xr:uid="{00000000-0005-0000-0000-00008B010000}"/>
    <cellStyle name="Comma 2 69 2" xfId="1298" xr:uid="{00000000-0005-0000-0000-00008C010000}"/>
    <cellStyle name="Comma 2 69 2 2" xfId="2746" xr:uid="{6E711B88-3B54-4EF3-9452-F9BD1B7C382D}"/>
    <cellStyle name="Comma 2 69 2 2 2" xfId="5602" xr:uid="{309B3523-E2FE-4AFE-9D87-BCDED53C45E5}"/>
    <cellStyle name="Comma 2 69 2 3" xfId="4184" xr:uid="{255D6428-6724-4FE4-8008-7C3D8F06C8CE}"/>
    <cellStyle name="Comma 2 69 3" xfId="2101" xr:uid="{90510297-12F3-4190-9236-8B7FBBC6ABB7}"/>
    <cellStyle name="Comma 2 69 3 2" xfId="4961" xr:uid="{D4564CD9-1031-48D1-94E7-6D8130EF17E7}"/>
    <cellStyle name="Comma 2 69 4" xfId="3545" xr:uid="{D3550097-F9EE-4D33-A3A0-358A1B31DB37}"/>
    <cellStyle name="Comma 2 7" xfId="82" xr:uid="{00000000-0005-0000-0000-00008D010000}"/>
    <cellStyle name="Comma 2 7 2" xfId="808" xr:uid="{00000000-0005-0000-0000-00008E010000}"/>
    <cellStyle name="Comma 2 7 2 2" xfId="2259" xr:uid="{2752CB49-8D0A-4DCF-8892-EDAFEB9FC8DA}"/>
    <cellStyle name="Comma 2 7 2 2 2" xfId="5115" xr:uid="{0BAC9DE4-5842-4022-B1DD-172B6685C81E}"/>
    <cellStyle name="Comma 2 7 2 3" xfId="3697" xr:uid="{7DD7C709-B2F5-4030-A15F-2F14E7DD203C}"/>
    <cellStyle name="Comma 2 7 3" xfId="1612" xr:uid="{F98A9570-ADC1-4BA4-838D-066125C729F6}"/>
    <cellStyle name="Comma 2 7 3 2" xfId="4472" xr:uid="{1A688835-1574-4F32-B949-37002F0F192E}"/>
    <cellStyle name="Comma 2 7 4" xfId="3056" xr:uid="{4CC4FE60-F4E2-4FAF-B4C1-84DD3E0AD9AA}"/>
    <cellStyle name="Comma 2 70" xfId="582" xr:uid="{00000000-0005-0000-0000-00008F010000}"/>
    <cellStyle name="Comma 2 70 2" xfId="1301" xr:uid="{00000000-0005-0000-0000-000090010000}"/>
    <cellStyle name="Comma 2 70 2 2" xfId="2749" xr:uid="{0C905EB3-0264-4367-A0C6-AF9F446369E0}"/>
    <cellStyle name="Comma 2 70 2 2 2" xfId="5605" xr:uid="{A4FB72D2-E259-42A0-8617-69927A6BD72A}"/>
    <cellStyle name="Comma 2 70 2 3" xfId="4187" xr:uid="{F88A279E-036B-44D9-BA0E-C7ABDE31B0D9}"/>
    <cellStyle name="Comma 2 70 3" xfId="2104" xr:uid="{CFA491D9-DF39-46EC-8189-610917528816}"/>
    <cellStyle name="Comma 2 70 3 2" xfId="4964" xr:uid="{3A97B472-C79C-4FAE-9529-7E6121F96956}"/>
    <cellStyle name="Comma 2 70 4" xfId="3548" xr:uid="{1D6F7D1A-3F24-4D07-A176-83AE0ECE98B5}"/>
    <cellStyle name="Comma 2 71" xfId="584" xr:uid="{00000000-0005-0000-0000-000091010000}"/>
    <cellStyle name="Comma 2 71 2" xfId="1303" xr:uid="{00000000-0005-0000-0000-000092010000}"/>
    <cellStyle name="Comma 2 71 2 2" xfId="2751" xr:uid="{B9F2041C-F08C-49DB-A369-4578BE5E1CDA}"/>
    <cellStyle name="Comma 2 71 2 2 2" xfId="5607" xr:uid="{88142636-1A66-46D8-B1FD-1193D706109A}"/>
    <cellStyle name="Comma 2 71 2 3" xfId="4189" xr:uid="{DD1C4FF4-C619-4068-BDDD-6011A0FD49AC}"/>
    <cellStyle name="Comma 2 71 3" xfId="2106" xr:uid="{C218E7D2-8C39-43D2-B24A-BCF6F0D6C8B7}"/>
    <cellStyle name="Comma 2 71 3 2" xfId="4966" xr:uid="{F789FE0C-980C-46FE-BD33-DBFA8B1D8BC8}"/>
    <cellStyle name="Comma 2 71 4" xfId="3550" xr:uid="{4BD019A3-28FA-4776-A503-87A88CE135D7}"/>
    <cellStyle name="Comma 2 72" xfId="603" xr:uid="{00000000-0005-0000-0000-000093010000}"/>
    <cellStyle name="Comma 2 72 2" xfId="1321" xr:uid="{00000000-0005-0000-0000-000094010000}"/>
    <cellStyle name="Comma 2 72 2 2" xfId="2769" xr:uid="{81C9430C-C6DA-4FD5-BC62-D701EB3E8773}"/>
    <cellStyle name="Comma 2 72 2 2 2" xfId="5625" xr:uid="{7A2F7085-264F-4863-88F9-09A9412B9BC5}"/>
    <cellStyle name="Comma 2 72 2 3" xfId="4207" xr:uid="{901E45AB-CB55-4601-BDE4-0A8B53975459}"/>
    <cellStyle name="Comma 2 72 3" xfId="2124" xr:uid="{B5B5E062-ED38-45E1-9FE1-56B79CB8CC8B}"/>
    <cellStyle name="Comma 2 72 3 2" xfId="4984" xr:uid="{C73730AD-9E8F-4157-82EF-65E13F0CF547}"/>
    <cellStyle name="Comma 2 72 4" xfId="3568" xr:uid="{908542B9-63E8-4E2E-903C-ED1850DD6CE4}"/>
    <cellStyle name="Comma 2 73" xfId="609" xr:uid="{00000000-0005-0000-0000-000095010000}"/>
    <cellStyle name="Comma 2 73 2" xfId="1327" xr:uid="{00000000-0005-0000-0000-000096010000}"/>
    <cellStyle name="Comma 2 73 2 2" xfId="2775" xr:uid="{91CAE655-E35A-4102-856E-01600CCEE76B}"/>
    <cellStyle name="Comma 2 73 2 2 2" xfId="5631" xr:uid="{DA344A70-6985-46C3-B27C-67D23BDA282B}"/>
    <cellStyle name="Comma 2 73 2 3" xfId="4213" xr:uid="{15F79AE1-AFC0-4BE3-AF99-928AB245E08B}"/>
    <cellStyle name="Comma 2 73 3" xfId="2130" xr:uid="{42AF897E-CBF9-40AA-B34F-580BE0B0549D}"/>
    <cellStyle name="Comma 2 73 3 2" xfId="4990" xr:uid="{C3370664-01AE-422C-86B6-D0630AD4515A}"/>
    <cellStyle name="Comma 2 73 4" xfId="3574" xr:uid="{3DF507C8-46F6-43EF-9FDC-31B02EAF7343}"/>
    <cellStyle name="Comma 2 74" xfId="673" xr:uid="{00000000-0005-0000-0000-000097010000}"/>
    <cellStyle name="Comma 2 74 2" xfId="1370" xr:uid="{00000000-0005-0000-0000-000098010000}"/>
    <cellStyle name="Comma 2 74 2 2" xfId="2818" xr:uid="{7A9C25A8-342D-4C2C-9AB0-563F45B2A189}"/>
    <cellStyle name="Comma 2 74 2 2 2" xfId="5673" xr:uid="{F656F6ED-7637-40F0-A7C1-5E5278C23302}"/>
    <cellStyle name="Comma 2 74 2 3" xfId="4255" xr:uid="{102FAF7E-2A60-42AF-982E-AFB414430AE8}"/>
    <cellStyle name="Comma 2 74 3" xfId="2174" xr:uid="{2BAB5070-097C-42A6-86AA-252A6D06B025}"/>
    <cellStyle name="Comma 2 74 3 2" xfId="5034" xr:uid="{2CFF5871-CEB6-4865-A6CB-0442E2A8B395}"/>
    <cellStyle name="Comma 2 74 4" xfId="3618" xr:uid="{FB2502A9-A3DC-4916-AF4E-F5E7CC7E516A}"/>
    <cellStyle name="Comma 2 75" xfId="722" xr:uid="{00000000-0005-0000-0000-000099010000}"/>
    <cellStyle name="Comma 2 75 2" xfId="1401" xr:uid="{00000000-0005-0000-0000-00009A010000}"/>
    <cellStyle name="Comma 2 75 2 2" xfId="2848" xr:uid="{1FE0B3FB-3EDE-4750-9315-89193D9B0AC2}"/>
    <cellStyle name="Comma 2 75 2 2 2" xfId="5703" xr:uid="{DDD70E8A-23C5-41B3-BDF2-3F06EFD46547}"/>
    <cellStyle name="Comma 2 75 2 3" xfId="4285" xr:uid="{8D7DE33B-E2BB-4D20-8F4A-B3C3709338A2}"/>
    <cellStyle name="Comma 2 75 3" xfId="2208" xr:uid="{15303B7D-30E8-4CEA-9058-69A36E3B6EE8}"/>
    <cellStyle name="Comma 2 75 3 2" xfId="5064" xr:uid="{7E91A6A6-2AFF-446D-A6C8-6450655CC279}"/>
    <cellStyle name="Comma 2 75 4" xfId="3648" xr:uid="{F7CAF45F-D048-4528-9ED5-AA2BD80B0EF3}"/>
    <cellStyle name="Comma 2 76" xfId="5999" xr:uid="{9BA8F430-83A5-402B-96B2-68AA83445AAA}"/>
    <cellStyle name="Comma 2 8" xfId="97" xr:uid="{00000000-0005-0000-0000-00009B010000}"/>
    <cellStyle name="Comma 2 8 2" xfId="823" xr:uid="{00000000-0005-0000-0000-00009C010000}"/>
    <cellStyle name="Comma 2 8 2 2" xfId="2273" xr:uid="{62382011-CCE5-4788-A502-7ACC2EA4DD83}"/>
    <cellStyle name="Comma 2 8 2 2 2" xfId="5129" xr:uid="{7579D985-1F05-49B1-A946-ACDACF3FBE68}"/>
    <cellStyle name="Comma 2 8 2 3" xfId="3711" xr:uid="{3E86009E-4C9D-4D14-BF48-562F5C3E2E61}"/>
    <cellStyle name="Comma 2 8 3" xfId="1626" xr:uid="{9A9350D7-FAF7-4440-AC8D-29D187D52F6C}"/>
    <cellStyle name="Comma 2 8 3 2" xfId="4486" xr:uid="{DC7D6A9E-F94A-4BD5-A5A5-DCAFC32BB256}"/>
    <cellStyle name="Comma 2 8 4" xfId="3070" xr:uid="{331D82FA-E8EB-4687-BFDD-ABE1F24545A7}"/>
    <cellStyle name="Comma 2 9" xfId="106" xr:uid="{00000000-0005-0000-0000-00009D010000}"/>
    <cellStyle name="Comma 2 9 2" xfId="832" xr:uid="{00000000-0005-0000-0000-00009E010000}"/>
    <cellStyle name="Comma 2 9 2 2" xfId="2281" xr:uid="{FE735891-BDC0-485B-AC64-1F766906ED16}"/>
    <cellStyle name="Comma 2 9 2 2 2" xfId="5137" xr:uid="{3B5323BE-8CEE-4DE7-A381-DF7AB61849C0}"/>
    <cellStyle name="Comma 2 9 2 3" xfId="3719" xr:uid="{F2D4103B-22E6-4DFC-99E0-CB5EF8ADA5D4}"/>
    <cellStyle name="Comma 2 9 3" xfId="1634" xr:uid="{BB51A67C-4B0F-4733-A30D-AFE1D65F2795}"/>
    <cellStyle name="Comma 2 9 3 2" xfId="4494" xr:uid="{12FA9431-81CE-4610-ADB3-FF957C506B6F}"/>
    <cellStyle name="Comma 2 9 4" xfId="3078" xr:uid="{D5D0D10C-B393-4E07-92B0-93FBA7AFB02F}"/>
    <cellStyle name="Comma 20" xfId="104" xr:uid="{00000000-0005-0000-0000-00009F010000}"/>
    <cellStyle name="Comma 20 2" xfId="830" xr:uid="{00000000-0005-0000-0000-0000A0010000}"/>
    <cellStyle name="Comma 20 2 2" xfId="2279" xr:uid="{882018A3-BF4B-437C-93C0-622F0961CC7E}"/>
    <cellStyle name="Comma 20 2 2 2" xfId="5135" xr:uid="{28B64092-F3DD-4E1A-ACA4-EF510E3C35B4}"/>
    <cellStyle name="Comma 20 2 3" xfId="3717" xr:uid="{E0A1D189-DAA6-41E4-81DA-F8B3735C3212}"/>
    <cellStyle name="Comma 20 3" xfId="1632" xr:uid="{50A24F4E-FD3F-4695-AE7B-51C83CD806D7}"/>
    <cellStyle name="Comma 20 3 2" xfId="4492" xr:uid="{F2098751-C29B-4851-9F8B-30AD4C3C46BF}"/>
    <cellStyle name="Comma 20 4" xfId="3076" xr:uid="{3D38D228-22B4-4867-8292-F9F9F4924D06}"/>
    <cellStyle name="Comma 21" xfId="120" xr:uid="{00000000-0005-0000-0000-0000A1010000}"/>
    <cellStyle name="Comma 21 2" xfId="846" xr:uid="{00000000-0005-0000-0000-0000A2010000}"/>
    <cellStyle name="Comma 21 2 2" xfId="2295" xr:uid="{6A905306-BF54-4DC6-8FC4-A03453F7F786}"/>
    <cellStyle name="Comma 21 2 2 2" xfId="5151" xr:uid="{AE31AB46-1D6F-41EE-8256-74D92CE6CB90}"/>
    <cellStyle name="Comma 21 2 3" xfId="3733" xr:uid="{34B10C55-3A3F-45DB-A8E6-8F2A803CAA34}"/>
    <cellStyle name="Comma 21 3" xfId="1648" xr:uid="{14075123-1BD3-41B1-AC4E-523CB48C02AD}"/>
    <cellStyle name="Comma 21 3 2" xfId="4508" xr:uid="{B28E7C6F-168E-4658-840E-0B2B4906602C}"/>
    <cellStyle name="Comma 21 4" xfId="3092" xr:uid="{F49D63A1-3761-4D58-8101-F13DF595EB96}"/>
    <cellStyle name="Comma 22" xfId="128" xr:uid="{00000000-0005-0000-0000-0000A3010000}"/>
    <cellStyle name="Comma 22 2" xfId="854" xr:uid="{00000000-0005-0000-0000-0000A4010000}"/>
    <cellStyle name="Comma 22 2 2" xfId="2302" xr:uid="{1E2660B4-F66B-45B1-8845-6D84D41637F1}"/>
    <cellStyle name="Comma 22 2 2 2" xfId="5158" xr:uid="{970BB879-13C4-4223-8DF9-6B03EA0F6C96}"/>
    <cellStyle name="Comma 22 2 3" xfId="3740" xr:uid="{ED786FE0-95B9-49C0-ABDF-B672B56C5D8C}"/>
    <cellStyle name="Comma 22 3" xfId="1655" xr:uid="{77A202BF-E6D2-4A6E-A8F1-E647472266C9}"/>
    <cellStyle name="Comma 22 3 2" xfId="4515" xr:uid="{6A7637C2-9A61-4897-9D51-5CC4FE69DEB5}"/>
    <cellStyle name="Comma 22 4" xfId="3099" xr:uid="{13CFA84D-1D0A-425D-8F66-0F3007DC67EC}"/>
    <cellStyle name="Comma 23" xfId="135" xr:uid="{00000000-0005-0000-0000-0000A5010000}"/>
    <cellStyle name="Comma 23 2" xfId="860" xr:uid="{00000000-0005-0000-0000-0000A6010000}"/>
    <cellStyle name="Comma 23 2 2" xfId="2308" xr:uid="{EFE2EDB0-3D93-421F-B5B7-E5555CD9E50E}"/>
    <cellStyle name="Comma 23 2 2 2" xfId="5164" xr:uid="{E075BDB0-8767-4C33-9414-F43F0E57E1E8}"/>
    <cellStyle name="Comma 23 2 3" xfId="3746" xr:uid="{BF2983E3-870E-466C-91A8-D1D5804B00DD}"/>
    <cellStyle name="Comma 23 3" xfId="1661" xr:uid="{EB3D6823-CC40-42DA-BB60-28803C103138}"/>
    <cellStyle name="Comma 23 3 2" xfId="4521" xr:uid="{717B23C9-66A1-4069-BCF6-684FA833EB68}"/>
    <cellStyle name="Comma 23 4" xfId="3105" xr:uid="{5D0B691D-916A-4696-97D9-27B668CA25B0}"/>
    <cellStyle name="Comma 24" xfId="136" xr:uid="{00000000-0005-0000-0000-0000A7010000}"/>
    <cellStyle name="Comma 24 2" xfId="861" xr:uid="{00000000-0005-0000-0000-0000A8010000}"/>
    <cellStyle name="Comma 24 2 2" xfId="2309" xr:uid="{6106868C-4B35-4097-AAF8-D5D2503BF7C3}"/>
    <cellStyle name="Comma 24 2 2 2" xfId="5165" xr:uid="{C661DC78-FDBB-4B32-9F3D-4F2400CCD22C}"/>
    <cellStyle name="Comma 24 2 3" xfId="3747" xr:uid="{51AE6FFF-931E-487D-AC0C-AF4E692729BA}"/>
    <cellStyle name="Comma 24 3" xfId="1662" xr:uid="{197A7F4A-09FD-46AC-B6EA-2599C3DDB261}"/>
    <cellStyle name="Comma 24 3 2" xfId="4522" xr:uid="{43E4D50E-794A-42F3-84E4-D51CB2DCA3F0}"/>
    <cellStyle name="Comma 24 4" xfId="3106" xr:uid="{FF70C4A3-68E4-4469-9DE3-1FC0B69481E8}"/>
    <cellStyle name="Comma 25" xfId="139" xr:uid="{00000000-0005-0000-0000-0000A9010000}"/>
    <cellStyle name="Comma 25 2" xfId="864" xr:uid="{00000000-0005-0000-0000-0000AA010000}"/>
    <cellStyle name="Comma 25 2 2" xfId="2312" xr:uid="{1DF4DE95-B76D-479B-98F2-C1836B1EC12D}"/>
    <cellStyle name="Comma 25 2 2 2" xfId="5168" xr:uid="{C7362165-6F99-452C-9CC6-29B4D1853849}"/>
    <cellStyle name="Comma 25 2 3" xfId="3750" xr:uid="{314E964E-F741-4AC4-BEE8-3C4786A643E9}"/>
    <cellStyle name="Comma 25 3" xfId="1665" xr:uid="{2E25BC08-DC80-4976-AB8F-86D1D8BCB5D5}"/>
    <cellStyle name="Comma 25 3 2" xfId="4525" xr:uid="{2AD46684-116D-4183-B243-987BA341DC93}"/>
    <cellStyle name="Comma 25 4" xfId="3109" xr:uid="{9C5DF74D-0511-4850-9077-2D672DA3CBFD}"/>
    <cellStyle name="Comma 26" xfId="145" xr:uid="{00000000-0005-0000-0000-0000AB010000}"/>
    <cellStyle name="Comma 26 2" xfId="870" xr:uid="{00000000-0005-0000-0000-0000AC010000}"/>
    <cellStyle name="Comma 26 2 2" xfId="2318" xr:uid="{8E3EBD2C-8B12-432E-847A-6657B50E4519}"/>
    <cellStyle name="Comma 26 2 2 2" xfId="5174" xr:uid="{EA43C91A-383D-4E4C-9C9A-7687A9BD28DB}"/>
    <cellStyle name="Comma 26 2 3" xfId="3756" xr:uid="{7D190071-3F48-43D2-B9B5-A10D05D3120C}"/>
    <cellStyle name="Comma 26 3" xfId="1671" xr:uid="{7DA8A9CC-3D5C-4E1D-8C05-B0D22A332561}"/>
    <cellStyle name="Comma 26 3 2" xfId="4531" xr:uid="{77CD7658-DC9C-468B-BB3C-1CCA827DC93D}"/>
    <cellStyle name="Comma 26 4" xfId="3115" xr:uid="{1D2D3284-A41E-4836-B8F1-1D5E194D1DAB}"/>
    <cellStyle name="Comma 27" xfId="150" xr:uid="{00000000-0005-0000-0000-0000AD010000}"/>
    <cellStyle name="Comma 28" xfId="152" xr:uid="{00000000-0005-0000-0000-0000AE010000}"/>
    <cellStyle name="Comma 28 2" xfId="876" xr:uid="{00000000-0005-0000-0000-0000AF010000}"/>
    <cellStyle name="Comma 28 2 2" xfId="2324" xr:uid="{71863479-F213-47D1-9314-50213447122C}"/>
    <cellStyle name="Comma 28 2 2 2" xfId="5180" xr:uid="{EECBF4F3-A76B-471D-842D-529335C5AE9E}"/>
    <cellStyle name="Comma 28 2 3" xfId="3762" xr:uid="{3FE824EB-1C68-4567-BA75-230BCFD28208}"/>
    <cellStyle name="Comma 28 3" xfId="1677" xr:uid="{B8B9D54D-CA0F-47A3-8DE2-221611AAC375}"/>
    <cellStyle name="Comma 28 3 2" xfId="4537" xr:uid="{F835C56E-146B-4702-9FE1-AF3E4D257017}"/>
    <cellStyle name="Comma 28 4" xfId="3121" xr:uid="{D0AA19A1-CB20-4C04-84B3-0C6AF7759D54}"/>
    <cellStyle name="Comma 29" xfId="160" xr:uid="{00000000-0005-0000-0000-0000B0010000}"/>
    <cellStyle name="Comma 29 2" xfId="883" xr:uid="{00000000-0005-0000-0000-0000B1010000}"/>
    <cellStyle name="Comma 29 2 2" xfId="2331" xr:uid="{A8C64832-2873-442A-B595-D5A5B88FBA2D}"/>
    <cellStyle name="Comma 29 2 2 2" xfId="5187" xr:uid="{852DF316-08C7-4F7D-9841-E7BB26C09B50}"/>
    <cellStyle name="Comma 29 2 3" xfId="3769" xr:uid="{BB07C8DB-60A1-41B8-8C51-B069637A49D4}"/>
    <cellStyle name="Comma 29 3" xfId="1684" xr:uid="{8384F128-7651-4827-B318-8447286C9700}"/>
    <cellStyle name="Comma 29 3 2" xfId="4544" xr:uid="{394BCC82-9519-4764-9FC5-9DF7D39AA828}"/>
    <cellStyle name="Comma 29 4" xfId="3128" xr:uid="{C1B7C5A0-9C02-40FD-84EB-56DB38D32E4E}"/>
    <cellStyle name="Comma 3" xfId="5" xr:uid="{00000000-0005-0000-0000-0000B2010000}"/>
    <cellStyle name="Comma 3 2" xfId="6" xr:uid="{00000000-0005-0000-0000-0000B3010000}"/>
    <cellStyle name="Comma 3 3" xfId="31" xr:uid="{00000000-0005-0000-0000-0000B4010000}"/>
    <cellStyle name="Comma 3 3 2" xfId="772" xr:uid="{00000000-0005-0000-0000-0000B5010000}"/>
    <cellStyle name="Comma 3 4" xfId="58" xr:uid="{00000000-0005-0000-0000-0000B6010000}"/>
    <cellStyle name="Comma 3 5" xfId="651" xr:uid="{00000000-0005-0000-0000-0000B7010000}"/>
    <cellStyle name="Comma 3 6" xfId="672" xr:uid="{00000000-0005-0000-0000-0000B8010000}"/>
    <cellStyle name="Comma 30" xfId="170" xr:uid="{00000000-0005-0000-0000-0000B9010000}"/>
    <cellStyle name="Comma 30 2" xfId="892" xr:uid="{00000000-0005-0000-0000-0000BA010000}"/>
    <cellStyle name="Comma 30 2 2" xfId="2340" xr:uid="{0DFE5808-A415-43DD-BDFC-F3874ADE61C9}"/>
    <cellStyle name="Comma 30 2 2 2" xfId="5196" xr:uid="{7247ABEB-B53E-42DB-8632-9FD163B77630}"/>
    <cellStyle name="Comma 30 2 3" xfId="3778" xr:uid="{4B92B52F-8A1F-4047-A08B-636F8FA4F341}"/>
    <cellStyle name="Comma 30 3" xfId="1693" xr:uid="{2ABA840A-43FC-4D99-BC2E-401D43E08139}"/>
    <cellStyle name="Comma 30 3 2" xfId="4553" xr:uid="{CAD91F1F-41A8-4E4A-8136-A25806B6EA1A}"/>
    <cellStyle name="Comma 30 4" xfId="3137" xr:uid="{FE0490C7-CE0A-49D3-B530-6D177ED2ECD4}"/>
    <cellStyle name="Comma 31" xfId="172" xr:uid="{00000000-0005-0000-0000-0000BB010000}"/>
    <cellStyle name="Comma 31 2" xfId="894" xr:uid="{00000000-0005-0000-0000-0000BC010000}"/>
    <cellStyle name="Comma 31 2 2" xfId="2342" xr:uid="{8810BF35-A015-43CF-A88F-A00987EE16CF}"/>
    <cellStyle name="Comma 31 2 2 2" xfId="5198" xr:uid="{77EB8FB7-DE1F-4958-B4BA-C6CDD97B4258}"/>
    <cellStyle name="Comma 31 2 3" xfId="3780" xr:uid="{24601CF6-D992-432A-90EC-3F8C3B9833C0}"/>
    <cellStyle name="Comma 31 3" xfId="1695" xr:uid="{6783FD96-FEE6-45DE-A231-1389A69DB610}"/>
    <cellStyle name="Comma 31 3 2" xfId="4555" xr:uid="{BEA11D6E-3A6B-430C-AA85-1E6476679334}"/>
    <cellStyle name="Comma 31 4" xfId="3139" xr:uid="{26091FD2-D310-4E64-8599-366328EAA2FB}"/>
    <cellStyle name="Comma 32" xfId="175" xr:uid="{00000000-0005-0000-0000-0000BD010000}"/>
    <cellStyle name="Comma 32 2" xfId="897" xr:uid="{00000000-0005-0000-0000-0000BE010000}"/>
    <cellStyle name="Comma 32 2 2" xfId="2345" xr:uid="{A1C1B6AF-614C-45FE-8A26-976989ECBB97}"/>
    <cellStyle name="Comma 32 2 2 2" xfId="5201" xr:uid="{9905B6B0-75A5-441F-BE33-064D5C7841D8}"/>
    <cellStyle name="Comma 32 2 3" xfId="3783" xr:uid="{135487F9-4BB4-4CEF-AFBF-6290D2EB1243}"/>
    <cellStyle name="Comma 32 3" xfId="1698" xr:uid="{02D6DC9C-E0AC-47DE-AC6A-836D88B0E3F9}"/>
    <cellStyle name="Comma 32 3 2" xfId="4558" xr:uid="{F79C259D-835A-458F-A987-78398428B6AF}"/>
    <cellStyle name="Comma 32 4" xfId="3142" xr:uid="{A40D5C26-7E78-4FF7-B00C-E3F50D6C708C}"/>
    <cellStyle name="Comma 33" xfId="186" xr:uid="{00000000-0005-0000-0000-0000BF010000}"/>
    <cellStyle name="Comma 33 2" xfId="908" xr:uid="{00000000-0005-0000-0000-0000C0010000}"/>
    <cellStyle name="Comma 33 2 2" xfId="2356" xr:uid="{F648C3F7-FAFC-4F05-9EB3-1CC2155458DC}"/>
    <cellStyle name="Comma 33 2 2 2" xfId="5212" xr:uid="{C62F1748-9871-406C-9D7D-950891D56244}"/>
    <cellStyle name="Comma 33 2 3" xfId="3794" xr:uid="{5E3CDCB1-64D4-44F9-9563-6949038B820B}"/>
    <cellStyle name="Comma 33 3" xfId="1709" xr:uid="{0D63C37E-9FA7-4B66-8DDA-B1E6A58C7537}"/>
    <cellStyle name="Comma 33 3 2" xfId="4569" xr:uid="{1DFBA1F4-4991-43E2-9962-ACA092625961}"/>
    <cellStyle name="Comma 33 4" xfId="3153" xr:uid="{FA9FCBAF-6304-4A58-9F66-8B3505A38C19}"/>
    <cellStyle name="Comma 34" xfId="197" xr:uid="{00000000-0005-0000-0000-0000C1010000}"/>
    <cellStyle name="Comma 34 2" xfId="919" xr:uid="{00000000-0005-0000-0000-0000C2010000}"/>
    <cellStyle name="Comma 34 2 2" xfId="2367" xr:uid="{092FE509-F7E3-4D43-A574-15C854364F5D}"/>
    <cellStyle name="Comma 34 2 2 2" xfId="5223" xr:uid="{7D754A0A-7FE9-4CF2-B3AF-F5554ADBA1A1}"/>
    <cellStyle name="Comma 34 2 3" xfId="3805" xr:uid="{BC614428-2832-408A-8D9E-4B707F996672}"/>
    <cellStyle name="Comma 34 3" xfId="1720" xr:uid="{BD817B6E-4A9E-4DBF-8D63-8E79E77EDC08}"/>
    <cellStyle name="Comma 34 3 2" xfId="4580" xr:uid="{0530D926-97FF-48CB-848B-05328BC6D71C}"/>
    <cellStyle name="Comma 34 4" xfId="3164" xr:uid="{DCAEE90D-DCF1-4176-9D6A-4F7EA8A8016B}"/>
    <cellStyle name="Comma 35" xfId="199" xr:uid="{00000000-0005-0000-0000-0000C3010000}"/>
    <cellStyle name="Comma 35 2" xfId="921" xr:uid="{00000000-0005-0000-0000-0000C4010000}"/>
    <cellStyle name="Comma 35 2 2" xfId="2369" xr:uid="{3533D8F7-35B8-4C97-A35D-1DE1C68A3470}"/>
    <cellStyle name="Comma 35 2 2 2" xfId="5225" xr:uid="{4E711A9E-0C75-4231-9B8A-5E494D13AB09}"/>
    <cellStyle name="Comma 35 2 3" xfId="3807" xr:uid="{AD099C28-1081-4E80-9F1F-ADE09C919A74}"/>
    <cellStyle name="Comma 35 3" xfId="1722" xr:uid="{22875F30-4ABC-4167-B67E-1782E2533B98}"/>
    <cellStyle name="Comma 35 3 2" xfId="4582" xr:uid="{130FFF70-2AAB-44A5-AC31-FEEEA30B667C}"/>
    <cellStyle name="Comma 35 4" xfId="3166" xr:uid="{61C1E5C9-6CF4-47D9-8144-4704D9526010}"/>
    <cellStyle name="Comma 36" xfId="202" xr:uid="{00000000-0005-0000-0000-0000C5010000}"/>
    <cellStyle name="Comma 36 2" xfId="924" xr:uid="{00000000-0005-0000-0000-0000C6010000}"/>
    <cellStyle name="Comma 36 2 2" xfId="2372" xr:uid="{62C20D38-0B96-4D17-A713-2BD031DA1ED0}"/>
    <cellStyle name="Comma 36 2 2 2" xfId="5228" xr:uid="{C28F9901-D086-47B5-B5C7-3C6EA9535734}"/>
    <cellStyle name="Comma 36 2 3" xfId="3810" xr:uid="{F1C6AEF4-49F9-49F5-9A10-F3F61FE550CC}"/>
    <cellStyle name="Comma 36 3" xfId="1725" xr:uid="{0FE9A4D8-D7A9-4119-AE12-FB44636399AE}"/>
    <cellStyle name="Comma 36 3 2" xfId="4585" xr:uid="{BF6E5EA0-18A9-4D3C-A8CE-22F689B46F64}"/>
    <cellStyle name="Comma 36 4" xfId="3169" xr:uid="{3C61829A-E8B5-4964-BD5E-93EEDDFDD32F}"/>
    <cellStyle name="Comma 37" xfId="211" xr:uid="{00000000-0005-0000-0000-0000C7010000}"/>
    <cellStyle name="Comma 37 2" xfId="933" xr:uid="{00000000-0005-0000-0000-0000C8010000}"/>
    <cellStyle name="Comma 37 2 2" xfId="2381" xr:uid="{AAEA6175-941E-4783-A4F7-72DE39738F32}"/>
    <cellStyle name="Comma 37 2 2 2" xfId="5237" xr:uid="{9988926B-3D78-4036-A850-CA5C34A43C96}"/>
    <cellStyle name="Comma 37 2 3" xfId="3819" xr:uid="{F85635E7-2AE9-4325-BC2B-D3EA299323E7}"/>
    <cellStyle name="Comma 37 3" xfId="1734" xr:uid="{D45042E9-770A-4CF1-B239-7D667A40C302}"/>
    <cellStyle name="Comma 37 3 2" xfId="4594" xr:uid="{BCF47A05-BE4F-4500-A25A-9EEDEFE02839}"/>
    <cellStyle name="Comma 37 4" xfId="3178" xr:uid="{B84BA48B-2973-4B96-A347-C1954543DA07}"/>
    <cellStyle name="Comma 38" xfId="213" xr:uid="{00000000-0005-0000-0000-0000C9010000}"/>
    <cellStyle name="Comma 38 2" xfId="935" xr:uid="{00000000-0005-0000-0000-0000CA010000}"/>
    <cellStyle name="Comma 38 2 2" xfId="2383" xr:uid="{2D632C02-F3B5-4E5A-8DCC-334925459584}"/>
    <cellStyle name="Comma 38 2 2 2" xfId="5239" xr:uid="{B83B488F-148F-46E7-8C60-691ADCC019C3}"/>
    <cellStyle name="Comma 38 2 3" xfId="3821" xr:uid="{82C2B32A-6C0E-4646-A4A7-11016AAFD668}"/>
    <cellStyle name="Comma 38 3" xfId="1736" xr:uid="{7C5E5F9B-AAD5-4BF4-BB2D-986E95873EA2}"/>
    <cellStyle name="Comma 38 3 2" xfId="4596" xr:uid="{E1F0275A-3C21-4159-9B43-BEF87C1FECD5}"/>
    <cellStyle name="Comma 38 4" xfId="3180" xr:uid="{A3AB27C5-6B3C-4DF2-BFD1-C2F1E6D45EF7}"/>
    <cellStyle name="Comma 39" xfId="216" xr:uid="{00000000-0005-0000-0000-0000CB010000}"/>
    <cellStyle name="Comma 39 2" xfId="938" xr:uid="{00000000-0005-0000-0000-0000CC010000}"/>
    <cellStyle name="Comma 39 2 2" xfId="2386" xr:uid="{50C429DE-9823-4E63-AFD0-09B3119F69A3}"/>
    <cellStyle name="Comma 39 2 2 2" xfId="5242" xr:uid="{3505F869-B397-4C63-8381-09BDC6130770}"/>
    <cellStyle name="Comma 39 2 3" xfId="3824" xr:uid="{4F871021-A17B-4971-B7F7-A0304FC85DCF}"/>
    <cellStyle name="Comma 39 3" xfId="1739" xr:uid="{74DA09A6-AB1E-487D-9C64-33B3FB4C3DCE}"/>
    <cellStyle name="Comma 39 3 2" xfId="4599" xr:uid="{DFE68230-5917-454C-899B-C1EAC2B39DC3}"/>
    <cellStyle name="Comma 39 4" xfId="3183" xr:uid="{7F13496F-57BC-448C-A7CC-B3AA5AD85F45}"/>
    <cellStyle name="Comma 4" xfId="28" xr:uid="{00000000-0005-0000-0000-0000CD010000}"/>
    <cellStyle name="Comma 4 2" xfId="661" xr:uid="{00000000-0005-0000-0000-0000CE010000}"/>
    <cellStyle name="Comma 4 2 2" xfId="6011" xr:uid="{B6CB7FD7-7CF0-47D9-8F78-60B00BE1FD02}"/>
    <cellStyle name="Comma 4 2 3" xfId="6030" xr:uid="{C96ECCBF-35D6-46DC-A6ED-DE53AA4E24CB}"/>
    <cellStyle name="Comma 4 3" xfId="770" xr:uid="{00000000-0005-0000-0000-0000CF010000}"/>
    <cellStyle name="Comma 4 3 2" xfId="2224" xr:uid="{527AED45-7579-471C-94F2-3F1FDC07C81E}"/>
    <cellStyle name="Comma 4 3 2 2" xfId="5080" xr:uid="{B7E618AE-6C02-448C-99E7-EFEE26A932F6}"/>
    <cellStyle name="Comma 4 3 3" xfId="3661" xr:uid="{508AB8AD-8B5E-4283-BD82-9FA75F6B8440}"/>
    <cellStyle name="Comma 4 3 4" xfId="6013" xr:uid="{B28BCD85-E436-4AA9-8709-24FEA8B6AD36}"/>
    <cellStyle name="Comma 4 3 5" xfId="6027" xr:uid="{D9E77DC7-5865-4F83-B17E-4F2F57E8E6D3}"/>
    <cellStyle name="Comma 4 4" xfId="1576" xr:uid="{4B2129E2-C298-4872-A558-06A87E365424}"/>
    <cellStyle name="Comma 4 4 2" xfId="4436" xr:uid="{A005FA52-E834-4F65-9A04-4B26B6BA98D8}"/>
    <cellStyle name="Comma 4 5" xfId="3021" xr:uid="{CFC34122-5354-4B5E-B5FB-D175DC2DFCE1}"/>
    <cellStyle name="Comma 4 6" xfId="5927" xr:uid="{7D5C31AB-A0F6-4F6D-BDFC-F46671C00EAD}"/>
    <cellStyle name="Comma 40" xfId="223" xr:uid="{00000000-0005-0000-0000-0000D0010000}"/>
    <cellStyle name="Comma 40 2" xfId="945" xr:uid="{00000000-0005-0000-0000-0000D1010000}"/>
    <cellStyle name="Comma 40 2 2" xfId="2393" xr:uid="{D8CE3976-BAF6-4538-9138-E2890CF0A845}"/>
    <cellStyle name="Comma 40 2 2 2" xfId="5249" xr:uid="{781CF745-51F1-47AC-A385-70331B71A82F}"/>
    <cellStyle name="Comma 40 2 3" xfId="3831" xr:uid="{0E70AC5C-C20B-4093-AA84-4747D67F0F81}"/>
    <cellStyle name="Comma 40 3" xfId="1746" xr:uid="{C8F98766-258B-425F-BE18-924E741AB2B0}"/>
    <cellStyle name="Comma 40 3 2" xfId="4606" xr:uid="{D7C2635A-B057-45D1-AB2A-4E3C409A7D48}"/>
    <cellStyle name="Comma 40 4" xfId="3190" xr:uid="{628C8B3D-87DA-4B14-A5F5-F3EFBF7B8862}"/>
    <cellStyle name="Comma 41" xfId="226" xr:uid="{00000000-0005-0000-0000-0000D2010000}"/>
    <cellStyle name="Comma 41 2" xfId="948" xr:uid="{00000000-0005-0000-0000-0000D3010000}"/>
    <cellStyle name="Comma 41 2 2" xfId="2396" xr:uid="{77AB347D-D1A4-41C4-949B-3F699E49A101}"/>
    <cellStyle name="Comma 41 2 2 2" xfId="5252" xr:uid="{30C13F0B-E4EA-46D3-82EF-A1AF615B5552}"/>
    <cellStyle name="Comma 41 2 3" xfId="3834" xr:uid="{E630DB8B-FDB9-4CE4-8705-6ACDA0C6E3C5}"/>
    <cellStyle name="Comma 41 3" xfId="1749" xr:uid="{2E2CE3A5-6B3F-4EC5-ACE2-22EEB43F6ABC}"/>
    <cellStyle name="Comma 41 3 2" xfId="4609" xr:uid="{2BD48A40-4A09-46EE-9690-EDD88E395726}"/>
    <cellStyle name="Comma 41 4" xfId="3193" xr:uid="{C76AB9D6-BC8E-4790-B702-6D11C9ED6F9B}"/>
    <cellStyle name="Comma 42" xfId="234" xr:uid="{00000000-0005-0000-0000-0000D4010000}"/>
    <cellStyle name="Comma 42 2" xfId="956" xr:uid="{00000000-0005-0000-0000-0000D5010000}"/>
    <cellStyle name="Comma 42 2 2" xfId="2404" xr:uid="{E256EBC5-F56D-489C-90DC-557768571F8C}"/>
    <cellStyle name="Comma 42 2 2 2" xfId="5260" xr:uid="{59E94581-CEE6-4664-9441-1DE7E6FEF1B8}"/>
    <cellStyle name="Comma 42 2 3" xfId="3842" xr:uid="{50A71AC7-0E56-4503-A650-BE7831999263}"/>
    <cellStyle name="Comma 42 3" xfId="1757" xr:uid="{89075873-E973-41ED-80A1-2F7659A9E62F}"/>
    <cellStyle name="Comma 42 3 2" xfId="4617" xr:uid="{6D574BD2-9CD7-4130-AB57-A6F1DDECA57D}"/>
    <cellStyle name="Comma 42 4" xfId="3201" xr:uid="{14C01713-D04A-40DE-A0BF-E906E7137DB2}"/>
    <cellStyle name="Comma 43" xfId="237" xr:uid="{00000000-0005-0000-0000-0000D6010000}"/>
    <cellStyle name="Comma 43 2" xfId="959" xr:uid="{00000000-0005-0000-0000-0000D7010000}"/>
    <cellStyle name="Comma 43 2 2" xfId="2407" xr:uid="{C0D15CCF-BAFF-4AF8-9868-79F6546F6732}"/>
    <cellStyle name="Comma 43 2 2 2" xfId="5263" xr:uid="{34DFEB19-E5C5-44A9-9201-EFFC9FCADD0C}"/>
    <cellStyle name="Comma 43 2 3" xfId="3845" xr:uid="{1B143DA8-602A-45E9-AB02-2E99E81AE456}"/>
    <cellStyle name="Comma 43 3" xfId="1760" xr:uid="{C5000B7C-22DA-46CD-8D60-B625B7A873D2}"/>
    <cellStyle name="Comma 43 3 2" xfId="4620" xr:uid="{909B7A76-57A5-46CF-8C98-1D2E24F35663}"/>
    <cellStyle name="Comma 43 4" xfId="3204" xr:uid="{D10FB1BC-DFA4-4C1E-A2FB-6773EBE05FD3}"/>
    <cellStyle name="Comma 44" xfId="240" xr:uid="{00000000-0005-0000-0000-0000D8010000}"/>
    <cellStyle name="Comma 44 2" xfId="962" xr:uid="{00000000-0005-0000-0000-0000D9010000}"/>
    <cellStyle name="Comma 44 2 2" xfId="2410" xr:uid="{3DAD98BA-8721-42B2-A60D-D9D456891188}"/>
    <cellStyle name="Comma 44 2 2 2" xfId="5266" xr:uid="{E95B9262-4C72-40D4-B8FC-384A7266F3A0}"/>
    <cellStyle name="Comma 44 2 3" xfId="3848" xr:uid="{E477CE02-55F2-4D83-8775-28CE4517FBE6}"/>
    <cellStyle name="Comma 44 3" xfId="1763" xr:uid="{B430174B-B448-44EB-BFF7-08475A09C2CE}"/>
    <cellStyle name="Comma 44 3 2" xfId="4623" xr:uid="{DC71686F-F089-4DE3-98A4-3499E575CF03}"/>
    <cellStyle name="Comma 44 4" xfId="3207" xr:uid="{AE4F6E72-786C-4884-A97A-C99B16F47C81}"/>
    <cellStyle name="Comma 45" xfId="246" xr:uid="{00000000-0005-0000-0000-0000DA010000}"/>
    <cellStyle name="Comma 45 2" xfId="968" xr:uid="{00000000-0005-0000-0000-0000DB010000}"/>
    <cellStyle name="Comma 45 2 2" xfId="2416" xr:uid="{27A80EA1-1893-4227-AA72-A16AE445C462}"/>
    <cellStyle name="Comma 45 2 2 2" xfId="5272" xr:uid="{4A941D05-FD5D-4BDE-8149-FAF87E00E04A}"/>
    <cellStyle name="Comma 45 2 3" xfId="3854" xr:uid="{12ADBF64-D26B-430F-B87E-5D322EB0516D}"/>
    <cellStyle name="Comma 45 3" xfId="1769" xr:uid="{1FFEA67F-0BE2-4E68-8EEB-33F3307C4FD5}"/>
    <cellStyle name="Comma 45 3 2" xfId="4629" xr:uid="{AC2AA33F-C546-44E7-B79B-AE79B4E87CEE}"/>
    <cellStyle name="Comma 45 4" xfId="3213" xr:uid="{C0F9B1E2-D6ED-4404-9C32-3DC758188741}"/>
    <cellStyle name="Comma 46" xfId="250" xr:uid="{00000000-0005-0000-0000-0000DC010000}"/>
    <cellStyle name="Comma 46 2" xfId="972" xr:uid="{00000000-0005-0000-0000-0000DD010000}"/>
    <cellStyle name="Comma 46 2 2" xfId="2420" xr:uid="{7251691E-E9B9-4EB8-8CC9-CE5B4B9373C2}"/>
    <cellStyle name="Comma 46 2 2 2" xfId="5276" xr:uid="{AFD6E25A-5437-4EBE-A962-4220673AE97A}"/>
    <cellStyle name="Comma 46 2 3" xfId="3858" xr:uid="{C6C8A5AC-7B0F-4987-AA2B-8A57098DBB7B}"/>
    <cellStyle name="Comma 46 3" xfId="1773" xr:uid="{0EE53A5D-F68F-4674-8641-66C59E5E4B96}"/>
    <cellStyle name="Comma 46 3 2" xfId="4633" xr:uid="{455E617B-BE53-4BB3-8D5A-76330B187138}"/>
    <cellStyle name="Comma 46 4" xfId="3217" xr:uid="{E3508452-1AD0-4238-B023-A2924D22B704}"/>
    <cellStyle name="Comma 47" xfId="252" xr:uid="{00000000-0005-0000-0000-0000DE010000}"/>
    <cellStyle name="Comma 47 2" xfId="974" xr:uid="{00000000-0005-0000-0000-0000DF010000}"/>
    <cellStyle name="Comma 47 2 2" xfId="2422" xr:uid="{9B26BF53-D334-42E0-B32B-A4E2678E2091}"/>
    <cellStyle name="Comma 47 2 2 2" xfId="5278" xr:uid="{BD38E636-242A-4965-B283-3F6ABFA49208}"/>
    <cellStyle name="Comma 47 2 3" xfId="3860" xr:uid="{A5DAE928-0464-4522-A7C0-483A903A2FF4}"/>
    <cellStyle name="Comma 47 3" xfId="1775" xr:uid="{E4B84B24-F1AC-48E3-8D99-A026E31B0EBD}"/>
    <cellStyle name="Comma 47 3 2" xfId="4635" xr:uid="{81B818E5-DE7B-4B5B-9A39-665DF672E9AB}"/>
    <cellStyle name="Comma 47 4" xfId="3219" xr:uid="{2D8B7CE1-B2B4-4B78-B083-523C788FCC04}"/>
    <cellStyle name="Comma 48" xfId="259" xr:uid="{00000000-0005-0000-0000-0000E0010000}"/>
    <cellStyle name="Comma 48 2" xfId="981" xr:uid="{00000000-0005-0000-0000-0000E1010000}"/>
    <cellStyle name="Comma 48 2 2" xfId="2429" xr:uid="{9748C99C-F163-440C-BB7B-3EDD5D4F21B8}"/>
    <cellStyle name="Comma 48 2 2 2" xfId="5285" xr:uid="{0BC7D8B3-676B-403F-93B7-86023310D62B}"/>
    <cellStyle name="Comma 48 2 3" xfId="3867" xr:uid="{1D42C0D8-6B46-48DA-8484-AEC22067DD6E}"/>
    <cellStyle name="Comma 48 3" xfId="1782" xr:uid="{9BA2AAD4-186C-48F6-9225-E67667BDC7D9}"/>
    <cellStyle name="Comma 48 3 2" xfId="4642" xr:uid="{FA3AF93C-6908-4BB3-BF05-97F8E3239CF3}"/>
    <cellStyle name="Comma 48 4" xfId="3226" xr:uid="{0CE8D3BD-2E82-4C53-9E27-1CE6AFF903D5}"/>
    <cellStyle name="Comma 49" xfId="262" xr:uid="{00000000-0005-0000-0000-0000E2010000}"/>
    <cellStyle name="Comma 49 2" xfId="984" xr:uid="{00000000-0005-0000-0000-0000E3010000}"/>
    <cellStyle name="Comma 49 2 2" xfId="2432" xr:uid="{96FAB3A7-FAD3-4197-969A-E5CE2DCF2B89}"/>
    <cellStyle name="Comma 49 2 2 2" xfId="5288" xr:uid="{019E1A12-4FA9-45DC-89EC-06D1FAC312B6}"/>
    <cellStyle name="Comma 49 2 3" xfId="3870" xr:uid="{A8363AD2-74AF-4E8F-938D-10844C4457E1}"/>
    <cellStyle name="Comma 49 3" xfId="1785" xr:uid="{A407E028-6D00-4FE8-9867-1088FD3447C1}"/>
    <cellStyle name="Comma 49 3 2" xfId="4645" xr:uid="{3A81B9B1-AE5F-420B-9C77-B27CBBCB14B5}"/>
    <cellStyle name="Comma 49 4" xfId="3229" xr:uid="{5F8704CB-C42F-4003-AC11-D54BB7359772}"/>
    <cellStyle name="Comma 5" xfId="47" xr:uid="{00000000-0005-0000-0000-0000E4010000}"/>
    <cellStyle name="Comma 5 2" xfId="780" xr:uid="{00000000-0005-0000-0000-0000E5010000}"/>
    <cellStyle name="Comma 5 2 2" xfId="2232" xr:uid="{01E3F5D9-562B-4EF7-9422-3D28305D9797}"/>
    <cellStyle name="Comma 5 2 2 2" xfId="5088" xr:uid="{FF830390-5865-4080-BCCD-1F5227FF88BF}"/>
    <cellStyle name="Comma 5 2 3" xfId="3670" xr:uid="{BCE872F8-1589-40ED-B7AE-B74C970ADCDE}"/>
    <cellStyle name="Comma 5 3" xfId="1584" xr:uid="{839B175C-6422-4A39-AF35-9435C24625F2}"/>
    <cellStyle name="Comma 5 3 2" xfId="4444" xr:uid="{EC66A807-E44F-43C2-9A14-A85C10922041}"/>
    <cellStyle name="Comma 5 4" xfId="3029" xr:uid="{9CE22FF7-C78E-48DA-9186-F205BBD4B2A7}"/>
    <cellStyle name="Comma 50" xfId="268" xr:uid="{00000000-0005-0000-0000-0000E6010000}"/>
    <cellStyle name="Comma 50 2" xfId="990" xr:uid="{00000000-0005-0000-0000-0000E7010000}"/>
    <cellStyle name="Comma 50 2 2" xfId="2438" xr:uid="{0DDE7F12-2B3B-4F8B-9BCA-F4D064626C7E}"/>
    <cellStyle name="Comma 50 2 2 2" xfId="5294" xr:uid="{8085C503-3187-42C8-B919-2F2DB68FDC6C}"/>
    <cellStyle name="Comma 50 2 3" xfId="3876" xr:uid="{9C6AF031-BBB9-46AA-922A-B16BB2C0C930}"/>
    <cellStyle name="Comma 50 3" xfId="1791" xr:uid="{C829356D-59AE-463E-AA07-89FAB58F5858}"/>
    <cellStyle name="Comma 50 3 2" xfId="4651" xr:uid="{F1B3562E-7153-436A-8DDF-9CD4F1D0DE35}"/>
    <cellStyle name="Comma 50 4" xfId="3235" xr:uid="{8E91BFC4-C24F-4A83-91F0-4BBAA73D0271}"/>
    <cellStyle name="Comma 51" xfId="270" xr:uid="{00000000-0005-0000-0000-0000E8010000}"/>
    <cellStyle name="Comma 51 2" xfId="992" xr:uid="{00000000-0005-0000-0000-0000E9010000}"/>
    <cellStyle name="Comma 51 2 2" xfId="2440" xr:uid="{6F0B5693-77F6-4EDA-808E-C9EEFBDC2BAB}"/>
    <cellStyle name="Comma 51 2 2 2" xfId="5296" xr:uid="{5BEE37AC-A1F1-492B-976A-404771F2B162}"/>
    <cellStyle name="Comma 51 2 3" xfId="3878" xr:uid="{410EC7B8-B1B0-455D-99C5-C024E2A44D07}"/>
    <cellStyle name="Comma 51 3" xfId="1793" xr:uid="{AC24DEBF-83B1-45D2-9869-B002F917FF93}"/>
    <cellStyle name="Comma 51 3 2" xfId="4653" xr:uid="{96808937-453F-4BAF-9F25-215D83582AC5}"/>
    <cellStyle name="Comma 51 4" xfId="3237" xr:uid="{99EC7B94-7D6D-4B2D-9A4D-23A3DA6420A2}"/>
    <cellStyle name="Comma 52" xfId="273" xr:uid="{00000000-0005-0000-0000-0000EA010000}"/>
    <cellStyle name="Comma 52 2" xfId="995" xr:uid="{00000000-0005-0000-0000-0000EB010000}"/>
    <cellStyle name="Comma 52 2 2" xfId="2443" xr:uid="{F0277250-09BD-4AA2-9261-E8FB495D8FF0}"/>
    <cellStyle name="Comma 52 2 2 2" xfId="5299" xr:uid="{DAE9F59F-3069-43F7-BB36-025379FAE042}"/>
    <cellStyle name="Comma 52 2 3" xfId="3881" xr:uid="{11BB6060-C09E-403A-943E-AE8D90F9F7DE}"/>
    <cellStyle name="Comma 52 3" xfId="1796" xr:uid="{E785E6A0-AE2A-4BF9-81CE-719B0101C81D}"/>
    <cellStyle name="Comma 52 3 2" xfId="4656" xr:uid="{3E185A05-EDAC-4CC1-8EC9-2FA5B6F1547B}"/>
    <cellStyle name="Comma 52 4" xfId="3240" xr:uid="{1D7A5BF1-35B6-4B2A-B70B-4640295FA88B}"/>
    <cellStyle name="Comma 53" xfId="276" xr:uid="{00000000-0005-0000-0000-0000EC010000}"/>
    <cellStyle name="Comma 53 2" xfId="998" xr:uid="{00000000-0005-0000-0000-0000ED010000}"/>
    <cellStyle name="Comma 53 2 2" xfId="2446" xr:uid="{34401A94-FD86-4EEC-BA0F-86BAB2D21D9E}"/>
    <cellStyle name="Comma 53 2 2 2" xfId="5302" xr:uid="{3D3B1C65-326F-4609-A162-772BAC09B131}"/>
    <cellStyle name="Comma 53 2 3" xfId="3884" xr:uid="{5024D781-3415-41C0-B435-3505C275659D}"/>
    <cellStyle name="Comma 53 3" xfId="1799" xr:uid="{F1DA9522-79B8-4007-9FE1-964FE3F33956}"/>
    <cellStyle name="Comma 53 3 2" xfId="4659" xr:uid="{C3BB43AA-3380-418A-B746-2FCB242E10AB}"/>
    <cellStyle name="Comma 53 4" xfId="3243" xr:uid="{F55A3398-D76E-4719-8BB3-00AECF4347A1}"/>
    <cellStyle name="Comma 54" xfId="278" xr:uid="{00000000-0005-0000-0000-0000EE010000}"/>
    <cellStyle name="Comma 54 2" xfId="1000" xr:uid="{00000000-0005-0000-0000-0000EF010000}"/>
    <cellStyle name="Comma 54 2 2" xfId="2448" xr:uid="{649039D5-15A8-4DE7-A3CA-130269543E9F}"/>
    <cellStyle name="Comma 54 2 2 2" xfId="5304" xr:uid="{A37CA0F7-B0E1-48B4-968F-8CC1ADB2EA1F}"/>
    <cellStyle name="Comma 54 2 3" xfId="3886" xr:uid="{439E343B-B714-49AA-B443-C5F0760E73BB}"/>
    <cellStyle name="Comma 54 3" xfId="1801" xr:uid="{1D2CE34B-06DB-4D73-8B5F-1FB252B7741A}"/>
    <cellStyle name="Comma 54 3 2" xfId="4661" xr:uid="{5BF04C3D-F109-4A83-B613-2DB6F20A8F88}"/>
    <cellStyle name="Comma 54 4" xfId="3245" xr:uid="{6EEAE0F8-2988-4283-8AC5-7CBC5A58A376}"/>
    <cellStyle name="Comma 55" xfId="286" xr:uid="{00000000-0005-0000-0000-0000F0010000}"/>
    <cellStyle name="Comma 55 2" xfId="1008" xr:uid="{00000000-0005-0000-0000-0000F1010000}"/>
    <cellStyle name="Comma 55 2 2" xfId="2456" xr:uid="{FD782FF8-1B66-439A-982C-967121266FC4}"/>
    <cellStyle name="Comma 55 2 2 2" xfId="5312" xr:uid="{BC44E7E2-E7D5-4A98-ABA8-16A5AEC50A57}"/>
    <cellStyle name="Comma 55 2 3" xfId="3894" xr:uid="{D5F11894-BDA9-4D84-B4CE-4041D931A1BD}"/>
    <cellStyle name="Comma 55 3" xfId="1809" xr:uid="{CE65DCD3-82D3-47BD-BB8A-EDDF72790AFE}"/>
    <cellStyle name="Comma 55 3 2" xfId="4669" xr:uid="{F0C97145-B3F4-4C0B-B80C-451C5276D37E}"/>
    <cellStyle name="Comma 55 4" xfId="3253" xr:uid="{AD309AA6-CF9F-48B1-8A8E-CC62017D5010}"/>
    <cellStyle name="Comma 56" xfId="288" xr:uid="{00000000-0005-0000-0000-0000F2010000}"/>
    <cellStyle name="Comma 56 2" xfId="1010" xr:uid="{00000000-0005-0000-0000-0000F3010000}"/>
    <cellStyle name="Comma 56 2 2" xfId="2458" xr:uid="{7B186766-C830-4516-810D-FC2C61684A6F}"/>
    <cellStyle name="Comma 56 2 2 2" xfId="5314" xr:uid="{3B925C7D-0FF7-437E-B7C8-1CEDB16B49ED}"/>
    <cellStyle name="Comma 56 2 3" xfId="3896" xr:uid="{AEF0271D-36CB-42B3-8B6D-6D91C4911858}"/>
    <cellStyle name="Comma 56 3" xfId="1811" xr:uid="{04E55213-2F03-4FBB-885F-2E277C1D169F}"/>
    <cellStyle name="Comma 56 3 2" xfId="4671" xr:uid="{278629FC-B36A-4D4D-A45A-3B4964D7C59B}"/>
    <cellStyle name="Comma 56 4" xfId="3255" xr:uid="{D4E98B03-5C58-413A-9E64-0C907B81E881}"/>
    <cellStyle name="Comma 57" xfId="291" xr:uid="{00000000-0005-0000-0000-0000F4010000}"/>
    <cellStyle name="Comma 57 2" xfId="1013" xr:uid="{00000000-0005-0000-0000-0000F5010000}"/>
    <cellStyle name="Comma 57 2 2" xfId="2461" xr:uid="{2B5E7E38-010F-406F-AA3E-3FCCD9E29945}"/>
    <cellStyle name="Comma 57 2 2 2" xfId="5317" xr:uid="{2300DC78-B102-4D42-8050-092337ABA965}"/>
    <cellStyle name="Comma 57 2 3" xfId="3899" xr:uid="{C0E9E1D7-9EDB-44D4-9A13-DF24B4711D9C}"/>
    <cellStyle name="Comma 57 3" xfId="1814" xr:uid="{CD90E712-FDDE-4CAA-A1F3-FA8DB0CB307D}"/>
    <cellStyle name="Comma 57 3 2" xfId="4674" xr:uid="{8F2EF3AA-E21A-4989-B1FB-0A590AF885AA}"/>
    <cellStyle name="Comma 57 4" xfId="3258" xr:uid="{95F9D5FA-2B28-4D51-AE1B-7548E8B63CA2}"/>
    <cellStyle name="Comma 58" xfId="293" xr:uid="{00000000-0005-0000-0000-0000F6010000}"/>
    <cellStyle name="Comma 58 2" xfId="450" xr:uid="{00000000-0005-0000-0000-0000F7010000}"/>
    <cellStyle name="Comma 58 2 2" xfId="617" xr:uid="{00000000-0005-0000-0000-0000F8010000}"/>
    <cellStyle name="Comma 58 2 2 2" xfId="704" xr:uid="{00000000-0005-0000-0000-0000F9010000}"/>
    <cellStyle name="Comma 58 2 2 2 2" xfId="1387" xr:uid="{00000000-0005-0000-0000-0000FA010000}"/>
    <cellStyle name="Comma 58 2 2 2 2 2" xfId="2834" xr:uid="{777975EE-F140-4DAD-A29D-14761C1FB746}"/>
    <cellStyle name="Comma 58 2 2 2 2 2 2" xfId="5689" xr:uid="{CCABDDBA-B045-42EB-A21C-A0ABDEA8CAB0}"/>
    <cellStyle name="Comma 58 2 2 2 2 3" xfId="4271" xr:uid="{F4BFC284-2166-43CD-8517-960608DD23F3}"/>
    <cellStyle name="Comma 58 2 2 2 3" xfId="1491" xr:uid="{00000000-0005-0000-0000-0000FB010000}"/>
    <cellStyle name="Comma 58 2 2 2 3 2" xfId="2919" xr:uid="{1F25AF8C-B1CA-4DEB-888A-672B56441CA7}"/>
    <cellStyle name="Comma 58 2 2 2 3 2 2" xfId="5773" xr:uid="{28D6C943-0082-4370-A445-9DBA26F2EB2B}"/>
    <cellStyle name="Comma 58 2 2 2 3 3" xfId="4352" xr:uid="{F367E8BC-3EFF-4E95-B50B-92AB66ED9785}"/>
    <cellStyle name="Comma 58 2 2 2 4" xfId="2192" xr:uid="{D4785AF4-7710-453B-A727-7A3928DC38B0}"/>
    <cellStyle name="Comma 58 2 2 2 4 2" xfId="5050" xr:uid="{021E6507-5D12-44E0-8F48-12674039D97A}"/>
    <cellStyle name="Comma 58 2 2 2 5" xfId="3634" xr:uid="{2E02AC98-A4A7-4FBA-8426-366797F91BB0}"/>
    <cellStyle name="Comma 58 2 2 3" xfId="1335" xr:uid="{00000000-0005-0000-0000-0000FC010000}"/>
    <cellStyle name="Comma 58 2 2 3 2" xfId="2783" xr:uid="{0C202E83-430C-4553-AFF2-CE504BCB0403}"/>
    <cellStyle name="Comma 58 2 2 3 2 2" xfId="5639" xr:uid="{532E50C4-9163-42C3-9ED4-7D9C7C1A9682}"/>
    <cellStyle name="Comma 58 2 2 3 3" xfId="4221" xr:uid="{3F29E09D-9F89-40B5-9F1F-B631937409B8}"/>
    <cellStyle name="Comma 58 2 2 4" xfId="2138" xr:uid="{590B3D27-3B3E-4276-A7CC-689FCEE1FB52}"/>
    <cellStyle name="Comma 58 2 2 4 2" xfId="4998" xr:uid="{9CAB7210-1B37-4F36-BD4F-5B7A1C285613}"/>
    <cellStyle name="Comma 58 2 2 5" xfId="3582" xr:uid="{0839970F-1A11-4DED-9F24-DF522C46D4C3}"/>
    <cellStyle name="Comma 58 2 3" xfId="1171" xr:uid="{00000000-0005-0000-0000-0000FD010000}"/>
    <cellStyle name="Comma 58 2 3 2" xfId="2619" xr:uid="{1FFCA444-1C95-41B1-BC7A-AFFC96D5882E}"/>
    <cellStyle name="Comma 58 2 3 2 2" xfId="5475" xr:uid="{C96E8B0A-8610-44E4-9765-65ED2EA898D2}"/>
    <cellStyle name="Comma 58 2 3 3" xfId="4057" xr:uid="{DEBF3117-D01B-4EAB-8AE9-59D3B7C9E311}"/>
    <cellStyle name="Comma 58 2 4" xfId="1973" xr:uid="{7EB1BD51-2F85-4ABC-9EE8-0F005AA77F76}"/>
    <cellStyle name="Comma 58 2 4 2" xfId="4833" xr:uid="{5B785852-9223-4576-AEA6-964F29652E17}"/>
    <cellStyle name="Comma 58 2 5" xfId="3417" xr:uid="{5B6B44CE-9563-44BF-84C4-303EF29A7D06}"/>
    <cellStyle name="Comma 58 3" xfId="1015" xr:uid="{00000000-0005-0000-0000-0000FE010000}"/>
    <cellStyle name="Comma 58 3 2" xfId="2463" xr:uid="{771FCD93-8569-4F84-BD89-4EFB364E4607}"/>
    <cellStyle name="Comma 58 3 2 2" xfId="5319" xr:uid="{FAE9FB37-1A71-49AE-921B-F0CC7CF843A4}"/>
    <cellStyle name="Comma 58 3 3" xfId="3901" xr:uid="{DFEAE9DA-AE18-4D84-8A1B-9D582E5BFB9A}"/>
    <cellStyle name="Comma 58 4" xfId="1816" xr:uid="{B8F80952-1A6B-45D2-A669-43ACD43E4495}"/>
    <cellStyle name="Comma 58 4 2" xfId="4676" xr:uid="{6EA7E502-2F7A-4943-B44C-74EFC8365E2E}"/>
    <cellStyle name="Comma 58 5" xfId="3260" xr:uid="{2A387107-DAE7-49BB-B7EB-5776EA6CAD9F}"/>
    <cellStyle name="Comma 59" xfId="300" xr:uid="{00000000-0005-0000-0000-0000FF010000}"/>
    <cellStyle name="Comma 59 2" xfId="1021" xr:uid="{00000000-0005-0000-0000-000000020000}"/>
    <cellStyle name="Comma 59 2 2" xfId="2469" xr:uid="{A642BC84-F369-4B00-A950-F1EDA8563EDE}"/>
    <cellStyle name="Comma 59 2 2 2" xfId="5325" xr:uid="{28FA5567-1C7C-4691-A976-EAD7F8BB01A7}"/>
    <cellStyle name="Comma 59 2 3" xfId="3907" xr:uid="{B462F025-7ACC-4DA3-A89C-55A7A3A03DB5}"/>
    <cellStyle name="Comma 59 3" xfId="1823" xr:uid="{EF508F9C-5A7F-46F2-8BDD-4579EC2B03F7}"/>
    <cellStyle name="Comma 59 3 2" xfId="4683" xr:uid="{B33218E8-ED03-4DAE-AB28-C70393BD00CA}"/>
    <cellStyle name="Comma 59 4" xfId="3267" xr:uid="{B4A3C299-1757-436D-ACD3-B810316DBB2C}"/>
    <cellStyle name="Comma 6" xfId="49" xr:uid="{00000000-0005-0000-0000-000001020000}"/>
    <cellStyle name="Comma 6 2" xfId="62" xr:uid="{00000000-0005-0000-0000-000002020000}"/>
    <cellStyle name="Comma 6 2 2" xfId="790" xr:uid="{00000000-0005-0000-0000-000003020000}"/>
    <cellStyle name="Comma 6 2 2 2" xfId="2241" xr:uid="{2E8A12D9-80DF-438B-A89D-260E0FB390FD}"/>
    <cellStyle name="Comma 6 2 2 2 2" xfId="5097" xr:uid="{3FFC4E8F-ADA0-435B-AE2F-A66C7E1ACD5F}"/>
    <cellStyle name="Comma 6 2 2 3" xfId="3679" xr:uid="{7374F41A-CFA2-4B56-829A-2DE0E6A9FAF7}"/>
    <cellStyle name="Comma 6 2 3" xfId="1593" xr:uid="{4848C0B8-BB89-4BA7-A0CD-C3F94769CF03}"/>
    <cellStyle name="Comma 6 2 3 2" xfId="4453" xr:uid="{B6DDBD1F-39D6-481C-8C5E-0290D995696F}"/>
    <cellStyle name="Comma 6 2 4" xfId="3038" xr:uid="{2BACEB42-8CC2-445B-B7A0-E76857595BCD}"/>
    <cellStyle name="Comma 6 3" xfId="782" xr:uid="{00000000-0005-0000-0000-000004020000}"/>
    <cellStyle name="Comma 6 3 2" xfId="2234" xr:uid="{96361BBC-9A1C-470D-9438-11C858224C62}"/>
    <cellStyle name="Comma 6 3 2 2" xfId="5090" xr:uid="{D354871B-116E-4102-83E3-A3261EB89F25}"/>
    <cellStyle name="Comma 6 3 3" xfId="3672" xr:uid="{0C1F957E-6646-4062-A2C4-F1DD2A036105}"/>
    <cellStyle name="Comma 6 4" xfId="1586" xr:uid="{8E87E08F-EB24-425C-BB74-5FAFE37D7E99}"/>
    <cellStyle name="Comma 6 4 2" xfId="4446" xr:uid="{94ABFDCA-BC6E-4488-B3F2-240A250A3EE9}"/>
    <cellStyle name="Comma 6 5" xfId="3031" xr:uid="{CBD5EB84-4847-4541-9448-0F8E63105396}"/>
    <cellStyle name="Comma 60" xfId="304" xr:uid="{00000000-0005-0000-0000-000005020000}"/>
    <cellStyle name="Comma 60 2" xfId="1025" xr:uid="{00000000-0005-0000-0000-000006020000}"/>
    <cellStyle name="Comma 60 2 2" xfId="2473" xr:uid="{124A6300-FEA0-4AD9-83A2-8D0F1374082D}"/>
    <cellStyle name="Comma 60 2 2 2" xfId="5329" xr:uid="{F79F3E16-6571-4FD1-A40C-6B54139E7FAB}"/>
    <cellStyle name="Comma 60 2 3" xfId="3911" xr:uid="{8F3A8C2E-C144-4776-94E2-09890FA3D0D4}"/>
    <cellStyle name="Comma 60 3" xfId="1827" xr:uid="{3355D705-566D-492D-A2B6-84A0AFE49ED8}"/>
    <cellStyle name="Comma 60 3 2" xfId="4687" xr:uid="{8354326B-19B3-422B-80C9-9F2CBDF30137}"/>
    <cellStyle name="Comma 60 4" xfId="3271" xr:uid="{E46C5579-9EB0-4C9D-B18D-61DE2D8603D3}"/>
    <cellStyle name="Comma 61" xfId="311" xr:uid="{00000000-0005-0000-0000-000007020000}"/>
    <cellStyle name="Comma 61 2" xfId="1032" xr:uid="{00000000-0005-0000-0000-000008020000}"/>
    <cellStyle name="Comma 61 2 2" xfId="2480" xr:uid="{CC3FF249-D464-4BD3-92D8-AFF97841106C}"/>
    <cellStyle name="Comma 61 2 2 2" xfId="5336" xr:uid="{F45C4948-D2BE-40DD-B0CC-AEA9370C295A}"/>
    <cellStyle name="Comma 61 2 3" xfId="3918" xr:uid="{F32DA95C-56AC-4463-A57F-18028AFAE9D1}"/>
    <cellStyle name="Comma 61 3" xfId="1834" xr:uid="{092363F0-2DC1-41C2-B118-59FF387A21CA}"/>
    <cellStyle name="Comma 61 3 2" xfId="4694" xr:uid="{D8214191-2BD0-48FE-B44E-4196BEDD98C5}"/>
    <cellStyle name="Comma 61 4" xfId="3278" xr:uid="{EDAAEFD3-5628-4C02-B2B5-6F9AA4B3ECD5}"/>
    <cellStyle name="Comma 62" xfId="313" xr:uid="{00000000-0005-0000-0000-000009020000}"/>
    <cellStyle name="Comma 62 2" xfId="1034" xr:uid="{00000000-0005-0000-0000-00000A020000}"/>
    <cellStyle name="Comma 62 2 2" xfId="2482" xr:uid="{47EA369E-7082-4C44-8F7F-9DA2CC29349C}"/>
    <cellStyle name="Comma 62 2 2 2" xfId="5338" xr:uid="{ACCD7CA8-837D-4821-B24B-F3C6D5DA9804}"/>
    <cellStyle name="Comma 62 2 3" xfId="3920" xr:uid="{D2554D02-D56D-48D7-93CB-A27308C4A71B}"/>
    <cellStyle name="Comma 62 3" xfId="1836" xr:uid="{E44E2D80-6345-4C03-803D-8F68D46254B0}"/>
    <cellStyle name="Comma 62 3 2" xfId="4696" xr:uid="{4DFA5AE6-6653-4464-A64A-DEF28DABC607}"/>
    <cellStyle name="Comma 62 4" xfId="3280" xr:uid="{E04667FB-6837-49F3-8B89-E7FD6FE181C5}"/>
    <cellStyle name="Comma 63" xfId="317" xr:uid="{00000000-0005-0000-0000-00000B020000}"/>
    <cellStyle name="Comma 63 2" xfId="1038" xr:uid="{00000000-0005-0000-0000-00000C020000}"/>
    <cellStyle name="Comma 63 2 2" xfId="2486" xr:uid="{B6773F9C-572A-4DBE-98D8-BB4C040F24DF}"/>
    <cellStyle name="Comma 63 2 2 2" xfId="5342" xr:uid="{3653EB59-15AD-4E04-B199-F4668EC37F01}"/>
    <cellStyle name="Comma 63 2 3" xfId="3924" xr:uid="{52965062-C966-43A0-A91C-DAE9635443E1}"/>
    <cellStyle name="Comma 63 3" xfId="1840" xr:uid="{8DD9CCF3-CF0E-4E54-93A2-24F5E923E3A7}"/>
    <cellStyle name="Comma 63 3 2" xfId="4700" xr:uid="{F5230875-7F95-4B32-A987-8D2DE3F93A97}"/>
    <cellStyle name="Comma 63 4" xfId="3284" xr:uid="{626BC892-02C4-4FA9-8D1C-1B28825F2975}"/>
    <cellStyle name="Comma 64" xfId="327" xr:uid="{00000000-0005-0000-0000-00000D020000}"/>
    <cellStyle name="Comma 64 2" xfId="1048" xr:uid="{00000000-0005-0000-0000-00000E020000}"/>
    <cellStyle name="Comma 64 2 2" xfId="2496" xr:uid="{CA82CC6B-451C-4C23-BCFE-05D4FB32E1EC}"/>
    <cellStyle name="Comma 64 2 2 2" xfId="5352" xr:uid="{9349BAFB-D768-457C-8255-9164048CBAC9}"/>
    <cellStyle name="Comma 64 2 3" xfId="3934" xr:uid="{406FD300-B7BE-4A0E-8404-F172FBB546D3}"/>
    <cellStyle name="Comma 64 3" xfId="1850" xr:uid="{BF5C22F1-460F-44D2-A80E-1F8EEC5F932B}"/>
    <cellStyle name="Comma 64 3 2" xfId="4710" xr:uid="{FF17FEA1-320B-42F5-A8E1-2133C2457E92}"/>
    <cellStyle name="Comma 64 4" xfId="3294" xr:uid="{4A1C1D64-E353-44D6-9C17-D73AAB53FEB4}"/>
    <cellStyle name="Comma 65" xfId="331" xr:uid="{00000000-0005-0000-0000-00000F020000}"/>
    <cellStyle name="Comma 65 2" xfId="1052" xr:uid="{00000000-0005-0000-0000-000010020000}"/>
    <cellStyle name="Comma 65 2 2" xfId="2500" xr:uid="{6B316DC9-17C5-4E72-920B-90960B9EBF48}"/>
    <cellStyle name="Comma 65 2 2 2" xfId="5356" xr:uid="{5AE7D321-9401-4469-A8D1-236D74EE6F40}"/>
    <cellStyle name="Comma 65 2 3" xfId="3938" xr:uid="{61BAD7FC-B331-40E7-AFC1-7FD99024DB2D}"/>
    <cellStyle name="Comma 65 3" xfId="1854" xr:uid="{5770EE9D-B72B-4EF1-A5C7-192939528283}"/>
    <cellStyle name="Comma 65 3 2" xfId="4714" xr:uid="{4A7CCF17-8E1A-48C5-9775-04194A60901A}"/>
    <cellStyle name="Comma 65 4" xfId="3298" xr:uid="{AA8B605C-A6CC-47B1-870C-32A249E857BE}"/>
    <cellStyle name="Comma 66" xfId="334" xr:uid="{00000000-0005-0000-0000-000011020000}"/>
    <cellStyle name="Comma 66 2" xfId="1055" xr:uid="{00000000-0005-0000-0000-000012020000}"/>
    <cellStyle name="Comma 66 2 2" xfId="2503" xr:uid="{7FA0727F-1F3A-47E3-805D-45BA12577053}"/>
    <cellStyle name="Comma 66 2 2 2" xfId="5359" xr:uid="{8C62E81D-9CB4-46CD-A5AB-63F71D3E673D}"/>
    <cellStyle name="Comma 66 2 3" xfId="3941" xr:uid="{E7CFA2BE-4B3F-4932-89C0-8C066C274CFF}"/>
    <cellStyle name="Comma 66 3" xfId="1857" xr:uid="{E6A4976B-0733-4A80-B00C-5139EE715C0B}"/>
    <cellStyle name="Comma 66 3 2" xfId="4717" xr:uid="{29B885F6-EEFE-4222-BF82-FB48982B8017}"/>
    <cellStyle name="Comma 66 4" xfId="3301" xr:uid="{E237917D-C95D-4FBD-94DB-7AD74D615CD2}"/>
    <cellStyle name="Comma 67" xfId="343" xr:uid="{00000000-0005-0000-0000-000013020000}"/>
    <cellStyle name="Comma 67 2" xfId="1064" xr:uid="{00000000-0005-0000-0000-000014020000}"/>
    <cellStyle name="Comma 67 2 2" xfId="2512" xr:uid="{05F77861-9D22-4229-9CA7-386EB5DB00A2}"/>
    <cellStyle name="Comma 67 2 2 2" xfId="5368" xr:uid="{8BE5367C-333E-4BF6-A06C-83CDC39314A8}"/>
    <cellStyle name="Comma 67 2 3" xfId="3950" xr:uid="{6DD51415-DFBD-470D-B4E3-19348A997D0D}"/>
    <cellStyle name="Comma 67 3" xfId="1866" xr:uid="{454F6A0F-9214-493A-884D-D1EDE8137215}"/>
    <cellStyle name="Comma 67 3 2" xfId="4726" xr:uid="{BE47E050-856B-464F-B351-D6F878462735}"/>
    <cellStyle name="Comma 67 4" xfId="3310" xr:uid="{06F2C085-A94B-4056-A658-75794940C3B6}"/>
    <cellStyle name="Comma 68" xfId="346" xr:uid="{00000000-0005-0000-0000-000015020000}"/>
    <cellStyle name="Comma 68 2" xfId="1067" xr:uid="{00000000-0005-0000-0000-000016020000}"/>
    <cellStyle name="Comma 68 2 2" xfId="2515" xr:uid="{8E1C1EBD-0E51-4B49-A0F5-DAB7502A75E7}"/>
    <cellStyle name="Comma 68 2 2 2" xfId="5371" xr:uid="{6CF2B0BA-213F-4527-8848-6697D4F3362B}"/>
    <cellStyle name="Comma 68 2 3" xfId="3953" xr:uid="{047804E8-C5DD-45AE-BD8A-074709560875}"/>
    <cellStyle name="Comma 68 3" xfId="1869" xr:uid="{33D81F23-3EFC-47A8-8000-6B2CCA7BFE2E}"/>
    <cellStyle name="Comma 68 3 2" xfId="4729" xr:uid="{F19F4472-89F7-4E20-8ED6-263A3A9CC8AE}"/>
    <cellStyle name="Comma 68 4" xfId="3313" xr:uid="{850AF667-2127-440D-8D17-66CF8FC6CB6C}"/>
    <cellStyle name="Comma 69" xfId="355" xr:uid="{00000000-0005-0000-0000-000017020000}"/>
    <cellStyle name="Comma 69 2" xfId="1076" xr:uid="{00000000-0005-0000-0000-000018020000}"/>
    <cellStyle name="Comma 69 2 2" xfId="2524" xr:uid="{A11A8856-EECA-4E20-A58F-A41E5E7A4178}"/>
    <cellStyle name="Comma 69 2 2 2" xfId="5380" xr:uid="{A71E11CE-F024-4E40-9546-9F7053C95498}"/>
    <cellStyle name="Comma 69 2 3" xfId="3962" xr:uid="{E328BAB4-382F-4E27-9554-75544B16B1CD}"/>
    <cellStyle name="Comma 69 3" xfId="1878" xr:uid="{1A8499C3-2A94-43CF-A0DE-84F6DE4DCBA4}"/>
    <cellStyle name="Comma 69 3 2" xfId="4738" xr:uid="{EA149029-7D3A-470E-8862-65CC13873760}"/>
    <cellStyle name="Comma 69 4" xfId="3322" xr:uid="{FDDF0C8E-8977-4F28-894D-7955BB90CA9E}"/>
    <cellStyle name="Comma 7" xfId="52" xr:uid="{00000000-0005-0000-0000-000019020000}"/>
    <cellStyle name="Comma 7 2" xfId="784" xr:uid="{00000000-0005-0000-0000-00001A020000}"/>
    <cellStyle name="Comma 7 2 2" xfId="2236" xr:uid="{CC67E6C6-F41C-4CCD-8B7E-BA6A1EF2DE36}"/>
    <cellStyle name="Comma 7 2 2 2" xfId="5092" xr:uid="{1C46958B-A772-4AAC-8E4C-3C2996300228}"/>
    <cellStyle name="Comma 7 2 3" xfId="3674" xr:uid="{D405D672-0160-4048-A484-1370BCA5B382}"/>
    <cellStyle name="Comma 7 3" xfId="1588" xr:uid="{CC657EE0-8487-424C-88D3-4A00ECB5A876}"/>
    <cellStyle name="Comma 7 3 2" xfId="4448" xr:uid="{D8A70B1A-1E28-496B-B02B-A97AFD95CEAD}"/>
    <cellStyle name="Comma 7 4" xfId="3033" xr:uid="{D08C87A5-60F7-4416-ADC1-A1BF8C39E282}"/>
    <cellStyle name="Comma 70" xfId="359" xr:uid="{00000000-0005-0000-0000-00001B020000}"/>
    <cellStyle name="Comma 70 2" xfId="1080" xr:uid="{00000000-0005-0000-0000-00001C020000}"/>
    <cellStyle name="Comma 70 2 2" xfId="2528" xr:uid="{DD999059-9DE1-4522-B372-33FA489C164C}"/>
    <cellStyle name="Comma 70 2 2 2" xfId="5384" xr:uid="{390DDCEE-8C39-431E-98AA-AD0E6D4410C4}"/>
    <cellStyle name="Comma 70 2 3" xfId="3966" xr:uid="{FDF5A683-EACC-42B4-A7CE-B327211E2D5E}"/>
    <cellStyle name="Comma 70 3" xfId="1882" xr:uid="{C4AC953F-E994-4A6D-A434-F4766B1F1EF2}"/>
    <cellStyle name="Comma 70 3 2" xfId="4742" xr:uid="{F0CC852C-623A-4800-A96C-7DE093EA6914}"/>
    <cellStyle name="Comma 70 4" xfId="3326" xr:uid="{2FD6B623-F0E5-4469-AE98-F1FCC31CCF48}"/>
    <cellStyle name="Comma 71" xfId="363" xr:uid="{00000000-0005-0000-0000-00001D020000}"/>
    <cellStyle name="Comma 71 2" xfId="1084" xr:uid="{00000000-0005-0000-0000-00001E020000}"/>
    <cellStyle name="Comma 71 2 2" xfId="2532" xr:uid="{98DFE17C-FBAB-4409-9EB1-2E993E6BC090}"/>
    <cellStyle name="Comma 71 2 2 2" xfId="5388" xr:uid="{8D48A1A3-8FA3-4F98-8E4F-7E2399AA1C2B}"/>
    <cellStyle name="Comma 71 2 3" xfId="3970" xr:uid="{42C19C2C-52BF-4E01-8560-84E446537E65}"/>
    <cellStyle name="Comma 71 3" xfId="1886" xr:uid="{B3D03BFF-99EE-44B5-8173-8FA32B47980A}"/>
    <cellStyle name="Comma 71 3 2" xfId="4746" xr:uid="{DC799F67-749D-491A-A349-A434C4023B90}"/>
    <cellStyle name="Comma 71 4" xfId="3330" xr:uid="{E122577A-F839-48D7-A073-BA11F3418EFA}"/>
    <cellStyle name="Comma 72" xfId="371" xr:uid="{00000000-0005-0000-0000-00001F020000}"/>
    <cellStyle name="Comma 72 2" xfId="1092" xr:uid="{00000000-0005-0000-0000-000020020000}"/>
    <cellStyle name="Comma 72 2 2" xfId="2540" xr:uid="{9EF0C277-D26B-4E4E-B0C7-E6E3AE9DCBB0}"/>
    <cellStyle name="Comma 72 2 2 2" xfId="5396" xr:uid="{F1F5BCD1-581F-48D0-9314-FB16695A2A19}"/>
    <cellStyle name="Comma 72 2 3" xfId="3978" xr:uid="{7CFC181B-1689-488E-9690-12EC0B4A6B3E}"/>
    <cellStyle name="Comma 72 3" xfId="1894" xr:uid="{120E345F-C045-4810-967A-1570C58A15C3}"/>
    <cellStyle name="Comma 72 3 2" xfId="4754" xr:uid="{F6716142-F6EE-4742-8972-4E3AE7ADF3AF}"/>
    <cellStyle name="Comma 72 4" xfId="3338" xr:uid="{9B6AB652-8611-4F45-AE57-6B6457BB4880}"/>
    <cellStyle name="Comma 73" xfId="375" xr:uid="{00000000-0005-0000-0000-000021020000}"/>
    <cellStyle name="Comma 73 2" xfId="1096" xr:uid="{00000000-0005-0000-0000-000022020000}"/>
    <cellStyle name="Comma 73 2 2" xfId="2544" xr:uid="{7B0CE32E-498F-4FF8-9F58-CA58C68AC9EC}"/>
    <cellStyle name="Comma 73 2 2 2" xfId="5400" xr:uid="{A0F24957-DEF3-4EB0-A159-7BF03C320982}"/>
    <cellStyle name="Comma 73 2 3" xfId="3982" xr:uid="{AEE55C02-3CE4-4AB5-A3D2-E0FE2DBDF719}"/>
    <cellStyle name="Comma 73 3" xfId="1898" xr:uid="{CA521C9F-8813-4F05-881D-97B1A235173D}"/>
    <cellStyle name="Comma 73 3 2" xfId="4758" xr:uid="{71C42BCB-2A2A-4AF0-A679-8EAE169DEDC9}"/>
    <cellStyle name="Comma 73 4" xfId="3342" xr:uid="{DA97EB80-D9FC-4C96-81BD-333CF61FA3AD}"/>
    <cellStyle name="Comma 74" xfId="383" xr:uid="{00000000-0005-0000-0000-000023020000}"/>
    <cellStyle name="Comma 74 2" xfId="1104" xr:uid="{00000000-0005-0000-0000-000024020000}"/>
    <cellStyle name="Comma 74 2 2" xfId="2552" xr:uid="{06F16C8A-9AD9-44AC-AFBE-7DB29B4C9034}"/>
    <cellStyle name="Comma 74 2 2 2" xfId="5408" xr:uid="{55F59CE1-90F0-49D1-BB4F-8EFFF025400C}"/>
    <cellStyle name="Comma 74 2 3" xfId="3990" xr:uid="{308F4E61-03A3-4A82-81EF-A91DEE1217D0}"/>
    <cellStyle name="Comma 74 3" xfId="1906" xr:uid="{5F251C25-F05B-4FD8-A7A1-3016517E59A9}"/>
    <cellStyle name="Comma 74 3 2" xfId="4766" xr:uid="{9853B249-0B60-4517-923D-6188CE0E0247}"/>
    <cellStyle name="Comma 74 4" xfId="3350" xr:uid="{4753419C-1A4F-4766-A2F3-0D1C3D326E98}"/>
    <cellStyle name="Comma 75" xfId="391" xr:uid="{00000000-0005-0000-0000-000025020000}"/>
    <cellStyle name="Comma 75 2" xfId="1112" xr:uid="{00000000-0005-0000-0000-000026020000}"/>
    <cellStyle name="Comma 75 2 2" xfId="2560" xr:uid="{ECEFE9DA-4A4F-4356-B7DE-826B7548EF41}"/>
    <cellStyle name="Comma 75 2 2 2" xfId="5416" xr:uid="{C6AD010C-4E6C-4C0C-8285-AA8D4D221EE0}"/>
    <cellStyle name="Comma 75 2 3" xfId="3998" xr:uid="{472554D9-7772-4BE6-A4B8-362D22832C2C}"/>
    <cellStyle name="Comma 75 3" xfId="1914" xr:uid="{4853864A-DAE7-4162-B50E-ADA76F67AC50}"/>
    <cellStyle name="Comma 75 3 2" xfId="4774" xr:uid="{E1173288-6A03-4460-8C4A-390BE67B1279}"/>
    <cellStyle name="Comma 75 4" xfId="3358" xr:uid="{90A57B4D-D5EE-4749-B7EF-1922A087CCDE}"/>
    <cellStyle name="Comma 76" xfId="394" xr:uid="{00000000-0005-0000-0000-000027020000}"/>
    <cellStyle name="Comma 76 2" xfId="1115" xr:uid="{00000000-0005-0000-0000-000028020000}"/>
    <cellStyle name="Comma 76 2 2" xfId="2563" xr:uid="{21106BA9-0787-43E7-8722-B66EB3E112C5}"/>
    <cellStyle name="Comma 76 2 2 2" xfId="5419" xr:uid="{CE67A70A-15ED-4BE5-9AFD-CC35CA372FB8}"/>
    <cellStyle name="Comma 76 2 3" xfId="4001" xr:uid="{579939A9-8DAD-4563-996C-62EE29C8C41F}"/>
    <cellStyle name="Comma 76 3" xfId="1917" xr:uid="{3858A7B0-3E30-4273-9D6A-91DCA1FFC095}"/>
    <cellStyle name="Comma 76 3 2" xfId="4777" xr:uid="{46007090-109B-4AA1-A29D-E0C034265984}"/>
    <cellStyle name="Comma 76 4" xfId="3361" xr:uid="{15A23BA4-AEBD-4C62-9E05-FB30854D4992}"/>
    <cellStyle name="Comma 77" xfId="399" xr:uid="{00000000-0005-0000-0000-000029020000}"/>
    <cellStyle name="Comma 77 2" xfId="1120" xr:uid="{00000000-0005-0000-0000-00002A020000}"/>
    <cellStyle name="Comma 77 2 2" xfId="2568" xr:uid="{236DE160-044E-4F97-942F-02791B5033CD}"/>
    <cellStyle name="Comma 77 2 2 2" xfId="5424" xr:uid="{594AA5BD-D37F-48F6-BAF1-51F6619C8FC8}"/>
    <cellStyle name="Comma 77 2 3" xfId="4006" xr:uid="{9970A257-77B3-4568-800F-FF361CF6ACD1}"/>
    <cellStyle name="Comma 77 3" xfId="1922" xr:uid="{5DE5270E-CF51-4287-9BE5-8567C02DA935}"/>
    <cellStyle name="Comma 77 3 2" xfId="4782" xr:uid="{5001EC74-A53B-45E1-B52B-E9D26C6A13DF}"/>
    <cellStyle name="Comma 77 4" xfId="3366" xr:uid="{12D98F5F-5C13-409D-8B69-B42700765542}"/>
    <cellStyle name="Comma 78" xfId="401" xr:uid="{00000000-0005-0000-0000-00002B020000}"/>
    <cellStyle name="Comma 78 2" xfId="1122" xr:uid="{00000000-0005-0000-0000-00002C020000}"/>
    <cellStyle name="Comma 78 2 2" xfId="2570" xr:uid="{63409BD0-92EF-4CD7-A7DC-EAF4A0DC9714}"/>
    <cellStyle name="Comma 78 2 2 2" xfId="5426" xr:uid="{ED5583BC-F80E-4431-944B-1EC96F8EEBD7}"/>
    <cellStyle name="Comma 78 2 3" xfId="4008" xr:uid="{B1CFB321-424A-473A-9C07-1B9E13C3975D}"/>
    <cellStyle name="Comma 78 3" xfId="1924" xr:uid="{B7F1915B-F7DE-41A8-86F2-C3432957C722}"/>
    <cellStyle name="Comma 78 3 2" xfId="4784" xr:uid="{E09A22BC-CBD4-4C10-B20F-AFA9E0888BBD}"/>
    <cellStyle name="Comma 78 4" xfId="3368" xr:uid="{EE4E25BE-B6A2-424B-B65A-DEE2476FD1A7}"/>
    <cellStyle name="Comma 79" xfId="410" xr:uid="{00000000-0005-0000-0000-00002D020000}"/>
    <cellStyle name="Comma 79 2" xfId="1131" xr:uid="{00000000-0005-0000-0000-00002E020000}"/>
    <cellStyle name="Comma 79 2 2" xfId="2579" xr:uid="{3005A128-5F74-448D-A182-CD1EEC942A7C}"/>
    <cellStyle name="Comma 79 2 2 2" xfId="5435" xr:uid="{52AD5D99-BF72-40D2-A853-71464D83FEDC}"/>
    <cellStyle name="Comma 79 2 3" xfId="4017" xr:uid="{6A21F582-8452-43D6-8AD8-62729DAE8361}"/>
    <cellStyle name="Comma 79 3" xfId="1933" xr:uid="{3F7AB064-CC8C-4D6D-B7E8-F3A875849CDA}"/>
    <cellStyle name="Comma 79 3 2" xfId="4793" xr:uid="{1612BFCD-BF48-4E55-8E3E-02B9E765D860}"/>
    <cellStyle name="Comma 79 4" xfId="3377" xr:uid="{5E92A09C-A08C-4087-BDAF-56A48A1455BF}"/>
    <cellStyle name="Comma 8" xfId="55" xr:uid="{00000000-0005-0000-0000-00002F020000}"/>
    <cellStyle name="Comma 80" xfId="419" xr:uid="{00000000-0005-0000-0000-000030020000}"/>
    <cellStyle name="Comma 80 2" xfId="1140" xr:uid="{00000000-0005-0000-0000-000031020000}"/>
    <cellStyle name="Comma 80 2 2" xfId="2588" xr:uid="{23494F79-34CC-4A77-901E-52C2E525CBCA}"/>
    <cellStyle name="Comma 80 2 2 2" xfId="5444" xr:uid="{5E6DE0F1-ACF9-4692-8FA2-A3D889922350}"/>
    <cellStyle name="Comma 80 2 3" xfId="4026" xr:uid="{569B559E-0916-445C-B19F-919E3E6BB834}"/>
    <cellStyle name="Comma 80 3" xfId="1942" xr:uid="{EDC96054-ADB3-45DC-B774-F0AAEE411870}"/>
    <cellStyle name="Comma 80 3 2" xfId="4802" xr:uid="{011F0E57-3133-4F06-8854-41A6D4A9B245}"/>
    <cellStyle name="Comma 80 4" xfId="3386" xr:uid="{DAA44837-1F44-4F91-9AF2-115392FE82CA}"/>
    <cellStyle name="Comma 81" xfId="422" xr:uid="{00000000-0005-0000-0000-000032020000}"/>
    <cellStyle name="Comma 81 2" xfId="1143" xr:uid="{00000000-0005-0000-0000-000033020000}"/>
    <cellStyle name="Comma 81 2 2" xfId="2591" xr:uid="{9E03E048-1D97-4A5B-BFE7-BC27FDD837AA}"/>
    <cellStyle name="Comma 81 2 2 2" xfId="5447" xr:uid="{C2DB3B5E-922B-4E6F-BC54-8700FBDF393D}"/>
    <cellStyle name="Comma 81 2 3" xfId="4029" xr:uid="{C642F629-E554-4E65-9036-1815687B047C}"/>
    <cellStyle name="Comma 81 3" xfId="1945" xr:uid="{9737E649-021E-44BB-90B2-4F5DFD26E493}"/>
    <cellStyle name="Comma 81 3 2" xfId="4805" xr:uid="{2D6317B1-C1D4-4C6B-B331-B2947A04477A}"/>
    <cellStyle name="Comma 81 4" xfId="3389" xr:uid="{CEE128DB-4875-4CA0-A1BA-C8F041832C4B}"/>
    <cellStyle name="Comma 82" xfId="425" xr:uid="{00000000-0005-0000-0000-000034020000}"/>
    <cellStyle name="Comma 82 2" xfId="1146" xr:uid="{00000000-0005-0000-0000-000035020000}"/>
    <cellStyle name="Comma 82 2 2" xfId="2594" xr:uid="{2ABE62C6-85CD-4CE3-A91D-9C3D41AFFAE6}"/>
    <cellStyle name="Comma 82 2 2 2" xfId="5450" xr:uid="{DD4B3F02-99E8-4366-BBD9-E36F40716F43}"/>
    <cellStyle name="Comma 82 2 3" xfId="4032" xr:uid="{37DCE267-E19E-44D2-8E9B-DE288B6948FF}"/>
    <cellStyle name="Comma 82 3" xfId="1948" xr:uid="{1588B5D8-9167-45BB-8C07-FEB6D19A7FB3}"/>
    <cellStyle name="Comma 82 3 2" xfId="4808" xr:uid="{EF8309F7-D713-4F6E-AAA9-72278E20DC50}"/>
    <cellStyle name="Comma 82 4" xfId="3392" xr:uid="{85A68F6F-5F85-46FE-812A-27B327AFF12C}"/>
    <cellStyle name="Comma 83" xfId="441" xr:uid="{00000000-0005-0000-0000-000036020000}"/>
    <cellStyle name="Comma 83 2" xfId="1162" xr:uid="{00000000-0005-0000-0000-000037020000}"/>
    <cellStyle name="Comma 83 2 2" xfId="2610" xr:uid="{D69317E3-A46B-4DED-8A9E-B083B576E8DA}"/>
    <cellStyle name="Comma 83 2 2 2" xfId="5466" xr:uid="{DFE67C7C-4A7D-4795-B755-1E8BA1CFB759}"/>
    <cellStyle name="Comma 83 2 3" xfId="4048" xr:uid="{CC0D3338-93B0-4DC5-BCCE-9C92B79B7195}"/>
    <cellStyle name="Comma 83 3" xfId="1964" xr:uid="{1E9CB011-477F-411A-8A79-1D1D9330A255}"/>
    <cellStyle name="Comma 83 3 2" xfId="4824" xr:uid="{9C15729D-A27B-478E-A5AD-8F40C68C98C5}"/>
    <cellStyle name="Comma 83 4" xfId="3408" xr:uid="{3FEAB1E6-7120-46D3-9358-E3A4279A82E1}"/>
    <cellStyle name="Comma 84" xfId="444" xr:uid="{00000000-0005-0000-0000-000038020000}"/>
    <cellStyle name="Comma 84 2" xfId="1165" xr:uid="{00000000-0005-0000-0000-000039020000}"/>
    <cellStyle name="Comma 84 2 2" xfId="2613" xr:uid="{E8C0C183-CD1C-4421-9D5C-2901018CF04A}"/>
    <cellStyle name="Comma 84 2 2 2" xfId="5469" xr:uid="{DCE7BAA4-538D-4310-8F8F-FA8F76B45AEF}"/>
    <cellStyle name="Comma 84 2 3" xfId="4051" xr:uid="{1AD85E69-6455-495E-A821-9B5184CE452B}"/>
    <cellStyle name="Comma 84 3" xfId="1967" xr:uid="{8602FACF-5EA9-4D87-9BD0-BA9DBDC6F147}"/>
    <cellStyle name="Comma 84 3 2" xfId="4827" xr:uid="{A7070C88-FDD1-4240-BF87-5FE3840F5BB7}"/>
    <cellStyle name="Comma 84 4" xfId="3411" xr:uid="{2A70D5E2-99F9-4312-AE50-05538E92FAD9}"/>
    <cellStyle name="Comma 85" xfId="447" xr:uid="{00000000-0005-0000-0000-00003A020000}"/>
    <cellStyle name="Comma 85 2" xfId="1168" xr:uid="{00000000-0005-0000-0000-00003B020000}"/>
    <cellStyle name="Comma 85 2 2" xfId="2616" xr:uid="{CDBD7DB0-606C-4062-A083-379E6DB8B627}"/>
    <cellStyle name="Comma 85 2 2 2" xfId="5472" xr:uid="{72B545A9-7F78-4917-927B-A5C8316E77E2}"/>
    <cellStyle name="Comma 85 2 3" xfId="4054" xr:uid="{59BF0722-6B16-4C34-924B-5C69903BB925}"/>
    <cellStyle name="Comma 85 3" xfId="1970" xr:uid="{1ABFF588-F0E8-4B17-83B2-ED69976977BE}"/>
    <cellStyle name="Comma 85 3 2" xfId="4830" xr:uid="{B749592C-519D-4FF1-AB45-CC4D5CD2AA9B}"/>
    <cellStyle name="Comma 85 4" xfId="3414" xr:uid="{914DAA30-5920-4D7E-93D3-8AB272587BC4}"/>
    <cellStyle name="Comma 86" xfId="461" xr:uid="{00000000-0005-0000-0000-00003C020000}"/>
    <cellStyle name="Comma 86 2" xfId="1181" xr:uid="{00000000-0005-0000-0000-00003D020000}"/>
    <cellStyle name="Comma 86 2 2" xfId="2629" xr:uid="{0AE57407-384D-42FC-8024-41F5EDE7E725}"/>
    <cellStyle name="Comma 86 2 2 2" xfId="5485" xr:uid="{4877C6CD-9EF7-4DDA-9041-15DC0F024ACA}"/>
    <cellStyle name="Comma 86 2 3" xfId="4067" xr:uid="{DB300BC4-6044-4A33-BD7F-4C30659136B9}"/>
    <cellStyle name="Comma 86 3" xfId="1984" xr:uid="{A5938E8A-9B01-400B-897C-5285AE75A61D}"/>
    <cellStyle name="Comma 86 3 2" xfId="4844" xr:uid="{55F702D4-ABE5-4A37-A881-C35BBC327089}"/>
    <cellStyle name="Comma 86 4" xfId="3428" xr:uid="{579B3CB4-23AA-4A50-B06B-461A4AA13D9F}"/>
    <cellStyle name="Comma 87" xfId="462" xr:uid="{00000000-0005-0000-0000-00003E020000}"/>
    <cellStyle name="Comma 87 2" xfId="1182" xr:uid="{00000000-0005-0000-0000-00003F020000}"/>
    <cellStyle name="Comma 87 2 2" xfId="2630" xr:uid="{5441C02F-FEF5-40CE-AD29-2370FF834AD2}"/>
    <cellStyle name="Comma 87 2 2 2" xfId="5486" xr:uid="{5BB0633F-B7F2-44E5-8A74-8ED9C4DC6426}"/>
    <cellStyle name="Comma 87 2 3" xfId="4068" xr:uid="{E61DCD09-A94C-414E-B1AE-5BBB3E31CDBD}"/>
    <cellStyle name="Comma 87 3" xfId="1985" xr:uid="{B5950D74-E79B-49F7-8189-2393EDF2259D}"/>
    <cellStyle name="Comma 87 3 2" xfId="4845" xr:uid="{A00B0A71-70F3-41EF-87C8-B36DD310964F}"/>
    <cellStyle name="Comma 87 4" xfId="3429" xr:uid="{3498BB5B-25A6-4A26-A3AB-AF48D0960144}"/>
    <cellStyle name="Comma 88" xfId="465" xr:uid="{00000000-0005-0000-0000-000040020000}"/>
    <cellStyle name="Comma 88 2" xfId="1185" xr:uid="{00000000-0005-0000-0000-000041020000}"/>
    <cellStyle name="Comma 88 2 2" xfId="2633" xr:uid="{3A7CAE61-53DA-4F71-BD5C-7AC7A58598E9}"/>
    <cellStyle name="Comma 88 2 2 2" xfId="5489" xr:uid="{F974BBCE-48A4-4499-A2CC-70572DC8574D}"/>
    <cellStyle name="Comma 88 2 3" xfId="4071" xr:uid="{22F2EBC8-CEBA-452A-8B1A-E94154640F7C}"/>
    <cellStyle name="Comma 88 3" xfId="1988" xr:uid="{9B1E956D-D310-49C6-9361-E4C5E2DC1750}"/>
    <cellStyle name="Comma 88 3 2" xfId="4848" xr:uid="{28467984-50C2-4095-A018-B149017704A9}"/>
    <cellStyle name="Comma 88 4" xfId="3432" xr:uid="{FBB8A461-FE35-43D5-8437-BDF48E835687}"/>
    <cellStyle name="Comma 89" xfId="474" xr:uid="{00000000-0005-0000-0000-000042020000}"/>
    <cellStyle name="Comma 89 2" xfId="1194" xr:uid="{00000000-0005-0000-0000-000043020000}"/>
    <cellStyle name="Comma 89 2 2" xfId="2642" xr:uid="{94FE9A5F-536D-4EE5-9F15-6D0F97776C79}"/>
    <cellStyle name="Comma 89 2 2 2" xfId="5498" xr:uid="{9F1BF83E-8DA7-461D-BC57-76E2DFB2AACA}"/>
    <cellStyle name="Comma 89 2 3" xfId="4080" xr:uid="{C678DBE8-8C05-4216-BD89-E46589741E83}"/>
    <cellStyle name="Comma 89 3" xfId="1997" xr:uid="{C7FAA13B-02F4-45DE-BD22-E8A4DC06652D}"/>
    <cellStyle name="Comma 89 3 2" xfId="4857" xr:uid="{095E60CA-619B-45B2-9CF8-EEA0506171B6}"/>
    <cellStyle name="Comma 89 4" xfId="3441" xr:uid="{AAA43ED0-4663-4A33-AC6E-1425A5F426DE}"/>
    <cellStyle name="Comma 9" xfId="59" xr:uid="{00000000-0005-0000-0000-000044020000}"/>
    <cellStyle name="Comma 9 2" xfId="787" xr:uid="{00000000-0005-0000-0000-000045020000}"/>
    <cellStyle name="Comma 9 2 2" xfId="2238" xr:uid="{F7B0D6D3-0F57-4AC1-AE22-BEE38F0D467E}"/>
    <cellStyle name="Comma 9 2 2 2" xfId="5094" xr:uid="{16D95567-D838-41C0-8D18-2CE70F5EC31C}"/>
    <cellStyle name="Comma 9 2 3" xfId="3676" xr:uid="{BD5BA20C-AD4F-4481-9037-E9FC1022184C}"/>
    <cellStyle name="Comma 9 3" xfId="1590" xr:uid="{9D068F8E-80D1-41E5-940A-7634F6445F18}"/>
    <cellStyle name="Comma 9 3 2" xfId="4450" xr:uid="{F369995A-CE77-42F9-9AD1-F3998CDD41ED}"/>
    <cellStyle name="Comma 9 4" xfId="3035" xr:uid="{7D1DF591-F939-4432-9A80-76FDCFDDE617}"/>
    <cellStyle name="Comma 90" xfId="477" xr:uid="{00000000-0005-0000-0000-000046020000}"/>
    <cellStyle name="Comma 90 2" xfId="1197" xr:uid="{00000000-0005-0000-0000-000047020000}"/>
    <cellStyle name="Comma 90 2 2" xfId="2645" xr:uid="{509066A6-B407-409F-9C5E-29D4A5D1DE78}"/>
    <cellStyle name="Comma 90 2 2 2" xfId="5501" xr:uid="{AECD8193-4740-45D6-89CD-2008B6CCDAEF}"/>
    <cellStyle name="Comma 90 2 3" xfId="4083" xr:uid="{C609510C-8033-43B1-B820-3CF78B813A13}"/>
    <cellStyle name="Comma 90 3" xfId="2000" xr:uid="{8AFEFEF9-8FC9-470A-8466-FE0A48203BF0}"/>
    <cellStyle name="Comma 90 3 2" xfId="4860" xr:uid="{16EA6927-406E-4A3B-B229-F72D2777B23D}"/>
    <cellStyle name="Comma 90 4" xfId="3444" xr:uid="{CAAA4CF1-5108-48F1-8E49-A157988877A2}"/>
    <cellStyle name="Comma 91" xfId="480" xr:uid="{00000000-0005-0000-0000-000048020000}"/>
    <cellStyle name="Comma 91 2" xfId="1200" xr:uid="{00000000-0005-0000-0000-000049020000}"/>
    <cellStyle name="Comma 91 2 2" xfId="2648" xr:uid="{B1913D9F-8611-403E-93C2-502ECEE4BA98}"/>
    <cellStyle name="Comma 91 2 2 2" xfId="5504" xr:uid="{C2EB751B-B3EC-4171-A9D3-F04782289BE6}"/>
    <cellStyle name="Comma 91 2 3" xfId="4086" xr:uid="{C7126FC1-D8A7-42AD-BBDB-CFD2DC5004A2}"/>
    <cellStyle name="Comma 91 3" xfId="2003" xr:uid="{59911A17-856E-47A2-B556-E8902DBB4853}"/>
    <cellStyle name="Comma 91 3 2" xfId="4863" xr:uid="{B3FAEBFA-1D23-4A42-9E4C-AFB4C29FEF89}"/>
    <cellStyle name="Comma 91 4" xfId="3447" xr:uid="{26E980C6-5C6C-46EB-B732-FE9C7857997E}"/>
    <cellStyle name="Comma 92" xfId="491" xr:uid="{00000000-0005-0000-0000-00004A020000}"/>
    <cellStyle name="Comma 92 2" xfId="1210" xr:uid="{00000000-0005-0000-0000-00004B020000}"/>
    <cellStyle name="Comma 92 2 2" xfId="2658" xr:uid="{27EA4CC7-98C7-4481-BB06-CA9BA75C5837}"/>
    <cellStyle name="Comma 92 2 2 2" xfId="5514" xr:uid="{25367B52-3FDF-4223-BDFE-AC2B5F8A825B}"/>
    <cellStyle name="Comma 92 2 3" xfId="4096" xr:uid="{11C02238-F847-46F6-B179-E7DD4942E2E8}"/>
    <cellStyle name="Comma 92 3" xfId="2013" xr:uid="{22F5D6FC-855A-4E15-A125-1D4A05FB75D1}"/>
    <cellStyle name="Comma 92 3 2" xfId="4873" xr:uid="{CEF690FE-5E4A-41EF-ADB9-DDBD89E9023D}"/>
    <cellStyle name="Comma 92 4" xfId="3457" xr:uid="{8D1F3550-72F9-4247-8323-7E022771F22C}"/>
    <cellStyle name="Comma 93" xfId="494" xr:uid="{00000000-0005-0000-0000-00004C020000}"/>
    <cellStyle name="Comma 93 2" xfId="1213" xr:uid="{00000000-0005-0000-0000-00004D020000}"/>
    <cellStyle name="Comma 93 2 2" xfId="2661" xr:uid="{5DE1A38E-FBA5-4F86-BF4F-81352EB98D71}"/>
    <cellStyle name="Comma 93 2 2 2" xfId="5517" xr:uid="{B4200F3F-8509-4FCE-A993-C4B15A339C0C}"/>
    <cellStyle name="Comma 93 2 3" xfId="4099" xr:uid="{D99D9B78-27B9-475F-8A28-040C98C7BE49}"/>
    <cellStyle name="Comma 93 3" xfId="2016" xr:uid="{9A663710-5035-43D9-9303-277457CF73F8}"/>
    <cellStyle name="Comma 93 3 2" xfId="4876" xr:uid="{BACE472D-6C60-4FC0-9D59-9B4031FA4CC4}"/>
    <cellStyle name="Comma 93 4" xfId="3460" xr:uid="{35C574D0-BC3A-41D5-93D2-C17BA984319B}"/>
    <cellStyle name="Comma 94" xfId="505" xr:uid="{00000000-0005-0000-0000-00004E020000}"/>
    <cellStyle name="Comma 94 2" xfId="1224" xr:uid="{00000000-0005-0000-0000-00004F020000}"/>
    <cellStyle name="Comma 94 2 2" xfId="2672" xr:uid="{7BAACB91-A406-456D-89A6-A1C80ECB81CE}"/>
    <cellStyle name="Comma 94 2 2 2" xfId="5528" xr:uid="{B20BE26E-4D6C-4F07-899D-8A71804246B9}"/>
    <cellStyle name="Comma 94 2 3" xfId="4110" xr:uid="{1516BF9A-540D-4C27-A1C7-8E3AD7959E83}"/>
    <cellStyle name="Comma 94 3" xfId="2027" xr:uid="{64101B38-7208-487F-9DFC-FCC91FFDC4C5}"/>
    <cellStyle name="Comma 94 3 2" xfId="4887" xr:uid="{493C9F24-9FA4-44A6-9F64-09DE247A0206}"/>
    <cellStyle name="Comma 94 4" xfId="3471" xr:uid="{040855F5-56AA-484F-B3BD-710401153FF9}"/>
    <cellStyle name="Comma 95" xfId="514" xr:uid="{00000000-0005-0000-0000-000050020000}"/>
    <cellStyle name="Comma 95 2" xfId="1233" xr:uid="{00000000-0005-0000-0000-000051020000}"/>
    <cellStyle name="Comma 95 2 2" xfId="2681" xr:uid="{43FE310F-AEF5-44FB-B040-0CA1290BC7E4}"/>
    <cellStyle name="Comma 95 2 2 2" xfId="5537" xr:uid="{9E8783E5-AD3E-4960-955A-48CDF606E6F2}"/>
    <cellStyle name="Comma 95 2 3" xfId="4119" xr:uid="{428C11B1-613A-4F7F-B72D-BC231DC1C937}"/>
    <cellStyle name="Comma 95 3" xfId="2036" xr:uid="{1C237C8B-2AEF-4B11-A4AD-AFD02B1B8CF2}"/>
    <cellStyle name="Comma 95 3 2" xfId="4896" xr:uid="{32F92C81-F6C5-48E9-8D10-BCC0DCB6EC90}"/>
    <cellStyle name="Comma 95 4" xfId="3480" xr:uid="{C6C893EB-B205-4ECD-A545-E20DE9509D4F}"/>
    <cellStyle name="Comma 96" xfId="517" xr:uid="{00000000-0005-0000-0000-000052020000}"/>
    <cellStyle name="Comma 96 2" xfId="1236" xr:uid="{00000000-0005-0000-0000-000053020000}"/>
    <cellStyle name="Comma 96 2 2" xfId="2684" xr:uid="{7B43A79F-B397-432C-AC3E-4C1D34E7FCB3}"/>
    <cellStyle name="Comma 96 2 2 2" xfId="5540" xr:uid="{A4CB056A-609A-4F00-B82A-4CB29EB3E8EA}"/>
    <cellStyle name="Comma 96 2 3" xfId="4122" xr:uid="{7B4A10FB-0B8B-457D-9C9C-EE0B6F91CAEC}"/>
    <cellStyle name="Comma 96 3" xfId="2039" xr:uid="{F0694375-AF32-43C3-82D7-D4464462C166}"/>
    <cellStyle name="Comma 96 3 2" xfId="4899" xr:uid="{BA30F06B-4426-4857-A52B-16C51686D6FB}"/>
    <cellStyle name="Comma 96 4" xfId="3483" xr:uid="{44599DC2-0007-49F1-899F-3228FDBAF3B5}"/>
    <cellStyle name="Comma 97" xfId="528" xr:uid="{00000000-0005-0000-0000-000054020000}"/>
    <cellStyle name="Comma 97 2" xfId="538" xr:uid="{00000000-0005-0000-0000-000055020000}"/>
    <cellStyle name="Comma 97 2 2" xfId="1257" xr:uid="{00000000-0005-0000-0000-000056020000}"/>
    <cellStyle name="Comma 97 2 2 2" xfId="2705" xr:uid="{A85BB77A-9CC5-4E2E-B05F-97EEA8D598A6}"/>
    <cellStyle name="Comma 97 2 2 2 2" xfId="5561" xr:uid="{F3317B73-4D57-4211-A0C8-AC8DF17A562F}"/>
    <cellStyle name="Comma 97 2 2 3" xfId="4143" xr:uid="{D2E53C98-4BAF-4630-8273-5DB45490E116}"/>
    <cellStyle name="Comma 97 2 3" xfId="2060" xr:uid="{B21346B5-1D15-4975-BAB7-BC981709B877}"/>
    <cellStyle name="Comma 97 2 3 2" xfId="4920" xr:uid="{51DAE89C-A279-4B86-9C0E-3EE4D3F229BD}"/>
    <cellStyle name="Comma 97 2 4" xfId="3504" xr:uid="{8F0F58BD-F8E0-4A74-8ED7-00C52E1A0852}"/>
    <cellStyle name="Comma 97 3" xfId="1247" xr:uid="{00000000-0005-0000-0000-000057020000}"/>
    <cellStyle name="Comma 97 3 2" xfId="2695" xr:uid="{5D67525F-90A6-4541-86D1-3CC6FBB835A7}"/>
    <cellStyle name="Comma 97 3 2 2" xfId="5551" xr:uid="{35FFF206-0103-444E-B130-6A893DCE75E0}"/>
    <cellStyle name="Comma 97 3 3" xfId="4133" xr:uid="{449C66B1-00D3-43CD-84E7-159ABD8B1D6D}"/>
    <cellStyle name="Comma 97 4" xfId="2050" xr:uid="{2824EC0D-3E1E-4D11-8836-36C48C32DB97}"/>
    <cellStyle name="Comma 97 4 2" xfId="4910" xr:uid="{451F4D0F-121F-432A-82AA-F14BDC0E4C8D}"/>
    <cellStyle name="Comma 97 5" xfId="3494" xr:uid="{84CF4D9E-3F33-40A3-9061-2EB4EE13B170}"/>
    <cellStyle name="Comma 98" xfId="544" xr:uid="{00000000-0005-0000-0000-000058020000}"/>
    <cellStyle name="Comma 98 2" xfId="1263" xr:uid="{00000000-0005-0000-0000-000059020000}"/>
    <cellStyle name="Comma 98 2 2" xfId="2711" xr:uid="{CBBCF30C-F32F-4FFE-B276-98A9F39B52FA}"/>
    <cellStyle name="Comma 98 2 2 2" xfId="5567" xr:uid="{90A1A1AF-9CDE-4F00-9DDC-2EF5733A8DE4}"/>
    <cellStyle name="Comma 98 2 3" xfId="4149" xr:uid="{86BCB409-7C2F-4DB5-819C-E4BAE645252D}"/>
    <cellStyle name="Comma 98 3" xfId="2066" xr:uid="{759CED2D-F260-4C3F-8A58-A2031ABAE6BF}"/>
    <cellStyle name="Comma 98 3 2" xfId="4926" xr:uid="{FEEA449B-4B0E-49A4-8F53-546BC8AD48C7}"/>
    <cellStyle name="Comma 98 4" xfId="3510" xr:uid="{9DEEF086-9D2A-4D29-BC63-CF47F23E5E3E}"/>
    <cellStyle name="Comma 99" xfId="555" xr:uid="{00000000-0005-0000-0000-00005A020000}"/>
    <cellStyle name="Comma 99 2" xfId="1274" xr:uid="{00000000-0005-0000-0000-00005B020000}"/>
    <cellStyle name="Comma 99 2 2" xfId="2722" xr:uid="{30FAB54A-AB46-48EB-83D6-88CF2A69D912}"/>
    <cellStyle name="Comma 99 2 2 2" xfId="5578" xr:uid="{0C7A6218-D4C6-4D83-8F5B-B7F103E13D9E}"/>
    <cellStyle name="Comma 99 2 3" xfId="4160" xr:uid="{906697F4-5114-4E2B-AF2E-908EFAA8F301}"/>
    <cellStyle name="Comma 99 3" xfId="2077" xr:uid="{19A056F0-B75E-4C3E-A987-CF425A7A4CC7}"/>
    <cellStyle name="Comma 99 3 2" xfId="4937" xr:uid="{28B5FCEE-EF59-4C9C-9CD8-2089633D2508}"/>
    <cellStyle name="Comma 99 4" xfId="3521" xr:uid="{13612524-F5BE-489D-8F7F-DCDE50CB2F68}"/>
    <cellStyle name="Emart" xfId="7" xr:uid="{00000000-0005-0000-0000-00005C020000}"/>
    <cellStyle name="Emart 10" xfId="1573" xr:uid="{BF0F58D2-ED76-4EBE-9013-269A070ACD6B}"/>
    <cellStyle name="Emart 10 2" xfId="4433" xr:uid="{6B40C2A5-1332-4A0A-BEEE-44C7DE6C09EA}"/>
    <cellStyle name="Emart 10 3" xfId="5868" xr:uid="{F496F666-039F-4A59-BEFD-255FE4AD9AAB}"/>
    <cellStyle name="Emart 11" xfId="3018" xr:uid="{0E2F7151-FCFC-4B4E-98FE-193033B4E8A3}"/>
    <cellStyle name="Emart 12" xfId="3662" xr:uid="{B3510708-8A60-4E03-9489-8AB174C624E2}"/>
    <cellStyle name="Emart 13" xfId="5990" xr:uid="{27F0CABE-854E-4519-9FF3-07D92E71F960}"/>
    <cellStyle name="Emart 14" xfId="6006" xr:uid="{2335368C-4E69-4F9E-8E6A-05BCE458057C}"/>
    <cellStyle name="Emart 15" xfId="6008" xr:uid="{9BC7AFF8-3691-4252-A54C-FB6CAB78C40D}"/>
    <cellStyle name="Emart 2" xfId="182" xr:uid="{00000000-0005-0000-0000-00005D020000}"/>
    <cellStyle name="Emart 2 2" xfId="662" xr:uid="{00000000-0005-0000-0000-00005E020000}"/>
    <cellStyle name="Emart 2 2 2" xfId="1363" xr:uid="{00000000-0005-0000-0000-00005F020000}"/>
    <cellStyle name="Emart 2 2 2 2" xfId="2811" xr:uid="{01ECA7A7-9F6C-4D22-9F46-D8C5780274B5}"/>
    <cellStyle name="Emart 2 2 2 2 2" xfId="5667" xr:uid="{689A991A-40DC-4057-AD9B-BE3D8AD0CA72}"/>
    <cellStyle name="Emart 2 2 2 2 3" xfId="5882" xr:uid="{4DAC0138-457F-4C34-832C-C1C5EF366202}"/>
    <cellStyle name="Emart 2 2 2 3" xfId="2998" xr:uid="{D75C050C-6180-498F-A51B-8E9B6652D12B}"/>
    <cellStyle name="Emart 2 2 2 3 2" xfId="5851" xr:uid="{32EE7D32-A55F-45A6-AA7B-EE099C773C32}"/>
    <cellStyle name="Emart 2 2 2 3 3" xfId="5899" xr:uid="{2B92DC32-7D0A-47F4-B17E-C24C4644BCF2}"/>
    <cellStyle name="Emart 2 2 2 4" xfId="4249" xr:uid="{81B9F66C-C774-4C51-B16B-C52376170281}"/>
    <cellStyle name="Emart 2 2 2 5" xfId="5863" xr:uid="{096D3102-B788-4179-8F13-F4F335968201}"/>
    <cellStyle name="Emart 2 2 3" xfId="2167" xr:uid="{9A408887-2BA2-45ED-91E8-D6CBAAB029C8}"/>
    <cellStyle name="Emart 2 2 3 2" xfId="5027" xr:uid="{EFF54902-4BD0-4C23-B27A-63BCFDE400B2}"/>
    <cellStyle name="Emart 2 2 3 3" xfId="5874" xr:uid="{00905FB3-CCBF-43FA-B37A-E53F95F6F125}"/>
    <cellStyle name="Emart 2 2 4" xfId="3611" xr:uid="{4349A7F5-486E-47CD-AE3C-8C88C2E478E4}"/>
    <cellStyle name="Emart 2 2 5" xfId="5857" xr:uid="{F5B1C14B-FBF6-4411-A92F-4F1E3EFF6521}"/>
    <cellStyle name="Emart 2 3" xfId="904" xr:uid="{00000000-0005-0000-0000-000060020000}"/>
    <cellStyle name="Emart 2 3 2" xfId="2352" xr:uid="{7F2F61A0-5A7D-4AFA-9141-3FFE9AF5BE04}"/>
    <cellStyle name="Emart 2 3 2 2" xfId="5208" xr:uid="{95AEE1A9-8779-4F43-8D2A-3244905CDC75}"/>
    <cellStyle name="Emart 2 3 2 3" xfId="5881" xr:uid="{7B019363-86D1-411C-B573-9E658E9DDAF0}"/>
    <cellStyle name="Emart 2 3 3" xfId="2997" xr:uid="{FCA8F2E1-1E3B-412F-8431-0056D765FE1C}"/>
    <cellStyle name="Emart 2 3 3 2" xfId="5850" xr:uid="{ECFE542C-F3CB-4C10-9521-4F0440F62306}"/>
    <cellStyle name="Emart 2 3 3 3" xfId="5898" xr:uid="{19F494C0-6D24-42DF-9D42-075BC21B779F}"/>
    <cellStyle name="Emart 2 3 4" xfId="3790" xr:uid="{7862223B-77E9-45D5-B85D-A9F60F84B4F8}"/>
    <cellStyle name="Emart 2 3 5" xfId="5862" xr:uid="{18441A91-25F1-4E4C-A189-11669A0E466D}"/>
    <cellStyle name="Emart 2 4" xfId="1705" xr:uid="{B8B27EAD-22C7-4441-AFBE-108469523F6B}"/>
    <cellStyle name="Emart 2 4 2" xfId="4565" xr:uid="{D86B8251-57E4-44FA-96C7-A2C3FC4C6F98}"/>
    <cellStyle name="Emart 2 4 3" xfId="5870" xr:uid="{66FCC7A1-3EEC-4F37-AB3F-8215A83F6002}"/>
    <cellStyle name="Emart 2 5" xfId="3149" xr:uid="{21841E09-E223-45E1-9B1E-151BD6E50673}"/>
    <cellStyle name="Emart 3" xfId="294" xr:uid="{00000000-0005-0000-0000-000061020000}"/>
    <cellStyle name="Emart 3 2" xfId="451" xr:uid="{00000000-0005-0000-0000-000062020000}"/>
    <cellStyle name="Emart 3 2 2" xfId="618" xr:uid="{00000000-0005-0000-0000-000063020000}"/>
    <cellStyle name="Emart 3 2 2 2" xfId="705" xr:uid="{00000000-0005-0000-0000-000064020000}"/>
    <cellStyle name="Emart 3 2 2 2 2" xfId="1493" xr:uid="{00000000-0005-0000-0000-000065020000}"/>
    <cellStyle name="Emart 3 2 2 2 2 2" xfId="2921" xr:uid="{4B9549F5-942D-4014-8846-C4DD708CE13B}"/>
    <cellStyle name="Emart 3 2 2 2 2 2 2" xfId="5885" xr:uid="{6249CFAD-6FA4-4ABD-B3BB-D59556AC38C4}"/>
    <cellStyle name="Emart 3 2 2 2 2 3" xfId="1601" xr:uid="{0BB02C53-7E91-4D9F-BBB8-80924BCD5C56}"/>
    <cellStyle name="Emart 3 2 2 2 2 3 2" xfId="4461" xr:uid="{79F9C771-2A20-4175-9D9E-0D8C9C74512C}"/>
    <cellStyle name="Emart 3 2 2 2 2 3 3" xfId="5869" xr:uid="{16A22DD6-4335-4844-A73F-E1CAFB99ACE8}"/>
    <cellStyle name="Emart 3 2 2 2 2 4" xfId="5867" xr:uid="{4F11A387-DF5E-4C6B-B4E3-8364637EC769}"/>
    <cellStyle name="Emart 3 2 2 2 3" xfId="2193" xr:uid="{D125A2A4-3F56-4634-BC5A-F5436DCE4C80}"/>
    <cellStyle name="Emart 3 2 2 2 3 2" xfId="5878" xr:uid="{E5BE906E-6665-4A32-9542-28F5D856DEF1}"/>
    <cellStyle name="Emart 3 2 2 2 4" xfId="3003" xr:uid="{B89FDE36-82E5-4914-B080-19B4D1BFD36F}"/>
    <cellStyle name="Emart 3 2 2 2 4 2" xfId="5856" xr:uid="{841E7CA4-C258-41CF-A10D-8266E1110A96}"/>
    <cellStyle name="Emart 3 2 2 2 4 3" xfId="5904" xr:uid="{F5E0E032-C250-4753-B025-CD4F6CF00894}"/>
    <cellStyle name="Emart 3 2 2 2 5" xfId="5859" xr:uid="{11D027C4-11C0-41BC-8748-525D5BB89FEF}"/>
    <cellStyle name="Emart 3 2 2 3" xfId="2139" xr:uid="{A9044E8F-8F4B-473D-BACB-356B7598F862}"/>
    <cellStyle name="Emart 3 2 2 3 2" xfId="4999" xr:uid="{7CAEBE35-2850-4A6C-BB4F-FD1A2CA19DF4}"/>
    <cellStyle name="Emart 3 2 2 3 3" xfId="5873" xr:uid="{1F1DA95E-94EF-4748-8F9E-6FB73A0AF1A0}"/>
    <cellStyle name="Emart 3 2 2 4" xfId="2989" xr:uid="{8742A33E-A60B-4940-8252-3843A2B56BAC}"/>
    <cellStyle name="Emart 3 2 2 4 2" xfId="5842" xr:uid="{A6CA76BD-51A8-4276-9A08-213F9335664C}"/>
    <cellStyle name="Emart 3 2 2 4 3" xfId="5890" xr:uid="{F545AB78-805A-4E2B-9602-B42E2B5BC5C2}"/>
    <cellStyle name="Emart 3 2 2 5" xfId="2999" xr:uid="{E82B9762-59D5-4842-B62D-30EEF903357A}"/>
    <cellStyle name="Emart 3 2 2 5 2" xfId="5852" xr:uid="{BBE8A758-DB2C-4AF0-B6B6-62D7122AE864}"/>
    <cellStyle name="Emart 3 2 2 5 3" xfId="5900" xr:uid="{ABE68D70-53A9-42A4-AB6E-D9835412CB06}"/>
    <cellStyle name="Emart 3 2 2 6" xfId="3583" xr:uid="{368AD524-9FB6-4C50-BFC6-8EF4E38110DC}"/>
    <cellStyle name="Emart 3 2 3" xfId="1974" xr:uid="{E40F120E-0DC6-46CA-B9AD-82699EF3C4D7}"/>
    <cellStyle name="Emart 3 2 3 2" xfId="4834" xr:uid="{430DFA3B-45E9-4F99-9B87-541B5F72FB74}"/>
    <cellStyle name="Emart 3 2 3 3" xfId="5872" xr:uid="{EE585E60-F7D7-495D-B856-E16A7563CD70}"/>
    <cellStyle name="Emart 3 2 4" xfId="2987" xr:uid="{7FE4D893-ED43-4CE3-BBFA-B5857AEAA7DC}"/>
    <cellStyle name="Emart 3 2 4 2" xfId="5840" xr:uid="{23408431-A188-4616-8E0F-C51D525B1C20}"/>
    <cellStyle name="Emart 3 2 4 3" xfId="5888" xr:uid="{363F646C-2577-49D0-9C0C-89CA38C1CD4E}"/>
    <cellStyle name="Emart 3 2 5" xfId="2986" xr:uid="{7A102C75-8A25-4850-8E9C-02244BEF39CF}"/>
    <cellStyle name="Emart 3 2 5 2" xfId="5839" xr:uid="{2C74C5C3-8BB1-44E9-BC78-00E304961AB7}"/>
    <cellStyle name="Emart 3 2 5 3" xfId="5887" xr:uid="{2417C36C-E291-47BB-AF11-82334C4FFA5C}"/>
    <cellStyle name="Emart 3 2 6" xfId="3418" xr:uid="{34365A16-CE50-4251-9E4F-2C6BFB152C01}"/>
    <cellStyle name="Emart 3 3" xfId="1817" xr:uid="{BE8E090D-E015-4D55-B458-75F32BD729BF}"/>
    <cellStyle name="Emart 3 3 2" xfId="4677" xr:uid="{FF1744D6-942E-4338-AB3E-C6579C061948}"/>
    <cellStyle name="Emart 3 3 3" xfId="5871" xr:uid="{1FA3E54D-2587-4588-8FDB-6DD6D718AC7D}"/>
    <cellStyle name="Emart 3 4" xfId="2985" xr:uid="{7CB9EF3E-4070-4B2D-AF9A-F5DF7B7ABE6D}"/>
    <cellStyle name="Emart 3 4 2" xfId="5838" xr:uid="{49529FF3-D657-428A-8A4B-1CD6D64BE2D5}"/>
    <cellStyle name="Emart 3 4 3" xfId="5886" xr:uid="{88E6E735-DBC5-4B60-AE90-441B0B93F3B2}"/>
    <cellStyle name="Emart 3 5" xfId="2988" xr:uid="{71E23FC4-5884-490E-9380-A7487B60C512}"/>
    <cellStyle name="Emart 3 5 2" xfId="5841" xr:uid="{A9D972D1-5AD6-47EC-AF79-CC89ACE073A1}"/>
    <cellStyle name="Emart 3 5 3" xfId="5889" xr:uid="{289871CA-0CA6-4005-93FF-F206EFE18737}"/>
    <cellStyle name="Emart 3 6" xfId="3261" xr:uid="{B092EF22-6336-4E72-A19B-EC76A990FA6A}"/>
    <cellStyle name="Emart 4" xfId="665" xr:uid="{00000000-0005-0000-0000-000066020000}"/>
    <cellStyle name="Emart 4 2" xfId="1366" xr:uid="{00000000-0005-0000-0000-000067020000}"/>
    <cellStyle name="Emart 4 2 2" xfId="2814" xr:uid="{1C2639C3-2D04-4D75-B87A-D9D4D3185F3D}"/>
    <cellStyle name="Emart 4 2 2 2" xfId="5883" xr:uid="{99E1160A-CFA4-4CA7-AC5C-0B6CF5CCA30C}"/>
    <cellStyle name="Emart 4 2 3" xfId="3002" xr:uid="{63564D7B-205B-45FB-89F8-75519CC4ECE7}"/>
    <cellStyle name="Emart 4 2 3 2" xfId="5855" xr:uid="{718D8CED-19FF-41AC-8849-E6645614E22F}"/>
    <cellStyle name="Emart 4 2 3 3" xfId="5903" xr:uid="{B4B8A6D5-A6D8-434A-8AA8-AD90B230EAFB}"/>
    <cellStyle name="Emart 4 2 4" xfId="5864" xr:uid="{055D6F84-D26F-47F9-886D-769CC2179E8F}"/>
    <cellStyle name="Emart 4 3" xfId="2170" xr:uid="{BC4B40D2-B14F-47E6-9FC2-E5C60ED54887}"/>
    <cellStyle name="Emart 4 3 2" xfId="5030" xr:uid="{FF4D413D-4892-4D16-90BF-4C74B00A5084}"/>
    <cellStyle name="Emart 4 3 3" xfId="5875" xr:uid="{1F214D58-D50F-451D-99A4-2BFB550FA348}"/>
    <cellStyle name="Emart 4 4" xfId="2990" xr:uid="{DCC15BD8-65AA-43D7-8E76-902F9512C9B6}"/>
    <cellStyle name="Emart 4 4 2" xfId="5843" xr:uid="{DA914AB4-03DE-42B4-9D0D-CC9AB9B8E2CB}"/>
    <cellStyle name="Emart 4 4 3" xfId="5891" xr:uid="{8C6AEBAF-C2CB-4549-8EDA-F6F3661025C8}"/>
    <cellStyle name="Emart 4 5" xfId="2993" xr:uid="{C3C05579-2F65-473F-88F7-CD55DA57C962}"/>
    <cellStyle name="Emart 4 5 2" xfId="5846" xr:uid="{6F0D1BFE-BEAE-40A1-A654-A07CE096F673}"/>
    <cellStyle name="Emart 4 5 3" xfId="5894" xr:uid="{B37C2870-C682-45E6-A85D-1FF7E90D4E44}"/>
    <cellStyle name="Emart 4 6" xfId="3614" xr:uid="{60789136-3C39-4065-AAE4-66E4C5ED80B7}"/>
    <cellStyle name="Emart 5" xfId="678" xr:uid="{00000000-0005-0000-0000-000068020000}"/>
    <cellStyle name="Emart 5 2" xfId="716" xr:uid="{00000000-0005-0000-0000-000069020000}"/>
    <cellStyle name="Emart 5 2 2" xfId="2202" xr:uid="{39FCE882-B155-49D2-BCD2-9C7C5060E436}"/>
    <cellStyle name="Emart 5 2 2 2" xfId="5879" xr:uid="{7F605FB8-3889-44FD-959C-FB6F13AFF50F}"/>
    <cellStyle name="Emart 5 2 3" xfId="3000" xr:uid="{34F3B14C-A850-4587-9063-ED1853F9BF28}"/>
    <cellStyle name="Emart 5 2 3 2" xfId="5853" xr:uid="{89797872-0673-4DCB-A836-48623A7FFBCE}"/>
    <cellStyle name="Emart 5 2 3 3" xfId="5901" xr:uid="{CA23773A-D693-4377-8767-39AAF3792B48}"/>
    <cellStyle name="Emart 5 2 4" xfId="5860" xr:uid="{03171885-E229-4C4D-9273-B226517020AD}"/>
    <cellStyle name="Emart 5 3" xfId="2175" xr:uid="{0BF93E4A-DF0A-4DB2-860F-AB1635E66619}"/>
    <cellStyle name="Emart 5 3 2" xfId="5876" xr:uid="{037FEB6D-D023-42BD-949E-E91CA70FEFCA}"/>
    <cellStyle name="Emart 5 4" xfId="2991" xr:uid="{64091E4B-D409-4114-8C15-9D481A18680E}"/>
    <cellStyle name="Emart 5 4 2" xfId="5844" xr:uid="{E84FFAB1-2ABE-4BEE-BEFA-7476DF4F8038}"/>
    <cellStyle name="Emart 5 4 3" xfId="5892" xr:uid="{15C03406-D250-4CE8-9B00-E02BDB8779FB}"/>
    <cellStyle name="Emart 5 5" xfId="2992" xr:uid="{F335C984-4BAE-4F95-A518-0F3F6615CA3D}"/>
    <cellStyle name="Emart 5 5 2" xfId="5845" xr:uid="{32798816-4CD6-4BF3-9276-176236D88FD9}"/>
    <cellStyle name="Emart 5 5 3" xfId="5893" xr:uid="{8DF39BEA-A0B0-42CA-B22D-221E8283112D}"/>
    <cellStyle name="Emart 6" xfId="701" xr:uid="{00000000-0005-0000-0000-00006A020000}"/>
    <cellStyle name="Emart 6 2" xfId="2189" xr:uid="{1488B4FD-1A78-4CB8-92C2-7269B07F8A71}"/>
    <cellStyle name="Emart 6 2 2" xfId="5877" xr:uid="{316FE5E8-1BA9-4DB6-A15D-D368DBA2D035}"/>
    <cellStyle name="Emart 6 3" xfId="3001" xr:uid="{5B3CA6D1-2CD5-4243-94E2-D2650322A43D}"/>
    <cellStyle name="Emart 6 3 2" xfId="5854" xr:uid="{FFED0859-8240-4E4C-BC53-D555172D2B66}"/>
    <cellStyle name="Emart 6 3 3" xfId="5902" xr:uid="{6C0B5916-E61A-46FD-81B2-435AEAF2AED5}"/>
    <cellStyle name="Emart 6 4" xfId="5858" xr:uid="{C040596A-D181-4F22-9548-A8E09F698BAD}"/>
    <cellStyle name="Emart 7" xfId="768" xr:uid="{00000000-0005-0000-0000-00006B020000}"/>
    <cellStyle name="Emart 7 2" xfId="2222" xr:uid="{25A63361-09FB-4BEA-AB9D-47A02F2A34F6}"/>
    <cellStyle name="Emart 7 2 2" xfId="5078" xr:uid="{0787D5AC-B432-47BB-A723-9A92198E3F5E}"/>
    <cellStyle name="Emart 7 2 3" xfId="5880" xr:uid="{BF04DA4E-F369-4518-8AF0-AF95594C0961}"/>
    <cellStyle name="Emart 7 3" xfId="2995" xr:uid="{42470FE4-E038-4C6E-BA38-654D2CC3026D}"/>
    <cellStyle name="Emart 7 3 2" xfId="5848" xr:uid="{E5909687-8DA6-4CD8-A111-F1D3F2A6862B}"/>
    <cellStyle name="Emart 7 3 3" xfId="5896" xr:uid="{91A35D9F-F882-4DBB-A4D2-4F85EA47820E}"/>
    <cellStyle name="Emart 7 4" xfId="3659" xr:uid="{9BE7207D-D2E6-401D-8281-A59FCB2C5EBB}"/>
    <cellStyle name="Emart 7 5" xfId="5861" xr:uid="{FC981AEA-397E-45F2-B894-D0078761437B}"/>
    <cellStyle name="Emart 8" xfId="1442" xr:uid="{00000000-0005-0000-0000-00006C020000}"/>
    <cellStyle name="Emart 8 2" xfId="2871" xr:uid="{10C3402F-BC2C-452D-BE8C-A9A791637C9E}"/>
    <cellStyle name="Emart 8 2 2" xfId="5884" xr:uid="{54462FBB-0D89-4ACA-BC70-D214D1FC5489}"/>
    <cellStyle name="Emart 8 3" xfId="2994" xr:uid="{3263A52E-A253-4DAA-A2A5-38118C39D9A9}"/>
    <cellStyle name="Emart 8 3 2" xfId="5847" xr:uid="{B8BE82E7-9C7A-4D89-AD05-FB3EC1A405DC}"/>
    <cellStyle name="Emart 8 3 3" xfId="5895" xr:uid="{62E3F3D0-D9B8-4A5E-8765-403636F58056}"/>
    <cellStyle name="Emart 8 4" xfId="5865" xr:uid="{D2548B81-E0FE-4709-B6F8-0A63EE49F2DD}"/>
    <cellStyle name="Emart 9" xfId="1449" xr:uid="{00000000-0005-0000-0000-00006D020000}"/>
    <cellStyle name="Emart 9 2" xfId="2996" xr:uid="{013933E1-5F98-4421-8D03-3FCBE76201B6}"/>
    <cellStyle name="Emart 9 2 2" xfId="5849" xr:uid="{2F769C85-6C93-4123-B501-0F74DD0FFC0E}"/>
    <cellStyle name="Emart 9 2 3" xfId="5897" xr:uid="{8FA629B7-3D96-4977-A589-3F3648FA4293}"/>
    <cellStyle name="Emart 9 3" xfId="5866" xr:uid="{8E05EE2B-8176-49BB-A064-5E78E2CD88EE}"/>
    <cellStyle name="Excel Built-in 40% - Accent3" xfId="8" xr:uid="{00000000-0005-0000-0000-00006E020000}"/>
    <cellStyle name="Excel Built-in Accent1" xfId="9" xr:uid="{00000000-0005-0000-0000-00006F020000}"/>
    <cellStyle name="Excel Built-in Accent1 2" xfId="652" xr:uid="{00000000-0005-0000-0000-000070020000}"/>
    <cellStyle name="Excel Built-in Accent2" xfId="10" xr:uid="{00000000-0005-0000-0000-000071020000}"/>
    <cellStyle name="Excel Built-in Accent4" xfId="11" xr:uid="{00000000-0005-0000-0000-000072020000}"/>
    <cellStyle name="Excel Built-in Accent5" xfId="12" xr:uid="{00000000-0005-0000-0000-000073020000}"/>
    <cellStyle name="Excel Built-in Accent6" xfId="13" xr:uid="{00000000-0005-0000-0000-000074020000}"/>
    <cellStyle name="Excel Built-in Normal" xfId="14" xr:uid="{00000000-0005-0000-0000-000075020000}"/>
    <cellStyle name="Hyperlink 2" xfId="15" xr:uid="{00000000-0005-0000-0000-000077020000}"/>
    <cellStyle name="Hyperlink 3" xfId="667" xr:uid="{00000000-0005-0000-0000-000078020000}"/>
    <cellStyle name="Normal" xfId="0" builtinId="0"/>
    <cellStyle name="Normal 10" xfId="32" xr:uid="{00000000-0005-0000-0000-00007A020000}"/>
    <cellStyle name="Normal 10 2" xfId="166" xr:uid="{00000000-0005-0000-0000-00007B020000}"/>
    <cellStyle name="Normal 10 3" xfId="653" xr:uid="{00000000-0005-0000-0000-00007C020000}"/>
    <cellStyle name="Normal 10 4" xfId="773" xr:uid="{00000000-0005-0000-0000-00007D020000}"/>
    <cellStyle name="Normal 10 4 2" xfId="2225" xr:uid="{F7CD0578-9E76-428E-B721-B6D36E84CFF6}"/>
    <cellStyle name="Normal 10 4 2 2" xfId="5081" xr:uid="{EFB0C9C5-CF18-473B-9FC8-E1EA9228FD8A}"/>
    <cellStyle name="Normal 10 4 3" xfId="3663" xr:uid="{41390A5D-F61C-4766-8867-81EA74603DF5}"/>
    <cellStyle name="Normal 10 5" xfId="1577" xr:uid="{64B003B4-45AC-445A-8D03-2E221544BDF8}"/>
    <cellStyle name="Normal 10 5 2" xfId="4437" xr:uid="{B4EF3B2B-58D4-4D59-8302-F590B46D36C4}"/>
    <cellStyle name="Normal 10 6" xfId="3022" xr:uid="{34C21E58-FAE6-4524-9D5A-7804FB17935A}"/>
    <cellStyle name="Normal 100" xfId="392" xr:uid="{00000000-0005-0000-0000-00007E020000}"/>
    <cellStyle name="Normal 100 2" xfId="1113" xr:uid="{00000000-0005-0000-0000-00007F020000}"/>
    <cellStyle name="Normal 100 2 2" xfId="2561" xr:uid="{A8519888-6D17-4D93-BAE2-A75CF6CD26FE}"/>
    <cellStyle name="Normal 100 2 2 2" xfId="5417" xr:uid="{D7E639B6-B644-47F4-8194-EB72758BAE81}"/>
    <cellStyle name="Normal 100 2 3" xfId="3999" xr:uid="{2015D795-8D3E-481A-998E-8390A0A2FF3A}"/>
    <cellStyle name="Normal 100 3" xfId="1915" xr:uid="{663FE1AB-C000-43C9-A27A-A88690C33CBA}"/>
    <cellStyle name="Normal 100 3 2" xfId="4775" xr:uid="{7BF71FC9-8623-4CBA-866B-25A63B95C5E4}"/>
    <cellStyle name="Normal 100 4" xfId="3359" xr:uid="{96F6C7B2-0B39-487A-8760-45F712112694}"/>
    <cellStyle name="Normal 101" xfId="397" xr:uid="{00000000-0005-0000-0000-000080020000}"/>
    <cellStyle name="Normal 101 2" xfId="1118" xr:uid="{00000000-0005-0000-0000-000081020000}"/>
    <cellStyle name="Normal 101 2 2" xfId="2566" xr:uid="{773456CF-4B19-4D6B-B2E7-2331555D7A19}"/>
    <cellStyle name="Normal 101 2 2 2" xfId="5422" xr:uid="{B3B23286-CC84-41D8-B432-7FCB8BEEA22E}"/>
    <cellStyle name="Normal 101 2 3" xfId="4004" xr:uid="{A7F06E15-0B96-4210-BAF9-6E5C8826E213}"/>
    <cellStyle name="Normal 101 3" xfId="1920" xr:uid="{ECAE853E-3095-4A2B-9506-D69C3E692620}"/>
    <cellStyle name="Normal 101 3 2" xfId="4780" xr:uid="{7BD2D5FD-39B5-4344-945B-DC4F7F2B6C2F}"/>
    <cellStyle name="Normal 101 4" xfId="3364" xr:uid="{CDBF4D5D-C0CD-410E-B5D7-75619B43530E}"/>
    <cellStyle name="Normal 102" xfId="400" xr:uid="{00000000-0005-0000-0000-000082020000}"/>
    <cellStyle name="Normal 102 2" xfId="1121" xr:uid="{00000000-0005-0000-0000-000083020000}"/>
    <cellStyle name="Normal 102 2 2" xfId="2569" xr:uid="{3B0E3270-9E2F-4420-971E-C88E6D23A3C1}"/>
    <cellStyle name="Normal 102 2 2 2" xfId="5425" xr:uid="{D4C4CCF2-B744-4C3D-84F1-866907341BBB}"/>
    <cellStyle name="Normal 102 2 3" xfId="4007" xr:uid="{F2790DE5-8AD6-404A-8B2B-85C76BECCE3F}"/>
    <cellStyle name="Normal 102 3" xfId="1923" xr:uid="{6A4A2569-3FE7-43B7-A9EE-1340C8CF8EF1}"/>
    <cellStyle name="Normal 102 3 2" xfId="4783" xr:uid="{26C28C14-18F2-4085-BF13-D9C80F5E2578}"/>
    <cellStyle name="Normal 102 4" xfId="3367" xr:uid="{6595E76F-2705-47EC-9C0B-9074EFB87D28}"/>
    <cellStyle name="Normal 103" xfId="408" xr:uid="{00000000-0005-0000-0000-000084020000}"/>
    <cellStyle name="Normal 103 2" xfId="1129" xr:uid="{00000000-0005-0000-0000-000085020000}"/>
    <cellStyle name="Normal 103 2 2" xfId="2577" xr:uid="{C5532AD2-8565-4A57-A379-F8F5A1B792EB}"/>
    <cellStyle name="Normal 103 2 2 2" xfId="5433" xr:uid="{3BBBB861-FDDB-4E1E-8160-032D42CA85A0}"/>
    <cellStyle name="Normal 103 2 3" xfId="4015" xr:uid="{FAB5A0C4-1A11-460E-B060-75095433425F}"/>
    <cellStyle name="Normal 103 3" xfId="1931" xr:uid="{186C60D2-BAFB-48FC-8F6A-607A5DF2BA12}"/>
    <cellStyle name="Normal 103 3 2" xfId="4791" xr:uid="{2A3C456C-B54D-4B2B-A1F2-4ED13152F46F}"/>
    <cellStyle name="Normal 103 4" xfId="3375" xr:uid="{3AE50BE1-7792-43B9-9DFC-03B778CC0168}"/>
    <cellStyle name="Normal 104" xfId="418" xr:uid="{00000000-0005-0000-0000-000086020000}"/>
    <cellStyle name="Normal 104 2" xfId="1139" xr:uid="{00000000-0005-0000-0000-000087020000}"/>
    <cellStyle name="Normal 104 2 2" xfId="2587" xr:uid="{D6F1C1B3-26A9-4B6A-B7F6-72561971E0D2}"/>
    <cellStyle name="Normal 104 2 2 2" xfId="5443" xr:uid="{8E56ECC0-3E8E-4558-8426-C2F49DEE8A4E}"/>
    <cellStyle name="Normal 104 2 3" xfId="4025" xr:uid="{F14FAE6A-164D-4529-BFAF-61488E106F95}"/>
    <cellStyle name="Normal 104 3" xfId="1941" xr:uid="{06F1B6FD-81CD-46B6-B543-6FE50DD7A9A0}"/>
    <cellStyle name="Normal 104 3 2" xfId="4801" xr:uid="{F142ED8E-E28D-4FC8-8CAD-7D95FB212B1F}"/>
    <cellStyle name="Normal 104 4" xfId="3385" xr:uid="{0D89DD47-76D4-4C02-A4A3-ECFE1A1B12B6}"/>
    <cellStyle name="Normal 105" xfId="420" xr:uid="{00000000-0005-0000-0000-000088020000}"/>
    <cellStyle name="Normal 105 2" xfId="1141" xr:uid="{00000000-0005-0000-0000-000089020000}"/>
    <cellStyle name="Normal 105 2 2" xfId="2589" xr:uid="{5BA222F1-1F6D-488E-94CC-0AF97014FA4D}"/>
    <cellStyle name="Normal 105 2 2 2" xfId="5445" xr:uid="{58AFAF72-858B-4721-9811-121C2DA818DF}"/>
    <cellStyle name="Normal 105 2 3" xfId="4027" xr:uid="{325C2B99-04D5-47FE-87E7-101FFF28FEAA}"/>
    <cellStyle name="Normal 105 3" xfId="1943" xr:uid="{BD800E2A-E0B9-4C40-8F53-47DF986A5EE6}"/>
    <cellStyle name="Normal 105 3 2" xfId="4803" xr:uid="{1ACA6181-182A-40ED-BAC6-ED4B7455483B}"/>
    <cellStyle name="Normal 105 4" xfId="3387" xr:uid="{114D3E2A-3B71-4BB3-9F84-DEE1069D8E45}"/>
    <cellStyle name="Normal 106" xfId="424" xr:uid="{00000000-0005-0000-0000-00008A020000}"/>
    <cellStyle name="Normal 106 2" xfId="1145" xr:uid="{00000000-0005-0000-0000-00008B020000}"/>
    <cellStyle name="Normal 106 2 2" xfId="2593" xr:uid="{5F3EF98B-C9C9-4BFC-9DA8-B143B7F86FDA}"/>
    <cellStyle name="Normal 106 2 2 2" xfId="5449" xr:uid="{F5DBB3E2-0BC2-4778-A7AA-618CADA015F7}"/>
    <cellStyle name="Normal 106 2 3" xfId="4031" xr:uid="{3A53BFD8-E292-450D-AC44-C1D837318AA7}"/>
    <cellStyle name="Normal 106 3" xfId="1947" xr:uid="{D0B98C8D-1596-4DA5-BE88-9DFECF178A40}"/>
    <cellStyle name="Normal 106 3 2" xfId="4807" xr:uid="{AABB3CD6-84AF-4A68-BF42-831749FBA380}"/>
    <cellStyle name="Normal 106 4" xfId="3391" xr:uid="{3F196419-B535-41E5-962B-71258461820E}"/>
    <cellStyle name="Normal 107" xfId="439" xr:uid="{00000000-0005-0000-0000-00008C020000}"/>
    <cellStyle name="Normal 107 2" xfId="1160" xr:uid="{00000000-0005-0000-0000-00008D020000}"/>
    <cellStyle name="Normal 107 2 2" xfId="2608" xr:uid="{A9C874AD-AE26-4CB2-93A5-1CE39DB8ACA5}"/>
    <cellStyle name="Normal 107 2 2 2" xfId="5464" xr:uid="{34B0C175-77F5-4A6D-85E0-F5F97A63D565}"/>
    <cellStyle name="Normal 107 2 3" xfId="4046" xr:uid="{38B7B228-F07A-4413-A964-F4F37EC12636}"/>
    <cellStyle name="Normal 107 3" xfId="1962" xr:uid="{F47CBE51-0CD5-45B8-8A55-D5F42E2F7CE7}"/>
    <cellStyle name="Normal 107 3 2" xfId="4822" xr:uid="{75A14F93-D0B6-4AA1-9001-FF46F826CD6C}"/>
    <cellStyle name="Normal 107 4" xfId="3406" xr:uid="{DF1CC989-BAE7-4202-87D3-11D27F9D28DC}"/>
    <cellStyle name="Normal 108" xfId="442" xr:uid="{00000000-0005-0000-0000-00008E020000}"/>
    <cellStyle name="Normal 108 2" xfId="1163" xr:uid="{00000000-0005-0000-0000-00008F020000}"/>
    <cellStyle name="Normal 108 2 2" xfId="2611" xr:uid="{BBEEFB31-9DC2-453F-A459-82B97EBB8AD7}"/>
    <cellStyle name="Normal 108 2 2 2" xfId="5467" xr:uid="{8C46C69A-CA13-4BB9-93D6-13E11E5E8E91}"/>
    <cellStyle name="Normal 108 2 3" xfId="4049" xr:uid="{FBDB6800-6761-483B-A529-634C84D67AEE}"/>
    <cellStyle name="Normal 108 3" xfId="1965" xr:uid="{C560F867-E00C-4BD0-8492-79A03492754B}"/>
    <cellStyle name="Normal 108 3 2" xfId="4825" xr:uid="{9D551FB6-F378-4F81-ADC0-5BB2786BEBAA}"/>
    <cellStyle name="Normal 108 4" xfId="3409" xr:uid="{446C8F49-D7E4-4316-846A-E4F2B5C4E04B}"/>
    <cellStyle name="Normal 109" xfId="445" xr:uid="{00000000-0005-0000-0000-000090020000}"/>
    <cellStyle name="Normal 109 2" xfId="1166" xr:uid="{00000000-0005-0000-0000-000091020000}"/>
    <cellStyle name="Normal 109 2 2" xfId="2614" xr:uid="{370EC202-834D-4880-963D-1930ABB421C5}"/>
    <cellStyle name="Normal 109 2 2 2" xfId="5470" xr:uid="{8E14B8C4-4BB1-4400-A7BC-C0BF6A3F3BBC}"/>
    <cellStyle name="Normal 109 2 3" xfId="4052" xr:uid="{5628D532-7952-4EC3-9EF4-F7EA05E8DF6A}"/>
    <cellStyle name="Normal 109 3" xfId="1968" xr:uid="{86D1D5D2-0AFD-4970-8D2B-C88B9CFDF1BC}"/>
    <cellStyle name="Normal 109 3 2" xfId="4828" xr:uid="{EA7A69EA-DE0E-4E40-951A-139847CB3F51}"/>
    <cellStyle name="Normal 109 4" xfId="3412" xr:uid="{C59E1999-E428-42AF-A03B-1B22DDBF4959}"/>
    <cellStyle name="Normal 11" xfId="40" xr:uid="{00000000-0005-0000-0000-000092020000}"/>
    <cellStyle name="Normal 110" xfId="457" xr:uid="{00000000-0005-0000-0000-000093020000}"/>
    <cellStyle name="Normal 110 2" xfId="1177" xr:uid="{00000000-0005-0000-0000-000094020000}"/>
    <cellStyle name="Normal 110 2 2" xfId="2625" xr:uid="{87C3AB05-B005-4FBE-A7CE-EE915EAD3FE5}"/>
    <cellStyle name="Normal 110 2 2 2" xfId="5481" xr:uid="{F9B60C1F-1605-4E95-966C-636492FA15B5}"/>
    <cellStyle name="Normal 110 2 3" xfId="4063" xr:uid="{96465D5F-97C1-4DA0-9C9E-6598C442272D}"/>
    <cellStyle name="Normal 110 3" xfId="1980" xr:uid="{5E70EDC7-1793-4DE1-8D84-31884ACC34B9}"/>
    <cellStyle name="Normal 110 3 2" xfId="4840" xr:uid="{5A26D19E-8218-4689-93CB-683F5263D654}"/>
    <cellStyle name="Normal 110 4" xfId="3424" xr:uid="{80B90844-44D1-49A5-AC5F-B7D6A1A72F80}"/>
    <cellStyle name="Normal 111" xfId="459" xr:uid="{00000000-0005-0000-0000-000095020000}"/>
    <cellStyle name="Normal 111 2" xfId="1179" xr:uid="{00000000-0005-0000-0000-000096020000}"/>
    <cellStyle name="Normal 111 2 2" xfId="2627" xr:uid="{CD0B146B-7E9E-4A2E-B089-BC2422AD9E36}"/>
    <cellStyle name="Normal 111 2 2 2" xfId="5483" xr:uid="{08DBFED5-DEA1-4E20-8CDC-2C84DF1F35FF}"/>
    <cellStyle name="Normal 111 2 3" xfId="4065" xr:uid="{B7938DC3-B893-4438-97A2-DB406ABC5BD4}"/>
    <cellStyle name="Normal 111 3" xfId="1982" xr:uid="{74C86021-6E68-4D14-A14A-3363D42205D9}"/>
    <cellStyle name="Normal 111 3 2" xfId="4842" xr:uid="{A4CBDC13-B199-43C6-ABD8-9762CE3015D3}"/>
    <cellStyle name="Normal 111 4" xfId="3426" xr:uid="{D551B685-A888-40FC-B147-B1E361C4A74D}"/>
    <cellStyle name="Normal 112" xfId="463" xr:uid="{00000000-0005-0000-0000-000097020000}"/>
    <cellStyle name="Normal 112 2" xfId="1183" xr:uid="{00000000-0005-0000-0000-000098020000}"/>
    <cellStyle name="Normal 112 2 2" xfId="2631" xr:uid="{7C48144E-9C07-4239-A42B-25767DF28F8D}"/>
    <cellStyle name="Normal 112 2 2 2" xfId="5487" xr:uid="{469098AD-8F5C-45DC-BEB7-C9A79273FD8F}"/>
    <cellStyle name="Normal 112 2 3" xfId="4069" xr:uid="{619DBDB9-6434-448B-A784-C2A36A2571D0}"/>
    <cellStyle name="Normal 112 3" xfId="1986" xr:uid="{19A0FA17-CFAF-423C-B1D9-68D205FB39DB}"/>
    <cellStyle name="Normal 112 3 2" xfId="4846" xr:uid="{CD2EA7E6-5804-48FE-8C38-D983A4E08289}"/>
    <cellStyle name="Normal 112 4" xfId="3430" xr:uid="{60B8115D-DB08-4216-B6F8-5FB618A39223}"/>
    <cellStyle name="Normal 113" xfId="472" xr:uid="{00000000-0005-0000-0000-000099020000}"/>
    <cellStyle name="Normal 113 2" xfId="1192" xr:uid="{00000000-0005-0000-0000-00009A020000}"/>
    <cellStyle name="Normal 113 2 2" xfId="2640" xr:uid="{BAEF4A1C-52EF-4C20-8EB3-647F939E08FD}"/>
    <cellStyle name="Normal 113 2 2 2" xfId="5496" xr:uid="{BE380D96-50E5-489D-B4AD-976036030D23}"/>
    <cellStyle name="Normal 113 2 3" xfId="4078" xr:uid="{9EB936A7-1FB6-4667-BAAA-E19F5364FC1A}"/>
    <cellStyle name="Normal 113 3" xfId="1995" xr:uid="{5EE92F44-EEA8-464B-AD0F-D76C3A2F8BD8}"/>
    <cellStyle name="Normal 113 3 2" xfId="4855" xr:uid="{9D0AC234-E852-4344-90DA-D350733F15C0}"/>
    <cellStyle name="Normal 113 4" xfId="3439" xr:uid="{388DC1F3-5076-4A39-9899-35C0BC1D944C}"/>
    <cellStyle name="Normal 114" xfId="475" xr:uid="{00000000-0005-0000-0000-00009B020000}"/>
    <cellStyle name="Normal 114 2" xfId="1195" xr:uid="{00000000-0005-0000-0000-00009C020000}"/>
    <cellStyle name="Normal 114 2 2" xfId="2643" xr:uid="{5AAC8D5B-415C-4690-8A66-916451407CE4}"/>
    <cellStyle name="Normal 114 2 2 2" xfId="5499" xr:uid="{3914D479-AE76-4E7F-8DD0-B973D1F59441}"/>
    <cellStyle name="Normal 114 2 3" xfId="4081" xr:uid="{1331949D-AC57-4B2B-B82F-1620073D7774}"/>
    <cellStyle name="Normal 114 3" xfId="1998" xr:uid="{5BB1FE5C-5D6D-4E65-BD96-E0DCF10CE87A}"/>
    <cellStyle name="Normal 114 3 2" xfId="4858" xr:uid="{DA6A4390-AA7A-4F7E-A99B-869B01D53E90}"/>
    <cellStyle name="Normal 114 4" xfId="3442" xr:uid="{EA8285A4-0C9C-4633-810F-752C004D74D4}"/>
    <cellStyle name="Normal 115" xfId="478" xr:uid="{00000000-0005-0000-0000-00009D020000}"/>
    <cellStyle name="Normal 115 2" xfId="1198" xr:uid="{00000000-0005-0000-0000-00009E020000}"/>
    <cellStyle name="Normal 115 2 2" xfId="2646" xr:uid="{AF66D9CF-1442-467E-9B91-8C41AC1A021C}"/>
    <cellStyle name="Normal 115 2 2 2" xfId="5502" xr:uid="{15BB8C7C-1BB7-4CE3-92B1-A66D68CAB3EB}"/>
    <cellStyle name="Normal 115 2 3" xfId="4084" xr:uid="{173875DF-9769-4A78-AD4B-67BF0E54F42F}"/>
    <cellStyle name="Normal 115 3" xfId="2001" xr:uid="{7AA9AC9B-EE98-4887-B06D-8A1CE5808F43}"/>
    <cellStyle name="Normal 115 3 2" xfId="4861" xr:uid="{BF535C8A-9460-4A43-9C5E-5F6471A8A82C}"/>
    <cellStyle name="Normal 115 4" xfId="3445" xr:uid="{F33ADFAA-C4A8-4278-A476-D29A0A36C0A3}"/>
    <cellStyle name="Normal 116" xfId="482" xr:uid="{00000000-0005-0000-0000-00009F020000}"/>
    <cellStyle name="Normal 116 2" xfId="1202" xr:uid="{00000000-0005-0000-0000-0000A0020000}"/>
    <cellStyle name="Normal 116 2 2" xfId="2650" xr:uid="{58083890-B2CB-4B59-AB24-DDA61DF79C92}"/>
    <cellStyle name="Normal 116 2 2 2" xfId="5506" xr:uid="{9F21837B-8C50-496B-8728-63E02A000B80}"/>
    <cellStyle name="Normal 116 2 3" xfId="4088" xr:uid="{3A9F5D9B-5905-44DB-86E2-1B7659A87D96}"/>
    <cellStyle name="Normal 116 3" xfId="2005" xr:uid="{80B1AB40-C893-46AF-BA10-2AF189D878F8}"/>
    <cellStyle name="Normal 116 3 2" xfId="4865" xr:uid="{3A5EEC57-6229-485D-A173-A9A7F2ED2902}"/>
    <cellStyle name="Normal 116 4" xfId="3449" xr:uid="{8DE66416-E488-42A6-AF55-995314E9E1AD}"/>
    <cellStyle name="Normal 117" xfId="490" xr:uid="{00000000-0005-0000-0000-0000A1020000}"/>
    <cellStyle name="Normal 117 2" xfId="1209" xr:uid="{00000000-0005-0000-0000-0000A2020000}"/>
    <cellStyle name="Normal 117 2 2" xfId="2657" xr:uid="{2CF1B72E-CC3D-48CB-9DBD-C115301FA332}"/>
    <cellStyle name="Normal 117 2 2 2" xfId="5513" xr:uid="{22B75465-0A3D-4AB1-8171-433294D913BF}"/>
    <cellStyle name="Normal 117 2 3" xfId="4095" xr:uid="{162CB5BD-CF79-4369-916B-2CB64B25F3F7}"/>
    <cellStyle name="Normal 117 3" xfId="2012" xr:uid="{A2E49DC4-BB0C-4846-B1D5-314A81C541EF}"/>
    <cellStyle name="Normal 117 3 2" xfId="4872" xr:uid="{F20FB52A-FAC6-4373-9F92-BD4041DD9FFB}"/>
    <cellStyle name="Normal 117 4" xfId="3456" xr:uid="{0EF9BE67-31E6-4318-810C-C8181997CD1F}"/>
    <cellStyle name="Normal 118" xfId="492" xr:uid="{00000000-0005-0000-0000-0000A3020000}"/>
    <cellStyle name="Normal 118 2" xfId="1211" xr:uid="{00000000-0005-0000-0000-0000A4020000}"/>
    <cellStyle name="Normal 118 2 2" xfId="2659" xr:uid="{EA19B1DC-DFA5-4916-9FCF-EA89B616B668}"/>
    <cellStyle name="Normal 118 2 2 2" xfId="5515" xr:uid="{CFF25342-B470-4314-8FBF-D079C3383046}"/>
    <cellStyle name="Normal 118 2 3" xfId="4097" xr:uid="{5F3EDF43-6E52-498D-B1AB-A4E87D23E165}"/>
    <cellStyle name="Normal 118 3" xfId="2014" xr:uid="{69705A7D-8BFA-4567-A093-0D99625BEE92}"/>
    <cellStyle name="Normal 118 3 2" xfId="4874" xr:uid="{8EACC5CE-262E-419F-BD30-B48588D04E64}"/>
    <cellStyle name="Normal 118 4" xfId="3458" xr:uid="{27EF82E8-956E-4773-B6E9-87780729734C}"/>
    <cellStyle name="Normal 119" xfId="501" xr:uid="{00000000-0005-0000-0000-0000A5020000}"/>
    <cellStyle name="Normal 119 2" xfId="1220" xr:uid="{00000000-0005-0000-0000-0000A6020000}"/>
    <cellStyle name="Normal 119 2 2" xfId="2668" xr:uid="{D82F61A6-E3FC-4096-9EAE-73F6786B2E5D}"/>
    <cellStyle name="Normal 119 2 2 2" xfId="5524" xr:uid="{AA86AD7D-347D-4275-A224-4C34A098FA3C}"/>
    <cellStyle name="Normal 119 2 3" xfId="4106" xr:uid="{1A9B9402-F55B-4D64-9B9D-AC8EF8D230E2}"/>
    <cellStyle name="Normal 119 3" xfId="2023" xr:uid="{B27F9EAC-0A9E-432B-9B5D-4BC4C7D328C0}"/>
    <cellStyle name="Normal 119 3 2" xfId="4883" xr:uid="{15665659-432C-41DB-AF43-AAEF4E796127}"/>
    <cellStyle name="Normal 119 4" xfId="3467" xr:uid="{4D1C1629-12CA-48F1-9D1E-26269C8313BD}"/>
    <cellStyle name="Normal 12" xfId="46" xr:uid="{00000000-0005-0000-0000-0000A7020000}"/>
    <cellStyle name="Normal 12 2" xfId="50" xr:uid="{00000000-0005-0000-0000-0000A8020000}"/>
    <cellStyle name="Normal 120" xfId="503" xr:uid="{00000000-0005-0000-0000-0000A9020000}"/>
    <cellStyle name="Normal 120 2" xfId="1222" xr:uid="{00000000-0005-0000-0000-0000AA020000}"/>
    <cellStyle name="Normal 120 2 2" xfId="2670" xr:uid="{DD475C11-6C16-4D88-8487-46C4A74A3657}"/>
    <cellStyle name="Normal 120 2 2 2" xfId="5526" xr:uid="{B9AB409E-1291-44BD-AFAD-2293E541DB93}"/>
    <cellStyle name="Normal 120 2 3" xfId="4108" xr:uid="{2250CA0D-158A-40B1-8224-B486E3BF0CF7}"/>
    <cellStyle name="Normal 120 3" xfId="2025" xr:uid="{3459311A-A2D9-4EE7-A7D5-0515A9F71E44}"/>
    <cellStyle name="Normal 120 3 2" xfId="4885" xr:uid="{06D8FED4-570E-4B66-B88F-3099B4A87D66}"/>
    <cellStyle name="Normal 120 4" xfId="3469" xr:uid="{55780528-DC7F-4BD4-8240-B12D342E6C73}"/>
    <cellStyle name="Normal 121" xfId="513" xr:uid="{00000000-0005-0000-0000-0000AB020000}"/>
    <cellStyle name="Normal 121 2" xfId="1232" xr:uid="{00000000-0005-0000-0000-0000AC020000}"/>
    <cellStyle name="Normal 121 2 2" xfId="2680" xr:uid="{CAC77546-8BFC-4511-922E-3D8AA2BAC024}"/>
    <cellStyle name="Normal 121 2 2 2" xfId="5536" xr:uid="{3281B23A-5366-4183-BE87-AEB25AE75EBD}"/>
    <cellStyle name="Normal 121 2 3" xfId="4118" xr:uid="{44A8B911-1C71-42D9-BDD1-1C84E78EC126}"/>
    <cellStyle name="Normal 121 3" xfId="2035" xr:uid="{FD575076-EC9B-471C-AD42-AC7FDD44B425}"/>
    <cellStyle name="Normal 121 3 2" xfId="4895" xr:uid="{A4C8269A-BE0A-447A-986E-2EFB9E127FBE}"/>
    <cellStyle name="Normal 121 4" xfId="3479" xr:uid="{B13AE1BB-EAB1-40D1-935C-8C7374EF255E}"/>
    <cellStyle name="Normal 122" xfId="515" xr:uid="{00000000-0005-0000-0000-0000AD020000}"/>
    <cellStyle name="Normal 122 2" xfId="1234" xr:uid="{00000000-0005-0000-0000-0000AE020000}"/>
    <cellStyle name="Normal 122 2 2" xfId="2682" xr:uid="{7940B7F7-E626-4EC5-B818-2677265B7CC7}"/>
    <cellStyle name="Normal 122 2 2 2" xfId="5538" xr:uid="{A5F86D01-3D3B-45D5-8E1D-2F9511BC91FB}"/>
    <cellStyle name="Normal 122 2 3" xfId="4120" xr:uid="{07C24BE8-584F-41E6-B65B-47C0BD114495}"/>
    <cellStyle name="Normal 122 3" xfId="2037" xr:uid="{723AE8C2-C047-4B2A-907B-A4BF6C3DBD7D}"/>
    <cellStyle name="Normal 122 3 2" xfId="4897" xr:uid="{811176E3-05C3-4656-8B60-C2967841C74F}"/>
    <cellStyle name="Normal 122 4" xfId="3481" xr:uid="{9D9D2B5C-0F5D-484E-AE02-1CDC25FA2149}"/>
    <cellStyle name="Normal 123" xfId="524" xr:uid="{00000000-0005-0000-0000-0000AF020000}"/>
    <cellStyle name="Normal 123 2" xfId="1243" xr:uid="{00000000-0005-0000-0000-0000B0020000}"/>
    <cellStyle name="Normal 123 2 2" xfId="2691" xr:uid="{3C4D0600-E0DE-4670-B9D9-68DFC5C0DF0C}"/>
    <cellStyle name="Normal 123 2 2 2" xfId="5547" xr:uid="{8EBE7584-C01E-48F6-ABF7-760DD9E8419C}"/>
    <cellStyle name="Normal 123 2 3" xfId="4129" xr:uid="{84CA0600-44F3-4A99-8F0B-0E67A3A1CE6E}"/>
    <cellStyle name="Normal 123 3" xfId="2046" xr:uid="{484A36E0-6912-45B0-9ECB-CB3B9D67404C}"/>
    <cellStyle name="Normal 123 3 2" xfId="4906" xr:uid="{FB4876DD-BFF8-42A7-A1B4-DC12B582D6D5}"/>
    <cellStyle name="Normal 123 4" xfId="3490" xr:uid="{54C89A22-3234-437F-8400-17427D38995C}"/>
    <cellStyle name="Normal 124" xfId="526" xr:uid="{00000000-0005-0000-0000-0000B1020000}"/>
    <cellStyle name="Normal 124 2" xfId="536" xr:uid="{00000000-0005-0000-0000-0000B2020000}"/>
    <cellStyle name="Normal 124 2 2" xfId="1255" xr:uid="{00000000-0005-0000-0000-0000B3020000}"/>
    <cellStyle name="Normal 124 2 2 2" xfId="2703" xr:uid="{74A9E951-AF9F-4065-AD5D-3839BBA57E06}"/>
    <cellStyle name="Normal 124 2 2 2 2" xfId="5559" xr:uid="{9C7E31AB-D750-4BFF-AD07-1D45B9DC85D7}"/>
    <cellStyle name="Normal 124 2 2 3" xfId="4141" xr:uid="{8907B208-2E5F-4245-84E7-E9E7DFF2D5D5}"/>
    <cellStyle name="Normal 124 2 3" xfId="2058" xr:uid="{D7A84CC1-7821-40FC-AE94-06514C0B66CF}"/>
    <cellStyle name="Normal 124 2 3 2" xfId="4918" xr:uid="{8F8D9749-8C93-4F35-860A-038A44AF2DC2}"/>
    <cellStyle name="Normal 124 2 4" xfId="3502" xr:uid="{6F6D5E59-FAEE-49DB-A74A-C0F0B9AADF26}"/>
    <cellStyle name="Normal 124 3" xfId="1245" xr:uid="{00000000-0005-0000-0000-0000B4020000}"/>
    <cellStyle name="Normal 124 3 2" xfId="2693" xr:uid="{4A6517AD-DECE-49AD-81EE-ACF8BE5CA969}"/>
    <cellStyle name="Normal 124 3 2 2" xfId="5549" xr:uid="{0A56EB35-9687-425E-8A59-1BC8B335562E}"/>
    <cellStyle name="Normal 124 3 3" xfId="4131" xr:uid="{5ED7E8F9-8D5E-4E6D-86EB-7A99DED3BC44}"/>
    <cellStyle name="Normal 124 4" xfId="2048" xr:uid="{615E0FAC-4D3F-4A59-A513-0E513F0AE6BA}"/>
    <cellStyle name="Normal 124 4 2" xfId="4908" xr:uid="{F0A4A762-54E5-4B2C-B480-D5D6A0F37F28}"/>
    <cellStyle name="Normal 124 5" xfId="3492" xr:uid="{B4A25C15-DA0F-48A5-8762-5AF8B3358526}"/>
    <cellStyle name="Normal 125" xfId="542" xr:uid="{00000000-0005-0000-0000-0000B5020000}"/>
    <cellStyle name="Normal 125 2" xfId="1261" xr:uid="{00000000-0005-0000-0000-0000B6020000}"/>
    <cellStyle name="Normal 125 2 2" xfId="2709" xr:uid="{787E73C2-C5F0-4E23-BC55-083AAB93624F}"/>
    <cellStyle name="Normal 125 2 2 2" xfId="5565" xr:uid="{4BB61FE3-0EEC-4B37-8030-02954EDE9B88}"/>
    <cellStyle name="Normal 125 2 3" xfId="4147" xr:uid="{E850E5BB-762B-4A90-A995-0AA91ADDF72A}"/>
    <cellStyle name="Normal 125 3" xfId="2064" xr:uid="{E2AD631E-B7BE-4F69-BAB4-512E86377D32}"/>
    <cellStyle name="Normal 125 3 2" xfId="4924" xr:uid="{8BD45532-929A-4F0D-970A-FA0F04A37EC7}"/>
    <cellStyle name="Normal 125 4" xfId="3508" xr:uid="{AF74C1F6-EBF6-43DC-98F9-744AA5FDDDC8}"/>
    <cellStyle name="Normal 126" xfId="546" xr:uid="{00000000-0005-0000-0000-0000B7020000}"/>
    <cellStyle name="Normal 126 2" xfId="1265" xr:uid="{00000000-0005-0000-0000-0000B8020000}"/>
    <cellStyle name="Normal 126 2 2" xfId="2713" xr:uid="{DEED6A6E-C14F-453E-8234-08BAB215FF5D}"/>
    <cellStyle name="Normal 126 2 2 2" xfId="5569" xr:uid="{08EE9FF8-20E2-4B34-82BD-E12AD4673749}"/>
    <cellStyle name="Normal 126 2 3" xfId="4151" xr:uid="{A2CAC99E-4DB6-4C66-9153-B9F3B913677A}"/>
    <cellStyle name="Normal 126 3" xfId="2068" xr:uid="{DB2D4E15-2EFE-470A-B464-01EF6E810983}"/>
    <cellStyle name="Normal 126 3 2" xfId="4928" xr:uid="{10FDCD2E-F84C-4B93-AA03-F654BAF8503B}"/>
    <cellStyle name="Normal 126 4" xfId="3512" xr:uid="{DA17E083-4A02-4467-8CBC-01441BFDCF71}"/>
    <cellStyle name="Normal 127" xfId="553" xr:uid="{00000000-0005-0000-0000-0000B9020000}"/>
    <cellStyle name="Normal 127 2" xfId="1272" xr:uid="{00000000-0005-0000-0000-0000BA020000}"/>
    <cellStyle name="Normal 127 2 2" xfId="2720" xr:uid="{AF3D1ACF-53FF-4F12-B466-94873AF7834B}"/>
    <cellStyle name="Normal 127 2 2 2" xfId="5576" xr:uid="{6B6C0368-5131-4806-B6DD-DFD8020BA6CF}"/>
    <cellStyle name="Normal 127 2 3" xfId="4158" xr:uid="{5E081666-31BF-43D7-9118-48C554118F16}"/>
    <cellStyle name="Normal 127 3" xfId="2075" xr:uid="{5F88183E-712C-4BC6-896E-3A3928652EB0}"/>
    <cellStyle name="Normal 127 3 2" xfId="4935" xr:uid="{7A0E2B1C-26BD-4522-8A66-27D24DDE1B30}"/>
    <cellStyle name="Normal 127 4" xfId="3519" xr:uid="{D1E5A6C6-DA52-4CF3-8DFE-A9C62671E9A0}"/>
    <cellStyle name="Normal 128" xfId="556" xr:uid="{00000000-0005-0000-0000-0000BB020000}"/>
    <cellStyle name="Normal 128 2" xfId="1275" xr:uid="{00000000-0005-0000-0000-0000BC020000}"/>
    <cellStyle name="Normal 128 2 2" xfId="2723" xr:uid="{2C7D6A27-7810-45B8-8313-C17AE7C4AE49}"/>
    <cellStyle name="Normal 128 2 2 2" xfId="5579" xr:uid="{DDD57349-82EC-47B5-BD32-CEE3F6E98996}"/>
    <cellStyle name="Normal 128 2 3" xfId="4161" xr:uid="{338B74B2-EE01-417D-A462-982EC7146AE0}"/>
    <cellStyle name="Normal 128 3" xfId="2078" xr:uid="{C51AB0A7-3E8F-4968-ABF6-2FC7B83A3808}"/>
    <cellStyle name="Normal 128 3 2" xfId="4938" xr:uid="{5260964C-1C52-4570-8E74-B2EE6501E994}"/>
    <cellStyle name="Normal 128 4" xfId="3522" xr:uid="{4F3A4765-9DB8-43FA-B5A5-5F5CE540596D}"/>
    <cellStyle name="Normal 129" xfId="558" xr:uid="{00000000-0005-0000-0000-0000BD020000}"/>
    <cellStyle name="Normal 129 2" xfId="1277" xr:uid="{00000000-0005-0000-0000-0000BE020000}"/>
    <cellStyle name="Normal 129 2 2" xfId="2725" xr:uid="{6A3A21DB-20A0-4CCE-9783-F9A5AF3CEED7}"/>
    <cellStyle name="Normal 129 2 2 2" xfId="5581" xr:uid="{7BF4A2B4-3E3D-4CE0-B943-4D82585D92D4}"/>
    <cellStyle name="Normal 129 2 3" xfId="4163" xr:uid="{8AD4FEE0-EFE9-4C27-AE5F-0CBCBB837FA7}"/>
    <cellStyle name="Normal 129 3" xfId="2080" xr:uid="{167D4044-EA75-4480-ACAE-E5A96379F8A6}"/>
    <cellStyle name="Normal 129 3 2" xfId="4940" xr:uid="{8602E65F-4B43-4C26-B929-AF6CF33BD997}"/>
    <cellStyle name="Normal 129 4" xfId="3524" xr:uid="{33BA0019-B59E-43AB-B0DB-6238807FCCF1}"/>
    <cellStyle name="Normal 13" xfId="48" xr:uid="{00000000-0005-0000-0000-0000BF020000}"/>
    <cellStyle name="Normal 13 2" xfId="61" xr:uid="{00000000-0005-0000-0000-0000C0020000}"/>
    <cellStyle name="Normal 13 2 2" xfId="183" xr:uid="{00000000-0005-0000-0000-0000C1020000}"/>
    <cellStyle name="Normal 13 2 2 2" xfId="905" xr:uid="{00000000-0005-0000-0000-0000C2020000}"/>
    <cellStyle name="Normal 13 2 2 2 2" xfId="2353" xr:uid="{8B398942-1157-4B7A-A42D-01315E9C3504}"/>
    <cellStyle name="Normal 13 2 2 2 2 2" xfId="5209" xr:uid="{BBF1EF2B-7B0B-4FD0-9328-0E03DCAA40E9}"/>
    <cellStyle name="Normal 13 2 2 2 3" xfId="3791" xr:uid="{95824DC7-714E-49BB-9ADA-A4C2EBC8B636}"/>
    <cellStyle name="Normal 13 2 2 3" xfId="1706" xr:uid="{116A53FF-96DF-41C0-9CD9-2A3FF5B92B3C}"/>
    <cellStyle name="Normal 13 2 2 3 2" xfId="4566" xr:uid="{832E753D-EE61-4936-AC52-11465BB06874}"/>
    <cellStyle name="Normal 13 2 2 4" xfId="3150" xr:uid="{071559CD-36CB-48C7-9BE9-4A6C03784976}"/>
    <cellStyle name="Normal 13 2 3" xfId="789" xr:uid="{00000000-0005-0000-0000-0000C3020000}"/>
    <cellStyle name="Normal 13 2 3 2" xfId="2240" xr:uid="{C9100BB2-013C-4FC4-A287-2259E1AE5201}"/>
    <cellStyle name="Normal 13 2 3 2 2" xfId="5096" xr:uid="{0D961224-F12D-4DD3-9015-2BE557DC3348}"/>
    <cellStyle name="Normal 13 2 3 3" xfId="3678" xr:uid="{EB9BA9F6-90EB-4EF0-80B5-0D317F33F7D5}"/>
    <cellStyle name="Normal 13 2 4" xfId="1592" xr:uid="{2D10A44D-6765-4032-9C5A-FB8283D6D56F}"/>
    <cellStyle name="Normal 13 2 4 2" xfId="4452" xr:uid="{4D48E6DA-6363-423B-888A-79FFED724DCE}"/>
    <cellStyle name="Normal 13 2 5" xfId="3037" xr:uid="{8EF431D8-97E6-40BF-AB74-653E13A26BE9}"/>
    <cellStyle name="Normal 13 3" xfId="781" xr:uid="{00000000-0005-0000-0000-0000C4020000}"/>
    <cellStyle name="Normal 13 3 2" xfId="2233" xr:uid="{E59032A2-7C3B-4E0C-9BE8-0C10FCFEB7E5}"/>
    <cellStyle name="Normal 13 3 2 2" xfId="5089" xr:uid="{BA2C964A-46B1-4EDD-822E-A0AD2FA8F6B7}"/>
    <cellStyle name="Normal 13 3 3" xfId="3671" xr:uid="{5711639C-8EB6-47EB-9BFC-651F605B46C2}"/>
    <cellStyle name="Normal 13 4" xfId="1585" xr:uid="{85E4F5CA-9DE6-41EC-97F2-4EEB432C6CE2}"/>
    <cellStyle name="Normal 13 4 2" xfId="4445" xr:uid="{5CBC31AC-F77C-4A32-A27C-831A2A9BBA0E}"/>
    <cellStyle name="Normal 13 5" xfId="3030" xr:uid="{15F403F6-8CD1-4C83-A95C-5B1BA50DFDA1}"/>
    <cellStyle name="Normal 130" xfId="562" xr:uid="{00000000-0005-0000-0000-0000C5020000}"/>
    <cellStyle name="Normal 130 2" xfId="1281" xr:uid="{00000000-0005-0000-0000-0000C6020000}"/>
    <cellStyle name="Normal 130 2 2" xfId="2729" xr:uid="{15B557E1-A90C-49ED-B149-56AEF8CA3B2C}"/>
    <cellStyle name="Normal 130 2 2 2" xfId="5585" xr:uid="{1DCA50E9-0117-4268-A221-039E6B211DF6}"/>
    <cellStyle name="Normal 130 2 3" xfId="4167" xr:uid="{4C02E8ED-7E1A-4308-85D3-EAE57526FF57}"/>
    <cellStyle name="Normal 130 3" xfId="2084" xr:uid="{E8E9C67E-E058-4213-BDB2-C837A148D2A3}"/>
    <cellStyle name="Normal 130 3 2" xfId="4944" xr:uid="{574BAA11-17A1-494A-89C0-09F4D6B754DB}"/>
    <cellStyle name="Normal 130 4" xfId="3528" xr:uid="{8363AC7D-BC1C-43C5-B7E7-56F92BA7863F}"/>
    <cellStyle name="Normal 131" xfId="569" xr:uid="{00000000-0005-0000-0000-0000C7020000}"/>
    <cellStyle name="Normal 131 2" xfId="1288" xr:uid="{00000000-0005-0000-0000-0000C8020000}"/>
    <cellStyle name="Normal 131 2 2" xfId="2736" xr:uid="{0504431D-7CF3-4BEF-98DF-A165444E8310}"/>
    <cellStyle name="Normal 131 2 2 2" xfId="5592" xr:uid="{45F1DD0C-C506-47E5-A8B0-EE2756C602B0}"/>
    <cellStyle name="Normal 131 2 3" xfId="4174" xr:uid="{637E0DEE-9284-4C8E-AA78-40968D4E742B}"/>
    <cellStyle name="Normal 131 3" xfId="2091" xr:uid="{AB000704-364D-4D0C-BFD0-A96ED14CEA76}"/>
    <cellStyle name="Normal 131 3 2" xfId="4951" xr:uid="{6F3ACE4B-CDD4-46DD-A8CE-7A20BEED000F}"/>
    <cellStyle name="Normal 131 4" xfId="3535" xr:uid="{FCC253CE-504A-4215-B7CA-5C00D96F351D}"/>
    <cellStyle name="Normal 132" xfId="571" xr:uid="{00000000-0005-0000-0000-0000C9020000}"/>
    <cellStyle name="Normal 132 2" xfId="597" xr:uid="{00000000-0005-0000-0000-0000CA020000}"/>
    <cellStyle name="Normal 132 2 2" xfId="1315" xr:uid="{00000000-0005-0000-0000-0000CB020000}"/>
    <cellStyle name="Normal 132 2 2 2" xfId="2763" xr:uid="{25B721FC-014A-4A47-8C00-69BE54419D06}"/>
    <cellStyle name="Normal 132 2 2 2 2" xfId="5619" xr:uid="{376BF0B4-BE69-4F02-B41A-E6D6493902BF}"/>
    <cellStyle name="Normal 132 2 2 3" xfId="4201" xr:uid="{E0C1C95C-C533-4456-8AB6-AABCDFD10F09}"/>
    <cellStyle name="Normal 132 2 3" xfId="2118" xr:uid="{86CD5624-1058-45D9-BB9A-AE8B4CC55DC5}"/>
    <cellStyle name="Normal 132 2 3 2" xfId="4978" xr:uid="{95D9A392-DF38-4623-A4F6-4BD0DAFFC676}"/>
    <cellStyle name="Normal 132 2 4" xfId="3562" xr:uid="{732E646B-495F-471F-B14D-85D28D9E360F}"/>
    <cellStyle name="Normal 132 3" xfId="1290" xr:uid="{00000000-0005-0000-0000-0000CC020000}"/>
    <cellStyle name="Normal 132 3 2" xfId="2738" xr:uid="{32BA17EB-97AE-4C80-B366-9C32FFE86BD6}"/>
    <cellStyle name="Normal 132 3 2 2" xfId="5594" xr:uid="{3B8F64E1-EF77-47DE-AF1F-669E87302565}"/>
    <cellStyle name="Normal 132 3 3" xfId="4176" xr:uid="{C56C3E2B-81F6-47D3-8D26-DDEA18910508}"/>
    <cellStyle name="Normal 132 4" xfId="2093" xr:uid="{A42FA19C-99A6-4873-AE0F-4BC847DB0A2C}"/>
    <cellStyle name="Normal 132 4 2" xfId="4953" xr:uid="{5023CFCA-2A96-49F4-9A08-F7C089690009}"/>
    <cellStyle name="Normal 132 5" xfId="3537" xr:uid="{B7F8DFF4-1F77-46EB-B319-B5ECEEF75FAD}"/>
    <cellStyle name="Normal 133" xfId="575" xr:uid="{00000000-0005-0000-0000-0000CD020000}"/>
    <cellStyle name="Normal 133 2" xfId="1294" xr:uid="{00000000-0005-0000-0000-0000CE020000}"/>
    <cellStyle name="Normal 133 2 2" xfId="2742" xr:uid="{94F7CBCA-C6BE-4706-A47E-0A0C589715D0}"/>
    <cellStyle name="Normal 133 2 2 2" xfId="5598" xr:uid="{6D1553D9-6281-44A4-A1DF-5B064F832FA7}"/>
    <cellStyle name="Normal 133 2 3" xfId="4180" xr:uid="{72B081C9-29B2-49F0-B73F-0EB75F91FF9D}"/>
    <cellStyle name="Normal 133 3" xfId="2097" xr:uid="{4A261940-23A2-4759-8DC5-14E51246CE22}"/>
    <cellStyle name="Normal 133 3 2" xfId="4957" xr:uid="{910D3537-47B6-420E-B3D9-5F24C5BCFC0A}"/>
    <cellStyle name="Normal 133 4" xfId="3541" xr:uid="{11C12586-5432-4BA3-B425-8D07A57602E1}"/>
    <cellStyle name="Normal 134" xfId="581" xr:uid="{00000000-0005-0000-0000-0000CF020000}"/>
    <cellStyle name="Normal 134 2" xfId="711" xr:uid="{00000000-0005-0000-0000-0000D0020000}"/>
    <cellStyle name="Normal 134 2 2" xfId="1392" xr:uid="{00000000-0005-0000-0000-0000D1020000}"/>
    <cellStyle name="Normal 134 2 2 2" xfId="2839" xr:uid="{23E45E6F-B547-449C-95A5-3126E1AD78D8}"/>
    <cellStyle name="Normal 134 2 2 2 2" xfId="5694" xr:uid="{D38941EB-6B2C-44A5-8536-9C706C9FECCB}"/>
    <cellStyle name="Normal 134 2 2 3" xfId="4276" xr:uid="{3DE49DB6-BA54-42B5-B95D-9C589AFF854C}"/>
    <cellStyle name="Normal 134 2 3" xfId="2198" xr:uid="{37C4DD14-8BF7-4AEC-A494-DEC0E8288494}"/>
    <cellStyle name="Normal 134 2 3 2" xfId="5055" xr:uid="{44D504BC-F914-4906-8599-74C43B629873}"/>
    <cellStyle name="Normal 134 2 4" xfId="3639" xr:uid="{226EB540-C56D-4ADE-BA46-826D556460D8}"/>
    <cellStyle name="Normal 134 2 5" xfId="5995" xr:uid="{2B6E96D7-549F-4014-8379-35620B8BEACA}"/>
    <cellStyle name="Normal 134 3" xfId="1300" xr:uid="{00000000-0005-0000-0000-0000D2020000}"/>
    <cellStyle name="Normal 134 3 2" xfId="2748" xr:uid="{814806E0-676F-4190-9CAE-051BAB9FE03A}"/>
    <cellStyle name="Normal 134 3 2 2" xfId="5604" xr:uid="{50447FBB-B255-4B16-AB84-25DC6D339B37}"/>
    <cellStyle name="Normal 134 3 3" xfId="4186" xr:uid="{BA83C254-F58D-4D7E-A9F4-8D8DD91B1351}"/>
    <cellStyle name="Normal 134 4" xfId="2103" xr:uid="{5DCE9618-5403-4E1F-B620-40B3027006E2}"/>
    <cellStyle name="Normal 134 4 2" xfId="4963" xr:uid="{659E022A-3BEB-40EB-9345-82B7D293775E}"/>
    <cellStyle name="Normal 134 5" xfId="3547" xr:uid="{EDC35E18-3580-4560-B566-EECA3D693727}"/>
    <cellStyle name="Normal 135" xfId="593" xr:uid="{00000000-0005-0000-0000-0000D3020000}"/>
    <cellStyle name="Normal 135 2" xfId="1311" xr:uid="{00000000-0005-0000-0000-0000D4020000}"/>
    <cellStyle name="Normal 135 2 2" xfId="2759" xr:uid="{FC68B8C4-5CC2-49AA-8499-884E981290DB}"/>
    <cellStyle name="Normal 135 2 2 2" xfId="5615" xr:uid="{5614D614-644B-403D-8A69-75FCDB4AB390}"/>
    <cellStyle name="Normal 135 2 3" xfId="4197" xr:uid="{51810318-C63A-4E0E-BF08-5F1A5DF5DDA7}"/>
    <cellStyle name="Normal 135 3" xfId="2114" xr:uid="{454EA659-D743-4486-B9CD-BF9457A96DC2}"/>
    <cellStyle name="Normal 135 3 2" xfId="4974" xr:uid="{0A02FFCC-DFA6-4AF2-9652-3383FD024037}"/>
    <cellStyle name="Normal 135 4" xfId="3558" xr:uid="{0811D83C-CCAE-45F7-ACE6-F5103ED340DB}"/>
    <cellStyle name="Normal 136" xfId="596" xr:uid="{00000000-0005-0000-0000-0000D5020000}"/>
    <cellStyle name="Normal 136 2" xfId="1314" xr:uid="{00000000-0005-0000-0000-0000D6020000}"/>
    <cellStyle name="Normal 136 2 2" xfId="2762" xr:uid="{0266BEE9-0438-415E-A37A-62A3504CD755}"/>
    <cellStyle name="Normal 136 2 2 2" xfId="5618" xr:uid="{3BAD9FE5-04C0-4F02-BFCB-D9656F6DC23C}"/>
    <cellStyle name="Normal 136 2 3" xfId="4200" xr:uid="{5B76EBBF-A61F-41A9-B54B-FF257A8C162B}"/>
    <cellStyle name="Normal 136 3" xfId="2117" xr:uid="{1AFD958C-09B2-496B-AF24-F06138434F99}"/>
    <cellStyle name="Normal 136 3 2" xfId="4977" xr:uid="{6F5FB4E3-49C9-4EB4-81A7-A264DC1206DD}"/>
    <cellStyle name="Normal 136 4" xfId="3561" xr:uid="{54D422C4-8E6F-485F-94BD-A4B18E0C56BC}"/>
    <cellStyle name="Normal 137" xfId="602" xr:uid="{00000000-0005-0000-0000-0000D7020000}"/>
    <cellStyle name="Normal 137 2" xfId="1320" xr:uid="{00000000-0005-0000-0000-0000D8020000}"/>
    <cellStyle name="Normal 137 2 2" xfId="2768" xr:uid="{D9A70AE4-1093-4D3B-B702-0369AB9E0382}"/>
    <cellStyle name="Normal 137 2 2 2" xfId="5624" xr:uid="{A42CEA4C-2966-4C90-9CFF-BA930EB1EBCE}"/>
    <cellStyle name="Normal 137 2 3" xfId="4206" xr:uid="{06891F15-877B-4EF6-8E1C-5643F6EAC2F8}"/>
    <cellStyle name="Normal 137 3" xfId="2123" xr:uid="{ABDFC2DF-A819-4A4C-A9B1-C25580EC680B}"/>
    <cellStyle name="Normal 137 3 2" xfId="4983" xr:uid="{8F0D0530-26A4-418F-B006-8E3E6F01DD14}"/>
    <cellStyle name="Normal 137 4" xfId="3567" xr:uid="{AC34B1A2-3F30-4C70-B803-F74611E08F10}"/>
    <cellStyle name="Normal 138" xfId="604" xr:uid="{00000000-0005-0000-0000-0000D9020000}"/>
    <cellStyle name="Normal 138 2" xfId="1322" xr:uid="{00000000-0005-0000-0000-0000DA020000}"/>
    <cellStyle name="Normal 138 2 2" xfId="2770" xr:uid="{3267021C-B479-4643-9C08-0BA5BF05EBF7}"/>
    <cellStyle name="Normal 138 2 2 2" xfId="5626" xr:uid="{3FB103A7-8E94-4EAF-ABFD-BC64BA09AAC0}"/>
    <cellStyle name="Normal 138 2 3" xfId="4208" xr:uid="{7EAFCAC7-9072-4494-B459-588D1713CDBA}"/>
    <cellStyle name="Normal 138 3" xfId="2125" xr:uid="{0731AF70-B658-4405-B942-D4C2E28007C0}"/>
    <cellStyle name="Normal 138 3 2" xfId="4985" xr:uid="{5753EE9C-6D71-42E9-AFFE-45B23FECDF93}"/>
    <cellStyle name="Normal 138 4" xfId="3569" xr:uid="{157209FF-BB8C-4430-BE73-6E2222AEF18A}"/>
    <cellStyle name="Normal 139" xfId="608" xr:uid="{00000000-0005-0000-0000-0000DB020000}"/>
    <cellStyle name="Normal 139 2" xfId="630" xr:uid="{00000000-0005-0000-0000-0000DC020000}"/>
    <cellStyle name="Normal 139 2 2" xfId="1344" xr:uid="{00000000-0005-0000-0000-0000DD020000}"/>
    <cellStyle name="Normal 139 2 2 2" xfId="2792" xr:uid="{D9C9D585-3999-4A77-BE48-B5A59F5FA79B}"/>
    <cellStyle name="Normal 139 2 2 2 2" xfId="5648" xr:uid="{FF12BA28-88F2-4F37-B7A8-7B8CDD1D1A4F}"/>
    <cellStyle name="Normal 139 2 2 3" xfId="4230" xr:uid="{5519F5DE-2A1C-465E-A0AC-D95F34657331}"/>
    <cellStyle name="Normal 139 2 3" xfId="2148" xr:uid="{C3B1A5AF-C6BC-43AB-A259-EF3FDACA8E48}"/>
    <cellStyle name="Normal 139 2 3 2" xfId="5008" xr:uid="{AFABEECF-D6C8-4CEB-9728-F4F1563961A0}"/>
    <cellStyle name="Normal 139 2 4" xfId="3592" xr:uid="{77A2CBAF-8B5A-428C-B6E2-3C167664761F}"/>
    <cellStyle name="Normal 139 3" xfId="1326" xr:uid="{00000000-0005-0000-0000-0000DE020000}"/>
    <cellStyle name="Normal 139 3 2" xfId="2774" xr:uid="{49675D42-2080-4751-9332-0B2050D28DD6}"/>
    <cellStyle name="Normal 139 3 2 2" xfId="5630" xr:uid="{A53B25A7-C558-49E6-B565-5CB9D5EEBD92}"/>
    <cellStyle name="Normal 139 3 3" xfId="4212" xr:uid="{40DF5819-5DF2-4180-A8DA-40703BB1ED44}"/>
    <cellStyle name="Normal 139 4" xfId="2129" xr:uid="{0686690C-AFCC-4B96-86AD-A5C45C5C69C6}"/>
    <cellStyle name="Normal 139 4 2" xfId="4989" xr:uid="{B8A81138-7579-46CB-AE18-8C6617953A0E}"/>
    <cellStyle name="Normal 139 5" xfId="3573" xr:uid="{1762BD38-3A3C-425C-AEBD-2DA4E382A681}"/>
    <cellStyle name="Normal 14" xfId="51" xr:uid="{00000000-0005-0000-0000-0000DF020000}"/>
    <cellStyle name="Normal 14 2" xfId="783" xr:uid="{00000000-0005-0000-0000-0000E0020000}"/>
    <cellStyle name="Normal 14 2 2" xfId="2235" xr:uid="{DA3E2983-CE66-4F54-A87A-B0575C5490A5}"/>
    <cellStyle name="Normal 14 2 2 2" xfId="5091" xr:uid="{82F0E956-22D6-4343-AD93-10348B2C04F6}"/>
    <cellStyle name="Normal 14 2 3" xfId="3673" xr:uid="{B74FF760-C378-4229-AB79-60282BA4DC76}"/>
    <cellStyle name="Normal 14 3" xfId="1587" xr:uid="{E1CC4DE6-3991-4D09-8B8F-A82D5EA8CFBD}"/>
    <cellStyle name="Normal 14 3 2" xfId="4447" xr:uid="{1A5AC388-CB28-4F99-833C-C568DFFAF0A7}"/>
    <cellStyle name="Normal 14 4" xfId="3032" xr:uid="{48D42E50-9466-4F35-B11F-F2D4B380FC5F}"/>
    <cellStyle name="Normal 140" xfId="610" xr:uid="{00000000-0005-0000-0000-0000E1020000}"/>
    <cellStyle name="Normal 140 2" xfId="1328" xr:uid="{00000000-0005-0000-0000-0000E2020000}"/>
    <cellStyle name="Normal 140 2 2" xfId="2776" xr:uid="{451491DF-BF88-417A-A4E4-60A6F637D17C}"/>
    <cellStyle name="Normal 140 2 2 2" xfId="5632" xr:uid="{F137BC21-D0B7-4B69-9665-187FFF00F09D}"/>
    <cellStyle name="Normal 140 2 3" xfId="4214" xr:uid="{CFD7E894-EBB6-4BC8-A8ED-91BEC79D620E}"/>
    <cellStyle name="Normal 140 3" xfId="2131" xr:uid="{952A3B8D-2950-45C4-9D83-83980466A2CE}"/>
    <cellStyle name="Normal 140 3 2" xfId="4991" xr:uid="{1CA7B057-D239-4024-89B2-CDEB2A55769F}"/>
    <cellStyle name="Normal 140 4" xfId="3575" xr:uid="{D7F1A86B-EA72-4437-A45E-18A711CB3A20}"/>
    <cellStyle name="Normal 141" xfId="612" xr:uid="{00000000-0005-0000-0000-0000E3020000}"/>
    <cellStyle name="Normal 141 2" xfId="1330" xr:uid="{00000000-0005-0000-0000-0000E4020000}"/>
    <cellStyle name="Normal 141 2 2" xfId="2778" xr:uid="{CC9BA60B-5044-4FD3-860A-67DAA4193A05}"/>
    <cellStyle name="Normal 141 2 2 2" xfId="5634" xr:uid="{5CBD2ACB-6533-4213-A2F9-98DFCCCFF2F0}"/>
    <cellStyle name="Normal 141 2 3" xfId="4216" xr:uid="{0E228422-DF57-4C7A-AD73-985D3F7689D3}"/>
    <cellStyle name="Normal 141 3" xfId="2133" xr:uid="{1F1406C6-BBFB-4B84-A07D-ADC8EAA20858}"/>
    <cellStyle name="Normal 141 3 2" xfId="4993" xr:uid="{74455655-CC77-4DB7-9BC8-E69E526D544F}"/>
    <cellStyle name="Normal 141 4" xfId="3577" xr:uid="{F7363DDA-878A-4676-8C40-29ABDD2DB6E6}"/>
    <cellStyle name="Normal 142" xfId="631" xr:uid="{00000000-0005-0000-0000-0000E5020000}"/>
    <cellStyle name="Normal 142 2" xfId="1345" xr:uid="{00000000-0005-0000-0000-0000E6020000}"/>
    <cellStyle name="Normal 142 2 2" xfId="2793" xr:uid="{75E5562F-087F-4624-A5EB-AAC83E44A986}"/>
    <cellStyle name="Normal 142 2 2 2" xfId="5649" xr:uid="{625EBA15-60CF-429D-A0B3-992400457882}"/>
    <cellStyle name="Normal 142 2 3" xfId="4231" xr:uid="{F1A4F505-C995-4147-A88E-70076C474FED}"/>
    <cellStyle name="Normal 142 3" xfId="2149" xr:uid="{F9DF5DB5-BF13-48EE-AA2C-51075279C182}"/>
    <cellStyle name="Normal 142 3 2" xfId="5009" xr:uid="{729A4C35-5D54-402D-8D7C-FCD91BD0DBFB}"/>
    <cellStyle name="Normal 142 4" xfId="3593" xr:uid="{012C5FC1-72A1-447B-B77D-8D3847B3A9F8}"/>
    <cellStyle name="Normal 143" xfId="635" xr:uid="{00000000-0005-0000-0000-0000E7020000}"/>
    <cellStyle name="Normal 143 2" xfId="1349" xr:uid="{00000000-0005-0000-0000-0000E8020000}"/>
    <cellStyle name="Normal 143 2 2" xfId="2797" xr:uid="{FA5B0CCD-C002-45CC-A43E-E9D98B00E7DC}"/>
    <cellStyle name="Normal 143 2 2 2" xfId="5653" xr:uid="{5BB71206-BA0C-44B2-BA20-22E4D8137CA4}"/>
    <cellStyle name="Normal 143 2 3" xfId="4235" xr:uid="{0A0469C0-F3B9-4673-A38F-7831E3AE6907}"/>
    <cellStyle name="Normal 143 3" xfId="2153" xr:uid="{A2E4AA41-A00C-423B-B6C8-C9D15A8E2ACB}"/>
    <cellStyle name="Normal 143 3 2" xfId="5013" xr:uid="{881949EE-3B33-4D6D-9DFD-618EAEB5D579}"/>
    <cellStyle name="Normal 143 4" xfId="3597" xr:uid="{AA0414E0-1127-4EAF-A72B-17F495F19EAC}"/>
    <cellStyle name="Normal 144" xfId="639" xr:uid="{00000000-0005-0000-0000-0000E9020000}"/>
    <cellStyle name="Normal 144 2" xfId="1353" xr:uid="{00000000-0005-0000-0000-0000EA020000}"/>
    <cellStyle name="Normal 144 2 2" xfId="2801" xr:uid="{A5C8EC22-D303-46B1-9A34-86EC4E0661FC}"/>
    <cellStyle name="Normal 144 2 2 2" xfId="5657" xr:uid="{7F3D99EB-077D-4FF3-AE3E-69D7A49FCC95}"/>
    <cellStyle name="Normal 144 2 3" xfId="4239" xr:uid="{03575809-FFA3-4AF7-AA41-39FCAAFA4DC9}"/>
    <cellStyle name="Normal 144 3" xfId="2157" xr:uid="{85556C02-A546-42C5-8FE5-B32CAEF5374A}"/>
    <cellStyle name="Normal 144 3 2" xfId="5017" xr:uid="{A4F0D168-C867-4ACF-BEF2-C9ADE613E7BE}"/>
    <cellStyle name="Normal 144 4" xfId="3601" xr:uid="{A18B8126-7FC6-488C-A999-A8E6990D6EB7}"/>
    <cellStyle name="Normal 145" xfId="641" xr:uid="{00000000-0005-0000-0000-0000EB020000}"/>
    <cellStyle name="Normal 145 2" xfId="1355" xr:uid="{00000000-0005-0000-0000-0000EC020000}"/>
    <cellStyle name="Normal 145 2 2" xfId="2803" xr:uid="{6F606A2C-756B-485F-ADA0-042A574DDAE4}"/>
    <cellStyle name="Normal 145 2 2 2" xfId="5659" xr:uid="{6A5EFA46-6F2E-4558-8500-683731F2D3A9}"/>
    <cellStyle name="Normal 145 2 3" xfId="4241" xr:uid="{42A6C0B9-4CBF-47F2-81E1-B856C0DA45C0}"/>
    <cellStyle name="Normal 145 3" xfId="2159" xr:uid="{D9AB1AB9-1954-4EB9-9142-DC41DB7F749D}"/>
    <cellStyle name="Normal 145 3 2" xfId="5019" xr:uid="{3DD170FB-EC86-43B5-84D3-037EADAB969D}"/>
    <cellStyle name="Normal 145 4" xfId="3603" xr:uid="{70015B59-F7F4-4B76-BD10-0DA7C1370448}"/>
    <cellStyle name="Normal 146" xfId="644" xr:uid="{00000000-0005-0000-0000-0000ED020000}"/>
    <cellStyle name="Normal 146 2" xfId="1358" xr:uid="{00000000-0005-0000-0000-0000EE020000}"/>
    <cellStyle name="Normal 146 2 2" xfId="2806" xr:uid="{F84B9C27-C11A-4BA8-9D20-240DEF006E6F}"/>
    <cellStyle name="Normal 146 2 2 2" xfId="5662" xr:uid="{73CEA4FC-C2EB-4CD2-A1FC-F43C072A8F3D}"/>
    <cellStyle name="Normal 146 2 3" xfId="4244" xr:uid="{4619AFD2-60B7-4917-B640-F1C2554D5062}"/>
    <cellStyle name="Normal 146 3" xfId="2162" xr:uid="{65033E14-F335-44CF-B4B1-2F62EA849711}"/>
    <cellStyle name="Normal 146 3 2" xfId="5022" xr:uid="{E951717F-6331-4324-B87E-833AC33B7FB4}"/>
    <cellStyle name="Normal 146 4" xfId="3606" xr:uid="{8470410A-A690-453F-BDBA-70416C8D8EA1}"/>
    <cellStyle name="Normal 147" xfId="646" xr:uid="{00000000-0005-0000-0000-0000EF020000}"/>
    <cellStyle name="Normal 148" xfId="658" xr:uid="{00000000-0005-0000-0000-0000F0020000}"/>
    <cellStyle name="Normal 148 2" xfId="1360" xr:uid="{00000000-0005-0000-0000-0000F1020000}"/>
    <cellStyle name="Normal 148 2 2" xfId="2808" xr:uid="{8F5B7313-4829-4B1C-905B-4AFD4BB43433}"/>
    <cellStyle name="Normal 148 2 2 2" xfId="5664" xr:uid="{14007F18-77FA-4C01-866B-4E69B7DC9465}"/>
    <cellStyle name="Normal 148 2 3" xfId="4246" xr:uid="{9150D0EA-13C1-4BC7-843E-8ACDD5C51F9F}"/>
    <cellStyle name="Normal 148 3" xfId="1492" xr:uid="{00000000-0005-0000-0000-0000F2020000}"/>
    <cellStyle name="Normal 148 3 2" xfId="2920" xr:uid="{ABE92B60-81F9-467C-8512-D362FFDBB99D}"/>
    <cellStyle name="Normal 148 3 2 2" xfId="5774" xr:uid="{0E66A5C3-1B4F-4F23-8DCE-5DD0349BECC9}"/>
    <cellStyle name="Normal 148 3 3" xfId="4353" xr:uid="{DCB33348-5988-4B59-AD78-5C09CF43B91E}"/>
    <cellStyle name="Normal 148 4" xfId="2164" xr:uid="{0ABB0527-4297-43B6-A3CF-F2D509CED38E}"/>
    <cellStyle name="Normal 148 4 2" xfId="5024" xr:uid="{8534312A-FF39-4D38-A4BF-3F13928F8A4A}"/>
    <cellStyle name="Normal 148 5" xfId="3608" xr:uid="{75F017BD-CDFC-4AF7-AFA4-F3E2373AA4FA}"/>
    <cellStyle name="Normal 149" xfId="663" xr:uid="{00000000-0005-0000-0000-0000F3020000}"/>
    <cellStyle name="Normal 149 2" xfId="1364" xr:uid="{00000000-0005-0000-0000-0000F4020000}"/>
    <cellStyle name="Normal 149 2 2" xfId="2812" xr:uid="{613A93D4-90C0-4D37-945E-8D5AB4E385AF}"/>
    <cellStyle name="Normal 149 2 2 2" xfId="5668" xr:uid="{9C5B5355-6D75-46E1-8416-F842679BDDD7}"/>
    <cellStyle name="Normal 149 2 3" xfId="4250" xr:uid="{1DE5C5C4-DABD-44C0-B759-E454D4549E25}"/>
    <cellStyle name="Normal 149 3" xfId="2168" xr:uid="{726C86CA-BBF6-4895-8C23-33E459D33975}"/>
    <cellStyle name="Normal 149 3 2" xfId="5028" xr:uid="{1FD39B0E-100B-428E-842D-236FFC98DE21}"/>
    <cellStyle name="Normal 149 4" xfId="3612" xr:uid="{67FBBFC8-881A-4ACB-819E-4D648832CCD6}"/>
    <cellStyle name="Normal 15" xfId="53" xr:uid="{00000000-0005-0000-0000-0000F5020000}"/>
    <cellStyle name="Normal 15 2" xfId="785" xr:uid="{00000000-0005-0000-0000-0000F6020000}"/>
    <cellStyle name="Normal 15 2 2" xfId="2237" xr:uid="{1F1BBA84-3040-40EB-AD26-2EFAD4D2BB1B}"/>
    <cellStyle name="Normal 15 2 2 2" xfId="5093" xr:uid="{0CEF310E-6239-47D8-A6DE-20957CCC8137}"/>
    <cellStyle name="Normal 15 2 3" xfId="3675" xr:uid="{0D36F5AA-D639-4F41-A478-C25FD153A0F0}"/>
    <cellStyle name="Normal 15 3" xfId="1589" xr:uid="{20001782-D258-47E8-8AEB-78DB20994865}"/>
    <cellStyle name="Normal 15 3 2" xfId="4449" xr:uid="{3347B594-5210-48B0-82ED-65EA03FBA9D1}"/>
    <cellStyle name="Normal 15 4" xfId="3034" xr:uid="{47A42FD7-A715-478C-9C58-3C1F87C2095B}"/>
    <cellStyle name="Normal 150" xfId="669" xr:uid="{00000000-0005-0000-0000-0000F7020000}"/>
    <cellStyle name="Normal 150 2" xfId="1368" xr:uid="{00000000-0005-0000-0000-0000F8020000}"/>
    <cellStyle name="Normal 150 2 2" xfId="2816" xr:uid="{409582B3-E5C3-4BD9-979F-96D02F6472F5}"/>
    <cellStyle name="Normal 150 2 2 2" xfId="5671" xr:uid="{D05B80F8-5D5E-456F-8EB6-57A2B6FDECE4}"/>
    <cellStyle name="Normal 150 2 3" xfId="4253" xr:uid="{6490EFF3-898A-406E-B677-0C5A50EDB86E}"/>
    <cellStyle name="Normal 150 3" xfId="2172" xr:uid="{E71DAB1C-1714-4091-9B33-2B18D66F011A}"/>
    <cellStyle name="Normal 150 3 2" xfId="5032" xr:uid="{8E728816-CA60-4115-9893-6BA31FA2C284}"/>
    <cellStyle name="Normal 150 4" xfId="3616" xr:uid="{57CB94BA-E43B-49A4-93D1-CA4D3E5B217F}"/>
    <cellStyle name="Normal 151" xfId="674" xr:uid="{00000000-0005-0000-0000-0000F9020000}"/>
    <cellStyle name="Normal 151 2" xfId="1371" xr:uid="{00000000-0005-0000-0000-0000FA020000}"/>
    <cellStyle name="Normal 152" xfId="676" xr:uid="{00000000-0005-0000-0000-0000FB020000}"/>
    <cellStyle name="Normal 152 2" xfId="682" xr:uid="{00000000-0005-0000-0000-0000FC020000}"/>
    <cellStyle name="Normal 152 2 2" xfId="687" xr:uid="{00000000-0005-0000-0000-0000FD020000}"/>
    <cellStyle name="Normal 152 2 2 2" xfId="696" xr:uid="{00000000-0005-0000-0000-0000FE020000}"/>
    <cellStyle name="Normal 152 2 2 2 2" xfId="702" xr:uid="{00000000-0005-0000-0000-0000FF020000}"/>
    <cellStyle name="Normal 152 2 2 2 2 2" xfId="1385" xr:uid="{00000000-0005-0000-0000-000000030000}"/>
    <cellStyle name="Normal 152 2 2 2 2 2 2" xfId="2832" xr:uid="{841D0A18-6D15-42D0-B8EA-25B3AF5CB525}"/>
    <cellStyle name="Normal 152 2 2 2 2 2 2 2" xfId="5687" xr:uid="{6750760C-15C8-4EEF-96C2-049EBE8373C2}"/>
    <cellStyle name="Normal 152 2 2 2 2 2 3" xfId="4269" xr:uid="{8C31FC05-7FE5-4FD7-81BF-D2C041D5820F}"/>
    <cellStyle name="Normal 152 2 2 2 2 3" xfId="2190" xr:uid="{BCB3D5CB-F191-482A-925C-F897AFA2DB85}"/>
    <cellStyle name="Normal 152 2 2 2 2 3 2" xfId="5048" xr:uid="{27868E78-F3CF-4348-AB72-FD2ECA90A60E}"/>
    <cellStyle name="Normal 152 2 2 2 2 4" xfId="3632" xr:uid="{77C577E7-A969-47FC-A461-41AFCC8B7A82}"/>
    <cellStyle name="Normal 152 2 2 2 3" xfId="709" xr:uid="{00000000-0005-0000-0000-000001030000}"/>
    <cellStyle name="Normal 152 2 2 2 3 2" xfId="1390" xr:uid="{00000000-0005-0000-0000-000002030000}"/>
    <cellStyle name="Normal 152 2 2 2 3 2 2" xfId="2837" xr:uid="{EBB59B3F-14AF-45D8-8B0B-5796F3E393D8}"/>
    <cellStyle name="Normal 152 2 2 2 3 2 2 2" xfId="5692" xr:uid="{B882CBE7-0EEE-4E36-9A1D-932BBE2A99D9}"/>
    <cellStyle name="Normal 152 2 2 2 3 2 3" xfId="4274" xr:uid="{9F77CC32-2E77-4684-B475-2A8B04C5A825}"/>
    <cellStyle name="Normal 152 2 2 2 3 3" xfId="2196" xr:uid="{FFB33101-547A-4FD6-B0D2-70E98AEA4B71}"/>
    <cellStyle name="Normal 152 2 2 2 3 3 2" xfId="5053" xr:uid="{884306C2-5D3D-4603-90D8-E1C73FA2B4EC}"/>
    <cellStyle name="Normal 152 2 2 2 3 4" xfId="3637" xr:uid="{F9B73310-5073-4480-B172-459222E27CD8}"/>
    <cellStyle name="Normal 152 2 2 2 3 5" xfId="5996" xr:uid="{DA36BC35-2DE6-45CB-A6B9-002371BC9F6D}"/>
    <cellStyle name="Normal 152 2 2 2 4" xfId="715" xr:uid="{00000000-0005-0000-0000-000003030000}"/>
    <cellStyle name="Normal 152 2 2 2 4 2" xfId="728" xr:uid="{00000000-0005-0000-0000-000004030000}"/>
    <cellStyle name="Normal 152 2 2 2 4 2 2" xfId="735" xr:uid="{00000000-0005-0000-0000-000005030000}"/>
    <cellStyle name="Normal 152 2 2 2 4 2 2 2" xfId="1407" xr:uid="{00000000-0005-0000-0000-000006030000}"/>
    <cellStyle name="Normal 152 2 2 2 4 2 2 2 2" xfId="2854" xr:uid="{91391824-AAA3-4118-AAC5-B5CFCF84959D}"/>
    <cellStyle name="Normal 152 2 2 2 4 2 2 2 2 2" xfId="5709" xr:uid="{0713DEA2-4A81-4CAA-9D26-908342FAA0ED}"/>
    <cellStyle name="Normal 152 2 2 2 4 2 2 2 3" xfId="4291" xr:uid="{5F71CD10-5C43-4BD4-95AE-D382599737FC}"/>
    <cellStyle name="Normal 152 2 2 2 4 2 2 3" xfId="2214" xr:uid="{8F10900A-1B71-41EC-ACF4-267CCE4BEF3E}"/>
    <cellStyle name="Normal 152 2 2 2 4 2 2 3 2" xfId="5070" xr:uid="{64D12738-873D-4117-B4F9-A760F9256818}"/>
    <cellStyle name="Normal 152 2 2 2 4 2 2 4" xfId="3654" xr:uid="{0ADA412F-076B-4401-B8DF-B8516C48AE27}"/>
    <cellStyle name="Normal 152 2 2 2 4 2 3" xfId="744" xr:uid="{00000000-0005-0000-0000-000007030000}"/>
    <cellStyle name="Normal 152 2 2 2 4 2 3 2" xfId="751" xr:uid="{00000000-0005-0000-0000-000008030000}"/>
    <cellStyle name="Normal 152 2 2 2 4 2 3 2 2" xfId="761" xr:uid="{00000000-0005-0000-0000-000009030000}"/>
    <cellStyle name="Normal 152 2 2 2 4 2 3 2 2 2" xfId="1418" xr:uid="{00000000-0005-0000-0000-00000A030000}"/>
    <cellStyle name="Normal 152 2 2 2 4 2 3 2 2 2 2" xfId="1429" xr:uid="{00000000-0005-0000-0000-00000B030000}"/>
    <cellStyle name="Normal 152 2 2 2 4 2 3 2 2 2 2 10" xfId="5949" xr:uid="{E1BE5234-D3A3-4372-ACD3-64446DAC52DF}"/>
    <cellStyle name="Normal 152 2 2 2 4 2 3 2 2 2 2 11" xfId="5965" xr:uid="{27C2AD31-3AB1-45CE-AB0A-832ADFEFA806}"/>
    <cellStyle name="Normal 152 2 2 2 4 2 3 2 2 2 2 12" xfId="5983" xr:uid="{8E82D245-6283-42CC-838D-305F90A28BB7}"/>
    <cellStyle name="Normal 152 2 2 2 4 2 3 2 2 2 2 2" xfId="1454" xr:uid="{00000000-0005-0000-0000-00000C030000}"/>
    <cellStyle name="Normal 152 2 2 2 4 2 3 2 2 2 2 2 2" xfId="2882" xr:uid="{41A6D9D5-273E-4A81-9A3D-EA8FFCFD9EC6}"/>
    <cellStyle name="Normal 152 2 2 2 4 2 3 2 2 2 2 2 2 2" xfId="5736" xr:uid="{96C5B3C2-D017-443E-B504-82F6322C8D63}"/>
    <cellStyle name="Normal 152 2 2 2 4 2 3 2 2 2 2 2 3" xfId="4315" xr:uid="{CA5A0096-6FCF-488C-B0E5-BA5D5B68DA0A}"/>
    <cellStyle name="Normal 152 2 2 2 4 2 3 2 2 2 2 3" xfId="1471" xr:uid="{00000000-0005-0000-0000-00000D030000}"/>
    <cellStyle name="Normal 152 2 2 2 4 2 3 2 2 2 2 3 2" xfId="1486" xr:uid="{00000000-0005-0000-0000-00000E030000}"/>
    <cellStyle name="Normal 152 2 2 2 4 2 3 2 2 2 2 3 2 2" xfId="1506" xr:uid="{00000000-0005-0000-0000-00000F030000}"/>
    <cellStyle name="Normal 152 2 2 2 4 2 3 2 2 2 2 3 2 2 2" xfId="1536" xr:uid="{00000000-0005-0000-0000-000010030000}"/>
    <cellStyle name="Normal 152 2 2 2 4 2 3 2 2 2 2 3 2 2 2 2" xfId="2964" xr:uid="{54FCBE55-FB0E-4578-9AA9-94F7E21977D4}"/>
    <cellStyle name="Normal 152 2 2 2 4 2 3 2 2 2 2 3 2 2 2 2 2" xfId="5817" xr:uid="{EF373C49-A79D-4F15-80A4-554C0521E431}"/>
    <cellStyle name="Normal 152 2 2 2 4 2 3 2 2 2 2 3 2 2 2 3" xfId="4396" xr:uid="{CE964CDB-EE62-40FB-B544-FB12B9F4E541}"/>
    <cellStyle name="Normal 152 2 2 2 4 2 3 2 2 2 2 3 2 2 3" xfId="2934" xr:uid="{ACA8880D-66B2-4763-8E34-D887F2F66002}"/>
    <cellStyle name="Normal 152 2 2 2 4 2 3 2 2 2 2 3 2 2 3 2" xfId="5787" xr:uid="{DA10A649-73D4-45E6-AE7A-9214C110D292}"/>
    <cellStyle name="Normal 152 2 2 2 4 2 3 2 2 2 2 3 2 2 4" xfId="4366" xr:uid="{DDF3C22D-EE2D-47A4-A038-51743C113D9E}"/>
    <cellStyle name="Normal 152 2 2 2 4 2 3 2 2 2 2 3 2 3" xfId="2914" xr:uid="{E745A586-4D34-486C-B770-33FCEA4F86CF}"/>
    <cellStyle name="Normal 152 2 2 2 4 2 3 2 2 2 2 3 2 3 2" xfId="5768" xr:uid="{B621ABF2-2239-484D-BD7C-0A3F3EDD4382}"/>
    <cellStyle name="Normal 152 2 2 2 4 2 3 2 2 2 2 3 2 4" xfId="4347" xr:uid="{6C66BF91-6F47-4EF2-9D85-27219CF3BE46}"/>
    <cellStyle name="Normal 152 2 2 2 4 2 3 2 2 2 2 3 3" xfId="2899" xr:uid="{B32A66EB-A61D-4259-9183-855FA8CFE530}"/>
    <cellStyle name="Normal 152 2 2 2 4 2 3 2 2 2 2 3 3 2" xfId="5753" xr:uid="{C076672F-962D-4F1E-B774-7FD3F14C3299}"/>
    <cellStyle name="Normal 152 2 2 2 4 2 3 2 2 2 2 3 4" xfId="4332" xr:uid="{2CE4E667-3739-41B9-B52E-48744F91B06B}"/>
    <cellStyle name="Normal 152 2 2 2 4 2 3 2 2 2 2 4" xfId="1484" xr:uid="{00000000-0005-0000-0000-000011030000}"/>
    <cellStyle name="Normal 152 2 2 2 4 2 3 2 2 2 2 4 2" xfId="1504" xr:uid="{00000000-0005-0000-0000-000012030000}"/>
    <cellStyle name="Normal 152 2 2 2 4 2 3 2 2 2 2 4 2 2" xfId="1534" xr:uid="{00000000-0005-0000-0000-000013030000}"/>
    <cellStyle name="Normal 152 2 2 2 4 2 3 2 2 2 2 4 2 2 2" xfId="2962" xr:uid="{0B8E8F7B-CA0D-4B85-81E5-FAB8F0CE91F9}"/>
    <cellStyle name="Normal 152 2 2 2 4 2 3 2 2 2 2 4 2 2 2 2" xfId="5815" xr:uid="{DCA791D2-05D8-4D85-B853-8C4551427F24}"/>
    <cellStyle name="Normal 152 2 2 2 4 2 3 2 2 2 2 4 2 2 3" xfId="4394" xr:uid="{C2C6B460-3D52-4E0F-BDC1-CF09B3FF27D9}"/>
    <cellStyle name="Normal 152 2 2 2 4 2 3 2 2 2 2 4 2 3" xfId="2932" xr:uid="{8A4C2149-CB47-4D54-807C-C3D62EFB4CE0}"/>
    <cellStyle name="Normal 152 2 2 2 4 2 3 2 2 2 2 4 2 3 2" xfId="5785" xr:uid="{5B7722F3-F9CA-4204-986E-58F1FFA91517}"/>
    <cellStyle name="Normal 152 2 2 2 4 2 3 2 2 2 2 4 2 3 2 2" xfId="5917" xr:uid="{05BB061B-A2B2-4923-9087-3DF45C5ED0F6}"/>
    <cellStyle name="Normal 152 2 2 2 4 2 3 2 2 2 2 4 2 4" xfId="4364" xr:uid="{9DF60D51-8F97-4D12-9AD5-7CB3E49303AF}"/>
    <cellStyle name="Normal 152 2 2 2 4 2 3 2 2 2 2 4 3" xfId="2912" xr:uid="{E2E7C5A4-8E9F-42C4-A30E-FA5760084E3C}"/>
    <cellStyle name="Normal 152 2 2 2 4 2 3 2 2 2 2 4 3 2" xfId="5766" xr:uid="{568BF206-5F3B-4BBF-97F4-66C0F73DC08F}"/>
    <cellStyle name="Normal 152 2 2 2 4 2 3 2 2 2 2 4 4" xfId="4345" xr:uid="{76AB8A52-2D2E-4A0B-92A9-920694E50291}"/>
    <cellStyle name="Normal 152 2 2 2 4 2 3 2 2 2 2 5" xfId="1516" xr:uid="{00000000-0005-0000-0000-000014030000}"/>
    <cellStyle name="Normal 152 2 2 2 4 2 3 2 2 2 2 5 2" xfId="2944" xr:uid="{EC4761EA-C86E-45F5-9E8A-61F1CED6697C}"/>
    <cellStyle name="Normal 152 2 2 2 4 2 3 2 2 2 2 5 2 2" xfId="5797" xr:uid="{3F3E73CF-A46A-4045-A5A4-1AFD978D8A4C}"/>
    <cellStyle name="Normal 152 2 2 2 4 2 3 2 2 2 2 5 3" xfId="4376" xr:uid="{C113A796-9C10-49F1-9365-5635911DD039}"/>
    <cellStyle name="Normal 152 2 2 2 4 2 3 2 2 2 2 6" xfId="1552" xr:uid="{D40EFE7C-AC90-489D-B1E6-2FE72F14E938}"/>
    <cellStyle name="Normal 152 2 2 2 4 2 3 2 2 2 2 6 2" xfId="2980" xr:uid="{9CF77C09-6D5E-477B-8685-66A7668356A4}"/>
    <cellStyle name="Normal 152 2 2 2 4 2 3 2 2 2 2 6 2 2" xfId="5833" xr:uid="{DFFB7A28-D10F-470D-9B74-06D8FF245BA9}"/>
    <cellStyle name="Normal 152 2 2 2 4 2 3 2 2 2 2 6 3" xfId="4412" xr:uid="{98F8CDB5-7EBE-48EE-AA08-E6AF18A5F4F1}"/>
    <cellStyle name="Normal 152 2 2 2 4 2 3 2 2 2 2 7" xfId="1568" xr:uid="{CAEE837F-23F3-4CFB-9594-B343EF32C040}"/>
    <cellStyle name="Normal 152 2 2 2 4 2 3 2 2 2 2 7 2" xfId="4428" xr:uid="{C21252DC-A24A-404F-ABE4-91E84404460B}"/>
    <cellStyle name="Normal 152 2 2 2 4 2 3 2 2 2 2 8" xfId="3010" xr:uid="{268109F6-A31F-4967-87CA-5522DF67D45B}"/>
    <cellStyle name="Normal 152 2 2 2 4 2 3 2 2 2 2 8 2" xfId="5922" xr:uid="{33CC85E3-9E71-4FAD-9747-DDE703C1D938}"/>
    <cellStyle name="Normal 152 2 2 2 4 2 3 2 2 2 2 9" xfId="5938" xr:uid="{4362D058-5646-4EF0-9C65-6F332BA7E292}"/>
    <cellStyle name="Normal 152 2 2 2 4 2 3 2 3" xfId="1439" xr:uid="{00000000-0005-0000-0000-000015030000}"/>
    <cellStyle name="Normal 152 2 2 2 4 2 3 2 3 2" xfId="2868" xr:uid="{A95D5C80-74AD-4482-84BD-1E8202486083}"/>
    <cellStyle name="Normal 152 2 2 2 4 2 3 2 3 2 2" xfId="5723" xr:uid="{4EB52BBD-2B8C-43B2-923C-5CA497F3D438}"/>
    <cellStyle name="Normal 152 2 2 2 4 2 3 2 3 3" xfId="4303" xr:uid="{E74251FB-36C9-4F85-BD20-D4204BE4E568}"/>
    <cellStyle name="Normal 152 2 2 2 4 2 3 2 4" xfId="1446" xr:uid="{00000000-0005-0000-0000-000016030000}"/>
    <cellStyle name="Normal 152 2 2 2 4 2 3 2 4 2" xfId="2875" xr:uid="{F3A5B799-6F28-429B-B288-C41680182F2A}"/>
    <cellStyle name="Normal 152 2 2 2 4 2 3 2 4 2 2" xfId="5729" xr:uid="{AA37B429-812D-417A-BC17-EA7D6D7F8262}"/>
    <cellStyle name="Normal 152 2 2 2 4 2 3 2 4 3" xfId="4308" xr:uid="{85DF81AD-435D-45ED-8760-C0846F4A48C3}"/>
    <cellStyle name="Normal 152 2 2 2 5" xfId="719" xr:uid="{00000000-0005-0000-0000-000017030000}"/>
    <cellStyle name="Normal 152 2 2 2 5 2" xfId="1398" xr:uid="{00000000-0005-0000-0000-000018030000}"/>
    <cellStyle name="Normal 152 2 2 2 5 2 2" xfId="2845" xr:uid="{A2126886-F1B3-47D9-A6AE-159428EE3C21}"/>
    <cellStyle name="Normal 152 2 2 2 5 2 2 2" xfId="5700" xr:uid="{74BACF7F-97D4-49AA-9D6F-FCDC3A943E0A}"/>
    <cellStyle name="Normal 152 2 2 2 5 2 3" xfId="4282" xr:uid="{EB73AA8B-5573-4397-B96E-9195FE461B1E}"/>
    <cellStyle name="Normal 152 2 2 2 5 3" xfId="2205" xr:uid="{76268DA6-377B-49E9-9A77-6F9DBDC8C564}"/>
    <cellStyle name="Normal 152 2 2 2 5 3 2" xfId="5061" xr:uid="{800ED273-A3FB-4669-8DBB-052FB3F2B14C}"/>
    <cellStyle name="Normal 152 2 2 2 5 4" xfId="3645" xr:uid="{11CB1359-2BE6-4286-B9F6-D54C695A3024}"/>
    <cellStyle name="Normal 152 2 2 2 6" xfId="741" xr:uid="{00000000-0005-0000-0000-000019030000}"/>
    <cellStyle name="Normal 152 2 2 2 6 2" xfId="745" xr:uid="{00000000-0005-0000-0000-00001A030000}"/>
    <cellStyle name="Normal 152 2 2 2 6 2 2" xfId="758" xr:uid="{00000000-0005-0000-0000-00001B030000}"/>
    <cellStyle name="Normal 152 2 2 2 6 2 2 2" xfId="1414" xr:uid="{00000000-0005-0000-0000-00001C030000}"/>
    <cellStyle name="Normal 152 2 2 2 6 2 2 2 2" xfId="1425" xr:uid="{00000000-0005-0000-0000-00001D030000}"/>
    <cellStyle name="Normal 152 2 2 2 6 2 2 2 2 2" xfId="1450" xr:uid="{00000000-0005-0000-0000-00001E030000}"/>
    <cellStyle name="Normal 152 2 2 2 6 2 2 2 2 2 2" xfId="2878" xr:uid="{31CA0411-9C07-4772-B4FC-CA8DD145DB4E}"/>
    <cellStyle name="Normal 152 2 2 2 6 2 2 2 2 2 2 2" xfId="5732" xr:uid="{6B60EF25-3F60-480A-983E-BC309CD4516D}"/>
    <cellStyle name="Normal 152 2 2 2 6 2 2 2 2 2 3" xfId="4311" xr:uid="{ADB56BF9-BF7C-49D2-B5C6-674B60A00FB5}"/>
    <cellStyle name="Normal 152 2 2 2 6 2 2 2 2 3" xfId="1467" xr:uid="{00000000-0005-0000-0000-00001F030000}"/>
    <cellStyle name="Normal 152 2 2 2 6 2 2 2 2 3 2" xfId="1500" xr:uid="{00000000-0005-0000-0000-000020030000}"/>
    <cellStyle name="Normal 152 2 2 2 6 2 2 2 2 3 2 2" xfId="1530" xr:uid="{00000000-0005-0000-0000-000021030000}"/>
    <cellStyle name="Normal 152 2 2 2 6 2 2 2 2 3 2 2 2" xfId="2958" xr:uid="{173A9FFA-D57C-4E30-AD6E-0AC031AD36F8}"/>
    <cellStyle name="Normal 152 2 2 2 6 2 2 2 2 3 2 2 2 2" xfId="5811" xr:uid="{0EAEE881-4EDE-4AD2-B255-FB872E2E91F2}"/>
    <cellStyle name="Normal 152 2 2 2 6 2 2 2 2 3 2 2 2 2 2" xfId="5912" xr:uid="{34F1E619-BD8E-4D6C-BDEC-264FB2FB9BD1}"/>
    <cellStyle name="Normal 152 2 2 2 6 2 2 2 2 3 2 2 3" xfId="4390" xr:uid="{32848C0D-6F84-4989-9ECB-DCB5665F9EAC}"/>
    <cellStyle name="Normal 152 2 2 2 6 2 2 2 2 3 2 3" xfId="2928" xr:uid="{D9CBFCBC-B4B2-471E-82B6-B74FB2A42028}"/>
    <cellStyle name="Normal 152 2 2 2 6 2 2 2 2 3 2 3 2" xfId="5781" xr:uid="{4A20D007-2ECB-4BC0-A66D-52457EA6D10C}"/>
    <cellStyle name="Normal 152 2 2 2 6 2 2 2 2 3 2 3 2 2" xfId="5920" xr:uid="{C87C6283-479A-4C79-87C0-65B64159D219}"/>
    <cellStyle name="Normal 152 2 2 2 6 2 2 2 2 3 2 4" xfId="4360" xr:uid="{354ABE98-B5D1-41ED-8016-B4478FEBB71F}"/>
    <cellStyle name="Normal 152 2 2 2 6 2 2 2 2 3 3" xfId="2895" xr:uid="{51752923-14EB-4413-8F89-53D9D5DDAB04}"/>
    <cellStyle name="Normal 152 2 2 2 6 2 2 2 2 3 3 2" xfId="5749" xr:uid="{69D669E9-B561-4231-BBB7-42B1346B187F}"/>
    <cellStyle name="Normal 152 2 2 2 6 2 2 2 2 3 4" xfId="4328" xr:uid="{A0DD8289-47CF-4F41-A3DC-D04DAA337570}"/>
    <cellStyle name="Normal 152 2 2 2 6 2 2 2 2 4" xfId="1480" xr:uid="{00000000-0005-0000-0000-000022030000}"/>
    <cellStyle name="Normal 152 2 2 2 6 2 2 2 2 4 2" xfId="1498" xr:uid="{00000000-0005-0000-0000-000023030000}"/>
    <cellStyle name="Normal 152 2 2 2 6 2 2 2 2 4 2 2" xfId="1528" xr:uid="{00000000-0005-0000-0000-000024030000}"/>
    <cellStyle name="Normal 152 2 2 2 6 2 2 2 2 4 2 2 2" xfId="2956" xr:uid="{5B964AF5-9C8F-429B-9D88-B2B6A7E72838}"/>
    <cellStyle name="Normal 152 2 2 2 6 2 2 2 2 4 2 2 2 2" xfId="5809" xr:uid="{8AB84E92-5205-41F5-A83A-DD40316596E2}"/>
    <cellStyle name="Normal 152 2 2 2 6 2 2 2 2 4 2 2 2 2 2" xfId="5910" xr:uid="{45157A8E-4643-4E54-B2CA-699DEA15E355}"/>
    <cellStyle name="Normal 152 2 2 2 6 2 2 2 2 4 2 2 3" xfId="4388" xr:uid="{4AA82308-4A55-4FCB-974E-BC62A3361DE6}"/>
    <cellStyle name="Normal 152 2 2 2 6 2 2 2 2 4 2 3" xfId="2926" xr:uid="{A235DA84-1728-493B-B779-FDCB4AE7B179}"/>
    <cellStyle name="Normal 152 2 2 2 6 2 2 2 2 4 2 3 2" xfId="5779" xr:uid="{FB76EEDD-344F-4F2C-A73D-DF3C36012F59}"/>
    <cellStyle name="Normal 152 2 2 2 6 2 2 2 2 4 2 3 2 2" xfId="5918" xr:uid="{F33D7F17-BA8B-4D10-B92C-5D767C76A5E1}"/>
    <cellStyle name="Normal 152 2 2 2 6 2 2 2 2 4 2 4" xfId="4358" xr:uid="{8834380B-7B94-4259-8639-E7DE0B0B4ED9}"/>
    <cellStyle name="Normal 152 2 2 2 6 2 2 2 2 4 3" xfId="2908" xr:uid="{36A9CEEC-4D35-4FC5-AA16-3851328E5082}"/>
    <cellStyle name="Normal 152 2 2 2 6 2 2 2 2 4 3 2" xfId="5762" xr:uid="{A69A799A-2903-4708-B80F-567E64D8B9A9}"/>
    <cellStyle name="Normal 152 2 2 2 6 2 2 2 2 4 4" xfId="4341" xr:uid="{50D7097D-4398-4B4C-B40A-E668835DB9C0}"/>
    <cellStyle name="Normal 152 2 2 2 6 2 2 2 2 5" xfId="1512" xr:uid="{00000000-0005-0000-0000-000025030000}"/>
    <cellStyle name="Normal 152 2 2 2 6 2 2 2 2 5 2" xfId="2940" xr:uid="{25DB1146-1D23-4BD4-A09B-9DB04515CF43}"/>
    <cellStyle name="Normal 152 2 2 2 6 2 2 2 2 5 2 2" xfId="5793" xr:uid="{8151278B-F340-41CE-9CB6-4EDD64F0A8F5}"/>
    <cellStyle name="Normal 152 2 2 2 6 2 2 2 2 5 3" xfId="4372" xr:uid="{4E8A32A3-7C03-4429-B48B-2AF2913209DA}"/>
    <cellStyle name="Normal 152 2 2 2 6 2 2 2 2 6" xfId="1548" xr:uid="{7C212998-7D9E-4E6C-BE3A-24E91515B0E4}"/>
    <cellStyle name="Normal 152 2 2 2 6 2 2 2 2 6 2" xfId="2976" xr:uid="{ACDC13FE-363F-4569-9ED7-1DDB878126B1}"/>
    <cellStyle name="Normal 152 2 2 2 6 2 2 2 2 6 2 2" xfId="5829" xr:uid="{64628519-F82A-4D56-84D3-BA5D01DF7ED7}"/>
    <cellStyle name="Normal 152 2 2 2 6 2 2 2 2 6 3" xfId="4408" xr:uid="{A9AF6CFD-CE74-4A5B-9718-1ADB59707A0D}"/>
    <cellStyle name="Normal 152 2 2 2 6 2 2 2 2 7" xfId="1564" xr:uid="{E2322F61-7342-40EA-9EAD-9C6FE2768E4B}"/>
    <cellStyle name="Normal 152 2 2 2 6 2 2 2 2 7 2" xfId="4424" xr:uid="{C3185BEC-9C2B-497A-8F5B-4B393884232B}"/>
    <cellStyle name="Normal 152 2 2 2 6 2 2 2 2 8" xfId="3006" xr:uid="{B20392E0-B2D5-4B53-9381-2E919C97B6BD}"/>
    <cellStyle name="Normal 152 2 2 2 6 2 2 2 2 8 2" xfId="5909" xr:uid="{C654D824-EC4D-4266-97F7-1F82635DA39C}"/>
    <cellStyle name="Normal 152 2 2 2 6 2 2 2 2 8 2 2" xfId="5934" xr:uid="{3377F969-EE33-4BF1-AE48-39E1DFBCAC66}"/>
    <cellStyle name="Normal 152 2 2 2 6 2 2 2 2 8 2 2 2" xfId="5961" xr:uid="{885B0015-363A-4815-B3DC-7099CA0C3A40}"/>
    <cellStyle name="Normal 152 2 2 2 6 2 2 2 2 8 2 2 2 2" xfId="5979" xr:uid="{BD3C759B-D7D0-4FA6-BACD-8088E2F14E32}"/>
    <cellStyle name="Normal 152 2 2 2 6 2 2 2 2 8 2 2 2 2 2" xfId="6005" xr:uid="{595B6CB1-671D-4CAF-A567-BB499FBCAF07}"/>
    <cellStyle name="Normal 152 2 2 2 6 2 2 2 2 9" xfId="5945" xr:uid="{BE34D509-371B-432D-9BB0-89A76F52D203}"/>
    <cellStyle name="Normal 152 2 2 2 6 2 2 2 3" xfId="1466" xr:uid="{00000000-0005-0000-0000-000026030000}"/>
    <cellStyle name="Normal 152 2 2 2 6 2 2 2 3 2" xfId="2894" xr:uid="{00789109-E08E-45E7-A756-8B8257B3BF23}"/>
    <cellStyle name="Normal 152 2 2 2 6 2 2 2 3 2 2" xfId="5748" xr:uid="{71BC853B-5446-462E-A008-617C271A6988}"/>
    <cellStyle name="Normal 152 2 2 2 6 2 2 2 3 3" xfId="4327" xr:uid="{C2510F83-BEC6-41DF-8F59-4DBEDD35A6AF}"/>
    <cellStyle name="Normal 152 2 2 2 6 2 2 2 4" xfId="1547" xr:uid="{E7D042E6-487E-43E4-8365-4982EDD737FC}"/>
    <cellStyle name="Normal 152 2 2 2 6 2 2 2 4 2" xfId="2975" xr:uid="{3A6A47F5-EEDD-4C5F-B19A-90271C4D5731}"/>
    <cellStyle name="Normal 152 2 2 2 6 2 2 2 4 2 2" xfId="5828" xr:uid="{F0B3FC68-0ED7-4B6D-BF43-507915B1E2C2}"/>
    <cellStyle name="Normal 152 2 2 2 6 2 2 2 4 3" xfId="4407" xr:uid="{530DDECA-6D04-46F6-BF1B-B4C1EFB50C3E}"/>
    <cellStyle name="Normal 152 2 2 2 6 2 2 2 5" xfId="1561" xr:uid="{6981A882-7608-429C-8A28-41B163DC8DC5}"/>
    <cellStyle name="Normal 152 2 2 2 6 2 2 2 5 2" xfId="4421" xr:uid="{CAB9332D-41C9-49AF-AF72-2DE020A998F0}"/>
    <cellStyle name="Normal 152 2 2 2 6 2 3" xfId="1437" xr:uid="{00000000-0005-0000-0000-000027030000}"/>
    <cellStyle name="Normal 152 2 2 2 6 2 3 2" xfId="2866" xr:uid="{A22FE9C7-2F17-4074-BD19-4A1C5A5B7D96}"/>
    <cellStyle name="Normal 152 2 2 2 6 2 3 2 2" xfId="5721" xr:uid="{25F71245-776E-4C90-9F9C-278E067F45EC}"/>
    <cellStyle name="Normal 152 2 2 2 6 2 3 3" xfId="4301" xr:uid="{92400B3D-90F6-4877-8703-67AD71BC93AC}"/>
    <cellStyle name="Normal 152 2 2 2 6 2 4" xfId="1444" xr:uid="{00000000-0005-0000-0000-000028030000}"/>
    <cellStyle name="Normal 152 2 2 2 6 2 4 2" xfId="2873" xr:uid="{1AF5E818-D30E-43EB-8D04-1C69531620AD}"/>
    <cellStyle name="Normal 152 2 2 2 6 2 4 2 2" xfId="5727" xr:uid="{165CF425-D836-449F-876F-C17B85CD0BF8}"/>
    <cellStyle name="Normal 152 2 2 2 6 2 4 3" xfId="4306" xr:uid="{139E40B4-CD5B-49C9-9BFC-5D792D8DF0F1}"/>
    <cellStyle name="Normal 152 2 2 2 7" xfId="1478" xr:uid="{00000000-0005-0000-0000-000029030000}"/>
    <cellStyle name="Normal 152 2 2 2 7 2" xfId="1497" xr:uid="{00000000-0005-0000-0000-00002A030000}"/>
    <cellStyle name="Normal 152 2 2 2 7 2 2" xfId="2925" xr:uid="{BF5D0EDE-BB94-444E-BCBC-18C9ECECDAAE}"/>
    <cellStyle name="Normal 152 2 2 2 7 2 2 2" xfId="5778" xr:uid="{FFC69D2B-69BB-4E37-AFCB-3EA96D599397}"/>
    <cellStyle name="Normal 152 2 2 2 7 2 3" xfId="4357" xr:uid="{FC9082CC-6F10-414D-8154-55A5D2934867}"/>
    <cellStyle name="Normal 152 2 2 2 7 3" xfId="2906" xr:uid="{A9D98C06-88A8-4B02-AA5B-7E835CCD9691}"/>
    <cellStyle name="Normal 152 2 2 2 7 3 2" xfId="5760" xr:uid="{71E7F078-3F9C-4C42-A125-7EC00A57BC22}"/>
    <cellStyle name="Normal 152 2 2 2 7 4" xfId="4339" xr:uid="{3E3C4A22-DB00-45B8-8089-874249C6A4F2}"/>
    <cellStyle name="Normal 152 2 3" xfId="692" xr:uid="{00000000-0005-0000-0000-00002B030000}"/>
    <cellStyle name="Normal 152 2 3 2" xfId="1379" xr:uid="{00000000-0005-0000-0000-00002C030000}"/>
    <cellStyle name="Normal 152 2 3 2 2" xfId="2826" xr:uid="{268270CE-D5F4-459E-9121-98499E7E3234}"/>
    <cellStyle name="Normal 152 2 3 2 2 2" xfId="5681" xr:uid="{A21A3490-050D-46CD-ACE6-052EF7C2CCB6}"/>
    <cellStyle name="Normal 152 2 3 2 3" xfId="4263" xr:uid="{27D82812-DD46-400E-8D6A-0527A449FD74}"/>
    <cellStyle name="Normal 152 2 3 3" xfId="2183" xr:uid="{3F887999-D5A5-40AD-84A2-3BF51FBBA526}"/>
    <cellStyle name="Normal 152 2 3 3 2" xfId="5042" xr:uid="{A2644B21-9D19-4233-AF67-C185C57A69CF}"/>
    <cellStyle name="Normal 152 2 3 4" xfId="3626" xr:uid="{9F8B8D09-A348-450F-B526-D7A6B8D01228}"/>
    <cellStyle name="Normal 153" xfId="680" xr:uid="{00000000-0005-0000-0000-00002D030000}"/>
    <cellStyle name="Normal 153 2" xfId="688" xr:uid="{00000000-0005-0000-0000-00002E030000}"/>
    <cellStyle name="Normal 153 2 2" xfId="694" xr:uid="{00000000-0005-0000-0000-00002F030000}"/>
    <cellStyle name="Normal 153 2 2 2" xfId="729" xr:uid="{00000000-0005-0000-0000-000030030000}"/>
    <cellStyle name="Normal 153 2 2 2 2" xfId="736" xr:uid="{00000000-0005-0000-0000-000031030000}"/>
    <cellStyle name="Normal 153 2 2 2 2 2" xfId="753" xr:uid="{00000000-0005-0000-0000-000032030000}"/>
    <cellStyle name="Normal 153 2 2 2 2 2 2" xfId="764" xr:uid="{00000000-0005-0000-0000-000033030000}"/>
    <cellStyle name="Normal 153 2 2 2 2 2 2 2" xfId="1421" xr:uid="{00000000-0005-0000-0000-000034030000}"/>
    <cellStyle name="Normal 153 2 2 2 2 2 2 2 2" xfId="1432" xr:uid="{00000000-0005-0000-0000-000035030000}"/>
    <cellStyle name="Normal 153 2 2 2 2 2 2 2 2 10" xfId="5952" xr:uid="{C6DC6E89-9F8A-491D-96B9-46FF433DAF1B}"/>
    <cellStyle name="Normal 153 2 2 2 2 2 2 2 2 11" xfId="5968" xr:uid="{81A14EAE-30D7-43C9-A361-6362B3829172}"/>
    <cellStyle name="Normal 153 2 2 2 2 2 2 2 2 12" xfId="5986" xr:uid="{D66CDA0E-43E0-46D0-8C89-BE464E3EDE95}"/>
    <cellStyle name="Normal 153 2 2 2 2 2 2 2 2 2" xfId="1457" xr:uid="{00000000-0005-0000-0000-000036030000}"/>
    <cellStyle name="Normal 153 2 2 2 2 2 2 2 2 2 2" xfId="2885" xr:uid="{88DE31DE-ABE4-4418-8323-55EFE81E77D3}"/>
    <cellStyle name="Normal 153 2 2 2 2 2 2 2 2 2 2 2" xfId="5739" xr:uid="{0DE64846-F01D-4198-ADBE-1DC8375AACBF}"/>
    <cellStyle name="Normal 153 2 2 2 2 2 2 2 2 2 3" xfId="4318" xr:uid="{DDFCA55D-E1EF-4E2C-9465-F2741580E6DF}"/>
    <cellStyle name="Normal 153 2 2 2 2 2 2 2 2 3" xfId="1474" xr:uid="{00000000-0005-0000-0000-000037030000}"/>
    <cellStyle name="Normal 153 2 2 2 2 2 2 2 2 3 2" xfId="2902" xr:uid="{EC5DA088-4A28-4EE3-9E23-A054DE0183C0}"/>
    <cellStyle name="Normal 153 2 2 2 2 2 2 2 2 3 2 2" xfId="5756" xr:uid="{58C1F076-5494-4E47-8D73-D1E14D1F7936}"/>
    <cellStyle name="Normal 153 2 2 2 2 2 2 2 2 3 3" xfId="4335" xr:uid="{378BDFFB-FCB0-4DF8-9DA3-E7CD4150F42D}"/>
    <cellStyle name="Normal 153 2 2 2 2 2 2 2 2 4" xfId="1488" xr:uid="{00000000-0005-0000-0000-000038030000}"/>
    <cellStyle name="Normal 153 2 2 2 2 2 2 2 2 4 2" xfId="1508" xr:uid="{00000000-0005-0000-0000-000039030000}"/>
    <cellStyle name="Normal 153 2 2 2 2 2 2 2 2 4 2 2" xfId="1538" xr:uid="{00000000-0005-0000-0000-00003A030000}"/>
    <cellStyle name="Normal 153 2 2 2 2 2 2 2 2 4 2 2 2" xfId="2966" xr:uid="{E57E5623-CB69-4E3E-B39D-2FD10FD007E1}"/>
    <cellStyle name="Normal 153 2 2 2 2 2 2 2 2 4 2 2 2 2" xfId="5819" xr:uid="{C4FC12A0-2BD8-446C-92C9-614534C123F0}"/>
    <cellStyle name="Normal 153 2 2 2 2 2 2 2 2 4 2 2 3" xfId="4398" xr:uid="{AF0E9D79-659F-4C6E-92FB-D314F0154408}"/>
    <cellStyle name="Normal 153 2 2 2 2 2 2 2 2 4 2 3" xfId="2936" xr:uid="{472E3444-CD68-42B4-B3E1-F844DD55DE49}"/>
    <cellStyle name="Normal 153 2 2 2 2 2 2 2 2 4 2 3 2" xfId="5789" xr:uid="{D484B390-6E1D-479B-9E1B-DE2C117446B4}"/>
    <cellStyle name="Normal 153 2 2 2 2 2 2 2 2 4 2 4" xfId="4368" xr:uid="{AB123AB0-C746-4920-9FC7-E109EEF1C4DD}"/>
    <cellStyle name="Normal 153 2 2 2 2 2 2 2 2 4 3" xfId="2916" xr:uid="{CACB30A5-5FC8-4EDB-BC3E-AA873087E5CD}"/>
    <cellStyle name="Normal 153 2 2 2 2 2 2 2 2 4 3 2" xfId="5770" xr:uid="{C996EDB0-B19A-468D-BF34-CB03681F18F2}"/>
    <cellStyle name="Normal 153 2 2 2 2 2 2 2 2 4 4" xfId="4349" xr:uid="{42DE0FB4-C152-4D55-B66E-A67C0F0204CF}"/>
    <cellStyle name="Normal 153 2 2 2 2 2 2 2 2 5" xfId="1519" xr:uid="{00000000-0005-0000-0000-00003B030000}"/>
    <cellStyle name="Normal 153 2 2 2 2 2 2 2 2 5 2" xfId="2947" xr:uid="{CD0FA05B-6BC4-4826-AD26-BEFAC53EEF5B}"/>
    <cellStyle name="Normal 153 2 2 2 2 2 2 2 2 5 2 2" xfId="5800" xr:uid="{5BC38AD8-6E13-47ED-801B-EF6FC4206BCA}"/>
    <cellStyle name="Normal 153 2 2 2 2 2 2 2 2 5 3" xfId="4379" xr:uid="{DBFB382B-9933-4C82-BFEE-24539FDE13AD}"/>
    <cellStyle name="Normal 153 2 2 2 2 2 2 2 2 6" xfId="1555" xr:uid="{171181BD-277F-4091-8E94-99F119DFC751}"/>
    <cellStyle name="Normal 153 2 2 2 2 2 2 2 2 6 2" xfId="2983" xr:uid="{B79BB99E-84BA-44CC-A8D4-40DAC29D1C2B}"/>
    <cellStyle name="Normal 153 2 2 2 2 2 2 2 2 6 2 2" xfId="5836" xr:uid="{892E4185-7200-4DEC-B6C9-8AD567440F0D}"/>
    <cellStyle name="Normal 153 2 2 2 2 2 2 2 2 6 3" xfId="4415" xr:uid="{C3367477-A717-494B-9906-5A9E1934D904}"/>
    <cellStyle name="Normal 153 2 2 2 2 2 2 2 2 7" xfId="1571" xr:uid="{D693D1C9-C1E8-4CB3-88F0-CAB7035892A0}"/>
    <cellStyle name="Normal 153 2 2 2 2 2 2 2 2 7 2" xfId="4431" xr:uid="{46C890F7-42B4-4BE6-B23B-0D76A79EF52A}"/>
    <cellStyle name="Normal 153 2 2 2 2 2 2 2 2 8" xfId="3013" xr:uid="{A479D526-55C1-4411-9671-6D450D382679}"/>
    <cellStyle name="Normal 153 2 2 2 2 2 2 2 2 8 2" xfId="5925" xr:uid="{E9C843C5-24C5-4713-BD2E-46896AF34E64}"/>
    <cellStyle name="Normal 153 2 2 2 2 2 2 2 2 9" xfId="5941" xr:uid="{7B2177F4-1BA5-4BFB-A271-7581CEA21C3A}"/>
    <cellStyle name="Normal 154" xfId="686" xr:uid="{00000000-0005-0000-0000-00003C030000}"/>
    <cellStyle name="Normal 154 2" xfId="1376" xr:uid="{00000000-0005-0000-0000-00003D030000}"/>
    <cellStyle name="Normal 154 2 2" xfId="2823" xr:uid="{804A1F42-0306-4F79-A6C5-9D2EE93F55BF}"/>
    <cellStyle name="Normal 154 2 2 2" xfId="5678" xr:uid="{9E0AB17D-185D-49CF-A994-3BA2B0F01E7A}"/>
    <cellStyle name="Normal 154 2 3" xfId="4260" xr:uid="{FE890935-200C-4AC1-9C5B-F569ABF0F268}"/>
    <cellStyle name="Normal 154 3" xfId="2180" xr:uid="{4BD3C40A-C71C-4C02-8B77-2131540455E5}"/>
    <cellStyle name="Normal 154 3 2" xfId="5039" xr:uid="{A272CD7B-1779-489B-B399-8B2DBC60C408}"/>
    <cellStyle name="Normal 154 4" xfId="3623" xr:uid="{4E723170-60B0-4E22-96B0-871EFBE13B28}"/>
    <cellStyle name="Normal 155" xfId="690" xr:uid="{00000000-0005-0000-0000-00003E030000}"/>
    <cellStyle name="Normal 155 2" xfId="1377" xr:uid="{00000000-0005-0000-0000-00003F030000}"/>
    <cellStyle name="Normal 155 2 2" xfId="2824" xr:uid="{EAFDE817-5A8E-4A4F-8EB9-D83644704318}"/>
    <cellStyle name="Normal 155 2 2 2" xfId="5679" xr:uid="{429C5A04-0C84-4C6F-A3D4-7786247B33C2}"/>
    <cellStyle name="Normal 155 2 3" xfId="4261" xr:uid="{57073A49-DF6D-45B1-8E0A-7AA34B841D40}"/>
    <cellStyle name="Normal 155 3" xfId="2181" xr:uid="{467330B9-BCA3-4257-9DCA-D002BC3479B1}"/>
    <cellStyle name="Normal 155 3 2" xfId="5040" xr:uid="{9D86E4AC-32A2-4F2F-BAE0-0C84007C3FB1}"/>
    <cellStyle name="Normal 155 4" xfId="3624" xr:uid="{3CFE440C-6EBC-45EC-A367-A439433CF66F}"/>
    <cellStyle name="Normal 156" xfId="699" xr:uid="{00000000-0005-0000-0000-000040030000}"/>
    <cellStyle name="Normal 156 2" xfId="1383" xr:uid="{00000000-0005-0000-0000-000041030000}"/>
    <cellStyle name="Normal 156 2 2" xfId="2830" xr:uid="{EE2BFE70-723E-4C37-B021-03A695C2B0A5}"/>
    <cellStyle name="Normal 156 2 2 2" xfId="5685" xr:uid="{EE8B1DEF-748A-4486-BB60-C0F9CCA25DCE}"/>
    <cellStyle name="Normal 156 2 3" xfId="4267" xr:uid="{39314339-A7F9-498E-B0ED-D4DC54EEA191}"/>
    <cellStyle name="Normal 156 3" xfId="2187" xr:uid="{D697726A-58B4-4A89-A085-4684DF7232E3}"/>
    <cellStyle name="Normal 156 3 2" xfId="5046" xr:uid="{F6451BA4-83F6-4F53-A2FE-0A09C96FAB3F}"/>
    <cellStyle name="Normal 156 4" xfId="3630" xr:uid="{A445B200-D800-4622-9053-027A47751F54}"/>
    <cellStyle name="Normal 157" xfId="707" xr:uid="{00000000-0005-0000-0000-000042030000}"/>
    <cellStyle name="Normal 157 2" xfId="1388" xr:uid="{00000000-0005-0000-0000-000043030000}"/>
    <cellStyle name="Normal 157 2 2" xfId="2835" xr:uid="{BA537DB8-87CD-412A-99CC-56AF7F4E805F}"/>
    <cellStyle name="Normal 157 2 2 2" xfId="5690" xr:uid="{FB45E367-86D0-4D3F-B6E6-1065280AE806}"/>
    <cellStyle name="Normal 157 2 3" xfId="4272" xr:uid="{17DEF662-2859-4EB5-A721-7D0A8F73D905}"/>
    <cellStyle name="Normal 157 3" xfId="1494" xr:uid="{00000000-0005-0000-0000-000044030000}"/>
    <cellStyle name="Normal 157 3 2" xfId="2922" xr:uid="{D60BC9B7-645D-489A-82AA-B3259D2D037C}"/>
    <cellStyle name="Normal 157 3 2 2" xfId="5775" xr:uid="{3BB3E5F7-6184-478C-8916-FB39F20312EE}"/>
    <cellStyle name="Normal 157 3 3" xfId="4354" xr:uid="{70ADC271-0865-4E95-AD4E-8841A2889260}"/>
    <cellStyle name="Normal 157 4" xfId="2194" xr:uid="{CDA33EEC-6B01-4EA1-8E22-260305D1AD39}"/>
    <cellStyle name="Normal 157 4 2" xfId="5051" xr:uid="{7F2FE29E-8691-4BB8-A847-B60EFC59609B}"/>
    <cellStyle name="Normal 157 5" xfId="3635" xr:uid="{2782F07F-B9FB-46E2-A7CC-99F6D030867F}"/>
    <cellStyle name="Normal 158" xfId="714" xr:uid="{00000000-0005-0000-0000-000045030000}"/>
    <cellStyle name="Normal 158 2" xfId="1395" xr:uid="{00000000-0005-0000-0000-000046030000}"/>
    <cellStyle name="Normal 158 2 2" xfId="2842" xr:uid="{ACDA76BF-1565-400E-8F18-4CB6801FD8EE}"/>
    <cellStyle name="Normal 158 2 2 2" xfId="5697" xr:uid="{43C1DA8E-0A9C-40FE-A2D3-2E50EB9AC5EB}"/>
    <cellStyle name="Normal 158 2 3" xfId="4279" xr:uid="{2ADE68CC-1DC0-4CEC-9E51-415D7F02D406}"/>
    <cellStyle name="Normal 158 3" xfId="2201" xr:uid="{ECE59B1C-BFF4-471A-95A5-EA06E27DBAD4}"/>
    <cellStyle name="Normal 158 3 2" xfId="5058" xr:uid="{85EBAA1B-7E1B-4EBA-958C-EEB5588B3E31}"/>
    <cellStyle name="Normal 158 4" xfId="3642" xr:uid="{33A5BD4B-557F-476A-A2AE-A4F757C25E63}"/>
    <cellStyle name="Normal 159" xfId="717" xr:uid="{00000000-0005-0000-0000-000047030000}"/>
    <cellStyle name="Normal 159 2" xfId="1396" xr:uid="{00000000-0005-0000-0000-000048030000}"/>
    <cellStyle name="Normal 159 2 2" xfId="2843" xr:uid="{59D47094-03EC-4A46-8C9B-D3CF2A91EA70}"/>
    <cellStyle name="Normal 159 2 2 2" xfId="5698" xr:uid="{EE505381-74B1-4DB9-A74B-BF9480533444}"/>
    <cellStyle name="Normal 159 2 3" xfId="4280" xr:uid="{0C02E4E5-EAA7-4D1D-B3C0-049E840D544A}"/>
    <cellStyle name="Normal 159 3" xfId="2203" xr:uid="{34DAC9E2-DAA0-4A26-B769-559999578201}"/>
    <cellStyle name="Normal 159 3 2" xfId="5059" xr:uid="{ED935220-9E4C-4E9A-BFBD-766A20BC175B}"/>
    <cellStyle name="Normal 159 4" xfId="3643" xr:uid="{F831417A-3B2B-4CE0-A90D-BFBEF46BA04A}"/>
    <cellStyle name="Normal 16" xfId="54" xr:uid="{00000000-0005-0000-0000-000049030000}"/>
    <cellStyle name="Normal 160" xfId="720" xr:uid="{00000000-0005-0000-0000-00004A030000}"/>
    <cellStyle name="Normal 160 2" xfId="1399" xr:uid="{00000000-0005-0000-0000-00004B030000}"/>
    <cellStyle name="Normal 160 2 2" xfId="2846" xr:uid="{9982F81F-C743-4994-82D8-729AD1F87905}"/>
    <cellStyle name="Normal 160 2 2 2" xfId="5701" xr:uid="{FAA185D2-E26A-401F-9338-2E8658AA46D2}"/>
    <cellStyle name="Normal 160 2 3" xfId="4283" xr:uid="{9DC67510-23F7-43CD-828A-A971378D32A4}"/>
    <cellStyle name="Normal 160 3" xfId="2206" xr:uid="{450328CE-5A7C-4E8F-B51D-113E4CD72109}"/>
    <cellStyle name="Normal 160 3 2" xfId="5062" xr:uid="{1FBFA8D4-8398-44E2-8E7C-67F826CE2DC0}"/>
    <cellStyle name="Normal 160 4" xfId="3646" xr:uid="{72750856-2D70-4DCE-965C-29BE91DF7BA4}"/>
    <cellStyle name="Normal 161" xfId="726" xr:uid="{00000000-0005-0000-0000-00004C030000}"/>
    <cellStyle name="Normal 161 2" xfId="733" xr:uid="{00000000-0005-0000-0000-00004D030000}"/>
    <cellStyle name="Normal 161 2 2" xfId="752" xr:uid="{00000000-0005-0000-0000-00004E030000}"/>
    <cellStyle name="Normal 161 2 2 2" xfId="763" xr:uid="{00000000-0005-0000-0000-00004F030000}"/>
    <cellStyle name="Normal 161 2 2 2 2" xfId="1420" xr:uid="{00000000-0005-0000-0000-000050030000}"/>
    <cellStyle name="Normal 161 2 2 2 2 2" xfId="1431" xr:uid="{00000000-0005-0000-0000-000051030000}"/>
    <cellStyle name="Normal 161 2 2 2 2 2 10" xfId="5951" xr:uid="{9DA490CE-7830-4DFE-9A4E-473E16790D14}"/>
    <cellStyle name="Normal 161 2 2 2 2 2 11" xfId="5967" xr:uid="{F917B89B-D420-45BE-A650-038045A01E60}"/>
    <cellStyle name="Normal 161 2 2 2 2 2 12" xfId="5985" xr:uid="{E50E8860-3B3F-451A-A881-653E7EDB7F79}"/>
    <cellStyle name="Normal 161 2 2 2 2 2 2" xfId="1456" xr:uid="{00000000-0005-0000-0000-000052030000}"/>
    <cellStyle name="Normal 161 2 2 2 2 2 2 2" xfId="2884" xr:uid="{80FE0D25-67C0-4C7B-826F-A53547ECA7F8}"/>
    <cellStyle name="Normal 161 2 2 2 2 2 2 2 2" xfId="5738" xr:uid="{B6076D36-E6C2-423F-A259-6EAA212AADFB}"/>
    <cellStyle name="Normal 161 2 2 2 2 2 2 3" xfId="4317" xr:uid="{08E732EA-FA08-49FD-BCBA-D3BB34137AAA}"/>
    <cellStyle name="Normal 161 2 2 2 2 2 3" xfId="1473" xr:uid="{00000000-0005-0000-0000-000053030000}"/>
    <cellStyle name="Normal 161 2 2 2 2 2 3 2" xfId="2901" xr:uid="{C8798946-F938-4A7E-B19F-CDF387323EA6}"/>
    <cellStyle name="Normal 161 2 2 2 2 2 3 2 2" xfId="5755" xr:uid="{BF723BD3-E7E5-452B-B7E7-2C0F802E8D03}"/>
    <cellStyle name="Normal 161 2 2 2 2 2 3 3" xfId="4334" xr:uid="{C612F9AC-2BB7-4045-9EB6-AEECAE4BFC68}"/>
    <cellStyle name="Normal 161 2 2 2 2 2 4" xfId="1487" xr:uid="{00000000-0005-0000-0000-000054030000}"/>
    <cellStyle name="Normal 161 2 2 2 2 2 4 2" xfId="1507" xr:uid="{00000000-0005-0000-0000-000055030000}"/>
    <cellStyle name="Normal 161 2 2 2 2 2 4 2 2" xfId="1537" xr:uid="{00000000-0005-0000-0000-000056030000}"/>
    <cellStyle name="Normal 161 2 2 2 2 2 4 2 2 2" xfId="2965" xr:uid="{065FEA4A-62FF-4947-8D1A-DDE3FF42412A}"/>
    <cellStyle name="Normal 161 2 2 2 2 2 4 2 2 2 2" xfId="5818" xr:uid="{F32F9120-97B2-4FB4-81B8-7FC3EF1CBCE5}"/>
    <cellStyle name="Normal 161 2 2 2 2 2 4 2 2 3" xfId="4397" xr:uid="{AA7A7C4B-DDE3-4594-A35F-AF7E8D4B4141}"/>
    <cellStyle name="Normal 161 2 2 2 2 2 4 2 3" xfId="2935" xr:uid="{B98B2FF4-22DA-46EA-8084-B5B6C852EF92}"/>
    <cellStyle name="Normal 161 2 2 2 2 2 4 2 3 2" xfId="5788" xr:uid="{262571E7-71AD-4567-B37E-007DAED33191}"/>
    <cellStyle name="Normal 161 2 2 2 2 2 4 2 4" xfId="4367" xr:uid="{47AACA6F-D2C1-4A68-BA04-7B4734C30377}"/>
    <cellStyle name="Normal 161 2 2 2 2 2 4 3" xfId="2915" xr:uid="{4AB31EDF-67B5-442B-A4E9-CF1E1A278548}"/>
    <cellStyle name="Normal 161 2 2 2 2 2 4 3 2" xfId="5769" xr:uid="{0CF7FB3C-73DA-460F-9C8B-F329165CC509}"/>
    <cellStyle name="Normal 161 2 2 2 2 2 4 4" xfId="4348" xr:uid="{CF8769E8-7F2A-465D-85CA-CD54AB512BE3}"/>
    <cellStyle name="Normal 161 2 2 2 2 2 5" xfId="1518" xr:uid="{00000000-0005-0000-0000-000057030000}"/>
    <cellStyle name="Normal 161 2 2 2 2 2 5 2" xfId="2946" xr:uid="{FB76AEF8-72B3-4BD7-A402-A3144A0353E4}"/>
    <cellStyle name="Normal 161 2 2 2 2 2 5 2 2" xfId="5799" xr:uid="{AFA1EF02-FA94-4756-A900-A24C444CE90C}"/>
    <cellStyle name="Normal 161 2 2 2 2 2 5 3" xfId="4378" xr:uid="{7174621C-0A0E-4D0C-9B56-7B41026C0E98}"/>
    <cellStyle name="Normal 161 2 2 2 2 2 6" xfId="1554" xr:uid="{EDD3ECE9-27E6-4E1A-91BD-776C7E3E90BD}"/>
    <cellStyle name="Normal 161 2 2 2 2 2 6 2" xfId="2982" xr:uid="{8B8022E2-6862-4657-917D-BC3AE1A9FFCF}"/>
    <cellStyle name="Normal 161 2 2 2 2 2 6 2 2" xfId="5835" xr:uid="{564D739E-FD2C-4641-83EF-11CA2E3C520E}"/>
    <cellStyle name="Normal 161 2 2 2 2 2 6 3" xfId="4414" xr:uid="{549364FC-6114-4652-AB55-754A9C2D50F7}"/>
    <cellStyle name="Normal 161 2 2 2 2 2 7" xfId="1570" xr:uid="{9B69FB8F-3888-4C36-A1ED-1A266A1F1BB5}"/>
    <cellStyle name="Normal 161 2 2 2 2 2 7 2" xfId="4430" xr:uid="{7A5B9019-8BB7-42E5-9E70-E5ACA3A04909}"/>
    <cellStyle name="Normal 161 2 2 2 2 2 8" xfId="3012" xr:uid="{A9BFD347-0D28-4FF7-B9F4-C1B71EC61DD1}"/>
    <cellStyle name="Normal 161 2 2 2 2 2 8 2" xfId="5924" xr:uid="{69EA23CD-F8B5-4AC0-AF25-1BA7BAF90F12}"/>
    <cellStyle name="Normal 161 2 2 2 2 2 9" xfId="5940" xr:uid="{B619F8BB-2944-4A5B-BC6F-939FC1D9844D}"/>
    <cellStyle name="Normal 161 3" xfId="742" xr:uid="{00000000-0005-0000-0000-000058030000}"/>
    <cellStyle name="Normal 161 3 2" xfId="748" xr:uid="{00000000-0005-0000-0000-000059030000}"/>
    <cellStyle name="Normal 161 3 2 2" xfId="759" xr:uid="{00000000-0005-0000-0000-00005A030000}"/>
    <cellStyle name="Normal 161 3 2 2 2" xfId="1416" xr:uid="{00000000-0005-0000-0000-00005B030000}"/>
    <cellStyle name="Normal 161 3 2 2 2 2" xfId="1427" xr:uid="{00000000-0005-0000-0000-00005C030000}"/>
    <cellStyle name="Normal 161 3 2 2 2 2 10" xfId="5947" xr:uid="{EA80054F-C143-47D4-868A-710A6C20DB0F}"/>
    <cellStyle name="Normal 161 3 2 2 2 2 11" xfId="5963" xr:uid="{EB3C9720-9BC6-4B5A-8BC3-A6FE89500398}"/>
    <cellStyle name="Normal 161 3 2 2 2 2 12" xfId="5981" xr:uid="{5A4BD88D-842F-4A53-9137-AC8CB8717F4F}"/>
    <cellStyle name="Normal 161 3 2 2 2 2 2" xfId="1452" xr:uid="{00000000-0005-0000-0000-00005D030000}"/>
    <cellStyle name="Normal 161 3 2 2 2 2 2 2" xfId="2880" xr:uid="{DA4FDCE4-B96F-40CE-8792-CCCEAB30E5E6}"/>
    <cellStyle name="Normal 161 3 2 2 2 2 2 2 2" xfId="5734" xr:uid="{BED11A34-9FD5-4120-BD28-B2CEF04062D4}"/>
    <cellStyle name="Normal 161 3 2 2 2 2 2 3" xfId="4313" xr:uid="{EB90F806-F400-4C91-ACDC-99A4057F0D31}"/>
    <cellStyle name="Normal 161 3 2 2 2 2 3" xfId="1469" xr:uid="{00000000-0005-0000-0000-00005E030000}"/>
    <cellStyle name="Normal 161 3 2 2 2 2 3 2" xfId="2897" xr:uid="{2E42412F-86E1-4E67-9A63-FB48EEDB7BE6}"/>
    <cellStyle name="Normal 161 3 2 2 2 2 3 2 2" xfId="5751" xr:uid="{FB89A294-8F3C-488C-8369-7AF165599F85}"/>
    <cellStyle name="Normal 161 3 2 2 2 2 3 3" xfId="4330" xr:uid="{6207083A-7905-4F40-A940-B799890FEDEE}"/>
    <cellStyle name="Normal 161 3 2 2 2 2 4" xfId="1482" xr:uid="{00000000-0005-0000-0000-00005F030000}"/>
    <cellStyle name="Normal 161 3 2 2 2 2 4 2" xfId="1501" xr:uid="{00000000-0005-0000-0000-000060030000}"/>
    <cellStyle name="Normal 161 3 2 2 2 2 4 2 2" xfId="1531" xr:uid="{00000000-0005-0000-0000-000061030000}"/>
    <cellStyle name="Normal 161 3 2 2 2 2 4 2 2 2" xfId="2959" xr:uid="{849E6C2A-26FA-4368-A773-0BEDD53690D2}"/>
    <cellStyle name="Normal 161 3 2 2 2 2 4 2 2 2 2" xfId="5812" xr:uid="{95E44118-D283-41C2-BDA4-3F4101DED08F}"/>
    <cellStyle name="Normal 161 3 2 2 2 2 4 2 2 2 2 2" xfId="5913" xr:uid="{39AEB3F8-C89B-4E48-8B57-8FCA4D2785CF}"/>
    <cellStyle name="Normal 161 3 2 2 2 2 4 2 2 3" xfId="4391" xr:uid="{602AAB9E-CB14-4688-811D-25E21032DF26}"/>
    <cellStyle name="Normal 161 3 2 2 2 2 4 2 3" xfId="2929" xr:uid="{1DD4A1D0-8B0C-4F71-93AC-2563212D3F75}"/>
    <cellStyle name="Normal 161 3 2 2 2 2 4 2 3 2" xfId="5782" xr:uid="{6B69670E-42CB-4E66-BBF5-AB6C850574F2}"/>
    <cellStyle name="Normal 161 3 2 2 2 2 4 2 4" xfId="4361" xr:uid="{F31E33CE-529B-487D-B1A5-342795CA7598}"/>
    <cellStyle name="Normal 161 3 2 2 2 2 4 3" xfId="2910" xr:uid="{BDAAC410-AF99-4EF0-ACFD-A6EC569CA11F}"/>
    <cellStyle name="Normal 161 3 2 2 2 2 4 3 2" xfId="5764" xr:uid="{52A21C77-B80F-448B-A96E-49846E0F2E64}"/>
    <cellStyle name="Normal 161 3 2 2 2 2 4 4" xfId="4343" xr:uid="{418D476F-54E8-4A10-95A5-72A484AC693C}"/>
    <cellStyle name="Normal 161 3 2 2 2 2 5" xfId="1514" xr:uid="{00000000-0005-0000-0000-000062030000}"/>
    <cellStyle name="Normal 161 3 2 2 2 2 5 2" xfId="2942" xr:uid="{87E40659-6C28-4904-B6D7-FBB804F9EBE7}"/>
    <cellStyle name="Normal 161 3 2 2 2 2 5 2 2" xfId="5795" xr:uid="{3DB06E97-0085-44F7-85CF-FF4A69560D93}"/>
    <cellStyle name="Normal 161 3 2 2 2 2 5 3" xfId="4374" xr:uid="{68007A6B-7AF1-4A02-82BD-06799BD73284}"/>
    <cellStyle name="Normal 161 3 2 2 2 2 6" xfId="1550" xr:uid="{7A072BF8-7D06-46F6-97BE-C4638E8183F3}"/>
    <cellStyle name="Normal 161 3 2 2 2 2 6 2" xfId="2978" xr:uid="{AC293D85-C579-4656-BEA6-5370BB4C1117}"/>
    <cellStyle name="Normal 161 3 2 2 2 2 6 2 2" xfId="5831" xr:uid="{D730CEE8-063F-485E-80CB-ED4D9C4B1B8C}"/>
    <cellStyle name="Normal 161 3 2 2 2 2 6 3" xfId="4410" xr:uid="{A2DB7756-A6B8-4D5C-8FA3-CA555635CB89}"/>
    <cellStyle name="Normal 161 3 2 2 2 2 7" xfId="1566" xr:uid="{E7027647-C48B-4C56-8DD0-E3A1503D4CE7}"/>
    <cellStyle name="Normal 161 3 2 2 2 2 7 2" xfId="4426" xr:uid="{9EA499D5-646C-4A02-A576-C65F9DA6E161}"/>
    <cellStyle name="Normal 161 3 2 2 2 2 8" xfId="3008" xr:uid="{B7761022-48D8-40A6-9181-E4B2CCC41DB1}"/>
    <cellStyle name="Normal 161 3 2 2 2 2 9" xfId="5936" xr:uid="{F8A3F27A-DB84-4D97-AC62-445CD0F84A45}"/>
    <cellStyle name="Normal 161 3 2 3" xfId="1436" xr:uid="{00000000-0005-0000-0000-000063030000}"/>
    <cellStyle name="Normal 161 3 2 3 2" xfId="2865" xr:uid="{9C755766-E9C6-4EEB-BA47-14DD632CAE80}"/>
    <cellStyle name="Normal 161 3 2 3 2 2" xfId="5720" xr:uid="{F200B905-4D51-4647-B27E-5EFDA83F3B5F}"/>
    <cellStyle name="Normal 161 3 2 3 3" xfId="4300" xr:uid="{2B934B0A-31D7-42D8-809A-B195DC700B1E}"/>
    <cellStyle name="Normal 161 3 2 4" xfId="1443" xr:uid="{00000000-0005-0000-0000-000064030000}"/>
    <cellStyle name="Normal 161 3 2 4 2" xfId="2872" xr:uid="{0607D404-3AD4-451A-87A8-38D86B6EC214}"/>
    <cellStyle name="Normal 161 3 2 4 2 2" xfId="5726" xr:uid="{A75CB1C9-9347-43DC-9124-AA2B0B0DE676}"/>
    <cellStyle name="Normal 161 3 2 4 3" xfId="4305" xr:uid="{1C3BD1CB-5019-4D30-A4CB-06F111DE06C2}"/>
    <cellStyle name="Normal 162" xfId="731" xr:uid="{00000000-0005-0000-0000-000065030000}"/>
    <cellStyle name="Normal 162 2" xfId="749" xr:uid="{00000000-0005-0000-0000-000066030000}"/>
    <cellStyle name="Normal 162 2 2" xfId="762" xr:uid="{00000000-0005-0000-0000-000067030000}"/>
    <cellStyle name="Normal 162 2 2 2" xfId="1417" xr:uid="{00000000-0005-0000-0000-000068030000}"/>
    <cellStyle name="Normal 162 2 2 2 2" xfId="1428" xr:uid="{00000000-0005-0000-0000-000069030000}"/>
    <cellStyle name="Normal 162 2 2 2 2 10" xfId="5948" xr:uid="{B3397403-394E-4733-9ABA-91D44A960123}"/>
    <cellStyle name="Normal 162 2 2 2 2 11" xfId="5964" xr:uid="{E0253B4C-F328-4AA7-B1D4-BEF725503833}"/>
    <cellStyle name="Normal 162 2 2 2 2 12" xfId="5982" xr:uid="{E547B318-8DE2-431A-9231-07F79B0F4F32}"/>
    <cellStyle name="Normal 162 2 2 2 2 2" xfId="1453" xr:uid="{00000000-0005-0000-0000-00006A030000}"/>
    <cellStyle name="Normal 162 2 2 2 2 2 2" xfId="2881" xr:uid="{CA8A7565-92F5-4162-9926-6BB2CD9DC909}"/>
    <cellStyle name="Normal 162 2 2 2 2 2 2 2" xfId="5735" xr:uid="{315BC5EA-D10B-4A2D-B0A9-0583658095C0}"/>
    <cellStyle name="Normal 162 2 2 2 2 2 3" xfId="4314" xr:uid="{802963A2-B3BF-4DCD-8D7F-6B68AFF9B317}"/>
    <cellStyle name="Normal 162 2 2 2 2 3" xfId="1470" xr:uid="{00000000-0005-0000-0000-00006B030000}"/>
    <cellStyle name="Normal 162 2 2 2 2 3 2" xfId="2898" xr:uid="{30319760-EE25-4D0C-B09E-F4D690A1C565}"/>
    <cellStyle name="Normal 162 2 2 2 2 3 2 2" xfId="5752" xr:uid="{17F2CCAB-7E3C-4545-AAF3-022E22A102CD}"/>
    <cellStyle name="Normal 162 2 2 2 2 3 3" xfId="4331" xr:uid="{A42492A5-468C-496A-8290-AEAADF71179D}"/>
    <cellStyle name="Normal 162 2 2 2 2 4" xfId="1483" xr:uid="{00000000-0005-0000-0000-00006C030000}"/>
    <cellStyle name="Normal 162 2 2 2 2 4 2" xfId="1502" xr:uid="{00000000-0005-0000-0000-00006D030000}"/>
    <cellStyle name="Normal 162 2 2 2 2 4 2 2" xfId="1532" xr:uid="{00000000-0005-0000-0000-00006E030000}"/>
    <cellStyle name="Normal 162 2 2 2 2 4 2 2 2" xfId="2960" xr:uid="{CA1C1B75-0D61-4F4F-A8D8-F5F817CED1F1}"/>
    <cellStyle name="Normal 162 2 2 2 2 4 2 2 2 2" xfId="5813" xr:uid="{19199F5F-8AB4-46FB-B0E5-ECDA28760B11}"/>
    <cellStyle name="Normal 162 2 2 2 2 4 2 2 2 2 2" xfId="5914" xr:uid="{01887D5F-B512-44C8-9DB8-2C35C6F3D672}"/>
    <cellStyle name="Normal 162 2 2 2 2 4 2 2 3" xfId="4392" xr:uid="{EC3098B3-FC18-422F-B98D-86ACC2374F1C}"/>
    <cellStyle name="Normal 162 2 2 2 2 4 2 3" xfId="2930" xr:uid="{C0CD27EF-6E59-4DF6-9BA8-944957D6BC73}"/>
    <cellStyle name="Normal 162 2 2 2 2 4 2 3 2" xfId="5783" xr:uid="{C5B50CBF-1F21-4E2D-A6C5-F1A5DFFC9288}"/>
    <cellStyle name="Normal 162 2 2 2 2 4 2 4" xfId="4362" xr:uid="{B26888A1-9C2D-4599-9BB6-4BD2CCEA34BB}"/>
    <cellStyle name="Normal 162 2 2 2 2 4 3" xfId="2911" xr:uid="{FC37232D-E7F5-4695-8A12-319F413763D3}"/>
    <cellStyle name="Normal 162 2 2 2 2 4 3 2" xfId="5765" xr:uid="{9EA911F5-6125-42B8-9431-0289D20E36B6}"/>
    <cellStyle name="Normal 162 2 2 2 2 4 4" xfId="4344" xr:uid="{74F371C0-1D57-429D-8D80-F5050A547760}"/>
    <cellStyle name="Normal 162 2 2 2 2 5" xfId="1515" xr:uid="{00000000-0005-0000-0000-00006F030000}"/>
    <cellStyle name="Normal 162 2 2 2 2 5 2" xfId="2943" xr:uid="{F00941F3-300B-404C-B28D-2A28E6D2C55E}"/>
    <cellStyle name="Normal 162 2 2 2 2 5 2 2" xfId="5796" xr:uid="{1EA9FA0E-F6E0-44D6-8A00-04E420153505}"/>
    <cellStyle name="Normal 162 2 2 2 2 5 3" xfId="4375" xr:uid="{011E07E9-3020-438D-8348-A0398AB3F0E0}"/>
    <cellStyle name="Normal 162 2 2 2 2 6" xfId="1551" xr:uid="{9C92DA69-E17A-4934-9299-1AE0B7DECB7C}"/>
    <cellStyle name="Normal 162 2 2 2 2 6 2" xfId="2979" xr:uid="{8162AD97-10D9-4A36-B026-C830D97E39BC}"/>
    <cellStyle name="Normal 162 2 2 2 2 6 2 2" xfId="5832" xr:uid="{670A9B32-FD6B-41BC-8319-8434B38BA7C8}"/>
    <cellStyle name="Normal 162 2 2 2 2 6 3" xfId="4411" xr:uid="{4AE487CA-BBCD-4EFB-A671-2B222562CF21}"/>
    <cellStyle name="Normal 162 2 2 2 2 7" xfId="1567" xr:uid="{1560508D-7DC6-4789-826B-1BA3A0991091}"/>
    <cellStyle name="Normal 162 2 2 2 2 7 2" xfId="4427" xr:uid="{F6F53E6C-7EBA-4BFA-86B7-9AD4FCA93042}"/>
    <cellStyle name="Normal 162 2 2 2 2 8" xfId="3009" xr:uid="{E470A8C6-B3AF-4322-9FE2-1B1C94728BBC}"/>
    <cellStyle name="Normal 162 2 2 2 2 8 2" xfId="5916" xr:uid="{1508D005-235A-4B45-A9A3-C0A7B495C020}"/>
    <cellStyle name="Normal 162 2 2 2 2 9" xfId="5937" xr:uid="{7C11BA66-9B50-4F59-99D0-401753EFFE99}"/>
    <cellStyle name="Normal 163" xfId="740" xr:uid="{00000000-0005-0000-0000-000070030000}"/>
    <cellStyle name="Normal 163 2" xfId="757" xr:uid="{00000000-0005-0000-0000-000071030000}"/>
    <cellStyle name="Normal 163 2 2" xfId="1415" xr:uid="{00000000-0005-0000-0000-000072030000}"/>
    <cellStyle name="Normal 163 2 2 10" xfId="5955" xr:uid="{96811ED7-6D91-4409-A0D1-715EDFBA87AE}"/>
    <cellStyle name="Normal 163 2 2 2" xfId="1460" xr:uid="{00000000-0005-0000-0000-000073030000}"/>
    <cellStyle name="Normal 163 2 2 2 2" xfId="2888" xr:uid="{04182DB6-D2A0-4B3D-8F4E-653CF3C01ABF}"/>
    <cellStyle name="Normal 163 2 2 2 2 2" xfId="5742" xr:uid="{4746BB22-252D-44D1-A658-632BF3E984AE}"/>
    <cellStyle name="Normal 163 2 2 2 3" xfId="4321" xr:uid="{F9952346-0486-4FD7-87E8-BAB6742ABB7F}"/>
    <cellStyle name="Normal 163 2 2 3" xfId="1464" xr:uid="{00000000-0005-0000-0000-000074030000}"/>
    <cellStyle name="Normal 163 2 2 3 2" xfId="2892" xr:uid="{323ED5EF-B995-4DAF-AA5F-4E983EDA413B}"/>
    <cellStyle name="Normal 163 2 2 3 2 2" xfId="5746" xr:uid="{2EFBEE22-80A9-4177-998A-10ED280F8BB8}"/>
    <cellStyle name="Normal 163 2 2 3 3" xfId="4325" xr:uid="{34F87754-F02C-41A7-9A45-97E877B9E70D}"/>
    <cellStyle name="Normal 163 2 2 4" xfId="1522" xr:uid="{00000000-0005-0000-0000-000075030000}"/>
    <cellStyle name="Normal 163 2 2 4 2" xfId="2950" xr:uid="{FFE82302-A138-4CD8-B6B4-0B52FBA020E8}"/>
    <cellStyle name="Normal 163 2 2 4 2 2" xfId="5803" xr:uid="{8A693D3F-5877-42D0-A4AC-446DED795254}"/>
    <cellStyle name="Normal 163 2 2 4 3" xfId="4382" xr:uid="{7AA7AFA5-35D6-47DD-B202-6CA24FA7189E}"/>
    <cellStyle name="Normal 163 2 2 5" xfId="1541" xr:uid="{00000000-0005-0000-0000-000076030000}"/>
    <cellStyle name="Normal 163 2 2 5 2" xfId="2969" xr:uid="{E2C63431-FB85-4AC5-8DBF-8499AAFFAE0D}"/>
    <cellStyle name="Normal 163 2 2 5 2 2" xfId="5822" xr:uid="{7A0B237A-61B6-41E3-80B5-1C10A52DB475}"/>
    <cellStyle name="Normal 163 2 2 5 3" xfId="4401" xr:uid="{F45BCFD6-0754-4C37-A0D8-61A3E11DDDE1}"/>
    <cellStyle name="Normal 163 2 2 6" xfId="1545" xr:uid="{4490AB18-6A23-44E8-BB8C-FDCC0C6EFCC8}"/>
    <cellStyle name="Normal 163 2 2 6 2" xfId="2973" xr:uid="{EFF5C8D6-1262-4E7E-B8DB-971731F35592}"/>
    <cellStyle name="Normal 163 2 2 6 2 2" xfId="5826" xr:uid="{B52655C6-E694-4317-985F-C7B2F7A2821A}"/>
    <cellStyle name="Normal 163 2 2 6 3" xfId="4405" xr:uid="{C30E03F0-D721-4EFB-BD8B-2FA76CBB09B2}"/>
    <cellStyle name="Normal 163 2 2 7" xfId="1559" xr:uid="{D07CB64D-C11A-47F7-95A4-533F4F257E96}"/>
    <cellStyle name="Normal 163 2 2 7 2" xfId="4419" xr:uid="{641C497D-17F8-435B-99B1-6BA1DB3DDD43}"/>
    <cellStyle name="Normal 163 2 2 8" xfId="2860" xr:uid="{AF00C664-F109-461A-ADB6-D158D8FA4C9D}"/>
    <cellStyle name="Normal 163 2 2 8 2" xfId="5715" xr:uid="{5D4ADCA5-EDD2-476B-AE72-B159F559824C}"/>
    <cellStyle name="Normal 163 2 2 9" xfId="3016" xr:uid="{7191F368-D8EF-4FF6-B213-82E29F4700B7}"/>
    <cellStyle name="Normal 163 2 2 9 2" xfId="5907" xr:uid="{4C25C975-6A4F-4A83-9C96-B40784553470}"/>
    <cellStyle name="Normal 163 2 2 9 2 2" xfId="5932" xr:uid="{21BBE7B2-6A11-4FFE-B1AD-512B9F831EF9}"/>
    <cellStyle name="Normal 163 2 2 9 2 2 2" xfId="5959" xr:uid="{E97E7BF3-4694-4363-BA83-B79B0AA13442}"/>
    <cellStyle name="Normal 163 2 2 9 2 2 2 2" xfId="5977" xr:uid="{68C774DB-DD2A-46ED-81D8-9B4CBD41CF89}"/>
    <cellStyle name="Normal 163 2 2 9 2 2 2 2 2" xfId="6003" xr:uid="{AA01C882-CE25-495A-A64A-6CF80784AC8A}"/>
    <cellStyle name="Normal 163 2 3" xfId="2221" xr:uid="{4BB9F2BC-B396-405E-951E-2318E9D76CBE}"/>
    <cellStyle name="Normal 163 2 3 2" xfId="5077" xr:uid="{3C26D498-FBBF-4826-B476-E75ED21DB9AC}"/>
    <cellStyle name="Normal 163 3" xfId="2217" xr:uid="{F669E4B0-7FF4-4648-A837-124BCF826322}"/>
    <cellStyle name="Normal 163 3 2" xfId="5073" xr:uid="{B617FC5E-488A-4851-BDAB-62FA652F8E70}"/>
    <cellStyle name="Normal 164" xfId="756" xr:uid="{00000000-0005-0000-0000-000077030000}"/>
    <cellStyle name="Normal 164 2" xfId="1413" xr:uid="{00000000-0005-0000-0000-000078030000}"/>
    <cellStyle name="Normal 164 2 10" xfId="5956" xr:uid="{4065CC2B-AC29-489E-8D07-EE238854C533}"/>
    <cellStyle name="Normal 164 2 2" xfId="1461" xr:uid="{00000000-0005-0000-0000-000079030000}"/>
    <cellStyle name="Normal 164 2 2 2" xfId="2889" xr:uid="{BCD15272-45A9-4FBD-AA25-55F81233A5A4}"/>
    <cellStyle name="Normal 164 2 2 2 2" xfId="5743" xr:uid="{78CD87BB-ACF1-4438-96D7-F8ED163850C8}"/>
    <cellStyle name="Normal 164 2 2 3" xfId="4322" xr:uid="{9971BF11-7283-449A-9802-5CA77F92CD94}"/>
    <cellStyle name="Normal 164 2 3" xfId="1465" xr:uid="{00000000-0005-0000-0000-00007A030000}"/>
    <cellStyle name="Normal 164 2 3 2" xfId="2893" xr:uid="{6F6370F3-0A8A-486A-B7AC-2F23AF21C2F3}"/>
    <cellStyle name="Normal 164 2 3 2 2" xfId="5747" xr:uid="{C9FCC9A2-027A-45E7-8A51-E5E90D6D314E}"/>
    <cellStyle name="Normal 164 2 3 3" xfId="4326" xr:uid="{F0FF5A83-1DF7-41C3-8980-40F6A37119EC}"/>
    <cellStyle name="Normal 164 2 4" xfId="1523" xr:uid="{00000000-0005-0000-0000-00007B030000}"/>
    <cellStyle name="Normal 164 2 4 2" xfId="2951" xr:uid="{7ED94299-D093-43AE-9C4C-6B46427594C6}"/>
    <cellStyle name="Normal 164 2 4 2 2" xfId="5804" xr:uid="{37A5B050-97EB-42E5-9978-93BD17F017F6}"/>
    <cellStyle name="Normal 164 2 4 3" xfId="4383" xr:uid="{435F43B1-623A-4ED2-B642-836E5D5420C7}"/>
    <cellStyle name="Normal 164 2 5" xfId="1542" xr:uid="{00000000-0005-0000-0000-00007C030000}"/>
    <cellStyle name="Normal 164 2 5 2" xfId="2970" xr:uid="{7E5E56DD-7369-4543-88BB-B92A5350C4C8}"/>
    <cellStyle name="Normal 164 2 5 2 2" xfId="5823" xr:uid="{18E6EAEA-85F5-43E4-BF18-DBC254BA5E7E}"/>
    <cellStyle name="Normal 164 2 5 3" xfId="4402" xr:uid="{631A4622-39B6-499B-9FA2-28376ED9C04A}"/>
    <cellStyle name="Normal 164 2 6" xfId="1546" xr:uid="{7CDCD116-B966-465C-A2C8-B1D4AA202FC0}"/>
    <cellStyle name="Normal 164 2 6 2" xfId="2974" xr:uid="{777E2F41-2895-40AE-A886-0304449F8436}"/>
    <cellStyle name="Normal 164 2 6 2 2" xfId="5827" xr:uid="{C574F5BF-9B86-408D-BF39-5BDCACC20094}"/>
    <cellStyle name="Normal 164 2 6 3" xfId="4406" xr:uid="{A2D191D7-7B5C-4C7C-82DF-B1A10D177229}"/>
    <cellStyle name="Normal 164 2 7" xfId="1560" xr:uid="{0A89207B-3C42-4C4C-903A-0F33B5750E79}"/>
    <cellStyle name="Normal 164 2 7 2" xfId="4420" xr:uid="{12E4DC29-163F-41A7-A61B-4806D607CAF0}"/>
    <cellStyle name="Normal 164 2 8" xfId="2859" xr:uid="{9A8EAF3B-473A-4FBF-BB5F-F8E7ECCA16F5}"/>
    <cellStyle name="Normal 164 2 8 2" xfId="5714" xr:uid="{49442909-D06E-4A00-AAA9-D378488F6407}"/>
    <cellStyle name="Normal 164 2 9" xfId="3017" xr:uid="{C4553B22-5ACB-482E-A5CF-501D462410E6}"/>
    <cellStyle name="Normal 164 2 9 2" xfId="5908" xr:uid="{CC557A1B-4F2A-417D-92C2-A851849F5B98}"/>
    <cellStyle name="Normal 164 2 9 2 2" xfId="5933" xr:uid="{4AD2181E-2B79-4993-93EB-EB83A8475916}"/>
    <cellStyle name="Normal 164 2 9 2 2 2" xfId="5960" xr:uid="{E7013907-4404-4A3E-9C8A-7CF1C9652E27}"/>
    <cellStyle name="Normal 164 2 9 2 2 2 2" xfId="5978" xr:uid="{B47C8D6C-D708-483B-B409-CF0EF0E86D90}"/>
    <cellStyle name="Normal 164 2 9 2 2 2 2 2" xfId="6004" xr:uid="{167C8346-BD89-4A09-8573-A1D37E034CFD}"/>
    <cellStyle name="Normal 164 3" xfId="2220" xr:uid="{55D6B54D-E945-4CE3-B028-4EBD2856C3C9}"/>
    <cellStyle name="Normal 164 3 2" xfId="5076" xr:uid="{BF2D483E-9454-42F1-9E7F-2BEBC8195A7A}"/>
    <cellStyle name="Normal 165" xfId="766" xr:uid="{00000000-0005-0000-0000-00007D030000}"/>
    <cellStyle name="Normal 166" xfId="1424" xr:uid="{00000000-0005-0000-0000-00007E030000}"/>
    <cellStyle name="Normal 166 2" xfId="2862" xr:uid="{EB14721B-2DF2-4447-A12C-E5BA19C50FE4}"/>
    <cellStyle name="Normal 166 2 2" xfId="5717" xr:uid="{BA80710D-7CBA-46AA-940C-34BD88E10812}"/>
    <cellStyle name="Normal 166 3" xfId="4297" xr:uid="{F7BB3759-E40F-4A12-868E-4BD7CA54451A}"/>
    <cellStyle name="Normal 167" xfId="1434" xr:uid="{00000000-0005-0000-0000-00007F030000}"/>
    <cellStyle name="Normal 167 2" xfId="2863" xr:uid="{40065B0E-4929-4379-951C-E885276A9583}"/>
    <cellStyle name="Normal 167 2 2" xfId="5718" xr:uid="{C82DCBF3-D39D-4502-90AB-AE9D7C63D0A6}"/>
    <cellStyle name="Normal 167 3" xfId="4298" xr:uid="{5D9EFFAF-B5A4-4044-A0D7-275AD04EAB84}"/>
    <cellStyle name="Normal 168" xfId="1441" xr:uid="{00000000-0005-0000-0000-000080030000}"/>
    <cellStyle name="Normal 168 2" xfId="2870" xr:uid="{628496B6-D870-4A6F-B80F-304CEBAC3E28}"/>
    <cellStyle name="Normal 168 2 2" xfId="5725" xr:uid="{0C9E4C2A-EAE3-4529-B4D7-348FE5C87B33}"/>
    <cellStyle name="Normal 168 3" xfId="4304" xr:uid="{E2007307-2C7F-4FBB-B29C-E4FDA66E4A85}"/>
    <cellStyle name="Normal 169" xfId="1447" xr:uid="{00000000-0005-0000-0000-000081030000}"/>
    <cellStyle name="Normal 169 2" xfId="2876" xr:uid="{7F1A7223-E282-41C0-877E-4C747661A5F8}"/>
    <cellStyle name="Normal 169 2 2" xfId="5730" xr:uid="{356A943F-ECA1-4B32-82F3-99AAF0554EB1}"/>
    <cellStyle name="Normal 169 3" xfId="4309" xr:uid="{36AAE56D-3523-4A01-B42D-FFD48C84AB19}"/>
    <cellStyle name="Normal 17" xfId="56" xr:uid="{00000000-0005-0000-0000-000082030000}"/>
    <cellStyle name="Normal 17 2" xfId="786" xr:uid="{00000000-0005-0000-0000-000083030000}"/>
    <cellStyle name="Normal 170" xfId="1463" xr:uid="{00000000-0005-0000-0000-000084030000}"/>
    <cellStyle name="Normal 170 2" xfId="2891" xr:uid="{7827A084-B644-458A-8821-97E8D069822F}"/>
    <cellStyle name="Normal 170 2 2" xfId="5745" xr:uid="{B44B55BE-918B-45A3-93FE-67E4B25DF574}"/>
    <cellStyle name="Normal 170 3" xfId="4324" xr:uid="{104A8ACE-2900-4966-928E-4645E006FB9C}"/>
    <cellStyle name="Normal 171" xfId="1477" xr:uid="{00000000-0005-0000-0000-000085030000}"/>
    <cellStyle name="Normal 171 2" xfId="1496" xr:uid="{00000000-0005-0000-0000-000086030000}"/>
    <cellStyle name="Normal 171 2 2" xfId="2924" xr:uid="{1E97EEBE-A517-4885-AA78-9706DC82D832}"/>
    <cellStyle name="Normal 171 2 2 2" xfId="5777" xr:uid="{B6E7E297-BD1B-4241-A311-3CD912DF90E2}"/>
    <cellStyle name="Normal 171 2 3" xfId="4356" xr:uid="{4ACDC965-30DD-463D-9F2F-7B199718254B}"/>
    <cellStyle name="Normal 171 3" xfId="2905" xr:uid="{ABB3EC3D-2EA2-4445-B19D-A78410440292}"/>
    <cellStyle name="Normal 171 3 2" xfId="5759" xr:uid="{B2211D04-5272-4803-85AE-F26E1751BDCD}"/>
    <cellStyle name="Normal 171 4" xfId="4338" xr:uid="{79276D3E-CF9C-42A5-B713-A0554A3F434A}"/>
    <cellStyle name="Normal 172" xfId="1510" xr:uid="{00000000-0005-0000-0000-000087030000}"/>
    <cellStyle name="Normal 172 2" xfId="1526" xr:uid="{00000000-0005-0000-0000-000088030000}"/>
    <cellStyle name="Normal 172 2 2" xfId="2954" xr:uid="{2B26E3C4-2BD2-482D-A1E3-55DC2B75748B}"/>
    <cellStyle name="Normal 172 2 2 2" xfId="5807" xr:uid="{4815486B-A97B-48C0-BE61-902C2F968C72}"/>
    <cellStyle name="Normal 172 2 3" xfId="4386" xr:uid="{FF172B3D-0AD3-4024-BB1F-4BD120C8E097}"/>
    <cellStyle name="Normal 172 3" xfId="2938" xr:uid="{E64615B5-F673-4A06-BF87-864D1F18950B}"/>
    <cellStyle name="Normal 172 3 2" xfId="5791" xr:uid="{EB0ED8C9-D9C3-4E23-9856-7B8DDA6ACB51}"/>
    <cellStyle name="Normal 172 4" xfId="4370" xr:uid="{5CE528CE-5F8E-4561-B97C-B5EDD399322C}"/>
    <cellStyle name="Normal 173" xfId="1524" xr:uid="{00000000-0005-0000-0000-000089030000}"/>
    <cellStyle name="Normal 173 2" xfId="2952" xr:uid="{25DA605C-DD5E-406F-8A41-52D9676DA972}"/>
    <cellStyle name="Normal 173 2 2" xfId="5805" xr:uid="{C0E95672-F5CA-4984-ADCA-AA25A0555FF0}"/>
    <cellStyle name="Normal 173 3" xfId="4384" xr:uid="{5BE7D9EF-4859-40E7-BD50-D5F43D776611}"/>
    <cellStyle name="Normal 174" xfId="1544" xr:uid="{6366D90A-B34D-4681-AE7E-2A5030CE7E87}"/>
    <cellStyle name="Normal 174 2" xfId="2972" xr:uid="{1CB13BEB-C1DF-427F-AB43-C17F4D25FE60}"/>
    <cellStyle name="Normal 174 2 2" xfId="5825" xr:uid="{BD06649E-0FB3-44E3-AC02-F1E82116C160}"/>
    <cellStyle name="Normal 174 3" xfId="4404" xr:uid="{D0AA007C-E700-4025-804D-E404D5632712}"/>
    <cellStyle name="Normal 175" xfId="1558" xr:uid="{45749BF1-F1D5-46FF-81AD-75AFA38EE83B}"/>
    <cellStyle name="Normal 175 2" xfId="4418" xr:uid="{69E7EEDF-10CA-4A80-B0A6-5185B3A86966}"/>
    <cellStyle name="Normal 176" xfId="1562" xr:uid="{612EF1FE-50C1-4106-8C5F-649674B18E9E}"/>
    <cellStyle name="Normal 176 2" xfId="4422" xr:uid="{D0172AF6-1E6F-4C11-BEEB-3965F6E58ABE}"/>
    <cellStyle name="Normal 177" xfId="3004" xr:uid="{CCD600C5-B44E-4853-82EC-ED2ADF99D806}"/>
    <cellStyle name="Normal 178" xfId="5906" xr:uid="{A3CF1125-AA26-4CB1-A64B-3F9F143AEF47}"/>
    <cellStyle name="Normal 179" xfId="5928" xr:uid="{EAAB5FEB-750C-4390-B945-CD581990C415}"/>
    <cellStyle name="Normal 18" xfId="60" xr:uid="{00000000-0005-0000-0000-00008A030000}"/>
    <cellStyle name="Normal 18 2" xfId="788" xr:uid="{00000000-0005-0000-0000-00008B030000}"/>
    <cellStyle name="Normal 18 2 2" xfId="2239" xr:uid="{1835242F-CD3A-4EDE-801A-10DD0F714454}"/>
    <cellStyle name="Normal 18 2 2 2" xfId="5095" xr:uid="{26683170-9AB9-4A61-BF15-60FCC774EEB8}"/>
    <cellStyle name="Normal 18 2 3" xfId="3677" xr:uid="{5AEFE95C-BA81-4BAD-8802-DB1C3F49E96D}"/>
    <cellStyle name="Normal 18 3" xfId="1591" xr:uid="{F7417223-1CA0-479B-A7A7-D257DA049369}"/>
    <cellStyle name="Normal 18 3 2" xfId="4451" xr:uid="{9E58E26A-D1C1-4113-9D7E-F30A60B6597F}"/>
    <cellStyle name="Normal 18 4" xfId="3036" xr:uid="{326AC987-FB7E-40A3-A477-B3103994DC28}"/>
    <cellStyle name="Normal 180" xfId="5943" xr:uid="{88F24236-9FD3-4D90-BFA5-4091465521CA}"/>
    <cellStyle name="Normal 181" xfId="5958" xr:uid="{80AB20D1-DFBA-432C-B8D7-0610AC73F379}"/>
    <cellStyle name="Normal 182" xfId="5970" xr:uid="{F898B0CF-7A4D-4134-81F0-847DCEC43BB8}"/>
    <cellStyle name="Normal 183" xfId="5976" xr:uid="{B8F37E3C-ABDB-4EE5-80B5-96A6AB862E1C}"/>
    <cellStyle name="Normal 184" xfId="5988" xr:uid="{B8C8650E-77B7-4511-93D7-A8EED7E776E5}"/>
    <cellStyle name="Normal 184 2" xfId="6009" xr:uid="{F0A0314A-7460-4DDC-B6EF-6EABB2177A8E}"/>
    <cellStyle name="Normal 185" xfId="5992" xr:uid="{B8B52184-5EF8-4893-A607-AC9D74934E67}"/>
    <cellStyle name="Normal 186" xfId="5997" xr:uid="{20A05733-F7C4-425E-ACFA-0FE69A45DAC1}"/>
    <cellStyle name="Normal 187" xfId="6002" xr:uid="{F82C7B6D-03D5-4F1C-A9BA-53257C57FD46}"/>
    <cellStyle name="Normal 188" xfId="6012" xr:uid="{C39B5AAB-FC33-44CD-9A4A-D253C7CEDEB6}"/>
    <cellStyle name="Normal 189" xfId="6017" xr:uid="{68B945EE-33E8-4F15-B7CA-1886F60245F2}"/>
    <cellStyle name="Normal 19" xfId="68" xr:uid="{00000000-0005-0000-0000-00008C030000}"/>
    <cellStyle name="Normal 19 2" xfId="796" xr:uid="{00000000-0005-0000-0000-00008D030000}"/>
    <cellStyle name="Normal 19 2 2" xfId="2247" xr:uid="{D9526C9C-F4F8-49E8-BA6D-6B21171BC819}"/>
    <cellStyle name="Normal 19 2 2 2" xfId="5103" xr:uid="{4A481309-1939-40FE-8CCC-9E0826028521}"/>
    <cellStyle name="Normal 19 2 3" xfId="3685" xr:uid="{D18E4C95-6BC4-43C7-B25A-454296512E28}"/>
    <cellStyle name="Normal 19 3" xfId="1599" xr:uid="{CF8926C8-8A97-4FF9-87D0-A6EF3CD3639F}"/>
    <cellStyle name="Normal 19 3 2" xfId="4459" xr:uid="{287BFD02-3336-4073-A889-38202865AEB0}"/>
    <cellStyle name="Normal 19 4" xfId="3044" xr:uid="{40F56C5E-929D-4B30-B814-0DC3B0D49E47}"/>
    <cellStyle name="Normal 190" xfId="6020" xr:uid="{3A744814-F34C-4784-8F18-0861990A2177}"/>
    <cellStyle name="Normal 191" xfId="6024" xr:uid="{70AB2EB2-D370-477F-8979-E16C24BEAC00}"/>
    <cellStyle name="Normal 192" xfId="6026" xr:uid="{6346658F-2B1D-404E-88A3-476FB5A98DDA}"/>
    <cellStyle name="Normal 193" xfId="6031" xr:uid="{26530F2F-11DC-424A-997F-FF819393F971}"/>
    <cellStyle name="Normal 2" xfId="16" xr:uid="{00000000-0005-0000-0000-00008E030000}"/>
    <cellStyle name="Normal 2 10" xfId="6000" xr:uid="{83F74ABD-C8CC-4506-9CC8-FB10F13030EF}"/>
    <cellStyle name="Normal 2 2" xfId="17" xr:uid="{00000000-0005-0000-0000-00008F030000}"/>
    <cellStyle name="Normal 2 2 2" xfId="129" xr:uid="{00000000-0005-0000-0000-000090030000}"/>
    <cellStyle name="Normal 2 2 3" xfId="629" xr:uid="{00000000-0005-0000-0000-000091030000}"/>
    <cellStyle name="Normal 2 3" xfId="154" xr:uid="{00000000-0005-0000-0000-000092030000}"/>
    <cellStyle name="Normal 2 4" xfId="654" xr:uid="{00000000-0005-0000-0000-000093030000}"/>
    <cellStyle name="Normal 2 4 2" xfId="668" xr:uid="{00000000-0005-0000-0000-000094030000}"/>
    <cellStyle name="Normal 2 4 2 2" xfId="679" xr:uid="{00000000-0005-0000-0000-000095030000}"/>
    <cellStyle name="Normal 2 4 2 2 2" xfId="684" xr:uid="{00000000-0005-0000-0000-000096030000}"/>
    <cellStyle name="Normal 2 4 2 2 2 2" xfId="697" xr:uid="{00000000-0005-0000-0000-000097030000}"/>
    <cellStyle name="Normal 2 4 2 2 2 2 2" xfId="1381" xr:uid="{00000000-0005-0000-0000-000098030000}"/>
    <cellStyle name="Normal 2 4 2 2 2 2 2 2" xfId="2828" xr:uid="{8CE8081C-B73A-4F5A-B6AD-AAEA3BAF43C0}"/>
    <cellStyle name="Normal 2 4 2 2 2 2 2 2 2" xfId="5683" xr:uid="{9A5926BD-97D9-48A0-8559-1EE97B20AB1D}"/>
    <cellStyle name="Normal 2 4 2 2 2 2 2 3" xfId="4265" xr:uid="{D185EFA8-83E9-4DA8-938E-DC57453ED5E2}"/>
    <cellStyle name="Normal 2 4 2 2 2 2 3" xfId="2185" xr:uid="{44E58E19-8446-411F-88D5-7AAD591795E2}"/>
    <cellStyle name="Normal 2 4 2 2 2 2 3 2" xfId="5044" xr:uid="{0533D1E7-E96D-498E-AD98-17E85A26D371}"/>
    <cellStyle name="Normal 2 4 2 2 2 2 4" xfId="3628" xr:uid="{40755183-EA6A-49AB-BBFD-F5AC4503093F}"/>
    <cellStyle name="Normal 2 4 2 2 2 3" xfId="1374" xr:uid="{00000000-0005-0000-0000-000099030000}"/>
    <cellStyle name="Normal 2 4 2 2 2 3 2" xfId="2821" xr:uid="{C695C2B8-C2F3-4013-AEB6-CDD7D7DD784E}"/>
    <cellStyle name="Normal 2 4 2 2 2 3 2 2" xfId="5676" xr:uid="{B71CE028-94CD-448D-8F5B-D3CA058CB31C}"/>
    <cellStyle name="Normal 2 4 2 2 2 3 3" xfId="4258" xr:uid="{39ED6D8A-2F2E-4E15-B1F7-AAF2EB22A9B5}"/>
    <cellStyle name="Normal 2 4 2 2 2 4" xfId="2178" xr:uid="{6661FC3D-0A42-4CB4-8088-73D6AF0B815E}"/>
    <cellStyle name="Normal 2 4 2 2 2 4 2" xfId="5037" xr:uid="{B3A20470-5CFD-4040-96BE-5F0334109CEE}"/>
    <cellStyle name="Normal 2 4 2 2 2 5" xfId="3621" xr:uid="{5E3D533F-996E-42C8-A72B-AE6C8F2D625F}"/>
    <cellStyle name="Normal 2 4 2 2 3" xfId="1372" xr:uid="{00000000-0005-0000-0000-00009A030000}"/>
    <cellStyle name="Normal 2 4 2 2 3 2" xfId="2819" xr:uid="{20E06C91-D97C-445D-918D-B41463D21ACF}"/>
    <cellStyle name="Normal 2 4 2 2 3 2 2" xfId="5674" xr:uid="{47CE4B5D-798F-48C9-AE3D-A36157315ABB}"/>
    <cellStyle name="Normal 2 4 2 2 3 3" xfId="4256" xr:uid="{AB82A98F-98F3-4AB2-81C4-07DD76BACD6C}"/>
    <cellStyle name="Normal 2 4 2 2 4" xfId="2176" xr:uid="{9558C105-D9A2-4CD3-AF1A-BE9D88391FEB}"/>
    <cellStyle name="Normal 2 4 2 2 4 2" xfId="5035" xr:uid="{7A416143-0815-49DC-B96D-6CFA7B6E7D52}"/>
    <cellStyle name="Normal 2 4 2 2 5" xfId="3619" xr:uid="{60F3905D-D2FF-475C-A6CD-60EBD0358D92}"/>
    <cellStyle name="Normal 2 4 2 3" xfId="1367" xr:uid="{00000000-0005-0000-0000-00009B030000}"/>
    <cellStyle name="Normal 2 4 2 3 2" xfId="2815" xr:uid="{D1DD432F-C245-4B58-9524-7D79CEAE6FB8}"/>
    <cellStyle name="Normal 2 4 2 3 2 2" xfId="5670" xr:uid="{88CC111A-BF96-44EC-8C2B-0D1577AD0513}"/>
    <cellStyle name="Normal 2 4 2 3 3" xfId="4252" xr:uid="{785B34F5-BA77-4E2B-AD57-D613FFFC10C5}"/>
    <cellStyle name="Normal 2 4 2 4" xfId="2171" xr:uid="{2DFC13F3-EF1A-45D3-8822-39CCDC5A5D31}"/>
    <cellStyle name="Normal 2 4 2 4 2" xfId="5031" xr:uid="{DC96B923-197D-45A1-B2E7-D56BD3161D64}"/>
    <cellStyle name="Normal 2 4 2 5" xfId="3615" xr:uid="{6D09A8EA-5AC1-4D27-B3EA-B421EE5E1D6D}"/>
    <cellStyle name="Normal 2 4 3" xfId="5973" xr:uid="{2E4AA67B-69E6-462A-9E40-0C86E10FD82F}"/>
    <cellStyle name="Normal 2 4 4" xfId="6015" xr:uid="{EDA4EDE7-17A2-42A1-B5AB-4EF7EC967135}"/>
    <cellStyle name="Normal 2 4 5" xfId="6028" xr:uid="{E56CFC3E-0FC5-4E04-8778-C4E55E4970DF}"/>
    <cellStyle name="Normal 2 5" xfId="670" xr:uid="{00000000-0005-0000-0000-00009C030000}"/>
    <cellStyle name="Normal 2 6" xfId="738" xr:uid="{00000000-0005-0000-0000-00009D030000}"/>
    <cellStyle name="Normal 2 6 2" xfId="1408" xr:uid="{00000000-0005-0000-0000-00009E030000}"/>
    <cellStyle name="Normal 2 6 2 2" xfId="2855" xr:uid="{20BDCAF6-FF9C-4F28-B09D-C900AFDE86DD}"/>
    <cellStyle name="Normal 2 6 2 2 2" xfId="5710" xr:uid="{E9500762-7D9F-412D-9206-D18636FB7BB2}"/>
    <cellStyle name="Normal 2 6 2 3" xfId="4292" xr:uid="{F80A9EF1-7E0B-4F92-A3FE-6132F03E38FF}"/>
    <cellStyle name="Normal 2 6 3" xfId="2215" xr:uid="{D06C446C-732D-4624-997C-BEF70EBA14CF}"/>
    <cellStyle name="Normal 2 6 3 2" xfId="5071" xr:uid="{D8619C95-35C8-4479-8825-10867C4998E4}"/>
    <cellStyle name="Normal 2 6 4" xfId="3655" xr:uid="{C9497355-27C0-4A46-BE5F-7774374B8956}"/>
    <cellStyle name="Normal 2 7" xfId="5972" xr:uid="{479ADD05-0980-46C2-AC45-92C5FE410362}"/>
    <cellStyle name="Normal 20" xfId="69" xr:uid="{00000000-0005-0000-0000-00009F030000}"/>
    <cellStyle name="Normal 20 2" xfId="797" xr:uid="{00000000-0005-0000-0000-0000A0030000}"/>
    <cellStyle name="Normal 20 2 2" xfId="2248" xr:uid="{48CACF8E-43CF-42E6-AC73-30C6498E8615}"/>
    <cellStyle name="Normal 20 2 2 2" xfId="5104" xr:uid="{6B410435-1AF7-4536-B07D-58651809CEBF}"/>
    <cellStyle name="Normal 20 2 3" xfId="3686" xr:uid="{0E443E02-5DEA-40DB-A665-324718735BE9}"/>
    <cellStyle name="Normal 20 3" xfId="1600" xr:uid="{2675FB9E-4053-410F-A226-2B4501EE266F}"/>
    <cellStyle name="Normal 20 3 2" xfId="4460" xr:uid="{FEA1AC81-5E3C-496C-A244-AFC4BD99AF15}"/>
    <cellStyle name="Normal 20 4" xfId="3045" xr:uid="{BB0582AD-25C8-4B32-89B9-FFED7EA7F4B9}"/>
    <cellStyle name="Normal 21" xfId="70" xr:uid="{00000000-0005-0000-0000-0000A1030000}"/>
    <cellStyle name="Normal 22" xfId="72" xr:uid="{00000000-0005-0000-0000-0000A2030000}"/>
    <cellStyle name="Normal 22 2" xfId="798" xr:uid="{00000000-0005-0000-0000-0000A3030000}"/>
    <cellStyle name="Normal 22 2 2" xfId="2249" xr:uid="{B3DBE0FB-42D9-40FB-BC67-18E13CDA688C}"/>
    <cellStyle name="Normal 22 2 2 2" xfId="5105" xr:uid="{9A9D539D-4426-4503-AF10-DB4AC5CEC36E}"/>
    <cellStyle name="Normal 22 2 3" xfId="3687" xr:uid="{33F87356-2E65-4831-A8F5-7EED19F2653F}"/>
    <cellStyle name="Normal 22 3" xfId="1602" xr:uid="{4D1229FE-CBFD-42E8-8A27-0FE7D33AA7BA}"/>
    <cellStyle name="Normal 22 3 2" xfId="4462" xr:uid="{604ECCBE-C9C6-4F31-BF69-5206C8EE04E0}"/>
    <cellStyle name="Normal 22 4" xfId="3046" xr:uid="{60D158BF-975B-4131-80FF-4FA9825E2589}"/>
    <cellStyle name="Normal 23" xfId="74" xr:uid="{00000000-0005-0000-0000-0000A4030000}"/>
    <cellStyle name="Normal 23 2" xfId="800" xr:uid="{00000000-0005-0000-0000-0000A5030000}"/>
    <cellStyle name="Normal 23 2 2" xfId="2251" xr:uid="{69311C96-2A7C-41DD-8564-C100FD96308B}"/>
    <cellStyle name="Normal 23 2 2 2" xfId="5107" xr:uid="{B12F0AAC-0500-4CC2-972C-0DE58ECC2F9C}"/>
    <cellStyle name="Normal 23 2 3" xfId="3689" xr:uid="{68C72B4D-90A2-426D-9278-6EA1097BCFAC}"/>
    <cellStyle name="Normal 23 3" xfId="1604" xr:uid="{B0012890-E99D-457B-8166-F64E2678AE68}"/>
    <cellStyle name="Normal 23 3 2" xfId="4464" xr:uid="{1A30D47E-75BF-4C6D-BC52-05EDE209DCB5}"/>
    <cellStyle name="Normal 23 4" xfId="3048" xr:uid="{265ECE68-6E8F-497F-87B8-46F2724F9BDA}"/>
    <cellStyle name="Normal 24" xfId="75" xr:uid="{00000000-0005-0000-0000-0000A6030000}"/>
    <cellStyle name="Normal 24 2" xfId="801" xr:uid="{00000000-0005-0000-0000-0000A7030000}"/>
    <cellStyle name="Normal 24 2 2" xfId="2252" xr:uid="{A4C50345-211D-49B1-9BD1-153C1B43C970}"/>
    <cellStyle name="Normal 24 2 2 2" xfId="5108" xr:uid="{A7417A6D-0820-4FA7-9465-DA79905067C4}"/>
    <cellStyle name="Normal 24 2 3" xfId="3690" xr:uid="{2867CDDF-05C1-4A3D-B531-441C41511DAA}"/>
    <cellStyle name="Normal 24 3" xfId="1605" xr:uid="{C51AA271-A6DB-4D53-AC82-F26EB63E8EFB}"/>
    <cellStyle name="Normal 24 3 2" xfId="4465" xr:uid="{E1C67C14-FDA7-4BC6-AD79-0A634E876B13}"/>
    <cellStyle name="Normal 24 4" xfId="3049" xr:uid="{28F50D84-E265-4CAC-8483-4FAA3EAD5A6D}"/>
    <cellStyle name="Normal 25" xfId="85" xr:uid="{00000000-0005-0000-0000-0000A8030000}"/>
    <cellStyle name="Normal 25 2" xfId="811" xr:uid="{00000000-0005-0000-0000-0000A9030000}"/>
    <cellStyle name="Normal 25 2 2" xfId="2262" xr:uid="{706AD7BC-0793-40A3-8CE4-1AB605BB14A1}"/>
    <cellStyle name="Normal 25 2 2 2" xfId="5118" xr:uid="{AD8F981E-84A7-4C7A-AD76-07503E813BC4}"/>
    <cellStyle name="Normal 25 2 3" xfId="3700" xr:uid="{D0BACEC9-7BB9-491F-BBEA-F94AF1807B2E}"/>
    <cellStyle name="Normal 25 3" xfId="1615" xr:uid="{AA041D05-24FF-43C9-9FC0-86111753F40B}"/>
    <cellStyle name="Normal 25 3 2" xfId="4475" xr:uid="{A7F257F6-D7F3-432F-9B2E-05A4B024E87B}"/>
    <cellStyle name="Normal 25 4" xfId="3059" xr:uid="{53F091D7-4E22-4F03-BE97-0D287A4240C4}"/>
    <cellStyle name="Normal 26" xfId="87" xr:uid="{00000000-0005-0000-0000-0000AA030000}"/>
    <cellStyle name="Normal 26 2" xfId="813" xr:uid="{00000000-0005-0000-0000-0000AB030000}"/>
    <cellStyle name="Normal 26 2 2" xfId="2264" xr:uid="{1D4D21BA-7B44-49E1-BFB5-7010C57C0204}"/>
    <cellStyle name="Normal 26 2 2 2" xfId="5120" xr:uid="{02B42CC2-B9BF-4135-9A54-3AC3E063798F}"/>
    <cellStyle name="Normal 26 2 3" xfId="3702" xr:uid="{4139DF84-6691-42AA-8FC4-0098BA0C437F}"/>
    <cellStyle name="Normal 26 3" xfId="1617" xr:uid="{2E38E663-33C8-4CD5-8D85-5B4972A12360}"/>
    <cellStyle name="Normal 26 3 2" xfId="4477" xr:uid="{F6CADDCF-45DF-4DD0-8C90-732C2AEDD356}"/>
    <cellStyle name="Normal 26 4" xfId="3061" xr:uid="{8842181C-11EC-4698-8312-D826B2735D41}"/>
    <cellStyle name="Normal 27" xfId="89" xr:uid="{00000000-0005-0000-0000-0000AC030000}"/>
    <cellStyle name="Normal 27 2" xfId="815" xr:uid="{00000000-0005-0000-0000-0000AD030000}"/>
    <cellStyle name="Normal 28" xfId="91" xr:uid="{00000000-0005-0000-0000-0000AE030000}"/>
    <cellStyle name="Normal 28 2" xfId="817" xr:uid="{00000000-0005-0000-0000-0000AF030000}"/>
    <cellStyle name="Normal 28 2 2" xfId="2267" xr:uid="{867A359F-F5FB-44CC-A3E4-7D2642554562}"/>
    <cellStyle name="Normal 28 2 2 2" xfId="5123" xr:uid="{9B6210A9-0A52-48E9-A53C-CB18BDE8E92E}"/>
    <cellStyle name="Normal 28 2 3" xfId="3705" xr:uid="{9B7F28A8-5290-475E-8FD6-39093B343DBF}"/>
    <cellStyle name="Normal 28 3" xfId="1620" xr:uid="{72BB1DEB-B854-4F44-9C10-F7D5436ED332}"/>
    <cellStyle name="Normal 28 3 2" xfId="4480" xr:uid="{EEED489B-F38F-45EB-BB65-87E93CEC10D6}"/>
    <cellStyle name="Normal 28 4" xfId="3064" xr:uid="{BBCB2DF3-8FF8-4C3B-81B7-83A85CABD637}"/>
    <cellStyle name="Normal 29" xfId="92" xr:uid="{00000000-0005-0000-0000-0000B0030000}"/>
    <cellStyle name="Normal 29 2" xfId="818" xr:uid="{00000000-0005-0000-0000-0000B1030000}"/>
    <cellStyle name="Normal 29 2 2" xfId="2268" xr:uid="{7BE5EC99-AE45-4727-9C06-8E6FCD733E7E}"/>
    <cellStyle name="Normal 29 2 2 2" xfId="5124" xr:uid="{1EAC635E-3D5D-43BA-B9CF-F5A709EDECE0}"/>
    <cellStyle name="Normal 29 2 3" xfId="3706" xr:uid="{4CDDEF8C-A10F-418B-AE91-47984EB87E53}"/>
    <cellStyle name="Normal 29 3" xfId="1621" xr:uid="{05288107-C882-46EF-89AB-3DCFBFF3009B}"/>
    <cellStyle name="Normal 29 3 2" xfId="4481" xr:uid="{264D34E0-8472-463C-9F52-C4B3EA99DA5B}"/>
    <cellStyle name="Normal 29 4" xfId="3065" xr:uid="{A4F36CCE-6EE2-4D76-8102-6905DC2F9204}"/>
    <cellStyle name="Normal 3" xfId="18" xr:uid="{00000000-0005-0000-0000-0000B2030000}"/>
    <cellStyle name="Normal 3 10" xfId="111" xr:uid="{00000000-0005-0000-0000-0000B3030000}"/>
    <cellStyle name="Normal 3 10 2" xfId="837" xr:uid="{00000000-0005-0000-0000-0000B4030000}"/>
    <cellStyle name="Normal 3 10 2 2" xfId="2286" xr:uid="{9662C318-536D-4A96-BDFC-4EDB5A1CC3AE}"/>
    <cellStyle name="Normal 3 10 2 2 2" xfId="5142" xr:uid="{CF119DCA-1D81-4F57-B7C1-47C5060A1738}"/>
    <cellStyle name="Normal 3 10 2 3" xfId="3724" xr:uid="{E5885B0C-000D-4D31-9737-6E9A71F6E9F3}"/>
    <cellStyle name="Normal 3 10 3" xfId="1639" xr:uid="{361D68A6-A9F3-45B8-8277-FCC786039533}"/>
    <cellStyle name="Normal 3 10 3 2" xfId="4499" xr:uid="{0280A6F4-F5FF-4678-BF68-985FE1AD908D}"/>
    <cellStyle name="Normal 3 10 4" xfId="3083" xr:uid="{04E33AB9-4560-4ACD-8582-200D620CC747}"/>
    <cellStyle name="Normal 3 11" xfId="115" xr:uid="{00000000-0005-0000-0000-0000B5030000}"/>
    <cellStyle name="Normal 3 11 2" xfId="841" xr:uid="{00000000-0005-0000-0000-0000B6030000}"/>
    <cellStyle name="Normal 3 11 2 2" xfId="2290" xr:uid="{499DC23D-642A-4CF3-AECD-187178A031E5}"/>
    <cellStyle name="Normal 3 11 2 2 2" xfId="5146" xr:uid="{7B397E0E-2246-4C95-BE41-73C061C4978F}"/>
    <cellStyle name="Normal 3 11 2 3" xfId="3728" xr:uid="{8F52CF43-2DE8-4361-B3CC-6661BB71E1C0}"/>
    <cellStyle name="Normal 3 11 3" xfId="1643" xr:uid="{3E07677D-A332-485F-9D04-EE745A3CF058}"/>
    <cellStyle name="Normal 3 11 3 2" xfId="4503" xr:uid="{1BF50A29-2401-49A1-B2A1-1DC784542349}"/>
    <cellStyle name="Normal 3 11 4" xfId="3087" xr:uid="{7C0E2361-4756-45F2-8291-78B7CC6AD6ED}"/>
    <cellStyle name="Normal 3 12" xfId="122" xr:uid="{00000000-0005-0000-0000-0000B7030000}"/>
    <cellStyle name="Normal 3 12 2" xfId="848" xr:uid="{00000000-0005-0000-0000-0000B8030000}"/>
    <cellStyle name="Normal 3 12 2 2" xfId="2296" xr:uid="{C202A61A-2DF6-48AF-B16F-46E8536F2E33}"/>
    <cellStyle name="Normal 3 12 2 2 2" xfId="5152" xr:uid="{3B0DD706-88CD-47D2-B57C-1D2B067C2EDD}"/>
    <cellStyle name="Normal 3 12 2 3" xfId="3734" xr:uid="{53FC268C-772C-4E23-AB0E-869F4601372E}"/>
    <cellStyle name="Normal 3 12 3" xfId="1649" xr:uid="{FAE5D395-227A-4240-B7BF-30AF3F44B464}"/>
    <cellStyle name="Normal 3 12 3 2" xfId="4509" xr:uid="{862C12C9-7F24-4721-AEEA-3014E0EA72CF}"/>
    <cellStyle name="Normal 3 12 4" xfId="3093" xr:uid="{7D6013B2-89B7-44C3-A660-D821C79707BA}"/>
    <cellStyle name="Normal 3 13" xfId="130" xr:uid="{00000000-0005-0000-0000-0000B9030000}"/>
    <cellStyle name="Normal 3 13 2" xfId="855" xr:uid="{00000000-0005-0000-0000-0000BA030000}"/>
    <cellStyle name="Normal 3 13 2 2" xfId="2303" xr:uid="{33CA2157-7C0C-4EE5-BBEA-02F8F804EC9B}"/>
    <cellStyle name="Normal 3 13 2 2 2" xfId="5159" xr:uid="{91990998-85B7-43C8-B507-7FFA2ED5B9A7}"/>
    <cellStyle name="Normal 3 13 2 3" xfId="3741" xr:uid="{1E38F76E-C9D4-496C-AA0D-8C5FAFFB4788}"/>
    <cellStyle name="Normal 3 13 3" xfId="1656" xr:uid="{6DB72CC1-492C-49F4-AB68-8F12E6EAC28D}"/>
    <cellStyle name="Normal 3 13 3 2" xfId="4516" xr:uid="{5F833494-549B-4093-ABCC-F707A1A23BAE}"/>
    <cellStyle name="Normal 3 13 4" xfId="3100" xr:uid="{8B0A20BF-1387-4B63-9CC9-6CA52B601203}"/>
    <cellStyle name="Normal 3 14" xfId="140" xr:uid="{00000000-0005-0000-0000-0000BB030000}"/>
    <cellStyle name="Normal 3 14 2" xfId="865" xr:uid="{00000000-0005-0000-0000-0000BC030000}"/>
    <cellStyle name="Normal 3 14 2 2" xfId="2313" xr:uid="{5E7792DC-0CCE-425B-9A2D-A91DA0EB1025}"/>
    <cellStyle name="Normal 3 14 2 2 2" xfId="5169" xr:uid="{163B2D11-77E9-4340-8A98-D3731CD98C43}"/>
    <cellStyle name="Normal 3 14 2 3" xfId="3751" xr:uid="{76C9E864-42B6-4D63-A14D-8C8212A01C7E}"/>
    <cellStyle name="Normal 3 14 3" xfId="1666" xr:uid="{E818B345-A3CB-40C1-BEAF-B05C8555DB86}"/>
    <cellStyle name="Normal 3 14 3 2" xfId="4526" xr:uid="{1266BC63-4268-420B-AED5-5086F494DA9A}"/>
    <cellStyle name="Normal 3 14 4" xfId="3110" xr:uid="{78B2C40F-85D1-43D0-8E94-C7B5829A0901}"/>
    <cellStyle name="Normal 3 15" xfId="146" xr:uid="{00000000-0005-0000-0000-0000BD030000}"/>
    <cellStyle name="Normal 3 15 2" xfId="871" xr:uid="{00000000-0005-0000-0000-0000BE030000}"/>
    <cellStyle name="Normal 3 15 2 2" xfId="2319" xr:uid="{264B007B-82EB-4A32-878D-D30003AE96D7}"/>
    <cellStyle name="Normal 3 15 2 2 2" xfId="5175" xr:uid="{72982EDA-79EC-44C0-B414-5A397EE08874}"/>
    <cellStyle name="Normal 3 15 2 3" xfId="3757" xr:uid="{2388415D-07A9-4ECF-8E3A-D6CE4F034A3C}"/>
    <cellStyle name="Normal 3 15 3" xfId="1672" xr:uid="{FF56E344-AFE2-4469-8D12-4EDB2012C41A}"/>
    <cellStyle name="Normal 3 15 3 2" xfId="4532" xr:uid="{AC5978A3-ABC5-4E43-8F9D-7FACA3BFEACF}"/>
    <cellStyle name="Normal 3 15 4" xfId="3116" xr:uid="{18F2C8BE-3609-4498-B470-C20FCD908DD5}"/>
    <cellStyle name="Normal 3 16" xfId="155" xr:uid="{00000000-0005-0000-0000-0000BF030000}"/>
    <cellStyle name="Normal 3 16 2" xfId="878" xr:uid="{00000000-0005-0000-0000-0000C0030000}"/>
    <cellStyle name="Normal 3 16 2 2" xfId="2326" xr:uid="{44907F3E-CA33-4212-9AAE-3BD914302185}"/>
    <cellStyle name="Normal 3 16 2 2 2" xfId="5182" xr:uid="{6799F3CA-0785-478B-B64A-50F0D539D10A}"/>
    <cellStyle name="Normal 3 16 2 3" xfId="3764" xr:uid="{072D40C3-C231-4304-9E87-85F2F108E0A7}"/>
    <cellStyle name="Normal 3 16 3" xfId="1679" xr:uid="{4CB449E0-D1CB-46FA-B77C-7DE41929C7CC}"/>
    <cellStyle name="Normal 3 16 3 2" xfId="4539" xr:uid="{FF0DC008-7AE1-4979-A301-6190463C6557}"/>
    <cellStyle name="Normal 3 16 4" xfId="3123" xr:uid="{09F2930F-6680-4E2A-A753-A9D821EE0C24}"/>
    <cellStyle name="Normal 3 17" xfId="162" xr:uid="{00000000-0005-0000-0000-0000C1030000}"/>
    <cellStyle name="Normal 3 17 2" xfId="885" xr:uid="{00000000-0005-0000-0000-0000C2030000}"/>
    <cellStyle name="Normal 3 17 2 2" xfId="2333" xr:uid="{29851783-505F-4C4A-A4E1-54C553FFD444}"/>
    <cellStyle name="Normal 3 17 2 2 2" xfId="5189" xr:uid="{1E319AD9-2BC9-4D70-BA33-62E96D86E5FB}"/>
    <cellStyle name="Normal 3 17 2 3" xfId="3771" xr:uid="{F740C2A5-68C8-4FF8-8358-8AEEA80FC1DD}"/>
    <cellStyle name="Normal 3 17 3" xfId="1686" xr:uid="{058508E1-846D-4909-AB3E-18ED0BAD5F41}"/>
    <cellStyle name="Normal 3 17 3 2" xfId="4546" xr:uid="{2C6A3C10-35B9-4E99-8CE8-3F2E060E89F9}"/>
    <cellStyle name="Normal 3 17 4" xfId="3130" xr:uid="{ADC84ACF-693E-4CBD-AA27-4B9F05021418}"/>
    <cellStyle name="Normal 3 18" xfId="176" xr:uid="{00000000-0005-0000-0000-0000C3030000}"/>
    <cellStyle name="Normal 3 18 2" xfId="898" xr:uid="{00000000-0005-0000-0000-0000C4030000}"/>
    <cellStyle name="Normal 3 18 2 2" xfId="2346" xr:uid="{56F5E32C-EB1D-430B-A733-A09C2B903E55}"/>
    <cellStyle name="Normal 3 18 2 2 2" xfId="5202" xr:uid="{5846A6F7-5300-4808-9CED-604BC7F9EF18}"/>
    <cellStyle name="Normal 3 18 2 3" xfId="3784" xr:uid="{B75A10D3-270E-4A4A-8D37-C8DAE98C2329}"/>
    <cellStyle name="Normal 3 18 3" xfId="1699" xr:uid="{3D058649-7F08-4CE5-BB7A-BF23F3FA4307}"/>
    <cellStyle name="Normal 3 18 3 2" xfId="4559" xr:uid="{143A897E-2EBE-4F1B-8BCC-48C74536B537}"/>
    <cellStyle name="Normal 3 18 4" xfId="3143" xr:uid="{49CE8082-EC71-47DD-97ED-F6007ABFD28A}"/>
    <cellStyle name="Normal 3 19" xfId="189" xr:uid="{00000000-0005-0000-0000-0000C5030000}"/>
    <cellStyle name="Normal 3 19 2" xfId="911" xr:uid="{00000000-0005-0000-0000-0000C6030000}"/>
    <cellStyle name="Normal 3 19 2 2" xfId="2359" xr:uid="{88C98312-4BC5-4BAD-8999-45B2FEEAB17D}"/>
    <cellStyle name="Normal 3 19 2 2 2" xfId="5215" xr:uid="{F5119554-7C03-4C01-A914-BB4B945C4BAD}"/>
    <cellStyle name="Normal 3 19 2 3" xfId="3797" xr:uid="{7571FFD4-E0A5-4551-8A88-D595BA7A1257}"/>
    <cellStyle name="Normal 3 19 3" xfId="1712" xr:uid="{C9CEA72C-461E-4D0C-966B-E8FE0F90A7DA}"/>
    <cellStyle name="Normal 3 19 3 2" xfId="4572" xr:uid="{3C6786F7-8B08-4E70-B406-B85A977B133E}"/>
    <cellStyle name="Normal 3 19 4" xfId="3156" xr:uid="{24B39639-DBD9-475F-B144-EDE0052DEADE}"/>
    <cellStyle name="Normal 3 2" xfId="19" xr:uid="{00000000-0005-0000-0000-0000C7030000}"/>
    <cellStyle name="Normal 3 2 2 2" xfId="36" xr:uid="{00000000-0005-0000-0000-0000C8030000}"/>
    <cellStyle name="Normal 3 2 2 2 10" xfId="207" xr:uid="{00000000-0005-0000-0000-0000C9030000}"/>
    <cellStyle name="Normal 3 2 2 2 10 2" xfId="929" xr:uid="{00000000-0005-0000-0000-0000CA030000}"/>
    <cellStyle name="Normal 3 2 2 2 10 2 2" xfId="2377" xr:uid="{646D4E38-5788-4CDD-8962-12C47A4FE3CA}"/>
    <cellStyle name="Normal 3 2 2 2 10 2 2 2" xfId="5233" xr:uid="{CF8B6730-00C2-4D82-A44F-E7674067D904}"/>
    <cellStyle name="Normal 3 2 2 2 10 2 3" xfId="3815" xr:uid="{3B96B806-8D91-4F92-8937-D42FB6705B2D}"/>
    <cellStyle name="Normal 3 2 2 2 10 3" xfId="1730" xr:uid="{64662F2E-BAEF-4E69-8F79-EBA7F00C2EC4}"/>
    <cellStyle name="Normal 3 2 2 2 10 3 2" xfId="4590" xr:uid="{B81C3F77-8DA8-468D-A1D9-7CFC3F9E2087}"/>
    <cellStyle name="Normal 3 2 2 2 10 4" xfId="3174" xr:uid="{A07A20D1-1255-4FCA-B306-3F624B9B92A5}"/>
    <cellStyle name="Normal 3 2 2 2 11" xfId="210" xr:uid="{00000000-0005-0000-0000-0000CB030000}"/>
    <cellStyle name="Normal 3 2 2 2 11 2" xfId="932" xr:uid="{00000000-0005-0000-0000-0000CC030000}"/>
    <cellStyle name="Normal 3 2 2 2 11 2 2" xfId="2380" xr:uid="{88BC83CD-F912-407E-BA94-2B4A9440CB27}"/>
    <cellStyle name="Normal 3 2 2 2 11 2 2 2" xfId="5236" xr:uid="{52FFEDF4-975C-42FF-A1A3-64BD12E02F57}"/>
    <cellStyle name="Normal 3 2 2 2 11 2 3" xfId="3818" xr:uid="{C6BA0F3E-D681-414E-AAA0-27BF24D90077}"/>
    <cellStyle name="Normal 3 2 2 2 11 3" xfId="1733" xr:uid="{32487852-8D56-42A5-92FF-B9343DA95E3F}"/>
    <cellStyle name="Normal 3 2 2 2 11 3 2" xfId="4593" xr:uid="{D3C3D46E-387E-4688-B081-47FDA8334BF8}"/>
    <cellStyle name="Normal 3 2 2 2 11 4" xfId="3177" xr:uid="{021212A6-8EDC-4A0A-AFA9-71558DC52CD9}"/>
    <cellStyle name="Normal 3 2 2 2 12" xfId="215" xr:uid="{00000000-0005-0000-0000-0000CD030000}"/>
    <cellStyle name="Normal 3 2 2 2 12 2" xfId="937" xr:uid="{00000000-0005-0000-0000-0000CE030000}"/>
    <cellStyle name="Normal 3 2 2 2 12 2 2" xfId="2385" xr:uid="{4874B6EC-A427-4E44-9057-F60E13EF1459}"/>
    <cellStyle name="Normal 3 2 2 2 12 2 2 2" xfId="5241" xr:uid="{EF1FA28F-895E-4655-800A-10235F1E8F7E}"/>
    <cellStyle name="Normal 3 2 2 2 12 2 3" xfId="3823" xr:uid="{738A4CBF-C35C-4A81-8CF6-3CD0ABBE480D}"/>
    <cellStyle name="Normal 3 2 2 2 12 3" xfId="1738" xr:uid="{D2A8B50D-0975-49D5-8593-3C83221DBE32}"/>
    <cellStyle name="Normal 3 2 2 2 12 3 2" xfId="4598" xr:uid="{5E1F2B85-AFFB-41FF-9C4D-4F152DE96BF0}"/>
    <cellStyle name="Normal 3 2 2 2 12 4" xfId="3182" xr:uid="{AF7E2C7F-A794-44AD-AED6-F29B80C13E8F}"/>
    <cellStyle name="Normal 3 2 2 2 13" xfId="221" xr:uid="{00000000-0005-0000-0000-0000CF030000}"/>
    <cellStyle name="Normal 3 2 2 2 13 2" xfId="943" xr:uid="{00000000-0005-0000-0000-0000D0030000}"/>
    <cellStyle name="Normal 3 2 2 2 13 2 2" xfId="2391" xr:uid="{0AC3BFFB-DA9B-4AF9-BFD4-33C4381CB090}"/>
    <cellStyle name="Normal 3 2 2 2 13 2 2 2" xfId="5247" xr:uid="{5F7C0FAE-51E6-489A-9EB3-F6750A1A8F3B}"/>
    <cellStyle name="Normal 3 2 2 2 13 2 3" xfId="3829" xr:uid="{A911BC0F-E9C1-4B2F-95F2-806BB3F6394F}"/>
    <cellStyle name="Normal 3 2 2 2 13 3" xfId="1744" xr:uid="{779BCAD9-338B-445E-AAF2-875ABD0265DF}"/>
    <cellStyle name="Normal 3 2 2 2 13 3 2" xfId="4604" xr:uid="{2415C455-8DAD-4E5A-838F-9159E7125A66}"/>
    <cellStyle name="Normal 3 2 2 2 13 4" xfId="3188" xr:uid="{5458C38D-8D49-422D-8188-53E1C745F3F2}"/>
    <cellStyle name="Normal 3 2 2 2 14" xfId="225" xr:uid="{00000000-0005-0000-0000-0000D1030000}"/>
    <cellStyle name="Normal 3 2 2 2 14 2" xfId="947" xr:uid="{00000000-0005-0000-0000-0000D2030000}"/>
    <cellStyle name="Normal 3 2 2 2 14 2 2" xfId="2395" xr:uid="{10A2599A-84DF-4F34-AB41-96F4E46F8F12}"/>
    <cellStyle name="Normal 3 2 2 2 14 2 2 2" xfId="5251" xr:uid="{1CD28849-A3C8-4D14-8646-DEC879487E26}"/>
    <cellStyle name="Normal 3 2 2 2 14 2 3" xfId="3833" xr:uid="{6D654478-18CD-48CC-87DE-C7C4E6BB6C5B}"/>
    <cellStyle name="Normal 3 2 2 2 14 3" xfId="1748" xr:uid="{59AAC1FB-9DE2-40DE-9C00-6AFF6A42CFF1}"/>
    <cellStyle name="Normal 3 2 2 2 14 3 2" xfId="4608" xr:uid="{0F527E5C-BD47-4796-A5CD-9928E0273D0D}"/>
    <cellStyle name="Normal 3 2 2 2 14 4" xfId="3192" xr:uid="{DA807DFF-1B47-4C2C-8C2C-9C5AFCE83424}"/>
    <cellStyle name="Normal 3 2 2 2 15" xfId="232" xr:uid="{00000000-0005-0000-0000-0000D3030000}"/>
    <cellStyle name="Normal 3 2 2 2 15 2" xfId="954" xr:uid="{00000000-0005-0000-0000-0000D4030000}"/>
    <cellStyle name="Normal 3 2 2 2 15 2 2" xfId="2402" xr:uid="{71D12B7B-B858-4966-ACC6-E9802D5650FE}"/>
    <cellStyle name="Normal 3 2 2 2 15 2 2 2" xfId="5258" xr:uid="{E5745B5D-548C-4135-84AF-17B6CDC5773B}"/>
    <cellStyle name="Normal 3 2 2 2 15 2 3" xfId="3840" xr:uid="{396E35D8-C2DD-492D-956B-89C961F5F9B5}"/>
    <cellStyle name="Normal 3 2 2 2 15 3" xfId="1755" xr:uid="{774B6FD0-232D-4A7B-B17D-4F2E21C1903B}"/>
    <cellStyle name="Normal 3 2 2 2 15 3 2" xfId="4615" xr:uid="{3C4ED537-F81E-47FF-9C9A-52C1A2C05676}"/>
    <cellStyle name="Normal 3 2 2 2 15 4" xfId="3199" xr:uid="{16419FB6-0B9F-4716-9CC0-315C7D318EB5}"/>
    <cellStyle name="Normal 3 2 2 2 16" xfId="236" xr:uid="{00000000-0005-0000-0000-0000D5030000}"/>
    <cellStyle name="Normal 3 2 2 2 16 2" xfId="958" xr:uid="{00000000-0005-0000-0000-0000D6030000}"/>
    <cellStyle name="Normal 3 2 2 2 16 2 2" xfId="2406" xr:uid="{E90616AA-82C7-493F-8BB5-899B3962CB12}"/>
    <cellStyle name="Normal 3 2 2 2 16 2 2 2" xfId="5262" xr:uid="{D1C08AF9-E882-49FB-A3F4-F7D4DF32D801}"/>
    <cellStyle name="Normal 3 2 2 2 16 2 3" xfId="3844" xr:uid="{9087BEDF-1C7A-452D-8BB6-7446DACDB5CA}"/>
    <cellStyle name="Normal 3 2 2 2 16 3" xfId="1759" xr:uid="{9883111F-05EC-4135-85A0-F507478000A1}"/>
    <cellStyle name="Normal 3 2 2 2 16 3 2" xfId="4619" xr:uid="{EEA50A07-5D7B-447C-9860-82B9227996F0}"/>
    <cellStyle name="Normal 3 2 2 2 16 4" xfId="3203" xr:uid="{02E78896-2643-4B92-B1E0-6DEC3C7ED294}"/>
    <cellStyle name="Normal 3 2 2 2 17" xfId="239" xr:uid="{00000000-0005-0000-0000-0000D7030000}"/>
    <cellStyle name="Normal 3 2 2 2 17 2" xfId="961" xr:uid="{00000000-0005-0000-0000-0000D8030000}"/>
    <cellStyle name="Normal 3 2 2 2 17 2 2" xfId="2409" xr:uid="{78130253-A7E2-4B89-9FA9-B09DD750F84A}"/>
    <cellStyle name="Normal 3 2 2 2 17 2 2 2" xfId="5265" xr:uid="{6B1EAB7A-7386-4763-98D0-CCAF625C66B7}"/>
    <cellStyle name="Normal 3 2 2 2 17 2 3" xfId="3847" xr:uid="{005D6916-0942-4D3D-BC5D-44ABFA1D2310}"/>
    <cellStyle name="Normal 3 2 2 2 17 3" xfId="1762" xr:uid="{E6C9B877-8AEB-4FFF-8240-4205C66D3CFA}"/>
    <cellStyle name="Normal 3 2 2 2 17 3 2" xfId="4622" xr:uid="{D7FFA509-C71D-44CF-AA11-D6EDA44F0EE8}"/>
    <cellStyle name="Normal 3 2 2 2 17 4" xfId="3206" xr:uid="{49695691-045F-45F8-815D-B2FF2AD4ADF4}"/>
    <cellStyle name="Normal 3 2 2 2 18" xfId="245" xr:uid="{00000000-0005-0000-0000-0000D9030000}"/>
    <cellStyle name="Normal 3 2 2 2 18 2" xfId="967" xr:uid="{00000000-0005-0000-0000-0000DA030000}"/>
    <cellStyle name="Normal 3 2 2 2 18 2 2" xfId="2415" xr:uid="{BCFC4C8C-222B-4D21-83B4-0ECD6D3BBA7D}"/>
    <cellStyle name="Normal 3 2 2 2 18 2 2 2" xfId="5271" xr:uid="{B67929B3-0CE4-487A-83BF-B1BAA8E73B6A}"/>
    <cellStyle name="Normal 3 2 2 2 18 2 3" xfId="3853" xr:uid="{D590010F-A5EA-430E-9A60-334EDC8708F5}"/>
    <cellStyle name="Normal 3 2 2 2 18 3" xfId="1768" xr:uid="{C6C84444-0BBA-43EA-809F-7372FD71E1FA}"/>
    <cellStyle name="Normal 3 2 2 2 18 3 2" xfId="4628" xr:uid="{CD199192-EA20-4197-828E-3E296FDCA87A}"/>
    <cellStyle name="Normal 3 2 2 2 18 4" xfId="3212" xr:uid="{977B902A-65C8-4B85-9BFE-994EDA743DA5}"/>
    <cellStyle name="Normal 3 2 2 2 19" xfId="249" xr:uid="{00000000-0005-0000-0000-0000DB030000}"/>
    <cellStyle name="Normal 3 2 2 2 19 2" xfId="971" xr:uid="{00000000-0005-0000-0000-0000DC030000}"/>
    <cellStyle name="Normal 3 2 2 2 19 2 2" xfId="2419" xr:uid="{A7B06EAA-E145-40C5-995D-308AC81CA51B}"/>
    <cellStyle name="Normal 3 2 2 2 19 2 2 2" xfId="5275" xr:uid="{56596CBF-75FA-4FD4-A7BA-58D4D574779E}"/>
    <cellStyle name="Normal 3 2 2 2 19 2 3" xfId="3857" xr:uid="{B0F86C31-6561-4942-B780-751B00F83510}"/>
    <cellStyle name="Normal 3 2 2 2 19 3" xfId="1772" xr:uid="{CD259FCC-3095-4488-9EA4-C752DB21D9D7}"/>
    <cellStyle name="Normal 3 2 2 2 19 3 2" xfId="4632" xr:uid="{3B1C5FBA-536D-4D39-89A9-D9C2A54EBF54}"/>
    <cellStyle name="Normal 3 2 2 2 19 4" xfId="3216" xr:uid="{724BEF78-CB78-4F4D-B617-DA924A584DF0}"/>
    <cellStyle name="Normal 3 2 2 2 2" xfId="167" xr:uid="{00000000-0005-0000-0000-0000DD030000}"/>
    <cellStyle name="Normal 3 2 2 2 2 2" xfId="889" xr:uid="{00000000-0005-0000-0000-0000DE030000}"/>
    <cellStyle name="Normal 3 2 2 2 2 2 2" xfId="2337" xr:uid="{BF554220-C447-40DB-9DE3-93A6BE877DAD}"/>
    <cellStyle name="Normal 3 2 2 2 2 2 2 2" xfId="5193" xr:uid="{30DD682A-AA94-4904-9498-126592C8B705}"/>
    <cellStyle name="Normal 3 2 2 2 2 2 3" xfId="3775" xr:uid="{36FB8102-F975-42BC-A8DA-1368AF292D31}"/>
    <cellStyle name="Normal 3 2 2 2 2 3" xfId="1690" xr:uid="{35E830DD-E662-43FD-B70F-DEFB47A09DD6}"/>
    <cellStyle name="Normal 3 2 2 2 2 3 2" xfId="4550" xr:uid="{60F10BE5-C58B-4B44-B4AD-3E676EBFD501}"/>
    <cellStyle name="Normal 3 2 2 2 2 4" xfId="3134" xr:uid="{5F3373D1-E553-4A0A-A505-EE863D34C9F1}"/>
    <cellStyle name="Normal 3 2 2 2 20" xfId="257" xr:uid="{00000000-0005-0000-0000-0000DF030000}"/>
    <cellStyle name="Normal 3 2 2 2 20 2" xfId="979" xr:uid="{00000000-0005-0000-0000-0000E0030000}"/>
    <cellStyle name="Normal 3 2 2 2 20 2 2" xfId="2427" xr:uid="{264248D2-E95F-4975-ABED-8C59FD352B58}"/>
    <cellStyle name="Normal 3 2 2 2 20 2 2 2" xfId="5283" xr:uid="{452D05CC-392A-4415-AC82-63A3CC844514}"/>
    <cellStyle name="Normal 3 2 2 2 20 2 3" xfId="3865" xr:uid="{2BAFE9E5-1492-4191-8286-293D9684B285}"/>
    <cellStyle name="Normal 3 2 2 2 20 3" xfId="1780" xr:uid="{B711725C-CBE5-4363-9635-D6B25AA66457}"/>
    <cellStyle name="Normal 3 2 2 2 20 3 2" xfId="4640" xr:uid="{305B8AB7-F59D-420B-B8D0-347E5AB8D426}"/>
    <cellStyle name="Normal 3 2 2 2 20 4" xfId="3224" xr:uid="{37BAC0F7-ED18-4657-86AB-CDF421A90646}"/>
    <cellStyle name="Normal 3 2 2 2 21" xfId="261" xr:uid="{00000000-0005-0000-0000-0000E1030000}"/>
    <cellStyle name="Normal 3 2 2 2 21 2" xfId="983" xr:uid="{00000000-0005-0000-0000-0000E2030000}"/>
    <cellStyle name="Normal 3 2 2 2 21 2 2" xfId="2431" xr:uid="{5485F495-5D2D-4801-8AA9-90BD1303B286}"/>
    <cellStyle name="Normal 3 2 2 2 21 2 2 2" xfId="5287" xr:uid="{BB4BB4D4-0F68-47EB-A3B1-EF9176624077}"/>
    <cellStyle name="Normal 3 2 2 2 21 2 3" xfId="3869" xr:uid="{C0C828F8-98B5-48F4-99A3-F012815AD16E}"/>
    <cellStyle name="Normal 3 2 2 2 21 3" xfId="1784" xr:uid="{29E17320-E506-4ABA-AAC9-8587B2C993D6}"/>
    <cellStyle name="Normal 3 2 2 2 21 3 2" xfId="4644" xr:uid="{3FF10DDE-AD6C-4166-BDB4-A9CB693AEE54}"/>
    <cellStyle name="Normal 3 2 2 2 21 4" xfId="3228" xr:uid="{F87DBD77-7D6E-419B-AEAB-7B0B087C8986}"/>
    <cellStyle name="Normal 3 2 2 2 22" xfId="267" xr:uid="{00000000-0005-0000-0000-0000E3030000}"/>
    <cellStyle name="Normal 3 2 2 2 22 2" xfId="989" xr:uid="{00000000-0005-0000-0000-0000E4030000}"/>
    <cellStyle name="Normal 3 2 2 2 22 2 2" xfId="2437" xr:uid="{C6373BDF-E8EB-4609-830E-6352FA23A0BD}"/>
    <cellStyle name="Normal 3 2 2 2 22 2 2 2" xfId="5293" xr:uid="{73257B0C-454A-4C13-8010-B5910D73DED2}"/>
    <cellStyle name="Normal 3 2 2 2 22 2 3" xfId="3875" xr:uid="{9CAEDFCB-5F04-4787-A9BB-9825468630D9}"/>
    <cellStyle name="Normal 3 2 2 2 22 3" xfId="1790" xr:uid="{49981C5C-37C9-4DC9-BF66-52CF8415C68A}"/>
    <cellStyle name="Normal 3 2 2 2 22 3 2" xfId="4650" xr:uid="{D4DF9E32-083F-4B2A-A9CC-7A10E499E2D0}"/>
    <cellStyle name="Normal 3 2 2 2 22 4" xfId="3234" xr:uid="{C6596A03-DF13-49F1-B940-5D549D2495B6}"/>
    <cellStyle name="Normal 3 2 2 2 23" xfId="272" xr:uid="{00000000-0005-0000-0000-0000E5030000}"/>
    <cellStyle name="Normal 3 2 2 2 23 2" xfId="994" xr:uid="{00000000-0005-0000-0000-0000E6030000}"/>
    <cellStyle name="Normal 3 2 2 2 23 2 2" xfId="2442" xr:uid="{99F0306E-113E-4CD9-ABBE-AD50CAEF8FAC}"/>
    <cellStyle name="Normal 3 2 2 2 23 2 2 2" xfId="5298" xr:uid="{E834C8ED-5EE6-4D1E-BEBA-9430A9FD06A9}"/>
    <cellStyle name="Normal 3 2 2 2 23 2 3" xfId="3880" xr:uid="{9930DE15-5E10-4B74-BDBF-3B768D6480E7}"/>
    <cellStyle name="Normal 3 2 2 2 23 3" xfId="1795" xr:uid="{EBEE974F-1C51-42B3-9143-71515C96A243}"/>
    <cellStyle name="Normal 3 2 2 2 23 3 2" xfId="4655" xr:uid="{1DA6E825-70D4-44D1-9BB5-52C83D7BAE1C}"/>
    <cellStyle name="Normal 3 2 2 2 23 4" xfId="3239" xr:uid="{0242E3B3-CFCF-48A3-A902-39B7F939E2A8}"/>
    <cellStyle name="Normal 3 2 2 2 24" xfId="275" xr:uid="{00000000-0005-0000-0000-0000E7030000}"/>
    <cellStyle name="Normal 3 2 2 2 24 2" xfId="997" xr:uid="{00000000-0005-0000-0000-0000E8030000}"/>
    <cellStyle name="Normal 3 2 2 2 24 2 2" xfId="2445" xr:uid="{6C3CA8CC-C7CB-4A09-B6C9-716B8CD9A929}"/>
    <cellStyle name="Normal 3 2 2 2 24 2 2 2" xfId="5301" xr:uid="{D029855A-60DA-4939-B162-5B4B4447E008}"/>
    <cellStyle name="Normal 3 2 2 2 24 2 3" xfId="3883" xr:uid="{4537B80C-0A4A-4316-AFD5-C74D541D9A14}"/>
    <cellStyle name="Normal 3 2 2 2 24 3" xfId="1798" xr:uid="{04DF1F03-945D-42EC-B275-347ADEC50CDE}"/>
    <cellStyle name="Normal 3 2 2 2 24 3 2" xfId="4658" xr:uid="{7AFD0CFD-4C61-41FE-B6C1-793E9AA26342}"/>
    <cellStyle name="Normal 3 2 2 2 24 4" xfId="3242" xr:uid="{356E966C-C07C-49E2-B903-04F1E85B9542}"/>
    <cellStyle name="Normal 3 2 2 2 25" xfId="283" xr:uid="{00000000-0005-0000-0000-0000E9030000}"/>
    <cellStyle name="Normal 3 2 2 2 25 2" xfId="633" xr:uid="{00000000-0005-0000-0000-0000EA030000}"/>
    <cellStyle name="Normal 3 2 2 2 25 2 2" xfId="1347" xr:uid="{00000000-0005-0000-0000-0000EB030000}"/>
    <cellStyle name="Normal 3 2 2 2 25 2 2 2" xfId="2795" xr:uid="{57B40481-91F1-4821-AA92-24C304FF23AB}"/>
    <cellStyle name="Normal 3 2 2 2 25 2 2 2 2" xfId="5651" xr:uid="{42001FB7-F825-4A09-80B8-08E571E4F3A1}"/>
    <cellStyle name="Normal 3 2 2 2 25 2 2 3" xfId="4233" xr:uid="{2721EFDA-1E21-4A83-AA53-AFCF7C9CF31F}"/>
    <cellStyle name="Normal 3 2 2 2 25 2 3" xfId="2151" xr:uid="{67F90CF6-1307-4DB4-99D2-CEBB36995FE0}"/>
    <cellStyle name="Normal 3 2 2 2 25 2 3 2" xfId="5011" xr:uid="{B9713547-2FDE-427D-A161-F2435C6C0229}"/>
    <cellStyle name="Normal 3 2 2 2 25 2 4" xfId="3595" xr:uid="{E86524F3-D787-49D3-8850-7B0BA9B72321}"/>
    <cellStyle name="Normal 3 2 2 2 25 3" xfId="693" xr:uid="{00000000-0005-0000-0000-0000EC030000}"/>
    <cellStyle name="Normal 3 2 2 2 25 3 2" xfId="1380" xr:uid="{00000000-0005-0000-0000-0000ED030000}"/>
    <cellStyle name="Normal 3 2 2 2 25 3 2 2" xfId="2827" xr:uid="{C82E224C-6051-40FF-B43E-5864E3974F8E}"/>
    <cellStyle name="Normal 3 2 2 2 25 3 2 2 2" xfId="5682" xr:uid="{C1FD6F33-9F9B-4215-AF3D-E5DFE96BA40E}"/>
    <cellStyle name="Normal 3 2 2 2 25 3 2 3" xfId="4264" xr:uid="{A1E621F2-BF4B-4E1D-BE28-F6F373F88C47}"/>
    <cellStyle name="Normal 3 2 2 2 25 3 3" xfId="2184" xr:uid="{81C41F37-9235-4B70-9480-CDB161B153CE}"/>
    <cellStyle name="Normal 3 2 2 2 25 3 3 2" xfId="5043" xr:uid="{48F30A3F-6C5B-4E5F-B6E4-973924341398}"/>
    <cellStyle name="Normal 3 2 2 2 25 3 4" xfId="3627" xr:uid="{69369536-BACF-4967-9DDF-D789CB2DDF5F}"/>
    <cellStyle name="Normal 3 2 2 2 25 4" xfId="1005" xr:uid="{00000000-0005-0000-0000-0000EE030000}"/>
    <cellStyle name="Normal 3 2 2 2 25 4 2" xfId="2453" xr:uid="{EB6DF74B-BCD7-45C2-9C04-E791F43D8FD4}"/>
    <cellStyle name="Normal 3 2 2 2 25 4 2 2" xfId="5309" xr:uid="{40AEED34-BFB5-46B8-8FA0-B1CA9B5D6B69}"/>
    <cellStyle name="Normal 3 2 2 2 25 4 3" xfId="3891" xr:uid="{21500026-4DDE-45DB-96A8-83417DD32BDA}"/>
    <cellStyle name="Normal 3 2 2 2 25 5" xfId="1806" xr:uid="{6D4A3F07-989C-4343-8815-7C24547BDD07}"/>
    <cellStyle name="Normal 3 2 2 2 25 5 2" xfId="4666" xr:uid="{6DD69E8C-FE66-4E6F-8178-549A529DECE3}"/>
    <cellStyle name="Normal 3 2 2 2 25 6" xfId="3250" xr:uid="{10E49B14-2AF1-482E-805F-93815C52DA95}"/>
    <cellStyle name="Normal 3 2 2 2 25 7" xfId="6022" xr:uid="{1614AB22-ABDC-42BA-8E47-5F7D3AD4A720}"/>
    <cellStyle name="Normal 3 2 2 2 26" xfId="285" xr:uid="{00000000-0005-0000-0000-0000EF030000}"/>
    <cellStyle name="Normal 3 2 2 2 26 2" xfId="1007" xr:uid="{00000000-0005-0000-0000-0000F0030000}"/>
    <cellStyle name="Normal 3 2 2 2 26 2 2" xfId="2455" xr:uid="{29403748-9F80-4357-B0DE-EDA2F5714F92}"/>
    <cellStyle name="Normal 3 2 2 2 26 2 2 2" xfId="5311" xr:uid="{8D91F699-1D99-480E-944A-F17D8C57612D}"/>
    <cellStyle name="Normal 3 2 2 2 26 2 3" xfId="3893" xr:uid="{E0741921-7F79-412D-854B-84EE505D5076}"/>
    <cellStyle name="Normal 3 2 2 2 26 3" xfId="1808" xr:uid="{461A2DD3-820B-4956-891A-3B90FC7E8894}"/>
    <cellStyle name="Normal 3 2 2 2 26 3 2" xfId="4668" xr:uid="{2469C21B-333B-427C-87CF-3652AACDD713}"/>
    <cellStyle name="Normal 3 2 2 2 26 4" xfId="3252" xr:uid="{E75DD09D-60AF-406B-AFF7-0F10F3E95BD1}"/>
    <cellStyle name="Normal 3 2 2 2 27" xfId="290" xr:uid="{00000000-0005-0000-0000-0000F1030000}"/>
    <cellStyle name="Normal 3 2 2 2 27 2" xfId="1012" xr:uid="{00000000-0005-0000-0000-0000F2030000}"/>
    <cellStyle name="Normal 3 2 2 2 27 2 2" xfId="2460" xr:uid="{1BF497C5-CF23-456E-BE23-A6421FFCCF21}"/>
    <cellStyle name="Normal 3 2 2 2 27 2 2 2" xfId="5316" xr:uid="{14A960B8-0723-4F66-AEB1-24098B1958AC}"/>
    <cellStyle name="Normal 3 2 2 2 27 2 3" xfId="3898" xr:uid="{A542B71D-6B60-40F7-8002-DEA533199B5A}"/>
    <cellStyle name="Normal 3 2 2 2 27 3" xfId="1813" xr:uid="{50CB4508-52C4-45C9-ACA8-2E5DDF74EF5C}"/>
    <cellStyle name="Normal 3 2 2 2 27 3 2" xfId="4673" xr:uid="{D585678D-E56E-45E1-BD2E-A50DDFA17CD4}"/>
    <cellStyle name="Normal 3 2 2 2 27 4" xfId="3257" xr:uid="{397B1308-AB66-4C13-B86A-8318C76C5FDD}"/>
    <cellStyle name="Normal 3 2 2 2 28" xfId="299" xr:uid="{00000000-0005-0000-0000-0000F3030000}"/>
    <cellStyle name="Normal 3 2 2 2 28 2" xfId="1020" xr:uid="{00000000-0005-0000-0000-0000F4030000}"/>
    <cellStyle name="Normal 3 2 2 2 28 2 2" xfId="2468" xr:uid="{3AFC4247-F8E1-4928-AD23-7ED59D574840}"/>
    <cellStyle name="Normal 3 2 2 2 28 2 2 2" xfId="5324" xr:uid="{156495EA-61C1-425C-B24C-CC30AF79A15F}"/>
    <cellStyle name="Normal 3 2 2 2 28 2 3" xfId="3906" xr:uid="{6F3BA813-C6D2-4E08-B63D-8C83A64EDBBB}"/>
    <cellStyle name="Normal 3 2 2 2 28 3" xfId="1822" xr:uid="{DF6F72F9-0751-4D13-8E72-0BD5BFB67F4E}"/>
    <cellStyle name="Normal 3 2 2 2 28 3 2" xfId="4682" xr:uid="{8A1B559F-3066-4F6C-830E-BBC23F548A08}"/>
    <cellStyle name="Normal 3 2 2 2 28 4" xfId="3266" xr:uid="{099FA653-59F3-466C-9CD8-D3E09562774A}"/>
    <cellStyle name="Normal 3 2 2 2 29" xfId="302" xr:uid="{00000000-0005-0000-0000-0000F5030000}"/>
    <cellStyle name="Normal 3 2 2 2 29 2" xfId="1023" xr:uid="{00000000-0005-0000-0000-0000F6030000}"/>
    <cellStyle name="Normal 3 2 2 2 29 2 2" xfId="2471" xr:uid="{34AD19E3-312A-4D8F-992E-CE21EE2AFC11}"/>
    <cellStyle name="Normal 3 2 2 2 29 2 2 2" xfId="5327" xr:uid="{5E17D5AC-DD15-4DF5-B9B9-48AE12B0C3D1}"/>
    <cellStyle name="Normal 3 2 2 2 29 2 3" xfId="3909" xr:uid="{D8E97C14-75C8-4B82-8EB5-0AC72D2BC332}"/>
    <cellStyle name="Normal 3 2 2 2 29 3" xfId="1825" xr:uid="{95E1EAD6-FB44-45CD-95C8-E474644F1066}"/>
    <cellStyle name="Normal 3 2 2 2 29 3 2" xfId="4685" xr:uid="{0F3C70B6-46A1-4D1F-98B4-5807DEEE75FF}"/>
    <cellStyle name="Normal 3 2 2 2 29 4" xfId="3269" xr:uid="{009B498E-A797-4B58-B513-3D2A22088EF3}"/>
    <cellStyle name="Normal 3 2 2 2 3" xfId="169" xr:uid="{00000000-0005-0000-0000-0000F7030000}"/>
    <cellStyle name="Normal 3 2 2 2 3 2" xfId="891" xr:uid="{00000000-0005-0000-0000-0000F8030000}"/>
    <cellStyle name="Normal 3 2 2 2 3 2 2" xfId="2339" xr:uid="{D3CE1E69-E47B-44CD-B929-B84AD3099F92}"/>
    <cellStyle name="Normal 3 2 2 2 3 2 2 2" xfId="5195" xr:uid="{B296540B-48D0-426E-9FB9-F7D5C0D44ACC}"/>
    <cellStyle name="Normal 3 2 2 2 3 2 3" xfId="3777" xr:uid="{5CD8B0C8-FD26-4007-AAF7-E75F473F3366}"/>
    <cellStyle name="Normal 3 2 2 2 3 3" xfId="1692" xr:uid="{2B4BA25F-8418-4478-A86B-E32FC838978B}"/>
    <cellStyle name="Normal 3 2 2 2 3 3 2" xfId="4552" xr:uid="{39916175-9972-40CF-8507-DD2D02CEB0C0}"/>
    <cellStyle name="Normal 3 2 2 2 3 4" xfId="3136" xr:uid="{FAB3C097-CACB-4F51-A338-380976C5D91A}"/>
    <cellStyle name="Normal 3 2 2 2 30" xfId="309" xr:uid="{00000000-0005-0000-0000-0000F9030000}"/>
    <cellStyle name="Normal 3 2 2 2 30 2" xfId="1030" xr:uid="{00000000-0005-0000-0000-0000FA030000}"/>
    <cellStyle name="Normal 3 2 2 2 30 2 2" xfId="2478" xr:uid="{3B82E5B4-5E4F-4505-AE26-E50A69F51652}"/>
    <cellStyle name="Normal 3 2 2 2 30 2 2 2" xfId="5334" xr:uid="{50E06E35-2B3E-4CF9-B0AC-95721F959571}"/>
    <cellStyle name="Normal 3 2 2 2 30 2 3" xfId="3916" xr:uid="{6EDD0FFC-3B08-4C93-85BB-C389ED2BDF20}"/>
    <cellStyle name="Normal 3 2 2 2 30 3" xfId="1832" xr:uid="{857827E9-4B91-49F4-AD63-39664E941E6F}"/>
    <cellStyle name="Normal 3 2 2 2 30 3 2" xfId="4692" xr:uid="{AC06E1E6-ACF8-4E51-B995-D2A639364543}"/>
    <cellStyle name="Normal 3 2 2 2 30 4" xfId="3276" xr:uid="{D0261687-228F-441F-9433-BC2D5AF01247}"/>
    <cellStyle name="Normal 3 2 2 2 31" xfId="315" xr:uid="{00000000-0005-0000-0000-0000FB030000}"/>
    <cellStyle name="Normal 3 2 2 2 31 2" xfId="1036" xr:uid="{00000000-0005-0000-0000-0000FC030000}"/>
    <cellStyle name="Normal 3 2 2 2 31 2 2" xfId="2484" xr:uid="{B7AAC228-115C-45D3-8886-65066FF25E72}"/>
    <cellStyle name="Normal 3 2 2 2 31 2 2 2" xfId="5340" xr:uid="{C8022727-0BB0-45F2-B766-DDE716FEECBB}"/>
    <cellStyle name="Normal 3 2 2 2 31 2 3" xfId="3922" xr:uid="{605584C8-DECC-4964-AAA5-522CE7A8CB0C}"/>
    <cellStyle name="Normal 3 2 2 2 31 3" xfId="1838" xr:uid="{DF848250-8B5C-43C3-9D95-42E940082D1E}"/>
    <cellStyle name="Normal 3 2 2 2 31 3 2" xfId="4698" xr:uid="{8BD67B7D-C304-40EF-A05A-13551A50D804}"/>
    <cellStyle name="Normal 3 2 2 2 31 4" xfId="3282" xr:uid="{91A07B3C-CB75-4E69-9D4F-9F2C0D9613DF}"/>
    <cellStyle name="Normal 3 2 2 2 32" xfId="324" xr:uid="{00000000-0005-0000-0000-0000FD030000}"/>
    <cellStyle name="Normal 3 2 2 2 32 2" xfId="1045" xr:uid="{00000000-0005-0000-0000-0000FE030000}"/>
    <cellStyle name="Normal 3 2 2 2 32 2 2" xfId="2493" xr:uid="{164B580B-F89E-4D64-947B-A7980F7CAE47}"/>
    <cellStyle name="Normal 3 2 2 2 32 2 2 2" xfId="5349" xr:uid="{5C6D2193-55BD-44FE-9713-BEDC2EDE9472}"/>
    <cellStyle name="Normal 3 2 2 2 32 2 3" xfId="3931" xr:uid="{C870810A-CAB8-475C-90C4-D3F3D467F4D0}"/>
    <cellStyle name="Normal 3 2 2 2 32 3" xfId="1847" xr:uid="{FB45371D-AF2E-4DC8-8CA1-566BA325DA46}"/>
    <cellStyle name="Normal 3 2 2 2 32 3 2" xfId="4707" xr:uid="{50CB5D5C-5870-4169-B638-154E427A2F92}"/>
    <cellStyle name="Normal 3 2 2 2 32 4" xfId="3291" xr:uid="{3226436F-4018-4FAC-95CF-D317F04B1E91}"/>
    <cellStyle name="Normal 3 2 2 2 33" xfId="326" xr:uid="{00000000-0005-0000-0000-0000FF030000}"/>
    <cellStyle name="Normal 3 2 2 2 33 2" xfId="1047" xr:uid="{00000000-0005-0000-0000-000000040000}"/>
    <cellStyle name="Normal 3 2 2 2 33 2 2" xfId="2495" xr:uid="{AF8C34B8-2E9D-42A7-AF85-05DDCCB418EF}"/>
    <cellStyle name="Normal 3 2 2 2 33 2 2 2" xfId="5351" xr:uid="{159973E5-5776-4EDF-A869-B121150AD97C}"/>
    <cellStyle name="Normal 3 2 2 2 33 2 3" xfId="3933" xr:uid="{F8F57346-5BC4-4C1A-BCD3-5F721C8877C6}"/>
    <cellStyle name="Normal 3 2 2 2 33 3" xfId="1849" xr:uid="{D1EE264F-9004-4A86-937F-CDAC84210964}"/>
    <cellStyle name="Normal 3 2 2 2 33 3 2" xfId="4709" xr:uid="{65E978C3-3216-4627-AF56-FE96D168B2C5}"/>
    <cellStyle name="Normal 3 2 2 2 33 4" xfId="3293" xr:uid="{F5DC1AE6-B9EE-4BBE-831E-3BEA53B84746}"/>
    <cellStyle name="Normal 3 2 2 2 34" xfId="329" xr:uid="{00000000-0005-0000-0000-000001040000}"/>
    <cellStyle name="Normal 3 2 2 2 34 2" xfId="1050" xr:uid="{00000000-0005-0000-0000-000002040000}"/>
    <cellStyle name="Normal 3 2 2 2 34 2 2" xfId="2498" xr:uid="{D6CC136A-448F-4163-8AC4-C97A58E833A5}"/>
    <cellStyle name="Normal 3 2 2 2 34 2 2 2" xfId="5354" xr:uid="{3010DC03-6450-445D-ACC0-1988DE1C82C2}"/>
    <cellStyle name="Normal 3 2 2 2 34 2 3" xfId="3936" xr:uid="{1A98C11F-0676-4AE1-8588-080C29534C8D}"/>
    <cellStyle name="Normal 3 2 2 2 34 3" xfId="1852" xr:uid="{7EA26B4C-6D6D-4EA0-AAAA-6DDBD2286647}"/>
    <cellStyle name="Normal 3 2 2 2 34 3 2" xfId="4712" xr:uid="{69292526-6597-4DD4-9142-515A80EAE534}"/>
    <cellStyle name="Normal 3 2 2 2 34 4" xfId="3296" xr:uid="{E038F27D-C996-485B-BE0A-9D7316A8778E}"/>
    <cellStyle name="Normal 3 2 2 2 35" xfId="333" xr:uid="{00000000-0005-0000-0000-000003040000}"/>
    <cellStyle name="Normal 3 2 2 2 35 2" xfId="1054" xr:uid="{00000000-0005-0000-0000-000004040000}"/>
    <cellStyle name="Normal 3 2 2 2 35 2 2" xfId="2502" xr:uid="{3D366F88-C7E2-4637-BC26-FB8FD8CEDD1A}"/>
    <cellStyle name="Normal 3 2 2 2 35 2 2 2" xfId="5358" xr:uid="{7861EE38-027A-4637-A09D-910106B59BE6}"/>
    <cellStyle name="Normal 3 2 2 2 35 2 3" xfId="3940" xr:uid="{D28084EF-DAAC-4487-A989-F67FB484EEAF}"/>
    <cellStyle name="Normal 3 2 2 2 35 3" xfId="1856" xr:uid="{5F97FE4A-6B82-4F91-9322-683BF7F860F7}"/>
    <cellStyle name="Normal 3 2 2 2 35 3 2" xfId="4716" xr:uid="{BF40CC60-F08D-4266-91F2-9A13BE6F3666}"/>
    <cellStyle name="Normal 3 2 2 2 35 4" xfId="3300" xr:uid="{44560DCD-5044-4866-8BA0-66A9CADD569A}"/>
    <cellStyle name="Normal 3 2 2 2 36" xfId="341" xr:uid="{00000000-0005-0000-0000-000005040000}"/>
    <cellStyle name="Normal 3 2 2 2 36 2" xfId="1062" xr:uid="{00000000-0005-0000-0000-000006040000}"/>
    <cellStyle name="Normal 3 2 2 2 36 2 2" xfId="2510" xr:uid="{6D70C48E-B42F-490E-9972-8AB1CE4EFFB2}"/>
    <cellStyle name="Normal 3 2 2 2 36 2 2 2" xfId="5366" xr:uid="{DD956818-CFD2-42FA-B2B1-93B02E983B41}"/>
    <cellStyle name="Normal 3 2 2 2 36 2 3" xfId="3948" xr:uid="{FDAF7C84-5CB7-4F78-AD2E-E58D9B9A98FB}"/>
    <cellStyle name="Normal 3 2 2 2 36 3" xfId="1864" xr:uid="{8C4AF7DD-2757-454E-B740-AA3C2EA1C9FF}"/>
    <cellStyle name="Normal 3 2 2 2 36 3 2" xfId="4724" xr:uid="{DA3CAF84-CD8F-4A3F-B2A1-196A4E4F85F4}"/>
    <cellStyle name="Normal 3 2 2 2 36 4" xfId="3308" xr:uid="{3656CEAB-E616-4505-A0CB-DABB1D4E78D5}"/>
    <cellStyle name="Normal 3 2 2 2 37" xfId="345" xr:uid="{00000000-0005-0000-0000-000007040000}"/>
    <cellStyle name="Normal 3 2 2 2 37 2" xfId="1066" xr:uid="{00000000-0005-0000-0000-000008040000}"/>
    <cellStyle name="Normal 3 2 2 2 37 2 2" xfId="2514" xr:uid="{AF20ECD5-7497-48A9-8051-5401DAF24164}"/>
    <cellStyle name="Normal 3 2 2 2 37 2 2 2" xfId="5370" xr:uid="{E3996CCC-C0A9-4ADF-B0DF-A10B1C75BDBE}"/>
    <cellStyle name="Normal 3 2 2 2 37 2 3" xfId="3952" xr:uid="{4A9A6980-9AB3-4850-AEC2-5C24F63E6694}"/>
    <cellStyle name="Normal 3 2 2 2 37 3" xfId="1868" xr:uid="{B4205D61-4EF0-44AE-B8E1-20F659379E19}"/>
    <cellStyle name="Normal 3 2 2 2 37 3 2" xfId="4728" xr:uid="{EBD5889E-E3A6-46CF-91B7-8A86E641B45F}"/>
    <cellStyle name="Normal 3 2 2 2 37 4" xfId="3312" xr:uid="{BA71455D-CC5C-4926-B648-89EDF5F65B59}"/>
    <cellStyle name="Normal 3 2 2 2 38" xfId="352" xr:uid="{00000000-0005-0000-0000-000009040000}"/>
    <cellStyle name="Normal 3 2 2 2 38 2" xfId="1073" xr:uid="{00000000-0005-0000-0000-00000A040000}"/>
    <cellStyle name="Normal 3 2 2 2 38 2 2" xfId="2521" xr:uid="{E600B589-3C0A-48CA-AFB5-061AD465A1A9}"/>
    <cellStyle name="Normal 3 2 2 2 38 2 2 2" xfId="5377" xr:uid="{B10EE31F-9D75-4784-ACBD-FBD8DAD7B765}"/>
    <cellStyle name="Normal 3 2 2 2 38 2 3" xfId="3959" xr:uid="{8F45C9B3-3BFB-47E0-8D08-095537196915}"/>
    <cellStyle name="Normal 3 2 2 2 38 3" xfId="1875" xr:uid="{251F57A4-8B9F-4BE1-AFEB-B4C8623FCBAF}"/>
    <cellStyle name="Normal 3 2 2 2 38 3 2" xfId="4735" xr:uid="{5629CEA6-03E2-40D7-AE09-A026DECACBA5}"/>
    <cellStyle name="Normal 3 2 2 2 38 4" xfId="3319" xr:uid="{D5F76DA5-9827-4191-88A0-15B509F9FB9E}"/>
    <cellStyle name="Normal 3 2 2 2 39" xfId="357" xr:uid="{00000000-0005-0000-0000-00000B040000}"/>
    <cellStyle name="Normal 3 2 2 2 39 2" xfId="1078" xr:uid="{00000000-0005-0000-0000-00000C040000}"/>
    <cellStyle name="Normal 3 2 2 2 39 2 2" xfId="2526" xr:uid="{FB2A92B2-F481-4F96-BD98-49E02EB40792}"/>
    <cellStyle name="Normal 3 2 2 2 39 2 2 2" xfId="5382" xr:uid="{BC16A879-93DE-4C9A-98AD-988C4445D088}"/>
    <cellStyle name="Normal 3 2 2 2 39 2 3" xfId="3964" xr:uid="{DA2300EE-7601-4140-A4A4-926B5B631DC3}"/>
    <cellStyle name="Normal 3 2 2 2 39 3" xfId="1880" xr:uid="{2A951BA4-7CF4-4ADD-AB38-B4403846BE12}"/>
    <cellStyle name="Normal 3 2 2 2 39 3 2" xfId="4740" xr:uid="{3DE242B3-CAB3-4276-94BE-E4C9630F843F}"/>
    <cellStyle name="Normal 3 2 2 2 39 4" xfId="3324" xr:uid="{55CAC034-07D3-4730-BDF5-A7F35602490C}"/>
    <cellStyle name="Normal 3 2 2 2 4" xfId="174" xr:uid="{00000000-0005-0000-0000-00000D040000}"/>
    <cellStyle name="Normal 3 2 2 2 4 2" xfId="896" xr:uid="{00000000-0005-0000-0000-00000E040000}"/>
    <cellStyle name="Normal 3 2 2 2 4 2 2" xfId="2344" xr:uid="{C7396DA7-76C1-412D-BC85-6DCC139D65B7}"/>
    <cellStyle name="Normal 3 2 2 2 4 2 2 2" xfId="5200" xr:uid="{9BA3755F-CBFA-4283-86E5-A0866C12355E}"/>
    <cellStyle name="Normal 3 2 2 2 4 2 3" xfId="3782" xr:uid="{D0A49778-DA8B-49F0-B249-0107D2A40DA5}"/>
    <cellStyle name="Normal 3 2 2 2 4 2 4" xfId="5929" xr:uid="{E3090C84-FBC9-41E3-BB02-338CFC0BB6B1}"/>
    <cellStyle name="Normal 3 2 2 2 4 3" xfId="1697" xr:uid="{5531BA38-1326-4EBF-B2D0-D1A742EFB801}"/>
    <cellStyle name="Normal 3 2 2 2 4 3 2" xfId="4557" xr:uid="{D4E9CA95-8895-4050-8A1A-E9FB05CBF3E4}"/>
    <cellStyle name="Normal 3 2 2 2 4 4" xfId="3141" xr:uid="{94351853-E048-4404-A29F-1684CB88BEE7}"/>
    <cellStyle name="Normal 3 2 2 2 40" xfId="368" xr:uid="{00000000-0005-0000-0000-00000F040000}"/>
    <cellStyle name="Normal 3 2 2 2 40 2" xfId="1089" xr:uid="{00000000-0005-0000-0000-000010040000}"/>
    <cellStyle name="Normal 3 2 2 2 40 2 2" xfId="2537" xr:uid="{0840E57D-8783-483C-96A8-544059D0AB0A}"/>
    <cellStyle name="Normal 3 2 2 2 40 2 2 2" xfId="5393" xr:uid="{915C87A7-006B-46A2-8E79-DE7FB9D2F62C}"/>
    <cellStyle name="Normal 3 2 2 2 40 2 3" xfId="3975" xr:uid="{5CADDC5F-1D5D-43AF-BC43-D88FAFBD3C9D}"/>
    <cellStyle name="Normal 3 2 2 2 40 3" xfId="1891" xr:uid="{78A6177A-504A-45FA-BC6A-3B97105BD0B1}"/>
    <cellStyle name="Normal 3 2 2 2 40 3 2" xfId="4751" xr:uid="{4D0CCBCF-765E-45CA-B5F4-FD502F324F0C}"/>
    <cellStyle name="Normal 3 2 2 2 40 4" xfId="3335" xr:uid="{9C01A019-6C0B-489E-8CA8-EE6EA61ACB51}"/>
    <cellStyle name="Normal 3 2 2 2 41" xfId="370" xr:uid="{00000000-0005-0000-0000-000011040000}"/>
    <cellStyle name="Normal 3 2 2 2 41 2" xfId="1091" xr:uid="{00000000-0005-0000-0000-000012040000}"/>
    <cellStyle name="Normal 3 2 2 2 41 2 2" xfId="2539" xr:uid="{46A7C1F0-FC35-47A4-B20A-5663542661E4}"/>
    <cellStyle name="Normal 3 2 2 2 41 2 2 2" xfId="5395" xr:uid="{424AD2C6-ED60-4F80-8881-AD794DF2842F}"/>
    <cellStyle name="Normal 3 2 2 2 41 2 3" xfId="3977" xr:uid="{C9D1E651-6A40-497C-98EF-9FA27523008B}"/>
    <cellStyle name="Normal 3 2 2 2 41 3" xfId="1893" xr:uid="{AA5A298B-E879-43F9-82AD-57CE713A3FF7}"/>
    <cellStyle name="Normal 3 2 2 2 41 3 2" xfId="4753" xr:uid="{45CF2F8B-0C9A-4082-8658-DBABB3282F8F}"/>
    <cellStyle name="Normal 3 2 2 2 41 4" xfId="3337" xr:uid="{B10F0AE2-9892-4081-B55E-CC44A28A26DD}"/>
    <cellStyle name="Normal 3 2 2 2 42" xfId="380" xr:uid="{00000000-0005-0000-0000-000013040000}"/>
    <cellStyle name="Normal 3 2 2 2 42 2" xfId="1101" xr:uid="{00000000-0005-0000-0000-000014040000}"/>
    <cellStyle name="Normal 3 2 2 2 42 2 2" xfId="2549" xr:uid="{6EDC0998-41BF-4A58-8124-A74EADFFE77A}"/>
    <cellStyle name="Normal 3 2 2 2 42 2 2 2" xfId="5405" xr:uid="{D9CF61CD-EB03-4564-AA95-032AD4F27504}"/>
    <cellStyle name="Normal 3 2 2 2 42 2 3" xfId="3987" xr:uid="{F2FBBDF6-AC64-4E7A-900A-C014999AF7B0}"/>
    <cellStyle name="Normal 3 2 2 2 42 3" xfId="1903" xr:uid="{03BA82FB-F961-4FE9-B3D7-50F087976155}"/>
    <cellStyle name="Normal 3 2 2 2 42 3 2" xfId="4763" xr:uid="{A4062C6D-6186-4271-AD63-0DAC973BF756}"/>
    <cellStyle name="Normal 3 2 2 2 42 4" xfId="3347" xr:uid="{E6F69008-1920-4351-8160-1FA725694703}"/>
    <cellStyle name="Normal 3 2 2 2 43" xfId="382" xr:uid="{00000000-0005-0000-0000-000015040000}"/>
    <cellStyle name="Normal 3 2 2 2 43 2" xfId="1103" xr:uid="{00000000-0005-0000-0000-000016040000}"/>
    <cellStyle name="Normal 3 2 2 2 43 2 2" xfId="2551" xr:uid="{C792471D-612B-4FF0-BA75-B0D5D13701B0}"/>
    <cellStyle name="Normal 3 2 2 2 43 2 2 2" xfId="5407" xr:uid="{90E3244A-CDFB-47EB-8BC7-6476BF42C089}"/>
    <cellStyle name="Normal 3 2 2 2 43 2 3" xfId="3989" xr:uid="{15052E0A-EDC2-4534-A34D-EFFE40769398}"/>
    <cellStyle name="Normal 3 2 2 2 43 3" xfId="1905" xr:uid="{28946844-8664-4321-83A4-593DF4920552}"/>
    <cellStyle name="Normal 3 2 2 2 43 3 2" xfId="4765" xr:uid="{D1DA5F6E-807B-4F35-80D8-B9823CD9698F}"/>
    <cellStyle name="Normal 3 2 2 2 43 4" xfId="3349" xr:uid="{962A6D48-FB56-44F7-A36D-B3F7C3957EC2}"/>
    <cellStyle name="Normal 3 2 2 2 44" xfId="389" xr:uid="{00000000-0005-0000-0000-000017040000}"/>
    <cellStyle name="Normal 3 2 2 2 44 2" xfId="1110" xr:uid="{00000000-0005-0000-0000-000018040000}"/>
    <cellStyle name="Normal 3 2 2 2 44 2 2" xfId="2558" xr:uid="{616FB255-83F2-459A-B798-8737343F6550}"/>
    <cellStyle name="Normal 3 2 2 2 44 2 2 2" xfId="5414" xr:uid="{8F979D5F-1440-4A80-A363-7B84A3E3D461}"/>
    <cellStyle name="Normal 3 2 2 2 44 2 3" xfId="3996" xr:uid="{51E9F4C7-3879-473F-B85A-10EE8BF98041}"/>
    <cellStyle name="Normal 3 2 2 2 44 3" xfId="1912" xr:uid="{0EC23E05-96AC-45C5-A83B-9AAC7B714C72}"/>
    <cellStyle name="Normal 3 2 2 2 44 3 2" xfId="4772" xr:uid="{E7903090-BA21-4D37-81CB-2A113D40D9E1}"/>
    <cellStyle name="Normal 3 2 2 2 44 4" xfId="3356" xr:uid="{C930DB89-7192-4411-8854-DDB72FAB60CD}"/>
    <cellStyle name="Normal 3 2 2 2 45" xfId="393" xr:uid="{00000000-0005-0000-0000-000019040000}"/>
    <cellStyle name="Normal 3 2 2 2 45 2" xfId="1114" xr:uid="{00000000-0005-0000-0000-00001A040000}"/>
    <cellStyle name="Normal 3 2 2 2 45 2 2" xfId="2562" xr:uid="{33ED720C-DEDD-42D2-951E-8F5BE1B19AAB}"/>
    <cellStyle name="Normal 3 2 2 2 45 2 2 2" xfId="5418" xr:uid="{93F90EDB-C8A2-4D29-B545-482EA68DE9C9}"/>
    <cellStyle name="Normal 3 2 2 2 45 2 3" xfId="4000" xr:uid="{3DD981C5-B5B5-47BC-B70E-691AF93B89E6}"/>
    <cellStyle name="Normal 3 2 2 2 45 3" xfId="1916" xr:uid="{96706858-2427-40EC-BD45-7A76AFB0FE9E}"/>
    <cellStyle name="Normal 3 2 2 2 45 3 2" xfId="4776" xr:uid="{514CED5E-1AF4-4799-A22F-70D9F4802FF1}"/>
    <cellStyle name="Normal 3 2 2 2 45 4" xfId="3360" xr:uid="{DE483D17-3D7D-49D4-968A-E650DBF32A7A}"/>
    <cellStyle name="Normal 3 2 2 2 46" xfId="398" xr:uid="{00000000-0005-0000-0000-00001B040000}"/>
    <cellStyle name="Normal 3 2 2 2 46 2" xfId="1119" xr:uid="{00000000-0005-0000-0000-00001C040000}"/>
    <cellStyle name="Normal 3 2 2 2 46 2 2" xfId="2567" xr:uid="{9B3CD389-74AF-4616-A1AB-40B20750AFB6}"/>
    <cellStyle name="Normal 3 2 2 2 46 2 2 2" xfId="5423" xr:uid="{E33DFAE9-DBDF-45B8-A365-5E04F36F8422}"/>
    <cellStyle name="Normal 3 2 2 2 46 2 3" xfId="4005" xr:uid="{FE554CA5-8748-4C06-AE1F-ACE21E41352F}"/>
    <cellStyle name="Normal 3 2 2 2 46 3" xfId="1921" xr:uid="{F58454ED-5118-4883-9CB4-D6D799CE3385}"/>
    <cellStyle name="Normal 3 2 2 2 46 3 2" xfId="4781" xr:uid="{7FBF27E3-DF18-42E5-BD27-E2BC8DE68200}"/>
    <cellStyle name="Normal 3 2 2 2 46 4" xfId="3365" xr:uid="{59E98D19-AB92-4DBB-AAA9-905421C2C071}"/>
    <cellStyle name="Normal 3 2 2 2 47" xfId="407" xr:uid="{00000000-0005-0000-0000-00001D040000}"/>
    <cellStyle name="Normal 3 2 2 2 47 2" xfId="1128" xr:uid="{00000000-0005-0000-0000-00001E040000}"/>
    <cellStyle name="Normal 3 2 2 2 47 2 2" xfId="2576" xr:uid="{A8CD0DEF-6230-4CA4-9DB0-808E5E3447C2}"/>
    <cellStyle name="Normal 3 2 2 2 47 2 2 2" xfId="5432" xr:uid="{89713323-80F5-4F91-9034-1686C3480625}"/>
    <cellStyle name="Normal 3 2 2 2 47 2 3" xfId="4014" xr:uid="{FEE2EF4D-3391-471C-A6E2-8FE826E60016}"/>
    <cellStyle name="Normal 3 2 2 2 47 3" xfId="1930" xr:uid="{DBE76CFB-5149-478A-94F1-6D18A65A2306}"/>
    <cellStyle name="Normal 3 2 2 2 47 3 2" xfId="4790" xr:uid="{3104807A-FCA5-4F78-99D1-339B0B57C8E2}"/>
    <cellStyle name="Normal 3 2 2 2 47 4" xfId="3374" xr:uid="{98AA24BB-48BD-4176-8BAE-909AE3C796D6}"/>
    <cellStyle name="Normal 3 2 2 2 48" xfId="409" xr:uid="{00000000-0005-0000-0000-00001F040000}"/>
    <cellStyle name="Normal 3 2 2 2 48 2" xfId="1130" xr:uid="{00000000-0005-0000-0000-000020040000}"/>
    <cellStyle name="Normal 3 2 2 2 48 2 2" xfId="2578" xr:uid="{4B62918D-C75F-4AB1-9E7F-7AFBFB8D203A}"/>
    <cellStyle name="Normal 3 2 2 2 48 2 2 2" xfId="5434" xr:uid="{9E26C076-9844-42CD-886D-5AF863C2C21C}"/>
    <cellStyle name="Normal 3 2 2 2 48 2 3" xfId="4016" xr:uid="{B013AD60-EAFE-4B9A-88A8-38D925D44B4E}"/>
    <cellStyle name="Normal 3 2 2 2 48 3" xfId="1932" xr:uid="{BC9F699C-2280-49BF-BB4F-D82F4832D9C9}"/>
    <cellStyle name="Normal 3 2 2 2 48 3 2" xfId="4792" xr:uid="{DFB18E72-F823-4125-847A-5312CD331B40}"/>
    <cellStyle name="Normal 3 2 2 2 48 4" xfId="3376" xr:uid="{22B40CD4-44B4-4575-8F46-298EF6CAB337}"/>
    <cellStyle name="Normal 3 2 2 2 49" xfId="416" xr:uid="{00000000-0005-0000-0000-000021040000}"/>
    <cellStyle name="Normal 3 2 2 2 49 2" xfId="1137" xr:uid="{00000000-0005-0000-0000-000022040000}"/>
    <cellStyle name="Normal 3 2 2 2 49 2 2" xfId="2585" xr:uid="{CEC51209-DF0D-4AF4-A729-825139DCBC41}"/>
    <cellStyle name="Normal 3 2 2 2 49 2 2 2" xfId="5441" xr:uid="{594AD1D1-FA31-4B86-9330-BF8C02C27F6B}"/>
    <cellStyle name="Normal 3 2 2 2 49 2 3" xfId="4023" xr:uid="{0862AF0C-2902-476F-ABF2-310D3C063A1A}"/>
    <cellStyle name="Normal 3 2 2 2 49 3" xfId="1939" xr:uid="{66A7CD7A-723F-4EEF-96C9-73E1094C4A53}"/>
    <cellStyle name="Normal 3 2 2 2 49 3 2" xfId="4799" xr:uid="{A09A3C96-2BC8-4216-8C14-090743C8711C}"/>
    <cellStyle name="Normal 3 2 2 2 49 4" xfId="3383" xr:uid="{1CA5E929-D761-4642-91AD-441E37ECBD80}"/>
    <cellStyle name="Normal 3 2 2 2 5" xfId="180" xr:uid="{00000000-0005-0000-0000-000023040000}"/>
    <cellStyle name="Normal 3 2 2 2 5 2" xfId="902" xr:uid="{00000000-0005-0000-0000-000024040000}"/>
    <cellStyle name="Normal 3 2 2 2 5 2 2" xfId="2350" xr:uid="{952B85B7-E36F-4833-9CD9-B3064B680DFE}"/>
    <cellStyle name="Normal 3 2 2 2 5 2 2 2" xfId="5206" xr:uid="{F8D2627F-4287-479D-8BE6-64C8E5BF0084}"/>
    <cellStyle name="Normal 3 2 2 2 5 2 3" xfId="3788" xr:uid="{D0D35782-D972-4A35-BBA6-84ED18697D75}"/>
    <cellStyle name="Normal 3 2 2 2 5 3" xfId="1703" xr:uid="{090D4CF7-1162-4A85-A0E6-FA6DB632A61B}"/>
    <cellStyle name="Normal 3 2 2 2 5 3 2" xfId="4563" xr:uid="{8B4487B5-B66B-4BDA-B244-F9DFC00AF490}"/>
    <cellStyle name="Normal 3 2 2 2 5 4" xfId="3147" xr:uid="{74CB51BA-E6B1-425B-B5D3-0CAD69A698D0}"/>
    <cellStyle name="Normal 3 2 2 2 50" xfId="421" xr:uid="{00000000-0005-0000-0000-000025040000}"/>
    <cellStyle name="Normal 3 2 2 2 50 2" xfId="1142" xr:uid="{00000000-0005-0000-0000-000026040000}"/>
    <cellStyle name="Normal 3 2 2 2 50 2 2" xfId="2590" xr:uid="{7883A267-982D-4F73-B832-E0A20A062029}"/>
    <cellStyle name="Normal 3 2 2 2 50 2 2 2" xfId="5446" xr:uid="{EC668C87-747C-44F2-9080-C1DC71BE829E}"/>
    <cellStyle name="Normal 3 2 2 2 50 2 3" xfId="4028" xr:uid="{CE8325D4-2DC6-456D-A85E-A61C22D09D2F}"/>
    <cellStyle name="Normal 3 2 2 2 50 3" xfId="1944" xr:uid="{EED535D7-7C7E-41DA-94D7-BA1B6B6CCBAF}"/>
    <cellStyle name="Normal 3 2 2 2 50 3 2" xfId="4804" xr:uid="{9835DE05-12D3-4D1D-B047-500BCBFE1C9B}"/>
    <cellStyle name="Normal 3 2 2 2 50 4" xfId="3388" xr:uid="{265320A1-991E-4EE2-86F9-D657964766FF}"/>
    <cellStyle name="Normal 3 2 2 2 51" xfId="430" xr:uid="{00000000-0005-0000-0000-000027040000}"/>
    <cellStyle name="Normal 3 2 2 2 51 2" xfId="1151" xr:uid="{00000000-0005-0000-0000-000028040000}"/>
    <cellStyle name="Normal 3 2 2 2 51 2 2" xfId="2599" xr:uid="{9C540BA9-9AC1-44E7-9448-3CFE41F29F00}"/>
    <cellStyle name="Normal 3 2 2 2 51 2 2 2" xfId="5455" xr:uid="{6314B66E-1B0A-436D-8C3E-098EA3A2E61C}"/>
    <cellStyle name="Normal 3 2 2 2 51 2 3" xfId="4037" xr:uid="{E0E94B0D-FC25-4E01-9847-DB4113E2FF32}"/>
    <cellStyle name="Normal 3 2 2 2 51 3" xfId="1953" xr:uid="{DF5D78ED-3511-495B-B214-3CD798D773E5}"/>
    <cellStyle name="Normal 3 2 2 2 51 3 2" xfId="4813" xr:uid="{B37B5AB0-E4C3-42A0-AA3A-39CDC7DE60D5}"/>
    <cellStyle name="Normal 3 2 2 2 51 4" xfId="3397" xr:uid="{A9020117-AA62-43B0-A17A-9F98A8220167}"/>
    <cellStyle name="Normal 3 2 2 2 52" xfId="437" xr:uid="{00000000-0005-0000-0000-000029040000}"/>
    <cellStyle name="Normal 3 2 2 2 52 2" xfId="1158" xr:uid="{00000000-0005-0000-0000-00002A040000}"/>
    <cellStyle name="Normal 3 2 2 2 52 2 2" xfId="2606" xr:uid="{9F3BB5E1-5C84-444D-948C-CD2729E9BD0E}"/>
    <cellStyle name="Normal 3 2 2 2 52 2 2 2" xfId="5462" xr:uid="{1AB5E673-0A7C-4DFE-839D-5EB58F71B028}"/>
    <cellStyle name="Normal 3 2 2 2 52 2 3" xfId="4044" xr:uid="{D46C7593-0C67-454A-88A1-7BFD419A94A3}"/>
    <cellStyle name="Normal 3 2 2 2 52 3" xfId="1960" xr:uid="{9D676B9F-7B1E-4FC5-A41F-F4C81A453CAE}"/>
    <cellStyle name="Normal 3 2 2 2 52 3 2" xfId="4820" xr:uid="{ADAE791E-88CF-473D-8811-31ECBC98F81C}"/>
    <cellStyle name="Normal 3 2 2 2 52 4" xfId="3404" xr:uid="{42796083-39D8-4747-BC90-069929330085}"/>
    <cellStyle name="Normal 3 2 2 2 53" xfId="443" xr:uid="{00000000-0005-0000-0000-00002B040000}"/>
    <cellStyle name="Normal 3 2 2 2 53 2" xfId="1164" xr:uid="{00000000-0005-0000-0000-00002C040000}"/>
    <cellStyle name="Normal 3 2 2 2 53 2 2" xfId="2612" xr:uid="{7376F121-F636-46F7-8709-96FE387E6DE7}"/>
    <cellStyle name="Normal 3 2 2 2 53 2 2 2" xfId="5468" xr:uid="{FD8D12E8-ECA9-4808-BA5B-30A0D791462D}"/>
    <cellStyle name="Normal 3 2 2 2 53 2 3" xfId="4050" xr:uid="{F2663A0C-E8A9-4D21-A225-F7548B6EF470}"/>
    <cellStyle name="Normal 3 2 2 2 53 3" xfId="1966" xr:uid="{48E82370-0102-4EB0-9FD7-E74D8A54DEF8}"/>
    <cellStyle name="Normal 3 2 2 2 53 3 2" xfId="4826" xr:uid="{41AE4B9E-EB7D-4062-AB03-1FC1BA80BAF9}"/>
    <cellStyle name="Normal 3 2 2 2 53 4" xfId="3410" xr:uid="{D1FBFB31-33D8-45FF-8518-CB28D3372645}"/>
    <cellStyle name="Normal 3 2 2 2 54" xfId="446" xr:uid="{00000000-0005-0000-0000-00002D040000}"/>
    <cellStyle name="Normal 3 2 2 2 54 2" xfId="1167" xr:uid="{00000000-0005-0000-0000-00002E040000}"/>
    <cellStyle name="Normal 3 2 2 2 54 2 2" xfId="2615" xr:uid="{92A9EF64-0A91-4698-8DEA-68C714244E44}"/>
    <cellStyle name="Normal 3 2 2 2 54 2 2 2" xfId="5471" xr:uid="{43CB20B5-8D9F-4E7B-9506-B6068469B888}"/>
    <cellStyle name="Normal 3 2 2 2 54 2 3" xfId="4053" xr:uid="{EF5141A1-3C1F-45CE-9952-087AED28AFD7}"/>
    <cellStyle name="Normal 3 2 2 2 54 3" xfId="1969" xr:uid="{BCD1B0A4-3A60-4703-B0A0-53B789543AAC}"/>
    <cellStyle name="Normal 3 2 2 2 54 3 2" xfId="4829" xr:uid="{3F8CDEBF-70AF-4E87-A354-F8908417E036}"/>
    <cellStyle name="Normal 3 2 2 2 54 4" xfId="3413" xr:uid="{094B2A91-9C2F-4D82-8B81-786215E7C977}"/>
    <cellStyle name="Normal 3 2 2 2 55" xfId="456" xr:uid="{00000000-0005-0000-0000-00002F040000}"/>
    <cellStyle name="Normal 3 2 2 2 55 2" xfId="1176" xr:uid="{00000000-0005-0000-0000-000030040000}"/>
    <cellStyle name="Normal 3 2 2 2 55 2 2" xfId="2624" xr:uid="{9287DD9F-95D0-48B1-8751-96574D40FBCF}"/>
    <cellStyle name="Normal 3 2 2 2 55 2 2 2" xfId="5480" xr:uid="{B60F704C-8AA4-4E1C-B707-FF9BD64E6519}"/>
    <cellStyle name="Normal 3 2 2 2 55 2 3" xfId="4062" xr:uid="{6209DAD3-5EFF-4D92-95E6-25512ADAD7A0}"/>
    <cellStyle name="Normal 3 2 2 2 55 3" xfId="1979" xr:uid="{3C97178A-2108-4C3C-9B76-0DF4E796C7DE}"/>
    <cellStyle name="Normal 3 2 2 2 55 3 2" xfId="4839" xr:uid="{7D2EFCC7-7E75-4494-8417-810E44B649A6}"/>
    <cellStyle name="Normal 3 2 2 2 55 4" xfId="3423" xr:uid="{E1D3956C-51E9-467D-B12B-ED0CD72F46FE}"/>
    <cellStyle name="Normal 3 2 2 2 56" xfId="460" xr:uid="{00000000-0005-0000-0000-000031040000}"/>
    <cellStyle name="Normal 3 2 2 2 56 2" xfId="1180" xr:uid="{00000000-0005-0000-0000-000032040000}"/>
    <cellStyle name="Normal 3 2 2 2 56 2 2" xfId="2628" xr:uid="{C098E90F-CB0B-43DC-8D49-936F28A38A49}"/>
    <cellStyle name="Normal 3 2 2 2 56 2 2 2" xfId="5484" xr:uid="{924F293F-F292-4124-88F3-4E92CDCD48AE}"/>
    <cellStyle name="Normal 3 2 2 2 56 2 3" xfId="4066" xr:uid="{6409C554-8389-4B53-9929-18A065155F79}"/>
    <cellStyle name="Normal 3 2 2 2 56 3" xfId="1983" xr:uid="{ACEF9E54-E190-4F02-ABCA-E36A6AF8754F}"/>
    <cellStyle name="Normal 3 2 2 2 56 3 2" xfId="4843" xr:uid="{F82F6A15-3C8C-4B27-9B2F-632E6DBA2FEC}"/>
    <cellStyle name="Normal 3 2 2 2 56 4" xfId="3427" xr:uid="{AA190135-2BDB-461D-AF89-FB81F8036287}"/>
    <cellStyle name="Normal 3 2 2 2 57" xfId="464" xr:uid="{00000000-0005-0000-0000-000033040000}"/>
    <cellStyle name="Normal 3 2 2 2 57 2" xfId="1184" xr:uid="{00000000-0005-0000-0000-000034040000}"/>
    <cellStyle name="Normal 3 2 2 2 57 2 2" xfId="2632" xr:uid="{4731B2F7-8CBD-4FEF-B2B3-4C9593D798F2}"/>
    <cellStyle name="Normal 3 2 2 2 57 2 2 2" xfId="5488" xr:uid="{E475E204-DBE8-4E2C-B503-DAFA246277B6}"/>
    <cellStyle name="Normal 3 2 2 2 57 2 3" xfId="4070" xr:uid="{FC3D7618-30F0-4401-98A3-B07E5A3415F1}"/>
    <cellStyle name="Normal 3 2 2 2 57 3" xfId="1987" xr:uid="{B9FE7436-C3F1-4E16-9CF1-647AC2D9155C}"/>
    <cellStyle name="Normal 3 2 2 2 57 3 2" xfId="4847" xr:uid="{29230CDE-ADE2-432C-8092-3BAF080A8591}"/>
    <cellStyle name="Normal 3 2 2 2 57 4" xfId="3431" xr:uid="{724F3E18-ADDB-4261-A501-B3DC188E9F8B}"/>
    <cellStyle name="Normal 3 2 2 2 58" xfId="471" xr:uid="{00000000-0005-0000-0000-000035040000}"/>
    <cellStyle name="Normal 3 2 2 2 58 2" xfId="1191" xr:uid="{00000000-0005-0000-0000-000036040000}"/>
    <cellStyle name="Normal 3 2 2 2 58 2 2" xfId="2639" xr:uid="{6DB95AFB-BFE2-40C7-BFDC-486AB5A00BA3}"/>
    <cellStyle name="Normal 3 2 2 2 58 2 2 2" xfId="5495" xr:uid="{A20D87B8-F804-4D28-8949-E0EF254AE5B1}"/>
    <cellStyle name="Normal 3 2 2 2 58 2 3" xfId="4077" xr:uid="{20C360FE-78A5-441F-9CB7-D79ED0E43A49}"/>
    <cellStyle name="Normal 3 2 2 2 58 3" xfId="1994" xr:uid="{D9BD9203-550F-409A-A97D-2AE42F5C511C}"/>
    <cellStyle name="Normal 3 2 2 2 58 3 2" xfId="4854" xr:uid="{01805698-D1F4-4CFC-8D8E-084DBBE39B15}"/>
    <cellStyle name="Normal 3 2 2 2 58 4" xfId="3438" xr:uid="{DBF4C910-8089-4C13-8F5C-430CAEAF91B1}"/>
    <cellStyle name="Normal 3 2 2 2 59" xfId="473" xr:uid="{00000000-0005-0000-0000-000037040000}"/>
    <cellStyle name="Normal 3 2 2 2 59 2" xfId="1193" xr:uid="{00000000-0005-0000-0000-000038040000}"/>
    <cellStyle name="Normal 3 2 2 2 59 2 2" xfId="2641" xr:uid="{500C9B78-39C8-4E13-806E-E778FA8FF764}"/>
    <cellStyle name="Normal 3 2 2 2 59 2 2 2" xfId="5497" xr:uid="{35F1A020-2C1F-479B-B08A-AADED7EEDBE7}"/>
    <cellStyle name="Normal 3 2 2 2 59 2 3" xfId="4079" xr:uid="{1CC8B035-0C46-4589-972A-8530B6D0BC70}"/>
    <cellStyle name="Normal 3 2 2 2 59 3" xfId="1996" xr:uid="{F7F5EC3A-FDFE-4991-8355-47A5CECFD204}"/>
    <cellStyle name="Normal 3 2 2 2 59 3 2" xfId="4856" xr:uid="{41E86DA0-9878-4245-A025-7D3BBED3CBFC}"/>
    <cellStyle name="Normal 3 2 2 2 59 4" xfId="3440" xr:uid="{3C8B2178-3F4B-4977-81EB-1FABCAF19A4E}"/>
    <cellStyle name="Normal 3 2 2 2 6" xfId="185" xr:uid="{00000000-0005-0000-0000-000039040000}"/>
    <cellStyle name="Normal 3 2 2 2 6 2" xfId="907" xr:uid="{00000000-0005-0000-0000-00003A040000}"/>
    <cellStyle name="Normal 3 2 2 2 6 2 2" xfId="2355" xr:uid="{590C93FE-7C30-48D7-A89D-AE825799DF96}"/>
    <cellStyle name="Normal 3 2 2 2 6 2 2 2" xfId="5211" xr:uid="{2E408758-CAA8-4558-AA90-217DF000B1E7}"/>
    <cellStyle name="Normal 3 2 2 2 6 2 3" xfId="3793" xr:uid="{BB41A5FF-136B-491D-9956-4D18BAE668E0}"/>
    <cellStyle name="Normal 3 2 2 2 6 3" xfId="1708" xr:uid="{90BBD01A-9077-4103-BCFF-DFD8864B5529}"/>
    <cellStyle name="Normal 3 2 2 2 6 3 2" xfId="4568" xr:uid="{B160A199-78E9-4974-ABE6-3F4B0EE162DE}"/>
    <cellStyle name="Normal 3 2 2 2 6 4" xfId="3152" xr:uid="{FF397FA7-BDA2-4A8B-B8E0-2AA86F4D5BE0}"/>
    <cellStyle name="Normal 3 2 2 2 60" xfId="479" xr:uid="{00000000-0005-0000-0000-00003B040000}"/>
    <cellStyle name="Normal 3 2 2 2 60 2" xfId="1199" xr:uid="{00000000-0005-0000-0000-00003C040000}"/>
    <cellStyle name="Normal 3 2 2 2 60 2 2" xfId="2647" xr:uid="{58A3993C-12C1-4D5D-856B-5A1B4A6F2739}"/>
    <cellStyle name="Normal 3 2 2 2 60 2 2 2" xfId="5503" xr:uid="{47E2110A-591E-4929-93EF-12596EC19CAB}"/>
    <cellStyle name="Normal 3 2 2 2 60 2 3" xfId="4085" xr:uid="{2CD440C8-0850-4126-AB88-C7F30CEA87FE}"/>
    <cellStyle name="Normal 3 2 2 2 60 3" xfId="2002" xr:uid="{2AD83456-1B59-40AB-9344-EF28B68BC848}"/>
    <cellStyle name="Normal 3 2 2 2 60 3 2" xfId="4862" xr:uid="{AB779493-E6E8-457B-96F0-D05195249F51}"/>
    <cellStyle name="Normal 3 2 2 2 60 4" xfId="3446" xr:uid="{D6B32F95-2B76-437E-AB08-5642D6B360E6}"/>
    <cellStyle name="Normal 3 2 2 2 61" xfId="489" xr:uid="{00000000-0005-0000-0000-00003D040000}"/>
    <cellStyle name="Normal 3 2 2 2 61 2" xfId="1208" xr:uid="{00000000-0005-0000-0000-00003E040000}"/>
    <cellStyle name="Normal 3 2 2 2 61 2 2" xfId="2656" xr:uid="{B6BEA646-41AE-4C71-BAAD-DE1F5A8863C9}"/>
    <cellStyle name="Normal 3 2 2 2 61 2 2 2" xfId="5512" xr:uid="{61980162-F479-49B6-A122-5B3110934855}"/>
    <cellStyle name="Normal 3 2 2 2 61 2 3" xfId="4094" xr:uid="{87E8622B-EE2D-48EA-A19A-7D61F74CB182}"/>
    <cellStyle name="Normal 3 2 2 2 61 3" xfId="2011" xr:uid="{D190F111-0F83-43BA-BDA9-298C03B4ABE0}"/>
    <cellStyle name="Normal 3 2 2 2 61 3 2" xfId="4871" xr:uid="{CA8A2903-8C51-4DEE-9E86-14B620EDABA0}"/>
    <cellStyle name="Normal 3 2 2 2 61 4" xfId="3455" xr:uid="{F2E001F6-422D-4DB2-8E7F-AD3F3A9E7AC5}"/>
    <cellStyle name="Normal 3 2 2 2 62" xfId="493" xr:uid="{00000000-0005-0000-0000-00003F040000}"/>
    <cellStyle name="Normal 3 2 2 2 62 2" xfId="1212" xr:uid="{00000000-0005-0000-0000-000040040000}"/>
    <cellStyle name="Normal 3 2 2 2 62 2 2" xfId="2660" xr:uid="{83D6C850-CFB4-4E56-9E86-ABC0F0971137}"/>
    <cellStyle name="Normal 3 2 2 2 62 2 2 2" xfId="5516" xr:uid="{7F5F62A5-1C98-44EB-B7A9-8CA9330D4DE3}"/>
    <cellStyle name="Normal 3 2 2 2 62 2 3" xfId="4098" xr:uid="{462EE400-7A84-4641-B171-B2D1B5F65A32}"/>
    <cellStyle name="Normal 3 2 2 2 62 3" xfId="2015" xr:uid="{AE7DA691-3010-4D57-9989-0D8CD83B9C76}"/>
    <cellStyle name="Normal 3 2 2 2 62 3 2" xfId="4875" xr:uid="{2269E882-D6BE-4241-9E2A-C4FBC11FDA22}"/>
    <cellStyle name="Normal 3 2 2 2 62 4" xfId="3459" xr:uid="{AD39FE9F-01ED-4957-92A1-259A921A5A0F}"/>
    <cellStyle name="Normal 3 2 2 2 63" xfId="500" xr:uid="{00000000-0005-0000-0000-000041040000}"/>
    <cellStyle name="Normal 3 2 2 2 63 2" xfId="1219" xr:uid="{00000000-0005-0000-0000-000042040000}"/>
    <cellStyle name="Normal 3 2 2 2 63 2 2" xfId="2667" xr:uid="{283EAE11-0C73-4423-AC16-D7C6AE2A1B48}"/>
    <cellStyle name="Normal 3 2 2 2 63 2 2 2" xfId="5523" xr:uid="{C8D4A114-FDED-4309-9C5D-4B673D18069C}"/>
    <cellStyle name="Normal 3 2 2 2 63 2 3" xfId="4105" xr:uid="{9A74C5CE-801D-43F7-A445-2954922117B2}"/>
    <cellStyle name="Normal 3 2 2 2 63 3" xfId="2022" xr:uid="{5575A7C8-211A-4D89-BB8B-1250536FB8CD}"/>
    <cellStyle name="Normal 3 2 2 2 63 3 2" xfId="4882" xr:uid="{75F3C6A1-2CB6-48FD-9B61-C6A67A72AB43}"/>
    <cellStyle name="Normal 3 2 2 2 63 4" xfId="3466" xr:uid="{41948745-B68C-4564-8AB8-D90BBB19B455}"/>
    <cellStyle name="Normal 3 2 2 2 64" xfId="504" xr:uid="{00000000-0005-0000-0000-000043040000}"/>
    <cellStyle name="Normal 3 2 2 2 64 2" xfId="1223" xr:uid="{00000000-0005-0000-0000-000044040000}"/>
    <cellStyle name="Normal 3 2 2 2 64 2 2" xfId="2671" xr:uid="{FB2CF3FA-E241-444B-8BCC-C15B459F61FD}"/>
    <cellStyle name="Normal 3 2 2 2 64 2 2 2" xfId="5527" xr:uid="{CBE5FA24-F7F0-4626-A4D1-8BF8066E2499}"/>
    <cellStyle name="Normal 3 2 2 2 64 2 3" xfId="4109" xr:uid="{28328197-6223-4284-8AEF-4AD90C93C82C}"/>
    <cellStyle name="Normal 3 2 2 2 64 3" xfId="2026" xr:uid="{A82EE477-6B48-46B3-81D5-68B4796A3DEB}"/>
    <cellStyle name="Normal 3 2 2 2 64 3 2" xfId="4886" xr:uid="{C5A9AA85-65E8-42FF-8132-8F51BB4EFF09}"/>
    <cellStyle name="Normal 3 2 2 2 64 4" xfId="3470" xr:uid="{67465B07-3AD8-47E9-8B63-CF6E8FCA9AFD}"/>
    <cellStyle name="Normal 3 2 2 2 65" xfId="511" xr:uid="{00000000-0005-0000-0000-000045040000}"/>
    <cellStyle name="Normal 3 2 2 2 65 2" xfId="1230" xr:uid="{00000000-0005-0000-0000-000046040000}"/>
    <cellStyle name="Normal 3 2 2 2 65 2 2" xfId="2678" xr:uid="{2AF705F9-EC8A-4612-AC8A-E95E7B4206D9}"/>
    <cellStyle name="Normal 3 2 2 2 65 2 2 2" xfId="5534" xr:uid="{B5818A60-41C8-4B77-BA0E-CC522247FA85}"/>
    <cellStyle name="Normal 3 2 2 2 65 2 3" xfId="4116" xr:uid="{DCEA957C-3F8E-4F80-93AC-1DADB0848EA5}"/>
    <cellStyle name="Normal 3 2 2 2 65 3" xfId="2033" xr:uid="{C07A39E8-2ED0-4F75-9EB2-063A56AE4BC4}"/>
    <cellStyle name="Normal 3 2 2 2 65 3 2" xfId="4893" xr:uid="{891A0DDA-113E-4415-A97E-673D3104BD33}"/>
    <cellStyle name="Normal 3 2 2 2 65 4" xfId="3477" xr:uid="{7DA46FD7-F29A-4F90-B001-25EF62C779A6}"/>
    <cellStyle name="Normal 3 2 2 2 66" xfId="516" xr:uid="{00000000-0005-0000-0000-000047040000}"/>
    <cellStyle name="Normal 3 2 2 2 66 2" xfId="1235" xr:uid="{00000000-0005-0000-0000-000048040000}"/>
    <cellStyle name="Normal 3 2 2 2 66 2 2" xfId="2683" xr:uid="{6A158C09-C31E-4BA1-ABAF-C5362CC696C0}"/>
    <cellStyle name="Normal 3 2 2 2 66 2 2 2" xfId="5539" xr:uid="{C7117C03-AFDA-4995-BE8A-736F8A984B07}"/>
    <cellStyle name="Normal 3 2 2 2 66 2 3" xfId="4121" xr:uid="{B2F23588-966E-4E3D-A066-B8B5ECE4DBCE}"/>
    <cellStyle name="Normal 3 2 2 2 66 3" xfId="2038" xr:uid="{E3AA97A4-9622-48C2-9E15-93FD4AAF16C2}"/>
    <cellStyle name="Normal 3 2 2 2 66 3 2" xfId="4898" xr:uid="{FAC787DF-5E2A-4A52-A402-6AF762CA0820}"/>
    <cellStyle name="Normal 3 2 2 2 66 4" xfId="3482" xr:uid="{DDCE877F-ED32-40A4-8E03-1BD7D71E4E4C}"/>
    <cellStyle name="Normal 3 2 2 2 67" xfId="523" xr:uid="{00000000-0005-0000-0000-000049040000}"/>
    <cellStyle name="Normal 3 2 2 2 67 2" xfId="1242" xr:uid="{00000000-0005-0000-0000-00004A040000}"/>
    <cellStyle name="Normal 3 2 2 2 67 2 2" xfId="2690" xr:uid="{E991DA30-F936-49BD-A222-0992E2E5D8E4}"/>
    <cellStyle name="Normal 3 2 2 2 67 2 2 2" xfId="5546" xr:uid="{18C39417-7F44-4388-B1A9-0C7BEFDD8285}"/>
    <cellStyle name="Normal 3 2 2 2 67 2 3" xfId="4128" xr:uid="{585A15FA-36C8-469B-B7C6-30E360165928}"/>
    <cellStyle name="Normal 3 2 2 2 67 3" xfId="2045" xr:uid="{1D0A980E-CA11-4A2A-8820-6E3DE4558AF3}"/>
    <cellStyle name="Normal 3 2 2 2 67 3 2" xfId="4905" xr:uid="{3AED1915-8A19-47DB-92E8-0B754DB73A62}"/>
    <cellStyle name="Normal 3 2 2 2 67 4" xfId="3489" xr:uid="{4E63BDC5-2547-43FC-B0D7-16CD7CAEF4E9}"/>
    <cellStyle name="Normal 3 2 2 2 68" xfId="527" xr:uid="{00000000-0005-0000-0000-00004B040000}"/>
    <cellStyle name="Normal 3 2 2 2 68 2" xfId="1246" xr:uid="{00000000-0005-0000-0000-00004C040000}"/>
    <cellStyle name="Normal 3 2 2 2 68 2 2" xfId="2694" xr:uid="{50F4D371-FB65-4C68-83D3-D27F55BF8961}"/>
    <cellStyle name="Normal 3 2 2 2 68 2 2 2" xfId="5550" xr:uid="{E6072D58-1E08-4963-9A6A-CFFC308C66D1}"/>
    <cellStyle name="Normal 3 2 2 2 68 2 3" xfId="4132" xr:uid="{BDF19352-4BA4-45F3-AAFD-35ECD0FE1F05}"/>
    <cellStyle name="Normal 3 2 2 2 68 3" xfId="2049" xr:uid="{CD02FCC1-66F7-40F7-8315-F53362D82A92}"/>
    <cellStyle name="Normal 3 2 2 2 68 3 2" xfId="4909" xr:uid="{7FDC16C0-4345-4568-89FF-126AF15C7CFC}"/>
    <cellStyle name="Normal 3 2 2 2 68 4" xfId="3493" xr:uid="{FE035C4A-D34F-4E25-9A85-C2DD7FCA89E8}"/>
    <cellStyle name="Normal 3 2 2 2 69" xfId="534" xr:uid="{00000000-0005-0000-0000-00004D040000}"/>
    <cellStyle name="Normal 3 2 2 2 69 2" xfId="1253" xr:uid="{00000000-0005-0000-0000-00004E040000}"/>
    <cellStyle name="Normal 3 2 2 2 69 2 2" xfId="2701" xr:uid="{ED7A61ED-0ACC-4B57-A3B3-94FAB8954AA2}"/>
    <cellStyle name="Normal 3 2 2 2 69 2 2 2" xfId="5557" xr:uid="{C581EB58-AFF9-4574-9A79-903AED655C09}"/>
    <cellStyle name="Normal 3 2 2 2 69 2 3" xfId="4139" xr:uid="{6DFB5119-64CE-4189-A2C6-F691E49D37E0}"/>
    <cellStyle name="Normal 3 2 2 2 69 3" xfId="2056" xr:uid="{6BC88CAE-3A57-4162-BB33-3469B5D2F7E8}"/>
    <cellStyle name="Normal 3 2 2 2 69 3 2" xfId="4916" xr:uid="{BC335B1F-0083-4017-BB2E-EEC6B8B62913}"/>
    <cellStyle name="Normal 3 2 2 2 69 4" xfId="3500" xr:uid="{6135DBD5-9567-4789-9F21-9F2F94235EE0}"/>
    <cellStyle name="Normal 3 2 2 2 7" xfId="193" xr:uid="{00000000-0005-0000-0000-00004F040000}"/>
    <cellStyle name="Normal 3 2 2 2 7 2" xfId="915" xr:uid="{00000000-0005-0000-0000-000050040000}"/>
    <cellStyle name="Normal 3 2 2 2 7 2 2" xfId="2363" xr:uid="{F3137B2C-22A0-4A79-AC1B-D6AC9CBEE886}"/>
    <cellStyle name="Normal 3 2 2 2 7 2 2 2" xfId="5219" xr:uid="{83E7B127-8899-4518-BD52-D3DB8D940F11}"/>
    <cellStyle name="Normal 3 2 2 2 7 2 3" xfId="3801" xr:uid="{5E533AEE-D04B-4C25-B857-8744FE91492C}"/>
    <cellStyle name="Normal 3 2 2 2 7 3" xfId="1716" xr:uid="{E27389F6-AE22-41EE-8424-A9C10A1E6318}"/>
    <cellStyle name="Normal 3 2 2 2 7 3 2" xfId="4576" xr:uid="{B4853DFA-5A42-4FA5-8043-4A9421EC3020}"/>
    <cellStyle name="Normal 3 2 2 2 7 4" xfId="3160" xr:uid="{1245B6EC-1AEE-4CFA-A4DA-2C29BDAD014A}"/>
    <cellStyle name="Normal 3 2 2 2 70" xfId="541" xr:uid="{00000000-0005-0000-0000-000051040000}"/>
    <cellStyle name="Normal 3 2 2 2 70 2" xfId="1260" xr:uid="{00000000-0005-0000-0000-000052040000}"/>
    <cellStyle name="Normal 3 2 2 2 70 2 2" xfId="2708" xr:uid="{198DE92F-4F16-4593-9CD6-00F385B88543}"/>
    <cellStyle name="Normal 3 2 2 2 70 2 2 2" xfId="5564" xr:uid="{406DD1D3-DB16-4F5D-8ADC-34F03F5E0155}"/>
    <cellStyle name="Normal 3 2 2 2 70 2 3" xfId="4146" xr:uid="{3F9C3F2E-7E14-462E-BCDE-47D0172BD3DD}"/>
    <cellStyle name="Normal 3 2 2 2 70 3" xfId="2063" xr:uid="{E0F14241-AE9D-4BA1-80CD-6EC1D08068EC}"/>
    <cellStyle name="Normal 3 2 2 2 70 3 2" xfId="4923" xr:uid="{89F718BE-8F51-460D-9005-31E07F72FADD}"/>
    <cellStyle name="Normal 3 2 2 2 70 4" xfId="3507" xr:uid="{6B83D3AA-F120-4A8D-A0BE-97299C877C3D}"/>
    <cellStyle name="Normal 3 2 2 2 71" xfId="543" xr:uid="{00000000-0005-0000-0000-000053040000}"/>
    <cellStyle name="Normal 3 2 2 2 71 2" xfId="1262" xr:uid="{00000000-0005-0000-0000-000054040000}"/>
    <cellStyle name="Normal 3 2 2 2 71 2 2" xfId="2710" xr:uid="{70F71F97-3428-43F2-BF96-87E92050377F}"/>
    <cellStyle name="Normal 3 2 2 2 71 2 2 2" xfId="5566" xr:uid="{7A734720-B1E1-4E67-AF3E-E77332E83B5E}"/>
    <cellStyle name="Normal 3 2 2 2 71 2 3" xfId="4148" xr:uid="{030F2CD4-D0FD-4ED4-A78C-F0D46EB0B9A1}"/>
    <cellStyle name="Normal 3 2 2 2 71 3" xfId="2065" xr:uid="{420877C6-A656-43F8-816E-52D122C232BF}"/>
    <cellStyle name="Normal 3 2 2 2 71 3 2" xfId="4925" xr:uid="{0E5EFD49-31DF-4464-BE7D-210E4EB8AE28}"/>
    <cellStyle name="Normal 3 2 2 2 71 4" xfId="3509" xr:uid="{A2FB83D7-5D65-4D9C-A644-BBF6BDC3F3C9}"/>
    <cellStyle name="Normal 3 2 2 2 72" xfId="552" xr:uid="{00000000-0005-0000-0000-000055040000}"/>
    <cellStyle name="Normal 3 2 2 2 72 2" xfId="1271" xr:uid="{00000000-0005-0000-0000-000056040000}"/>
    <cellStyle name="Normal 3 2 2 2 72 2 2" xfId="2719" xr:uid="{1D7F18AE-3CCC-4C2F-8401-55C8BDF95F02}"/>
    <cellStyle name="Normal 3 2 2 2 72 2 2 2" xfId="5575" xr:uid="{CFBA7596-2973-4D2C-9399-36312CEE51FB}"/>
    <cellStyle name="Normal 3 2 2 2 72 2 3" xfId="4157" xr:uid="{2D8B17A5-F18C-4E4C-9620-85D27BFE1B82}"/>
    <cellStyle name="Normal 3 2 2 2 72 3" xfId="2074" xr:uid="{27B28594-DB12-47A9-88E0-98E765FA3847}"/>
    <cellStyle name="Normal 3 2 2 2 72 3 2" xfId="4934" xr:uid="{EC817828-9E31-4881-BABC-847D6ED95A9B}"/>
    <cellStyle name="Normal 3 2 2 2 72 4" xfId="3518" xr:uid="{8E1338EB-94AF-441A-9213-6D2877088F4E}"/>
    <cellStyle name="Normal 3 2 2 2 73" xfId="554" xr:uid="{00000000-0005-0000-0000-000057040000}"/>
    <cellStyle name="Normal 3 2 2 2 73 2" xfId="1273" xr:uid="{00000000-0005-0000-0000-000058040000}"/>
    <cellStyle name="Normal 3 2 2 2 73 2 2" xfId="2721" xr:uid="{81160546-B94D-4AA9-94E0-CE0ED0646376}"/>
    <cellStyle name="Normal 3 2 2 2 73 2 2 2" xfId="5577" xr:uid="{67D29A27-B653-49BA-8606-7FB9E0CDB744}"/>
    <cellStyle name="Normal 3 2 2 2 73 2 3" xfId="4159" xr:uid="{05AEA682-D862-4A9D-AAA3-05943390FA7A}"/>
    <cellStyle name="Normal 3 2 2 2 73 3" xfId="2076" xr:uid="{16744CE2-70E1-4748-AE20-DB45873E8631}"/>
    <cellStyle name="Normal 3 2 2 2 73 3 2" xfId="4936" xr:uid="{C5A9E6B2-87CD-452E-B8A0-55D3E26E5C9B}"/>
    <cellStyle name="Normal 3 2 2 2 73 4" xfId="3520" xr:uid="{61E400DF-3D61-4F23-991A-C61BF8BEE767}"/>
    <cellStyle name="Normal 3 2 2 2 74" xfId="559" xr:uid="{00000000-0005-0000-0000-000059040000}"/>
    <cellStyle name="Normal 3 2 2 2 74 2" xfId="1278" xr:uid="{00000000-0005-0000-0000-00005A040000}"/>
    <cellStyle name="Normal 3 2 2 2 74 2 2" xfId="2726" xr:uid="{27B9417F-A00B-493D-973B-1083D0523B3C}"/>
    <cellStyle name="Normal 3 2 2 2 74 2 2 2" xfId="5582" xr:uid="{13C0C919-2E4C-419F-B306-DD7E16CD1D78}"/>
    <cellStyle name="Normal 3 2 2 2 74 2 3" xfId="4164" xr:uid="{A270860C-61B5-4598-8A9C-77D3A4556950}"/>
    <cellStyle name="Normal 3 2 2 2 74 3" xfId="2081" xr:uid="{69B5F070-57B9-4248-B405-E4D7DAD916B4}"/>
    <cellStyle name="Normal 3 2 2 2 74 3 2" xfId="4941" xr:uid="{D7EAC068-09C1-41B2-9B0C-38EDC94A248E}"/>
    <cellStyle name="Normal 3 2 2 2 74 4" xfId="3525" xr:uid="{098FBEEC-79CE-466A-8E48-6F8B687303CF}"/>
    <cellStyle name="Normal 3 2 2 2 75" xfId="568" xr:uid="{00000000-0005-0000-0000-00005B040000}"/>
    <cellStyle name="Normal 3 2 2 2 75 2" xfId="1287" xr:uid="{00000000-0005-0000-0000-00005C040000}"/>
    <cellStyle name="Normal 3 2 2 2 75 2 2" xfId="2735" xr:uid="{8DE9DE6B-ACFC-4E88-BB5E-77B2BC1AD85A}"/>
    <cellStyle name="Normal 3 2 2 2 75 2 2 2" xfId="5591" xr:uid="{13A44F27-D875-4101-8720-3236A627A94B}"/>
    <cellStyle name="Normal 3 2 2 2 75 2 3" xfId="4173" xr:uid="{75C7D6B9-7DB3-4750-88B0-E67EEA953B4D}"/>
    <cellStyle name="Normal 3 2 2 2 75 3" xfId="2090" xr:uid="{3BB64009-517A-4ACF-BD17-DF753FAF2242}"/>
    <cellStyle name="Normal 3 2 2 2 75 3 2" xfId="4950" xr:uid="{6BAF364E-8DE8-4F90-9E31-56D19D92F679}"/>
    <cellStyle name="Normal 3 2 2 2 75 4" xfId="3534" xr:uid="{D94CE230-5C3C-4360-B6BF-7892FCAA19FD}"/>
    <cellStyle name="Normal 3 2 2 2 76" xfId="572" xr:uid="{00000000-0005-0000-0000-00005D040000}"/>
    <cellStyle name="Normal 3 2 2 2 76 2" xfId="1291" xr:uid="{00000000-0005-0000-0000-00005E040000}"/>
    <cellStyle name="Normal 3 2 2 2 76 2 2" xfId="2739" xr:uid="{D57446E4-E7DA-4FDD-8F86-75C83FB885D7}"/>
    <cellStyle name="Normal 3 2 2 2 76 2 2 2" xfId="5595" xr:uid="{B860F3F8-5FC6-4185-80E2-1997A1EA66C0}"/>
    <cellStyle name="Normal 3 2 2 2 76 2 3" xfId="4177" xr:uid="{8FFC7FC6-1755-4F75-ABD7-2145CEF61E37}"/>
    <cellStyle name="Normal 3 2 2 2 76 3" xfId="2094" xr:uid="{4B5DED4B-E738-4619-B4E8-AD4C8D714BDE}"/>
    <cellStyle name="Normal 3 2 2 2 76 3 2" xfId="4954" xr:uid="{831E6CE9-C2BD-4027-AFA1-5A16E2447B55}"/>
    <cellStyle name="Normal 3 2 2 2 76 4" xfId="3538" xr:uid="{B19BD242-37D9-4308-8933-CB79C515D042}"/>
    <cellStyle name="Normal 3 2 2 2 77" xfId="576" xr:uid="{00000000-0005-0000-0000-00005F040000}"/>
    <cellStyle name="Normal 3 2 2 2 77 2" xfId="1295" xr:uid="{00000000-0005-0000-0000-000060040000}"/>
    <cellStyle name="Normal 3 2 2 2 77 2 2" xfId="2743" xr:uid="{F4FC7BDC-86CC-453E-A6AA-569B1E765EFD}"/>
    <cellStyle name="Normal 3 2 2 2 77 2 2 2" xfId="5599" xr:uid="{EE57984E-4611-4013-B796-3AB269D013A1}"/>
    <cellStyle name="Normal 3 2 2 2 77 2 3" xfId="4181" xr:uid="{722005AA-144A-4BFB-907D-E7BD44CE247A}"/>
    <cellStyle name="Normal 3 2 2 2 77 3" xfId="2098" xr:uid="{611167B2-37F0-4251-AE10-2C08E1CE815F}"/>
    <cellStyle name="Normal 3 2 2 2 77 3 2" xfId="4958" xr:uid="{3889F12F-2E5E-4B2A-B5B5-23BE51E31ACC}"/>
    <cellStyle name="Normal 3 2 2 2 77 4" xfId="3542" xr:uid="{5C6FA043-EE16-44E2-BA76-112FEA8147C1}"/>
    <cellStyle name="Normal 3 2 2 2 78" xfId="587" xr:uid="{00000000-0005-0000-0000-000061040000}"/>
    <cellStyle name="Normal 3 2 2 2 78 2" xfId="1306" xr:uid="{00000000-0005-0000-0000-000062040000}"/>
    <cellStyle name="Normal 3 2 2 2 78 2 2" xfId="2754" xr:uid="{CC16B421-6DBE-4FEE-A22E-A65B53608CD2}"/>
    <cellStyle name="Normal 3 2 2 2 78 2 2 2" xfId="5610" xr:uid="{206FAFE8-031E-4051-BC70-758E68A85E5C}"/>
    <cellStyle name="Normal 3 2 2 2 78 2 3" xfId="4192" xr:uid="{D74492C1-AE2E-42A4-88E6-D2A4E7943371}"/>
    <cellStyle name="Normal 3 2 2 2 78 3" xfId="2109" xr:uid="{C83593EE-D6E5-4DD5-8C0D-56AB39689ED4}"/>
    <cellStyle name="Normal 3 2 2 2 78 3 2" xfId="4969" xr:uid="{BE7A0746-DFBF-4A4E-A92B-E96D70D09954}"/>
    <cellStyle name="Normal 3 2 2 2 78 4" xfId="3553" xr:uid="{87C8D9DC-429D-482A-BC1E-8C1760CF4A82}"/>
    <cellStyle name="Normal 3 2 2 2 79" xfId="589" xr:uid="{00000000-0005-0000-0000-000063040000}"/>
    <cellStyle name="Normal 3 2 2 2 79 2" xfId="1307" xr:uid="{00000000-0005-0000-0000-000064040000}"/>
    <cellStyle name="Normal 3 2 2 2 79 2 2" xfId="2755" xr:uid="{DC883B85-769A-4243-9FF4-2FB838245368}"/>
    <cellStyle name="Normal 3 2 2 2 79 2 2 2" xfId="5611" xr:uid="{6605592E-8310-43E4-AFCF-AAE988B0D275}"/>
    <cellStyle name="Normal 3 2 2 2 79 2 3" xfId="4193" xr:uid="{17EC6371-6E41-46F0-AF94-3E6806E2D57F}"/>
    <cellStyle name="Normal 3 2 2 2 79 3" xfId="2110" xr:uid="{C75A48B5-4B4A-456E-8872-0DE4538CC575}"/>
    <cellStyle name="Normal 3 2 2 2 79 3 2" xfId="4970" xr:uid="{EB87E3E5-10C8-403E-BBAD-C43B5F01C63D}"/>
    <cellStyle name="Normal 3 2 2 2 79 4" xfId="3554" xr:uid="{443CBE89-2340-4B02-8BDB-82BB21612E2F}"/>
    <cellStyle name="Normal 3 2 2 2 8" xfId="196" xr:uid="{00000000-0005-0000-0000-000065040000}"/>
    <cellStyle name="Normal 3 2 2 2 8 2" xfId="918" xr:uid="{00000000-0005-0000-0000-000066040000}"/>
    <cellStyle name="Normal 3 2 2 2 8 2 2" xfId="2366" xr:uid="{7F2092F5-309B-4904-9E19-A0F5D16345EE}"/>
    <cellStyle name="Normal 3 2 2 2 8 2 2 2" xfId="5222" xr:uid="{7A1754F4-9351-4018-8623-4F095A835D92}"/>
    <cellStyle name="Normal 3 2 2 2 8 2 3" xfId="3804" xr:uid="{35608D17-D7D3-48C4-BA9B-81D37549DFFF}"/>
    <cellStyle name="Normal 3 2 2 2 8 3" xfId="1719" xr:uid="{19765FC0-A7FB-481A-AA63-E93E9CDDDE5D}"/>
    <cellStyle name="Normal 3 2 2 2 8 3 2" xfId="4579" xr:uid="{5B9DA676-24BB-4CDF-A2D2-AFC9D13E2573}"/>
    <cellStyle name="Normal 3 2 2 2 8 4" xfId="3163" xr:uid="{124AFA93-3339-4B0F-A811-0A3A85279202}"/>
    <cellStyle name="Normal 3 2 2 2 80" xfId="594" xr:uid="{00000000-0005-0000-0000-000067040000}"/>
    <cellStyle name="Normal 3 2 2 2 80 2" xfId="1312" xr:uid="{00000000-0005-0000-0000-000068040000}"/>
    <cellStyle name="Normal 3 2 2 2 80 2 2" xfId="2760" xr:uid="{27710694-6803-479C-B9C9-1406ED5AB791}"/>
    <cellStyle name="Normal 3 2 2 2 80 2 2 2" xfId="5616" xr:uid="{175BDE4E-5B4C-4A68-A77E-AA6381371BE3}"/>
    <cellStyle name="Normal 3 2 2 2 80 2 3" xfId="4198" xr:uid="{FC1D6B94-75BA-43B6-B5C1-599D7A565068}"/>
    <cellStyle name="Normal 3 2 2 2 80 3" xfId="2115" xr:uid="{D2645C00-6543-44E4-B925-606ED316E6EC}"/>
    <cellStyle name="Normal 3 2 2 2 80 3 2" xfId="4975" xr:uid="{A78B9399-416A-4BF5-80C7-F34F55F396DC}"/>
    <cellStyle name="Normal 3 2 2 2 80 4" xfId="3559" xr:uid="{516B2D2C-7B82-47BA-B01B-36D5414FDE8E}"/>
    <cellStyle name="Normal 3 2 2 2 81" xfId="605" xr:uid="{00000000-0005-0000-0000-000069040000}"/>
    <cellStyle name="Normal 3 2 2 2 81 2" xfId="1323" xr:uid="{00000000-0005-0000-0000-00006A040000}"/>
    <cellStyle name="Normal 3 2 2 2 81 2 2" xfId="2771" xr:uid="{EA36FB4B-AA3A-4EEF-A898-AB746E10C238}"/>
    <cellStyle name="Normal 3 2 2 2 81 2 2 2" xfId="5627" xr:uid="{B4E92019-A2BA-4458-89BD-22F1C8DD5C1B}"/>
    <cellStyle name="Normal 3 2 2 2 81 2 3" xfId="4209" xr:uid="{5272C8DF-A5E5-497D-9335-72436C13D6B5}"/>
    <cellStyle name="Normal 3 2 2 2 81 3" xfId="2126" xr:uid="{9FCC5E57-669C-4270-88E8-16700566A37F}"/>
    <cellStyle name="Normal 3 2 2 2 81 3 2" xfId="4986" xr:uid="{6F6B600E-9D14-4663-AE13-85DE1DCDBCF7}"/>
    <cellStyle name="Normal 3 2 2 2 81 4" xfId="3570" xr:uid="{5805B33B-56C7-4685-9A52-75275E4BC78E}"/>
    <cellStyle name="Normal 3 2 2 2 82" xfId="613" xr:uid="{00000000-0005-0000-0000-00006B040000}"/>
    <cellStyle name="Normal 3 2 2 2 82 2" xfId="1331" xr:uid="{00000000-0005-0000-0000-00006C040000}"/>
    <cellStyle name="Normal 3 2 2 2 82 2 2" xfId="2779" xr:uid="{C11E24C3-B5D3-4CAB-9851-F3270DB140C0}"/>
    <cellStyle name="Normal 3 2 2 2 82 2 2 2" xfId="5635" xr:uid="{43DF7456-4E9D-49F0-A285-8BD1E5009430}"/>
    <cellStyle name="Normal 3 2 2 2 82 2 3" xfId="4217" xr:uid="{1CBB6DD8-E33E-434C-BE6B-3A49330B4425}"/>
    <cellStyle name="Normal 3 2 2 2 82 3" xfId="2134" xr:uid="{4C60FAC7-D4DE-4E77-81DA-1AB8CABE9EF8}"/>
    <cellStyle name="Normal 3 2 2 2 82 3 2" xfId="4994" xr:uid="{98DED7AE-C514-4E0C-8A9B-BBBE526B38C2}"/>
    <cellStyle name="Normal 3 2 2 2 82 4" xfId="3578" xr:uid="{45C1B0C7-D089-41C2-A400-70483E5CFB86}"/>
    <cellStyle name="Normal 3 2 2 2 83" xfId="619" xr:uid="{00000000-0005-0000-0000-00006D040000}"/>
    <cellStyle name="Normal 3 2 2 2 83 2" xfId="623" xr:uid="{00000000-0005-0000-0000-00006E040000}"/>
    <cellStyle name="Normal 3 2 2 2 83 2 2" xfId="1340" xr:uid="{00000000-0005-0000-0000-00006F040000}"/>
    <cellStyle name="Normal 3 2 2 2 83 2 2 2" xfId="2788" xr:uid="{86E64BA6-DBB8-4E8B-B983-FDF56EF8870F}"/>
    <cellStyle name="Normal 3 2 2 2 83 2 2 2 2" xfId="5644" xr:uid="{CD0610CC-C613-46C4-A187-4A62064946A2}"/>
    <cellStyle name="Normal 3 2 2 2 83 2 2 3" xfId="4226" xr:uid="{7A5D44E1-B0F8-4D48-A1C4-CFD0284F04B3}"/>
    <cellStyle name="Normal 3 2 2 2 83 2 3" xfId="2144" xr:uid="{72D70BE7-238D-4B98-BD7D-B09E7D8BA028}"/>
    <cellStyle name="Normal 3 2 2 2 83 2 3 2" xfId="5004" xr:uid="{7211729C-107F-43B6-A7D6-D7058D4AC6B8}"/>
    <cellStyle name="Normal 3 2 2 2 83 2 4" xfId="3588" xr:uid="{2FBDF874-D84B-4022-9D94-963445714F82}"/>
    <cellStyle name="Normal 3 2 2 2 83 3" xfId="1336" xr:uid="{00000000-0005-0000-0000-000070040000}"/>
    <cellStyle name="Normal 3 2 2 2 83 3 2" xfId="2784" xr:uid="{C0A8A630-F1DB-4874-92F9-D94745DFF506}"/>
    <cellStyle name="Normal 3 2 2 2 83 3 2 2" xfId="5640" xr:uid="{04D76AF5-2F08-4F25-B5C3-A3DC929A3B1C}"/>
    <cellStyle name="Normal 3 2 2 2 83 3 3" xfId="4222" xr:uid="{C36B528A-467A-44F5-98DF-1B44402A0814}"/>
    <cellStyle name="Normal 3 2 2 2 83 4" xfId="2140" xr:uid="{7BA858F1-A501-4ABC-A750-D7F155EC3015}"/>
    <cellStyle name="Normal 3 2 2 2 83 4 2" xfId="5000" xr:uid="{77EFCCB1-E8BD-443E-918E-60C03E600FF8}"/>
    <cellStyle name="Normal 3 2 2 2 83 5" xfId="3584" xr:uid="{909ADC50-B5CA-4BB3-B736-3BB7D722C00F}"/>
    <cellStyle name="Normal 3 2 2 2 84" xfId="636" xr:uid="{00000000-0005-0000-0000-000071040000}"/>
    <cellStyle name="Normal 3 2 2 2 84 2" xfId="1350" xr:uid="{00000000-0005-0000-0000-000072040000}"/>
    <cellStyle name="Normal 3 2 2 2 84 2 2" xfId="2798" xr:uid="{98D53F96-2435-431A-BD1F-11F836C84C7F}"/>
    <cellStyle name="Normal 3 2 2 2 84 2 2 2" xfId="5654" xr:uid="{95B25752-20A9-43E4-8AF9-5CABA7BCA6C6}"/>
    <cellStyle name="Normal 3 2 2 2 84 2 3" xfId="4236" xr:uid="{E9994F65-F1EC-4085-9A93-DFAE34120327}"/>
    <cellStyle name="Normal 3 2 2 2 84 3" xfId="2154" xr:uid="{7F5F8E1D-38A8-4D10-8360-9644C6F36F6C}"/>
    <cellStyle name="Normal 3 2 2 2 84 3 2" xfId="5014" xr:uid="{765E8ED3-A0E5-41DF-BED8-93489CE34A1C}"/>
    <cellStyle name="Normal 3 2 2 2 84 4" xfId="3598" xr:uid="{01E5DF23-0A1B-423F-9F7D-4853F9FA20F2}"/>
    <cellStyle name="Normal 3 2 2 2 85" xfId="642" xr:uid="{00000000-0005-0000-0000-000073040000}"/>
    <cellStyle name="Normal 3 2 2 2 85 2" xfId="1356" xr:uid="{00000000-0005-0000-0000-000074040000}"/>
    <cellStyle name="Normal 3 2 2 2 85 2 2" xfId="2804" xr:uid="{B2518073-6696-48AB-B432-B789B90E757B}"/>
    <cellStyle name="Normal 3 2 2 2 85 2 2 2" xfId="5660" xr:uid="{65E5496E-CCFE-454A-B411-E55A1CFE039C}"/>
    <cellStyle name="Normal 3 2 2 2 85 2 3" xfId="4242" xr:uid="{CB78E234-1703-42F7-884D-1D9770A4C2A6}"/>
    <cellStyle name="Normal 3 2 2 2 85 3" xfId="2160" xr:uid="{9D395890-F13A-4D7F-B97B-91E5F2F62958}"/>
    <cellStyle name="Normal 3 2 2 2 85 3 2" xfId="5020" xr:uid="{124C3047-F570-4CB1-839D-03F631A23C92}"/>
    <cellStyle name="Normal 3 2 2 2 85 4" xfId="3604" xr:uid="{31F5A8BB-4F8C-49F3-B78D-AF70375499DA}"/>
    <cellStyle name="Normal 3 2 2 2 86" xfId="656" xr:uid="{00000000-0005-0000-0000-000075040000}"/>
    <cellStyle name="Normal 3 2 2 2 87" xfId="660" xr:uid="{00000000-0005-0000-0000-000076040000}"/>
    <cellStyle name="Normal 3 2 2 2 87 2" xfId="1362" xr:uid="{00000000-0005-0000-0000-000077040000}"/>
    <cellStyle name="Normal 3 2 2 2 87 2 2" xfId="2810" xr:uid="{AC6CE028-8630-42B6-9850-E27EF6DEABCC}"/>
    <cellStyle name="Normal 3 2 2 2 87 2 2 2" xfId="5666" xr:uid="{D7FED84B-0E8C-4FDA-A7CF-63353D3EF750}"/>
    <cellStyle name="Normal 3 2 2 2 87 2 3" xfId="4248" xr:uid="{E779AC54-FB66-448F-9682-FB369363C802}"/>
    <cellStyle name="Normal 3 2 2 2 87 3" xfId="2166" xr:uid="{AFC3D7C0-956A-4B5E-B162-5969C225712B}"/>
    <cellStyle name="Normal 3 2 2 2 87 3 2" xfId="5026" xr:uid="{5E54E3FE-C860-4449-A466-B76385F8E2F3}"/>
    <cellStyle name="Normal 3 2 2 2 87 4" xfId="3610" xr:uid="{5DA0A59F-231F-488F-BBA8-BEDDA611D88E}"/>
    <cellStyle name="Normal 3 2 2 2 88" xfId="725" xr:uid="{00000000-0005-0000-0000-000078040000}"/>
    <cellStyle name="Normal 3 2 2 2 88 2" xfId="1404" xr:uid="{00000000-0005-0000-0000-000079040000}"/>
    <cellStyle name="Normal 3 2 2 2 88 2 2" xfId="2851" xr:uid="{A8291A71-C61D-46BC-92AE-BE0A7939D7DF}"/>
    <cellStyle name="Normal 3 2 2 2 88 2 2 2" xfId="5706" xr:uid="{9D242C39-FCB4-472E-9B85-E47EC7DFEB0E}"/>
    <cellStyle name="Normal 3 2 2 2 88 2 3" xfId="4288" xr:uid="{923DAF01-DE26-4FC8-89EC-6F01E2AC4368}"/>
    <cellStyle name="Normal 3 2 2 2 88 3" xfId="2211" xr:uid="{14B80388-D3D4-4A4B-A4C7-D2814BC8FFF1}"/>
    <cellStyle name="Normal 3 2 2 2 88 3 2" xfId="5067" xr:uid="{0B3DAC3D-1DAD-444F-82E5-1FFBF15F1CC3}"/>
    <cellStyle name="Normal 3 2 2 2 88 4" xfId="3651" xr:uid="{69C9EDC8-1F0E-4517-8A89-F25BB364265B}"/>
    <cellStyle name="Normal 3 2 2 2 89" xfId="776" xr:uid="{00000000-0005-0000-0000-00007A040000}"/>
    <cellStyle name="Normal 3 2 2 2 89 2" xfId="2228" xr:uid="{38B19E76-96F3-49AC-A464-D96ED60D5FAE}"/>
    <cellStyle name="Normal 3 2 2 2 89 2 2" xfId="5084" xr:uid="{360A6E5D-6F6A-4D8D-86E1-793C10D679FD}"/>
    <cellStyle name="Normal 3 2 2 2 89 3" xfId="3666" xr:uid="{C9841781-AB37-441F-8C04-CBBC0823D567}"/>
    <cellStyle name="Normal 3 2 2 2 9" xfId="201" xr:uid="{00000000-0005-0000-0000-00007B040000}"/>
    <cellStyle name="Normal 3 2 2 2 9 2" xfId="923" xr:uid="{00000000-0005-0000-0000-00007C040000}"/>
    <cellStyle name="Normal 3 2 2 2 9 2 2" xfId="2371" xr:uid="{CFFDDB9D-1364-4C52-8470-AAA7AA49B032}"/>
    <cellStyle name="Normal 3 2 2 2 9 2 2 2" xfId="5227" xr:uid="{8EE0AE5F-73AC-4A30-AB7C-6839E382B294}"/>
    <cellStyle name="Normal 3 2 2 2 9 2 3" xfId="3809" xr:uid="{6439973A-7693-4D26-BED3-707A88678F03}"/>
    <cellStyle name="Normal 3 2 2 2 9 3" xfId="1724" xr:uid="{374A27DF-20E1-4DCA-8CCC-07ACC0B48A44}"/>
    <cellStyle name="Normal 3 2 2 2 9 3 2" xfId="4584" xr:uid="{CE592C95-4C90-40BE-9573-556116067DE4}"/>
    <cellStyle name="Normal 3 2 2 2 9 4" xfId="3168" xr:uid="{D1EE9711-7511-44B4-A9D0-88E0D99B8958}"/>
    <cellStyle name="Normal 3 2 2 2 90" xfId="1580" xr:uid="{97DDDE3B-597C-4931-AF99-2AAFE533EF1B}"/>
    <cellStyle name="Normal 3 2 2 2 90 2" xfId="4440" xr:uid="{1F730FCB-0AE1-4595-A36B-9675A97D74BC}"/>
    <cellStyle name="Normal 3 2 2 2 91" xfId="3025" xr:uid="{78026515-6F03-47D8-A746-48EDB6189AFF}"/>
    <cellStyle name="Normal 3 20" xfId="203" xr:uid="{00000000-0005-0000-0000-00007D040000}"/>
    <cellStyle name="Normal 3 20 2" xfId="925" xr:uid="{00000000-0005-0000-0000-00007E040000}"/>
    <cellStyle name="Normal 3 20 2 2" xfId="2373" xr:uid="{4918E76E-D726-4422-A720-95F0A3F35AEF}"/>
    <cellStyle name="Normal 3 20 2 2 2" xfId="5229" xr:uid="{E6B0685A-0D34-43FD-9AC7-50AAB05C1D1F}"/>
    <cellStyle name="Normal 3 20 2 3" xfId="3811" xr:uid="{19CBDAC5-C397-4ECD-96A9-23667912ECB1}"/>
    <cellStyle name="Normal 3 20 3" xfId="1726" xr:uid="{21BB14F9-57FA-45EF-B9F2-831AE3267007}"/>
    <cellStyle name="Normal 3 20 3 2" xfId="4586" xr:uid="{486289B4-7AE8-4567-B32A-D984CC45C2D5}"/>
    <cellStyle name="Normal 3 20 4" xfId="3170" xr:uid="{D7224080-C3F2-4C51-9F82-6087082A4E47}"/>
    <cellStyle name="Normal 3 21" xfId="217" xr:uid="{00000000-0005-0000-0000-00007F040000}"/>
    <cellStyle name="Normal 3 21 2" xfId="939" xr:uid="{00000000-0005-0000-0000-000080040000}"/>
    <cellStyle name="Normal 3 21 2 2" xfId="2387" xr:uid="{2F090AF8-DFD4-403B-AF2F-7628034AB0D7}"/>
    <cellStyle name="Normal 3 21 2 2 2" xfId="5243" xr:uid="{A6DB6D68-2439-4C59-B921-2785729C4FA0}"/>
    <cellStyle name="Normal 3 21 2 3" xfId="3825" xr:uid="{21221AA7-CB45-4FDA-974E-D836FEEAAFAD}"/>
    <cellStyle name="Normal 3 21 3" xfId="1740" xr:uid="{D7963DBF-E267-440E-81D9-0E1BF454EF5C}"/>
    <cellStyle name="Normal 3 21 3 2" xfId="4600" xr:uid="{15A03AC3-64C5-42E9-9B5D-8CECD26CF98A}"/>
    <cellStyle name="Normal 3 21 4" xfId="3184" xr:uid="{FB8CDD46-C834-4C93-82B1-3D3FEAAA318D}"/>
    <cellStyle name="Normal 3 22" xfId="228" xr:uid="{00000000-0005-0000-0000-000081040000}"/>
    <cellStyle name="Normal 3 22 2" xfId="950" xr:uid="{00000000-0005-0000-0000-000082040000}"/>
    <cellStyle name="Normal 3 22 2 2" xfId="2398" xr:uid="{10410528-41BD-4F49-9F16-BCB74A48D915}"/>
    <cellStyle name="Normal 3 22 2 2 2" xfId="5254" xr:uid="{D26603F8-D4F4-4731-A787-D51A8B43B118}"/>
    <cellStyle name="Normal 3 22 2 3" xfId="3836" xr:uid="{E0DC3905-EE0C-40D8-8555-9E92A98E734F}"/>
    <cellStyle name="Normal 3 22 3" xfId="1751" xr:uid="{5805EB14-E8C8-428D-BDCE-FCFD5CC814EA}"/>
    <cellStyle name="Normal 3 22 3 2" xfId="4611" xr:uid="{0B906B6D-9FF4-40E4-963B-31420C3B6C21}"/>
    <cellStyle name="Normal 3 22 4" xfId="3195" xr:uid="{B20E39EB-21E4-4376-8072-307C73932ED3}"/>
    <cellStyle name="Normal 3 23" xfId="241" xr:uid="{00000000-0005-0000-0000-000083040000}"/>
    <cellStyle name="Normal 3 23 2" xfId="963" xr:uid="{00000000-0005-0000-0000-000084040000}"/>
    <cellStyle name="Normal 3 23 2 2" xfId="2411" xr:uid="{80A13752-1B12-4426-9724-5D84159A7757}"/>
    <cellStyle name="Normal 3 23 2 2 2" xfId="5267" xr:uid="{D4C68C90-3F24-4668-80EF-57C8BA20FD6F}"/>
    <cellStyle name="Normal 3 23 2 3" xfId="3849" xr:uid="{E89763D5-3F29-4806-98FF-E801FF8CA0AB}"/>
    <cellStyle name="Normal 3 23 3" xfId="1764" xr:uid="{69AE159F-E6DC-4BCA-B620-82B9316920C9}"/>
    <cellStyle name="Normal 3 23 3 2" xfId="4624" xr:uid="{8EAC3D1E-30F7-4A47-B0C5-37BA8F28FE2A}"/>
    <cellStyle name="Normal 3 23 4" xfId="3208" xr:uid="{616D69ED-BE26-4DD5-A032-20613001B1AC}"/>
    <cellStyle name="Normal 3 24" xfId="253" xr:uid="{00000000-0005-0000-0000-000085040000}"/>
    <cellStyle name="Normal 3 24 2" xfId="975" xr:uid="{00000000-0005-0000-0000-000086040000}"/>
    <cellStyle name="Normal 3 24 2 2" xfId="2423" xr:uid="{E67C50E3-E435-40BB-BF72-F1A0925596AE}"/>
    <cellStyle name="Normal 3 24 2 2 2" xfId="5279" xr:uid="{4FBAEF1B-2162-43CC-B7B0-D14834C1CD74}"/>
    <cellStyle name="Normal 3 24 2 3" xfId="3861" xr:uid="{68AD8371-CAA2-4F0E-95DC-A14263DEB086}"/>
    <cellStyle name="Normal 3 24 3" xfId="1776" xr:uid="{0C838CCC-F347-416E-B3C5-903B80723897}"/>
    <cellStyle name="Normal 3 24 3 2" xfId="4636" xr:uid="{B26031AF-1542-418B-8747-0AC8CC7236DE}"/>
    <cellStyle name="Normal 3 24 4" xfId="3220" xr:uid="{8D49E279-B516-4F42-9CEE-009D8551D7FD}"/>
    <cellStyle name="Normal 3 25" xfId="263" xr:uid="{00000000-0005-0000-0000-000087040000}"/>
    <cellStyle name="Normal 3 25 2" xfId="985" xr:uid="{00000000-0005-0000-0000-000088040000}"/>
    <cellStyle name="Normal 3 25 2 2" xfId="2433" xr:uid="{3F5D091C-865E-4F8C-A2D3-4CD396496EA8}"/>
    <cellStyle name="Normal 3 25 2 2 2" xfId="5289" xr:uid="{3944E520-68BC-426E-9457-E714E0E7C1F2}"/>
    <cellStyle name="Normal 3 25 2 3" xfId="3871" xr:uid="{C9361808-5C03-468C-965B-9E162F88EAB5}"/>
    <cellStyle name="Normal 3 25 3" xfId="1786" xr:uid="{CE1F5155-8AB5-462A-9353-FF4F00619BE2}"/>
    <cellStyle name="Normal 3 25 3 2" xfId="4646" xr:uid="{3C2C48F1-F95E-40F6-8ED2-656B1ED51DDA}"/>
    <cellStyle name="Normal 3 25 4" xfId="3230" xr:uid="{7FF37E44-B07F-497A-ABC7-8A5760AF756A}"/>
    <cellStyle name="Normal 3 26" xfId="279" xr:uid="{00000000-0005-0000-0000-000089040000}"/>
    <cellStyle name="Normal 3 26 2" xfId="1001" xr:uid="{00000000-0005-0000-0000-00008A040000}"/>
    <cellStyle name="Normal 3 26 2 2" xfId="2449" xr:uid="{D16ADECF-2742-472A-8B97-7C516345C2C1}"/>
    <cellStyle name="Normal 3 26 2 2 2" xfId="5305" xr:uid="{BE7FAECD-2480-4AD1-92AA-F194B096D97A}"/>
    <cellStyle name="Normal 3 26 2 3" xfId="3887" xr:uid="{E27DFAF4-51AD-451E-8F9E-D4EE4B7598B8}"/>
    <cellStyle name="Normal 3 26 3" xfId="1802" xr:uid="{D73AF0CF-73E4-4E93-96CC-31167C354B05}"/>
    <cellStyle name="Normal 3 26 3 2" xfId="4662" xr:uid="{206D22A3-41C1-47FE-B76F-6D12BB4CEC6B}"/>
    <cellStyle name="Normal 3 26 4" xfId="3246" xr:uid="{CB1B1748-6227-4671-946F-F0346E5CB19C}"/>
    <cellStyle name="Normal 3 27" xfId="295" xr:uid="{00000000-0005-0000-0000-00008B040000}"/>
    <cellStyle name="Normal 3 27 2" xfId="1016" xr:uid="{00000000-0005-0000-0000-00008C040000}"/>
    <cellStyle name="Normal 3 27 2 2" xfId="2464" xr:uid="{BB8F609E-47E7-4AB1-A509-7F8BB924B25E}"/>
    <cellStyle name="Normal 3 27 2 2 2" xfId="5320" xr:uid="{333D34AA-564E-40D4-9C40-92B0BF1B82F0}"/>
    <cellStyle name="Normal 3 27 2 3" xfId="3902" xr:uid="{CF9F3D21-EC9E-4D68-ABBC-1D28680A401C}"/>
    <cellStyle name="Normal 3 27 3" xfId="1818" xr:uid="{82B30D52-55E5-4E09-906A-38550A2085F7}"/>
    <cellStyle name="Normal 3 27 3 2" xfId="4678" xr:uid="{80067E18-C504-48B1-B13E-66BDA79D4F7C}"/>
    <cellStyle name="Normal 3 27 4" xfId="3262" xr:uid="{AFDF794F-9624-402B-B3B9-AB528EE4AE9C}"/>
    <cellStyle name="Normal 3 28" xfId="305" xr:uid="{00000000-0005-0000-0000-00008D040000}"/>
    <cellStyle name="Normal 3 28 2" xfId="1026" xr:uid="{00000000-0005-0000-0000-00008E040000}"/>
    <cellStyle name="Normal 3 28 2 2" xfId="2474" xr:uid="{022BABD6-CAB1-4DAF-983B-F968A0208C34}"/>
    <cellStyle name="Normal 3 28 2 2 2" xfId="5330" xr:uid="{021FBE27-749E-4080-B1E2-7A4FDD8FF911}"/>
    <cellStyle name="Normal 3 28 2 3" xfId="3912" xr:uid="{156BF019-808E-45EE-9517-A89EE885F3EE}"/>
    <cellStyle name="Normal 3 28 3" xfId="1828" xr:uid="{74957D36-E759-4168-9563-A62ED327158E}"/>
    <cellStyle name="Normal 3 28 3 2" xfId="4688" xr:uid="{D13E2F09-16AE-4203-9BD9-1C1F3ED2E939}"/>
    <cellStyle name="Normal 3 28 4" xfId="3272" xr:uid="{52726C90-6898-4E14-A499-6068B4C11362}"/>
    <cellStyle name="Normal 3 29" xfId="320" xr:uid="{00000000-0005-0000-0000-00008F040000}"/>
    <cellStyle name="Normal 3 29 2" xfId="1041" xr:uid="{00000000-0005-0000-0000-000090040000}"/>
    <cellStyle name="Normal 3 29 2 2" xfId="2489" xr:uid="{87CB57E0-AF35-45CB-A87A-9AB31230EC0E}"/>
    <cellStyle name="Normal 3 29 2 2 2" xfId="5345" xr:uid="{2FE641AF-9D6C-4D89-BF16-EAB27C03F610}"/>
    <cellStyle name="Normal 3 29 2 3" xfId="3927" xr:uid="{8A1F0ED5-36AD-4A20-895E-F85A3F85B504}"/>
    <cellStyle name="Normal 3 29 3" xfId="1843" xr:uid="{582FF1F7-E551-4FC6-8E90-CF3E17CF9FDE}"/>
    <cellStyle name="Normal 3 29 3 2" xfId="4703" xr:uid="{877206F3-FF45-4157-934F-0A4E1040AF5E}"/>
    <cellStyle name="Normal 3 29 4" xfId="3287" xr:uid="{B9BAF3C7-290F-46B9-B16E-9CEFFCC77D4D}"/>
    <cellStyle name="Normal 3 3" xfId="20" xr:uid="{00000000-0005-0000-0000-000091040000}"/>
    <cellStyle name="Normal 3 3 10" xfId="125" xr:uid="{00000000-0005-0000-0000-000092040000}"/>
    <cellStyle name="Normal 3 3 10 2" xfId="851" xr:uid="{00000000-0005-0000-0000-000093040000}"/>
    <cellStyle name="Normal 3 3 10 2 2" xfId="2299" xr:uid="{5CA99325-7280-4049-A1CF-D17194E02245}"/>
    <cellStyle name="Normal 3 3 10 2 2 2" xfId="5155" xr:uid="{33DEBBFD-80BD-45E1-9A8E-1B9B3BFC338F}"/>
    <cellStyle name="Normal 3 3 10 2 3" xfId="3737" xr:uid="{348DFB11-B6B7-47D3-AA41-20C91812A0AA}"/>
    <cellStyle name="Normal 3 3 10 3" xfId="1652" xr:uid="{CCFB55F4-3196-4AB2-871E-C7CFACABEB68}"/>
    <cellStyle name="Normal 3 3 10 3 2" xfId="4512" xr:uid="{D57FDCEC-91AF-437D-A35C-A03FC2481B48}"/>
    <cellStyle name="Normal 3 3 10 4" xfId="3096" xr:uid="{D47B79C1-F620-4F7E-9DA0-B23FE8225508}"/>
    <cellStyle name="Normal 3 3 11" xfId="133" xr:uid="{00000000-0005-0000-0000-000094040000}"/>
    <cellStyle name="Normal 3 3 11 2" xfId="858" xr:uid="{00000000-0005-0000-0000-000095040000}"/>
    <cellStyle name="Normal 3 3 11 2 2" xfId="2306" xr:uid="{5307CCA0-C782-44B5-A1A2-DBB411A9A562}"/>
    <cellStyle name="Normal 3 3 11 2 2 2" xfId="5162" xr:uid="{B7369990-BF2B-4203-A306-CAED8BB18D75}"/>
    <cellStyle name="Normal 3 3 11 2 3" xfId="3744" xr:uid="{87B47DBF-DAC7-4A53-8EF0-34FC452B9101}"/>
    <cellStyle name="Normal 3 3 11 3" xfId="1659" xr:uid="{F325B2B4-401D-4F3C-88DD-F607EE76642E}"/>
    <cellStyle name="Normal 3 3 11 3 2" xfId="4519" xr:uid="{0F12D242-9E8C-44CF-9F81-206EECD77655}"/>
    <cellStyle name="Normal 3 3 11 4" xfId="3103" xr:uid="{0C576631-8FFD-47A3-A10A-4DA96567FACC}"/>
    <cellStyle name="Normal 3 3 12" xfId="143" xr:uid="{00000000-0005-0000-0000-000096040000}"/>
    <cellStyle name="Normal 3 3 12 2" xfId="868" xr:uid="{00000000-0005-0000-0000-000097040000}"/>
    <cellStyle name="Normal 3 3 12 2 2" xfId="2316" xr:uid="{DC177C0D-BDC3-4202-8D6F-6290B0C7F635}"/>
    <cellStyle name="Normal 3 3 12 2 2 2" xfId="5172" xr:uid="{6B0A011A-265E-42C5-843D-98DDD996B55F}"/>
    <cellStyle name="Normal 3 3 12 2 3" xfId="3754" xr:uid="{AA707D4F-AA82-4037-9BBB-DB8F074D8822}"/>
    <cellStyle name="Normal 3 3 12 3" xfId="1669" xr:uid="{3081F007-B868-4C8B-914C-37BD6FDCDA2B}"/>
    <cellStyle name="Normal 3 3 12 3 2" xfId="4529" xr:uid="{D5B135C3-1925-4E7B-A788-0A14A1ACA6FD}"/>
    <cellStyle name="Normal 3 3 12 4" xfId="3113" xr:uid="{1DEB24FA-509A-4771-81A5-DB4E6580CB8F}"/>
    <cellStyle name="Normal 3 3 13" xfId="149" xr:uid="{00000000-0005-0000-0000-000098040000}"/>
    <cellStyle name="Normal 3 3 13 2" xfId="874" xr:uid="{00000000-0005-0000-0000-000099040000}"/>
    <cellStyle name="Normal 3 3 13 2 2" xfId="2322" xr:uid="{5A30F62C-8E3E-4DC2-A30E-734A113D641F}"/>
    <cellStyle name="Normal 3 3 13 2 2 2" xfId="5178" xr:uid="{95236DDA-E6F2-4B28-80B2-1DD45E99517E}"/>
    <cellStyle name="Normal 3 3 13 2 3" xfId="3760" xr:uid="{7A5A7EA0-993C-4163-B599-414AC66A9D66}"/>
    <cellStyle name="Normal 3 3 13 3" xfId="1675" xr:uid="{1B24459D-7067-498B-BC0C-83EC05051F45}"/>
    <cellStyle name="Normal 3 3 13 3 2" xfId="4535" xr:uid="{91B1192C-D7A1-40F1-BEA7-A83C56A17C51}"/>
    <cellStyle name="Normal 3 3 13 4" xfId="3119" xr:uid="{5927132C-D0DD-4AE8-8F6E-2207662B4117}"/>
    <cellStyle name="Normal 3 3 14" xfId="158" xr:uid="{00000000-0005-0000-0000-00009A040000}"/>
    <cellStyle name="Normal 3 3 14 2" xfId="881" xr:uid="{00000000-0005-0000-0000-00009B040000}"/>
    <cellStyle name="Normal 3 3 14 2 2" xfId="2329" xr:uid="{581C71CF-7C10-44D1-A830-72C66D785517}"/>
    <cellStyle name="Normal 3 3 14 2 2 2" xfId="5185" xr:uid="{3B735EA3-E697-4A83-AD39-5AC6E1AF3C5F}"/>
    <cellStyle name="Normal 3 3 14 2 3" xfId="3767" xr:uid="{0F256EA4-1F5E-40C4-A457-988E132E94E2}"/>
    <cellStyle name="Normal 3 3 14 3" xfId="1682" xr:uid="{AD37B777-7BF2-42A7-868B-6CB670951462}"/>
    <cellStyle name="Normal 3 3 14 3 2" xfId="4542" xr:uid="{0D38ED27-9F51-4BED-96F4-6D04170B5B4A}"/>
    <cellStyle name="Normal 3 3 14 4" xfId="3126" xr:uid="{D026B93F-81B1-42BA-B316-9376665DD7E1}"/>
    <cellStyle name="Normal 3 3 15" xfId="165" xr:uid="{00000000-0005-0000-0000-00009C040000}"/>
    <cellStyle name="Normal 3 3 15 2" xfId="888" xr:uid="{00000000-0005-0000-0000-00009D040000}"/>
    <cellStyle name="Normal 3 3 15 2 2" xfId="2336" xr:uid="{8BD22975-9D22-4A2D-B49A-97155CAF481A}"/>
    <cellStyle name="Normal 3 3 15 2 2 2" xfId="5192" xr:uid="{F04BB101-995C-4E5C-BAF8-9B4FD87E1316}"/>
    <cellStyle name="Normal 3 3 15 2 3" xfId="3774" xr:uid="{BD9DB9FF-8B9D-4093-A6A9-ACBF6AF52DBE}"/>
    <cellStyle name="Normal 3 3 15 3" xfId="1689" xr:uid="{1715A031-9627-4A65-AC4D-230241E1483B}"/>
    <cellStyle name="Normal 3 3 15 3 2" xfId="4549" xr:uid="{9E1DF467-8A83-4C68-9249-62CC3E73FE8E}"/>
    <cellStyle name="Normal 3 3 15 4" xfId="3133" xr:uid="{C5974C68-3E8C-4E07-B181-61F80B8BB6F5}"/>
    <cellStyle name="Normal 3 3 16" xfId="179" xr:uid="{00000000-0005-0000-0000-00009E040000}"/>
    <cellStyle name="Normal 3 3 16 2" xfId="901" xr:uid="{00000000-0005-0000-0000-00009F040000}"/>
    <cellStyle name="Normal 3 3 16 2 2" xfId="2349" xr:uid="{23B1971A-5D5A-4601-9108-86F042CE910A}"/>
    <cellStyle name="Normal 3 3 16 2 2 2" xfId="5205" xr:uid="{C995D4C2-991B-4E66-93EE-EC09DB4C011A}"/>
    <cellStyle name="Normal 3 3 16 2 3" xfId="3787" xr:uid="{746F1284-A457-4E52-A4AE-905325C42133}"/>
    <cellStyle name="Normal 3 3 16 3" xfId="1702" xr:uid="{6E98C1BC-6560-456B-A118-58D759F9ED2F}"/>
    <cellStyle name="Normal 3 3 16 3 2" xfId="4562" xr:uid="{72157E6F-0820-4A7E-9A31-61E8556C1F03}"/>
    <cellStyle name="Normal 3 3 16 4" xfId="3146" xr:uid="{E91FBBFE-F629-40CE-A929-466C5122FDCF}"/>
    <cellStyle name="Normal 3 3 17" xfId="192" xr:uid="{00000000-0005-0000-0000-0000A0040000}"/>
    <cellStyle name="Normal 3 3 17 2" xfId="914" xr:uid="{00000000-0005-0000-0000-0000A1040000}"/>
    <cellStyle name="Normal 3 3 17 2 2" xfId="2362" xr:uid="{09E81D59-D4F6-4B9B-AA80-FC8A675B6DE8}"/>
    <cellStyle name="Normal 3 3 17 2 2 2" xfId="5218" xr:uid="{C2644EA9-D6BC-4166-B413-EA92C433BED6}"/>
    <cellStyle name="Normal 3 3 17 2 3" xfId="3800" xr:uid="{6522E46A-D3CD-49AE-B27A-9C01C77AA62A}"/>
    <cellStyle name="Normal 3 3 17 3" xfId="1715" xr:uid="{1784E26E-F06E-484B-A76D-1FA374CD83A6}"/>
    <cellStyle name="Normal 3 3 17 3 2" xfId="4575" xr:uid="{2515045A-A43C-40EA-A2A0-EA0A533110F2}"/>
    <cellStyle name="Normal 3 3 17 4" xfId="3159" xr:uid="{4FD15248-5BC6-41E4-8508-3ED7321F5CC5}"/>
    <cellStyle name="Normal 3 3 18" xfId="206" xr:uid="{00000000-0005-0000-0000-0000A2040000}"/>
    <cellStyle name="Normal 3 3 18 2" xfId="928" xr:uid="{00000000-0005-0000-0000-0000A3040000}"/>
    <cellStyle name="Normal 3 3 18 2 2" xfId="2376" xr:uid="{285E371B-7372-4381-AC4F-8293E7742C6A}"/>
    <cellStyle name="Normal 3 3 18 2 2 2" xfId="5232" xr:uid="{DAB47E0A-0129-45DF-AF03-2EABC0A8B30F}"/>
    <cellStyle name="Normal 3 3 18 2 3" xfId="3814" xr:uid="{F1FE8A80-D7D7-4C56-93C4-66DE454212DD}"/>
    <cellStyle name="Normal 3 3 18 3" xfId="1729" xr:uid="{FC2A5CB6-B477-4AB2-9BCA-8B5EF4874E6F}"/>
    <cellStyle name="Normal 3 3 18 3 2" xfId="4589" xr:uid="{DE850721-2A39-43F1-BA38-2227C85016CE}"/>
    <cellStyle name="Normal 3 3 18 4" xfId="3173" xr:uid="{BF06DDE9-E2BD-4128-8423-20F7DC010832}"/>
    <cellStyle name="Normal 3 3 19" xfId="220" xr:uid="{00000000-0005-0000-0000-0000A4040000}"/>
    <cellStyle name="Normal 3 3 19 2" xfId="942" xr:uid="{00000000-0005-0000-0000-0000A5040000}"/>
    <cellStyle name="Normal 3 3 19 2 2" xfId="2390" xr:uid="{6EEEFDEB-CDCD-49D8-973C-19256FC5121E}"/>
    <cellStyle name="Normal 3 3 19 2 2 2" xfId="5246" xr:uid="{3200D466-252E-4479-8036-986F9EE3826C}"/>
    <cellStyle name="Normal 3 3 19 2 3" xfId="3828" xr:uid="{7FE72520-7301-4AE6-B47A-276CE45A04D2}"/>
    <cellStyle name="Normal 3 3 19 3" xfId="1743" xr:uid="{0643638F-E149-458B-9FB4-F238EF21C028}"/>
    <cellStyle name="Normal 3 3 19 3 2" xfId="4603" xr:uid="{D9EEB083-F49C-4A68-89D2-3DF1D5998768}"/>
    <cellStyle name="Normal 3 3 19 4" xfId="3187" xr:uid="{842B25F8-0E3F-4618-8010-6063F3128F1B}"/>
    <cellStyle name="Normal 3 3 2" xfId="34" xr:uid="{00000000-0005-0000-0000-0000A6040000}"/>
    <cellStyle name="Normal 3 3 2 10" xfId="411" xr:uid="{00000000-0005-0000-0000-0000A7040000}"/>
    <cellStyle name="Normal 3 3 2 10 2" xfId="1132" xr:uid="{00000000-0005-0000-0000-0000A8040000}"/>
    <cellStyle name="Normal 3 3 2 10 2 2" xfId="2580" xr:uid="{70F5B229-2162-4D8F-A359-1BBC8EB09889}"/>
    <cellStyle name="Normal 3 3 2 10 2 2 2" xfId="5436" xr:uid="{507C5716-D012-4479-BF72-910372CE215C}"/>
    <cellStyle name="Normal 3 3 2 10 2 3" xfId="4018" xr:uid="{3E5CB99B-F5EE-4624-956C-D253772BD1C9}"/>
    <cellStyle name="Normal 3 3 2 10 3" xfId="1934" xr:uid="{33D6CD3C-B82C-4F1F-BE57-866B96E3C1EB}"/>
    <cellStyle name="Normal 3 3 2 10 3 2" xfId="4794" xr:uid="{E45F04FE-87C3-4D52-BC76-B915BC6559B6}"/>
    <cellStyle name="Normal 3 3 2 10 4" xfId="3378" xr:uid="{73A7B3D9-4F7B-4DC0-82E1-62D66F1A9D87}"/>
    <cellStyle name="Normal 3 3 2 11" xfId="423" xr:uid="{00000000-0005-0000-0000-0000A9040000}"/>
    <cellStyle name="Normal 3 3 2 11 2" xfId="1144" xr:uid="{00000000-0005-0000-0000-0000AA040000}"/>
    <cellStyle name="Normal 3 3 2 11 2 2" xfId="2592" xr:uid="{0C29E053-C2B8-407E-89D5-55FB73F1B1A4}"/>
    <cellStyle name="Normal 3 3 2 11 2 2 2" xfId="5448" xr:uid="{0C180E81-6EDA-4DFB-B818-EFA1F836CBEB}"/>
    <cellStyle name="Normal 3 3 2 11 2 3" xfId="4030" xr:uid="{939B7440-9BAA-44D1-BCDA-1A3CCE24E861}"/>
    <cellStyle name="Normal 3 3 2 11 3" xfId="1946" xr:uid="{50C2F41B-1D21-4C9E-8FAC-85DF95AA3FD6}"/>
    <cellStyle name="Normal 3 3 2 11 3 2" xfId="4806" xr:uid="{23F44BDE-B7EA-4050-96C2-44D335447E8F}"/>
    <cellStyle name="Normal 3 3 2 11 4" xfId="3390" xr:uid="{FDBC61CA-9234-437D-B019-3F136EDCC460}"/>
    <cellStyle name="Normal 3 3 2 12" xfId="432" xr:uid="{00000000-0005-0000-0000-0000AB040000}"/>
    <cellStyle name="Normal 3 3 2 12 2" xfId="1153" xr:uid="{00000000-0005-0000-0000-0000AC040000}"/>
    <cellStyle name="Normal 3 3 2 12 2 2" xfId="2601" xr:uid="{31D3A69A-AD7A-4382-B4B5-832520C30849}"/>
    <cellStyle name="Normal 3 3 2 12 2 2 2" xfId="5457" xr:uid="{5A66DB3A-4372-473B-A651-3AEDDEBB2AC4}"/>
    <cellStyle name="Normal 3 3 2 12 2 3" xfId="4039" xr:uid="{AF2CD6A0-4C79-4554-99D9-286136A9A363}"/>
    <cellStyle name="Normal 3 3 2 12 3" xfId="1955" xr:uid="{589F903C-11BF-42B3-A766-4ECB8EE73C77}"/>
    <cellStyle name="Normal 3 3 2 12 3 2" xfId="4815" xr:uid="{6BE785BC-C9B4-4C70-A1EC-0CA9F970E3AC}"/>
    <cellStyle name="Normal 3 3 2 12 4" xfId="3399" xr:uid="{1EE730EE-2408-4F4B-8727-7006E45EF82D}"/>
    <cellStyle name="Normal 3 3 2 13" xfId="448" xr:uid="{00000000-0005-0000-0000-0000AD040000}"/>
    <cellStyle name="Normal 3 3 2 13 2" xfId="1169" xr:uid="{00000000-0005-0000-0000-0000AE040000}"/>
    <cellStyle name="Normal 3 3 2 13 2 2" xfId="2617" xr:uid="{4FC47019-9C67-4499-B298-4ABCE005B814}"/>
    <cellStyle name="Normal 3 3 2 13 2 2 2" xfId="5473" xr:uid="{E6BA5813-E094-4136-8FF4-93E28A24FD6B}"/>
    <cellStyle name="Normal 3 3 2 13 2 3" xfId="4055" xr:uid="{2FE90634-37FF-455F-AAA1-4B62BF3F371E}"/>
    <cellStyle name="Normal 3 3 2 13 3" xfId="1971" xr:uid="{3280EBCB-69AC-4642-BD03-AD10CCB12C0A}"/>
    <cellStyle name="Normal 3 3 2 13 3 2" xfId="4831" xr:uid="{539A695A-962E-45ED-9D13-39460EB1BBAB}"/>
    <cellStyle name="Normal 3 3 2 13 4" xfId="3415" xr:uid="{4927C09D-BECB-4E0F-89BC-245D23EDE455}"/>
    <cellStyle name="Normal 3 3 2 14" xfId="466" xr:uid="{00000000-0005-0000-0000-0000AF040000}"/>
    <cellStyle name="Normal 3 3 2 14 2" xfId="1186" xr:uid="{00000000-0005-0000-0000-0000B0040000}"/>
    <cellStyle name="Normal 3 3 2 14 2 2" xfId="2634" xr:uid="{2F0F00EF-746F-4E7B-8461-0976A44799EA}"/>
    <cellStyle name="Normal 3 3 2 14 2 2 2" xfId="5490" xr:uid="{D615BCB1-2654-4995-A6F5-EC0468E41060}"/>
    <cellStyle name="Normal 3 3 2 14 2 3" xfId="4072" xr:uid="{215E4DD7-1C40-48DE-A61D-A0D64338CDA2}"/>
    <cellStyle name="Normal 3 3 2 14 3" xfId="1989" xr:uid="{4368DCA6-BF5E-4AB4-B0FE-03C0F1BE9C98}"/>
    <cellStyle name="Normal 3 3 2 14 3 2" xfId="4849" xr:uid="{77E721A4-2748-4764-8D9E-FE335B390DEF}"/>
    <cellStyle name="Normal 3 3 2 14 4" xfId="3433" xr:uid="{323799CB-6C39-4620-B340-8E695811AC23}"/>
    <cellStyle name="Normal 3 3 2 15" xfId="481" xr:uid="{00000000-0005-0000-0000-0000B1040000}"/>
    <cellStyle name="Normal 3 3 2 15 2" xfId="1201" xr:uid="{00000000-0005-0000-0000-0000B2040000}"/>
    <cellStyle name="Normal 3 3 2 15 2 2" xfId="2649" xr:uid="{2CFF7C50-2C43-441E-BEEF-74856F44DDB6}"/>
    <cellStyle name="Normal 3 3 2 15 2 2 2" xfId="5505" xr:uid="{D7E29841-BF4A-4AC8-9289-C383BFF53C35}"/>
    <cellStyle name="Normal 3 3 2 15 2 3" xfId="4087" xr:uid="{D4D0674B-909B-448D-A15C-B1E3F915D67E}"/>
    <cellStyle name="Normal 3 3 2 15 3" xfId="2004" xr:uid="{EFB0AE9B-B95C-4563-BD11-9587AEE34AEE}"/>
    <cellStyle name="Normal 3 3 2 15 3 2" xfId="4864" xr:uid="{67ABE514-A97B-4690-90A5-763401CCC355}"/>
    <cellStyle name="Normal 3 3 2 15 4" xfId="3448" xr:uid="{FC744071-FC8F-4FED-B64C-CB6FB18C0571}"/>
    <cellStyle name="Normal 3 3 2 16" xfId="495" xr:uid="{00000000-0005-0000-0000-0000B3040000}"/>
    <cellStyle name="Normal 3 3 2 16 2" xfId="1214" xr:uid="{00000000-0005-0000-0000-0000B4040000}"/>
    <cellStyle name="Normal 3 3 2 16 2 2" xfId="2662" xr:uid="{CF639D53-EC41-4F4D-B8E5-BD35278B7E79}"/>
    <cellStyle name="Normal 3 3 2 16 2 2 2" xfId="5518" xr:uid="{B3A1113B-D906-46C5-9797-711D787623ED}"/>
    <cellStyle name="Normal 3 3 2 16 2 3" xfId="4100" xr:uid="{2E206489-9F61-4A46-B795-E0782D8C4A47}"/>
    <cellStyle name="Normal 3 3 2 16 3" xfId="2017" xr:uid="{F442692B-0F13-49D8-B172-6350E0F2A9D7}"/>
    <cellStyle name="Normal 3 3 2 16 3 2" xfId="4877" xr:uid="{98180AD6-B7B3-46C4-9C9A-DF4AB1BED728}"/>
    <cellStyle name="Normal 3 3 2 16 4" xfId="3461" xr:uid="{F425F96F-015B-4346-A64A-9C68D2AE5119}"/>
    <cellStyle name="Normal 3 3 2 17" xfId="506" xr:uid="{00000000-0005-0000-0000-0000B5040000}"/>
    <cellStyle name="Normal 3 3 2 17 2" xfId="1225" xr:uid="{00000000-0005-0000-0000-0000B6040000}"/>
    <cellStyle name="Normal 3 3 2 17 2 2" xfId="2673" xr:uid="{14A36897-98EE-4AF7-9328-CC4204F66B92}"/>
    <cellStyle name="Normal 3 3 2 17 2 2 2" xfId="5529" xr:uid="{FEE2DAB6-807E-41FC-8ED0-7B204BB8AF03}"/>
    <cellStyle name="Normal 3 3 2 17 2 3" xfId="4111" xr:uid="{2D8EE0C6-25CC-454E-8FE5-7FB876A2F3B7}"/>
    <cellStyle name="Normal 3 3 2 17 3" xfId="2028" xr:uid="{54520521-3C81-4D33-864A-5495A67B6B97}"/>
    <cellStyle name="Normal 3 3 2 17 3 2" xfId="4888" xr:uid="{17B6B087-9097-4E0D-92D4-842614C441FE}"/>
    <cellStyle name="Normal 3 3 2 17 4" xfId="3472" xr:uid="{0022D7B9-02DF-4C9A-A146-4DC6041E9396}"/>
    <cellStyle name="Normal 3 3 2 18" xfId="518" xr:uid="{00000000-0005-0000-0000-0000B7040000}"/>
    <cellStyle name="Normal 3 3 2 18 2" xfId="1237" xr:uid="{00000000-0005-0000-0000-0000B8040000}"/>
    <cellStyle name="Normal 3 3 2 18 2 2" xfId="2685" xr:uid="{0C7A84C1-C03F-4D73-B626-0CBAD7DDDEEC}"/>
    <cellStyle name="Normal 3 3 2 18 2 2 2" xfId="5541" xr:uid="{3ED5DF67-E44A-4583-ADF8-17B57792D7A8}"/>
    <cellStyle name="Normal 3 3 2 18 2 3" xfId="4123" xr:uid="{22DE008D-C78D-40F7-BC90-33C640B55393}"/>
    <cellStyle name="Normal 3 3 2 18 3" xfId="2040" xr:uid="{2B527076-48CD-4233-92C4-E0E3AC97333B}"/>
    <cellStyle name="Normal 3 3 2 18 3 2" xfId="4900" xr:uid="{BFF0BCC7-10C5-4A24-AC40-326BB4DFC04D}"/>
    <cellStyle name="Normal 3 3 2 18 4" xfId="3484" xr:uid="{C230B446-666C-4FAD-9DDE-6546991E2C31}"/>
    <cellStyle name="Normal 3 3 2 19" xfId="529" xr:uid="{00000000-0005-0000-0000-0000B9040000}"/>
    <cellStyle name="Normal 3 3 2 19 2" xfId="537" xr:uid="{00000000-0005-0000-0000-0000BA040000}"/>
    <cellStyle name="Normal 3 3 2 19 2 2" xfId="1256" xr:uid="{00000000-0005-0000-0000-0000BB040000}"/>
    <cellStyle name="Normal 3 3 2 19 2 2 2" xfId="2704" xr:uid="{19DED58C-88DD-4515-8B84-85BDC8101C6D}"/>
    <cellStyle name="Normal 3 3 2 19 2 2 2 2" xfId="5560" xr:uid="{84B521FC-10BC-4E8D-9F7C-B7B00BC863CD}"/>
    <cellStyle name="Normal 3 3 2 19 2 2 3" xfId="4142" xr:uid="{BB9839FD-3E93-4626-9B15-D4EAFDF1A6BB}"/>
    <cellStyle name="Normal 3 3 2 19 2 3" xfId="2059" xr:uid="{0D52E7D6-67AC-4143-818F-7783EAB822D4}"/>
    <cellStyle name="Normal 3 3 2 19 2 3 2" xfId="4919" xr:uid="{DE0DD65D-B92F-4737-A2A0-CB7CF2A25063}"/>
    <cellStyle name="Normal 3 3 2 19 2 4" xfId="3503" xr:uid="{B23C73B1-81E2-4D60-B7AE-615D3D92702C}"/>
    <cellStyle name="Normal 3 3 2 19 3" xfId="1248" xr:uid="{00000000-0005-0000-0000-0000BC040000}"/>
    <cellStyle name="Normal 3 3 2 19 3 2" xfId="2696" xr:uid="{0BC4D609-B663-472B-B877-8BB9965FA771}"/>
    <cellStyle name="Normal 3 3 2 19 3 2 2" xfId="5552" xr:uid="{25301C66-746F-4F47-9582-CF0A65A1286A}"/>
    <cellStyle name="Normal 3 3 2 19 3 3" xfId="4134" xr:uid="{6CADF76F-2499-4906-AB23-B271D921886F}"/>
    <cellStyle name="Normal 3 3 2 19 4" xfId="2051" xr:uid="{E3D938EB-CE45-4824-BD37-604FBD400D92}"/>
    <cellStyle name="Normal 3 3 2 19 4 2" xfId="4911" xr:uid="{4213C3E7-F8D3-46C9-83F9-16400D06CF04}"/>
    <cellStyle name="Normal 3 3 2 19 5" xfId="3495" xr:uid="{169B45D7-9394-4E92-8648-91304FC80807}"/>
    <cellStyle name="Normal 3 3 2 2" xfId="303" xr:uid="{00000000-0005-0000-0000-0000BD040000}"/>
    <cellStyle name="Normal 3 3 2 2 2" xfId="1024" xr:uid="{00000000-0005-0000-0000-0000BE040000}"/>
    <cellStyle name="Normal 3 3 2 2 2 2" xfId="2472" xr:uid="{D00F4CD4-1777-4DD1-BBC1-414F479FBBBA}"/>
    <cellStyle name="Normal 3 3 2 2 2 2 2" xfId="5328" xr:uid="{70A932E1-4935-4957-A7BF-9845D060CAC3}"/>
    <cellStyle name="Normal 3 3 2 2 2 3" xfId="3910" xr:uid="{C92027E7-57CF-4388-B872-B5A3C2794CD4}"/>
    <cellStyle name="Normal 3 3 2 2 3" xfId="1826" xr:uid="{A2182D26-013F-4461-AA0F-D81E69E12EAA}"/>
    <cellStyle name="Normal 3 3 2 2 3 2" xfId="4686" xr:uid="{8E2BBD7D-55F5-4B26-8274-97007AE56411}"/>
    <cellStyle name="Normal 3 3 2 2 4" xfId="3270" xr:uid="{BF40FE66-ECF1-426E-8552-740E2730B0DA}"/>
    <cellStyle name="Normal 3 3 2 20" xfId="545" xr:uid="{00000000-0005-0000-0000-0000BF040000}"/>
    <cellStyle name="Normal 3 3 2 20 2" xfId="1264" xr:uid="{00000000-0005-0000-0000-0000C0040000}"/>
    <cellStyle name="Normal 3 3 2 20 2 2" xfId="2712" xr:uid="{890687B9-2C9C-41F1-8F59-77A84FA9A6B4}"/>
    <cellStyle name="Normal 3 3 2 20 2 2 2" xfId="5568" xr:uid="{9F1FFD21-265A-4156-87E0-477FBDC4DD06}"/>
    <cellStyle name="Normal 3 3 2 20 2 3" xfId="4150" xr:uid="{05FB0FF3-0136-44C5-AB1D-EDF7735BF36F}"/>
    <cellStyle name="Normal 3 3 2 20 3" xfId="2067" xr:uid="{4A34A085-5EB9-4F47-92C1-56AC29D1671F}"/>
    <cellStyle name="Normal 3 3 2 20 3 2" xfId="4927" xr:uid="{3F070FE2-9577-4C43-8408-DF2FC6B50173}"/>
    <cellStyle name="Normal 3 3 2 20 4" xfId="3511" xr:uid="{F15B0E20-32ED-4194-A5E8-BE2A0A407F1A}"/>
    <cellStyle name="Normal 3 3 2 21" xfId="561" xr:uid="{00000000-0005-0000-0000-0000C1040000}"/>
    <cellStyle name="Normal 3 3 2 21 2" xfId="1280" xr:uid="{00000000-0005-0000-0000-0000C2040000}"/>
    <cellStyle name="Normal 3 3 2 21 2 2" xfId="2728" xr:uid="{9DBD7711-B88C-477D-A33C-F9E83CC33445}"/>
    <cellStyle name="Normal 3 3 2 21 2 2 2" xfId="5584" xr:uid="{802EAC63-1F66-4E03-938B-6241DE747D48}"/>
    <cellStyle name="Normal 3 3 2 21 2 3" xfId="4166" xr:uid="{9E800025-E076-45DA-AF7D-F32D3BC7646F}"/>
    <cellStyle name="Normal 3 3 2 21 3" xfId="2083" xr:uid="{C43F077B-CDC7-43FF-8B84-9B1B486A5DC6}"/>
    <cellStyle name="Normal 3 3 2 21 3 2" xfId="4943" xr:uid="{B8CC35B3-F963-4C40-858C-6690C26BD6FF}"/>
    <cellStyle name="Normal 3 3 2 21 4" xfId="3527" xr:uid="{DBC71A84-ADF5-42CB-BF90-F532B79106D7}"/>
    <cellStyle name="Normal 3 3 2 22" xfId="574" xr:uid="{00000000-0005-0000-0000-0000C3040000}"/>
    <cellStyle name="Normal 3 3 2 22 2" xfId="600" xr:uid="{00000000-0005-0000-0000-0000C4040000}"/>
    <cellStyle name="Normal 3 3 2 22 2 2" xfId="1318" xr:uid="{00000000-0005-0000-0000-0000C5040000}"/>
    <cellStyle name="Normal 3 3 2 22 2 2 2" xfId="2766" xr:uid="{5F9DBB48-0B35-402B-A4DC-2371837C0E7A}"/>
    <cellStyle name="Normal 3 3 2 22 2 2 2 2" xfId="5622" xr:uid="{F9F2CCF3-B94E-4737-887B-6165B2DE213B}"/>
    <cellStyle name="Normal 3 3 2 22 2 2 3" xfId="4204" xr:uid="{68B9CCAA-AFDF-48FC-BD04-8A6DFA3FA2D6}"/>
    <cellStyle name="Normal 3 3 2 22 2 3" xfId="2121" xr:uid="{C6EB126F-F044-4DB3-A597-09FB7B314351}"/>
    <cellStyle name="Normal 3 3 2 22 2 3 2" xfId="4981" xr:uid="{50CB6575-F49E-424A-A585-E94DE7AAAA48}"/>
    <cellStyle name="Normal 3 3 2 22 2 4" xfId="3565" xr:uid="{0DE3BFE8-DDF2-441C-AD3C-B4C894332A21}"/>
    <cellStyle name="Normal 3 3 2 22 3" xfId="1293" xr:uid="{00000000-0005-0000-0000-0000C6040000}"/>
    <cellStyle name="Normal 3 3 2 22 3 2" xfId="2741" xr:uid="{427F6131-63D2-4719-8EB3-98D0ACA04705}"/>
    <cellStyle name="Normal 3 3 2 22 3 2 2" xfId="5597" xr:uid="{8CAE2EF7-478A-4F1F-97EC-4CA46E864466}"/>
    <cellStyle name="Normal 3 3 2 22 3 3" xfId="4179" xr:uid="{CB53F131-DD22-416D-B041-BF581BCE53A1}"/>
    <cellStyle name="Normal 3 3 2 22 4" xfId="2096" xr:uid="{7D4E8722-4858-4CB3-A476-BC13551D5C8A}"/>
    <cellStyle name="Normal 3 3 2 22 4 2" xfId="4956" xr:uid="{4214605F-4D16-4D57-9CBF-62F250245512}"/>
    <cellStyle name="Normal 3 3 2 22 5" xfId="3540" xr:uid="{16DAF698-C368-4849-897C-6FB0D89045A2}"/>
    <cellStyle name="Normal 3 3 2 23" xfId="578" xr:uid="{00000000-0005-0000-0000-0000C7040000}"/>
    <cellStyle name="Normal 3 3 2 23 2" xfId="1297" xr:uid="{00000000-0005-0000-0000-0000C8040000}"/>
    <cellStyle name="Normal 3 3 2 23 2 2" xfId="2745" xr:uid="{05EB8BE8-0B81-42EA-B10F-30A20DD1AF79}"/>
    <cellStyle name="Normal 3 3 2 23 2 2 2" xfId="5601" xr:uid="{53D1D4AE-C39F-4BEE-8882-F32D595F54D3}"/>
    <cellStyle name="Normal 3 3 2 23 2 3" xfId="4183" xr:uid="{38391145-3B7B-46EF-93CE-B049E4131215}"/>
    <cellStyle name="Normal 3 3 2 23 3" xfId="2100" xr:uid="{4060A1A3-5EA6-426A-9131-E6C0C6388D84}"/>
    <cellStyle name="Normal 3 3 2 23 3 2" xfId="4960" xr:uid="{B310A12F-B2A2-48D3-AD6E-E9CBDB68EDBE}"/>
    <cellStyle name="Normal 3 3 2 23 4" xfId="3544" xr:uid="{38E4D5F2-17F2-4842-8D25-00E5C243A4D7}"/>
    <cellStyle name="Normal 3 3 2 24" xfId="592" xr:uid="{00000000-0005-0000-0000-0000C9040000}"/>
    <cellStyle name="Normal 3 3 2 24 2" xfId="1310" xr:uid="{00000000-0005-0000-0000-0000CA040000}"/>
    <cellStyle name="Normal 3 3 2 24 2 2" xfId="2758" xr:uid="{67B93B23-5987-4B45-8B6F-D7F943D149C2}"/>
    <cellStyle name="Normal 3 3 2 24 2 2 2" xfId="5614" xr:uid="{E36DE65D-D16C-46E0-AC44-19CC77827594}"/>
    <cellStyle name="Normal 3 3 2 24 2 3" xfId="4196" xr:uid="{585FFA20-3EB3-4CA7-9BF2-63A805B6676B}"/>
    <cellStyle name="Normal 3 3 2 24 3" xfId="2113" xr:uid="{2CFCF1A4-7A17-4084-87AF-2A1F8D4A04FC}"/>
    <cellStyle name="Normal 3 3 2 24 3 2" xfId="4973" xr:uid="{5E9B2853-7AA1-4557-9ABD-B6ADD83F4515}"/>
    <cellStyle name="Normal 3 3 2 24 4" xfId="3557" xr:uid="{84E52C1F-9BD7-4B24-92A1-4937BBEC9D8C}"/>
    <cellStyle name="Normal 3 3 2 25" xfId="598" xr:uid="{00000000-0005-0000-0000-0000CB040000}"/>
    <cellStyle name="Normal 3 3 2 25 2" xfId="1316" xr:uid="{00000000-0005-0000-0000-0000CC040000}"/>
    <cellStyle name="Normal 3 3 2 25 2 2" xfId="2764" xr:uid="{174A744D-6238-4541-8D04-8AF7C260F173}"/>
    <cellStyle name="Normal 3 3 2 25 2 2 2" xfId="5620" xr:uid="{A3E121FF-31FC-4BA8-BCAD-C0B9AC9E6FF5}"/>
    <cellStyle name="Normal 3 3 2 25 2 3" xfId="4202" xr:uid="{3062E8D9-6D6A-4E7D-B5F1-7C48DC4054DC}"/>
    <cellStyle name="Normal 3 3 2 25 3" xfId="2119" xr:uid="{C99BDB69-75A5-4B40-87B2-7523008769BE}"/>
    <cellStyle name="Normal 3 3 2 25 3 2" xfId="4979" xr:uid="{1E1A4378-188F-4511-8104-E158080BE21A}"/>
    <cellStyle name="Normal 3 3 2 25 4" xfId="3563" xr:uid="{4CCB7957-4E0B-41E4-ABFC-734935931249}"/>
    <cellStyle name="Normal 3 3 2 26" xfId="607" xr:uid="{00000000-0005-0000-0000-0000CD040000}"/>
    <cellStyle name="Normal 3 3 2 26 2" xfId="1325" xr:uid="{00000000-0005-0000-0000-0000CE040000}"/>
    <cellStyle name="Normal 3 3 2 26 2 2" xfId="2773" xr:uid="{F341818A-41F7-483C-9CF7-1885833966A3}"/>
    <cellStyle name="Normal 3 3 2 26 2 2 2" xfId="5629" xr:uid="{C51A4803-C9E4-4922-906C-51B5329CEAB8}"/>
    <cellStyle name="Normal 3 3 2 26 2 3" xfId="4211" xr:uid="{C4C03A5F-3216-4FA9-9853-C1B528732A2D}"/>
    <cellStyle name="Normal 3 3 2 26 3" xfId="2128" xr:uid="{ECE3685A-4986-403D-A046-8B7B7C6F6CE9}"/>
    <cellStyle name="Normal 3 3 2 26 3 2" xfId="4988" xr:uid="{11DC41C1-C429-4A51-B539-68ED1D4F15B7}"/>
    <cellStyle name="Normal 3 3 2 26 4" xfId="3572" xr:uid="{C796FB67-30FF-4425-AB39-CB91D92233E4}"/>
    <cellStyle name="Normal 3 3 2 27" xfId="615" xr:uid="{00000000-0005-0000-0000-0000CF040000}"/>
    <cellStyle name="Normal 3 3 2 27 2" xfId="1333" xr:uid="{00000000-0005-0000-0000-0000D0040000}"/>
    <cellStyle name="Normal 3 3 2 27 2 2" xfId="2781" xr:uid="{1FCA0E8A-8080-4C3D-B73B-8D14E581B379}"/>
    <cellStyle name="Normal 3 3 2 27 2 2 2" xfId="5637" xr:uid="{685DB051-4326-4205-B727-82ABFBA44F12}"/>
    <cellStyle name="Normal 3 3 2 27 2 3" xfId="4219" xr:uid="{25884DB3-900B-4D26-85FE-03EA5E4CCC5F}"/>
    <cellStyle name="Normal 3 3 2 27 3" xfId="2136" xr:uid="{84C6F2CB-D477-4E8E-B2AA-A4985BA57F9B}"/>
    <cellStyle name="Normal 3 3 2 27 3 2" xfId="4996" xr:uid="{070DE3E8-CF25-4DBD-B6BE-A1409B7B6472}"/>
    <cellStyle name="Normal 3 3 2 27 4" xfId="3580" xr:uid="{7C710AE3-250E-4A06-A02C-D78FEC10F65F}"/>
    <cellStyle name="Normal 3 3 2 28" xfId="622" xr:uid="{00000000-0005-0000-0000-0000D1040000}"/>
    <cellStyle name="Normal 3 3 2 28 2" xfId="627" xr:uid="{00000000-0005-0000-0000-0000D2040000}"/>
    <cellStyle name="Normal 3 3 2 28 2 2" xfId="638" xr:uid="{00000000-0005-0000-0000-0000D3040000}"/>
    <cellStyle name="Normal 3 3 2 28 2 2 2" xfId="1352" xr:uid="{00000000-0005-0000-0000-0000D4040000}"/>
    <cellStyle name="Normal 3 3 2 28 2 2 2 2" xfId="2800" xr:uid="{E454F64D-4DDA-42EB-B3F6-2F70CD713E18}"/>
    <cellStyle name="Normal 3 3 2 28 2 2 2 2 2" xfId="5656" xr:uid="{C33F9A2B-A648-440F-B08E-77C6412ECD22}"/>
    <cellStyle name="Normal 3 3 2 28 2 2 2 3" xfId="4238" xr:uid="{D8A63023-B56C-4711-9624-13D5458CD3C7}"/>
    <cellStyle name="Normal 3 3 2 28 2 2 3" xfId="2156" xr:uid="{7777454C-A406-4D7F-815F-593E451EF9D7}"/>
    <cellStyle name="Normal 3 3 2 28 2 2 3 2" xfId="5016" xr:uid="{484A958E-2931-49F7-B4CB-BBD9C06C91CA}"/>
    <cellStyle name="Normal 3 3 2 28 2 2 4" xfId="3600" xr:uid="{528C04E3-F230-4B14-8413-2616DE6F4363}"/>
    <cellStyle name="Normal 3 3 2 28 2 3" xfId="1343" xr:uid="{00000000-0005-0000-0000-0000D5040000}"/>
    <cellStyle name="Normal 3 3 2 28 2 3 2" xfId="2791" xr:uid="{64F81706-62D8-4813-99BC-4BD961B21BDE}"/>
    <cellStyle name="Normal 3 3 2 28 2 3 2 2" xfId="5647" xr:uid="{C4FCDDDB-8EB4-4001-A03B-5F6CD5CCC9C7}"/>
    <cellStyle name="Normal 3 3 2 28 2 3 3" xfId="4229" xr:uid="{8F9FA72E-5707-4446-8388-75FB2171A7C6}"/>
    <cellStyle name="Normal 3 3 2 28 2 4" xfId="2147" xr:uid="{42E64126-A624-4670-89C9-696A4394D1EB}"/>
    <cellStyle name="Normal 3 3 2 28 2 4 2" xfId="5007" xr:uid="{8FDD00EE-23CB-4426-9D87-29AEA08FF074}"/>
    <cellStyle name="Normal 3 3 2 28 2 5" xfId="3591" xr:uid="{21EE0F70-6908-4DC6-9B35-8C97CCA1CA4E}"/>
    <cellStyle name="Normal 3 3 2 28 3" xfId="1339" xr:uid="{00000000-0005-0000-0000-0000D6040000}"/>
    <cellStyle name="Normal 3 3 2 28 3 2" xfId="2787" xr:uid="{C33D35A2-0F49-4964-8F60-792173969447}"/>
    <cellStyle name="Normal 3 3 2 28 3 2 2" xfId="5643" xr:uid="{4216D98D-86C8-4501-8FB4-345200D33575}"/>
    <cellStyle name="Normal 3 3 2 28 3 3" xfId="4225" xr:uid="{0B3DE1A9-EC02-4B45-9881-1459743D0E71}"/>
    <cellStyle name="Normal 3 3 2 28 4" xfId="2143" xr:uid="{AC5D3540-F7EF-4CDD-A47D-AD1FFB202088}"/>
    <cellStyle name="Normal 3 3 2 28 4 2" xfId="5003" xr:uid="{3DF9F4EA-4878-4CF0-A2D3-83DDE9BECF1A}"/>
    <cellStyle name="Normal 3 3 2 28 5" xfId="3587" xr:uid="{D9856AB2-7687-4BB0-AD8F-8C5775C83712}"/>
    <cellStyle name="Normal 3 3 2 29" xfId="632" xr:uid="{00000000-0005-0000-0000-0000D7040000}"/>
    <cellStyle name="Normal 3 3 2 29 2" xfId="1346" xr:uid="{00000000-0005-0000-0000-0000D8040000}"/>
    <cellStyle name="Normal 3 3 2 29 2 2" xfId="2794" xr:uid="{8492309E-666A-4EE3-852A-BF877220A6F6}"/>
    <cellStyle name="Normal 3 3 2 29 2 2 2" xfId="5650" xr:uid="{D93B2C79-60D8-4CEE-8BA8-E0182C7139BA}"/>
    <cellStyle name="Normal 3 3 2 29 2 3" xfId="4232" xr:uid="{42F0F823-3609-48CC-9117-FC110E3BECFD}"/>
    <cellStyle name="Normal 3 3 2 29 3" xfId="2150" xr:uid="{752672BD-D48A-488B-AFC7-D415AD945AC6}"/>
    <cellStyle name="Normal 3 3 2 29 3 2" xfId="5010" xr:uid="{0AA50BFD-01F8-4BB7-9CC1-E1051CBBDCC3}"/>
    <cellStyle name="Normal 3 3 2 29 4" xfId="3594" xr:uid="{687E23D5-B18B-4866-BAE0-BA702FB2785B}"/>
    <cellStyle name="Normal 3 3 2 3" xfId="316" xr:uid="{00000000-0005-0000-0000-0000D9040000}"/>
    <cellStyle name="Normal 3 3 2 3 2" xfId="1037" xr:uid="{00000000-0005-0000-0000-0000DA040000}"/>
    <cellStyle name="Normal 3 3 2 3 2 2" xfId="2485" xr:uid="{C7AEB478-B720-4A36-BD34-04C6428B9DB0}"/>
    <cellStyle name="Normal 3 3 2 3 2 2 2" xfId="5341" xr:uid="{B29D405B-23F1-4298-97A8-517B6FE1C031}"/>
    <cellStyle name="Normal 3 3 2 3 2 3" xfId="3923" xr:uid="{5A699442-49C3-40BB-874A-08EEA0D36BB0}"/>
    <cellStyle name="Normal 3 3 2 3 3" xfId="1839" xr:uid="{4AC41F65-41F3-4E61-8DDA-A26CC74CD4D0}"/>
    <cellStyle name="Normal 3 3 2 3 3 2" xfId="4699" xr:uid="{B937F35A-4378-4D2F-8D39-035F0857FC70}"/>
    <cellStyle name="Normal 3 3 2 3 4" xfId="3283" xr:uid="{A90DC022-6BCA-4FC2-8F2A-D2C59030C57D}"/>
    <cellStyle name="Normal 3 3 2 30" xfId="775" xr:uid="{00000000-0005-0000-0000-0000DB040000}"/>
    <cellStyle name="Normal 3 3 2 30 2" xfId="2227" xr:uid="{36245655-B4FB-4AC3-9416-22994D95AF2C}"/>
    <cellStyle name="Normal 3 3 2 30 2 2" xfId="5083" xr:uid="{5A9AC7E8-83FB-4B3C-B0F7-A29BCA5334B3}"/>
    <cellStyle name="Normal 3 3 2 30 3" xfId="3665" xr:uid="{76A4638E-A337-4269-9EBB-4FD0761FEF58}"/>
    <cellStyle name="Normal 3 3 2 31" xfId="1579" xr:uid="{026B99C8-5381-4818-856E-7FCD8A7B532F}"/>
    <cellStyle name="Normal 3 3 2 31 2" xfId="4439" xr:uid="{DA2F549B-B436-405E-90E9-D8365194719B}"/>
    <cellStyle name="Normal 3 3 2 32" xfId="3024" xr:uid="{87B4FDF1-D776-4221-AC92-8CE591766CF8}"/>
    <cellStyle name="Normal 3 3 2 4" xfId="330" xr:uid="{00000000-0005-0000-0000-0000DC040000}"/>
    <cellStyle name="Normal 3 3 2 4 2" xfId="1051" xr:uid="{00000000-0005-0000-0000-0000DD040000}"/>
    <cellStyle name="Normal 3 3 2 4 2 2" xfId="2499" xr:uid="{2E3ECBF8-63E7-44CD-8247-A551CAAC66D4}"/>
    <cellStyle name="Normal 3 3 2 4 2 2 2" xfId="5355" xr:uid="{0DDB3986-9434-4527-A82D-C3A363AE0B68}"/>
    <cellStyle name="Normal 3 3 2 4 2 3" xfId="3937" xr:uid="{0AFFC10E-04C2-46B0-AB89-3514180E2628}"/>
    <cellStyle name="Normal 3 3 2 4 3" xfId="1853" xr:uid="{D2DE02C5-9FF4-44A0-8086-A74608AE9220}"/>
    <cellStyle name="Normal 3 3 2 4 3 2" xfId="4713" xr:uid="{2EA75EAE-DA96-4B07-815B-D046B72C7551}"/>
    <cellStyle name="Normal 3 3 2 4 4" xfId="3297" xr:uid="{CF404BEB-5E30-429A-BFCB-1CD1A75E8068}"/>
    <cellStyle name="Normal 3 3 2 5" xfId="347" xr:uid="{00000000-0005-0000-0000-0000DE040000}"/>
    <cellStyle name="Normal 3 3 2 5 2" xfId="1068" xr:uid="{00000000-0005-0000-0000-0000DF040000}"/>
    <cellStyle name="Normal 3 3 2 5 2 2" xfId="2516" xr:uid="{A9993460-053F-4C36-BC13-152DA40862EC}"/>
    <cellStyle name="Normal 3 3 2 5 2 2 2" xfId="5372" xr:uid="{F8C145F0-C0CA-49A9-9CC9-6E9568C6AF8D}"/>
    <cellStyle name="Normal 3 3 2 5 2 3" xfId="3954" xr:uid="{54A3B9B8-8201-433A-A156-28A80A805B58}"/>
    <cellStyle name="Normal 3 3 2 5 3" xfId="1870" xr:uid="{D9B99629-028B-44DC-9920-C1303C73179B}"/>
    <cellStyle name="Normal 3 3 2 5 3 2" xfId="4730" xr:uid="{CF76B237-E9DF-41F2-83DC-78996A49850F}"/>
    <cellStyle name="Normal 3 3 2 5 4" xfId="3314" xr:uid="{A84B7F74-5824-4217-961C-7FFE4CA3B760}"/>
    <cellStyle name="Normal 3 3 2 6" xfId="358" xr:uid="{00000000-0005-0000-0000-0000E0040000}"/>
    <cellStyle name="Normal 3 3 2 6 2" xfId="1079" xr:uid="{00000000-0005-0000-0000-0000E1040000}"/>
    <cellStyle name="Normal 3 3 2 6 2 2" xfId="2527" xr:uid="{D61D96C9-5C22-4261-BE0D-199B8F0AC8A4}"/>
    <cellStyle name="Normal 3 3 2 6 2 2 2" xfId="5383" xr:uid="{8F99119D-AB4A-4052-9E39-D0AB6E2432E3}"/>
    <cellStyle name="Normal 3 3 2 6 2 3" xfId="3965" xr:uid="{20E4F771-7D2E-4E1D-AEC6-AE25670F158B}"/>
    <cellStyle name="Normal 3 3 2 6 3" xfId="1881" xr:uid="{62D104C5-5A2B-4369-8B73-E7F7AFDFA1B3}"/>
    <cellStyle name="Normal 3 3 2 6 3 2" xfId="4741" xr:uid="{68A6B755-B77C-448F-A61F-DF4E4FAFE1FB}"/>
    <cellStyle name="Normal 3 3 2 6 4" xfId="3325" xr:uid="{B7249FAC-E048-4568-BB47-8FE92079CEE7}"/>
    <cellStyle name="Normal 3 3 2 7" xfId="372" xr:uid="{00000000-0005-0000-0000-0000E2040000}"/>
    <cellStyle name="Normal 3 3 2 7 2" xfId="1093" xr:uid="{00000000-0005-0000-0000-0000E3040000}"/>
    <cellStyle name="Normal 3 3 2 7 2 2" xfId="2541" xr:uid="{3D694739-F729-4D5A-8593-867DE011E21F}"/>
    <cellStyle name="Normal 3 3 2 7 2 2 2" xfId="5397" xr:uid="{1AB18518-8D7B-45E9-90B7-77DAE740455F}"/>
    <cellStyle name="Normal 3 3 2 7 2 3" xfId="3979" xr:uid="{56086E01-56CB-4D5B-8B9E-D4355A35B43F}"/>
    <cellStyle name="Normal 3 3 2 7 3" xfId="1895" xr:uid="{0BC401A4-DD60-4444-BFE2-D3BE0E36321F}"/>
    <cellStyle name="Normal 3 3 2 7 3 2" xfId="4755" xr:uid="{32C16132-F4D3-45E5-AB52-B37AB2F69E05}"/>
    <cellStyle name="Normal 3 3 2 7 4" xfId="3339" xr:uid="{9AD801AF-68DF-4166-A9BD-E239AE7C747B}"/>
    <cellStyle name="Normal 3 3 2 8" xfId="384" xr:uid="{00000000-0005-0000-0000-0000E4040000}"/>
    <cellStyle name="Normal 3 3 2 8 2" xfId="1105" xr:uid="{00000000-0005-0000-0000-0000E5040000}"/>
    <cellStyle name="Normal 3 3 2 8 2 2" xfId="2553" xr:uid="{2BC75316-A8F9-4AA8-8B4F-6C53EF49F255}"/>
    <cellStyle name="Normal 3 3 2 8 2 2 2" xfId="5409" xr:uid="{AFA9A517-59CE-4D1D-B34D-AD83C4F93A6F}"/>
    <cellStyle name="Normal 3 3 2 8 2 3" xfId="3991" xr:uid="{D439797B-2B18-4C16-B211-DA1E3A9E46CA}"/>
    <cellStyle name="Normal 3 3 2 8 3" xfId="1907" xr:uid="{AE2752C0-0AC5-4426-81FA-EE0F928AF0B3}"/>
    <cellStyle name="Normal 3 3 2 8 3 2" xfId="4767" xr:uid="{3D719272-A5CD-470A-A3CC-F58BFCFEFD8F}"/>
    <cellStyle name="Normal 3 3 2 8 4" xfId="3351" xr:uid="{0665E794-1B68-4BE9-8ABC-C7F5A246AE73}"/>
    <cellStyle name="Normal 3 3 2 9" xfId="395" xr:uid="{00000000-0005-0000-0000-0000E6040000}"/>
    <cellStyle name="Normal 3 3 2 9 2" xfId="1116" xr:uid="{00000000-0005-0000-0000-0000E7040000}"/>
    <cellStyle name="Normal 3 3 2 9 2 2" xfId="2564" xr:uid="{F1FAD2F2-4ABD-4E0B-8891-C803A60FD092}"/>
    <cellStyle name="Normal 3 3 2 9 2 2 2" xfId="5420" xr:uid="{DE3CBF12-96E6-41AC-B1CF-C635AB108E42}"/>
    <cellStyle name="Normal 3 3 2 9 2 3" xfId="4002" xr:uid="{8DD51B6E-7431-4D6E-A875-F039AB4E7F41}"/>
    <cellStyle name="Normal 3 3 2 9 3" xfId="1918" xr:uid="{B56DA6CE-FA2D-47F3-BC6D-D2085A6E7886}"/>
    <cellStyle name="Normal 3 3 2 9 3 2" xfId="4778" xr:uid="{4BCD7862-FAC3-47A8-BE28-F957579E117E}"/>
    <cellStyle name="Normal 3 3 2 9 4" xfId="3362" xr:uid="{A00725A1-B40F-477B-AE3D-76EA48FB36C7}"/>
    <cellStyle name="Normal 3 3 20" xfId="231" xr:uid="{00000000-0005-0000-0000-0000E8040000}"/>
    <cellStyle name="Normal 3 3 20 2" xfId="953" xr:uid="{00000000-0005-0000-0000-0000E9040000}"/>
    <cellStyle name="Normal 3 3 20 2 2" xfId="2401" xr:uid="{AA99BBD0-917E-4524-A916-94DC436826FF}"/>
    <cellStyle name="Normal 3 3 20 2 2 2" xfId="5257" xr:uid="{7C31DCEF-5653-4B0D-BFFB-0067839CD10E}"/>
    <cellStyle name="Normal 3 3 20 2 3" xfId="3839" xr:uid="{48E89914-A71C-46FF-8685-BD5B13AF0683}"/>
    <cellStyle name="Normal 3 3 20 3" xfId="1754" xr:uid="{A5ABCE21-1140-42DA-BDCC-2C074F9C7B0C}"/>
    <cellStyle name="Normal 3 3 20 3 2" xfId="4614" xr:uid="{4F0615A3-6753-46D1-984F-2E505EBE4A5D}"/>
    <cellStyle name="Normal 3 3 20 4" xfId="3198" xr:uid="{C26403D6-3843-45A2-A938-728EF30C7341}"/>
    <cellStyle name="Normal 3 3 21" xfId="244" xr:uid="{00000000-0005-0000-0000-0000EA040000}"/>
    <cellStyle name="Normal 3 3 21 2" xfId="966" xr:uid="{00000000-0005-0000-0000-0000EB040000}"/>
    <cellStyle name="Normal 3 3 21 2 2" xfId="2414" xr:uid="{7DAB6C60-0D41-4402-B751-45EFF00F1E47}"/>
    <cellStyle name="Normal 3 3 21 2 2 2" xfId="5270" xr:uid="{96DB4281-17E8-491D-9FCE-854835A1ACBE}"/>
    <cellStyle name="Normal 3 3 21 2 3" xfId="3852" xr:uid="{FF8EDD47-B230-4461-872B-3D5990D9ACE9}"/>
    <cellStyle name="Normal 3 3 21 3" xfId="1767" xr:uid="{EE6C176B-D14D-451A-BBC2-2300F16D80E3}"/>
    <cellStyle name="Normal 3 3 21 3 2" xfId="4627" xr:uid="{6F25F453-A897-4564-8FEA-AB3C1B39224E}"/>
    <cellStyle name="Normal 3 3 21 4" xfId="3211" xr:uid="{89B0E686-3BA6-4843-9BF4-C1FDDA666C79}"/>
    <cellStyle name="Normal 3 3 22" xfId="256" xr:uid="{00000000-0005-0000-0000-0000EC040000}"/>
    <cellStyle name="Normal 3 3 22 2" xfId="978" xr:uid="{00000000-0005-0000-0000-0000ED040000}"/>
    <cellStyle name="Normal 3 3 22 2 2" xfId="2426" xr:uid="{0A2D30E9-D5A0-421C-9AA3-F3157DFD0F87}"/>
    <cellStyle name="Normal 3 3 22 2 2 2" xfId="5282" xr:uid="{983B14D6-24BF-4A0E-89CC-BCF9F6D76ED5}"/>
    <cellStyle name="Normal 3 3 22 2 3" xfId="3864" xr:uid="{3A72F756-72D5-4E8F-97F4-839860A37B05}"/>
    <cellStyle name="Normal 3 3 22 3" xfId="1779" xr:uid="{C2884993-6BDA-4A69-8014-C8E4F696A9FF}"/>
    <cellStyle name="Normal 3 3 22 3 2" xfId="4639" xr:uid="{71961347-18C0-4D97-8D4E-20867883B3C5}"/>
    <cellStyle name="Normal 3 3 22 4" xfId="3223" xr:uid="{A201677A-EF6B-449C-BE44-CFB09F88BB56}"/>
    <cellStyle name="Normal 3 3 23" xfId="266" xr:uid="{00000000-0005-0000-0000-0000EE040000}"/>
    <cellStyle name="Normal 3 3 23 2" xfId="988" xr:uid="{00000000-0005-0000-0000-0000EF040000}"/>
    <cellStyle name="Normal 3 3 23 2 2" xfId="2436" xr:uid="{0BAE48A3-22C8-4C5E-AD1C-B045F22DE896}"/>
    <cellStyle name="Normal 3 3 23 2 2 2" xfId="5292" xr:uid="{AB1A2C6A-7FB7-4699-AF57-BCACC87BF366}"/>
    <cellStyle name="Normal 3 3 23 2 3" xfId="3874" xr:uid="{2AD80DB6-CB6B-49B0-8CB1-E1A95C15C0AB}"/>
    <cellStyle name="Normal 3 3 23 3" xfId="1789" xr:uid="{61B524BF-7B09-43E7-BA2D-89136421D393}"/>
    <cellStyle name="Normal 3 3 23 3 2" xfId="4649" xr:uid="{94D52D45-A316-4F6B-8453-99125FA61F60}"/>
    <cellStyle name="Normal 3 3 23 4" xfId="3233" xr:uid="{3E405594-D089-4D6E-A65A-39C98EB3F7A3}"/>
    <cellStyle name="Normal 3 3 24" xfId="282" xr:uid="{00000000-0005-0000-0000-0000F0040000}"/>
    <cellStyle name="Normal 3 3 24 2" xfId="1004" xr:uid="{00000000-0005-0000-0000-0000F1040000}"/>
    <cellStyle name="Normal 3 3 24 2 2" xfId="2452" xr:uid="{9EB90450-3348-4B69-BE9B-1F21E8320D15}"/>
    <cellStyle name="Normal 3 3 24 2 2 2" xfId="5308" xr:uid="{2A1EFD7A-EFEA-4B53-9DD0-A79C5F0F6839}"/>
    <cellStyle name="Normal 3 3 24 2 3" xfId="3890" xr:uid="{DD20E49F-197E-47FE-8ED1-4A8C67F68273}"/>
    <cellStyle name="Normal 3 3 24 3" xfId="1805" xr:uid="{FF810B07-B3CA-42F1-A0E7-1447F84F5045}"/>
    <cellStyle name="Normal 3 3 24 3 2" xfId="4665" xr:uid="{70778223-0CCC-4B59-B103-06087926FBB6}"/>
    <cellStyle name="Normal 3 3 24 4" xfId="3249" xr:uid="{BB936A02-F4D4-4E77-AA7B-12044CF1BEA4}"/>
    <cellStyle name="Normal 3 3 25" xfId="298" xr:uid="{00000000-0005-0000-0000-0000F2040000}"/>
    <cellStyle name="Normal 3 3 25 2" xfId="1019" xr:uid="{00000000-0005-0000-0000-0000F3040000}"/>
    <cellStyle name="Normal 3 3 25 2 2" xfId="2467" xr:uid="{A5B95BE1-DB22-4B7C-B95C-77241D352A52}"/>
    <cellStyle name="Normal 3 3 25 2 2 2" xfId="5323" xr:uid="{C96B8797-9C0E-48B5-923D-D478030319B6}"/>
    <cellStyle name="Normal 3 3 25 2 3" xfId="3905" xr:uid="{C127354B-81F2-4E07-A31E-CFD5A50C2968}"/>
    <cellStyle name="Normal 3 3 25 3" xfId="1821" xr:uid="{DF89EC7C-E4B8-4253-B311-4964C544868E}"/>
    <cellStyle name="Normal 3 3 25 3 2" xfId="4681" xr:uid="{D144320E-1BA8-4AAF-8C05-1ABF46D7C0AC}"/>
    <cellStyle name="Normal 3 3 25 4" xfId="3265" xr:uid="{E7D39E3E-03EF-4133-B5E8-68AA3A4D58DB}"/>
    <cellStyle name="Normal 3 3 26" xfId="308" xr:uid="{00000000-0005-0000-0000-0000F4040000}"/>
    <cellStyle name="Normal 3 3 26 2" xfId="1029" xr:uid="{00000000-0005-0000-0000-0000F5040000}"/>
    <cellStyle name="Normal 3 3 26 2 2" xfId="2477" xr:uid="{CA36191D-0778-4CA0-801D-7FA8ABFE947A}"/>
    <cellStyle name="Normal 3 3 26 2 2 2" xfId="5333" xr:uid="{6DF0E078-15F0-4BFE-B309-910277EE1B94}"/>
    <cellStyle name="Normal 3 3 26 2 3" xfId="3915" xr:uid="{4B22C5E5-D279-454B-BE14-478A50BB01A0}"/>
    <cellStyle name="Normal 3 3 26 3" xfId="1831" xr:uid="{E772D025-036C-498B-AF79-A10079DAF209}"/>
    <cellStyle name="Normal 3 3 26 3 2" xfId="4691" xr:uid="{629A2EFB-A51F-4CF7-8AD9-4C5D5B74A458}"/>
    <cellStyle name="Normal 3 3 26 4" xfId="3275" xr:uid="{3422CDF0-4888-4DC6-800D-AC642C104915}"/>
    <cellStyle name="Normal 3 3 27" xfId="323" xr:uid="{00000000-0005-0000-0000-0000F6040000}"/>
    <cellStyle name="Normal 3 3 27 2" xfId="1044" xr:uid="{00000000-0005-0000-0000-0000F7040000}"/>
    <cellStyle name="Normal 3 3 27 2 2" xfId="2492" xr:uid="{D74B7C4D-48B1-4239-BAC2-0102E5E07413}"/>
    <cellStyle name="Normal 3 3 27 2 2 2" xfId="5348" xr:uid="{A2C92687-BF85-416C-8418-6948103C4D8D}"/>
    <cellStyle name="Normal 3 3 27 2 3" xfId="3930" xr:uid="{8529D060-F6B9-4743-B27E-626779D85BCF}"/>
    <cellStyle name="Normal 3 3 27 3" xfId="1846" xr:uid="{822CFA46-7A26-477C-8BAA-B7E386483A4B}"/>
    <cellStyle name="Normal 3 3 27 3 2" xfId="4706" xr:uid="{52B90401-59A0-4CD3-9EC0-03362644EA6A}"/>
    <cellStyle name="Normal 3 3 27 4" xfId="3290" xr:uid="{72278BD0-710C-4E98-BC32-67160B726D06}"/>
    <cellStyle name="Normal 3 3 28" xfId="340" xr:uid="{00000000-0005-0000-0000-0000F8040000}"/>
    <cellStyle name="Normal 3 3 28 2" xfId="1061" xr:uid="{00000000-0005-0000-0000-0000F9040000}"/>
    <cellStyle name="Normal 3 3 28 2 2" xfId="2509" xr:uid="{2D1D53E3-E576-4539-ABC1-B7BFF25A66AD}"/>
    <cellStyle name="Normal 3 3 28 2 2 2" xfId="5365" xr:uid="{684181CE-E4A2-4941-BC63-D9A684CDC3D7}"/>
    <cellStyle name="Normal 3 3 28 2 3" xfId="3947" xr:uid="{40E790C6-4C9D-46B6-8786-843C2BBDC83B}"/>
    <cellStyle name="Normal 3 3 28 3" xfId="1863" xr:uid="{4772D418-08EE-497F-9420-1B06D0966023}"/>
    <cellStyle name="Normal 3 3 28 3 2" xfId="4723" xr:uid="{DA17E0E3-967D-42C2-8793-6073EE2C4840}"/>
    <cellStyle name="Normal 3 3 28 4" xfId="3307" xr:uid="{EA9BD1FC-0E6A-4287-AC5C-BD3AC8FBD682}"/>
    <cellStyle name="Normal 3 3 29" xfId="351" xr:uid="{00000000-0005-0000-0000-0000FA040000}"/>
    <cellStyle name="Normal 3 3 29 2" xfId="1072" xr:uid="{00000000-0005-0000-0000-0000FB040000}"/>
    <cellStyle name="Normal 3 3 29 2 2" xfId="2520" xr:uid="{05332AB7-2569-4A47-B83D-CAF6D4C02C15}"/>
    <cellStyle name="Normal 3 3 29 2 2 2" xfId="5376" xr:uid="{68CCFA7C-6DA9-4947-8727-2FF3BB8701F2}"/>
    <cellStyle name="Normal 3 3 29 2 3" xfId="3958" xr:uid="{38727F08-BA7D-4D38-BC67-8D39F2E25911}"/>
    <cellStyle name="Normal 3 3 29 3" xfId="1874" xr:uid="{5766A177-A9CB-464C-90A2-6978F123E789}"/>
    <cellStyle name="Normal 3 3 29 3 2" xfId="4734" xr:uid="{8605D5B5-1AE6-41DE-89AC-249883DC735C}"/>
    <cellStyle name="Normal 3 3 29 4" xfId="3318" xr:uid="{1CB69D65-7866-47BE-9FA1-5A1639898975}"/>
    <cellStyle name="Normal 3 3 3" xfId="67" xr:uid="{00000000-0005-0000-0000-0000FC040000}"/>
    <cellStyle name="Normal 3 3 3 2" xfId="795" xr:uid="{00000000-0005-0000-0000-0000FD040000}"/>
    <cellStyle name="Normal 3 3 3 2 2" xfId="2246" xr:uid="{96D7B169-2CBC-4E52-91B6-F41C58F26BFB}"/>
    <cellStyle name="Normal 3 3 3 2 2 2" xfId="5102" xr:uid="{AC582181-C029-4575-AF42-5E85699C4F48}"/>
    <cellStyle name="Normal 3 3 3 2 3" xfId="3684" xr:uid="{2C7EE7C7-BC26-4F22-B5AB-64460B9CFE51}"/>
    <cellStyle name="Normal 3 3 3 3" xfId="1598" xr:uid="{9A9D08BA-541A-4CD2-AE51-CDE2AABBCC66}"/>
    <cellStyle name="Normal 3 3 3 3 2" xfId="4458" xr:uid="{58134FF2-6FD6-4EB5-A15E-774B5355136F}"/>
    <cellStyle name="Normal 3 3 3 4" xfId="3043" xr:uid="{15388406-64AD-47B5-B6E7-7A8009CBEFE9}"/>
    <cellStyle name="Normal 3 3 30" xfId="367" xr:uid="{00000000-0005-0000-0000-0000FE040000}"/>
    <cellStyle name="Normal 3 3 30 2" xfId="1088" xr:uid="{00000000-0005-0000-0000-0000FF040000}"/>
    <cellStyle name="Normal 3 3 30 2 2" xfId="2536" xr:uid="{EB028AE0-6FC4-4271-A970-6D8C87E20276}"/>
    <cellStyle name="Normal 3 3 30 2 2 2" xfId="5392" xr:uid="{314BD03B-2381-4BA7-87C3-4838F6FB97BC}"/>
    <cellStyle name="Normal 3 3 30 2 3" xfId="3974" xr:uid="{D85F8BF8-EA2D-44F9-933E-DAC62A5FD0DD}"/>
    <cellStyle name="Normal 3 3 30 3" xfId="1890" xr:uid="{2FBFC027-6F85-4C32-BC00-88AF14B4128E}"/>
    <cellStyle name="Normal 3 3 30 3 2" xfId="4750" xr:uid="{7327C5F1-5AA2-46C9-A0CF-8FED06B726D6}"/>
    <cellStyle name="Normal 3 3 30 4" xfId="3334" xr:uid="{2386EF7A-724B-4D04-B291-2692EC30DFDF}"/>
    <cellStyle name="Normal 3 3 31" xfId="379" xr:uid="{00000000-0005-0000-0000-000000050000}"/>
    <cellStyle name="Normal 3 3 31 2" xfId="1100" xr:uid="{00000000-0005-0000-0000-000001050000}"/>
    <cellStyle name="Normal 3 3 31 2 2" xfId="2548" xr:uid="{B1E9520B-EF5C-4F46-8DEC-19ED3C4803DD}"/>
    <cellStyle name="Normal 3 3 31 2 2 2" xfId="5404" xr:uid="{54EA2959-E81D-46F0-9513-6CCD02252BCD}"/>
    <cellStyle name="Normal 3 3 31 2 3" xfId="3986" xr:uid="{6E9B95B2-5A8C-4399-A3B1-32AC172B63BC}"/>
    <cellStyle name="Normal 3 3 31 3" xfId="1902" xr:uid="{44048CD5-2309-48BA-9478-BF073E7423A6}"/>
    <cellStyle name="Normal 3 3 31 3 2" xfId="4762" xr:uid="{134CD97D-3718-4CB1-98AE-58D421C9CDD3}"/>
    <cellStyle name="Normal 3 3 31 4" xfId="3346" xr:uid="{AA7104A0-9F6F-4E16-9E99-C2C8D5FC2492}"/>
    <cellStyle name="Normal 3 3 32" xfId="388" xr:uid="{00000000-0005-0000-0000-000002050000}"/>
    <cellStyle name="Normal 3 3 32 2" xfId="1109" xr:uid="{00000000-0005-0000-0000-000003050000}"/>
    <cellStyle name="Normal 3 3 32 2 2" xfId="2557" xr:uid="{6DA550AD-4C6F-4863-8A8B-9D447B4AC0C0}"/>
    <cellStyle name="Normal 3 3 32 2 2 2" xfId="5413" xr:uid="{C29901B8-6D5C-424C-864E-2C580B56E144}"/>
    <cellStyle name="Normal 3 3 32 2 3" xfId="3995" xr:uid="{8E33363C-2EB1-4D35-8371-61B814E58ECF}"/>
    <cellStyle name="Normal 3 3 32 3" xfId="1911" xr:uid="{3920BEB6-DEF8-4267-8011-E5D2F74EEA14}"/>
    <cellStyle name="Normal 3 3 32 3 2" xfId="4771" xr:uid="{5A7DD460-30EE-424F-B549-346E47452074}"/>
    <cellStyle name="Normal 3 3 32 4" xfId="3355" xr:uid="{747161F0-FBBC-495A-9612-548AF65D028C}"/>
    <cellStyle name="Normal 3 3 33" xfId="406" xr:uid="{00000000-0005-0000-0000-000004050000}"/>
    <cellStyle name="Normal 3 3 33 2" xfId="1127" xr:uid="{00000000-0005-0000-0000-000005050000}"/>
    <cellStyle name="Normal 3 3 33 2 2" xfId="2575" xr:uid="{44C042AB-238A-4C88-980A-D7265E830D21}"/>
    <cellStyle name="Normal 3 3 33 2 2 2" xfId="5431" xr:uid="{D8D3CD4D-6D41-431F-BC81-56E8901EB7B3}"/>
    <cellStyle name="Normal 3 3 33 2 3" xfId="4013" xr:uid="{F87C96B8-4695-403F-A06C-F22454BC0546}"/>
    <cellStyle name="Normal 3 3 33 3" xfId="1929" xr:uid="{052553A4-ED04-4093-899D-948426A309C9}"/>
    <cellStyle name="Normal 3 3 33 3 2" xfId="4789" xr:uid="{4CCF05B1-4168-46D3-8463-4EE6784C9C7B}"/>
    <cellStyle name="Normal 3 3 33 4" xfId="3373" xr:uid="{F4851CC9-6DA5-432A-B3A4-45CB427CFA04}"/>
    <cellStyle name="Normal 3 3 34" xfId="415" xr:uid="{00000000-0005-0000-0000-000006050000}"/>
    <cellStyle name="Normal 3 3 34 2" xfId="1136" xr:uid="{00000000-0005-0000-0000-000007050000}"/>
    <cellStyle name="Normal 3 3 34 2 2" xfId="2584" xr:uid="{F4D0AFEB-E9B9-4E79-8608-EC9D8257BB7B}"/>
    <cellStyle name="Normal 3 3 34 2 2 2" xfId="5440" xr:uid="{5520F44B-3B89-4981-9091-A09F1D770DC5}"/>
    <cellStyle name="Normal 3 3 34 2 3" xfId="4022" xr:uid="{6160D920-3DB7-4F87-8EC2-C00697C187D2}"/>
    <cellStyle name="Normal 3 3 34 3" xfId="1938" xr:uid="{5CB2734D-91DA-4C9C-A8C4-1DC34355D2BA}"/>
    <cellStyle name="Normal 3 3 34 3 2" xfId="4798" xr:uid="{C8951EAC-250F-4407-B0A5-F909EFCC8396}"/>
    <cellStyle name="Normal 3 3 34 4" xfId="3382" xr:uid="{BE5BFECC-7BB8-4124-8365-636237446289}"/>
    <cellStyle name="Normal 3 3 35" xfId="429" xr:uid="{00000000-0005-0000-0000-000008050000}"/>
    <cellStyle name="Normal 3 3 35 2" xfId="1150" xr:uid="{00000000-0005-0000-0000-000009050000}"/>
    <cellStyle name="Normal 3 3 35 2 2" xfId="2598" xr:uid="{F7E95734-103F-468F-A81E-072397C6E282}"/>
    <cellStyle name="Normal 3 3 35 2 2 2" xfId="5454" xr:uid="{5E2A8AF2-0BFE-4D70-B955-19E4765AEBEC}"/>
    <cellStyle name="Normal 3 3 35 2 3" xfId="4036" xr:uid="{9259D2C6-1CDA-438C-A056-32BCB85C497B}"/>
    <cellStyle name="Normal 3 3 35 3" xfId="1952" xr:uid="{5DD7085B-1322-4C8E-AD03-BEA3037EF487}"/>
    <cellStyle name="Normal 3 3 35 3 2" xfId="4812" xr:uid="{3D90E3B8-5926-4F02-B641-E953D1E8DF58}"/>
    <cellStyle name="Normal 3 3 35 4" xfId="3396" xr:uid="{3C4BCA11-02A8-4010-BCDB-D47FB658613A}"/>
    <cellStyle name="Normal 3 3 36" xfId="436" xr:uid="{00000000-0005-0000-0000-00000A050000}"/>
    <cellStyle name="Normal 3 3 36 2" xfId="1157" xr:uid="{00000000-0005-0000-0000-00000B050000}"/>
    <cellStyle name="Normal 3 3 36 2 2" xfId="2605" xr:uid="{E2A8D775-1135-4C94-BADE-35B124A476B2}"/>
    <cellStyle name="Normal 3 3 36 2 2 2" xfId="5461" xr:uid="{40FD7F57-412B-4D63-94E0-D44F3C13415F}"/>
    <cellStyle name="Normal 3 3 36 2 3" xfId="4043" xr:uid="{76BE270E-B23F-48C2-9B5A-CA4781FC0820}"/>
    <cellStyle name="Normal 3 3 36 3" xfId="1959" xr:uid="{7C21256D-AB20-4ECB-9289-B35D570389AB}"/>
    <cellStyle name="Normal 3 3 36 3 2" xfId="4819" xr:uid="{A0ECBA46-1DBD-444A-96F0-98A941A784F8}"/>
    <cellStyle name="Normal 3 3 36 4" xfId="3403" xr:uid="{2ECCC60B-8870-4600-B91D-BCB4FD2A8B93}"/>
    <cellStyle name="Normal 3 3 37" xfId="455" xr:uid="{00000000-0005-0000-0000-00000C050000}"/>
    <cellStyle name="Normal 3 3 37 2" xfId="1175" xr:uid="{00000000-0005-0000-0000-00000D050000}"/>
    <cellStyle name="Normal 3 3 37 2 2" xfId="2623" xr:uid="{B9F77031-0EE6-464F-8B73-5B69F2691123}"/>
    <cellStyle name="Normal 3 3 37 2 2 2" xfId="5479" xr:uid="{227B355A-FD91-4EB7-9E11-C8DA59CE800F}"/>
    <cellStyle name="Normal 3 3 37 2 3" xfId="4061" xr:uid="{B3D2AB03-8992-47B6-BDC1-14EC8E20A73A}"/>
    <cellStyle name="Normal 3 3 37 3" xfId="1978" xr:uid="{57EA777A-B1F0-49F2-9ADB-6FDEEE3799BA}"/>
    <cellStyle name="Normal 3 3 37 3 2" xfId="4838" xr:uid="{03C8F5B0-703D-4782-9F29-134C89BF23C2}"/>
    <cellStyle name="Normal 3 3 37 4" xfId="3422" xr:uid="{AA45B971-9B09-4C9D-9FB5-BB04543E8669}"/>
    <cellStyle name="Normal 3 3 38" xfId="470" xr:uid="{00000000-0005-0000-0000-00000E050000}"/>
    <cellStyle name="Normal 3 3 38 2" xfId="1190" xr:uid="{00000000-0005-0000-0000-00000F050000}"/>
    <cellStyle name="Normal 3 3 38 2 2" xfId="2638" xr:uid="{116DD80D-0219-4257-92AE-4DFA108FDF23}"/>
    <cellStyle name="Normal 3 3 38 2 2 2" xfId="5494" xr:uid="{D1367C39-9E95-4BEC-A082-C5D4ADB90500}"/>
    <cellStyle name="Normal 3 3 38 2 3" xfId="4076" xr:uid="{E11B391D-AB5B-4ACE-9ADA-90A24F69FB18}"/>
    <cellStyle name="Normal 3 3 38 3" xfId="1993" xr:uid="{B1CEEC05-51EF-44CA-A467-742609139670}"/>
    <cellStyle name="Normal 3 3 38 3 2" xfId="4853" xr:uid="{CB530B5B-62BB-47ED-A014-19FE7E8C5964}"/>
    <cellStyle name="Normal 3 3 38 4" xfId="3437" xr:uid="{6E844784-594F-4B6F-B4D9-A9F4A5268A91}"/>
    <cellStyle name="Normal 3 3 39" xfId="488" xr:uid="{00000000-0005-0000-0000-000010050000}"/>
    <cellStyle name="Normal 3 3 39 2" xfId="1207" xr:uid="{00000000-0005-0000-0000-000011050000}"/>
    <cellStyle name="Normal 3 3 39 2 2" xfId="2655" xr:uid="{B1E27F53-605D-4122-AE99-19E2D9BBCEB4}"/>
    <cellStyle name="Normal 3 3 39 2 2 2" xfId="5511" xr:uid="{20DC6C1C-A8A6-49F5-9365-3DA3C013B622}"/>
    <cellStyle name="Normal 3 3 39 2 3" xfId="4093" xr:uid="{5A530D26-2596-4287-B97E-6ABCE3F6260E}"/>
    <cellStyle name="Normal 3 3 39 3" xfId="2010" xr:uid="{667766B4-5051-4159-A8AD-A758CEB41B65}"/>
    <cellStyle name="Normal 3 3 39 3 2" xfId="4870" xr:uid="{8636FBDD-4872-483A-A956-07098FA16B63}"/>
    <cellStyle name="Normal 3 3 39 4" xfId="3454" xr:uid="{A674DD45-B2CF-4942-BB6D-068FEC1D5B36}"/>
    <cellStyle name="Normal 3 3 4" xfId="80" xr:uid="{00000000-0005-0000-0000-000012050000}"/>
    <cellStyle name="Normal 3 3 4 2" xfId="806" xr:uid="{00000000-0005-0000-0000-000013050000}"/>
    <cellStyle name="Normal 3 3 4 2 2" xfId="2257" xr:uid="{F224FF8E-906B-461F-AD07-536FA9D59BEC}"/>
    <cellStyle name="Normal 3 3 4 2 2 2" xfId="5113" xr:uid="{AB49AA42-6F8C-423F-A2CF-90BE539446DB}"/>
    <cellStyle name="Normal 3 3 4 2 3" xfId="3695" xr:uid="{21B7E763-2EC7-46CF-AACE-0A0CF7A1426F}"/>
    <cellStyle name="Normal 3 3 4 3" xfId="1610" xr:uid="{6EAB49C8-5BE0-46E4-9D32-C7BF832BC174}"/>
    <cellStyle name="Normal 3 3 4 3 2" xfId="4470" xr:uid="{167CCD1E-EC21-4CBF-90E3-0CDA8174DC9B}"/>
    <cellStyle name="Normal 3 3 4 4" xfId="3054" xr:uid="{25AC5D32-6D6C-435C-A109-9007C86C3288}"/>
    <cellStyle name="Normal 3 3 40" xfId="499" xr:uid="{00000000-0005-0000-0000-000014050000}"/>
    <cellStyle name="Normal 3 3 40 2" xfId="1218" xr:uid="{00000000-0005-0000-0000-000015050000}"/>
    <cellStyle name="Normal 3 3 40 2 2" xfId="2666" xr:uid="{82D2D1E3-9D6A-4002-8C9B-25D8ED1187A1}"/>
    <cellStyle name="Normal 3 3 40 2 2 2" xfId="5522" xr:uid="{D7E32C3E-897E-4C15-9562-1E896A42958E}"/>
    <cellStyle name="Normal 3 3 40 2 3" xfId="4104" xr:uid="{E6BAF435-2BB1-4531-B40D-7594E1861DBA}"/>
    <cellStyle name="Normal 3 3 40 3" xfId="2021" xr:uid="{B19A87D6-6CF7-4D7B-A24F-B998619CB8F3}"/>
    <cellStyle name="Normal 3 3 40 3 2" xfId="4881" xr:uid="{C60D78DE-76F5-489A-85B3-5191CC38A98C}"/>
    <cellStyle name="Normal 3 3 40 4" xfId="3465" xr:uid="{ED6A872A-A8AB-43DA-915B-4168EF9576F0}"/>
    <cellStyle name="Normal 3 3 41" xfId="510" xr:uid="{00000000-0005-0000-0000-000016050000}"/>
    <cellStyle name="Normal 3 3 41 2" xfId="1229" xr:uid="{00000000-0005-0000-0000-000017050000}"/>
    <cellStyle name="Normal 3 3 41 2 2" xfId="2677" xr:uid="{17272E32-45BE-4BF6-AAD7-92862A2BE857}"/>
    <cellStyle name="Normal 3 3 41 2 2 2" xfId="5533" xr:uid="{5B637355-5AAC-4DD7-B86A-CB8A76C79513}"/>
    <cellStyle name="Normal 3 3 41 2 3" xfId="4115" xr:uid="{47FC4996-2600-43F9-AF4D-69D80F557DE8}"/>
    <cellStyle name="Normal 3 3 41 3" xfId="2032" xr:uid="{AE9AEB88-4F5B-4B01-8BA2-174B33286B15}"/>
    <cellStyle name="Normal 3 3 41 3 2" xfId="4892" xr:uid="{780429CD-916B-4047-A1B2-1A69510D67BB}"/>
    <cellStyle name="Normal 3 3 41 4" xfId="3476" xr:uid="{115316F1-3401-44AC-882F-4F218FBA0908}"/>
    <cellStyle name="Normal 3 3 42" xfId="522" xr:uid="{00000000-0005-0000-0000-000018050000}"/>
    <cellStyle name="Normal 3 3 42 2" xfId="1241" xr:uid="{00000000-0005-0000-0000-000019050000}"/>
    <cellStyle name="Normal 3 3 42 2 2" xfId="2689" xr:uid="{A3235D73-F08A-4492-B49F-1538E291168B}"/>
    <cellStyle name="Normal 3 3 42 2 2 2" xfId="5545" xr:uid="{16B4ED60-6739-4001-A8F2-B89820E24B5A}"/>
    <cellStyle name="Normal 3 3 42 2 3" xfId="4127" xr:uid="{C5D82E08-A874-40EF-ACA7-28C090DD1EDE}"/>
    <cellStyle name="Normal 3 3 42 3" xfId="2044" xr:uid="{A35CD15D-538E-4EA7-ADED-9072F950F121}"/>
    <cellStyle name="Normal 3 3 42 3 2" xfId="4904" xr:uid="{1C97AF88-ABFC-4D3F-BE84-655C93A44C54}"/>
    <cellStyle name="Normal 3 3 42 4" xfId="3488" xr:uid="{1797F171-9A54-4AD1-830F-D24A37D7BB24}"/>
    <cellStyle name="Normal 3 3 43" xfId="533" xr:uid="{00000000-0005-0000-0000-00001A050000}"/>
    <cellStyle name="Normal 3 3 43 2" xfId="1252" xr:uid="{00000000-0005-0000-0000-00001B050000}"/>
    <cellStyle name="Normal 3 3 43 2 2" xfId="2700" xr:uid="{6C25B6BF-C64A-41AE-8CF1-FBD2615F24D5}"/>
    <cellStyle name="Normal 3 3 43 2 2 2" xfId="5556" xr:uid="{43836050-D709-47F4-8356-36E1D7E5C40B}"/>
    <cellStyle name="Normal 3 3 43 2 3" xfId="4138" xr:uid="{9EC1F261-C0B5-40D9-B58D-E37A17394D19}"/>
    <cellStyle name="Normal 3 3 43 3" xfId="2055" xr:uid="{7E8790B2-D112-45E0-89F9-041CFD05E969}"/>
    <cellStyle name="Normal 3 3 43 3 2" xfId="4915" xr:uid="{E3B979E9-A891-4624-B57E-8377D16C807A}"/>
    <cellStyle name="Normal 3 3 43 4" xfId="3499" xr:uid="{834DB59B-168C-4158-96BA-5ECFE9EDFA8D}"/>
    <cellStyle name="Normal 3 3 44" xfId="551" xr:uid="{00000000-0005-0000-0000-00001C050000}"/>
    <cellStyle name="Normal 3 3 44 2" xfId="1270" xr:uid="{00000000-0005-0000-0000-00001D050000}"/>
    <cellStyle name="Normal 3 3 44 2 2" xfId="2718" xr:uid="{017ECF21-E489-4F45-91AC-061E3842329C}"/>
    <cellStyle name="Normal 3 3 44 2 2 2" xfId="5574" xr:uid="{1254E81B-C6B4-4B8E-84E7-67A0045F7325}"/>
    <cellStyle name="Normal 3 3 44 2 3" xfId="4156" xr:uid="{A44A5E00-D54C-4021-B244-7C661BFDD4E9}"/>
    <cellStyle name="Normal 3 3 44 3" xfId="2073" xr:uid="{413EE3AE-B37E-4C90-A6AC-706C04494974}"/>
    <cellStyle name="Normal 3 3 44 3 2" xfId="4933" xr:uid="{0DC21783-6BDA-4667-9573-E417F90E4DA8}"/>
    <cellStyle name="Normal 3 3 44 4" xfId="3517" xr:uid="{16528BA8-A54C-45C8-8B6D-61AAD131AFFA}"/>
    <cellStyle name="Normal 3 3 45" xfId="567" xr:uid="{00000000-0005-0000-0000-00001E050000}"/>
    <cellStyle name="Normal 3 3 45 2" xfId="1286" xr:uid="{00000000-0005-0000-0000-00001F050000}"/>
    <cellStyle name="Normal 3 3 45 2 2" xfId="2734" xr:uid="{763485C9-9FD3-4D48-9700-96F7935A4383}"/>
    <cellStyle name="Normal 3 3 45 2 2 2" xfId="5590" xr:uid="{8B816DFC-93B0-41C9-BE3D-FA97262703D8}"/>
    <cellStyle name="Normal 3 3 45 2 3" xfId="4172" xr:uid="{D889E830-6F31-485D-AEC5-41550B713D63}"/>
    <cellStyle name="Normal 3 3 45 3" xfId="2089" xr:uid="{B52AFBFA-09A0-4E82-A6A8-06F7145A8881}"/>
    <cellStyle name="Normal 3 3 45 3 2" xfId="4949" xr:uid="{8068C536-50A4-490A-9AF1-A80AAD5E4035}"/>
    <cellStyle name="Normal 3 3 45 4" xfId="3533" xr:uid="{D766E608-54C7-4F5F-AB74-338A48E2C9C7}"/>
    <cellStyle name="Normal 3 3 46" xfId="586" xr:uid="{00000000-0005-0000-0000-000020050000}"/>
    <cellStyle name="Normal 3 3 46 2" xfId="1305" xr:uid="{00000000-0005-0000-0000-000021050000}"/>
    <cellStyle name="Normal 3 3 46 2 2" xfId="2753" xr:uid="{EC8C54A0-9784-4F8A-88BF-FAF7E70A559D}"/>
    <cellStyle name="Normal 3 3 46 2 2 2" xfId="5609" xr:uid="{69FE8CA5-052A-466B-A759-434600547801}"/>
    <cellStyle name="Normal 3 3 46 2 3" xfId="4191" xr:uid="{7135A458-2D8E-4A2C-916F-7492BC655519}"/>
    <cellStyle name="Normal 3 3 46 3" xfId="2108" xr:uid="{95995E12-929D-4919-947C-5368F2933130}"/>
    <cellStyle name="Normal 3 3 46 3 2" xfId="4968" xr:uid="{4BF5D909-606A-481F-BFD7-D62F2FD42E40}"/>
    <cellStyle name="Normal 3 3 46 4" xfId="3552" xr:uid="{54B53B50-71ED-4119-A620-006AA0CD4DBB}"/>
    <cellStyle name="Normal 3 3 47" xfId="724" xr:uid="{00000000-0005-0000-0000-000022050000}"/>
    <cellStyle name="Normal 3 3 47 2" xfId="1403" xr:uid="{00000000-0005-0000-0000-000023050000}"/>
    <cellStyle name="Normal 3 3 47 2 2" xfId="2850" xr:uid="{6B691E2E-51DC-47DC-BF26-850C9ADDBBCC}"/>
    <cellStyle name="Normal 3 3 47 2 2 2" xfId="5705" xr:uid="{BBD464B6-83A1-486B-BDC2-4CB6DB1460ED}"/>
    <cellStyle name="Normal 3 3 47 2 3" xfId="4287" xr:uid="{5A30381E-B2FD-4AE4-BA68-3BBB018FEE4C}"/>
    <cellStyle name="Normal 3 3 47 3" xfId="2210" xr:uid="{E6470D58-451F-462E-9BC5-3D5133864121}"/>
    <cellStyle name="Normal 3 3 47 3 2" xfId="5066" xr:uid="{3C86B2B4-1186-4954-A48D-8637FDA09A59}"/>
    <cellStyle name="Normal 3 3 47 4" xfId="3650" xr:uid="{6E94A3FC-9EC7-47D5-A501-6499DD41B5E4}"/>
    <cellStyle name="Normal 3 3 5" xfId="84" xr:uid="{00000000-0005-0000-0000-000024050000}"/>
    <cellStyle name="Normal 3 3 5 2" xfId="810" xr:uid="{00000000-0005-0000-0000-000025050000}"/>
    <cellStyle name="Normal 3 3 5 2 2" xfId="2261" xr:uid="{56C3F5F1-7A0B-4B55-863F-652A0DBF1E92}"/>
    <cellStyle name="Normal 3 3 5 2 2 2" xfId="5117" xr:uid="{E06DBFA4-B442-48B2-A16B-70B4A7CECC6F}"/>
    <cellStyle name="Normal 3 3 5 2 3" xfId="3699" xr:uid="{50377765-3536-4E2B-94DB-4FAB1ACCC359}"/>
    <cellStyle name="Normal 3 3 5 3" xfId="1614" xr:uid="{966DEE68-16D7-4759-9B41-18C9DBB6A677}"/>
    <cellStyle name="Normal 3 3 5 3 2" xfId="4474" xr:uid="{B47E3F1D-AEF2-4F93-BD76-B88CD87D8A09}"/>
    <cellStyle name="Normal 3 3 5 4" xfId="3058" xr:uid="{B31B8703-123B-4375-A798-C66E77A62A86}"/>
    <cellStyle name="Normal 3 3 6" xfId="99" xr:uid="{00000000-0005-0000-0000-000026050000}"/>
    <cellStyle name="Normal 3 3 6 2" xfId="825" xr:uid="{00000000-0005-0000-0000-000027050000}"/>
    <cellStyle name="Normal 3 3 6 2 2" xfId="2275" xr:uid="{A22AA531-C987-4BAF-B451-E38299C4E17A}"/>
    <cellStyle name="Normal 3 3 6 2 2 2" xfId="5131" xr:uid="{AF477A59-4DE9-4773-971A-209DFE1DF4B6}"/>
    <cellStyle name="Normal 3 3 6 2 3" xfId="3713" xr:uid="{D12FAA2F-A179-4860-8723-F2A6A6E0BE5C}"/>
    <cellStyle name="Normal 3 3 6 3" xfId="1628" xr:uid="{80EE4C23-07FF-483B-AFC9-A318B74C6E38}"/>
    <cellStyle name="Normal 3 3 6 3 2" xfId="4488" xr:uid="{6D780C45-BF87-4A85-BAC4-AFA1E09BABF8}"/>
    <cellStyle name="Normal 3 3 6 4" xfId="3072" xr:uid="{BB19BAE7-1EF1-4CD2-8341-FABF667EAC1D}"/>
    <cellStyle name="Normal 3 3 7" xfId="108" xr:uid="{00000000-0005-0000-0000-000028050000}"/>
    <cellStyle name="Normal 3 3 7 2" xfId="834" xr:uid="{00000000-0005-0000-0000-000029050000}"/>
    <cellStyle name="Normal 3 3 7 2 2" xfId="2283" xr:uid="{8B03B7F5-F9E3-4E1B-9031-A7B12C771B8E}"/>
    <cellStyle name="Normal 3 3 7 2 2 2" xfId="5139" xr:uid="{D2B82774-F208-4740-9B73-DBF2383FDCB3}"/>
    <cellStyle name="Normal 3 3 7 2 3" xfId="3721" xr:uid="{611B5B98-93EF-42E1-8ADE-4FF878DE7907}"/>
    <cellStyle name="Normal 3 3 7 3" xfId="1636" xr:uid="{88464C63-935C-442C-B9C7-25CD5DC85382}"/>
    <cellStyle name="Normal 3 3 7 3 2" xfId="4496" xr:uid="{2FEFA09C-21B6-4D1C-8432-E2948D477ABE}"/>
    <cellStyle name="Normal 3 3 7 4" xfId="3080" xr:uid="{2A4FA55E-DAB9-4700-9373-7A03B33C3F67}"/>
    <cellStyle name="Normal 3 3 8" xfId="114" xr:uid="{00000000-0005-0000-0000-00002A050000}"/>
    <cellStyle name="Normal 3 3 8 2" xfId="840" xr:uid="{00000000-0005-0000-0000-00002B050000}"/>
    <cellStyle name="Normal 3 3 8 2 2" xfId="2289" xr:uid="{65B157D7-7D73-4A72-8CEA-EA2F4B821952}"/>
    <cellStyle name="Normal 3 3 8 2 2 2" xfId="5145" xr:uid="{7D7A2AA0-CC65-446A-974F-2C3C12772091}"/>
    <cellStyle name="Normal 3 3 8 2 3" xfId="3727" xr:uid="{2C523DBC-12DF-499A-AAEF-7EA731045984}"/>
    <cellStyle name="Normal 3 3 8 3" xfId="1642" xr:uid="{1FC397F8-CB77-453C-BF13-395BD876C167}"/>
    <cellStyle name="Normal 3 3 8 3 2" xfId="4502" xr:uid="{BC51C0E7-460C-435D-AB6B-6BD7EE94B49D}"/>
    <cellStyle name="Normal 3 3 8 4" xfId="3086" xr:uid="{71100A48-03F5-4B22-8AEB-F3612588B632}"/>
    <cellStyle name="Normal 3 3 9" xfId="118" xr:uid="{00000000-0005-0000-0000-00002C050000}"/>
    <cellStyle name="Normal 3 3 9 2" xfId="844" xr:uid="{00000000-0005-0000-0000-00002D050000}"/>
    <cellStyle name="Normal 3 3 9 2 2" xfId="2293" xr:uid="{0CD6B5A7-C15B-4618-A694-D8809B4C64E1}"/>
    <cellStyle name="Normal 3 3 9 2 2 2" xfId="5149" xr:uid="{78804D97-FFA2-427A-8F23-CEE452C620A4}"/>
    <cellStyle name="Normal 3 3 9 2 3" xfId="3731" xr:uid="{D4260518-CBEE-4A32-BA38-173B5B9BCFA7}"/>
    <cellStyle name="Normal 3 3 9 3" xfId="1646" xr:uid="{8A21180D-4853-4F3A-A6A6-7110A4F241F9}"/>
    <cellStyle name="Normal 3 3 9 3 2" xfId="4506" xr:uid="{454302AC-35B6-487C-96B7-51D536D2FB09}"/>
    <cellStyle name="Normal 3 3 9 4" xfId="3090" xr:uid="{2C4BB857-4318-494E-BD09-7C65990AD295}"/>
    <cellStyle name="Normal 3 30" xfId="337" xr:uid="{00000000-0005-0000-0000-00002E050000}"/>
    <cellStyle name="Normal 3 30 2" xfId="1058" xr:uid="{00000000-0005-0000-0000-00002F050000}"/>
    <cellStyle name="Normal 3 30 2 2" xfId="2506" xr:uid="{8ED7E9A1-3DC9-4E66-99B1-CD13E37F2D49}"/>
    <cellStyle name="Normal 3 30 2 2 2" xfId="5362" xr:uid="{67386C77-773B-49E5-AC55-EB34FE5F2BE2}"/>
    <cellStyle name="Normal 3 30 2 3" xfId="3944" xr:uid="{7770849E-19F1-49E2-AB8E-DD586477351C}"/>
    <cellStyle name="Normal 3 30 3" xfId="1860" xr:uid="{D8DA63EE-4B15-4624-929C-C2A9F8A90C7E}"/>
    <cellStyle name="Normal 3 30 3 2" xfId="4720" xr:uid="{6166A63F-30AE-47B3-A92A-82EF6A68875C}"/>
    <cellStyle name="Normal 3 30 4" xfId="3304" xr:uid="{91436D6B-0475-4DCC-8E3A-89D51F4A46B4}"/>
    <cellStyle name="Normal 3 31" xfId="348" xr:uid="{00000000-0005-0000-0000-000030050000}"/>
    <cellStyle name="Normal 3 31 2" xfId="1069" xr:uid="{00000000-0005-0000-0000-000031050000}"/>
    <cellStyle name="Normal 3 31 2 2" xfId="2517" xr:uid="{EB795866-27EC-476C-A345-8BE5E91EA983}"/>
    <cellStyle name="Normal 3 31 2 2 2" xfId="5373" xr:uid="{6C2C78E7-F9BA-45B9-A72A-098886CBEC36}"/>
    <cellStyle name="Normal 3 31 2 3" xfId="3955" xr:uid="{F1207511-A909-4A17-A3E7-898067D92670}"/>
    <cellStyle name="Normal 3 31 3" xfId="1871" xr:uid="{691D23D4-C9B4-46F4-B6E2-EDAABD8CB1C0}"/>
    <cellStyle name="Normal 3 31 3 2" xfId="4731" xr:uid="{755DF418-B5E9-4104-895A-92CB71DBEEB9}"/>
    <cellStyle name="Normal 3 31 4" xfId="3315" xr:uid="{C39E1790-288E-43B1-816D-9CAD86813DD5}"/>
    <cellStyle name="Normal 3 32" xfId="364" xr:uid="{00000000-0005-0000-0000-000032050000}"/>
    <cellStyle name="Normal 3 32 2" xfId="1085" xr:uid="{00000000-0005-0000-0000-000033050000}"/>
    <cellStyle name="Normal 3 32 2 2" xfId="2533" xr:uid="{938FC5A8-A51B-4BCB-94E6-0DEF29F708D7}"/>
    <cellStyle name="Normal 3 32 2 2 2" xfId="5389" xr:uid="{B1B1AA60-6C39-4603-A778-E688401DB0B6}"/>
    <cellStyle name="Normal 3 32 2 3" xfId="3971" xr:uid="{767DF8A2-6EA9-485F-B6FB-4C04E1441016}"/>
    <cellStyle name="Normal 3 32 3" xfId="1887" xr:uid="{366FA45F-1A50-4BF4-986B-561D4B65AAA2}"/>
    <cellStyle name="Normal 3 32 3 2" xfId="4747" xr:uid="{B28C24DC-48A8-45F9-87A9-7B87EDBC0BD6}"/>
    <cellStyle name="Normal 3 32 4" xfId="3331" xr:uid="{ED8882EF-0A71-43A4-865C-4B8A45890711}"/>
    <cellStyle name="Normal 3 33" xfId="376" xr:uid="{00000000-0005-0000-0000-000034050000}"/>
    <cellStyle name="Normal 3 33 2" xfId="1097" xr:uid="{00000000-0005-0000-0000-000035050000}"/>
    <cellStyle name="Normal 3 33 2 2" xfId="2545" xr:uid="{D34F4D65-3AE7-468C-BB46-2F5D9A38686F}"/>
    <cellStyle name="Normal 3 33 2 2 2" xfId="5401" xr:uid="{0298A21E-80D3-4446-AE04-3B98FB41CB0E}"/>
    <cellStyle name="Normal 3 33 2 3" xfId="3983" xr:uid="{7A558AE7-76F6-4D5D-932D-32153A629EF2}"/>
    <cellStyle name="Normal 3 33 3" xfId="1899" xr:uid="{785F1633-DA04-4FF2-A14F-C5C3A9457685}"/>
    <cellStyle name="Normal 3 33 3 2" xfId="4759" xr:uid="{1767D5E2-5144-49B4-95F6-A812AA54F4E5}"/>
    <cellStyle name="Normal 3 33 4" xfId="3343" xr:uid="{04C30CD7-7455-4D5D-AD73-0C424F1DAE34}"/>
    <cellStyle name="Normal 3 34" xfId="385" xr:uid="{00000000-0005-0000-0000-000036050000}"/>
    <cellStyle name="Normal 3 34 2" xfId="1106" xr:uid="{00000000-0005-0000-0000-000037050000}"/>
    <cellStyle name="Normal 3 34 2 2" xfId="2554" xr:uid="{5C5B164B-B655-47DF-B28F-888AF89EBED9}"/>
    <cellStyle name="Normal 3 34 2 2 2" xfId="5410" xr:uid="{6A6E2A34-6BBD-4D20-9A0D-9E23EC40AA98}"/>
    <cellStyle name="Normal 3 34 2 3" xfId="3992" xr:uid="{89FF2BDB-E197-4DE3-A81D-9A8FC5D3D167}"/>
    <cellStyle name="Normal 3 34 3" xfId="1908" xr:uid="{5745F204-5504-46D6-B197-940641C9E153}"/>
    <cellStyle name="Normal 3 34 3 2" xfId="4768" xr:uid="{F6CE749A-C503-406C-906D-8A87A0FD20BA}"/>
    <cellStyle name="Normal 3 34 4" xfId="3352" xr:uid="{6372F61A-9551-4588-ABB7-0D49180250E4}"/>
    <cellStyle name="Normal 3 35" xfId="403" xr:uid="{00000000-0005-0000-0000-000038050000}"/>
    <cellStyle name="Normal 3 35 2" xfId="1124" xr:uid="{00000000-0005-0000-0000-000039050000}"/>
    <cellStyle name="Normal 3 35 2 2" xfId="2572" xr:uid="{1929F4EA-E2A7-459F-A1B9-ECB8E7E7975D}"/>
    <cellStyle name="Normal 3 35 2 2 2" xfId="5428" xr:uid="{17FA35EB-F43C-4EAC-BD31-17E97B6B4F03}"/>
    <cellStyle name="Normal 3 35 2 3" xfId="4010" xr:uid="{364390E1-45F7-4727-B043-A0FEEC2B7436}"/>
    <cellStyle name="Normal 3 35 3" xfId="1926" xr:uid="{44169DDB-447A-453B-BC40-E0196FE74E29}"/>
    <cellStyle name="Normal 3 35 3 2" xfId="4786" xr:uid="{1219401F-A36C-49F0-963E-0A7DB40295C4}"/>
    <cellStyle name="Normal 3 35 4" xfId="3370" xr:uid="{836AE3D5-9FB3-4138-AF96-189D90BB949F}"/>
    <cellStyle name="Normal 3 36" xfId="412" xr:uid="{00000000-0005-0000-0000-00003A050000}"/>
    <cellStyle name="Normal 3 36 2" xfId="1133" xr:uid="{00000000-0005-0000-0000-00003B050000}"/>
    <cellStyle name="Normal 3 36 2 2" xfId="2581" xr:uid="{B1A3E068-2FFC-4B11-B380-17C1D3AA286C}"/>
    <cellStyle name="Normal 3 36 2 2 2" xfId="5437" xr:uid="{0DF95B06-1958-4417-B515-1290E14CDE29}"/>
    <cellStyle name="Normal 3 36 2 3" xfId="4019" xr:uid="{56C631F1-5687-4711-8871-6F1125B30EC6}"/>
    <cellStyle name="Normal 3 36 3" xfId="1935" xr:uid="{82957600-84A6-4476-BBC7-6192CC10AC79}"/>
    <cellStyle name="Normal 3 36 3 2" xfId="4795" xr:uid="{CE6E1B81-C0AC-40B0-892B-488110B1B8BE}"/>
    <cellStyle name="Normal 3 36 4" xfId="3379" xr:uid="{38C41A22-5DD6-47F9-B6A8-1FCE0D735E2C}"/>
    <cellStyle name="Normal 3 37" xfId="426" xr:uid="{00000000-0005-0000-0000-00003C050000}"/>
    <cellStyle name="Normal 3 37 2" xfId="1147" xr:uid="{00000000-0005-0000-0000-00003D050000}"/>
    <cellStyle name="Normal 3 37 2 2" xfId="2595" xr:uid="{A19A36E5-FAA3-4581-AE2F-90FBF4B9303E}"/>
    <cellStyle name="Normal 3 37 2 2 2" xfId="5451" xr:uid="{F4B3AD73-B346-4CA0-BDCF-9BBEEF1C865C}"/>
    <cellStyle name="Normal 3 37 2 3" xfId="4033" xr:uid="{296B3BC9-5793-478D-8138-58C95186D534}"/>
    <cellStyle name="Normal 3 37 3" xfId="1949" xr:uid="{DE7EFE04-1243-4AB6-9A36-C04707AB79D4}"/>
    <cellStyle name="Normal 3 37 3 2" xfId="4809" xr:uid="{5DB19D9C-37FD-47DA-913A-64FDDF82E5F2}"/>
    <cellStyle name="Normal 3 37 4" xfId="3393" xr:uid="{657488BB-48E7-41EC-B62B-2531A14B98BA}"/>
    <cellStyle name="Normal 3 38" xfId="433" xr:uid="{00000000-0005-0000-0000-00003E050000}"/>
    <cellStyle name="Normal 3 38 2" xfId="1154" xr:uid="{00000000-0005-0000-0000-00003F050000}"/>
    <cellStyle name="Normal 3 38 2 2" xfId="2602" xr:uid="{CF6569D2-8481-449B-8B24-0F7427A18989}"/>
    <cellStyle name="Normal 3 38 2 2 2" xfId="5458" xr:uid="{68220302-2BC6-4000-81F0-CD58D5FEAB0E}"/>
    <cellStyle name="Normal 3 38 2 3" xfId="4040" xr:uid="{5D2291CC-981B-4D59-8B39-947BBE9BD0E9}"/>
    <cellStyle name="Normal 3 38 3" xfId="1956" xr:uid="{BDDFD2A0-0E67-4D17-BCDB-C20BBE757F23}"/>
    <cellStyle name="Normal 3 38 3 2" xfId="4816" xr:uid="{2AAF7D2A-F622-443A-B0D1-68748E1BBE0F}"/>
    <cellStyle name="Normal 3 38 4" xfId="3400" xr:uid="{5A5E3C8E-5144-47A8-8CF4-8C5BCB626498}"/>
    <cellStyle name="Normal 3 39" xfId="452" xr:uid="{00000000-0005-0000-0000-000040050000}"/>
    <cellStyle name="Normal 3 39 2" xfId="1172" xr:uid="{00000000-0005-0000-0000-000041050000}"/>
    <cellStyle name="Normal 3 39 2 2" xfId="2620" xr:uid="{EED895C1-A31E-44AA-A126-CA0B16CC74E4}"/>
    <cellStyle name="Normal 3 39 2 2 2" xfId="5476" xr:uid="{31A3CFD8-AAF3-443C-A883-C990E049D317}"/>
    <cellStyle name="Normal 3 39 2 3" xfId="4058" xr:uid="{D4F6D4B6-5C4A-4FA0-9DBD-66C3C04C6D35}"/>
    <cellStyle name="Normal 3 39 3" xfId="1975" xr:uid="{FC0D6CE5-CC93-48DF-9797-8342077B2A18}"/>
    <cellStyle name="Normal 3 39 3 2" xfId="4835" xr:uid="{7ADA4B06-899E-4CC4-9DC2-BA11222F4B21}"/>
    <cellStyle name="Normal 3 39 4" xfId="3419" xr:uid="{9BB23242-AF07-4764-A3B2-A8A75ACC17F5}"/>
    <cellStyle name="Normal 3 4" xfId="37" xr:uid="{00000000-0005-0000-0000-000042050000}"/>
    <cellStyle name="Normal 3 4 2" xfId="184" xr:uid="{00000000-0005-0000-0000-000043050000}"/>
    <cellStyle name="Normal 3 4 2 2" xfId="906" xr:uid="{00000000-0005-0000-0000-000044050000}"/>
    <cellStyle name="Normal 3 4 2 2 2" xfId="2354" xr:uid="{A762DF48-4A01-409E-9D15-A79C7B7C3761}"/>
    <cellStyle name="Normal 3 4 2 2 2 2" xfId="5210" xr:uid="{F82BF5E8-BE47-412E-A507-9679A03F9024}"/>
    <cellStyle name="Normal 3 4 2 2 3" xfId="3792" xr:uid="{F044C46C-9E95-4DA4-981D-DC8E43E3924A}"/>
    <cellStyle name="Normal 3 4 2 3" xfId="1707" xr:uid="{8E888251-0575-4081-B92D-72189C74B2B4}"/>
    <cellStyle name="Normal 3 4 2 3 2" xfId="4567" xr:uid="{EFF34A18-DCB3-438A-BCE2-B66FD2BC42A7}"/>
    <cellStyle name="Normal 3 4 2 4" xfId="3151" xr:uid="{0AFB5D2E-08C4-4358-8AD8-43AE1D96AF92}"/>
    <cellStyle name="Normal 3 4 3" xfId="626" xr:uid="{00000000-0005-0000-0000-000045050000}"/>
    <cellStyle name="Normal 3 4 4" xfId="777" xr:uid="{00000000-0005-0000-0000-000046050000}"/>
    <cellStyle name="Normal 3 4 4 2" xfId="2229" xr:uid="{AA96E23A-F1CC-4EE3-B497-46BED585D9C0}"/>
    <cellStyle name="Normal 3 4 4 2 2" xfId="5085" xr:uid="{9650C2DD-695E-42EC-8EC7-8949C93355A5}"/>
    <cellStyle name="Normal 3 4 4 3" xfId="3667" xr:uid="{E37A7C4B-CC9A-4407-AB6F-D5744EDD7CF0}"/>
    <cellStyle name="Normal 3 4 5" xfId="1581" xr:uid="{667E88BA-8006-4E84-8320-A14A7B6E4982}"/>
    <cellStyle name="Normal 3 4 5 2" xfId="4441" xr:uid="{342685E6-513D-4728-82FF-CA7ED67597C7}"/>
    <cellStyle name="Normal 3 4 6" xfId="3026" xr:uid="{864BF501-A167-4371-BB4A-86F18A5B7412}"/>
    <cellStyle name="Normal 3 40" xfId="467" xr:uid="{00000000-0005-0000-0000-000047050000}"/>
    <cellStyle name="Normal 3 40 2" xfId="1187" xr:uid="{00000000-0005-0000-0000-000048050000}"/>
    <cellStyle name="Normal 3 40 2 2" xfId="2635" xr:uid="{21C46723-FF2F-46A5-991B-BBC68D4AF4D3}"/>
    <cellStyle name="Normal 3 40 2 2 2" xfId="5491" xr:uid="{C0EBAD04-133C-4E4C-8BA7-23573E1B8036}"/>
    <cellStyle name="Normal 3 40 2 3" xfId="4073" xr:uid="{91E810D4-21AE-45FF-B7C2-8E1FF3EA9FE5}"/>
    <cellStyle name="Normal 3 40 3" xfId="1990" xr:uid="{2CC9288C-9875-48E0-A596-69B22AA35E8C}"/>
    <cellStyle name="Normal 3 40 3 2" xfId="4850" xr:uid="{CA5AA82F-FC23-4E6D-B8B5-486BD7607FB2}"/>
    <cellStyle name="Normal 3 40 4" xfId="3434" xr:uid="{3A68A3BE-5FCA-4141-B684-F84372B3229A}"/>
    <cellStyle name="Normal 3 41" xfId="485" xr:uid="{00000000-0005-0000-0000-000049050000}"/>
    <cellStyle name="Normal 3 41 2" xfId="1204" xr:uid="{00000000-0005-0000-0000-00004A050000}"/>
    <cellStyle name="Normal 3 41 2 2" xfId="2652" xr:uid="{61AD1565-9C4D-4F88-873D-4F437CBE5EB8}"/>
    <cellStyle name="Normal 3 41 2 2 2" xfId="5508" xr:uid="{F43BA351-AC5A-4F9A-93DE-82A8AE46E935}"/>
    <cellStyle name="Normal 3 41 2 3" xfId="4090" xr:uid="{45153897-6A42-4CC7-A002-611401CED8FE}"/>
    <cellStyle name="Normal 3 41 3" xfId="2007" xr:uid="{F0EA2E33-4DD9-4A77-B544-E8065E526050}"/>
    <cellStyle name="Normal 3 41 3 2" xfId="4867" xr:uid="{8D5D6530-1F65-4270-89D6-E1F6EE9FC422}"/>
    <cellStyle name="Normal 3 41 4" xfId="3451" xr:uid="{D5648490-5A03-47D2-BC8B-40F85D809BB3}"/>
    <cellStyle name="Normal 3 42" xfId="496" xr:uid="{00000000-0005-0000-0000-00004B050000}"/>
    <cellStyle name="Normal 3 42 2" xfId="1215" xr:uid="{00000000-0005-0000-0000-00004C050000}"/>
    <cellStyle name="Normal 3 42 2 2" xfId="2663" xr:uid="{2AE6000D-57CC-48D5-9C26-F78AD4B18FCF}"/>
    <cellStyle name="Normal 3 42 2 2 2" xfId="5519" xr:uid="{7E7D810E-3B83-4B0F-8DAA-30D4467D5C34}"/>
    <cellStyle name="Normal 3 42 2 3" xfId="4101" xr:uid="{B56A8FD5-161B-4BE9-8986-6B7AE7201AF2}"/>
    <cellStyle name="Normal 3 42 3" xfId="2018" xr:uid="{2ED3E2EA-C3D8-4103-B7E4-BE10D16A4F07}"/>
    <cellStyle name="Normal 3 42 3 2" xfId="4878" xr:uid="{DB6CA1E8-2563-437B-98B6-2F7AE5C10C5C}"/>
    <cellStyle name="Normal 3 42 4" xfId="3462" xr:uid="{AAC8F4F7-9ABE-4B75-AF82-6A3753F8D762}"/>
    <cellStyle name="Normal 3 43" xfId="507" xr:uid="{00000000-0005-0000-0000-00004D050000}"/>
    <cellStyle name="Normal 3 43 2" xfId="1226" xr:uid="{00000000-0005-0000-0000-00004E050000}"/>
    <cellStyle name="Normal 3 43 2 2" xfId="2674" xr:uid="{69BCB8F7-EC0E-45AE-B6E2-3B2FA7BBAE2C}"/>
    <cellStyle name="Normal 3 43 2 2 2" xfId="5530" xr:uid="{157BC4DE-6AB0-41A3-B09E-0DFB3682CAE9}"/>
    <cellStyle name="Normal 3 43 2 3" xfId="4112" xr:uid="{C5BB69A9-1958-4182-A82E-5D169843DB06}"/>
    <cellStyle name="Normal 3 43 3" xfId="2029" xr:uid="{A0FB3B9E-F296-46CC-9D09-AE561CB0804B}"/>
    <cellStyle name="Normal 3 43 3 2" xfId="4889" xr:uid="{833C0CDB-32A4-4C8C-9D06-6B9B58B7E2C5}"/>
    <cellStyle name="Normal 3 43 4" xfId="3473" xr:uid="{B2A29BBE-2538-43AA-AA3B-300B2E60B0CD}"/>
    <cellStyle name="Normal 3 44" xfId="519" xr:uid="{00000000-0005-0000-0000-00004F050000}"/>
    <cellStyle name="Normal 3 44 2" xfId="1238" xr:uid="{00000000-0005-0000-0000-000050050000}"/>
    <cellStyle name="Normal 3 44 2 2" xfId="2686" xr:uid="{761702B7-F8B3-41A9-99C8-52139A014C21}"/>
    <cellStyle name="Normal 3 44 2 2 2" xfId="5542" xr:uid="{0C0526AA-CEF6-4CEE-9C8D-523268B82BE0}"/>
    <cellStyle name="Normal 3 44 2 3" xfId="4124" xr:uid="{89C2700E-621C-4BD5-A6BB-DB2D905C4EBA}"/>
    <cellStyle name="Normal 3 44 3" xfId="2041" xr:uid="{2CEF98F5-6804-4683-B00A-BC085BB4EC72}"/>
    <cellStyle name="Normal 3 44 3 2" xfId="4901" xr:uid="{B960F2F0-EEF7-4039-BF66-FE609652557F}"/>
    <cellStyle name="Normal 3 44 4" xfId="3485" xr:uid="{8C412F7C-1758-48C4-BD1B-2501B23C3744}"/>
    <cellStyle name="Normal 3 45" xfId="530" xr:uid="{00000000-0005-0000-0000-000051050000}"/>
    <cellStyle name="Normal 3 45 2" xfId="1249" xr:uid="{00000000-0005-0000-0000-000052050000}"/>
    <cellStyle name="Normal 3 45 2 2" xfId="2697" xr:uid="{85204585-024B-407D-BD6E-AEB7070D7282}"/>
    <cellStyle name="Normal 3 45 2 2 2" xfId="5553" xr:uid="{F88BE777-5F90-4E91-BF48-2B5132920A7E}"/>
    <cellStyle name="Normal 3 45 2 3" xfId="4135" xr:uid="{A5F6C927-DE2B-4EB9-93C6-94556DE8A8AF}"/>
    <cellStyle name="Normal 3 45 3" xfId="2052" xr:uid="{EFEC6264-D8D3-451B-AA6A-79F7F4EBEE88}"/>
    <cellStyle name="Normal 3 45 3 2" xfId="4912" xr:uid="{4F80D7C0-16DC-40DC-958F-0254754F58A4}"/>
    <cellStyle name="Normal 3 45 4" xfId="3496" xr:uid="{D227A0D6-A399-4A71-8624-EDC1C2FF0FC4}"/>
    <cellStyle name="Normal 3 46" xfId="548" xr:uid="{00000000-0005-0000-0000-000053050000}"/>
    <cellStyle name="Normal 3 46 2" xfId="1267" xr:uid="{00000000-0005-0000-0000-000054050000}"/>
    <cellStyle name="Normal 3 46 2 2" xfId="2715" xr:uid="{1DD8681B-0E7E-4258-BC1F-0F6E408AAA19}"/>
    <cellStyle name="Normal 3 46 2 2 2" xfId="5571" xr:uid="{10F09337-D26F-44C4-BE07-9591886A8466}"/>
    <cellStyle name="Normal 3 46 2 3" xfId="4153" xr:uid="{284EC8BC-65D8-47A5-BECA-4596A1F6BA64}"/>
    <cellStyle name="Normal 3 46 3" xfId="2070" xr:uid="{00E15677-2210-44C0-8E4A-4EFADF60FB5D}"/>
    <cellStyle name="Normal 3 46 3 2" xfId="4930" xr:uid="{8B37526C-1F03-471A-90E4-41F9027B9E3B}"/>
    <cellStyle name="Normal 3 46 4" xfId="3514" xr:uid="{2CD0B484-6090-4266-9876-268BC873AA1D}"/>
    <cellStyle name="Normal 3 47" xfId="564" xr:uid="{00000000-0005-0000-0000-000055050000}"/>
    <cellStyle name="Normal 3 47 2" xfId="1283" xr:uid="{00000000-0005-0000-0000-000056050000}"/>
    <cellStyle name="Normal 3 47 2 2" xfId="2731" xr:uid="{631765C8-A27E-4D99-987E-6E75E5B56F8E}"/>
    <cellStyle name="Normal 3 47 2 2 2" xfId="5587" xr:uid="{2B8EAEAE-11F7-470B-98A8-FCC7F0DCFCF1}"/>
    <cellStyle name="Normal 3 47 2 3" xfId="4169" xr:uid="{09CE3B09-68F2-4C68-8F95-BEF1CE960EDE}"/>
    <cellStyle name="Normal 3 47 3" xfId="2086" xr:uid="{3536D4B5-AA5F-470A-A044-C58597DA80C1}"/>
    <cellStyle name="Normal 3 47 3 2" xfId="4946" xr:uid="{A9CDD7B5-1702-42A1-BF06-094CE0CA2D89}"/>
    <cellStyle name="Normal 3 47 4" xfId="3530" xr:uid="{799C6C8A-63B7-4D86-918B-7947E8EBD541}"/>
    <cellStyle name="Normal 3 48" xfId="583" xr:uid="{00000000-0005-0000-0000-000057050000}"/>
    <cellStyle name="Normal 3 48 2" xfId="710" xr:uid="{00000000-0005-0000-0000-000058050000}"/>
    <cellStyle name="Normal 3 48 2 2" xfId="1391" xr:uid="{00000000-0005-0000-0000-000059050000}"/>
    <cellStyle name="Normal 3 48 2 2 2" xfId="2838" xr:uid="{A9BD6553-8A54-41D9-900B-A48DC7A4C30B}"/>
    <cellStyle name="Normal 3 48 2 2 2 2" xfId="5693" xr:uid="{976DB955-B657-4D36-9587-DDA798E507D3}"/>
    <cellStyle name="Normal 3 48 2 2 3" xfId="4275" xr:uid="{4BD2EFE1-EA6C-4BDA-BC7A-3E1EEB540E75}"/>
    <cellStyle name="Normal 3 48 2 3" xfId="2197" xr:uid="{9225260E-C2A9-4065-91B1-A42BA2BFB9D3}"/>
    <cellStyle name="Normal 3 48 2 3 2" xfId="5054" xr:uid="{E507A34F-F309-423E-A7E9-D2920F0C89D1}"/>
    <cellStyle name="Normal 3 48 2 4" xfId="3638" xr:uid="{596C91F9-1724-4EB0-9DBD-A8E1402E4104}"/>
    <cellStyle name="Normal 3 48 3" xfId="1302" xr:uid="{00000000-0005-0000-0000-00005A050000}"/>
    <cellStyle name="Normal 3 48 3 2" xfId="2750" xr:uid="{489E6121-3A27-4501-B665-B3AC5E2E118A}"/>
    <cellStyle name="Normal 3 48 3 2 2" xfId="5606" xr:uid="{435F8AC7-3B59-4995-A0C4-87A2E3DB8562}"/>
    <cellStyle name="Normal 3 48 3 3" xfId="4188" xr:uid="{68653447-3DAF-432E-8699-BE3C8AE2E64A}"/>
    <cellStyle name="Normal 3 48 4" xfId="2105" xr:uid="{514F849E-D2AF-41A3-9EFF-05493478731E}"/>
    <cellStyle name="Normal 3 48 4 2" xfId="4965" xr:uid="{F3AB92F4-BAF9-4DDA-B9EB-8007ECBA9174}"/>
    <cellStyle name="Normal 3 48 5" xfId="3549" xr:uid="{84E66DA4-69DC-4640-8555-885E5E2C57A3}"/>
    <cellStyle name="Normal 3 49" xfId="655" xr:uid="{00000000-0005-0000-0000-00005B050000}"/>
    <cellStyle name="Normal 3 5" xfId="64" xr:uid="{00000000-0005-0000-0000-00005C050000}"/>
    <cellStyle name="Normal 3 5 2" xfId="792" xr:uid="{00000000-0005-0000-0000-00005D050000}"/>
    <cellStyle name="Normal 3 5 2 2" xfId="2243" xr:uid="{04753846-0529-4C49-A39A-A3C9A46F6CE0}"/>
    <cellStyle name="Normal 3 5 2 2 2" xfId="5099" xr:uid="{9E74A02B-7141-404B-A06B-7A647ACAD21B}"/>
    <cellStyle name="Normal 3 5 2 3" xfId="3681" xr:uid="{14874064-68BC-4925-BCE7-363306FE446D}"/>
    <cellStyle name="Normal 3 5 3" xfId="1595" xr:uid="{1127C9FA-348B-4081-BE2F-D1B8580D5EE2}"/>
    <cellStyle name="Normal 3 5 3 2" xfId="4455" xr:uid="{E8B732D7-C52B-4146-9E0D-E6B4F03929EF}"/>
    <cellStyle name="Normal 3 5 4" xfId="3040" xr:uid="{A8BB1E82-1140-4745-BFC5-07F35FE13A0B}"/>
    <cellStyle name="Normal 3 5 5" xfId="6016" xr:uid="{8D2F4547-BF27-4FBD-9712-B06C21C87867}"/>
    <cellStyle name="Normal 3 50" xfId="721" xr:uid="{00000000-0005-0000-0000-00005E050000}"/>
    <cellStyle name="Normal 3 50 2" xfId="1400" xr:uid="{00000000-0005-0000-0000-00005F050000}"/>
    <cellStyle name="Normal 3 50 2 2" xfId="2847" xr:uid="{E22D1856-6A9B-44C8-89A6-8385B7B9CC4B}"/>
    <cellStyle name="Normal 3 50 2 2 2" xfId="5702" xr:uid="{AD4967DD-2A3F-494D-ADC1-79C24DA2F848}"/>
    <cellStyle name="Normal 3 50 2 3" xfId="4284" xr:uid="{F307B27C-BE40-4480-831B-C8C15FF71A10}"/>
    <cellStyle name="Normal 3 50 3" xfId="2207" xr:uid="{9201A431-9722-4AC1-BC5A-DA1B9EBD6EAF}"/>
    <cellStyle name="Normal 3 50 3 2" xfId="5063" xr:uid="{3D25036D-DA2F-4E82-AFB8-020CF0E5E36A}"/>
    <cellStyle name="Normal 3 50 4" xfId="3647" xr:uid="{5DEEEDE7-F78A-4AFB-A6B1-25789406DE8C}"/>
    <cellStyle name="Normal 3 6" xfId="77" xr:uid="{00000000-0005-0000-0000-000060050000}"/>
    <cellStyle name="Normal 3 6 2" xfId="803" xr:uid="{00000000-0005-0000-0000-000061050000}"/>
    <cellStyle name="Normal 3 6 2 2" xfId="2254" xr:uid="{AD344B1B-D328-4330-A5CB-B2773CF1121D}"/>
    <cellStyle name="Normal 3 6 2 2 2" xfId="5110" xr:uid="{55AB1BF2-51C5-46A2-B8D8-5E36FEE6B43A}"/>
    <cellStyle name="Normal 3 6 2 3" xfId="3692" xr:uid="{3B15F862-4A79-48E9-9343-F54A96F099FE}"/>
    <cellStyle name="Normal 3 6 3" xfId="1607" xr:uid="{E7453015-9171-43ED-9233-3392D484D0B4}"/>
    <cellStyle name="Normal 3 6 3 2" xfId="4467" xr:uid="{ADC26914-E2E0-4F88-8DBA-408DF3EF84B7}"/>
    <cellStyle name="Normal 3 6 4" xfId="3051" xr:uid="{518C9A27-7D44-4E70-9C99-8F68E5D48F00}"/>
    <cellStyle name="Normal 3 7" xfId="81" xr:uid="{00000000-0005-0000-0000-000062050000}"/>
    <cellStyle name="Normal 3 7 2" xfId="807" xr:uid="{00000000-0005-0000-0000-000063050000}"/>
    <cellStyle name="Normal 3 7 2 2" xfId="2258" xr:uid="{9B44A6D5-8219-4F85-B47F-0722A6800FB7}"/>
    <cellStyle name="Normal 3 7 2 2 2" xfId="5114" xr:uid="{3A0A7F5B-FD8A-4847-BC5E-F54E3D78F86B}"/>
    <cellStyle name="Normal 3 7 2 3" xfId="3696" xr:uid="{9C38452F-A352-4721-8024-3CE57FCEC2FF}"/>
    <cellStyle name="Normal 3 7 3" xfId="1611" xr:uid="{E67E7738-14A3-4581-AA47-C27C3596DBD4}"/>
    <cellStyle name="Normal 3 7 3 2" xfId="4471" xr:uid="{5D529D7B-4505-4631-8A84-3D568F32CC8A}"/>
    <cellStyle name="Normal 3 7 4" xfId="3055" xr:uid="{E395145A-390C-43AE-9BCF-38B95174BA93}"/>
    <cellStyle name="Normal 3 8" xfId="96" xr:uid="{00000000-0005-0000-0000-000064050000}"/>
    <cellStyle name="Normal 3 8 2" xfId="822" xr:uid="{00000000-0005-0000-0000-000065050000}"/>
    <cellStyle name="Normal 3 8 2 2" xfId="2272" xr:uid="{1A4F1163-9AB9-4F39-8369-B8494030B3D0}"/>
    <cellStyle name="Normal 3 8 2 2 2" xfId="5128" xr:uid="{8A0ECC59-1639-4FF8-838B-0A55A63A0398}"/>
    <cellStyle name="Normal 3 8 2 3" xfId="3710" xr:uid="{492A1415-1EBC-4725-B8C5-9931AD53338E}"/>
    <cellStyle name="Normal 3 8 3" xfId="1625" xr:uid="{6EF81468-6F84-43EB-9561-38A5E1B626A5}"/>
    <cellStyle name="Normal 3 8 3 2" xfId="4485" xr:uid="{C03CB228-FE31-46D6-9DDE-37568105AA48}"/>
    <cellStyle name="Normal 3 8 4" xfId="3069" xr:uid="{A757F467-67FF-42C8-9583-FA7B8170226A}"/>
    <cellStyle name="Normal 3 9" xfId="105" xr:uid="{00000000-0005-0000-0000-000066050000}"/>
    <cellStyle name="Normal 3 9 2" xfId="831" xr:uid="{00000000-0005-0000-0000-000067050000}"/>
    <cellStyle name="Normal 3 9 2 2" xfId="2280" xr:uid="{EE08A63C-DD86-42A8-B85A-3C7AB668E373}"/>
    <cellStyle name="Normal 3 9 2 2 2" xfId="5136" xr:uid="{1DD50688-88F2-4E5B-BF2D-A603595F7942}"/>
    <cellStyle name="Normal 3 9 2 3" xfId="3718" xr:uid="{1CE60DD1-F828-4845-825F-77FF81449A6F}"/>
    <cellStyle name="Normal 3 9 3" xfId="1633" xr:uid="{5402BECE-CF3F-4160-BA8A-798EC2C2F537}"/>
    <cellStyle name="Normal 3 9 3 2" xfId="4493" xr:uid="{60D487C6-8DDE-4543-B47E-1BC4F8DB2B54}"/>
    <cellStyle name="Normal 3 9 4" xfId="3077" xr:uid="{2DE0C4FC-A124-452C-BEF2-A8C134A94A83}"/>
    <cellStyle name="Normal 30" xfId="94" xr:uid="{00000000-0005-0000-0000-000068050000}"/>
    <cellStyle name="Normal 30 2" xfId="820" xr:uid="{00000000-0005-0000-0000-000069050000}"/>
    <cellStyle name="Normal 30 2 2" xfId="2270" xr:uid="{02EF80DC-1703-4D29-8F7A-479DF059082C}"/>
    <cellStyle name="Normal 30 2 2 2" xfId="5126" xr:uid="{824AB5E0-DA8E-4CFB-94EE-17EB906A42B4}"/>
    <cellStyle name="Normal 30 2 3" xfId="3708" xr:uid="{51F8B7D9-F871-4F96-80CB-FBAB4F802D99}"/>
    <cellStyle name="Normal 30 3" xfId="1623" xr:uid="{DDB2DDAD-0C25-406F-81C2-47FAA974E790}"/>
    <cellStyle name="Normal 30 3 2" xfId="4483" xr:uid="{B53E05EF-87B5-4519-84AB-E06AC196C0C1}"/>
    <cellStyle name="Normal 30 4" xfId="3067" xr:uid="{84CEA20A-1DDA-4798-A3EB-AB7AC5B8A8C7}"/>
    <cellStyle name="Normal 31" xfId="100" xr:uid="{00000000-0005-0000-0000-00006A050000}"/>
    <cellStyle name="Normal 31 2" xfId="826" xr:uid="{00000000-0005-0000-0000-00006B050000}"/>
    <cellStyle name="Normal 32" xfId="102" xr:uid="{00000000-0005-0000-0000-00006C050000}"/>
    <cellStyle name="Normal 32 2" xfId="828" xr:uid="{00000000-0005-0000-0000-00006D050000}"/>
    <cellStyle name="Normal 32 2 2" xfId="2277" xr:uid="{355ABE60-0D09-4954-B45D-6C2128589A18}"/>
    <cellStyle name="Normal 32 2 2 2" xfId="5133" xr:uid="{D7194B48-B2D3-4548-B552-4025E2EC0849}"/>
    <cellStyle name="Normal 32 2 3" xfId="3715" xr:uid="{6596C56A-E6D4-4CCE-946D-DFAD07B45955}"/>
    <cellStyle name="Normal 32 3" xfId="1630" xr:uid="{76C4FFF2-1834-4BCF-A6E7-2C1763434A44}"/>
    <cellStyle name="Normal 32 3 2" xfId="4490" xr:uid="{5FB853AF-CBA7-4EA8-936A-3C298CED3A5B}"/>
    <cellStyle name="Normal 32 4" xfId="3074" xr:uid="{51BC429B-0EA8-4CD7-859E-84A55822303B}"/>
    <cellStyle name="Normal 33" xfId="103" xr:uid="{00000000-0005-0000-0000-00006E050000}"/>
    <cellStyle name="Normal 33 2" xfId="829" xr:uid="{00000000-0005-0000-0000-00006F050000}"/>
    <cellStyle name="Normal 33 2 2" xfId="2278" xr:uid="{BBF09BC3-193B-4BC0-94C7-C2940F2D5189}"/>
    <cellStyle name="Normal 33 2 2 2" xfId="5134" xr:uid="{81D5C439-093B-42D0-AD5B-AD8AEFA0F453}"/>
    <cellStyle name="Normal 33 2 3" xfId="3716" xr:uid="{8073CDE9-0E61-4C50-87F2-2E3AB5CC3E51}"/>
    <cellStyle name="Normal 33 3" xfId="1631" xr:uid="{D929D155-58CF-4B38-84CC-9A4DB8EA3E15}"/>
    <cellStyle name="Normal 33 3 2" xfId="4491" xr:uid="{ED4CBF49-9CC5-437E-B47B-679F4E0BFAB4}"/>
    <cellStyle name="Normal 33 4" xfId="3075" xr:uid="{914A4376-D335-42E4-BCA5-D4DDFE41C8D5}"/>
    <cellStyle name="Normal 34" xfId="109" xr:uid="{00000000-0005-0000-0000-000070050000}"/>
    <cellStyle name="Normal 34 2" xfId="835" xr:uid="{00000000-0005-0000-0000-000071050000}"/>
    <cellStyle name="Normal 34 2 2" xfId="2284" xr:uid="{6C3F713B-FB00-4D35-9A60-A7128415C15F}"/>
    <cellStyle name="Normal 34 2 2 2" xfId="5140" xr:uid="{F65F418C-8D75-46A3-BF36-62B5D364A776}"/>
    <cellStyle name="Normal 34 2 3" xfId="3722" xr:uid="{B4C5A481-DF0E-4367-B08B-065B1013BFB7}"/>
    <cellStyle name="Normal 34 3" xfId="1637" xr:uid="{12F1B6AB-85F8-4DF3-B3C3-9D35664EB9BA}"/>
    <cellStyle name="Normal 34 3 2" xfId="4497" xr:uid="{B3918694-FEDF-4C59-9680-57871B6D0DD5}"/>
    <cellStyle name="Normal 34 4" xfId="3081" xr:uid="{10FE65C4-1AE3-4450-8B2E-E34626C76832}"/>
    <cellStyle name="Normal 35" xfId="110" xr:uid="{00000000-0005-0000-0000-000072050000}"/>
    <cellStyle name="Normal 35 2" xfId="836" xr:uid="{00000000-0005-0000-0000-000073050000}"/>
    <cellStyle name="Normal 35 2 2" xfId="2285" xr:uid="{63DE2A5E-4747-4B10-AB0E-6A3760F3F4A4}"/>
    <cellStyle name="Normal 35 2 2 2" xfId="5141" xr:uid="{00CEC99F-64A2-4452-A031-75E37D9F8794}"/>
    <cellStyle name="Normal 35 2 3" xfId="3723" xr:uid="{822593BF-160B-4E3D-94CE-ED66829AAD8E}"/>
    <cellStyle name="Normal 35 3" xfId="1638" xr:uid="{F2BDAA19-43D9-4942-B966-AD3817F3262D}"/>
    <cellStyle name="Normal 35 3 2" xfId="4498" xr:uid="{4CEAB8B5-E0CE-4902-B3CB-A89A34901524}"/>
    <cellStyle name="Normal 35 4" xfId="3082" xr:uid="{73ABB7D1-9201-4A9B-8D2C-B4411FF7BC9E}"/>
    <cellStyle name="Normal 36" xfId="119" xr:uid="{00000000-0005-0000-0000-000074050000}"/>
    <cellStyle name="Normal 36 2" xfId="845" xr:uid="{00000000-0005-0000-0000-000075050000}"/>
    <cellStyle name="Normal 36 2 2" xfId="2294" xr:uid="{008F2B99-9B5E-4F7C-88C6-4A632D522752}"/>
    <cellStyle name="Normal 36 2 2 2" xfId="5150" xr:uid="{7BCCBDC8-D964-4F8F-AA59-2FF52234DD9B}"/>
    <cellStyle name="Normal 36 2 3" xfId="3732" xr:uid="{55DFD12D-045F-4467-B743-9090E893E1B7}"/>
    <cellStyle name="Normal 36 3" xfId="1647" xr:uid="{4C2DAD9B-9B80-47BF-ABBC-1034EB45BA8F}"/>
    <cellStyle name="Normal 36 3 2" xfId="4507" xr:uid="{B664018E-F990-421C-865C-7466FEEEE129}"/>
    <cellStyle name="Normal 36 4" xfId="3091" xr:uid="{25785494-1AFC-4735-B349-6281EA83A7E8}"/>
    <cellStyle name="Normal 37" xfId="121" xr:uid="{00000000-0005-0000-0000-000076050000}"/>
    <cellStyle name="Normal 37 2" xfId="847" xr:uid="{00000000-0005-0000-0000-000077050000}"/>
    <cellStyle name="Normal 38" xfId="126" xr:uid="{00000000-0005-0000-0000-000078050000}"/>
    <cellStyle name="Normal 38 2" xfId="852" xr:uid="{00000000-0005-0000-0000-000079050000}"/>
    <cellStyle name="Normal 38 2 2" xfId="2300" xr:uid="{BF029C3D-0A86-4B5A-BDBF-7DA7A3F5D99E}"/>
    <cellStyle name="Normal 38 2 2 2" xfId="5156" xr:uid="{C897961C-68EE-471D-B08D-C3AB0770D4CD}"/>
    <cellStyle name="Normal 38 2 3" xfId="3738" xr:uid="{1CDCB461-AF06-494C-B33A-EDDDF6A80B2B}"/>
    <cellStyle name="Normal 38 3" xfId="1653" xr:uid="{9F720967-9770-4BD7-8B51-8C890019974E}"/>
    <cellStyle name="Normal 38 3 2" xfId="4513" xr:uid="{8B2D4DA1-B1DB-4710-A4AC-EAC2F667B771}"/>
    <cellStyle name="Normal 38 4" xfId="3097" xr:uid="{55CBC06B-8776-4162-AAFA-445E3FA5A3F5}"/>
    <cellStyle name="Normal 39" xfId="127" xr:uid="{00000000-0005-0000-0000-00007A050000}"/>
    <cellStyle name="Normal 39 2" xfId="853" xr:uid="{00000000-0005-0000-0000-00007B050000}"/>
    <cellStyle name="Normal 39 2 2" xfId="2301" xr:uid="{FE104C44-6B31-4DB0-9ACD-15F0C7D66733}"/>
    <cellStyle name="Normal 39 2 2 2" xfId="5157" xr:uid="{C31528A7-3AEE-4D03-95FE-BAD6E478ABCE}"/>
    <cellStyle name="Normal 39 2 3" xfId="3739" xr:uid="{008F6A9B-93A5-49AB-B12F-34A2CD5C7FFB}"/>
    <cellStyle name="Normal 39 3" xfId="1654" xr:uid="{623CC3FC-7981-4689-AC08-B0058FA11BBF}"/>
    <cellStyle name="Normal 39 3 2" xfId="4514" xr:uid="{23D4084C-F5B2-44E2-B723-F0163B2BF4D6}"/>
    <cellStyle name="Normal 39 4" xfId="3098" xr:uid="{D76C598F-F019-4057-BDF9-A58AD52090B9}"/>
    <cellStyle name="Normal 4" xfId="21" xr:uid="{00000000-0005-0000-0000-00007C050000}"/>
    <cellStyle name="Normal 4 2" xfId="22" xr:uid="{00000000-0005-0000-0000-00007D050000}"/>
    <cellStyle name="Normal 4 3" xfId="30" xr:uid="{00000000-0005-0000-0000-00007E050000}"/>
    <cellStyle name="Normal 4 3 2" xfId="771" xr:uid="{00000000-0005-0000-0000-00007F050000}"/>
    <cellStyle name="Normal 4 4" xfId="57" xr:uid="{00000000-0005-0000-0000-000080050000}"/>
    <cellStyle name="Normal 4 5" xfId="657" xr:uid="{00000000-0005-0000-0000-000081050000}"/>
    <cellStyle name="Normal 40" xfId="134" xr:uid="{00000000-0005-0000-0000-000082050000}"/>
    <cellStyle name="Normal 40 2" xfId="859" xr:uid="{00000000-0005-0000-0000-000083050000}"/>
    <cellStyle name="Normal 40 2 2" xfId="2307" xr:uid="{C8124451-9716-4624-9723-DE36F5618604}"/>
    <cellStyle name="Normal 40 2 2 2" xfId="5163" xr:uid="{CEEDBDD2-115D-40EB-8FE4-6F2BEC1537A9}"/>
    <cellStyle name="Normal 40 2 3" xfId="3745" xr:uid="{CB81F95B-49BA-4830-B44E-4F2D574E5566}"/>
    <cellStyle name="Normal 40 3" xfId="1660" xr:uid="{C56DB194-F4DE-4BAF-8B28-E560DDAED77D}"/>
    <cellStyle name="Normal 40 3 2" xfId="4520" xr:uid="{ED1886E5-5AFE-43EC-B227-E419DF02F5F6}"/>
    <cellStyle name="Normal 40 4" xfId="3104" xr:uid="{1F48E10A-EE9C-4FE1-A071-8790A8F0101F}"/>
    <cellStyle name="Normal 41" xfId="137" xr:uid="{00000000-0005-0000-0000-000084050000}"/>
    <cellStyle name="Normal 41 2" xfId="862" xr:uid="{00000000-0005-0000-0000-000085050000}"/>
    <cellStyle name="Normal 41 2 2" xfId="2310" xr:uid="{4BE72F0D-4315-4F53-AF51-59B75627C9ED}"/>
    <cellStyle name="Normal 41 2 2 2" xfId="5166" xr:uid="{8FB60C59-1BD5-4CAC-AC34-3B8EE63D05CB}"/>
    <cellStyle name="Normal 41 2 3" xfId="3748" xr:uid="{D1204975-69A5-492D-BC0B-CCCE6308E9D3}"/>
    <cellStyle name="Normal 41 3" xfId="1663" xr:uid="{16C75B1F-CBFE-4EC6-99C1-2D469512C744}"/>
    <cellStyle name="Normal 41 3 2" xfId="4523" xr:uid="{3F73F636-5DF5-4CDF-B9C7-437246A82F20}"/>
    <cellStyle name="Normal 41 4" xfId="3107" xr:uid="{280DE689-9F0A-4DD0-A96B-FCCD47BDD0DD}"/>
    <cellStyle name="Normal 42" xfId="138" xr:uid="{00000000-0005-0000-0000-000086050000}"/>
    <cellStyle name="Normal 42 2" xfId="863" xr:uid="{00000000-0005-0000-0000-000087050000}"/>
    <cellStyle name="Normal 42 2 2" xfId="2311" xr:uid="{D75DEDA6-AAB6-486D-8E54-A995EAB096F1}"/>
    <cellStyle name="Normal 42 2 2 2" xfId="5167" xr:uid="{E0B9F261-3C3A-4663-A439-FADF07CB04E6}"/>
    <cellStyle name="Normal 42 2 3" xfId="3749" xr:uid="{F5F685CB-06F4-4E90-BE99-612C0921D1E2}"/>
    <cellStyle name="Normal 42 3" xfId="1664" xr:uid="{39E6D9AA-2234-4F55-AF93-E78CCC857B50}"/>
    <cellStyle name="Normal 42 3 2" xfId="4524" xr:uid="{628042B1-D4FA-4A09-8763-462AF683669B}"/>
    <cellStyle name="Normal 42 4" xfId="3108" xr:uid="{E09E8EB1-5ACC-4D32-B0C9-A07F5863DFF3}"/>
    <cellStyle name="Normal 43" xfId="144" xr:uid="{00000000-0005-0000-0000-000088050000}"/>
    <cellStyle name="Normal 43 2" xfId="869" xr:uid="{00000000-0005-0000-0000-000089050000}"/>
    <cellStyle name="Normal 43 2 2" xfId="2317" xr:uid="{3D3D19BA-47AD-4F28-94F3-19DD469C6B5E}"/>
    <cellStyle name="Normal 43 2 2 2" xfId="5173" xr:uid="{4F008D6D-69FC-42EC-8695-D06AB72F6A17}"/>
    <cellStyle name="Normal 43 2 3" xfId="3755" xr:uid="{E51AFD1F-6883-4E61-9EDA-7D96995ABE23}"/>
    <cellStyle name="Normal 43 3" xfId="1670" xr:uid="{93D7F900-15B0-47AC-A14B-3F4EB864645D}"/>
    <cellStyle name="Normal 43 3 2" xfId="4530" xr:uid="{67674FD7-167B-4E74-9A83-DCC278A96518}"/>
    <cellStyle name="Normal 43 4" xfId="3114" xr:uid="{17781FA7-68FF-4072-83E4-F3906622DD80}"/>
    <cellStyle name="Normal 44" xfId="151" xr:uid="{00000000-0005-0000-0000-00008A050000}"/>
    <cellStyle name="Normal 44 2" xfId="875" xr:uid="{00000000-0005-0000-0000-00008B050000}"/>
    <cellStyle name="Normal 44 2 2" xfId="2323" xr:uid="{ADBA80C7-80E3-4E3D-A5FA-3C0B1241A60A}"/>
    <cellStyle name="Normal 44 2 2 2" xfId="5179" xr:uid="{4E95DC40-4EAD-4ADB-A90D-8C746AC6D4C0}"/>
    <cellStyle name="Normal 44 2 3" xfId="3761" xr:uid="{983C36B0-F4D1-407C-B6AE-6D99E4A5BC97}"/>
    <cellStyle name="Normal 44 3" xfId="1676" xr:uid="{32406095-B781-4D0F-8649-AFC3246E0B9F}"/>
    <cellStyle name="Normal 44 3 2" xfId="4536" xr:uid="{1F61D8C7-0EF2-4E44-9699-31A31224E3E4}"/>
    <cellStyle name="Normal 44 4" xfId="3120" xr:uid="{BB555097-BBD1-475C-9528-43D78F891107}"/>
    <cellStyle name="Normal 45" xfId="153" xr:uid="{00000000-0005-0000-0000-00008C050000}"/>
    <cellStyle name="Normal 45 2" xfId="877" xr:uid="{00000000-0005-0000-0000-00008D050000}"/>
    <cellStyle name="Normal 45 2 2" xfId="2325" xr:uid="{17777B20-82E8-4963-9313-AB14E446D954}"/>
    <cellStyle name="Normal 45 2 2 2" xfId="5181" xr:uid="{F87A3007-11C7-479C-B17D-ACA5053511DF}"/>
    <cellStyle name="Normal 45 2 3" xfId="3763" xr:uid="{F4855413-4EAB-4B64-964B-AF102A91107A}"/>
    <cellStyle name="Normal 45 3" xfId="1678" xr:uid="{2617051E-C66C-4A95-9A22-FBBCE9CD38CE}"/>
    <cellStyle name="Normal 45 3 2" xfId="4538" xr:uid="{682557DE-A66B-460F-B49B-DD181F0D16DB}"/>
    <cellStyle name="Normal 45 4" xfId="3122" xr:uid="{C92941C0-473A-439C-AF71-E747B646E129}"/>
    <cellStyle name="Normal 46" xfId="159" xr:uid="{00000000-0005-0000-0000-00008E050000}"/>
    <cellStyle name="Normal 46 2" xfId="882" xr:uid="{00000000-0005-0000-0000-00008F050000}"/>
    <cellStyle name="Normal 46 2 2" xfId="2330" xr:uid="{00717322-CC31-4E06-BCC3-3BE2F4C140D2}"/>
    <cellStyle name="Normal 46 2 2 2" xfId="5186" xr:uid="{B6408201-353E-4150-9C43-C41EA5B392E5}"/>
    <cellStyle name="Normal 46 2 3" xfId="3768" xr:uid="{E0E876BB-ED09-414E-B9FD-4F6B5230D8CE}"/>
    <cellStyle name="Normal 46 3" xfId="1683" xr:uid="{0B650148-5AFA-4D6B-A310-C4E1244D3301}"/>
    <cellStyle name="Normal 46 3 2" xfId="4543" xr:uid="{22A1DF74-49CE-4D82-85F1-036BAED19171}"/>
    <cellStyle name="Normal 46 4" xfId="3127" xr:uid="{9A7F9E06-077B-4FED-8DE0-6C3AF4E4FE08}"/>
    <cellStyle name="Normal 47" xfId="161" xr:uid="{00000000-0005-0000-0000-000090050000}"/>
    <cellStyle name="Normal 47 2" xfId="884" xr:uid="{00000000-0005-0000-0000-000091050000}"/>
    <cellStyle name="Normal 47 2 2" xfId="2332" xr:uid="{8B61B377-EE81-4FC0-B629-98D26466A981}"/>
    <cellStyle name="Normal 47 2 2 2" xfId="5188" xr:uid="{AC311637-A94B-416E-B5FF-9A7E098B71D0}"/>
    <cellStyle name="Normal 47 2 3" xfId="3770" xr:uid="{5DC9C49F-8E49-41CB-BF25-78ECA7645667}"/>
    <cellStyle name="Normal 47 3" xfId="1685" xr:uid="{DA899250-A4F8-4F18-85A9-2B25183BFDB9}"/>
    <cellStyle name="Normal 47 3 2" xfId="4545" xr:uid="{127CF751-8A94-4F93-B6C0-91E04E85A3AA}"/>
    <cellStyle name="Normal 47 4" xfId="3129" xr:uid="{2F9D1F56-ECAC-44C9-BE0F-CD271EF34914}"/>
    <cellStyle name="Normal 48" xfId="168" xr:uid="{00000000-0005-0000-0000-000092050000}"/>
    <cellStyle name="Normal 48 2" xfId="890" xr:uid="{00000000-0005-0000-0000-000093050000}"/>
    <cellStyle name="Normal 48 2 2" xfId="2338" xr:uid="{CD3EF704-3801-4FBF-B870-53190A2226D9}"/>
    <cellStyle name="Normal 48 2 2 2" xfId="5194" xr:uid="{A7451138-1F3D-4A09-BA08-EBAC8B72A141}"/>
    <cellStyle name="Normal 48 2 3" xfId="3776" xr:uid="{10D3A383-2823-478D-9F67-7B7F772D22A6}"/>
    <cellStyle name="Normal 48 3" xfId="1691" xr:uid="{D54ED83A-2F3D-4A14-80A5-261DE2E3D4EB}"/>
    <cellStyle name="Normal 48 3 2" xfId="4551" xr:uid="{B27F65B4-10B0-4137-95A8-A576425B4C76}"/>
    <cellStyle name="Normal 48 4" xfId="3135" xr:uid="{3AE820B3-C387-49F3-925B-847486002FCD}"/>
    <cellStyle name="Normal 49" xfId="171" xr:uid="{00000000-0005-0000-0000-000094050000}"/>
    <cellStyle name="Normal 49 2" xfId="893" xr:uid="{00000000-0005-0000-0000-000095050000}"/>
    <cellStyle name="Normal 49 2 2" xfId="2341" xr:uid="{C88D6719-2075-4C8E-8A5B-7C1BF7B4573B}"/>
    <cellStyle name="Normal 49 2 2 2" xfId="5197" xr:uid="{67069AD1-C1FD-4605-9CCF-206E4ABF3030}"/>
    <cellStyle name="Normal 49 2 3" xfId="3779" xr:uid="{6DF9D4A1-6B19-4062-A528-20B278FACA1E}"/>
    <cellStyle name="Normal 49 3" xfId="1694" xr:uid="{08260BC7-E842-433C-8E1A-3C767BA3CC9A}"/>
    <cellStyle name="Normal 49 3 2" xfId="4554" xr:uid="{08C40FAD-9019-41E1-B7E8-67FA256693CF}"/>
    <cellStyle name="Normal 49 4" xfId="3138" xr:uid="{DE20856A-9A68-4409-80BF-CDE119151C80}"/>
    <cellStyle name="Normal 5" xfId="23" xr:uid="{00000000-0005-0000-0000-000096050000}"/>
    <cellStyle name="Normal 5 2" xfId="35" xr:uid="{00000000-0005-0000-0000-000097050000}"/>
    <cellStyle name="Normal 5 2 2" xfId="484" xr:uid="{00000000-0005-0000-0000-000098050000}"/>
    <cellStyle name="Normal 50" xfId="173" xr:uid="{00000000-0005-0000-0000-000099050000}"/>
    <cellStyle name="Normal 50 2" xfId="895" xr:uid="{00000000-0005-0000-0000-00009A050000}"/>
    <cellStyle name="Normal 50 2 2" xfId="2343" xr:uid="{2028EA55-8C5E-43F2-9749-73FD9183B524}"/>
    <cellStyle name="Normal 50 2 2 2" xfId="5199" xr:uid="{093FF9FA-53C3-4C1F-88AF-C043A839062B}"/>
    <cellStyle name="Normal 50 2 3" xfId="3781" xr:uid="{582D24CE-AD85-4BF1-B171-4912351F8360}"/>
    <cellStyle name="Normal 50 3" xfId="1696" xr:uid="{D4EFAFB3-B5A8-4149-B971-E861EA5720E4}"/>
    <cellStyle name="Normal 50 3 2" xfId="4556" xr:uid="{6313462F-D420-4671-B386-7D6D6B49E730}"/>
    <cellStyle name="Normal 50 4" xfId="3140" xr:uid="{F368C41A-044C-428A-8244-063D00EB453C}"/>
    <cellStyle name="Normal 51" xfId="181" xr:uid="{00000000-0005-0000-0000-00009B050000}"/>
    <cellStyle name="Normal 51 2" xfId="903" xr:uid="{00000000-0005-0000-0000-00009C050000}"/>
    <cellStyle name="Normal 51 2 2" xfId="2351" xr:uid="{48ACBEC1-3239-41B4-BDD0-548B1DF45932}"/>
    <cellStyle name="Normal 51 2 2 2" xfId="5207" xr:uid="{0CF3DEC2-02E7-47B4-880E-FBB1A12D159A}"/>
    <cellStyle name="Normal 51 2 3" xfId="3789" xr:uid="{54B4B4F1-044E-4AD8-87CB-611119B14DBC}"/>
    <cellStyle name="Normal 51 3" xfId="1704" xr:uid="{77DEAB5A-B8AD-44AD-B3F8-DE34B5AF4BBE}"/>
    <cellStyle name="Normal 51 3 2" xfId="4564" xr:uid="{AE464FEF-D127-48E5-8346-F84A42EBAEF6}"/>
    <cellStyle name="Normal 51 4" xfId="3148" xr:uid="{4C0B056E-DF9F-45D4-A83A-B5DE2FBCC6C4}"/>
    <cellStyle name="Normal 52" xfId="187" xr:uid="{00000000-0005-0000-0000-00009D050000}"/>
    <cellStyle name="Normal 52 2" xfId="909" xr:uid="{00000000-0005-0000-0000-00009E050000}"/>
    <cellStyle name="Normal 52 2 2" xfId="2357" xr:uid="{47CB26CE-C06D-4D9F-8DE9-F7BEE4B4D915}"/>
    <cellStyle name="Normal 52 2 2 2" xfId="5213" xr:uid="{2EB185BD-DA1A-4A38-9A39-BA5CD2230967}"/>
    <cellStyle name="Normal 52 2 3" xfId="3795" xr:uid="{B82AC8CA-DCFA-40AA-AD53-4E9D904F6AEC}"/>
    <cellStyle name="Normal 52 3" xfId="1710" xr:uid="{86E44C56-B29E-4A03-A610-038BEB888801}"/>
    <cellStyle name="Normal 52 3 2" xfId="4570" xr:uid="{E4B730A8-EECD-48F3-A231-66A13ABBC369}"/>
    <cellStyle name="Normal 52 4" xfId="3154" xr:uid="{318FC6BF-34A7-4C3B-ADA5-A000B70071B2}"/>
    <cellStyle name="Normal 53" xfId="188" xr:uid="{00000000-0005-0000-0000-00009F050000}"/>
    <cellStyle name="Normal 53 2" xfId="910" xr:uid="{00000000-0005-0000-0000-0000A0050000}"/>
    <cellStyle name="Normal 53 2 2" xfId="2358" xr:uid="{C2A40EEE-48AE-4728-ABCF-EF593D0EAE8E}"/>
    <cellStyle name="Normal 53 2 2 2" xfId="5214" xr:uid="{E1BF1775-915C-4329-ADBF-EDE467C92B1C}"/>
    <cellStyle name="Normal 53 2 3" xfId="3796" xr:uid="{5CE01F0C-F384-4C9B-8B17-CB78648DA73C}"/>
    <cellStyle name="Normal 53 3" xfId="1711" xr:uid="{DDE63596-3AC5-440D-8E3C-49637231D78D}"/>
    <cellStyle name="Normal 53 3 2" xfId="4571" xr:uid="{E3EEBEB0-6842-40B3-BD6B-6CBE56B3E3A3}"/>
    <cellStyle name="Normal 53 4" xfId="3155" xr:uid="{B64320F8-E615-4801-9B85-0BC8D45DC59B}"/>
    <cellStyle name="Normal 54" xfId="194" xr:uid="{00000000-0005-0000-0000-0000A1050000}"/>
    <cellStyle name="Normal 54 2" xfId="916" xr:uid="{00000000-0005-0000-0000-0000A2050000}"/>
    <cellStyle name="Normal 54 2 2" xfId="2364" xr:uid="{1ABB590E-519B-4CFA-A48D-C15B9DC27A3F}"/>
    <cellStyle name="Normal 54 2 2 2" xfId="5220" xr:uid="{A633609B-44B3-462A-8A35-A86D03920455}"/>
    <cellStyle name="Normal 54 2 3" xfId="3802" xr:uid="{ED518271-4E8E-4EFD-9236-81D2DCB6745E}"/>
    <cellStyle name="Normal 54 3" xfId="1717" xr:uid="{ED87AA53-78BE-4568-8D1B-922971736552}"/>
    <cellStyle name="Normal 54 3 2" xfId="4577" xr:uid="{1B160A20-B50F-4360-9C43-1BC7D841E486}"/>
    <cellStyle name="Normal 54 4" xfId="3161" xr:uid="{A5D1AFE1-AFF2-4B76-B58B-E6EB3A9D2DAA}"/>
    <cellStyle name="Normal 55" xfId="195" xr:uid="{00000000-0005-0000-0000-0000A3050000}"/>
    <cellStyle name="Normal 55 2" xfId="917" xr:uid="{00000000-0005-0000-0000-0000A4050000}"/>
    <cellStyle name="Normal 55 2 2" xfId="2365" xr:uid="{496FBB9B-49DE-4C4C-883E-A5403C25D596}"/>
    <cellStyle name="Normal 55 2 2 2" xfId="5221" xr:uid="{36242DE2-DB62-455C-870E-7A2AF0CAFD30}"/>
    <cellStyle name="Normal 55 2 3" xfId="3803" xr:uid="{915AD51C-BDF4-422C-BD07-10E680713692}"/>
    <cellStyle name="Normal 55 3" xfId="1718" xr:uid="{B13025BD-2332-411E-A496-35523A050590}"/>
    <cellStyle name="Normal 55 3 2" xfId="4578" xr:uid="{0D3E5622-D942-4388-8DDF-4ECAEC8CFC14}"/>
    <cellStyle name="Normal 55 4" xfId="3162" xr:uid="{3850C0B1-5340-45FF-A288-C27AFE5C6DAD}"/>
    <cellStyle name="Normal 56" xfId="198" xr:uid="{00000000-0005-0000-0000-0000A5050000}"/>
    <cellStyle name="Normal 56 2" xfId="920" xr:uid="{00000000-0005-0000-0000-0000A6050000}"/>
    <cellStyle name="Normal 56 2 2" xfId="2368" xr:uid="{C5C27E60-9CCA-4BA5-A63B-092A7965F7A3}"/>
    <cellStyle name="Normal 56 2 2 2" xfId="5224" xr:uid="{1DBF48D8-9447-4A87-97A6-FE00C03F2401}"/>
    <cellStyle name="Normal 56 2 3" xfId="3806" xr:uid="{81D154BD-ECF0-419E-AD41-6A2E513CE87C}"/>
    <cellStyle name="Normal 56 3" xfId="1721" xr:uid="{7E32FA88-DC1A-4DE7-BBF0-A597D0F76BA5}"/>
    <cellStyle name="Normal 56 3 2" xfId="4581" xr:uid="{8D19DB1F-0239-43A6-9199-52998C8B41D8}"/>
    <cellStyle name="Normal 56 4" xfId="3165" xr:uid="{6B625980-6B71-4124-86C9-0229F90E2EBA}"/>
    <cellStyle name="Normal 57" xfId="200" xr:uid="{00000000-0005-0000-0000-0000A7050000}"/>
    <cellStyle name="Normal 57 2" xfId="922" xr:uid="{00000000-0005-0000-0000-0000A8050000}"/>
    <cellStyle name="Normal 57 2 2" xfId="2370" xr:uid="{5CB0F0BA-D08C-4D59-9226-9D49EF44AF47}"/>
    <cellStyle name="Normal 57 2 2 2" xfId="5226" xr:uid="{02C78A54-DD6E-4A3E-9700-017E4C220C8B}"/>
    <cellStyle name="Normal 57 2 3" xfId="3808" xr:uid="{6C968B8A-E86C-483E-B995-5C52E8AF21E3}"/>
    <cellStyle name="Normal 57 3" xfId="1723" xr:uid="{6B550624-F4F6-4EB3-93BD-127AFFD962A9}"/>
    <cellStyle name="Normal 57 3 2" xfId="4583" xr:uid="{CCAF85EA-E95C-4D30-8085-183CF3646CB3}"/>
    <cellStyle name="Normal 57 4" xfId="3167" xr:uid="{C15DCDFA-D242-4C8E-A42C-2A39FA4E75DD}"/>
    <cellStyle name="Normal 58" xfId="208" xr:uid="{00000000-0005-0000-0000-0000A9050000}"/>
    <cellStyle name="Normal 58 2" xfId="930" xr:uid="{00000000-0005-0000-0000-0000AA050000}"/>
    <cellStyle name="Normal 58 2 2" xfId="2378" xr:uid="{91907A1F-D754-40BA-8AB4-DA037A29FD9F}"/>
    <cellStyle name="Normal 58 2 2 2" xfId="5234" xr:uid="{CFDAB781-ED38-47D9-8E55-5B457789952F}"/>
    <cellStyle name="Normal 58 2 3" xfId="3816" xr:uid="{676AD37D-DE67-40A0-B26E-C2A2D7ACFF3C}"/>
    <cellStyle name="Normal 58 3" xfId="1731" xr:uid="{C3C8D20A-03CA-46BF-AFFA-370CFE4E0D7E}"/>
    <cellStyle name="Normal 58 3 2" xfId="4591" xr:uid="{FC6A5C60-2EE4-43BF-A646-19732285544C}"/>
    <cellStyle name="Normal 58 4" xfId="3175" xr:uid="{A8AF880E-561E-4F1A-9DDE-3DA2F70C2956}"/>
    <cellStyle name="Normal 59" xfId="209" xr:uid="{00000000-0005-0000-0000-0000AB050000}"/>
    <cellStyle name="Normal 59 2" xfId="931" xr:uid="{00000000-0005-0000-0000-0000AC050000}"/>
    <cellStyle name="Normal 59 2 2" xfId="2379" xr:uid="{8E151540-4E9C-46FC-9C8B-1D5E56032CA8}"/>
    <cellStyle name="Normal 59 2 2 2" xfId="5235" xr:uid="{A04212AA-EC83-4D04-A3D1-D27D56DE8F93}"/>
    <cellStyle name="Normal 59 2 3" xfId="3817" xr:uid="{4E6303C7-0CA5-48DA-84A9-00AF5D7954CF}"/>
    <cellStyle name="Normal 59 3" xfId="1732" xr:uid="{36CEA918-E8A8-48A1-B234-0289A6FB6A40}"/>
    <cellStyle name="Normal 59 3 2" xfId="4592" xr:uid="{ED88358F-C3DB-46CC-A7E4-073F5157B22B}"/>
    <cellStyle name="Normal 59 4" xfId="3176" xr:uid="{B79FE3A9-B612-415D-87A0-CCF8B58ADB34}"/>
    <cellStyle name="Normal 6" xfId="24" xr:uid="{00000000-0005-0000-0000-0000AD050000}"/>
    <cellStyle name="Normal 60" xfId="212" xr:uid="{00000000-0005-0000-0000-0000AE050000}"/>
    <cellStyle name="Normal 60 2" xfId="934" xr:uid="{00000000-0005-0000-0000-0000AF050000}"/>
    <cellStyle name="Normal 60 2 2" xfId="2382" xr:uid="{F91D85A0-518C-4D5E-B764-3EED9CD2602E}"/>
    <cellStyle name="Normal 60 2 2 2" xfId="5238" xr:uid="{D897B7E9-A332-471A-B34B-C2C7311B7861}"/>
    <cellStyle name="Normal 60 2 3" xfId="3820" xr:uid="{3A5C09C4-E2AC-4742-9E23-C18DAA514B60}"/>
    <cellStyle name="Normal 60 3" xfId="1735" xr:uid="{A398B3DC-0B2E-4DFD-B3C4-321A204C1686}"/>
    <cellStyle name="Normal 60 3 2" xfId="4595" xr:uid="{3B98D8B3-AC4D-4A99-9306-50E35D0E071F}"/>
    <cellStyle name="Normal 60 4" xfId="3179" xr:uid="{74CF146B-AA06-4B92-BA35-8636EA4A545E}"/>
    <cellStyle name="Normal 61" xfId="214" xr:uid="{00000000-0005-0000-0000-0000B0050000}"/>
    <cellStyle name="Normal 61 2" xfId="936" xr:uid="{00000000-0005-0000-0000-0000B1050000}"/>
    <cellStyle name="Normal 61 2 2" xfId="2384" xr:uid="{E626EEF7-81EC-4F16-A7B2-0CE682D9FACB}"/>
    <cellStyle name="Normal 61 2 2 2" xfId="5240" xr:uid="{49A0E385-52DA-473F-B5A9-9CEF4E794D10}"/>
    <cellStyle name="Normal 61 2 3" xfId="3822" xr:uid="{6703D8F4-F7D6-470E-9901-4941CC413E19}"/>
    <cellStyle name="Normal 61 3" xfId="1737" xr:uid="{7743B826-E0AB-4016-BEB2-82B33D6996E8}"/>
    <cellStyle name="Normal 61 3 2" xfId="4597" xr:uid="{3F72B5CB-ABED-4E97-8D90-BDBAA8DEB022}"/>
    <cellStyle name="Normal 61 4" xfId="3181" xr:uid="{F5EBF320-26A5-4197-A764-4EB522ED2156}"/>
    <cellStyle name="Normal 62" xfId="222" xr:uid="{00000000-0005-0000-0000-0000B2050000}"/>
    <cellStyle name="Normal 62 2" xfId="944" xr:uid="{00000000-0005-0000-0000-0000B3050000}"/>
    <cellStyle name="Normal 62 2 2" xfId="2392" xr:uid="{1D035585-276D-40B1-A52E-D68434631B43}"/>
    <cellStyle name="Normal 62 2 2 2" xfId="5248" xr:uid="{25B01D3B-03BA-4828-B21E-68AFB0E5ABE3}"/>
    <cellStyle name="Normal 62 2 3" xfId="3830" xr:uid="{F92957F0-C6C3-4933-8426-2486A4CCC8D4}"/>
    <cellStyle name="Normal 62 3" xfId="1745" xr:uid="{9611BCB6-7160-4689-8772-80B8AC210643}"/>
    <cellStyle name="Normal 62 3 2" xfId="4605" xr:uid="{8A26384D-0A46-42C9-865E-12B38CC3A9BE}"/>
    <cellStyle name="Normal 62 4" xfId="3189" xr:uid="{AACA0328-933C-403A-97BB-2D0CECC1794F}"/>
    <cellStyle name="Normal 63" xfId="224" xr:uid="{00000000-0005-0000-0000-0000B4050000}"/>
    <cellStyle name="Normal 63 2" xfId="946" xr:uid="{00000000-0005-0000-0000-0000B5050000}"/>
    <cellStyle name="Normal 63 2 2" xfId="2394" xr:uid="{C69B9DF1-FDA8-482B-85EE-D6B491758025}"/>
    <cellStyle name="Normal 63 2 2 2" xfId="5250" xr:uid="{40AB6C78-6B46-4931-A9BB-41EC1EEBD436}"/>
    <cellStyle name="Normal 63 2 3" xfId="3832" xr:uid="{940F08CF-C2AB-4B81-8E10-1FB0DADEC1A6}"/>
    <cellStyle name="Normal 63 3" xfId="1747" xr:uid="{8FDA2517-DA38-430F-A415-895ED1EFFD70}"/>
    <cellStyle name="Normal 63 3 2" xfId="4607" xr:uid="{3C137BEE-6D28-4685-B95E-7369D6E8B607}"/>
    <cellStyle name="Normal 63 4" xfId="3191" xr:uid="{BC14193B-DD25-46E2-A517-150A2F517044}"/>
    <cellStyle name="Normal 64" xfId="227" xr:uid="{00000000-0005-0000-0000-0000B6050000}"/>
    <cellStyle name="Normal 64 2" xfId="949" xr:uid="{00000000-0005-0000-0000-0000B7050000}"/>
    <cellStyle name="Normal 64 2 2" xfId="2397" xr:uid="{28EFFF78-1469-4128-A98F-F455FD819BFA}"/>
    <cellStyle name="Normal 64 2 2 2" xfId="5253" xr:uid="{10A373F5-A4DE-4E4F-8442-C08F71D95918}"/>
    <cellStyle name="Normal 64 2 3" xfId="3835" xr:uid="{13907184-45F3-4BBD-A5F3-FB4D6391AD20}"/>
    <cellStyle name="Normal 64 3" xfId="1750" xr:uid="{E9146267-3C6B-4001-81DA-50DE4AE1F658}"/>
    <cellStyle name="Normal 64 3 2" xfId="4610" xr:uid="{0DA322D4-4A77-477C-B2CE-FAE0046E8424}"/>
    <cellStyle name="Normal 64 4" xfId="3194" xr:uid="{2CACEC51-C70F-4F21-AC40-B91E4F965F33}"/>
    <cellStyle name="Normal 65" xfId="233" xr:uid="{00000000-0005-0000-0000-0000B8050000}"/>
    <cellStyle name="Normal 65 2" xfId="955" xr:uid="{00000000-0005-0000-0000-0000B9050000}"/>
    <cellStyle name="Normal 65 2 2" xfId="2403" xr:uid="{35EBDD92-E89A-4DBA-A542-5FEAB2CFCE82}"/>
    <cellStyle name="Normal 65 2 2 2" xfId="5259" xr:uid="{4C389F57-C7A9-4451-9619-5D07D24CE957}"/>
    <cellStyle name="Normal 65 2 3" xfId="3841" xr:uid="{7007B2D0-F045-46DD-8BFB-AE9472B62771}"/>
    <cellStyle name="Normal 65 3" xfId="1756" xr:uid="{44A819E0-DFAF-46D1-9C1D-23720960AC2D}"/>
    <cellStyle name="Normal 65 3 2" xfId="4616" xr:uid="{AA35F451-0541-4F00-84DF-133D9A422489}"/>
    <cellStyle name="Normal 65 4" xfId="3200" xr:uid="{6FC53989-8094-481D-B155-CBD76DB5A20E}"/>
    <cellStyle name="Normal 66" xfId="235" xr:uid="{00000000-0005-0000-0000-0000BA050000}"/>
    <cellStyle name="Normal 66 2" xfId="957" xr:uid="{00000000-0005-0000-0000-0000BB050000}"/>
    <cellStyle name="Normal 66 2 2" xfId="2405" xr:uid="{5D7B40D4-2FAE-4116-8972-894A13709CEF}"/>
    <cellStyle name="Normal 66 2 2 2" xfId="5261" xr:uid="{0BDC47A3-AB7A-4528-B5D7-F108FF2CA6E0}"/>
    <cellStyle name="Normal 66 2 3" xfId="3843" xr:uid="{86AFB98D-D6EA-44E9-BB37-4C7B20F4A6CF}"/>
    <cellStyle name="Normal 66 3" xfId="1758" xr:uid="{38F2E578-AD49-4A07-8C44-A21CF279A1C5}"/>
    <cellStyle name="Normal 66 3 2" xfId="4618" xr:uid="{5F298FDB-B3AD-405C-BA43-784171563BBC}"/>
    <cellStyle name="Normal 66 4" xfId="3202" xr:uid="{688909D6-D85B-4D86-8363-CA527E604ECA}"/>
    <cellStyle name="Normal 67" xfId="238" xr:uid="{00000000-0005-0000-0000-0000BC050000}"/>
    <cellStyle name="Normal 67 2" xfId="960" xr:uid="{00000000-0005-0000-0000-0000BD050000}"/>
    <cellStyle name="Normal 67 2 2" xfId="2408" xr:uid="{CEC8F2FE-1658-4B5D-9D83-D216E5B8003F}"/>
    <cellStyle name="Normal 67 2 2 2" xfId="5264" xr:uid="{A9E3E69D-1AB9-4F63-94A8-14DB4F939F1A}"/>
    <cellStyle name="Normal 67 2 3" xfId="3846" xr:uid="{62B814FE-2247-4182-828C-C3D4FDB1C236}"/>
    <cellStyle name="Normal 67 3" xfId="1761" xr:uid="{BEF0BD27-B0E4-4CF2-B019-A3CB499C1EDF}"/>
    <cellStyle name="Normal 67 3 2" xfId="4621" xr:uid="{B1611DD0-29B3-454F-B41C-B99546FBCC17}"/>
    <cellStyle name="Normal 67 4" xfId="3205" xr:uid="{8F00322B-9F3F-44BC-93FA-D14EB39846A5}"/>
    <cellStyle name="Normal 68" xfId="247" xr:uid="{00000000-0005-0000-0000-0000BE050000}"/>
    <cellStyle name="Normal 68 2" xfId="969" xr:uid="{00000000-0005-0000-0000-0000BF050000}"/>
    <cellStyle name="Normal 68 2 2" xfId="2417" xr:uid="{DF038B85-AACC-451D-9F85-F6DAF9558E08}"/>
    <cellStyle name="Normal 68 2 2 2" xfId="5273" xr:uid="{A1BF7112-A6C9-43AE-A859-EC750F618354}"/>
    <cellStyle name="Normal 68 2 3" xfId="3855" xr:uid="{8759B723-B5ED-4CD2-8948-E58F182229DC}"/>
    <cellStyle name="Normal 68 3" xfId="1770" xr:uid="{04553B1D-1BB3-48BC-9171-730FF91BBCF3}"/>
    <cellStyle name="Normal 68 3 2" xfId="4630" xr:uid="{C15D8CED-3B55-444B-82E5-F0D6700F6765}"/>
    <cellStyle name="Normal 68 4" xfId="3214" xr:uid="{2372DEA2-2179-44AE-854D-B26517CB38E0}"/>
    <cellStyle name="Normal 69" xfId="248" xr:uid="{00000000-0005-0000-0000-0000C0050000}"/>
    <cellStyle name="Normal 69 2" xfId="970" xr:uid="{00000000-0005-0000-0000-0000C1050000}"/>
    <cellStyle name="Normal 69 2 2" xfId="2418" xr:uid="{C2F4F859-7B5E-421C-97D0-974270407C50}"/>
    <cellStyle name="Normal 69 2 2 2" xfId="5274" xr:uid="{783EF49A-953B-45DE-BE0D-6E20083D3724}"/>
    <cellStyle name="Normal 69 2 3" xfId="3856" xr:uid="{08D257B5-CF7F-41BD-B3DE-6EDB10B41445}"/>
    <cellStyle name="Normal 69 3" xfId="1771" xr:uid="{9FB1AE2A-23F2-4B8F-B0CE-B78B97BC3BA6}"/>
    <cellStyle name="Normal 69 3 2" xfId="4631" xr:uid="{0F5C4BBE-0EFC-4709-A494-03B5B0AEF405}"/>
    <cellStyle name="Normal 69 4" xfId="3215" xr:uid="{F3665123-C108-4E40-9E76-564D409B17A1}"/>
    <cellStyle name="Normal 7" xfId="25" xr:uid="{00000000-0005-0000-0000-0000C2050000}"/>
    <cellStyle name="Normal 7 2" xfId="634" xr:uid="{00000000-0005-0000-0000-0000C3050000}"/>
    <cellStyle name="Normal 7 2 2" xfId="1348" xr:uid="{00000000-0005-0000-0000-0000C4050000}"/>
    <cellStyle name="Normal 7 2 2 2" xfId="2796" xr:uid="{A8252A31-E93C-4366-A832-BACDC9F44EBD}"/>
    <cellStyle name="Normal 7 2 2 2 2" xfId="5652" xr:uid="{21521AE4-7065-4B28-A954-530A13F98B6E}"/>
    <cellStyle name="Normal 7 2 2 3" xfId="4234" xr:uid="{5128E46C-CDBD-42CB-B61E-0BCE9EBD2999}"/>
    <cellStyle name="Normal 7 2 3" xfId="2152" xr:uid="{C1A7A389-A883-4637-B9C2-4E5B67A3405D}"/>
    <cellStyle name="Normal 7 2 3 2" xfId="5012" xr:uid="{F0524F0F-62A8-43DF-93DA-45E0EFC5463B}"/>
    <cellStyle name="Normal 7 2 4" xfId="3596" xr:uid="{F4C5ABA9-0902-4856-97C5-A8DE4DDDF77D}"/>
    <cellStyle name="Normal 70" xfId="251" xr:uid="{00000000-0005-0000-0000-0000C5050000}"/>
    <cellStyle name="Normal 70 2" xfId="973" xr:uid="{00000000-0005-0000-0000-0000C6050000}"/>
    <cellStyle name="Normal 70 2 2" xfId="2421" xr:uid="{5FF4C75E-4BA3-42A3-BE81-454036ACAC04}"/>
    <cellStyle name="Normal 70 2 2 2" xfId="5277" xr:uid="{53D8D027-06C1-481A-BA25-6F992364120D}"/>
    <cellStyle name="Normal 70 2 3" xfId="3859" xr:uid="{63571883-B73C-4ED1-AC95-927678741484}"/>
    <cellStyle name="Normal 70 3" xfId="1774" xr:uid="{B584E9A8-2B20-4291-9698-3C77D8D592F9}"/>
    <cellStyle name="Normal 70 3 2" xfId="4634" xr:uid="{BCAA9709-A880-45D0-BEF6-D390BA76656D}"/>
    <cellStyle name="Normal 70 4" xfId="3218" xr:uid="{EB00C7CB-67CC-497C-B00F-30A26BA29F34}"/>
    <cellStyle name="Normal 71" xfId="258" xr:uid="{00000000-0005-0000-0000-0000C7050000}"/>
    <cellStyle name="Normal 71 2" xfId="980" xr:uid="{00000000-0005-0000-0000-0000C8050000}"/>
    <cellStyle name="Normal 71 2 2" xfId="2428" xr:uid="{0C56B20B-56C2-4BF9-A80A-3DB5D72B1A09}"/>
    <cellStyle name="Normal 71 2 2 2" xfId="5284" xr:uid="{EC963C90-CC0C-446D-A21A-51148AF7C317}"/>
    <cellStyle name="Normal 71 2 3" xfId="3866" xr:uid="{0B35403A-A2BC-405E-AFC1-342FDBE376EF}"/>
    <cellStyle name="Normal 71 3" xfId="1781" xr:uid="{AB4BDEDD-B296-46D5-92E5-0791BFE3429E}"/>
    <cellStyle name="Normal 71 3 2" xfId="4641" xr:uid="{C9E74739-FE05-4E8B-890D-7BC2A739861B}"/>
    <cellStyle name="Normal 71 4" xfId="3225" xr:uid="{18125781-CF9C-4E7C-938A-A083E1FF62B5}"/>
    <cellStyle name="Normal 72" xfId="260" xr:uid="{00000000-0005-0000-0000-0000C9050000}"/>
    <cellStyle name="Normal 72 2" xfId="982" xr:uid="{00000000-0005-0000-0000-0000CA050000}"/>
    <cellStyle name="Normal 72 2 2" xfId="2430" xr:uid="{4803428A-7F8B-41F0-9538-754A3E0329BF}"/>
    <cellStyle name="Normal 72 2 2 2" xfId="5286" xr:uid="{75D8E405-B177-44C6-AC27-97B11F0674AA}"/>
    <cellStyle name="Normal 72 2 3" xfId="3868" xr:uid="{628E677D-C739-4E5C-B490-2657CCB1D1B7}"/>
    <cellStyle name="Normal 72 3" xfId="1783" xr:uid="{9944C0AE-490B-4535-A742-DE868114F4F2}"/>
    <cellStyle name="Normal 72 3 2" xfId="4643" xr:uid="{02BFAD8E-4089-468D-BDA0-263051EC5BF1}"/>
    <cellStyle name="Normal 72 4" xfId="3227" xr:uid="{A643BE96-40DA-485D-90F6-D207044EA8A8}"/>
    <cellStyle name="Normal 73" xfId="269" xr:uid="{00000000-0005-0000-0000-0000CB050000}"/>
    <cellStyle name="Normal 73 2" xfId="991" xr:uid="{00000000-0005-0000-0000-0000CC050000}"/>
    <cellStyle name="Normal 73 2 2" xfId="2439" xr:uid="{82048CD5-6D95-48E4-A10B-9904D6A15741}"/>
    <cellStyle name="Normal 73 2 2 2" xfId="5295" xr:uid="{701D97C6-45E8-4E46-8FDB-521F6849EFC7}"/>
    <cellStyle name="Normal 73 2 3" xfId="3877" xr:uid="{9B670B4B-AC0A-441C-B2F9-36346C25FCFE}"/>
    <cellStyle name="Normal 73 3" xfId="1792" xr:uid="{4133128A-45F4-4AC1-9D5B-F5D09D4D8517}"/>
    <cellStyle name="Normal 73 3 2" xfId="4652" xr:uid="{634C1A04-E40A-43A0-8873-FB2DE6922AEB}"/>
    <cellStyle name="Normal 73 4" xfId="3236" xr:uid="{C4188E78-31F5-4528-B2F1-20705488A04A}"/>
    <cellStyle name="Normal 74" xfId="271" xr:uid="{00000000-0005-0000-0000-0000CD050000}"/>
    <cellStyle name="Normal 74 2" xfId="993" xr:uid="{00000000-0005-0000-0000-0000CE050000}"/>
    <cellStyle name="Normal 74 2 2" xfId="2441" xr:uid="{F9560A17-5361-4332-8AB8-45A72F1839AA}"/>
    <cellStyle name="Normal 74 2 2 2" xfId="5297" xr:uid="{3CE04710-2F74-4EF3-8882-FA5949EC1184}"/>
    <cellStyle name="Normal 74 2 3" xfId="3879" xr:uid="{22461C2E-0F22-418D-82D1-C443BBB7ADB4}"/>
    <cellStyle name="Normal 74 3" xfId="1794" xr:uid="{1E944209-7F90-4B20-8A1D-0D9F2D579A28}"/>
    <cellStyle name="Normal 74 3 2" xfId="4654" xr:uid="{7D1C7CBD-E13E-45EA-9D56-2A30148C3FDC}"/>
    <cellStyle name="Normal 74 4" xfId="3238" xr:uid="{44DF9916-4849-490A-BE51-1241B4DB98D7}"/>
    <cellStyle name="Normal 75" xfId="274" xr:uid="{00000000-0005-0000-0000-0000CF050000}"/>
    <cellStyle name="Normal 75 2" xfId="996" xr:uid="{00000000-0005-0000-0000-0000D0050000}"/>
    <cellStyle name="Normal 75 2 2" xfId="2444" xr:uid="{0B28950A-B1C1-49C0-8CCA-6835714DCF24}"/>
    <cellStyle name="Normal 75 2 2 2" xfId="5300" xr:uid="{4682A9BD-F37C-47C3-AC4E-DBCDC5B3945D}"/>
    <cellStyle name="Normal 75 2 3" xfId="3882" xr:uid="{B75CB415-1ABC-48EE-AC2D-603DE9317AB0}"/>
    <cellStyle name="Normal 75 3" xfId="1797" xr:uid="{82A23D41-E2AE-4840-8035-9E0C702D8B21}"/>
    <cellStyle name="Normal 75 3 2" xfId="4657" xr:uid="{2E0CC056-EFEF-41A1-B7CF-4AC9184A9E9D}"/>
    <cellStyle name="Normal 75 4" xfId="3241" xr:uid="{161BD9DC-EAC1-4C84-B16C-86AC360A58F9}"/>
    <cellStyle name="Normal 76" xfId="277" xr:uid="{00000000-0005-0000-0000-0000D1050000}"/>
    <cellStyle name="Normal 76 2" xfId="999" xr:uid="{00000000-0005-0000-0000-0000D2050000}"/>
    <cellStyle name="Normal 76 2 2" xfId="2447" xr:uid="{054D2348-6D8B-4716-85EB-6007B13D0290}"/>
    <cellStyle name="Normal 76 2 2 2" xfId="5303" xr:uid="{EFFE8207-7D3E-4566-B0C2-3702BB896A41}"/>
    <cellStyle name="Normal 76 2 3" xfId="3885" xr:uid="{2C5C656A-DB30-49C9-9B38-0EF83A0480E2}"/>
    <cellStyle name="Normal 76 3" xfId="1800" xr:uid="{9DF36CF4-E5B1-4E56-85B1-A17DBEBB7523}"/>
    <cellStyle name="Normal 76 3 2" xfId="4660" xr:uid="{35B596D6-1306-4782-ACF6-AA20A998E122}"/>
    <cellStyle name="Normal 76 4" xfId="3244" xr:uid="{AD5C14F0-3FC1-4246-9063-DD60C4E8DA43}"/>
    <cellStyle name="Normal 77" xfId="284" xr:uid="{00000000-0005-0000-0000-0000D3050000}"/>
    <cellStyle name="Normal 77 2" xfId="1006" xr:uid="{00000000-0005-0000-0000-0000D4050000}"/>
    <cellStyle name="Normal 77 2 2" xfId="2454" xr:uid="{C3CDA34B-0966-4615-B182-5D1737AF6F16}"/>
    <cellStyle name="Normal 77 2 2 2" xfId="5310" xr:uid="{19995EAD-69D6-4E1C-B1CC-54C510F1C0CA}"/>
    <cellStyle name="Normal 77 2 3" xfId="3892" xr:uid="{C6DE69E4-ECF6-4692-9E77-E77846A6F4AA}"/>
    <cellStyle name="Normal 77 3" xfId="1807" xr:uid="{5299B39D-D662-484F-887F-7BE57386FE7D}"/>
    <cellStyle name="Normal 77 3 2" xfId="4667" xr:uid="{A4234D0C-9CFB-43F4-858A-829D7319D390}"/>
    <cellStyle name="Normal 77 4" xfId="3251" xr:uid="{1C65DAEC-D7AF-468B-8670-71718BFA2E64}"/>
    <cellStyle name="Normal 78" xfId="287" xr:uid="{00000000-0005-0000-0000-0000D5050000}"/>
    <cellStyle name="Normal 78 2" xfId="1009" xr:uid="{00000000-0005-0000-0000-0000D6050000}"/>
    <cellStyle name="Normal 78 2 2" xfId="2457" xr:uid="{AC0C20A8-C77A-4F6A-8366-145CB06CA050}"/>
    <cellStyle name="Normal 78 2 2 2" xfId="5313" xr:uid="{76373853-C5C0-4814-A156-6BBA065C0D94}"/>
    <cellStyle name="Normal 78 2 3" xfId="3895" xr:uid="{683BAE53-6C09-44C6-9733-52D660803665}"/>
    <cellStyle name="Normal 78 3" xfId="1810" xr:uid="{C53EB4F7-0036-4225-9F6C-06D4D889FE8F}"/>
    <cellStyle name="Normal 78 3 2" xfId="4670" xr:uid="{69C14045-8025-4BFE-BC22-D8855E39A2D9}"/>
    <cellStyle name="Normal 78 4" xfId="3254" xr:uid="{9E3DC2B6-4D95-4F6A-B9DE-85A9CE5FFBE1}"/>
    <cellStyle name="Normal 79" xfId="289" xr:uid="{00000000-0005-0000-0000-0000D7050000}"/>
    <cellStyle name="Normal 79 2" xfId="1011" xr:uid="{00000000-0005-0000-0000-0000D8050000}"/>
    <cellStyle name="Normal 79 2 2" xfId="2459" xr:uid="{063445A7-6AA8-4DFF-A97B-3D44976398E8}"/>
    <cellStyle name="Normal 79 2 2 2" xfId="5315" xr:uid="{E41A809C-644A-4E30-9CC4-4450199F3456}"/>
    <cellStyle name="Normal 79 2 3" xfId="3897" xr:uid="{6ABDF36B-D0AC-4863-A407-B7058B9C0BBD}"/>
    <cellStyle name="Normal 79 3" xfId="1812" xr:uid="{1E1A87CD-6960-410F-B273-F4E95E5A2D70}"/>
    <cellStyle name="Normal 79 3 2" xfId="4672" xr:uid="{A357F3A7-3310-4480-9628-B7BA43692979}"/>
    <cellStyle name="Normal 79 4" xfId="3256" xr:uid="{0F068B06-1B22-44B9-9D98-47BD3F08B52A}"/>
    <cellStyle name="Normal 8" xfId="27" xr:uid="{00000000-0005-0000-0000-0000D9050000}"/>
    <cellStyle name="Normal 8 2" xfId="769" xr:uid="{00000000-0005-0000-0000-0000DA050000}"/>
    <cellStyle name="Normal 8 2 2" xfId="2223" xr:uid="{5AFB5245-69C3-4A1A-B10A-A2185BA82EDC}"/>
    <cellStyle name="Normal 8 2 2 2" xfId="5079" xr:uid="{4B2F9937-F37A-45EE-96E3-765E537B21A7}"/>
    <cellStyle name="Normal 8 2 3" xfId="3660" xr:uid="{5BBF6784-754E-4BB3-8B29-0C06F00FCA63}"/>
    <cellStyle name="Normal 8 3" xfId="1575" xr:uid="{F3CA78F0-A689-471A-8D84-80074612001F}"/>
    <cellStyle name="Normal 8 3 2" xfId="4435" xr:uid="{F7A4CD25-DBA6-4D5A-93F4-6567BE82BBFE}"/>
    <cellStyle name="Normal 8 4" xfId="3020" xr:uid="{D80CD960-BCBD-4889-A754-E79FAB69E928}"/>
    <cellStyle name="Normal 80" xfId="292" xr:uid="{00000000-0005-0000-0000-0000DB050000}"/>
    <cellStyle name="Normal 80 2" xfId="449" xr:uid="{00000000-0005-0000-0000-0000DC050000}"/>
    <cellStyle name="Normal 80 2 2" xfId="616" xr:uid="{00000000-0005-0000-0000-0000DD050000}"/>
    <cellStyle name="Normal 80 2 2 2" xfId="703" xr:uid="{00000000-0005-0000-0000-0000DE050000}"/>
    <cellStyle name="Normal 80 2 2 2 2" xfId="1386" xr:uid="{00000000-0005-0000-0000-0000DF050000}"/>
    <cellStyle name="Normal 80 2 2 2 2 2" xfId="2833" xr:uid="{4F9EF0C3-558D-4478-861F-D09035201A79}"/>
    <cellStyle name="Normal 80 2 2 2 2 2 2" xfId="5688" xr:uid="{EBEF0795-FF39-4F83-9B11-2B5D718B1843}"/>
    <cellStyle name="Normal 80 2 2 2 2 3" xfId="4270" xr:uid="{6B2166A8-5A5D-43C1-8A00-7D058A63B194}"/>
    <cellStyle name="Normal 80 2 2 2 3" xfId="1490" xr:uid="{00000000-0005-0000-0000-0000E0050000}"/>
    <cellStyle name="Normal 80 2 2 2 3 2" xfId="2918" xr:uid="{1FAF637D-DAAD-4F9A-A494-8282D49FB338}"/>
    <cellStyle name="Normal 80 2 2 2 3 2 2" xfId="5772" xr:uid="{B0DEDC3E-951D-46DC-BC40-63FB39FCC06B}"/>
    <cellStyle name="Normal 80 2 2 2 3 3" xfId="4351" xr:uid="{2D16E91E-8638-4A7C-A390-C4656849F463}"/>
    <cellStyle name="Normal 80 2 2 2 4" xfId="2191" xr:uid="{96969408-15F3-44C5-B335-2E37B6BE5F3C}"/>
    <cellStyle name="Normal 80 2 2 2 4 2" xfId="5049" xr:uid="{B70BDFAF-85E5-403A-BA4C-0BB07BFE9B77}"/>
    <cellStyle name="Normal 80 2 2 2 5" xfId="3633" xr:uid="{3DDB1268-EF2F-4324-90D7-C0B7CEEAE9B9}"/>
    <cellStyle name="Normal 80 2 2 3" xfId="1334" xr:uid="{00000000-0005-0000-0000-0000E1050000}"/>
    <cellStyle name="Normal 80 2 2 3 2" xfId="2782" xr:uid="{B1F7CDA1-41F7-4E74-B5A7-C163DD979083}"/>
    <cellStyle name="Normal 80 2 2 3 2 2" xfId="5638" xr:uid="{72FB715C-C07F-4E98-A4D0-D551C4F4DFFF}"/>
    <cellStyle name="Normal 80 2 2 3 3" xfId="4220" xr:uid="{3D76E77E-45BC-4211-B55A-9728B101E0D5}"/>
    <cellStyle name="Normal 80 2 2 4" xfId="2137" xr:uid="{F0756753-134D-448B-9F32-294070F3E99C}"/>
    <cellStyle name="Normal 80 2 2 4 2" xfId="4997" xr:uid="{0B4E9F06-8E1F-4AFC-8B2E-4C0D8B45DCD1}"/>
    <cellStyle name="Normal 80 2 2 5" xfId="3581" xr:uid="{C307D7CC-6B3D-4F02-ADE0-1C19DFA1C143}"/>
    <cellStyle name="Normal 80 2 3" xfId="1170" xr:uid="{00000000-0005-0000-0000-0000E2050000}"/>
    <cellStyle name="Normal 80 2 3 2" xfId="2618" xr:uid="{7843B5E0-D604-428A-81AD-452526E7D5AA}"/>
    <cellStyle name="Normal 80 2 3 2 2" xfId="5474" xr:uid="{25831BF8-8085-4DAA-AA3C-958A9F057537}"/>
    <cellStyle name="Normal 80 2 3 3" xfId="4056" xr:uid="{A47DD6F1-D2A9-4B86-82F8-D839138828B9}"/>
    <cellStyle name="Normal 80 2 4" xfId="1972" xr:uid="{BD4A005B-D6D6-4AFF-A4E6-C46116DDAA5C}"/>
    <cellStyle name="Normal 80 2 4 2" xfId="4832" xr:uid="{9787CA05-4C54-45B7-A338-CDE97467B95F}"/>
    <cellStyle name="Normal 80 2 5" xfId="3416" xr:uid="{E6FA53BD-F862-448E-B4CB-1BAA9C914BF6}"/>
    <cellStyle name="Normal 80 3" xfId="1014" xr:uid="{00000000-0005-0000-0000-0000E3050000}"/>
    <cellStyle name="Normal 80 3 2" xfId="2462" xr:uid="{1BF4DEF4-BBEF-4C3C-92D0-1FB9454A8D32}"/>
    <cellStyle name="Normal 80 3 2 2" xfId="5318" xr:uid="{550C721E-51E8-4516-AC59-D5FAAD0F9186}"/>
    <cellStyle name="Normal 80 3 3" xfId="3900" xr:uid="{FB56B8A5-D9C1-4D42-8F89-96E0AA8D47B1}"/>
    <cellStyle name="Normal 80 4" xfId="1815" xr:uid="{B03A04D1-CA11-40D3-BE67-C80A69881D2F}"/>
    <cellStyle name="Normal 80 4 2" xfId="4675" xr:uid="{5F6B9725-45FE-4FF8-A875-546E67C99CF9}"/>
    <cellStyle name="Normal 80 5" xfId="3259" xr:uid="{FADA9578-EB15-4103-BBA5-6DDEA6F0FA6A}"/>
    <cellStyle name="Normal 81" xfId="301" xr:uid="{00000000-0005-0000-0000-0000E4050000}"/>
    <cellStyle name="Normal 81 2" xfId="1022" xr:uid="{00000000-0005-0000-0000-0000E5050000}"/>
    <cellStyle name="Normal 81 2 2" xfId="2470" xr:uid="{6C29482B-87C7-40CE-9FD4-27B37AED850E}"/>
    <cellStyle name="Normal 81 2 2 2" xfId="5326" xr:uid="{F06F3D68-1CC5-4B3A-A45E-10E8C9452205}"/>
    <cellStyle name="Normal 81 2 3" xfId="3908" xr:uid="{E39CBB8B-223B-469C-909C-A9D0095A69BB}"/>
    <cellStyle name="Normal 81 3" xfId="1824" xr:uid="{2002972C-09FF-42B6-8245-9CA9BA3259CA}"/>
    <cellStyle name="Normal 81 3 2" xfId="4684" xr:uid="{E46A9EA3-32E3-42A3-A7A9-6765C241ED06}"/>
    <cellStyle name="Normal 81 4" xfId="3268" xr:uid="{48D47B39-6F47-4D7C-99AD-167E129C90A5}"/>
    <cellStyle name="Normal 82" xfId="310" xr:uid="{00000000-0005-0000-0000-0000E6050000}"/>
    <cellStyle name="Normal 82 2" xfId="1031" xr:uid="{00000000-0005-0000-0000-0000E7050000}"/>
    <cellStyle name="Normal 82 2 2" xfId="2479" xr:uid="{3285A2E9-44FC-4FE4-9DE2-92F9602893D8}"/>
    <cellStyle name="Normal 82 2 2 2" xfId="5335" xr:uid="{4D068713-9110-4531-9D30-49A14FA4A115}"/>
    <cellStyle name="Normal 82 2 3" xfId="3917" xr:uid="{204BC892-F760-4E60-8702-BDC1B976DA29}"/>
    <cellStyle name="Normal 82 3" xfId="1833" xr:uid="{B2CD5395-5708-402D-B137-445D134026AB}"/>
    <cellStyle name="Normal 82 3 2" xfId="4693" xr:uid="{2A205816-004E-4DA6-87DE-D918205DD3DD}"/>
    <cellStyle name="Normal 82 4" xfId="3277" xr:uid="{2A72E080-8E01-48E2-8246-4C83E2B3C917}"/>
    <cellStyle name="Normal 83" xfId="312" xr:uid="{00000000-0005-0000-0000-0000E8050000}"/>
    <cellStyle name="Normal 83 2" xfId="1033" xr:uid="{00000000-0005-0000-0000-0000E9050000}"/>
    <cellStyle name="Normal 83 2 2" xfId="2481" xr:uid="{D7D0DDB6-B74F-4659-8191-40B2C03918BE}"/>
    <cellStyle name="Normal 83 2 2 2" xfId="5337" xr:uid="{8B40DA44-F329-4C60-8AA2-6DA4941136CA}"/>
    <cellStyle name="Normal 83 2 3" xfId="3919" xr:uid="{AB805450-02D5-43C8-9795-CF6C9EA6DFC1}"/>
    <cellStyle name="Normal 83 3" xfId="1835" xr:uid="{09662022-9C1B-4646-B7A9-6F9D09C53715}"/>
    <cellStyle name="Normal 83 3 2" xfId="4695" xr:uid="{BF773E22-DC0D-49F9-9DF0-91A63942E241}"/>
    <cellStyle name="Normal 83 4" xfId="3279" xr:uid="{239C319A-C097-4FBF-BF9C-0B581C9E2708}"/>
    <cellStyle name="Normal 84" xfId="314" xr:uid="{00000000-0005-0000-0000-0000EA050000}"/>
    <cellStyle name="Normal 84 2" xfId="1035" xr:uid="{00000000-0005-0000-0000-0000EB050000}"/>
    <cellStyle name="Normal 84 2 2" xfId="2483" xr:uid="{7CDD5041-4281-44D6-954C-40B8917624D0}"/>
    <cellStyle name="Normal 84 2 2 2" xfId="5339" xr:uid="{3F498D9E-E96B-46E0-B9B0-C3F56ACCB3A6}"/>
    <cellStyle name="Normal 84 2 3" xfId="3921" xr:uid="{CC20A99E-B465-40C6-AC19-77788DB8C09E}"/>
    <cellStyle name="Normal 84 3" xfId="1837" xr:uid="{7236425B-2186-407B-AAF2-9B1C3E8ED92B}"/>
    <cellStyle name="Normal 84 3 2" xfId="4697" xr:uid="{53345D3A-783A-45EE-83FB-972908AE4A18}"/>
    <cellStyle name="Normal 84 4" xfId="3281" xr:uid="{6795A4F7-D1B0-4CE0-873B-FE6C2BC02F01}"/>
    <cellStyle name="Normal 85" xfId="318" xr:uid="{00000000-0005-0000-0000-0000EC050000}"/>
    <cellStyle name="Normal 85 2" xfId="1039" xr:uid="{00000000-0005-0000-0000-0000ED050000}"/>
    <cellStyle name="Normal 85 2 2" xfId="2487" xr:uid="{65348CB7-6A3A-4142-8FDB-771BE5F14E00}"/>
    <cellStyle name="Normal 85 2 2 2" xfId="5343" xr:uid="{5F710C25-32ED-4443-8118-53EC15EB0231}"/>
    <cellStyle name="Normal 85 2 3" xfId="3925" xr:uid="{A485D74F-C64A-4F2A-957C-C6485689B36A}"/>
    <cellStyle name="Normal 85 3" xfId="1841" xr:uid="{44ABB705-6D62-4D6A-8272-6CEA8A6B0172}"/>
    <cellStyle name="Normal 85 3 2" xfId="4701" xr:uid="{9CD88550-83DA-40AF-BAF1-9A99E59B4857}"/>
    <cellStyle name="Normal 85 4" xfId="3285" xr:uid="{6DB15C28-51C8-49A0-8CA3-F9C20755D88C}"/>
    <cellStyle name="Normal 86" xfId="325" xr:uid="{00000000-0005-0000-0000-0000EE050000}"/>
    <cellStyle name="Normal 86 2" xfId="1046" xr:uid="{00000000-0005-0000-0000-0000EF050000}"/>
    <cellStyle name="Normal 86 2 2" xfId="2494" xr:uid="{FA6C4B44-46BC-4C3E-9233-174BD485C97C}"/>
    <cellStyle name="Normal 86 2 2 2" xfId="5350" xr:uid="{A932521E-493B-4074-990D-2A9F8E7B77C3}"/>
    <cellStyle name="Normal 86 2 3" xfId="3932" xr:uid="{414C7872-7E77-43B2-BFE7-3ADA75ACF4CC}"/>
    <cellStyle name="Normal 86 3" xfId="1848" xr:uid="{CEAEF9E2-DEBF-47CA-AB43-044E7FE37F35}"/>
    <cellStyle name="Normal 86 3 2" xfId="4708" xr:uid="{F16C5FA6-A6C4-47D4-983A-BF6D024FAACF}"/>
    <cellStyle name="Normal 86 4" xfId="3292" xr:uid="{95D0A2DB-62BD-4231-BCC9-6258A323BAC4}"/>
    <cellStyle name="Normal 87" xfId="328" xr:uid="{00000000-0005-0000-0000-0000F0050000}"/>
    <cellStyle name="Normal 87 2" xfId="1049" xr:uid="{00000000-0005-0000-0000-0000F1050000}"/>
    <cellStyle name="Normal 87 2 2" xfId="2497" xr:uid="{0C523491-39EF-45D7-A2C2-1D4B9C5B9276}"/>
    <cellStyle name="Normal 87 2 2 2" xfId="5353" xr:uid="{ECC215DF-E8EB-4D06-8FCA-3AD707A3C09E}"/>
    <cellStyle name="Normal 87 2 3" xfId="3935" xr:uid="{074C73DE-9796-4C4E-B155-BFC02D652A92}"/>
    <cellStyle name="Normal 87 3" xfId="1851" xr:uid="{976A6190-83E7-48E5-9857-FEA027D4FBBF}"/>
    <cellStyle name="Normal 87 3 2" xfId="4711" xr:uid="{5BCA3042-5676-4044-A20D-AD8B33BB15FE}"/>
    <cellStyle name="Normal 87 4" xfId="3295" xr:uid="{8C07F3B8-272F-401D-B4DE-2C5F6F7DE6EF}"/>
    <cellStyle name="Normal 88" xfId="332" xr:uid="{00000000-0005-0000-0000-0000F2050000}"/>
    <cellStyle name="Normal 88 2" xfId="1053" xr:uid="{00000000-0005-0000-0000-0000F3050000}"/>
    <cellStyle name="Normal 88 2 2" xfId="2501" xr:uid="{50767FA7-2C15-4EA0-AFAC-1BC9A52CD14C}"/>
    <cellStyle name="Normal 88 2 2 2" xfId="5357" xr:uid="{73DB1DB1-AFB1-40C0-B12F-0CFB7C4A81AA}"/>
    <cellStyle name="Normal 88 2 3" xfId="3939" xr:uid="{BD1B9C0A-BE55-429E-AB13-F3560EAE1048}"/>
    <cellStyle name="Normal 88 3" xfId="1855" xr:uid="{4EAC524D-C5A7-499A-A6FF-8D43C4F4D102}"/>
    <cellStyle name="Normal 88 3 2" xfId="4715" xr:uid="{390B8DCE-64D9-4F5F-BE3C-699791C2793C}"/>
    <cellStyle name="Normal 88 4" xfId="3299" xr:uid="{432D9FE4-39F7-4BAE-87D8-7F2239B5534B}"/>
    <cellStyle name="Normal 89" xfId="335" xr:uid="{00000000-0005-0000-0000-0000F4050000}"/>
    <cellStyle name="Normal 89 2" xfId="1056" xr:uid="{00000000-0005-0000-0000-0000F5050000}"/>
    <cellStyle name="Normal 89 2 2" xfId="2504" xr:uid="{309DED1E-0CE2-4A55-9CEA-C6711CD41E23}"/>
    <cellStyle name="Normal 89 2 2 2" xfId="5360" xr:uid="{F789F031-36AE-4434-9B60-EFA2C379B014}"/>
    <cellStyle name="Normal 89 2 3" xfId="3942" xr:uid="{8180C801-97F0-4AB5-92F2-15A098ED89C4}"/>
    <cellStyle name="Normal 89 3" xfId="1858" xr:uid="{3CBF7F72-DA27-48F8-A5EA-F2724DD29701}"/>
    <cellStyle name="Normal 89 3 2" xfId="4718" xr:uid="{2E279B40-717F-4AAC-9D63-50762917B47D}"/>
    <cellStyle name="Normal 89 4" xfId="3302" xr:uid="{BD7E61CD-5A30-4C7B-84F7-A243CD23F1B4}"/>
    <cellStyle name="Normal 9" xfId="29" xr:uid="{00000000-0005-0000-0000-0000F6050000}"/>
    <cellStyle name="Normal 90" xfId="342" xr:uid="{00000000-0005-0000-0000-0000F7050000}"/>
    <cellStyle name="Normal 90 2" xfId="1063" xr:uid="{00000000-0005-0000-0000-0000F8050000}"/>
    <cellStyle name="Normal 90 2 2" xfId="2511" xr:uid="{EBD41EE2-05AE-45B6-AB4A-EE5599310992}"/>
    <cellStyle name="Normal 90 2 2 2" xfId="5367" xr:uid="{FBC6BE00-3A90-4F79-A429-07F161F96A2A}"/>
    <cellStyle name="Normal 90 2 3" xfId="3949" xr:uid="{F279EE5C-DF45-49E0-AD8C-A0B34DC851A4}"/>
    <cellStyle name="Normal 90 3" xfId="1865" xr:uid="{6270B988-8429-4D1A-92ED-73A4A8C40C8F}"/>
    <cellStyle name="Normal 90 3 2" xfId="4725" xr:uid="{CD4C54BC-8A5B-4678-934E-C418DE695382}"/>
    <cellStyle name="Normal 90 4" xfId="3309" xr:uid="{6AC733FF-B76F-44F9-98DE-20EA236909B4}"/>
    <cellStyle name="Normal 91" xfId="344" xr:uid="{00000000-0005-0000-0000-0000F9050000}"/>
    <cellStyle name="Normal 91 2" xfId="1065" xr:uid="{00000000-0005-0000-0000-0000FA050000}"/>
    <cellStyle name="Normal 91 2 2" xfId="2513" xr:uid="{E3CD84C1-8F78-40FE-BCCB-53BE38B22928}"/>
    <cellStyle name="Normal 91 2 2 2" xfId="5369" xr:uid="{6329016C-956B-4CB4-89B5-64F137341189}"/>
    <cellStyle name="Normal 91 2 3" xfId="3951" xr:uid="{A7937C3F-4AF9-4BD9-BB2E-DAFBEFC1954A}"/>
    <cellStyle name="Normal 91 3" xfId="1867" xr:uid="{D84A8F37-1694-4ECF-9F21-1C59BE85742F}"/>
    <cellStyle name="Normal 91 3 2" xfId="4727" xr:uid="{26689DD1-614F-4268-A0E2-FDA0A39F3E32}"/>
    <cellStyle name="Normal 91 4" xfId="3311" xr:uid="{12D888C4-6B9E-4ADD-9E75-15B12B3A6379}"/>
    <cellStyle name="Normal 92" xfId="354" xr:uid="{00000000-0005-0000-0000-0000FB050000}"/>
    <cellStyle name="Normal 92 2" xfId="1075" xr:uid="{00000000-0005-0000-0000-0000FC050000}"/>
    <cellStyle name="Normal 92 2 2" xfId="2523" xr:uid="{30D8B3E0-4CF1-4F65-8030-42AC598B7949}"/>
    <cellStyle name="Normal 92 2 2 2" xfId="5379" xr:uid="{7EE62FF4-33D4-411C-B5CC-D37C241DDC0A}"/>
    <cellStyle name="Normal 92 2 3" xfId="3961" xr:uid="{94AB57D0-27E7-4AC6-A48F-908D4C42F1C6}"/>
    <cellStyle name="Normal 92 3" xfId="1877" xr:uid="{42F39B08-843D-47B1-A551-9F62BF700917}"/>
    <cellStyle name="Normal 92 3 2" xfId="4737" xr:uid="{6482B53E-0C04-4137-B70C-11C4C1BD5CE3}"/>
    <cellStyle name="Normal 92 4" xfId="3321" xr:uid="{E3037E61-90A2-4132-A55A-B5BBE078D286}"/>
    <cellStyle name="Normal 93" xfId="356" xr:uid="{00000000-0005-0000-0000-0000FD050000}"/>
    <cellStyle name="Normal 93 2" xfId="1077" xr:uid="{00000000-0005-0000-0000-0000FE050000}"/>
    <cellStyle name="Normal 93 2 2" xfId="2525" xr:uid="{F5EE0CE4-7979-4146-B2EB-E305262B67CE}"/>
    <cellStyle name="Normal 93 2 2 2" xfId="5381" xr:uid="{F7A00846-078F-4A3A-9182-FD0C25671192}"/>
    <cellStyle name="Normal 93 2 3" xfId="3963" xr:uid="{FB1A4C4D-6185-4F2B-A2FC-E5E938820E1A}"/>
    <cellStyle name="Normal 93 3" xfId="1879" xr:uid="{61DB1ACC-36A2-4A83-88FE-C5F992366EAE}"/>
    <cellStyle name="Normal 93 3 2" xfId="4739" xr:uid="{527BAA25-010F-49C3-8FD4-2A933D29C246}"/>
    <cellStyle name="Normal 93 4" xfId="3323" xr:uid="{226F5A5A-A890-4038-ACE8-5DE460A98653}"/>
    <cellStyle name="Normal 94" xfId="360" xr:uid="{00000000-0005-0000-0000-0000FF050000}"/>
    <cellStyle name="Normal 94 2" xfId="1081" xr:uid="{00000000-0005-0000-0000-000000060000}"/>
    <cellStyle name="Normal 94 2 2" xfId="2529" xr:uid="{A4290577-2409-490D-83C8-C38A29CA3098}"/>
    <cellStyle name="Normal 94 2 2 2" xfId="5385" xr:uid="{A85AB6E0-898F-44B6-A605-BA5EF7DBDDDF}"/>
    <cellStyle name="Normal 94 2 3" xfId="3967" xr:uid="{E1C5D7EE-21E9-489C-B608-9A86A9CFA82E}"/>
    <cellStyle name="Normal 94 3" xfId="1883" xr:uid="{D5BA8818-1D67-4F21-8302-A7E88350273A}"/>
    <cellStyle name="Normal 94 3 2" xfId="4743" xr:uid="{6E96D50D-F90B-4598-94CD-A19ED6CF7C02}"/>
    <cellStyle name="Normal 94 4" xfId="3327" xr:uid="{494022A4-4E95-4EF0-92B4-4483FDEF41B6}"/>
    <cellStyle name="Normal 95" xfId="362" xr:uid="{00000000-0005-0000-0000-000001060000}"/>
    <cellStyle name="Normal 95 2" xfId="1083" xr:uid="{00000000-0005-0000-0000-000002060000}"/>
    <cellStyle name="Normal 95 2 2" xfId="2531" xr:uid="{B29F7732-95D3-4EC4-AE6F-65BFC5AE82E6}"/>
    <cellStyle name="Normal 95 2 2 2" xfId="5387" xr:uid="{06B88D72-86F1-456B-8A5C-BBF2F255FCB8}"/>
    <cellStyle name="Normal 95 2 3" xfId="3969" xr:uid="{28039611-A339-4F55-8111-1F330ECD31DE}"/>
    <cellStyle name="Normal 95 3" xfId="1885" xr:uid="{A158A88C-C204-495C-B191-6672EF9DC5D5}"/>
    <cellStyle name="Normal 95 3 2" xfId="4745" xr:uid="{9A49518D-4D0D-4E77-8FC3-3E49F244A1A7}"/>
    <cellStyle name="Normal 95 4" xfId="3329" xr:uid="{086805E0-AEBB-40BB-850F-9C3BD065B57F}"/>
    <cellStyle name="Normal 96" xfId="369" xr:uid="{00000000-0005-0000-0000-000003060000}"/>
    <cellStyle name="Normal 96 2" xfId="1090" xr:uid="{00000000-0005-0000-0000-000004060000}"/>
    <cellStyle name="Normal 96 2 2" xfId="2538" xr:uid="{4202F177-8F19-42DD-9DDF-62AC0A12097B}"/>
    <cellStyle name="Normal 96 2 2 2" xfId="5394" xr:uid="{837CFAA8-AA6F-4388-9E6D-B15E8AB14752}"/>
    <cellStyle name="Normal 96 2 3" xfId="3976" xr:uid="{809BA9E0-8A83-43BF-B043-B49794A51E11}"/>
    <cellStyle name="Normal 96 3" xfId="1892" xr:uid="{BAB4B633-E03B-45FB-B588-A5BE36B6F9B0}"/>
    <cellStyle name="Normal 96 3 2" xfId="4752" xr:uid="{4A663CEF-C92B-43FE-9553-E8C39FEF40BA}"/>
    <cellStyle name="Normal 96 4" xfId="3336" xr:uid="{47BE1E12-8684-45E0-937E-1B79162AF7AE}"/>
    <cellStyle name="Normal 97" xfId="373" xr:uid="{00000000-0005-0000-0000-000005060000}"/>
    <cellStyle name="Normal 97 2" xfId="1094" xr:uid="{00000000-0005-0000-0000-000006060000}"/>
    <cellStyle name="Normal 97 2 2" xfId="2542" xr:uid="{31CD4C2E-C7D6-4A73-A3CE-7C92D1C60573}"/>
    <cellStyle name="Normal 97 2 2 2" xfId="5398" xr:uid="{A756FE05-35FD-4E8E-9C59-882358CEECE1}"/>
    <cellStyle name="Normal 97 2 3" xfId="3980" xr:uid="{DDB08AF0-4C98-4E7A-8343-065EB57ADC7C}"/>
    <cellStyle name="Normal 97 3" xfId="1896" xr:uid="{60FDB3FE-EB74-471B-97F5-3A4BAAD09DED}"/>
    <cellStyle name="Normal 97 3 2" xfId="4756" xr:uid="{1461AE19-D282-4457-BAA8-6F4FA1A68BA5}"/>
    <cellStyle name="Normal 97 4" xfId="3340" xr:uid="{467A2AB8-E55F-4AB7-92E5-4BD0C8016D5F}"/>
    <cellStyle name="Normal 98" xfId="381" xr:uid="{00000000-0005-0000-0000-000007060000}"/>
    <cellStyle name="Normal 98 2" xfId="1102" xr:uid="{00000000-0005-0000-0000-000008060000}"/>
    <cellStyle name="Normal 98 2 2" xfId="2550" xr:uid="{53FBDDD1-8236-4998-9302-5668A1B05F6B}"/>
    <cellStyle name="Normal 98 2 2 2" xfId="5406" xr:uid="{5890060D-8485-4842-8934-C132CED86203}"/>
    <cellStyle name="Normal 98 2 3" xfId="3988" xr:uid="{8FE01542-A863-4465-841A-65C206E3169B}"/>
    <cellStyle name="Normal 98 3" xfId="1904" xr:uid="{36FFC822-D904-41EA-814C-C539C5D52A12}"/>
    <cellStyle name="Normal 98 3 2" xfId="4764" xr:uid="{BDAA8B9B-BCC0-4189-96C0-76554F543DF8}"/>
    <cellStyle name="Normal 98 4" xfId="3348" xr:uid="{67585EAE-49CB-4C5E-B1C6-467302F54C18}"/>
    <cellStyle name="Normal 99" xfId="390" xr:uid="{00000000-0005-0000-0000-000009060000}"/>
    <cellStyle name="Normal 99 2" xfId="1111" xr:uid="{00000000-0005-0000-0000-00000A060000}"/>
    <cellStyle name="Normal 99 2 2" xfId="2559" xr:uid="{763B953B-44A8-4436-B431-1395513291DD}"/>
    <cellStyle name="Normal 99 2 2 2" xfId="5415" xr:uid="{ACFCC51A-1A2D-4496-916D-0CB494DA5DD0}"/>
    <cellStyle name="Normal 99 2 3" xfId="3997" xr:uid="{7B63351A-E178-4C27-9549-3D382D267D6D}"/>
    <cellStyle name="Normal 99 3" xfId="1913" xr:uid="{8DFC6F8E-3068-4991-8C1D-7127F5684D3A}"/>
    <cellStyle name="Normal 99 3 2" xfId="4773" xr:uid="{5F424392-2B67-45FA-92B2-75EAE3B5EBDC}"/>
    <cellStyle name="Normal 99 4" xfId="3357" xr:uid="{75C9C987-E6DA-4FCB-B7D6-1A3A6D0BE44F}"/>
    <cellStyle name="Percent 2" xfId="1479" xr:uid="{00000000-0005-0000-0000-00000B060000}"/>
    <cellStyle name="Percent 2 2" xfId="2907" xr:uid="{54F8BBE6-7858-409A-B813-C1A45E229ACA}"/>
    <cellStyle name="Percent 2 2 2" xfId="5761" xr:uid="{2EB0484C-80DE-49A3-8002-4D2D33E2F284}"/>
    <cellStyle name="Percent 2 3" xfId="4340" xr:uid="{CE2478F0-C03F-44B3-9233-80B005AA6F38}"/>
    <cellStyle name="Percent 3" xfId="5974" xr:uid="{AA8D561D-4FCD-4220-8738-A0D07501A290}"/>
    <cellStyle name="Percent 4" xfId="5991" xr:uid="{9777FB31-B8AC-4762-8B7F-1973F2BA2029}"/>
    <cellStyle name="Percent 5" xfId="5994" xr:uid="{D0D6FBC3-3496-45AE-AAD5-2F421DC36187}"/>
    <cellStyle name="Percent 6" xfId="6007" xr:uid="{B7E42B17-20D2-4FDD-90C5-3EA9EBF90AE0}"/>
    <cellStyle name="Percent 7" xfId="6019" xr:uid="{653C5F04-E002-4566-ABE2-2442A57E0F50}"/>
    <cellStyle name="Percent 8" xfId="6025" xr:uid="{8BADB278-D143-45F2-BC4A-532139DCBABC}"/>
    <cellStyle name="Percent 9" xfId="6033" xr:uid="{C1894B9D-E455-4EBA-BAC8-29C5BD6ADBAC}"/>
    <cellStyle name="표준_해외점포 인원현황 2010.01(수정)" xfId="26" xr:uid="{00000000-0005-0000-0000-00000C060000}"/>
  </cellStyles>
  <dxfs count="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  <mruColors>
      <color rgb="FFFF0066"/>
      <color rgb="FFFF3399"/>
      <color rgb="FF00FFFF"/>
      <color rgb="FFFF99FF"/>
      <color rgb="FFFF66FF"/>
      <color rgb="FFFF33CC"/>
      <color rgb="FFFFFFFF"/>
      <color rgb="FFCCFFCC"/>
      <color rgb="FF9900FF"/>
      <color rgb="FFB9FC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externalLink" Target="externalLinks/externalLink2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dity/Documents/GitHub/gitlocal/thaco/Archive/BANG%20LUONG%20MAU%202.xlsx" TargetMode="External"/><Relationship Id="rId1" Type="http://schemas.openxmlformats.org/officeDocument/2006/relationships/externalLinkPath" Target="/Users/adity/Documents/GitHub/gitlocal/thaco/Archive/BANG%20LUONG%20MAU%202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duyen/Downloads/PVT%20-%20DIEMDANH%20FT%20T04.ods" TargetMode="External"/><Relationship Id="rId1" Type="http://schemas.openxmlformats.org/officeDocument/2006/relationships/externalLinkPath" Target="file:///C:/Users/duyen/Downloads/PVT%20-%20DIEMDANH%20FT%20T04.od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5">
          <cell r="E15" t="str">
            <v>QTY</v>
          </cell>
        </row>
        <row r="28">
          <cell r="D28">
            <v>100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Hoà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Hoà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Hoài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 Đông Hoà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Buk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Hoà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TX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TX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Thị xã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Hoà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Chính Mỹ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Hoà Bình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Thuỷ Đường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Thị Xã Giá Rai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Phước Long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Huyện Đông Hải</v>
          </cell>
          <cell r="F708" t="str">
            <v>821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>Xã An Hoà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Hoà Bình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Hoà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Hoà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Hoà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Hoà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>Xã Hiệp Hòa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>Xã Nhân Hòa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>Phường Lương Khánh Thiện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Hoà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>Xã Thái Hoà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>Phường Yên Bình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Hoà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Hoà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>Xã Xuân Hoà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Hoà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Thị trấn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Hoà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Hoà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Phường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Phường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>Xã Trung Hoà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Hoà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Xã Lăng Can</v>
          </cell>
          <cell r="I3079" t="str">
            <v>21113</v>
          </cell>
        </row>
        <row r="3080">
          <cell r="G3080" t="str">
            <v>Xã Thượng Lâm</v>
          </cell>
          <cell r="I3080" t="str">
            <v>21113</v>
          </cell>
        </row>
        <row r="3081">
          <cell r="G3081" t="str">
            <v>Xã Khuôn Hà</v>
          </cell>
          <cell r="I3081" t="str">
            <v>21113</v>
          </cell>
        </row>
        <row r="3082">
          <cell r="G3082" t="str">
            <v>Xã Phúc Yên</v>
          </cell>
          <cell r="I3082" t="str">
            <v>21113</v>
          </cell>
        </row>
        <row r="3083">
          <cell r="G3083" t="str">
            <v>Xã Xuân Lập</v>
          </cell>
          <cell r="I3083" t="str">
            <v>21113</v>
          </cell>
        </row>
        <row r="3084">
          <cell r="G3084" t="str">
            <v>Xã Bình An</v>
          </cell>
          <cell r="I3084" t="str">
            <v>21113</v>
          </cell>
        </row>
        <row r="3085">
          <cell r="G3085" t="str">
            <v>Xã Thổ Bình</v>
          </cell>
          <cell r="I3085" t="str">
            <v>21113</v>
          </cell>
        </row>
        <row r="3086">
          <cell r="G3086" t="str">
            <v>Xã Hồng Quang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>Xã Khánh Hoà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 xml:space="preserve">Xã Hùng Sơn  </v>
          </cell>
          <cell r="I3388" t="str">
            <v>21513</v>
          </cell>
        </row>
        <row r="3389">
          <cell r="G3389" t="str">
            <v>Xã Hà Thượng</v>
          </cell>
          <cell r="I3389" t="str">
            <v>21513</v>
          </cell>
        </row>
        <row r="3390">
          <cell r="G3390" t="str">
            <v>Xã Hoàng Nông</v>
          </cell>
          <cell r="I3390" t="str">
            <v>21513</v>
          </cell>
        </row>
        <row r="3391">
          <cell r="G3391" t="str">
            <v>Xã Khôi Kỳ</v>
          </cell>
          <cell r="I3391" t="str">
            <v>21513</v>
          </cell>
        </row>
        <row r="3392">
          <cell r="G3392" t="str">
            <v xml:space="preserve">Xã An Khánh </v>
          </cell>
          <cell r="I3392" t="str">
            <v>21513</v>
          </cell>
        </row>
        <row r="3393">
          <cell r="G3393" t="str">
            <v xml:space="preserve">Xã Bình Thuận </v>
          </cell>
          <cell r="I3393" t="str">
            <v>21513</v>
          </cell>
        </row>
        <row r="3394">
          <cell r="G3394" t="str">
            <v>Xã Lục Ba</v>
          </cell>
          <cell r="I3394" t="str">
            <v>21513</v>
          </cell>
        </row>
        <row r="3395">
          <cell r="G3395" t="str">
            <v>Xã Mỹ Yên</v>
          </cell>
          <cell r="I3395" t="str">
            <v>21513</v>
          </cell>
        </row>
        <row r="3396">
          <cell r="G3396" t="str">
            <v>Xã Ký Phú</v>
          </cell>
          <cell r="I3396" t="str">
            <v>21513</v>
          </cell>
        </row>
        <row r="3397">
          <cell r="G3397" t="str">
            <v>Xã Cát Nê</v>
          </cell>
          <cell r="I3397" t="str">
            <v>21513</v>
          </cell>
        </row>
        <row r="3398">
          <cell r="G3398" t="str">
            <v>Xã Yên Lãng</v>
          </cell>
          <cell r="I3398" t="str">
            <v>21513</v>
          </cell>
        </row>
        <row r="3399">
          <cell r="G3399" t="str">
            <v>Xã Cù Vân</v>
          </cell>
          <cell r="I3399" t="str">
            <v>21513</v>
          </cell>
        </row>
        <row r="3400">
          <cell r="G3400" t="str">
            <v>Xã Văn Yên</v>
          </cell>
          <cell r="I3400" t="str">
            <v>21513</v>
          </cell>
        </row>
        <row r="3401">
          <cell r="G3401" t="str">
            <v>Xã Phúc Lương</v>
          </cell>
          <cell r="I3401" t="str">
            <v>21513</v>
          </cell>
        </row>
        <row r="3402">
          <cell r="G3402" t="str">
            <v xml:space="preserve">Xã Phú Cường   </v>
          </cell>
          <cell r="I3402" t="str">
            <v>21513</v>
          </cell>
        </row>
        <row r="3403">
          <cell r="G3403" t="str">
            <v xml:space="preserve">Xã Phú Thịnh   </v>
          </cell>
          <cell r="I3403" t="str">
            <v>21513</v>
          </cell>
        </row>
        <row r="3404">
          <cell r="G3404" t="str">
            <v>Xã Tiên Hội</v>
          </cell>
          <cell r="I3404" t="str">
            <v>21513</v>
          </cell>
        </row>
        <row r="3405">
          <cell r="G3405" t="str">
            <v>Xã La Bằng</v>
          </cell>
          <cell r="I3405" t="str">
            <v>21513</v>
          </cell>
        </row>
        <row r="3406">
          <cell r="G3406" t="str">
            <v>Xã Tân Thái</v>
          </cell>
          <cell r="I3406" t="str">
            <v>21513</v>
          </cell>
        </row>
        <row r="3407">
          <cell r="G3407" t="str">
            <v>Xã Vạn Thọ</v>
          </cell>
          <cell r="I3407" t="str">
            <v>21513</v>
          </cell>
        </row>
        <row r="3408">
          <cell r="G3408" t="str">
            <v>Xã Quân Chu</v>
          </cell>
          <cell r="I3408" t="str">
            <v>21513</v>
          </cell>
        </row>
        <row r="3409">
          <cell r="G3409" t="str">
            <v>Thị trấn Hương Sơn</v>
          </cell>
          <cell r="I3409" t="str">
            <v>21515</v>
          </cell>
        </row>
        <row r="3410">
          <cell r="G3410" t="str">
            <v xml:space="preserve">Xã Tân Khánh </v>
          </cell>
          <cell r="I3410" t="str">
            <v>21515</v>
          </cell>
        </row>
        <row r="3411">
          <cell r="G3411" t="str">
            <v>Xã Tân Kim</v>
          </cell>
          <cell r="I3411" t="str">
            <v>21515</v>
          </cell>
        </row>
        <row r="3412">
          <cell r="G3412" t="str">
            <v>Xã Đào Xá</v>
          </cell>
          <cell r="I3412" t="str">
            <v>21515</v>
          </cell>
        </row>
        <row r="3413">
          <cell r="G3413" t="str">
            <v>Xã Bảo Lý</v>
          </cell>
          <cell r="I3413" t="str">
            <v>21515</v>
          </cell>
        </row>
        <row r="3414">
          <cell r="G3414" t="str">
            <v>Xã Thượng Đình</v>
          </cell>
          <cell r="I3414" t="str">
            <v>21515</v>
          </cell>
        </row>
        <row r="3415">
          <cell r="G3415" t="str">
            <v>Xã Nhã Lộng</v>
          </cell>
          <cell r="I3415" t="str">
            <v>21515</v>
          </cell>
        </row>
        <row r="3416">
          <cell r="G3416" t="str">
            <v>Xã Điềm Thụy</v>
          </cell>
          <cell r="I3416" t="str">
            <v>21515</v>
          </cell>
        </row>
        <row r="3417">
          <cell r="G3417" t="str">
            <v>Xã Tân Đức</v>
          </cell>
          <cell r="I3417" t="str">
            <v>21515</v>
          </cell>
        </row>
        <row r="3418">
          <cell r="G3418" t="str">
            <v>Xã Lương Phú</v>
          </cell>
          <cell r="I3418" t="str">
            <v>21515</v>
          </cell>
        </row>
        <row r="3419">
          <cell r="G3419" t="str">
            <v>Xã Nga My</v>
          </cell>
          <cell r="I3419" t="str">
            <v>21515</v>
          </cell>
        </row>
        <row r="3420">
          <cell r="G3420" t="str">
            <v>Xã Thanh Ninh</v>
          </cell>
          <cell r="I3420" t="str">
            <v>21515</v>
          </cell>
        </row>
        <row r="3421">
          <cell r="G3421" t="str">
            <v>Xã Dương Thành</v>
          </cell>
          <cell r="I3421" t="str">
            <v>21515</v>
          </cell>
        </row>
        <row r="3422">
          <cell r="G3422" t="str">
            <v>Xã Đồng Liên</v>
          </cell>
          <cell r="I3422" t="str">
            <v>21515</v>
          </cell>
        </row>
        <row r="3423">
          <cell r="G3423" t="str">
            <v>Xã úc Kỳ</v>
          </cell>
          <cell r="I3423" t="str">
            <v>21515</v>
          </cell>
        </row>
        <row r="3424">
          <cell r="G3424" t="str">
            <v>Xã Bàn Đạt</v>
          </cell>
          <cell r="I3424" t="str">
            <v>21515</v>
          </cell>
        </row>
        <row r="3425">
          <cell r="G3425" t="str">
            <v xml:space="preserve">Xã Tân Thành       </v>
          </cell>
          <cell r="I3425" t="str">
            <v>21515</v>
          </cell>
        </row>
        <row r="3426">
          <cell r="G3426" t="str">
            <v xml:space="preserve">Xã Tân Hòa    </v>
          </cell>
          <cell r="I3426" t="str">
            <v>21515</v>
          </cell>
        </row>
        <row r="3427">
          <cell r="G3427" t="str">
            <v xml:space="preserve">Xã Xuân Phương  </v>
          </cell>
          <cell r="I3427" t="str">
            <v>21515</v>
          </cell>
        </row>
        <row r="3428">
          <cell r="G3428" t="str">
            <v>Xã Kha Sơn</v>
          </cell>
          <cell r="I3428" t="str">
            <v>21515</v>
          </cell>
        </row>
        <row r="3429">
          <cell r="G3429" t="str">
            <v>Xã Hà Châu</v>
          </cell>
          <cell r="I3429" t="str">
            <v>21515</v>
          </cell>
        </row>
        <row r="3430">
          <cell r="G3430" t="str">
            <v>Phường Bãi Bông</v>
          </cell>
          <cell r="I3430" t="str">
            <v>21517</v>
          </cell>
        </row>
        <row r="3431">
          <cell r="G3431" t="str">
            <v xml:space="preserve">Phường Bắc Sơn  </v>
          </cell>
          <cell r="I3431" t="str">
            <v>21517</v>
          </cell>
        </row>
        <row r="3432">
          <cell r="G3432" t="str">
            <v>Xã Phúc Tân</v>
          </cell>
          <cell r="I3432" t="str">
            <v>21517</v>
          </cell>
        </row>
        <row r="3433">
          <cell r="G3433" t="str">
            <v>Xã Phúc Thuận</v>
          </cell>
          <cell r="I3433" t="str">
            <v>21517</v>
          </cell>
        </row>
        <row r="3434">
          <cell r="G3434" t="str">
            <v xml:space="preserve">Xã Hồng Tiến  </v>
          </cell>
          <cell r="I3434" t="str">
            <v>21517</v>
          </cell>
        </row>
        <row r="3435">
          <cell r="G3435" t="str">
            <v xml:space="preserve">Xã Minh Đức   </v>
          </cell>
          <cell r="I3435" t="str">
            <v>21517</v>
          </cell>
        </row>
        <row r="3436">
          <cell r="G3436" t="str">
            <v xml:space="preserve">Xã Thành Công  </v>
          </cell>
          <cell r="I3436" t="str">
            <v>21517</v>
          </cell>
        </row>
        <row r="3437">
          <cell r="G3437" t="str">
            <v xml:space="preserve">Xã Tiên Phong </v>
          </cell>
          <cell r="I3437" t="str">
            <v>21517</v>
          </cell>
        </row>
        <row r="3438">
          <cell r="G3438" t="str">
            <v xml:space="preserve">Xã Nam Tiến </v>
          </cell>
          <cell r="I3438" t="str">
            <v>21517</v>
          </cell>
        </row>
        <row r="3439">
          <cell r="G3439" t="str">
            <v xml:space="preserve">Xã Tân Hương   </v>
          </cell>
          <cell r="I3439" t="str">
            <v>21517</v>
          </cell>
        </row>
        <row r="3440">
          <cell r="G3440" t="str">
            <v>Xã Đông Cao</v>
          </cell>
          <cell r="I3440" t="str">
            <v>21517</v>
          </cell>
        </row>
        <row r="3441">
          <cell r="G3441" t="str">
            <v xml:space="preserve">Xã Tân Phú </v>
          </cell>
          <cell r="I3441" t="str">
            <v>21517</v>
          </cell>
        </row>
        <row r="3442">
          <cell r="G3442" t="str">
            <v>Xã Thuận Thành</v>
          </cell>
          <cell r="I3442" t="str">
            <v>21517</v>
          </cell>
        </row>
        <row r="3443">
          <cell r="G3443" t="str">
            <v>Phường Đồng Tiến</v>
          </cell>
          <cell r="I3443" t="str">
            <v>21517</v>
          </cell>
        </row>
        <row r="3444">
          <cell r="G3444" t="str">
            <v>Phường Ba Hàng</v>
          </cell>
          <cell r="I3444" t="str">
            <v>21517</v>
          </cell>
        </row>
        <row r="3445">
          <cell r="G3445" t="str">
            <v>Xã Đắc Sơn</v>
          </cell>
          <cell r="I3445" t="str">
            <v>21517</v>
          </cell>
        </row>
        <row r="3446">
          <cell r="G3446" t="str">
            <v>Xã Vạn Phái</v>
          </cell>
          <cell r="I3446" t="str">
            <v>21517</v>
          </cell>
        </row>
        <row r="3447">
          <cell r="G3447" t="str">
            <v xml:space="preserve">Xã Trung Thành   </v>
          </cell>
          <cell r="I3447" t="str">
            <v>21517</v>
          </cell>
        </row>
        <row r="3448">
          <cell r="G3448" t="str">
            <v>Phường Dữu Lâu</v>
          </cell>
          <cell r="I3448" t="str">
            <v>21701</v>
          </cell>
        </row>
        <row r="3449">
          <cell r="G3449" t="str">
            <v>Phường Vân Cơ</v>
          </cell>
          <cell r="I3449" t="str">
            <v>21701</v>
          </cell>
        </row>
        <row r="3450">
          <cell r="G3450" t="str">
            <v>Phường Nông Trang</v>
          </cell>
          <cell r="I3450" t="str">
            <v>21701</v>
          </cell>
        </row>
        <row r="3451">
          <cell r="G3451" t="str">
            <v>Phường Gia Cẩm</v>
          </cell>
          <cell r="I3451" t="str">
            <v>21701</v>
          </cell>
        </row>
        <row r="3452">
          <cell r="G3452" t="str">
            <v>Phường Thọ Sơn</v>
          </cell>
          <cell r="I3452" t="str">
            <v>21701</v>
          </cell>
        </row>
        <row r="3453">
          <cell r="G3453" t="str">
            <v>Phường Thanh Miếu</v>
          </cell>
          <cell r="I3453" t="str">
            <v>21701</v>
          </cell>
        </row>
        <row r="3454">
          <cell r="G3454" t="str">
            <v>Phường Bạch Hạc</v>
          </cell>
          <cell r="I3454" t="str">
            <v>21701</v>
          </cell>
        </row>
        <row r="3455">
          <cell r="G3455" t="str">
            <v>Phường Vân Phú</v>
          </cell>
          <cell r="I3455" t="str">
            <v>21701</v>
          </cell>
        </row>
        <row r="3456">
          <cell r="G3456" t="str">
            <v>Xã Phượng Lâu</v>
          </cell>
          <cell r="I3456" t="str">
            <v>21701</v>
          </cell>
        </row>
        <row r="3457">
          <cell r="G3457" t="str">
            <v>Xã Thụy Vân</v>
          </cell>
          <cell r="I3457" t="str">
            <v>21701</v>
          </cell>
        </row>
        <row r="3458">
          <cell r="G3458" t="str">
            <v>Phường Minh Phương</v>
          </cell>
          <cell r="I3458" t="str">
            <v>21701</v>
          </cell>
        </row>
        <row r="3459">
          <cell r="G3459" t="str">
            <v>Xã Sông Lô</v>
          </cell>
          <cell r="I3459" t="str">
            <v>21701</v>
          </cell>
        </row>
        <row r="3460">
          <cell r="G3460" t="str">
            <v>Phường Tân Dân</v>
          </cell>
          <cell r="I3460" t="str">
            <v>21701</v>
          </cell>
        </row>
        <row r="3461">
          <cell r="G3461" t="str">
            <v>Phường Minh Nông</v>
          </cell>
          <cell r="I3461" t="str">
            <v>21701</v>
          </cell>
        </row>
        <row r="3462">
          <cell r="G3462" t="str">
            <v>Phường Tiên Cát</v>
          </cell>
          <cell r="I3462" t="str">
            <v>21701</v>
          </cell>
        </row>
        <row r="3463">
          <cell r="G3463" t="str">
            <v>Phường Bến Gót</v>
          </cell>
          <cell r="I3463" t="str">
            <v>21701</v>
          </cell>
        </row>
        <row r="3464">
          <cell r="G3464" t="str">
            <v xml:space="preserve">Xã Trưng Vương </v>
          </cell>
          <cell r="I3464" t="str">
            <v>21701</v>
          </cell>
        </row>
        <row r="3465">
          <cell r="G3465" t="str">
            <v xml:space="preserve">Xã Tân Đức </v>
          </cell>
          <cell r="I3465" t="str">
            <v>21701</v>
          </cell>
        </row>
        <row r="3466">
          <cell r="G3466" t="str">
            <v>Xã Kim Đức</v>
          </cell>
          <cell r="I3466" t="str">
            <v>21701</v>
          </cell>
        </row>
        <row r="3467">
          <cell r="G3467" t="str">
            <v>Xã Hy Cương</v>
          </cell>
          <cell r="I3467" t="str">
            <v>21701</v>
          </cell>
        </row>
        <row r="3468">
          <cell r="G3468" t="str">
            <v>Xã Chu Hoá</v>
          </cell>
          <cell r="I3468" t="str">
            <v>21701</v>
          </cell>
        </row>
        <row r="3469">
          <cell r="G3469" t="str">
            <v>Xã Thanh Đình</v>
          </cell>
          <cell r="I3469" t="str">
            <v>21701</v>
          </cell>
        </row>
        <row r="3470">
          <cell r="G3470" t="str">
            <v>Xã Hùng Lô</v>
          </cell>
          <cell r="I3470" t="str">
            <v>21701</v>
          </cell>
        </row>
        <row r="3471">
          <cell r="G3471" t="str">
            <v>Phường Trường Thịnh</v>
          </cell>
          <cell r="I3471" t="str">
            <v>21703</v>
          </cell>
        </row>
        <row r="3472">
          <cell r="G3472" t="str">
            <v>Phường Phong Châu</v>
          </cell>
          <cell r="I3472" t="str">
            <v>21703</v>
          </cell>
        </row>
        <row r="3473">
          <cell r="G3473" t="str">
            <v>Phường âu Cơ</v>
          </cell>
          <cell r="I3473" t="str">
            <v>21703</v>
          </cell>
        </row>
        <row r="3474">
          <cell r="G3474" t="str">
            <v>Xã Hà Lộc</v>
          </cell>
          <cell r="I3474" t="str">
            <v>21703</v>
          </cell>
        </row>
        <row r="3475">
          <cell r="G3475" t="str">
            <v>Xã Văn Lung</v>
          </cell>
          <cell r="I3475" t="str">
            <v>21703</v>
          </cell>
        </row>
        <row r="3476">
          <cell r="G3476" t="str">
            <v>Xã Thanh Minh</v>
          </cell>
          <cell r="I3476" t="str">
            <v>21703</v>
          </cell>
        </row>
        <row r="3477">
          <cell r="G3477" t="str">
            <v>Xã Hà Thạch</v>
          </cell>
          <cell r="I3477" t="str">
            <v>21703</v>
          </cell>
        </row>
        <row r="3478">
          <cell r="G3478" t="str">
            <v xml:space="preserve">Phường Hùng Vương </v>
          </cell>
          <cell r="I3478" t="str">
            <v>21703</v>
          </cell>
        </row>
        <row r="3479">
          <cell r="G3479" t="str">
            <v>Xã Phú Hộ</v>
          </cell>
          <cell r="I3479" t="str">
            <v>21703</v>
          </cell>
        </row>
        <row r="3480">
          <cell r="G3480" t="str">
            <v>Phường Thanh Vinh</v>
          </cell>
          <cell r="I3480" t="str">
            <v>21703</v>
          </cell>
        </row>
        <row r="3481">
          <cell r="G3481" t="str">
            <v>Xã Đông Khê</v>
          </cell>
          <cell r="I3481" t="str">
            <v>21705</v>
          </cell>
        </row>
        <row r="3482">
          <cell r="G3482" t="str">
            <v>Xã Nghinh Xuyên</v>
          </cell>
          <cell r="I3482" t="str">
            <v>21705</v>
          </cell>
        </row>
        <row r="3483">
          <cell r="G3483" t="str">
            <v>Xã Bằng Luân</v>
          </cell>
          <cell r="I3483" t="str">
            <v>21705</v>
          </cell>
        </row>
        <row r="3484">
          <cell r="G3484" t="str">
            <v xml:space="preserve">Xã Vân Du </v>
          </cell>
          <cell r="I3484" t="str">
            <v>21705</v>
          </cell>
        </row>
        <row r="3485">
          <cell r="G3485" t="str">
            <v xml:space="preserve">Xã Phương Trung </v>
          </cell>
          <cell r="I3485" t="str">
            <v>21705</v>
          </cell>
        </row>
        <row r="3486">
          <cell r="G3486" t="str">
            <v xml:space="preserve">Xã Minh Lương </v>
          </cell>
          <cell r="I3486" t="str">
            <v>21705</v>
          </cell>
        </row>
        <row r="3487">
          <cell r="G3487" t="str">
            <v>Xã Bằng Doãn</v>
          </cell>
          <cell r="I3487" t="str">
            <v>21705</v>
          </cell>
        </row>
        <row r="3488">
          <cell r="G3488" t="str">
            <v>Xã Chí Đám</v>
          </cell>
          <cell r="I3488" t="str">
            <v>21705</v>
          </cell>
        </row>
        <row r="3489">
          <cell r="G3489" t="str">
            <v>Xã Phúc Lai</v>
          </cell>
          <cell r="I3489" t="str">
            <v>21705</v>
          </cell>
        </row>
        <row r="3490">
          <cell r="G3490" t="str">
            <v>Xã Ngọc Quan</v>
          </cell>
          <cell r="I3490" t="str">
            <v>21705</v>
          </cell>
        </row>
        <row r="3491">
          <cell r="G3491" t="str">
            <v>Xã Sóc Đăng</v>
          </cell>
          <cell r="I3491" t="str">
            <v>21705</v>
          </cell>
        </row>
        <row r="3492">
          <cell r="G3492" t="str">
            <v>Xã Phú Thứ</v>
          </cell>
          <cell r="I3492" t="str">
            <v>21705</v>
          </cell>
        </row>
        <row r="3493">
          <cell r="G3493" t="str">
            <v>Xã Tây Cốc</v>
          </cell>
          <cell r="I3493" t="str">
            <v>21705</v>
          </cell>
        </row>
        <row r="3494">
          <cell r="G3494" t="str">
            <v>Xã Hùng Long</v>
          </cell>
          <cell r="I3494" t="str">
            <v>21705</v>
          </cell>
        </row>
        <row r="3495">
          <cell r="G3495" t="str">
            <v>Xã Vụ Quang</v>
          </cell>
          <cell r="I3495" t="str">
            <v>21705</v>
          </cell>
        </row>
        <row r="3496">
          <cell r="G3496" t="str">
            <v>Xã Vân Đồn</v>
          </cell>
          <cell r="I3496" t="str">
            <v>21705</v>
          </cell>
        </row>
        <row r="3497">
          <cell r="G3497" t="str">
            <v xml:space="preserve">Xã Minh Tiến     </v>
          </cell>
          <cell r="I3497" t="str">
            <v>21705</v>
          </cell>
        </row>
        <row r="3498">
          <cell r="G3498" t="str">
            <v>Xã Chân Mộng</v>
          </cell>
          <cell r="I3498" t="str">
            <v>21705</v>
          </cell>
        </row>
        <row r="3499">
          <cell r="G3499" t="str">
            <v>Thị trấn Đoan Hùng</v>
          </cell>
          <cell r="I3499" t="str">
            <v>21705</v>
          </cell>
        </row>
        <row r="3500">
          <cell r="G3500" t="str">
            <v>Xã Hữu Đô</v>
          </cell>
          <cell r="I3500" t="str">
            <v>21705</v>
          </cell>
        </row>
        <row r="3501">
          <cell r="G3501" t="str">
            <v xml:space="preserve">Xã Minh Phú </v>
          </cell>
          <cell r="I3501" t="str">
            <v>21705</v>
          </cell>
        </row>
        <row r="3502">
          <cell r="G3502" t="str">
            <v>Xã Hùng Quan</v>
          </cell>
          <cell r="I3502" t="str">
            <v>21705</v>
          </cell>
        </row>
        <row r="3503">
          <cell r="G3503" t="str">
            <v>Xã Quế Lâm</v>
          </cell>
          <cell r="I3503" t="str">
            <v>21705</v>
          </cell>
        </row>
        <row r="3504">
          <cell r="G3504" t="str">
            <v>Xã Phong Phú</v>
          </cell>
          <cell r="I3504" t="str">
            <v>21705</v>
          </cell>
        </row>
        <row r="3505">
          <cell r="G3505" t="str">
            <v>Xã Đại Nghĩa</v>
          </cell>
          <cell r="I3505" t="str">
            <v>21705</v>
          </cell>
        </row>
        <row r="3506">
          <cell r="G3506" t="str">
            <v>Xã Yên Kiện</v>
          </cell>
          <cell r="I3506" t="str">
            <v>21705</v>
          </cell>
        </row>
        <row r="3507">
          <cell r="G3507" t="str">
            <v>Xã Tiêu Sơn</v>
          </cell>
          <cell r="I3507" t="str">
            <v>21705</v>
          </cell>
        </row>
        <row r="3508">
          <cell r="G3508" t="str">
            <v>Xã Ca Đình</v>
          </cell>
          <cell r="I3508" t="str">
            <v>21705</v>
          </cell>
        </row>
        <row r="3509">
          <cell r="G3509" t="str">
            <v>Thị trấn Hạ Hoà</v>
          </cell>
          <cell r="I3509" t="str">
            <v>21707</v>
          </cell>
        </row>
        <row r="3510">
          <cell r="G3510" t="str">
            <v>Xã Đại Phạm</v>
          </cell>
          <cell r="I3510" t="str">
            <v>21707</v>
          </cell>
        </row>
        <row r="3511">
          <cell r="G3511" t="str">
            <v>Xã Đan Hà</v>
          </cell>
          <cell r="I3511" t="str">
            <v>21707</v>
          </cell>
        </row>
        <row r="3512">
          <cell r="G3512" t="str">
            <v>Xã Hà Lương</v>
          </cell>
          <cell r="I3512" t="str">
            <v>21707</v>
          </cell>
        </row>
        <row r="3513">
          <cell r="G3513" t="str">
            <v>Xã Lệnh Khanh</v>
          </cell>
          <cell r="I3513" t="str">
            <v>21707</v>
          </cell>
        </row>
        <row r="3514">
          <cell r="G3514" t="str">
            <v xml:space="preserve">Xã Liên Phương  </v>
          </cell>
          <cell r="I3514" t="str">
            <v>21707</v>
          </cell>
        </row>
        <row r="3515">
          <cell r="G3515" t="str">
            <v>Xã Đan Thượng</v>
          </cell>
          <cell r="I3515" t="str">
            <v>21707</v>
          </cell>
        </row>
        <row r="3516">
          <cell r="G3516" t="str">
            <v>Xã Lâm Lợi</v>
          </cell>
          <cell r="I3516" t="str">
            <v>21707</v>
          </cell>
        </row>
        <row r="3517">
          <cell r="G3517" t="str">
            <v xml:space="preserve">Xã Phương Viên </v>
          </cell>
          <cell r="I3517" t="str">
            <v>21707</v>
          </cell>
        </row>
        <row r="3518">
          <cell r="G3518" t="str">
            <v>Xã Gia Điền</v>
          </cell>
          <cell r="I3518" t="str">
            <v>21707</v>
          </cell>
        </row>
        <row r="3519">
          <cell r="G3519" t="str">
            <v>Xã Quân Khê</v>
          </cell>
          <cell r="I3519" t="str">
            <v>21707</v>
          </cell>
        </row>
        <row r="3520">
          <cell r="G3520" t="str">
            <v>Xã Y Sơn</v>
          </cell>
          <cell r="I3520" t="str">
            <v>21707</v>
          </cell>
        </row>
        <row r="3521">
          <cell r="G3521" t="str">
            <v>Xã Hương Xạ</v>
          </cell>
          <cell r="I3521" t="str">
            <v>21707</v>
          </cell>
        </row>
        <row r="3522">
          <cell r="G3522" t="str">
            <v>Xã Xuân áng</v>
          </cell>
          <cell r="I3522" t="str">
            <v>21707</v>
          </cell>
        </row>
        <row r="3523">
          <cell r="G3523" t="str">
            <v>Xã Yên Kỳ</v>
          </cell>
          <cell r="I3523" t="str">
            <v>21707</v>
          </cell>
        </row>
        <row r="3524">
          <cell r="G3524" t="str">
            <v>Xã Lang Sơn</v>
          </cell>
          <cell r="I3524" t="str">
            <v>21707</v>
          </cell>
        </row>
        <row r="3525">
          <cell r="G3525" t="str">
            <v>Xã Bằng Giã</v>
          </cell>
          <cell r="I3525" t="str">
            <v>21707</v>
          </cell>
        </row>
        <row r="3526">
          <cell r="G3526" t="str">
            <v xml:space="preserve">Xã Vô Tranh </v>
          </cell>
          <cell r="I3526" t="str">
            <v>21707</v>
          </cell>
        </row>
        <row r="3527">
          <cell r="G3527" t="str">
            <v xml:space="preserve">Xã Văn Lang </v>
          </cell>
          <cell r="I3527" t="str">
            <v>21707</v>
          </cell>
        </row>
        <row r="3528">
          <cell r="G3528" t="str">
            <v>Xã Chính Công</v>
          </cell>
          <cell r="I3528" t="str">
            <v>21707</v>
          </cell>
        </row>
        <row r="3529">
          <cell r="G3529" t="str">
            <v>Xã Vĩnh Chân</v>
          </cell>
          <cell r="I3529" t="str">
            <v>21707</v>
          </cell>
        </row>
        <row r="3530">
          <cell r="G3530" t="str">
            <v>Xã Mai Tùng</v>
          </cell>
          <cell r="I3530" t="str">
            <v>21707</v>
          </cell>
        </row>
        <row r="3531">
          <cell r="G3531" t="str">
            <v>Xã Vụ Cầu</v>
          </cell>
          <cell r="I3531" t="str">
            <v>21707</v>
          </cell>
        </row>
        <row r="3532">
          <cell r="G3532" t="str">
            <v>Xã Hiền Lương</v>
          </cell>
          <cell r="I3532" t="str">
            <v>21707</v>
          </cell>
        </row>
        <row r="3533">
          <cell r="G3533" t="str">
            <v>Xã Chuế Lưu</v>
          </cell>
          <cell r="I3533" t="str">
            <v>21707</v>
          </cell>
        </row>
        <row r="3534">
          <cell r="G3534" t="str">
            <v>Xã Minh Côi</v>
          </cell>
          <cell r="I3534" t="str">
            <v>21707</v>
          </cell>
        </row>
        <row r="3535">
          <cell r="G3535" t="str">
            <v>Xã Yên Luật</v>
          </cell>
          <cell r="I3535" t="str">
            <v>21707</v>
          </cell>
        </row>
        <row r="3536">
          <cell r="G3536" t="str">
            <v>Xã Hậu Bổng</v>
          </cell>
          <cell r="I3536" t="str">
            <v>21707</v>
          </cell>
        </row>
        <row r="3537">
          <cell r="G3537" t="str">
            <v>Xã Phụ Khánh</v>
          </cell>
          <cell r="I3537" t="str">
            <v>21707</v>
          </cell>
        </row>
        <row r="3538">
          <cell r="G3538" t="str">
            <v>Xã Động Lâm</v>
          </cell>
          <cell r="I3538" t="str">
            <v>21707</v>
          </cell>
        </row>
        <row r="3539">
          <cell r="G3539" t="str">
            <v>Xã ấm Hạ</v>
          </cell>
          <cell r="I3539" t="str">
            <v>21707</v>
          </cell>
        </row>
        <row r="3540">
          <cell r="G3540" t="str">
            <v>Xã Cáo Điền</v>
          </cell>
          <cell r="I3540" t="str">
            <v>21707</v>
          </cell>
        </row>
        <row r="3541">
          <cell r="G3541" t="str">
            <v>Xã Minh Hạc</v>
          </cell>
          <cell r="I3541" t="str">
            <v>21707</v>
          </cell>
        </row>
        <row r="3542">
          <cell r="G3542" t="str">
            <v>Xã Mạn Lạn</v>
          </cell>
          <cell r="I3542" t="str">
            <v>21709</v>
          </cell>
        </row>
        <row r="3543">
          <cell r="G3543" t="str">
            <v xml:space="preserve">Xã Thanh Xá </v>
          </cell>
          <cell r="I3543" t="str">
            <v>21709</v>
          </cell>
        </row>
        <row r="3544">
          <cell r="G3544" t="str">
            <v>Xã Chí Tiên</v>
          </cell>
          <cell r="I3544" t="str">
            <v>21709</v>
          </cell>
        </row>
        <row r="3545">
          <cell r="G3545" t="str">
            <v>Xã Hoàng Cương</v>
          </cell>
          <cell r="I3545" t="str">
            <v>21709</v>
          </cell>
        </row>
        <row r="3546">
          <cell r="G3546" t="str">
            <v>Xã Sơn Cương</v>
          </cell>
          <cell r="I3546" t="str">
            <v>21709</v>
          </cell>
        </row>
        <row r="3547">
          <cell r="G3547" t="str">
            <v xml:space="preserve">Xã Thanh Hà </v>
          </cell>
          <cell r="I3547" t="str">
            <v>21709</v>
          </cell>
        </row>
        <row r="3548">
          <cell r="G3548" t="str">
            <v>Xã Đỗ Sơn</v>
          </cell>
          <cell r="I3548" t="str">
            <v>21709</v>
          </cell>
        </row>
        <row r="3549">
          <cell r="G3549" t="str">
            <v>Xã Đỗ Xuyên</v>
          </cell>
          <cell r="I3549" t="str">
            <v>21709</v>
          </cell>
        </row>
        <row r="3550">
          <cell r="G3550" t="str">
            <v>Xã Lương Lỗ</v>
          </cell>
          <cell r="I3550" t="str">
            <v>21709</v>
          </cell>
        </row>
        <row r="3551">
          <cell r="G3551" t="str">
            <v>Xã Khải Xuân</v>
          </cell>
          <cell r="I3551" t="str">
            <v>21709</v>
          </cell>
        </row>
        <row r="3552">
          <cell r="G3552" t="str">
            <v xml:space="preserve">Xã Đông Lĩnh </v>
          </cell>
          <cell r="I3552" t="str">
            <v>21709</v>
          </cell>
        </row>
        <row r="3553">
          <cell r="G3553" t="str">
            <v xml:space="preserve">Xã Đại An  </v>
          </cell>
          <cell r="I3553" t="str">
            <v>21709</v>
          </cell>
        </row>
        <row r="3554">
          <cell r="G3554" t="str">
            <v>Xã Hanh Cù</v>
          </cell>
          <cell r="I3554" t="str">
            <v>21709</v>
          </cell>
        </row>
        <row r="3555">
          <cell r="G3555" t="str">
            <v>Xã Đồng Xuân</v>
          </cell>
          <cell r="I3555" t="str">
            <v>21709</v>
          </cell>
        </row>
        <row r="3556">
          <cell r="G3556" t="str">
            <v>Xã Năng Yên</v>
          </cell>
          <cell r="I3556" t="str">
            <v>21709</v>
          </cell>
        </row>
        <row r="3557">
          <cell r="G3557" t="str">
            <v>Xã Yển Khê</v>
          </cell>
          <cell r="I3557" t="str">
            <v>21709</v>
          </cell>
        </row>
        <row r="3558">
          <cell r="G3558" t="str">
            <v>Xã Quảng Nạp</v>
          </cell>
          <cell r="I3558" t="str">
            <v>21709</v>
          </cell>
        </row>
        <row r="3559">
          <cell r="G3559" t="str">
            <v>Xã Vũ Yển</v>
          </cell>
          <cell r="I3559" t="str">
            <v>21709</v>
          </cell>
        </row>
        <row r="3560">
          <cell r="G3560" t="str">
            <v xml:space="preserve">Xã Võ Lao </v>
          </cell>
          <cell r="I3560" t="str">
            <v>21709</v>
          </cell>
        </row>
        <row r="3561">
          <cell r="G3561" t="str">
            <v xml:space="preserve">Xã Đông Thành </v>
          </cell>
          <cell r="I3561" t="str">
            <v>21709</v>
          </cell>
        </row>
        <row r="3562">
          <cell r="G3562" t="str">
            <v xml:space="preserve">Xã Thanh Vân </v>
          </cell>
          <cell r="I3562" t="str">
            <v>21709</v>
          </cell>
        </row>
        <row r="3563">
          <cell r="G3563" t="str">
            <v>Xã Yên Nội</v>
          </cell>
          <cell r="I3563" t="str">
            <v>21709</v>
          </cell>
        </row>
        <row r="3564">
          <cell r="G3564" t="str">
            <v>Thị trấn Thanh Ba</v>
          </cell>
          <cell r="I3564" t="str">
            <v>21709</v>
          </cell>
        </row>
        <row r="3565">
          <cell r="G3565" t="str">
            <v>Xã Thái Ninh</v>
          </cell>
          <cell r="I3565" t="str">
            <v>21709</v>
          </cell>
        </row>
        <row r="3566">
          <cell r="G3566" t="str">
            <v>Xã Ninh Dân</v>
          </cell>
          <cell r="I3566" t="str">
            <v>21709</v>
          </cell>
        </row>
        <row r="3567">
          <cell r="G3567" t="str">
            <v>Xã Phương Lĩnh</v>
          </cell>
          <cell r="I3567" t="str">
            <v>21709</v>
          </cell>
        </row>
        <row r="3568">
          <cell r="G3568" t="str">
            <v>Xã Vân Lĩnh</v>
          </cell>
          <cell r="I3568" t="str">
            <v>21709</v>
          </cell>
        </row>
        <row r="3569">
          <cell r="G3569" t="str">
            <v xml:space="preserve">Xã Phú Mỹ </v>
          </cell>
          <cell r="I3569" t="str">
            <v>21711</v>
          </cell>
        </row>
        <row r="3570">
          <cell r="G3570" t="str">
            <v>Xã Liên Hoa</v>
          </cell>
          <cell r="I3570" t="str">
            <v>21711</v>
          </cell>
        </row>
        <row r="3571">
          <cell r="G3571" t="str">
            <v>Xã Trạm Thản</v>
          </cell>
          <cell r="I3571" t="str">
            <v>21711</v>
          </cell>
        </row>
        <row r="3572">
          <cell r="G3572" t="str">
            <v>Xã Tiên Phú</v>
          </cell>
          <cell r="I3572" t="str">
            <v>21711</v>
          </cell>
        </row>
        <row r="3573">
          <cell r="G3573" t="str">
            <v>Xã Hạ Giáp</v>
          </cell>
          <cell r="I3573" t="str">
            <v>21711</v>
          </cell>
        </row>
        <row r="3574">
          <cell r="G3574" t="str">
            <v>Xã Bảo Thanh</v>
          </cell>
          <cell r="I3574" t="str">
            <v>21711</v>
          </cell>
        </row>
        <row r="3575">
          <cell r="G3575" t="str">
            <v xml:space="preserve">Xã Gia Thanh </v>
          </cell>
          <cell r="I3575" t="str">
            <v>21711</v>
          </cell>
        </row>
        <row r="3576">
          <cell r="G3576" t="str">
            <v>Xã Tiên Du</v>
          </cell>
          <cell r="I3576" t="str">
            <v>21711</v>
          </cell>
        </row>
        <row r="3577">
          <cell r="G3577" t="str">
            <v>Xã Bình Bộ</v>
          </cell>
          <cell r="I3577" t="str">
            <v>21711</v>
          </cell>
        </row>
        <row r="3578">
          <cell r="G3578" t="str">
            <v>Xã An Đạo</v>
          </cell>
          <cell r="I3578" t="str">
            <v>21711</v>
          </cell>
        </row>
        <row r="3579">
          <cell r="G3579" t="str">
            <v>Xã Vĩnh Phú</v>
          </cell>
          <cell r="I3579" t="str">
            <v>21711</v>
          </cell>
        </row>
        <row r="3580">
          <cell r="G3580" t="str">
            <v>Xã Trị Quận</v>
          </cell>
          <cell r="I3580" t="str">
            <v>21711</v>
          </cell>
        </row>
        <row r="3581">
          <cell r="G3581" t="str">
            <v>Xã Tử Đà</v>
          </cell>
          <cell r="I3581" t="str">
            <v>21711</v>
          </cell>
        </row>
        <row r="3582">
          <cell r="G3582" t="str">
            <v>Thị trấn Phong Châu</v>
          </cell>
          <cell r="I3582" t="str">
            <v>21711</v>
          </cell>
        </row>
        <row r="3583">
          <cell r="G3583" t="str">
            <v>Xã Trung Giáp</v>
          </cell>
          <cell r="I3583" t="str">
            <v>21711</v>
          </cell>
        </row>
        <row r="3584">
          <cell r="G3584" t="str">
            <v xml:space="preserve">Xã Phú Lộc </v>
          </cell>
          <cell r="I3584" t="str">
            <v>21711</v>
          </cell>
        </row>
        <row r="3585">
          <cell r="G3585" t="str">
            <v>Xã Phú Nham</v>
          </cell>
          <cell r="I3585" t="str">
            <v>21711</v>
          </cell>
        </row>
        <row r="3586">
          <cell r="G3586" t="str">
            <v xml:space="preserve">Xã Phù Ninh </v>
          </cell>
          <cell r="I3586" t="str">
            <v>21711</v>
          </cell>
        </row>
        <row r="3587">
          <cell r="G3587" t="str">
            <v>Xã Lệ Mỹ</v>
          </cell>
          <cell r="I3587" t="str">
            <v>21711</v>
          </cell>
        </row>
        <row r="3588">
          <cell r="G3588" t="str">
            <v xml:space="preserve">Xã Tuy Lộc </v>
          </cell>
          <cell r="I3588" t="str">
            <v>21713</v>
          </cell>
        </row>
        <row r="3589">
          <cell r="G3589" t="str">
            <v>Xã Ngô Xá</v>
          </cell>
          <cell r="I3589" t="str">
            <v>21713</v>
          </cell>
        </row>
        <row r="3590">
          <cell r="G3590" t="str">
            <v>Xã Phương Xá</v>
          </cell>
          <cell r="I3590" t="str">
            <v>21713</v>
          </cell>
        </row>
        <row r="3591">
          <cell r="G3591" t="str">
            <v>Xã Đồng Cam</v>
          </cell>
          <cell r="I3591" t="str">
            <v>21713</v>
          </cell>
        </row>
        <row r="3592">
          <cell r="G3592" t="str">
            <v>Xã Thụy Liễu</v>
          </cell>
          <cell r="I3592" t="str">
            <v>21713</v>
          </cell>
        </row>
        <row r="3593">
          <cell r="G3593" t="str">
            <v xml:space="preserve">Xã Phùng Xá  </v>
          </cell>
          <cell r="I3593" t="str">
            <v>21713</v>
          </cell>
        </row>
        <row r="3594">
          <cell r="G3594" t="str">
            <v>Xã Sai Nga</v>
          </cell>
          <cell r="I3594" t="str">
            <v>21713</v>
          </cell>
        </row>
        <row r="3595">
          <cell r="G3595" t="str">
            <v>Xã Tùng Khê</v>
          </cell>
          <cell r="I3595" t="str">
            <v>21713</v>
          </cell>
        </row>
        <row r="3596">
          <cell r="G3596" t="str">
            <v>Xã Văn Bán</v>
          </cell>
          <cell r="I3596" t="str">
            <v>21713</v>
          </cell>
        </row>
        <row r="3597">
          <cell r="G3597" t="str">
            <v>Xã Thanh Nga</v>
          </cell>
          <cell r="I3597" t="str">
            <v>21713</v>
          </cell>
        </row>
        <row r="3598">
          <cell r="G3598" t="str">
            <v>Xã Phú Khê</v>
          </cell>
          <cell r="I3598" t="str">
            <v>21713</v>
          </cell>
        </row>
        <row r="3599">
          <cell r="G3599" t="str">
            <v>Xã Sơn Tình</v>
          </cell>
          <cell r="I3599" t="str">
            <v>21713</v>
          </cell>
        </row>
        <row r="3600">
          <cell r="G3600" t="str">
            <v>Xã Yên Tập</v>
          </cell>
          <cell r="I3600" t="str">
            <v>21713</v>
          </cell>
        </row>
        <row r="3601">
          <cell r="G3601" t="str">
            <v>Xã Tạ Xá</v>
          </cell>
          <cell r="I3601" t="str">
            <v>21713</v>
          </cell>
        </row>
        <row r="3602">
          <cell r="G3602" t="str">
            <v xml:space="preserve">Xã Phú Lạc </v>
          </cell>
          <cell r="I3602" t="str">
            <v>21713</v>
          </cell>
        </row>
        <row r="3603">
          <cell r="G3603" t="str">
            <v>Xã Tình Cương</v>
          </cell>
          <cell r="I3603" t="str">
            <v>21713</v>
          </cell>
        </row>
        <row r="3604">
          <cell r="G3604" t="str">
            <v>Xã Văn Khúc</v>
          </cell>
          <cell r="I3604" t="str">
            <v>21713</v>
          </cell>
        </row>
        <row r="3605">
          <cell r="G3605" t="str">
            <v>Xã Yên Dưỡng</v>
          </cell>
          <cell r="I3605" t="str">
            <v>21713</v>
          </cell>
        </row>
        <row r="3606">
          <cell r="G3606" t="str">
            <v>Xã Điêu Lương</v>
          </cell>
          <cell r="I3606" t="str">
            <v>21713</v>
          </cell>
        </row>
        <row r="3607">
          <cell r="G3607" t="str">
            <v>Xã Đồng Lương</v>
          </cell>
          <cell r="I3607" t="str">
            <v>21713</v>
          </cell>
        </row>
        <row r="3608">
          <cell r="G3608" t="str">
            <v>Xã Tiên Lương</v>
          </cell>
          <cell r="I3608" t="str">
            <v>21713</v>
          </cell>
        </row>
        <row r="3609">
          <cell r="G3609" t="str">
            <v>Xã Cấp Dẫn</v>
          </cell>
          <cell r="I3609" t="str">
            <v>21713</v>
          </cell>
        </row>
        <row r="3610">
          <cell r="G3610" t="str">
            <v>Xã Hiền Đa</v>
          </cell>
          <cell r="I3610" t="str">
            <v>21713</v>
          </cell>
        </row>
        <row r="3611">
          <cell r="G3611" t="str">
            <v>Thị trấn Sông Thao</v>
          </cell>
          <cell r="I3611" t="str">
            <v>21713</v>
          </cell>
        </row>
        <row r="3612">
          <cell r="G3612" t="str">
            <v>Xã Phượng Vĩ</v>
          </cell>
          <cell r="I3612" t="str">
            <v>21713</v>
          </cell>
        </row>
        <row r="3613">
          <cell r="G3613" t="str">
            <v>Xã Sơn Nga</v>
          </cell>
          <cell r="I3613" t="str">
            <v>21713</v>
          </cell>
        </row>
        <row r="3614">
          <cell r="G3614" t="str">
            <v>Xã Tam Sơn</v>
          </cell>
          <cell r="I3614" t="str">
            <v>21713</v>
          </cell>
        </row>
        <row r="3615">
          <cell r="G3615" t="str">
            <v>Xã Xương Thịnh</v>
          </cell>
          <cell r="I3615" t="str">
            <v>21713</v>
          </cell>
        </row>
        <row r="3616">
          <cell r="G3616" t="str">
            <v>Xã Hương Lung</v>
          </cell>
          <cell r="I3616" t="str">
            <v>21713</v>
          </cell>
        </row>
        <row r="3617">
          <cell r="G3617" t="str">
            <v>Xã Chương Xá</v>
          </cell>
          <cell r="I3617" t="str">
            <v>21713</v>
          </cell>
        </row>
        <row r="3618">
          <cell r="G3618" t="str">
            <v>Xã Cát Trù</v>
          </cell>
          <cell r="I3618" t="str">
            <v>21713</v>
          </cell>
        </row>
        <row r="3619">
          <cell r="G3619" t="str">
            <v>Xã Mỹ Lung</v>
          </cell>
          <cell r="I3619" t="str">
            <v>21715</v>
          </cell>
        </row>
        <row r="3620">
          <cell r="G3620" t="str">
            <v xml:space="preserve">Xã Mỹ Lương </v>
          </cell>
          <cell r="I3620" t="str">
            <v>21715</v>
          </cell>
        </row>
        <row r="3621">
          <cell r="G3621" t="str">
            <v xml:space="preserve">Xã Lương Sơn </v>
          </cell>
          <cell r="I3621" t="str">
            <v>21715</v>
          </cell>
        </row>
        <row r="3622">
          <cell r="G3622" t="str">
            <v>Xã Xuân An</v>
          </cell>
          <cell r="I3622" t="str">
            <v>21715</v>
          </cell>
        </row>
        <row r="3623">
          <cell r="G3623" t="str">
            <v xml:space="preserve">Xã Trung Sơn </v>
          </cell>
          <cell r="I3623" t="str">
            <v>21715</v>
          </cell>
        </row>
        <row r="3624">
          <cell r="G3624" t="str">
            <v xml:space="preserve">Xã Hưng Long  </v>
          </cell>
          <cell r="I3624" t="str">
            <v>21715</v>
          </cell>
        </row>
        <row r="3625">
          <cell r="G3625" t="str">
            <v xml:space="preserve">Xã Đồng Lạc    </v>
          </cell>
          <cell r="I3625" t="str">
            <v>21715</v>
          </cell>
        </row>
        <row r="3626">
          <cell r="G3626" t="str">
            <v>Xã Thượng Long</v>
          </cell>
          <cell r="I3626" t="str">
            <v>21715</v>
          </cell>
        </row>
        <row r="3627">
          <cell r="G3627" t="str">
            <v xml:space="preserve">Xã Đồng Thịnh </v>
          </cell>
          <cell r="I3627" t="str">
            <v>21715</v>
          </cell>
        </row>
        <row r="3628">
          <cell r="G3628" t="str">
            <v xml:space="preserve">Xã Minh Hòa   </v>
          </cell>
          <cell r="I3628" t="str">
            <v>21715</v>
          </cell>
        </row>
        <row r="3629">
          <cell r="G3629" t="str">
            <v>Xã Ngọc Lập</v>
          </cell>
          <cell r="I3629" t="str">
            <v>21715</v>
          </cell>
        </row>
        <row r="3630">
          <cell r="G3630" t="str">
            <v>Xã Ngọc Đồng</v>
          </cell>
          <cell r="I3630" t="str">
            <v>21715</v>
          </cell>
        </row>
        <row r="3631">
          <cell r="G3631" t="str">
            <v xml:space="preserve">Xã Xuân Thủy </v>
          </cell>
          <cell r="I3631" t="str">
            <v>21715</v>
          </cell>
        </row>
        <row r="3632">
          <cell r="G3632" t="str">
            <v>Thị trấn Yên Lập</v>
          </cell>
          <cell r="I3632" t="str">
            <v>21715</v>
          </cell>
        </row>
        <row r="3633">
          <cell r="G3633" t="str">
            <v>Xã Xuân Viên</v>
          </cell>
          <cell r="I3633" t="str">
            <v>21715</v>
          </cell>
        </row>
        <row r="3634">
          <cell r="G3634" t="str">
            <v>Xã Nga Hoàng</v>
          </cell>
          <cell r="I3634" t="str">
            <v>21715</v>
          </cell>
        </row>
        <row r="3635">
          <cell r="G3635" t="str">
            <v xml:space="preserve">Xã Phúc Khánh </v>
          </cell>
          <cell r="I3635" t="str">
            <v>21715</v>
          </cell>
        </row>
        <row r="3636">
          <cell r="G3636" t="str">
            <v>Thị trấn Hưng Hoá</v>
          </cell>
          <cell r="I3636" t="str">
            <v>21717</v>
          </cell>
        </row>
        <row r="3637">
          <cell r="G3637" t="str">
            <v>Xã Hiền Quan</v>
          </cell>
          <cell r="I3637" t="str">
            <v>21717</v>
          </cell>
        </row>
        <row r="3638">
          <cell r="G3638" t="str">
            <v>Xã Hương Nha</v>
          </cell>
          <cell r="I3638" t="str">
            <v>21717</v>
          </cell>
        </row>
        <row r="3639">
          <cell r="G3639" t="str">
            <v>Xã Thanh Uyên</v>
          </cell>
          <cell r="I3639" t="str">
            <v>21717</v>
          </cell>
        </row>
        <row r="3640">
          <cell r="G3640" t="str">
            <v>Xã Văn Lương</v>
          </cell>
          <cell r="I3640" t="str">
            <v>21717</v>
          </cell>
        </row>
        <row r="3641">
          <cell r="G3641" t="str">
            <v>Xã Hùng Đô</v>
          </cell>
          <cell r="I3641" t="str">
            <v>21717</v>
          </cell>
        </row>
        <row r="3642">
          <cell r="G3642" t="str">
            <v xml:space="preserve">Xã Tam Cường </v>
          </cell>
          <cell r="I3642" t="str">
            <v>21717</v>
          </cell>
        </row>
        <row r="3643">
          <cell r="G3643" t="str">
            <v>Xã Cổ Tiết</v>
          </cell>
          <cell r="I3643" t="str">
            <v>21717</v>
          </cell>
        </row>
        <row r="3644">
          <cell r="G3644" t="str">
            <v>Xã Quang Húc</v>
          </cell>
          <cell r="I3644" t="str">
            <v>21717</v>
          </cell>
        </row>
        <row r="3645">
          <cell r="G3645" t="str">
            <v>Xã Hương Nộn</v>
          </cell>
          <cell r="I3645" t="str">
            <v>21717</v>
          </cell>
        </row>
        <row r="3646">
          <cell r="G3646" t="str">
            <v>Xã Thọ Văn</v>
          </cell>
          <cell r="I3646" t="str">
            <v>21717</v>
          </cell>
        </row>
        <row r="3647">
          <cell r="G3647" t="str">
            <v>Xã Dậu Dương</v>
          </cell>
          <cell r="I3647" t="str">
            <v>21717</v>
          </cell>
        </row>
        <row r="3648">
          <cell r="G3648" t="str">
            <v xml:space="preserve">Xã Thượng Nông </v>
          </cell>
          <cell r="I3648" t="str">
            <v>21717</v>
          </cell>
        </row>
        <row r="3649">
          <cell r="G3649" t="str">
            <v>Xã Tứ Mỹ</v>
          </cell>
          <cell r="I3649" t="str">
            <v>21717</v>
          </cell>
        </row>
        <row r="3650">
          <cell r="G3650" t="str">
            <v xml:space="preserve">Xã Dị Nậu </v>
          </cell>
          <cell r="I3650" t="str">
            <v>21717</v>
          </cell>
        </row>
        <row r="3651">
          <cell r="G3651" t="str">
            <v>Xã Vực Trường</v>
          </cell>
          <cell r="I3651" t="str">
            <v>21717</v>
          </cell>
        </row>
        <row r="3652">
          <cell r="G3652" t="str">
            <v xml:space="preserve">Xã Xuân Quang  </v>
          </cell>
          <cell r="I3652" t="str">
            <v>21717</v>
          </cell>
        </row>
        <row r="3653">
          <cell r="G3653" t="str">
            <v>Xã Phương Thịnh</v>
          </cell>
          <cell r="I3653" t="str">
            <v>21717</v>
          </cell>
        </row>
        <row r="3654">
          <cell r="G3654" t="str">
            <v>Xã Tề Lễ</v>
          </cell>
          <cell r="I3654" t="str">
            <v>21717</v>
          </cell>
        </row>
        <row r="3655">
          <cell r="G3655" t="str">
            <v>Xã Hồng Đà</v>
          </cell>
          <cell r="I3655" t="str">
            <v>21717</v>
          </cell>
        </row>
        <row r="3656">
          <cell r="G3656" t="str">
            <v>Thị trấn Thanh Sơn</v>
          </cell>
          <cell r="I3656" t="str">
            <v>21719</v>
          </cell>
        </row>
        <row r="3657">
          <cell r="G3657" t="str">
            <v>Xã Sơn Hùng</v>
          </cell>
          <cell r="I3657" t="str">
            <v>21719</v>
          </cell>
        </row>
        <row r="3658">
          <cell r="G3658" t="str">
            <v>Xã Địch Quả</v>
          </cell>
          <cell r="I3658" t="str">
            <v>21719</v>
          </cell>
        </row>
        <row r="3659">
          <cell r="G3659" t="str">
            <v>Xã Giáp Lai</v>
          </cell>
          <cell r="I3659" t="str">
            <v>21719</v>
          </cell>
        </row>
        <row r="3660">
          <cell r="G3660" t="str">
            <v>Xã Thục Luyện</v>
          </cell>
          <cell r="I3660" t="str">
            <v>21719</v>
          </cell>
        </row>
        <row r="3661">
          <cell r="G3661" t="str">
            <v>Xã Võ Miếu</v>
          </cell>
          <cell r="I3661" t="str">
            <v>21719</v>
          </cell>
        </row>
        <row r="3662">
          <cell r="G3662" t="str">
            <v>Xã Tất Thắng</v>
          </cell>
          <cell r="I3662" t="str">
            <v>21719</v>
          </cell>
        </row>
        <row r="3663">
          <cell r="G3663" t="str">
            <v>Xã Cự Đồng</v>
          </cell>
          <cell r="I3663" t="str">
            <v>21719</v>
          </cell>
        </row>
        <row r="3664">
          <cell r="G3664" t="str">
            <v>Xã Hương Cần</v>
          </cell>
          <cell r="I3664" t="str">
            <v>21719</v>
          </cell>
        </row>
        <row r="3665">
          <cell r="G3665" t="str">
            <v>Xã Đông Cửu</v>
          </cell>
          <cell r="I3665" t="str">
            <v>21719</v>
          </cell>
        </row>
        <row r="3666">
          <cell r="G3666" t="str">
            <v xml:space="preserve">Xã Tân Lập        </v>
          </cell>
          <cell r="I3666" t="str">
            <v>21719</v>
          </cell>
        </row>
        <row r="3667">
          <cell r="G3667" t="str">
            <v xml:space="preserve">Xã Yên Lãng </v>
          </cell>
          <cell r="I3667" t="str">
            <v>21719</v>
          </cell>
        </row>
        <row r="3668">
          <cell r="G3668" t="str">
            <v>Xã Thượng Cửu</v>
          </cell>
          <cell r="I3668" t="str">
            <v>21719</v>
          </cell>
        </row>
        <row r="3669">
          <cell r="G3669" t="str">
            <v>Xã Lương Nha</v>
          </cell>
          <cell r="I3669" t="str">
            <v>21719</v>
          </cell>
        </row>
        <row r="3670">
          <cell r="G3670" t="str">
            <v xml:space="preserve">Xã Yên Sơn     </v>
          </cell>
          <cell r="I3670" t="str">
            <v>21719</v>
          </cell>
        </row>
        <row r="3671">
          <cell r="G3671" t="str">
            <v xml:space="preserve">Xã Tân Minh   </v>
          </cell>
          <cell r="I3671" t="str">
            <v>21719</v>
          </cell>
        </row>
        <row r="3672">
          <cell r="G3672" t="str">
            <v>Xã Thạch Khoán</v>
          </cell>
          <cell r="I3672" t="str">
            <v>21719</v>
          </cell>
        </row>
        <row r="3673">
          <cell r="G3673" t="str">
            <v>Xã Cự Thắng</v>
          </cell>
          <cell r="I3673" t="str">
            <v>21719</v>
          </cell>
        </row>
        <row r="3674">
          <cell r="G3674" t="str">
            <v>Xã Văn Miếu</v>
          </cell>
          <cell r="I3674" t="str">
            <v>21719</v>
          </cell>
        </row>
        <row r="3675">
          <cell r="G3675" t="str">
            <v>Xã Thắng Sơn</v>
          </cell>
          <cell r="I3675" t="str">
            <v>21719</v>
          </cell>
        </row>
        <row r="3676">
          <cell r="G3676" t="str">
            <v>Xã Khả Cửu</v>
          </cell>
          <cell r="I3676" t="str">
            <v>21719</v>
          </cell>
        </row>
        <row r="3677">
          <cell r="G3677" t="str">
            <v xml:space="preserve">Xã Yên Lương </v>
          </cell>
          <cell r="I3677" t="str">
            <v>21719</v>
          </cell>
        </row>
        <row r="3678">
          <cell r="G3678" t="str">
            <v>Xã Tinh Nhuệ</v>
          </cell>
          <cell r="I3678" t="str">
            <v>21719</v>
          </cell>
        </row>
        <row r="3679">
          <cell r="G3679" t="str">
            <v xml:space="preserve">Xã Tân Sơn  </v>
          </cell>
          <cell r="I3679" t="str">
            <v>21720</v>
          </cell>
        </row>
        <row r="3680">
          <cell r="G3680" t="str">
            <v xml:space="preserve">Xã Xuân Đài </v>
          </cell>
          <cell r="I3680" t="str">
            <v>21720</v>
          </cell>
        </row>
        <row r="3681">
          <cell r="G3681" t="str">
            <v>Xã Văn Luông</v>
          </cell>
          <cell r="I3681" t="str">
            <v>21720</v>
          </cell>
        </row>
        <row r="3682">
          <cell r="G3682" t="str">
            <v xml:space="preserve">Xã Xuân Sơn </v>
          </cell>
          <cell r="I3682" t="str">
            <v>21720</v>
          </cell>
        </row>
        <row r="3683">
          <cell r="G3683" t="str">
            <v>Xã Long Cốc</v>
          </cell>
          <cell r="I3683" t="str">
            <v>21720</v>
          </cell>
        </row>
        <row r="3684">
          <cell r="G3684" t="str">
            <v>Xã Kim Thượng</v>
          </cell>
          <cell r="I3684" t="str">
            <v>21720</v>
          </cell>
        </row>
        <row r="3685">
          <cell r="G3685" t="str">
            <v xml:space="preserve">Xã Tam Thanh </v>
          </cell>
          <cell r="I3685" t="str">
            <v>21720</v>
          </cell>
        </row>
        <row r="3686">
          <cell r="G3686" t="str">
            <v>Xã Vinh Tiền</v>
          </cell>
          <cell r="I3686" t="str">
            <v>21720</v>
          </cell>
        </row>
        <row r="3687">
          <cell r="G3687" t="str">
            <v xml:space="preserve">Xã Đồng Sơn </v>
          </cell>
          <cell r="I3687" t="str">
            <v>21720</v>
          </cell>
        </row>
        <row r="3688">
          <cell r="G3688" t="str">
            <v>Xã Minh Đài</v>
          </cell>
          <cell r="I3688" t="str">
            <v>21720</v>
          </cell>
        </row>
        <row r="3689">
          <cell r="G3689" t="str">
            <v xml:space="preserve">Xã Tân Phú  </v>
          </cell>
          <cell r="I3689" t="str">
            <v>21720</v>
          </cell>
        </row>
        <row r="3690">
          <cell r="G3690" t="str">
            <v>Xã Thu Cúc</v>
          </cell>
          <cell r="I3690" t="str">
            <v>21720</v>
          </cell>
        </row>
        <row r="3691">
          <cell r="G3691" t="str">
            <v>Xã Thạch Kiệt</v>
          </cell>
          <cell r="I3691" t="str">
            <v>21720</v>
          </cell>
        </row>
        <row r="3692">
          <cell r="G3692" t="str">
            <v>Xã Thu Ngạc</v>
          </cell>
          <cell r="I3692" t="str">
            <v>21720</v>
          </cell>
        </row>
        <row r="3693">
          <cell r="G3693" t="str">
            <v>Xã Kiệt Sơn</v>
          </cell>
          <cell r="I3693" t="str">
            <v>21720</v>
          </cell>
        </row>
        <row r="3694">
          <cell r="G3694" t="str">
            <v>Xã Lai Đồng</v>
          </cell>
          <cell r="I3694" t="str">
            <v>21720</v>
          </cell>
        </row>
        <row r="3695">
          <cell r="G3695" t="str">
            <v xml:space="preserve">Xã Mỹ Thuận </v>
          </cell>
          <cell r="I3695" t="str">
            <v>21720</v>
          </cell>
        </row>
        <row r="3696">
          <cell r="G3696" t="str">
            <v>Xã Bản Nguyên</v>
          </cell>
          <cell r="I3696" t="str">
            <v>21721</v>
          </cell>
        </row>
        <row r="3697">
          <cell r="G3697" t="str">
            <v>Xã Tứ Xã</v>
          </cell>
          <cell r="I3697" t="str">
            <v>21721</v>
          </cell>
        </row>
        <row r="3698">
          <cell r="G3698" t="str">
            <v>Thị trấn Lâm Thao</v>
          </cell>
          <cell r="I3698" t="str">
            <v>21721</v>
          </cell>
        </row>
        <row r="3699">
          <cell r="G3699" t="str">
            <v xml:space="preserve">Thị trấn Hùng Sơn </v>
          </cell>
          <cell r="I3699" t="str">
            <v>21721</v>
          </cell>
        </row>
        <row r="3700">
          <cell r="G3700" t="str">
            <v>Xã Xuân Lũng</v>
          </cell>
          <cell r="I3700" t="str">
            <v>21721</v>
          </cell>
        </row>
        <row r="3701">
          <cell r="G3701" t="str">
            <v>Xã Sơn Vi</v>
          </cell>
          <cell r="I3701" t="str">
            <v>21721</v>
          </cell>
        </row>
        <row r="3702">
          <cell r="G3702" t="str">
            <v>Xã Sơn Dương</v>
          </cell>
          <cell r="I3702" t="str">
            <v>21721</v>
          </cell>
        </row>
        <row r="3703">
          <cell r="G3703" t="str">
            <v>Xã Cao Xá</v>
          </cell>
          <cell r="I3703" t="str">
            <v>21721</v>
          </cell>
        </row>
        <row r="3704">
          <cell r="G3704" t="str">
            <v xml:space="preserve">Xã Vĩnh Lại </v>
          </cell>
          <cell r="I3704" t="str">
            <v>21721</v>
          </cell>
        </row>
        <row r="3705">
          <cell r="G3705" t="str">
            <v>Xã Thạch Sơn</v>
          </cell>
          <cell r="I3705" t="str">
            <v>21721</v>
          </cell>
        </row>
        <row r="3706">
          <cell r="G3706" t="str">
            <v>Xã Tiên Kiên</v>
          </cell>
          <cell r="I3706" t="str">
            <v>21721</v>
          </cell>
        </row>
        <row r="3707">
          <cell r="G3707" t="str">
            <v>Xã Xuân Huy</v>
          </cell>
          <cell r="I3707" t="str">
            <v>21721</v>
          </cell>
        </row>
        <row r="3708">
          <cell r="G3708" t="str">
            <v>Xã Hợp Hải</v>
          </cell>
          <cell r="I3708" t="str">
            <v>21721</v>
          </cell>
        </row>
        <row r="3709">
          <cell r="G3709" t="str">
            <v>Xã Kinh Kệ</v>
          </cell>
          <cell r="I3709" t="str">
            <v>21721</v>
          </cell>
        </row>
        <row r="3710">
          <cell r="G3710" t="str">
            <v xml:space="preserve">Xã Đào Xá </v>
          </cell>
          <cell r="I3710" t="str">
            <v>21723</v>
          </cell>
        </row>
        <row r="3711">
          <cell r="G3711" t="str">
            <v>Xã Xuân Lộc</v>
          </cell>
          <cell r="I3711" t="str">
            <v>21723</v>
          </cell>
        </row>
        <row r="3712">
          <cell r="G3712" t="str">
            <v>Thị trấn Thanh Thuỷ</v>
          </cell>
          <cell r="I3712" t="str">
            <v>21723</v>
          </cell>
        </row>
        <row r="3713">
          <cell r="G3713" t="str">
            <v>Xã Sơn Thủy</v>
          </cell>
          <cell r="I3713" t="str">
            <v>21723</v>
          </cell>
        </row>
        <row r="3714">
          <cell r="G3714" t="str">
            <v>Xã Bảo Yên</v>
          </cell>
          <cell r="I3714" t="str">
            <v>21723</v>
          </cell>
        </row>
        <row r="3715">
          <cell r="G3715" t="str">
            <v>Xã Đồng Luận</v>
          </cell>
          <cell r="I3715" t="str">
            <v>21723</v>
          </cell>
        </row>
        <row r="3716">
          <cell r="G3716" t="str">
            <v>Xã Hoàng Xá</v>
          </cell>
          <cell r="I3716" t="str">
            <v>21723</v>
          </cell>
        </row>
        <row r="3717">
          <cell r="G3717" t="str">
            <v xml:space="preserve">Xã Trung Thịnh </v>
          </cell>
          <cell r="I3717" t="str">
            <v>21723</v>
          </cell>
        </row>
        <row r="3718">
          <cell r="G3718" t="str">
            <v>Xã Phượng Mao</v>
          </cell>
          <cell r="I3718" t="str">
            <v>21723</v>
          </cell>
        </row>
        <row r="3719">
          <cell r="G3719" t="str">
            <v>Xã Tu Vũ</v>
          </cell>
          <cell r="I3719" t="str">
            <v>21723</v>
          </cell>
        </row>
        <row r="3720">
          <cell r="G3720" t="str">
            <v>Xã Thạch Đồng</v>
          </cell>
          <cell r="I3720" t="str">
            <v>21723</v>
          </cell>
        </row>
        <row r="3721">
          <cell r="G3721" t="str">
            <v>Xã Yến Mao</v>
          </cell>
          <cell r="I3721" t="str">
            <v>21723</v>
          </cell>
        </row>
        <row r="3722">
          <cell r="G3722" t="str">
            <v>Xã Tân Phương</v>
          </cell>
          <cell r="I3722" t="str">
            <v>21723</v>
          </cell>
        </row>
        <row r="3723">
          <cell r="G3723" t="str">
            <v>Xã Đoan Hạ</v>
          </cell>
          <cell r="I3723" t="str">
            <v>21723</v>
          </cell>
        </row>
        <row r="3724">
          <cell r="G3724" t="str">
            <v xml:space="preserve">Xã Trung Nghĩa </v>
          </cell>
          <cell r="I3724" t="str">
            <v>21723</v>
          </cell>
        </row>
        <row r="3725">
          <cell r="G3725" t="str">
            <v>Phường Hội Hợp</v>
          </cell>
          <cell r="I3725" t="str">
            <v>21901</v>
          </cell>
        </row>
        <row r="3726">
          <cell r="G3726" t="str">
            <v>Phường Đống Đa</v>
          </cell>
          <cell r="I3726" t="str">
            <v>21901</v>
          </cell>
        </row>
        <row r="3727">
          <cell r="G3727" t="str">
            <v xml:space="preserve">Phường Ngô Quyền  </v>
          </cell>
          <cell r="I3727" t="str">
            <v>21901</v>
          </cell>
        </row>
        <row r="3728">
          <cell r="G3728" t="str">
            <v>Xã Định Trung</v>
          </cell>
          <cell r="I3728" t="str">
            <v>21901</v>
          </cell>
        </row>
        <row r="3729">
          <cell r="G3729" t="str">
            <v>Phường Khai Quang</v>
          </cell>
          <cell r="I3729" t="str">
            <v>21901</v>
          </cell>
        </row>
        <row r="3730">
          <cell r="G3730" t="str">
            <v>Xã Thanh Trù</v>
          </cell>
          <cell r="I3730" t="str">
            <v>21901</v>
          </cell>
        </row>
        <row r="3731">
          <cell r="G3731" t="str">
            <v>Phường Tích Sơn</v>
          </cell>
          <cell r="I3731" t="str">
            <v>21901</v>
          </cell>
        </row>
        <row r="3732">
          <cell r="G3732" t="str">
            <v>Phường Liên Bảo</v>
          </cell>
          <cell r="I3732" t="str">
            <v>21901</v>
          </cell>
        </row>
        <row r="3733">
          <cell r="G3733" t="str">
            <v xml:space="preserve">Phường Đồng Tâm  </v>
          </cell>
          <cell r="I3733" t="str">
            <v>21901</v>
          </cell>
        </row>
        <row r="3734">
          <cell r="G3734" t="str">
            <v xml:space="preserve">Phường Hùng Vương  </v>
          </cell>
          <cell r="I3734" t="str">
            <v>21902</v>
          </cell>
        </row>
        <row r="3735">
          <cell r="G3735" t="str">
            <v>Phường Trưng Nhị</v>
          </cell>
          <cell r="I3735" t="str">
            <v>21902</v>
          </cell>
        </row>
        <row r="3736">
          <cell r="G3736" t="str">
            <v>Phường Xuân Hoà</v>
          </cell>
          <cell r="I3736" t="str">
            <v>21902</v>
          </cell>
        </row>
        <row r="3737">
          <cell r="G3737" t="str">
            <v xml:space="preserve">Xã Cao Minh  </v>
          </cell>
          <cell r="I3737" t="str">
            <v>21902</v>
          </cell>
        </row>
        <row r="3738">
          <cell r="G3738" t="str">
            <v>Xã Nam Viêm</v>
          </cell>
          <cell r="I3738" t="str">
            <v>21902</v>
          </cell>
        </row>
        <row r="3739">
          <cell r="G3739" t="str">
            <v>Xã Tiền Châu</v>
          </cell>
          <cell r="I3739" t="str">
            <v>21902</v>
          </cell>
        </row>
        <row r="3740">
          <cell r="G3740" t="str">
            <v>Phường Phúc Thắng</v>
          </cell>
          <cell r="I3740" t="str">
            <v>21902</v>
          </cell>
        </row>
        <row r="3741">
          <cell r="G3741" t="str">
            <v>Phường Trưng Trắc</v>
          </cell>
          <cell r="I3741" t="str">
            <v>21902</v>
          </cell>
        </row>
        <row r="3742">
          <cell r="G3742" t="str">
            <v xml:space="preserve">Xã Ngọc Thanh </v>
          </cell>
          <cell r="I3742" t="str">
            <v>21902</v>
          </cell>
        </row>
        <row r="3743">
          <cell r="G3743" t="str">
            <v xml:space="preserve">Phường Đồng Xuân </v>
          </cell>
          <cell r="I3743" t="str">
            <v>21902</v>
          </cell>
        </row>
        <row r="3744">
          <cell r="G3744" t="str">
            <v>Xã Đình Chu</v>
          </cell>
          <cell r="I3744" t="str">
            <v>21903</v>
          </cell>
        </row>
        <row r="3745">
          <cell r="G3745" t="str">
            <v>Xã Triệu Đề</v>
          </cell>
          <cell r="I3745" t="str">
            <v>21903</v>
          </cell>
        </row>
        <row r="3746">
          <cell r="G3746" t="str">
            <v xml:space="preserve">Xã Sơn Đông </v>
          </cell>
          <cell r="I3746" t="str">
            <v>21903</v>
          </cell>
        </row>
        <row r="3747">
          <cell r="G3747" t="str">
            <v>Xã Văn Quán</v>
          </cell>
          <cell r="I3747" t="str">
            <v>21903</v>
          </cell>
        </row>
        <row r="3748">
          <cell r="G3748" t="str">
            <v xml:space="preserve">Xã Quang Sơn  </v>
          </cell>
          <cell r="I3748" t="str">
            <v>21903</v>
          </cell>
        </row>
        <row r="3749">
          <cell r="G3749" t="str">
            <v xml:space="preserve">Xã Ngọc Mỹ </v>
          </cell>
          <cell r="I3749" t="str">
            <v>21903</v>
          </cell>
        </row>
        <row r="3750">
          <cell r="G3750" t="str">
            <v xml:space="preserve">Xã Hợp Lý </v>
          </cell>
          <cell r="I3750" t="str">
            <v>21903</v>
          </cell>
        </row>
        <row r="3751">
          <cell r="G3751" t="str">
            <v>Xã Liễn Sơn</v>
          </cell>
          <cell r="I3751" t="str">
            <v>21903</v>
          </cell>
        </row>
        <row r="3752">
          <cell r="G3752" t="str">
            <v xml:space="preserve">Xã Xuân Hòa  </v>
          </cell>
          <cell r="I3752" t="str">
            <v>21903</v>
          </cell>
        </row>
        <row r="3753">
          <cell r="G3753" t="str">
            <v>Xã Tử Du</v>
          </cell>
          <cell r="I3753" t="str">
            <v>21903</v>
          </cell>
        </row>
        <row r="3754">
          <cell r="G3754" t="str">
            <v>Xã Bàn Giản</v>
          </cell>
          <cell r="I3754" t="str">
            <v>21903</v>
          </cell>
        </row>
        <row r="3755">
          <cell r="G3755" t="str">
            <v>Xã Xuân Lôi</v>
          </cell>
          <cell r="I3755" t="str">
            <v>21903</v>
          </cell>
        </row>
        <row r="3756">
          <cell r="G3756" t="str">
            <v>Xã Đồng ích</v>
          </cell>
          <cell r="I3756" t="str">
            <v>21903</v>
          </cell>
        </row>
        <row r="3757">
          <cell r="G3757" t="str">
            <v>Xã Bắc Bình</v>
          </cell>
          <cell r="I3757" t="str">
            <v>21903</v>
          </cell>
        </row>
        <row r="3758">
          <cell r="G3758" t="str">
            <v>Thị trấn Lập Thạch</v>
          </cell>
          <cell r="I3758" t="str">
            <v>21903</v>
          </cell>
        </row>
        <row r="3759">
          <cell r="G3759" t="str">
            <v xml:space="preserve">Xã Thái Hòa   </v>
          </cell>
          <cell r="I3759" t="str">
            <v>21903</v>
          </cell>
        </row>
        <row r="3760">
          <cell r="G3760" t="str">
            <v xml:space="preserve">Xã Liên Hòa 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>Xã An Hòa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Hoà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Xã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Hoài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Hoà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Hoà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Xã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>Phường Đức Chính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>Phường Xuân Sơn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>Phường Kim Sơn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Phường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Phường Hưng Đạo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Phường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Lếch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Xã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Liệp Muội</v>
          </cell>
          <cell r="I4660" t="str">
            <v>30303</v>
          </cell>
        </row>
        <row r="4661">
          <cell r="G4661" t="str">
            <v>Xã Chiềng Khoang</v>
          </cell>
          <cell r="I4661" t="str">
            <v>30303</v>
          </cell>
        </row>
        <row r="4662">
          <cell r="G4662" t="str">
            <v>Xã Chiềng ơn</v>
          </cell>
          <cell r="I4662" t="str">
            <v>30303</v>
          </cell>
        </row>
        <row r="4663">
          <cell r="G4663" t="str">
            <v>Xã Mường Chiên</v>
          </cell>
          <cell r="I4663" t="str">
            <v>30303</v>
          </cell>
        </row>
        <row r="4664">
          <cell r="G4664" t="str">
            <v>Xã Chiềng Khay</v>
          </cell>
          <cell r="I4664" t="str">
            <v>30303</v>
          </cell>
        </row>
        <row r="4665">
          <cell r="G4665" t="str">
            <v>Xã Mường Giôn</v>
          </cell>
          <cell r="I4665" t="str">
            <v>30303</v>
          </cell>
        </row>
        <row r="4666">
          <cell r="G4666" t="str">
            <v>Xã Pha Khinh</v>
          </cell>
          <cell r="I4666" t="str">
            <v>30303</v>
          </cell>
        </row>
        <row r="4667">
          <cell r="G4667" t="str">
            <v>Xã Cà Nàng</v>
          </cell>
          <cell r="I4667" t="str">
            <v>30303</v>
          </cell>
        </row>
        <row r="4668">
          <cell r="G4668" t="str">
            <v>Xã Pắc Ma</v>
          </cell>
          <cell r="I4668" t="str">
            <v>30303</v>
          </cell>
        </row>
        <row r="4669">
          <cell r="G4669" t="str">
            <v>Xã ít Ong</v>
          </cell>
          <cell r="I4669" t="str">
            <v>30305</v>
          </cell>
        </row>
        <row r="4670">
          <cell r="G4670" t="str">
            <v>Xã Nậm Giôn</v>
          </cell>
          <cell r="I4670" t="str">
            <v>30305</v>
          </cell>
        </row>
        <row r="4671">
          <cell r="G4671" t="str">
            <v>Xã Chiềng Lao</v>
          </cell>
          <cell r="I4671" t="str">
            <v>30305</v>
          </cell>
        </row>
        <row r="4672">
          <cell r="G4672" t="str">
            <v>Xã Hua Trai</v>
          </cell>
          <cell r="I4672" t="str">
            <v>30305</v>
          </cell>
        </row>
        <row r="4673">
          <cell r="G4673" t="str">
            <v>Xã Ngọc Chiến</v>
          </cell>
          <cell r="I4673" t="str">
            <v>30305</v>
          </cell>
        </row>
        <row r="4674">
          <cell r="G4674" t="str">
            <v>Xã Nậm Păm</v>
          </cell>
          <cell r="I4674" t="str">
            <v>30305</v>
          </cell>
        </row>
        <row r="4675">
          <cell r="G4675" t="str">
            <v>Xã Chiềng Muôn</v>
          </cell>
          <cell r="I4675" t="str">
            <v>30305</v>
          </cell>
        </row>
        <row r="4676">
          <cell r="G4676" t="str">
            <v>Xã Chiềng Ân</v>
          </cell>
          <cell r="I4676" t="str">
            <v>30305</v>
          </cell>
        </row>
        <row r="4677">
          <cell r="G4677" t="str">
            <v>Xã Pi Toong</v>
          </cell>
          <cell r="I4677" t="str">
            <v>30305</v>
          </cell>
        </row>
        <row r="4678">
          <cell r="G4678" t="str">
            <v>Xã Tạ Bú</v>
          </cell>
          <cell r="I4678" t="str">
            <v>30305</v>
          </cell>
        </row>
        <row r="4679">
          <cell r="G4679" t="str">
            <v>Xã Chiềng San</v>
          </cell>
          <cell r="I4679" t="str">
            <v>30305</v>
          </cell>
        </row>
        <row r="4680">
          <cell r="G4680" t="str">
            <v>Xã Mường Bú</v>
          </cell>
          <cell r="I4680" t="str">
            <v>30305</v>
          </cell>
        </row>
        <row r="4681">
          <cell r="G4681" t="str">
            <v>Xã Mường Chùm</v>
          </cell>
          <cell r="I4681" t="str">
            <v>30305</v>
          </cell>
        </row>
        <row r="4682">
          <cell r="G4682" t="str">
            <v>Xã Mường Trai</v>
          </cell>
          <cell r="I4682" t="str">
            <v>30305</v>
          </cell>
        </row>
        <row r="4683">
          <cell r="G4683" t="str">
            <v>Xã Chiềng Công</v>
          </cell>
          <cell r="I4683" t="str">
            <v>30305</v>
          </cell>
        </row>
        <row r="4684">
          <cell r="G4684" t="str">
            <v>Xã Chiềng Hoa</v>
          </cell>
          <cell r="I4684" t="str">
            <v>30305</v>
          </cell>
        </row>
        <row r="4685">
          <cell r="G4685" t="str">
            <v>Xã Phỏng Lái</v>
          </cell>
          <cell r="I4685" t="str">
            <v>30307</v>
          </cell>
        </row>
        <row r="4686">
          <cell r="G4686" t="str">
            <v>Xã Chiềng Pha</v>
          </cell>
          <cell r="I4686" t="str">
            <v>30307</v>
          </cell>
        </row>
        <row r="4687">
          <cell r="G4687" t="str">
            <v>Xã Chiềng La</v>
          </cell>
          <cell r="I4687" t="str">
            <v>30307</v>
          </cell>
        </row>
        <row r="4688">
          <cell r="G4688" t="str">
            <v>Xã Liệp Tè</v>
          </cell>
          <cell r="I4688" t="str">
            <v>30307</v>
          </cell>
        </row>
        <row r="4689">
          <cell r="G4689" t="str">
            <v>Xã é Tòng</v>
          </cell>
          <cell r="I4689" t="str">
            <v>30307</v>
          </cell>
        </row>
        <row r="4690">
          <cell r="G4690" t="str">
            <v>Xã Phỏng Lập</v>
          </cell>
          <cell r="I4690" t="str">
            <v>30307</v>
          </cell>
        </row>
        <row r="4691">
          <cell r="G4691" t="str">
            <v>Xã Chiềng Ly</v>
          </cell>
          <cell r="I4691" t="str">
            <v>30307</v>
          </cell>
        </row>
        <row r="4692">
          <cell r="G4692" t="str">
            <v>Xã Nong Lay</v>
          </cell>
          <cell r="I4692" t="str">
            <v>30307</v>
          </cell>
        </row>
        <row r="4693">
          <cell r="G4693" t="str">
            <v>Xã Mường Khiêng</v>
          </cell>
          <cell r="I4693" t="str">
            <v>30307</v>
          </cell>
        </row>
        <row r="4694">
          <cell r="G4694" t="str">
            <v>Xã Chiềng Bôm</v>
          </cell>
          <cell r="I4694" t="str">
            <v>30307</v>
          </cell>
        </row>
        <row r="4695">
          <cell r="G4695" t="str">
            <v>Xã Thôn Mòn</v>
          </cell>
          <cell r="I4695" t="str">
            <v>30307</v>
          </cell>
        </row>
        <row r="4696">
          <cell r="G4696" t="str">
            <v>Xã Tông Cọ</v>
          </cell>
          <cell r="I4696" t="str">
            <v>30307</v>
          </cell>
        </row>
        <row r="4697">
          <cell r="G4697" t="str">
            <v>Xã Bó Mười</v>
          </cell>
          <cell r="I4697" t="str">
            <v>30307</v>
          </cell>
        </row>
        <row r="4698">
          <cell r="G4698" t="str">
            <v>Xã Co Mạ</v>
          </cell>
          <cell r="I4698" t="str">
            <v>30307</v>
          </cell>
        </row>
        <row r="4699">
          <cell r="G4699" t="str">
            <v>Xã Chiềng Pấc</v>
          </cell>
          <cell r="I4699" t="str">
            <v>30307</v>
          </cell>
        </row>
        <row r="4700">
          <cell r="G4700" t="str">
            <v>Xã Nậm Lầu</v>
          </cell>
          <cell r="I4700" t="str">
            <v>30307</v>
          </cell>
        </row>
        <row r="4701">
          <cell r="G4701" t="str">
            <v>Xã Muổi Nọi</v>
          </cell>
          <cell r="I4701" t="str">
            <v>30307</v>
          </cell>
        </row>
        <row r="4702">
          <cell r="G4702" t="str">
            <v>Xã Pá Lông</v>
          </cell>
          <cell r="I4702" t="str">
            <v>30307</v>
          </cell>
        </row>
        <row r="4703">
          <cell r="G4703" t="str">
            <v>Xã Mường é</v>
          </cell>
          <cell r="I4703" t="str">
            <v>30307</v>
          </cell>
        </row>
        <row r="4704">
          <cell r="G4704" t="str">
            <v>Xã Long Hẹ</v>
          </cell>
          <cell r="I4704" t="str">
            <v>30307</v>
          </cell>
        </row>
        <row r="4705">
          <cell r="G4705" t="str">
            <v>Xã Bon Phặng</v>
          </cell>
          <cell r="I4705" t="str">
            <v>30307</v>
          </cell>
        </row>
        <row r="4706">
          <cell r="G4706" t="str">
            <v>Thị trấn Thuận Châu</v>
          </cell>
          <cell r="I4706" t="str">
            <v>30307</v>
          </cell>
        </row>
        <row r="4707">
          <cell r="G4707" t="str">
            <v>Xã Chiềng Ngàm</v>
          </cell>
          <cell r="I4707" t="str">
            <v>30307</v>
          </cell>
        </row>
        <row r="4708">
          <cell r="G4708" t="str">
            <v>Xã Phổng Lăng</v>
          </cell>
          <cell r="I4708" t="str">
            <v>30307</v>
          </cell>
        </row>
        <row r="4709">
          <cell r="G4709" t="str">
            <v>Xã Mường Bám</v>
          </cell>
          <cell r="I4709" t="str">
            <v>30307</v>
          </cell>
        </row>
        <row r="4710">
          <cell r="G4710" t="str">
            <v>Xã Tông Lạnh</v>
          </cell>
          <cell r="I4710" t="str">
            <v>30307</v>
          </cell>
        </row>
        <row r="4711">
          <cell r="G4711" t="str">
            <v>Xã Púng Tra</v>
          </cell>
          <cell r="I4711" t="str">
            <v>30307</v>
          </cell>
        </row>
        <row r="4712">
          <cell r="G4712" t="str">
            <v>Xã Co Tòng</v>
          </cell>
          <cell r="I4712" t="str">
            <v>30307</v>
          </cell>
        </row>
        <row r="4713">
          <cell r="G4713" t="str">
            <v>Xã Bản Lầm</v>
          </cell>
          <cell r="I4713" t="str">
            <v>30307</v>
          </cell>
        </row>
        <row r="4714">
          <cell r="G4714" t="str">
            <v>Thị trấn Bắc Yên</v>
          </cell>
          <cell r="I4714" t="str">
            <v>30309</v>
          </cell>
        </row>
        <row r="4715">
          <cell r="G4715" t="str">
            <v>Xã Phiêng Ban</v>
          </cell>
          <cell r="I4715" t="str">
            <v>30309</v>
          </cell>
        </row>
        <row r="4716">
          <cell r="G4716" t="str">
            <v>Xã Hang Chú</v>
          </cell>
          <cell r="I4716" t="str">
            <v>30309</v>
          </cell>
        </row>
        <row r="4717">
          <cell r="G4717" t="str">
            <v>Xã Tà Xùa</v>
          </cell>
          <cell r="I4717" t="str">
            <v>30309</v>
          </cell>
        </row>
        <row r="4718">
          <cell r="G4718" t="str">
            <v>Xã Làng Chếu</v>
          </cell>
          <cell r="I4718" t="str">
            <v>30309</v>
          </cell>
        </row>
        <row r="4719">
          <cell r="G4719" t="str">
            <v xml:space="preserve">Xã Mường Khoa </v>
          </cell>
          <cell r="I4719" t="str">
            <v>30309</v>
          </cell>
        </row>
        <row r="4720">
          <cell r="G4720" t="str">
            <v>Xã Song Pe</v>
          </cell>
          <cell r="I4720" t="str">
            <v>30309</v>
          </cell>
        </row>
        <row r="4721">
          <cell r="G4721" t="str">
            <v>Xã Hồng Ngài</v>
          </cell>
          <cell r="I4721" t="str">
            <v>30309</v>
          </cell>
        </row>
        <row r="4722">
          <cell r="G4722" t="str">
            <v>Xã Phiêng Côn</v>
          </cell>
          <cell r="I4722" t="str">
            <v>30309</v>
          </cell>
        </row>
        <row r="4723">
          <cell r="G4723" t="str">
            <v>Xã Chiềng Sại</v>
          </cell>
          <cell r="I4723" t="str">
            <v>30309</v>
          </cell>
        </row>
        <row r="4724">
          <cell r="G4724" t="str">
            <v>Xã Pắc Ngà</v>
          </cell>
          <cell r="I4724" t="str">
            <v>30309</v>
          </cell>
        </row>
        <row r="4725">
          <cell r="G4725" t="str">
            <v>Xã Xím Vàng</v>
          </cell>
          <cell r="I4725" t="str">
            <v>30309</v>
          </cell>
        </row>
        <row r="4726">
          <cell r="G4726" t="str">
            <v>Xã Chim Vàn</v>
          </cell>
          <cell r="I4726" t="str">
            <v>30309</v>
          </cell>
        </row>
        <row r="4727">
          <cell r="G4727" t="str">
            <v>Xã Tạ Khoa</v>
          </cell>
          <cell r="I4727" t="str">
            <v>30309</v>
          </cell>
        </row>
        <row r="4728">
          <cell r="G4728" t="str">
            <v>Xã Hua Nhàn</v>
          </cell>
          <cell r="I4728" t="str">
            <v>30309</v>
          </cell>
        </row>
        <row r="4729">
          <cell r="G4729" t="str">
            <v>Xã Háng Đồng</v>
          </cell>
          <cell r="I4729" t="str">
            <v>30309</v>
          </cell>
        </row>
        <row r="4730">
          <cell r="G4730" t="str">
            <v>Thị trấn Phù Yên</v>
          </cell>
          <cell r="I4730" t="str">
            <v>30311</v>
          </cell>
        </row>
        <row r="4731">
          <cell r="G4731" t="str">
            <v>Xã Mường Thải</v>
          </cell>
          <cell r="I4731" t="str">
            <v>30311</v>
          </cell>
        </row>
        <row r="4732">
          <cell r="G4732" t="str">
            <v>Xã Mường Cơi</v>
          </cell>
          <cell r="I4732" t="str">
            <v>30311</v>
          </cell>
        </row>
        <row r="4733">
          <cell r="G4733" t="str">
            <v>Xã Quang Huy</v>
          </cell>
          <cell r="I4733" t="str">
            <v>30311</v>
          </cell>
        </row>
        <row r="4734">
          <cell r="G4734" t="str">
            <v>Xã Huy Thượng</v>
          </cell>
          <cell r="I4734" t="str">
            <v>30311</v>
          </cell>
        </row>
        <row r="4735">
          <cell r="G4735" t="str">
            <v xml:space="preserve">Xã Tân Lang </v>
          </cell>
          <cell r="I4735" t="str">
            <v>30311</v>
          </cell>
        </row>
        <row r="4736">
          <cell r="G4736" t="str">
            <v>Xâ Gia Phù</v>
          </cell>
          <cell r="I4736" t="str">
            <v>30311</v>
          </cell>
        </row>
        <row r="4737">
          <cell r="G4737" t="str">
            <v>Xã Huy Hạ</v>
          </cell>
          <cell r="I4737" t="str">
            <v>30311</v>
          </cell>
        </row>
        <row r="4738">
          <cell r="G4738" t="str">
            <v>Xã Huy Tân</v>
          </cell>
          <cell r="I4738" t="str">
            <v>30311</v>
          </cell>
        </row>
        <row r="4739">
          <cell r="G4739" t="str">
            <v>Xã Mường Lang</v>
          </cell>
          <cell r="I4739" t="str">
            <v>30311</v>
          </cell>
        </row>
        <row r="4740">
          <cell r="G4740" t="str">
            <v>Xã Suối Bau</v>
          </cell>
          <cell r="I4740" t="str">
            <v>30311</v>
          </cell>
        </row>
        <row r="4741">
          <cell r="G4741" t="str">
            <v>Xã Mường Do</v>
          </cell>
          <cell r="I4741" t="str">
            <v>30311</v>
          </cell>
        </row>
        <row r="4742">
          <cell r="G4742" t="str">
            <v>Xã Sập Xa</v>
          </cell>
          <cell r="I4742" t="str">
            <v>30311</v>
          </cell>
        </row>
        <row r="4743">
          <cell r="G4743" t="str">
            <v>Xã Tường Thượng</v>
          </cell>
          <cell r="I4743" t="str">
            <v>30311</v>
          </cell>
        </row>
        <row r="4744">
          <cell r="G4744" t="str">
            <v>Xã Tường Phong</v>
          </cell>
          <cell r="I4744" t="str">
            <v>30311</v>
          </cell>
        </row>
        <row r="4745">
          <cell r="G4745" t="str">
            <v>Xã Tường Hạ</v>
          </cell>
          <cell r="I4745" t="str">
            <v>30311</v>
          </cell>
        </row>
        <row r="4746">
          <cell r="G4746" t="str">
            <v>Xã Kim Bon</v>
          </cell>
          <cell r="I4746" t="str">
            <v>30311</v>
          </cell>
        </row>
        <row r="4747">
          <cell r="G4747" t="str">
            <v>Xá Mường Bang</v>
          </cell>
          <cell r="I4747" t="str">
            <v>30311</v>
          </cell>
        </row>
        <row r="4748">
          <cell r="G4748" t="str">
            <v xml:space="preserve">Xã Tân Phong    </v>
          </cell>
          <cell r="I4748" t="str">
            <v>30311</v>
          </cell>
        </row>
        <row r="4749">
          <cell r="G4749" t="str">
            <v xml:space="preserve">Xã Nam Phong  </v>
          </cell>
          <cell r="I4749" t="str">
            <v>30311</v>
          </cell>
        </row>
        <row r="4750">
          <cell r="G4750" t="str">
            <v>Xã Suối Tọ</v>
          </cell>
          <cell r="I4750" t="str">
            <v>30311</v>
          </cell>
        </row>
        <row r="4751">
          <cell r="G4751" t="str">
            <v>Xã Huy Bắc</v>
          </cell>
          <cell r="I4751" t="str">
            <v>30311</v>
          </cell>
        </row>
        <row r="4752">
          <cell r="G4752" t="str">
            <v>Xã Tường Phù</v>
          </cell>
          <cell r="I4752" t="str">
            <v>30311</v>
          </cell>
        </row>
        <row r="4753">
          <cell r="G4753" t="str">
            <v>Xã Huy Tường</v>
          </cell>
          <cell r="I4753" t="str">
            <v>30311</v>
          </cell>
        </row>
        <row r="4754">
          <cell r="G4754" t="str">
            <v>Xã Tường Tiến</v>
          </cell>
          <cell r="I4754" t="str">
            <v>30311</v>
          </cell>
        </row>
        <row r="4755">
          <cell r="G4755" t="str">
            <v>Xã Đá Đỏ</v>
          </cell>
          <cell r="I4755" t="str">
            <v>30311</v>
          </cell>
        </row>
        <row r="4756">
          <cell r="G4756" t="str">
            <v>Xã Bắc Phong</v>
          </cell>
          <cell r="I4756" t="str">
            <v>30311</v>
          </cell>
        </row>
        <row r="4757">
          <cell r="G4757" t="str">
            <v>Xã Chiềng Sung</v>
          </cell>
          <cell r="I4757" t="str">
            <v>30313</v>
          </cell>
        </row>
        <row r="4758">
          <cell r="G4758" t="str">
            <v>Xã Mường Bằng</v>
          </cell>
          <cell r="I4758" t="str">
            <v>30313</v>
          </cell>
        </row>
        <row r="4759">
          <cell r="G4759" t="str">
            <v>Xã Mương Tranh</v>
          </cell>
          <cell r="I4759" t="str">
            <v>30313</v>
          </cell>
        </row>
        <row r="4760">
          <cell r="G4760" t="str">
            <v>Xã Chiềng Mung</v>
          </cell>
          <cell r="I4760" t="str">
            <v>30313</v>
          </cell>
        </row>
        <row r="4761">
          <cell r="G4761" t="str">
            <v>Xã Mường Bon</v>
          </cell>
          <cell r="I4761" t="str">
            <v>30313</v>
          </cell>
        </row>
        <row r="4762">
          <cell r="G4762" t="str">
            <v>Xã Chiềng Chung</v>
          </cell>
          <cell r="I4762" t="str">
            <v>30313</v>
          </cell>
        </row>
        <row r="4763">
          <cell r="G4763" t="str">
            <v>Xã Hát Lót</v>
          </cell>
          <cell r="I4763" t="str">
            <v>30313</v>
          </cell>
        </row>
        <row r="4764">
          <cell r="G4764" t="str">
            <v>Xã Cò Nòi</v>
          </cell>
          <cell r="I4764" t="str">
            <v>30313</v>
          </cell>
        </row>
        <row r="4765">
          <cell r="G4765" t="str">
            <v>Xã Chiềng Nơi</v>
          </cell>
          <cell r="I4765" t="str">
            <v>30313</v>
          </cell>
        </row>
        <row r="4766">
          <cell r="G4766" t="str">
            <v>Xã Chiềng Dong</v>
          </cell>
          <cell r="I4766" t="str">
            <v>30313</v>
          </cell>
        </row>
        <row r="4767">
          <cell r="G4767" t="str">
            <v>Xã Chiềng Kheo</v>
          </cell>
          <cell r="I4767" t="str">
            <v>30313</v>
          </cell>
        </row>
        <row r="4768">
          <cell r="G4768" t="str">
            <v>Xã Phiêng Pằn</v>
          </cell>
          <cell r="I4768" t="str">
            <v>30313</v>
          </cell>
        </row>
        <row r="4769">
          <cell r="G4769" t="str">
            <v>Xã Nà ơt</v>
          </cell>
          <cell r="I4769" t="str">
            <v>30313</v>
          </cell>
        </row>
        <row r="4770">
          <cell r="G4770" t="str">
            <v>Xã Tà Hộc</v>
          </cell>
          <cell r="I4770" t="str">
            <v>30313</v>
          </cell>
        </row>
        <row r="4771">
          <cell r="G4771" t="str">
            <v>Xã Chiềng Chăn</v>
          </cell>
          <cell r="I4771" t="str">
            <v>30313</v>
          </cell>
        </row>
        <row r="4772">
          <cell r="G4772" t="str">
            <v>Xã Chiềng Ve</v>
          </cell>
          <cell r="I4772" t="str">
            <v>30313</v>
          </cell>
        </row>
        <row r="4773">
          <cell r="G4773" t="str">
            <v>Thị trấn Hát Lót</v>
          </cell>
          <cell r="I4773" t="str">
            <v>30313</v>
          </cell>
        </row>
        <row r="4774">
          <cell r="G4774" t="str">
            <v>Xã Chiềng Ban</v>
          </cell>
          <cell r="I4774" t="str">
            <v>30313</v>
          </cell>
        </row>
        <row r="4775">
          <cell r="G4775" t="str">
            <v>Xã Chiềng Mai</v>
          </cell>
          <cell r="I4775" t="str">
            <v>30313</v>
          </cell>
        </row>
        <row r="4776">
          <cell r="G4776" t="str">
            <v>Xã Phiêng Cằm</v>
          </cell>
          <cell r="I4776" t="str">
            <v>30313</v>
          </cell>
        </row>
        <row r="4777">
          <cell r="G4777" t="str">
            <v>Xã Chiềng Lương</v>
          </cell>
          <cell r="I4777" t="str">
            <v>30313</v>
          </cell>
        </row>
        <row r="4778">
          <cell r="G4778" t="str">
            <v>Xã Nà Bó</v>
          </cell>
          <cell r="I4778" t="str">
            <v>30313</v>
          </cell>
        </row>
        <row r="4779">
          <cell r="G4779" t="str">
            <v>Thị trấn Sông Mã</v>
          </cell>
          <cell r="I4779" t="str">
            <v>30315</v>
          </cell>
        </row>
        <row r="4780">
          <cell r="G4780" t="str">
            <v>Xã Pú Pẩu</v>
          </cell>
          <cell r="I4780" t="str">
            <v>30315</v>
          </cell>
        </row>
        <row r="4781">
          <cell r="G4781" t="str">
            <v>Xã Chiềng Phung</v>
          </cell>
          <cell r="I4781" t="str">
            <v>30315</v>
          </cell>
        </row>
        <row r="4782">
          <cell r="G4782" t="str">
            <v>Xã Mường Lầm</v>
          </cell>
          <cell r="I4782" t="str">
            <v>30315</v>
          </cell>
        </row>
        <row r="4783">
          <cell r="G4783" t="str">
            <v>Xã Nậm Ty</v>
          </cell>
          <cell r="I4783" t="str">
            <v>30315</v>
          </cell>
        </row>
        <row r="4784">
          <cell r="G4784" t="str">
            <v xml:space="preserve">Xã Chiềng Sơ </v>
          </cell>
          <cell r="I4784" t="str">
            <v>30315</v>
          </cell>
        </row>
        <row r="4785">
          <cell r="G4785" t="str">
            <v>Xã Nà Nghịu</v>
          </cell>
          <cell r="I4785" t="str">
            <v>30315</v>
          </cell>
        </row>
        <row r="4786">
          <cell r="G4786" t="str">
            <v>Xã Nậm Mằn</v>
          </cell>
          <cell r="I4786" t="str">
            <v>30315</v>
          </cell>
        </row>
        <row r="4787">
          <cell r="G4787" t="str">
            <v>Xã Chiềng Cang</v>
          </cell>
          <cell r="I4787" t="str">
            <v>30315</v>
          </cell>
        </row>
        <row r="4788">
          <cell r="G4788" t="str">
            <v>Xã Huổi Một</v>
          </cell>
          <cell r="I4788" t="str">
            <v>30315</v>
          </cell>
        </row>
        <row r="4789">
          <cell r="G4789" t="str">
            <v>Xã Mường Sai</v>
          </cell>
          <cell r="I4789" t="str">
            <v>30315</v>
          </cell>
        </row>
        <row r="4790">
          <cell r="G4790" t="str">
            <v>Xã Mường Cai</v>
          </cell>
          <cell r="I4790" t="str">
            <v>30315</v>
          </cell>
        </row>
        <row r="4791">
          <cell r="G4791" t="str">
            <v>Xã Đứa Mòn</v>
          </cell>
          <cell r="I4791" t="str">
            <v>30315</v>
          </cell>
        </row>
        <row r="4792">
          <cell r="G4792" t="str">
            <v>Xã Chiềng Khương</v>
          </cell>
          <cell r="I4792" t="str">
            <v>30315</v>
          </cell>
        </row>
        <row r="4793">
          <cell r="G4793" t="str">
            <v>Xã Bó Sinh</v>
          </cell>
          <cell r="I4793" t="str">
            <v>30315</v>
          </cell>
        </row>
        <row r="4794">
          <cell r="G4794" t="str">
            <v>Xã Chiềng En</v>
          </cell>
          <cell r="I4794" t="str">
            <v>30315</v>
          </cell>
        </row>
        <row r="4795">
          <cell r="G4795" t="str">
            <v xml:space="preserve">Xã Yên Hưng   </v>
          </cell>
          <cell r="I4795" t="str">
            <v>30315</v>
          </cell>
        </row>
        <row r="4796">
          <cell r="G4796" t="str">
            <v>Xã Chiềng Khoong</v>
          </cell>
          <cell r="I4796" t="str">
            <v>30315</v>
          </cell>
        </row>
        <row r="4797">
          <cell r="G4797" t="str">
            <v>Xã Mường Hung</v>
          </cell>
          <cell r="I4797" t="str">
            <v>30315</v>
          </cell>
        </row>
        <row r="4798">
          <cell r="G4798" t="str">
            <v>Xã Chiềng Sàng</v>
          </cell>
          <cell r="I4798" t="str">
            <v>30317</v>
          </cell>
        </row>
        <row r="4799">
          <cell r="G4799" t="str">
            <v>Xã Chiềng Pằn</v>
          </cell>
          <cell r="I4799" t="str">
            <v>30317</v>
          </cell>
        </row>
        <row r="4800">
          <cell r="G4800" t="str">
            <v>Xã Viêng Lán</v>
          </cell>
          <cell r="I4800" t="str">
            <v>30317</v>
          </cell>
        </row>
        <row r="4801">
          <cell r="G4801" t="str">
            <v>Xã Chiềng Hặc</v>
          </cell>
          <cell r="I4801" t="str">
            <v>30317</v>
          </cell>
        </row>
        <row r="4802">
          <cell r="G4802" t="str">
            <v>Xã Mường Lựm</v>
          </cell>
          <cell r="I4802" t="str">
            <v>30317</v>
          </cell>
        </row>
        <row r="4803">
          <cell r="G4803" t="str">
            <v xml:space="preserve">Xã Yên Sơn       </v>
          </cell>
          <cell r="I4803" t="str">
            <v>30317</v>
          </cell>
        </row>
        <row r="4804">
          <cell r="G4804" t="str">
            <v>Xã Chiềng Khoi</v>
          </cell>
          <cell r="I4804" t="str">
            <v>30317</v>
          </cell>
        </row>
        <row r="4805">
          <cell r="G4805" t="str">
            <v>Xã Tú Nang</v>
          </cell>
          <cell r="I4805" t="str">
            <v>30317</v>
          </cell>
        </row>
        <row r="4806">
          <cell r="G4806" t="str">
            <v>Xã Lóng Phiêng</v>
          </cell>
          <cell r="I4806" t="str">
            <v>30317</v>
          </cell>
        </row>
        <row r="4807">
          <cell r="G4807" t="str">
            <v>Xã Phiêng Khoài</v>
          </cell>
          <cell r="I4807" t="str">
            <v>30317</v>
          </cell>
        </row>
        <row r="4808">
          <cell r="G4808" t="str">
            <v>Xã Chiềng Tương</v>
          </cell>
          <cell r="I4808" t="str">
            <v>30317</v>
          </cell>
        </row>
        <row r="4809">
          <cell r="G4809" t="str">
            <v>Xã Sập Vạt</v>
          </cell>
          <cell r="I4809" t="str">
            <v>30317</v>
          </cell>
        </row>
        <row r="4810">
          <cell r="G4810" t="str">
            <v>Thị trấn Yên Châu</v>
          </cell>
          <cell r="I4810" t="str">
            <v>30317</v>
          </cell>
        </row>
        <row r="4811">
          <cell r="G4811" t="str">
            <v>Xã Chiềng On</v>
          </cell>
          <cell r="I4811" t="str">
            <v>30317</v>
          </cell>
        </row>
        <row r="4812">
          <cell r="G4812" t="str">
            <v xml:space="preserve">Xã Chiềng Đông </v>
          </cell>
          <cell r="I4812" t="str">
            <v>30317</v>
          </cell>
        </row>
        <row r="4813">
          <cell r="G4813" t="str">
            <v>Thị trấn Mộc Châu</v>
          </cell>
          <cell r="I4813" t="str">
            <v>30319</v>
          </cell>
        </row>
        <row r="4814">
          <cell r="G4814" t="str">
            <v>Xã Chiềng Sơn</v>
          </cell>
          <cell r="I4814" t="str">
            <v>30319</v>
          </cell>
        </row>
        <row r="4815">
          <cell r="G4815" t="str">
            <v xml:space="preserve">Xã Tân Hợp </v>
          </cell>
          <cell r="I4815" t="str">
            <v>30319</v>
          </cell>
        </row>
        <row r="4816">
          <cell r="G4816" t="str">
            <v>Xã Qui Hướng</v>
          </cell>
          <cell r="I4816" t="str">
            <v>30319</v>
          </cell>
        </row>
        <row r="4817">
          <cell r="G4817" t="str">
            <v>Xã Tà Lại</v>
          </cell>
          <cell r="I4817" t="str">
            <v>30319</v>
          </cell>
        </row>
        <row r="4818">
          <cell r="G4818" t="str">
            <v>Xã Chiềng Hắc</v>
          </cell>
          <cell r="I4818" t="str">
            <v>30319</v>
          </cell>
        </row>
        <row r="4819">
          <cell r="G4819" t="str">
            <v>Xã Hua Păng</v>
          </cell>
          <cell r="I4819" t="str">
            <v>30319</v>
          </cell>
        </row>
        <row r="4820">
          <cell r="G4820" t="str">
            <v>Xã Chiềng Khứa</v>
          </cell>
          <cell r="I4820" t="str">
            <v>30319</v>
          </cell>
        </row>
        <row r="4821">
          <cell r="G4821" t="str">
            <v>Xã Mường Sang</v>
          </cell>
          <cell r="I4821" t="str">
            <v>30319</v>
          </cell>
        </row>
        <row r="4822">
          <cell r="G4822" t="str">
            <v>Xã Lóng Sập</v>
          </cell>
          <cell r="I4822" t="str">
            <v>30319</v>
          </cell>
        </row>
        <row r="4823">
          <cell r="G4823" t="str">
            <v>Xã Nà Mường</v>
          </cell>
          <cell r="I4823" t="str">
            <v>30319</v>
          </cell>
        </row>
        <row r="4824">
          <cell r="G4824" t="str">
            <v xml:space="preserve">Xã Phiêng Luông </v>
          </cell>
          <cell r="I4824" t="str">
            <v>30319</v>
          </cell>
        </row>
        <row r="4825">
          <cell r="G4825" t="str">
            <v>Thị trấn NT Mộc Châu</v>
          </cell>
          <cell r="I4825" t="str">
            <v>30319</v>
          </cell>
        </row>
        <row r="4826">
          <cell r="G4826" t="str">
            <v xml:space="preserve">Xã Tân Lập            </v>
          </cell>
          <cell r="I4826" t="str">
            <v>30319</v>
          </cell>
        </row>
        <row r="4827">
          <cell r="G4827" t="str">
            <v>Xã Đông Sang</v>
          </cell>
          <cell r="I4827" t="str">
            <v>30319</v>
          </cell>
        </row>
        <row r="4828">
          <cell r="G4828" t="str">
            <v>Xã Sam Kha</v>
          </cell>
          <cell r="I4828" t="str">
            <v>30321</v>
          </cell>
        </row>
        <row r="4829">
          <cell r="G4829" t="str">
            <v>Xã Púng Bánh</v>
          </cell>
          <cell r="I4829" t="str">
            <v>30321</v>
          </cell>
        </row>
        <row r="4830">
          <cell r="G4830" t="str">
            <v>Xã Dồm Cang</v>
          </cell>
          <cell r="I4830" t="str">
            <v>30321</v>
          </cell>
        </row>
        <row r="4831">
          <cell r="G4831" t="str">
            <v>Xã Nậm Lạnh</v>
          </cell>
          <cell r="I4831" t="str">
            <v>30321</v>
          </cell>
        </row>
        <row r="4832">
          <cell r="G4832" t="str">
            <v>Xã Mường Lèo</v>
          </cell>
          <cell r="I4832" t="str">
            <v>30321</v>
          </cell>
        </row>
        <row r="4833">
          <cell r="G4833" t="str">
            <v xml:space="preserve">Xã Mường Lạn </v>
          </cell>
          <cell r="I4833" t="str">
            <v>30321</v>
          </cell>
        </row>
        <row r="4834">
          <cell r="G4834" t="str">
            <v>Xã Sốp Cộp</v>
          </cell>
          <cell r="I4834" t="str">
            <v>30321</v>
          </cell>
        </row>
        <row r="4835">
          <cell r="G4835" t="str">
            <v>Xã Mường Và</v>
          </cell>
          <cell r="I4835" t="str">
            <v>30321</v>
          </cell>
        </row>
        <row r="4836">
          <cell r="G4836" t="str">
            <v>Xã Suối Bàng</v>
          </cell>
          <cell r="I4836" t="str">
            <v>30323</v>
          </cell>
        </row>
        <row r="4837">
          <cell r="G4837" t="str">
            <v xml:space="preserve">Xã Liên Hòa   </v>
          </cell>
          <cell r="I4837" t="str">
            <v>30323</v>
          </cell>
        </row>
        <row r="4838">
          <cell r="G4838" t="str">
            <v xml:space="preserve">Xã Mường Tè </v>
          </cell>
          <cell r="I4838" t="str">
            <v>30323</v>
          </cell>
        </row>
        <row r="4839">
          <cell r="G4839" t="str">
            <v>Xã Chiềng Khoa</v>
          </cell>
          <cell r="I4839" t="str">
            <v>30323</v>
          </cell>
        </row>
        <row r="4840">
          <cell r="G4840" t="str">
            <v xml:space="preserve">Xã Quang Minh     </v>
          </cell>
          <cell r="I4840" t="str">
            <v>30323</v>
          </cell>
        </row>
        <row r="4841">
          <cell r="G4841" t="str">
            <v>Xã Vân Hồ</v>
          </cell>
          <cell r="I4841" t="str">
            <v>30323</v>
          </cell>
        </row>
        <row r="4842">
          <cell r="G4842" t="str">
            <v>Xã Chiềng Yên</v>
          </cell>
          <cell r="I4842" t="str">
            <v>30323</v>
          </cell>
        </row>
        <row r="4843">
          <cell r="G4843" t="str">
            <v>Xã Xuân Nha</v>
          </cell>
          <cell r="I4843" t="str">
            <v>30323</v>
          </cell>
        </row>
        <row r="4844">
          <cell r="G4844" t="str">
            <v>Xã Song Khủa</v>
          </cell>
          <cell r="I4844" t="str">
            <v>30323</v>
          </cell>
        </row>
        <row r="4845">
          <cell r="G4845" t="str">
            <v>Xã Tô Múa</v>
          </cell>
          <cell r="I4845" t="str">
            <v>30323</v>
          </cell>
        </row>
        <row r="4846">
          <cell r="G4846" t="str">
            <v>Xã Mường Chen</v>
          </cell>
          <cell r="I4846" t="str">
            <v>30323</v>
          </cell>
        </row>
        <row r="4847">
          <cell r="G4847" t="str">
            <v>Xã Lóng Luông</v>
          </cell>
          <cell r="I4847" t="str">
            <v>30323</v>
          </cell>
        </row>
        <row r="4848">
          <cell r="G4848" t="str">
            <v>Xã Chiềng Xuân</v>
          </cell>
          <cell r="I4848" t="str">
            <v>30323</v>
          </cell>
        </row>
        <row r="4849">
          <cell r="G4849" t="str">
            <v>Xã Tân Xuân</v>
          </cell>
          <cell r="I4849" t="str">
            <v>30323</v>
          </cell>
        </row>
        <row r="4850">
          <cell r="G4850" t="str">
            <v>Phường Tân Hòa</v>
          </cell>
          <cell r="I4850" t="str">
            <v>30501</v>
          </cell>
        </row>
        <row r="4851">
          <cell r="G4851" t="str">
            <v>Phường Thịnh Lang</v>
          </cell>
          <cell r="I4851" t="str">
            <v>30501</v>
          </cell>
        </row>
        <row r="4852">
          <cell r="G4852" t="str">
            <v>Phường Hữu Nghị</v>
          </cell>
          <cell r="I4852" t="str">
            <v>30501</v>
          </cell>
        </row>
        <row r="4853">
          <cell r="G4853" t="str">
            <v xml:space="preserve">Phường Đồng Tiến </v>
          </cell>
          <cell r="I4853" t="str">
            <v>30501</v>
          </cell>
        </row>
        <row r="4854">
          <cell r="G4854" t="str">
            <v>Phường Phương Lâm</v>
          </cell>
          <cell r="I4854" t="str">
            <v>30501</v>
          </cell>
        </row>
        <row r="4855">
          <cell r="G4855" t="str">
            <v>Phường Chăm Mát</v>
          </cell>
          <cell r="I4855" t="str">
            <v>30501</v>
          </cell>
        </row>
        <row r="4856">
          <cell r="G4856" t="str">
            <v>Xã Yên Mông</v>
          </cell>
          <cell r="I4856" t="str">
            <v>30501</v>
          </cell>
        </row>
        <row r="4857">
          <cell r="G4857" t="str">
            <v xml:space="preserve">Xã Dân Chủ    </v>
          </cell>
          <cell r="I4857" t="str">
            <v>30501</v>
          </cell>
        </row>
        <row r="4858">
          <cell r="G4858" t="str">
            <v xml:space="preserve">Xã Thống Nhất    </v>
          </cell>
          <cell r="I4858" t="str">
            <v>30501</v>
          </cell>
        </row>
        <row r="4859">
          <cell r="G4859" t="str">
            <v xml:space="preserve">Xã Thái Thịnh  </v>
          </cell>
          <cell r="I4859" t="str">
            <v>30501</v>
          </cell>
        </row>
        <row r="4860">
          <cell r="G4860" t="str">
            <v>Phường Thái Bình</v>
          </cell>
          <cell r="I4860" t="str">
            <v>30501</v>
          </cell>
        </row>
        <row r="4861">
          <cell r="G4861" t="str">
            <v xml:space="preserve">Phường Tân Thịnh </v>
          </cell>
          <cell r="I4861" t="str">
            <v>30501</v>
          </cell>
        </row>
        <row r="4862">
          <cell r="G4862" t="str">
            <v>Xã Sủ Ngòi</v>
          </cell>
          <cell r="I4862" t="str">
            <v>30501</v>
          </cell>
        </row>
        <row r="4863">
          <cell r="G4863" t="str">
            <v xml:space="preserve">Xã Hòa Bình          </v>
          </cell>
          <cell r="I4863" t="str">
            <v>30501</v>
          </cell>
        </row>
        <row r="4864">
          <cell r="G4864" t="str">
            <v xml:space="preserve">Xã Trung Minh </v>
          </cell>
          <cell r="I4864" t="str">
            <v>30501</v>
          </cell>
        </row>
        <row r="4865">
          <cell r="G4865" t="str">
            <v>Thị trấn Đà Bắc</v>
          </cell>
          <cell r="I4865" t="str">
            <v>30503</v>
          </cell>
        </row>
        <row r="4866">
          <cell r="G4866" t="str">
            <v>Xã Đồng Nghê</v>
          </cell>
          <cell r="I4866" t="str">
            <v>30503</v>
          </cell>
        </row>
        <row r="4867">
          <cell r="G4867" t="str">
            <v>Xã Suối Nánh</v>
          </cell>
          <cell r="I4867" t="str">
            <v>30503</v>
          </cell>
        </row>
        <row r="4868">
          <cell r="G4868" t="str">
            <v>Xã Mường Tuổng</v>
          </cell>
          <cell r="I4868" t="str">
            <v>30503</v>
          </cell>
        </row>
        <row r="4869">
          <cell r="G4869" t="str">
            <v>Xã Mường Chiềng</v>
          </cell>
          <cell r="I4869" t="str">
            <v>30503</v>
          </cell>
        </row>
        <row r="4870">
          <cell r="G4870" t="str">
            <v>Xã Tân Pheo</v>
          </cell>
          <cell r="I4870" t="str">
            <v>30503</v>
          </cell>
        </row>
        <row r="4871">
          <cell r="G4871" t="str">
            <v xml:space="preserve">Xã Tân Minh    </v>
          </cell>
          <cell r="I4871" t="str">
            <v>30503</v>
          </cell>
        </row>
        <row r="4872">
          <cell r="G4872" t="str">
            <v>Xã Đồng Ruộng</v>
          </cell>
          <cell r="I4872" t="str">
            <v>30503</v>
          </cell>
        </row>
        <row r="4873">
          <cell r="G4873" t="str">
            <v>Xã Tu Lý</v>
          </cell>
          <cell r="I4873" t="str">
            <v>30503</v>
          </cell>
        </row>
        <row r="4874">
          <cell r="G4874" t="str">
            <v xml:space="preserve">Xã Trung Thành    </v>
          </cell>
          <cell r="I4874" t="str">
            <v>30503</v>
          </cell>
        </row>
        <row r="4875">
          <cell r="G4875" t="str">
            <v xml:space="preserve">Xã Cao Sơn  </v>
          </cell>
          <cell r="I4875" t="str">
            <v>30503</v>
          </cell>
        </row>
        <row r="4876">
          <cell r="G4876" t="str">
            <v>Xã Toàn Sơn</v>
          </cell>
          <cell r="I4876" t="str">
            <v>30503</v>
          </cell>
        </row>
        <row r="4877">
          <cell r="G4877" t="str">
            <v xml:space="preserve">Xã Tiền Phong        </v>
          </cell>
          <cell r="I4877" t="str">
            <v>30503</v>
          </cell>
        </row>
        <row r="4878">
          <cell r="G4878" t="str">
            <v>Xã Vầy Nưa</v>
          </cell>
          <cell r="I4878" t="str">
            <v>30503</v>
          </cell>
        </row>
        <row r="4879">
          <cell r="G4879" t="str">
            <v xml:space="preserve">Xã Đoàn Kết   </v>
          </cell>
          <cell r="I4879" t="str">
            <v>30503</v>
          </cell>
        </row>
        <row r="4880">
          <cell r="G4880" t="str">
            <v>Xã Giáp Đắt</v>
          </cell>
          <cell r="I4880" t="str">
            <v>30503</v>
          </cell>
        </row>
        <row r="4881">
          <cell r="G4881" t="str">
            <v>Xã Đồng Chum</v>
          </cell>
          <cell r="I4881" t="str">
            <v>30503</v>
          </cell>
        </row>
        <row r="4882">
          <cell r="G4882" t="str">
            <v>Xã Hào Lý</v>
          </cell>
          <cell r="I4882" t="str">
            <v>30503</v>
          </cell>
        </row>
        <row r="4883">
          <cell r="G4883" t="str">
            <v xml:space="preserve">Xã Yên Hòa  </v>
          </cell>
          <cell r="I4883" t="str">
            <v>30503</v>
          </cell>
        </row>
        <row r="4884">
          <cell r="G4884" t="str">
            <v xml:space="preserve">Xã Hiền Lương </v>
          </cell>
          <cell r="I4884" t="str">
            <v>30503</v>
          </cell>
        </row>
        <row r="4885">
          <cell r="G4885" t="str">
            <v>Xã Tân Mai</v>
          </cell>
          <cell r="I4885" t="str">
            <v>30505</v>
          </cell>
        </row>
        <row r="4886">
          <cell r="G4886" t="str">
            <v>Xã Pà Cò</v>
          </cell>
          <cell r="I4886" t="str">
            <v>30505</v>
          </cell>
        </row>
        <row r="4887">
          <cell r="G4887" t="str">
            <v>Xã Ba Khan</v>
          </cell>
          <cell r="I4887" t="str">
            <v>30505</v>
          </cell>
        </row>
        <row r="4888">
          <cell r="G4888" t="str">
            <v xml:space="preserve">Xã Tân Sơn    </v>
          </cell>
          <cell r="I4888" t="str">
            <v>30505</v>
          </cell>
        </row>
        <row r="4889">
          <cell r="G4889" t="str">
            <v>Xã Đồng Bảng</v>
          </cell>
          <cell r="I4889" t="str">
            <v>30505</v>
          </cell>
        </row>
        <row r="4890">
          <cell r="G4890" t="str">
            <v>Xã Bao La</v>
          </cell>
          <cell r="I4890" t="str">
            <v>30505</v>
          </cell>
        </row>
        <row r="4891">
          <cell r="G4891" t="str">
            <v>Xã Piềng Vế</v>
          </cell>
          <cell r="I4891" t="str">
            <v>30505</v>
          </cell>
        </row>
        <row r="4892">
          <cell r="G4892" t="str">
            <v>Xã Tòng Đậu</v>
          </cell>
          <cell r="I4892" t="str">
            <v>30505</v>
          </cell>
        </row>
        <row r="4893">
          <cell r="G4893" t="str">
            <v>Xã Nà Phòn</v>
          </cell>
          <cell r="I4893" t="str">
            <v>30505</v>
          </cell>
        </row>
        <row r="4894">
          <cell r="G4894" t="str">
            <v>Xã Săm Khòe</v>
          </cell>
          <cell r="I4894" t="str">
            <v>30505</v>
          </cell>
        </row>
        <row r="4895">
          <cell r="G4895" t="str">
            <v>Xã Mai Hạ</v>
          </cell>
          <cell r="I4895" t="str">
            <v>30505</v>
          </cell>
        </row>
        <row r="4896">
          <cell r="G4896" t="str">
            <v>Xã Noong Luông</v>
          </cell>
          <cell r="I4896" t="str">
            <v>30505</v>
          </cell>
        </row>
        <row r="4897">
          <cell r="G4897" t="str">
            <v>Xã Mai Hịch</v>
          </cell>
          <cell r="I4897" t="str">
            <v>30505</v>
          </cell>
        </row>
        <row r="4898">
          <cell r="G4898" t="str">
            <v>Xã Vạn Mai</v>
          </cell>
          <cell r="I4898" t="str">
            <v>30505</v>
          </cell>
        </row>
        <row r="4899">
          <cell r="G4899" t="str">
            <v>Xã Phúc Sạn</v>
          </cell>
          <cell r="I4899" t="str">
            <v>30505</v>
          </cell>
        </row>
        <row r="4900">
          <cell r="G4900" t="str">
            <v>Xã Thung Khe</v>
          </cell>
          <cell r="I4900" t="str">
            <v>30505</v>
          </cell>
        </row>
        <row r="4901">
          <cell r="G4901" t="str">
            <v>Thị trấn Mai Châu</v>
          </cell>
          <cell r="I4901" t="str">
            <v>30505</v>
          </cell>
        </row>
        <row r="4902">
          <cell r="G4902" t="str">
            <v>Xã Hang Kia</v>
          </cell>
          <cell r="I4902" t="str">
            <v>30505</v>
          </cell>
        </row>
        <row r="4903">
          <cell r="G4903" t="str">
            <v>Xã Cun Pheo</v>
          </cell>
          <cell r="I4903" t="str">
            <v>30505</v>
          </cell>
        </row>
        <row r="4904">
          <cell r="G4904" t="str">
            <v>Xã Nà Mèo</v>
          </cell>
          <cell r="I4904" t="str">
            <v>30505</v>
          </cell>
        </row>
        <row r="4905">
          <cell r="G4905" t="str">
            <v>Xã Chiềng Châu</v>
          </cell>
          <cell r="I4905" t="str">
            <v>30505</v>
          </cell>
        </row>
        <row r="4906">
          <cell r="G4906" t="str">
            <v>Xã Pù Pin</v>
          </cell>
          <cell r="I4906" t="str">
            <v>30505</v>
          </cell>
        </row>
        <row r="4907">
          <cell r="G4907" t="str">
            <v xml:space="preserve">Xã Tân Dân       </v>
          </cell>
          <cell r="I4907" t="str">
            <v>30505</v>
          </cell>
        </row>
        <row r="4908">
          <cell r="G4908" t="str">
            <v xml:space="preserve">Xã Phú Minh </v>
          </cell>
          <cell r="I4908" t="str">
            <v>30507</v>
          </cell>
        </row>
        <row r="4909">
          <cell r="G4909" t="str">
            <v xml:space="preserve">Xã Hợp Thành     </v>
          </cell>
          <cell r="I4909" t="str">
            <v>30507</v>
          </cell>
        </row>
        <row r="4910">
          <cell r="G4910" t="str">
            <v xml:space="preserve">Xã Phúc Tiến </v>
          </cell>
          <cell r="I4910" t="str">
            <v>30507</v>
          </cell>
        </row>
        <row r="4911">
          <cell r="G4911" t="str">
            <v>Xã Mông Hóa</v>
          </cell>
          <cell r="I4911" t="str">
            <v>30507</v>
          </cell>
        </row>
        <row r="4912">
          <cell r="G4912" t="str">
            <v>Xã Dân Hạ</v>
          </cell>
          <cell r="I4912" t="str">
            <v>30507</v>
          </cell>
        </row>
        <row r="4913">
          <cell r="G4913" t="str">
            <v>Thị trấn Kỳ Sơn</v>
          </cell>
          <cell r="I4913" t="str">
            <v>30507</v>
          </cell>
        </row>
        <row r="4914">
          <cell r="G4914" t="str">
            <v xml:space="preserve">Xã Hợp Thịnh  </v>
          </cell>
          <cell r="I4914" t="str">
            <v>30507</v>
          </cell>
        </row>
        <row r="4915">
          <cell r="G4915" t="str">
            <v xml:space="preserve">Xã Dân Hòa </v>
          </cell>
          <cell r="I4915" t="str">
            <v>30507</v>
          </cell>
        </row>
        <row r="4916">
          <cell r="G4916" t="str">
            <v xml:space="preserve">Xã Độc Lập  </v>
          </cell>
          <cell r="I4916" t="str">
            <v>30507</v>
          </cell>
        </row>
        <row r="4917">
          <cell r="G4917" t="str">
            <v xml:space="preserve">Xã Yên Quang  </v>
          </cell>
          <cell r="I4917" t="str">
            <v>30507</v>
          </cell>
        </row>
        <row r="4918">
          <cell r="G4918" t="str">
            <v>Thị trấn Lương Sơn</v>
          </cell>
          <cell r="I4918" t="str">
            <v>30509</v>
          </cell>
        </row>
        <row r="4919">
          <cell r="G4919" t="str">
            <v xml:space="preserve">Xã Lâm Sơn </v>
          </cell>
          <cell r="I4919" t="str">
            <v>30509</v>
          </cell>
        </row>
        <row r="4920">
          <cell r="G4920" t="str">
            <v xml:space="preserve">Xã Trường Sơn </v>
          </cell>
          <cell r="I4920" t="str">
            <v>30509</v>
          </cell>
        </row>
        <row r="4921">
          <cell r="G4921" t="str">
            <v>Xã Tân Vinh</v>
          </cell>
          <cell r="I4921" t="str">
            <v>30509</v>
          </cell>
        </row>
        <row r="4922">
          <cell r="G4922" t="str">
            <v>Xã Cao Răm</v>
          </cell>
          <cell r="I4922" t="str">
            <v>30509</v>
          </cell>
        </row>
        <row r="4923">
          <cell r="G4923" t="str">
            <v>Xã Cư Yên</v>
          </cell>
          <cell r="I4923" t="str">
            <v>30509</v>
          </cell>
        </row>
        <row r="4924">
          <cell r="G4924" t="str">
            <v xml:space="preserve">Xã Hợp Hòa </v>
          </cell>
          <cell r="I4924" t="str">
            <v>30509</v>
          </cell>
        </row>
        <row r="4925">
          <cell r="G4925" t="str">
            <v xml:space="preserve">Xã Liên Sơn    </v>
          </cell>
          <cell r="I4925" t="str">
            <v>30509</v>
          </cell>
        </row>
        <row r="4926">
          <cell r="G4926" t="str">
            <v xml:space="preserve">Xã Trung Sơn   </v>
          </cell>
          <cell r="I4926" t="str">
            <v>30509</v>
          </cell>
        </row>
        <row r="4927">
          <cell r="G4927" t="str">
            <v>Xã Tiến Sơn</v>
          </cell>
          <cell r="I4927" t="str">
            <v>30509</v>
          </cell>
        </row>
        <row r="4928">
          <cell r="G4928" t="str">
            <v xml:space="preserve">Xã Hòa Sơn  </v>
          </cell>
          <cell r="I4928" t="str">
            <v>30509</v>
          </cell>
        </row>
        <row r="4929">
          <cell r="G4929" t="str">
            <v>Xã Nhuận Trạch</v>
          </cell>
          <cell r="I4929" t="str">
            <v>30509</v>
          </cell>
        </row>
        <row r="4930">
          <cell r="G4930" t="str">
            <v>Xã Thành Lập</v>
          </cell>
          <cell r="I4930" t="str">
            <v>30509</v>
          </cell>
        </row>
        <row r="4931">
          <cell r="G4931" t="str">
            <v xml:space="preserve">Xã Hợp Châu </v>
          </cell>
          <cell r="I4931" t="str">
            <v>30509</v>
          </cell>
        </row>
        <row r="4932">
          <cell r="G4932" t="str">
            <v xml:space="preserve">Xã Long Sơn </v>
          </cell>
          <cell r="I4932" t="str">
            <v>30509</v>
          </cell>
        </row>
        <row r="4933">
          <cell r="G4933" t="str">
            <v xml:space="preserve">Xã Tân Thành        </v>
          </cell>
          <cell r="I4933" t="str">
            <v>30509</v>
          </cell>
        </row>
        <row r="4934">
          <cell r="G4934" t="str">
            <v xml:space="preserve">Xã Hợp Thanh </v>
          </cell>
          <cell r="I4934" t="str">
            <v>30509</v>
          </cell>
        </row>
        <row r="4935">
          <cell r="G4935" t="str">
            <v xml:space="preserve">Xã Cao Dương </v>
          </cell>
          <cell r="I4935" t="str">
            <v>30509</v>
          </cell>
        </row>
        <row r="4936">
          <cell r="G4936" t="str">
            <v xml:space="preserve">Xã Thanh Lương  </v>
          </cell>
          <cell r="I4936" t="str">
            <v>30509</v>
          </cell>
        </row>
        <row r="4937">
          <cell r="G4937" t="str">
            <v xml:space="preserve">Xã Cao Thắng </v>
          </cell>
          <cell r="I4937" t="str">
            <v>30509</v>
          </cell>
        </row>
        <row r="4938">
          <cell r="G4938" t="str">
            <v>Thị trấn Cao Phong</v>
          </cell>
          <cell r="I4938" t="str">
            <v>30510</v>
          </cell>
        </row>
        <row r="4939">
          <cell r="G4939" t="str">
            <v>Xã Thung Nai</v>
          </cell>
          <cell r="I4939" t="str">
            <v>30510</v>
          </cell>
        </row>
        <row r="4940">
          <cell r="G4940" t="str">
            <v>Xã Thu Phong</v>
          </cell>
          <cell r="I4940" t="str">
            <v>30510</v>
          </cell>
        </row>
        <row r="4941">
          <cell r="G4941" t="str">
            <v xml:space="preserve">Xã Đông Phong   </v>
          </cell>
          <cell r="I4941" t="str">
            <v>30510</v>
          </cell>
        </row>
        <row r="4942">
          <cell r="G4942" t="str">
            <v xml:space="preserve">Xã Tây Phong </v>
          </cell>
          <cell r="I4942" t="str">
            <v>30510</v>
          </cell>
        </row>
        <row r="4943">
          <cell r="G4943" t="str">
            <v xml:space="preserve">Xã Tân Phong     </v>
          </cell>
          <cell r="I4943" t="str">
            <v>30510</v>
          </cell>
        </row>
        <row r="4944">
          <cell r="G4944" t="str">
            <v>Xã Dũng Phong</v>
          </cell>
          <cell r="I4944" t="str">
            <v>30510</v>
          </cell>
        </row>
        <row r="4945">
          <cell r="G4945" t="str">
            <v xml:space="preserve">Xã Yên Lập  </v>
          </cell>
          <cell r="I4945" t="str">
            <v>30510</v>
          </cell>
        </row>
        <row r="4946">
          <cell r="G4946" t="str">
            <v xml:space="preserve">Xã Yên Thượng </v>
          </cell>
          <cell r="I4946" t="str">
            <v>30510</v>
          </cell>
        </row>
        <row r="4947">
          <cell r="G4947" t="str">
            <v xml:space="preserve">Xã Bắc Phong </v>
          </cell>
          <cell r="I4947" t="str">
            <v>30510</v>
          </cell>
        </row>
        <row r="4948">
          <cell r="G4948" t="str">
            <v xml:space="preserve">Xã Bình Thanh </v>
          </cell>
          <cell r="I4948" t="str">
            <v>30510</v>
          </cell>
        </row>
        <row r="4949">
          <cell r="G4949" t="str">
            <v xml:space="preserve">Xã Xuân Phong </v>
          </cell>
          <cell r="I4949" t="str">
            <v>30510</v>
          </cell>
        </row>
        <row r="4950">
          <cell r="G4950" t="str">
            <v xml:space="preserve">Xã Nam Phong   </v>
          </cell>
          <cell r="I4950" t="str">
            <v>30510</v>
          </cell>
        </row>
        <row r="4951">
          <cell r="G4951" t="str">
            <v xml:space="preserve">Xã Sơn Thủy </v>
          </cell>
          <cell r="I4951" t="str">
            <v>30511</v>
          </cell>
        </row>
        <row r="4952">
          <cell r="G4952" t="str">
            <v>Xã Đông Bắc</v>
          </cell>
          <cell r="I4952" t="str">
            <v>30511</v>
          </cell>
        </row>
        <row r="4953">
          <cell r="G4953" t="str">
            <v>Xã Thượng Bì</v>
          </cell>
          <cell r="I4953" t="str">
            <v>30511</v>
          </cell>
        </row>
        <row r="4954">
          <cell r="G4954" t="str">
            <v>Xã Lập Chiệng</v>
          </cell>
          <cell r="I4954" t="str">
            <v>30511</v>
          </cell>
        </row>
        <row r="4955">
          <cell r="G4955" t="str">
            <v>Xã Vĩnh Đồng</v>
          </cell>
          <cell r="I4955" t="str">
            <v>30511</v>
          </cell>
        </row>
        <row r="4956">
          <cell r="G4956" t="str">
            <v>Xã Trung Bì</v>
          </cell>
          <cell r="I4956" t="str">
            <v>30511</v>
          </cell>
        </row>
        <row r="4957">
          <cell r="G4957" t="str">
            <v xml:space="preserve">Xã Hợp Đồng </v>
          </cell>
          <cell r="I4957" t="str">
            <v>30511</v>
          </cell>
        </row>
        <row r="4958">
          <cell r="G4958" t="str">
            <v>Xã Kim Tiến</v>
          </cell>
          <cell r="I4958" t="str">
            <v>30511</v>
          </cell>
        </row>
        <row r="4959">
          <cell r="G4959" t="str">
            <v xml:space="preserve">Xã Kim Bình  </v>
          </cell>
          <cell r="I4959" t="str">
            <v>30511</v>
          </cell>
        </row>
        <row r="4960">
          <cell r="G4960" t="str">
            <v>Xã Hợp Kim</v>
          </cell>
          <cell r="I4960" t="str">
            <v>30511</v>
          </cell>
        </row>
        <row r="4961">
          <cell r="G4961" t="str">
            <v>Xã Kim Bôi</v>
          </cell>
          <cell r="I4961" t="str">
            <v>30511</v>
          </cell>
        </row>
        <row r="4962">
          <cell r="G4962" t="str">
            <v>Xã Nam Thượng</v>
          </cell>
          <cell r="I4962" t="str">
            <v>30511</v>
          </cell>
        </row>
        <row r="4963">
          <cell r="G4963" t="str">
            <v>Xã Cuối Hạ</v>
          </cell>
          <cell r="I4963" t="str">
            <v>30511</v>
          </cell>
        </row>
        <row r="4964">
          <cell r="G4964" t="str">
            <v>Xã Sào Báy</v>
          </cell>
          <cell r="I4964" t="str">
            <v>30511</v>
          </cell>
        </row>
        <row r="4965">
          <cell r="G4965" t="str">
            <v>Xã Nuông Dăm</v>
          </cell>
          <cell r="I4965" t="str">
            <v>30511</v>
          </cell>
        </row>
        <row r="4966">
          <cell r="G4966" t="str">
            <v>Thị trấn Bo</v>
          </cell>
          <cell r="I4966" t="str">
            <v>30511</v>
          </cell>
        </row>
        <row r="4967">
          <cell r="G4967" t="str">
            <v>Xã Đú Sáng</v>
          </cell>
          <cell r="I4967" t="str">
            <v>30511</v>
          </cell>
        </row>
        <row r="4968">
          <cell r="G4968" t="str">
            <v xml:space="preserve">Xã Bắc Sơn      </v>
          </cell>
          <cell r="I4968" t="str">
            <v>30511</v>
          </cell>
        </row>
        <row r="4969">
          <cell r="G4969" t="str">
            <v xml:space="preserve">Xã Bình Sơn  </v>
          </cell>
          <cell r="I4969" t="str">
            <v>30511</v>
          </cell>
        </row>
        <row r="4970">
          <cell r="G4970" t="str">
            <v xml:space="preserve">Xã Tú Sơn </v>
          </cell>
          <cell r="I4970" t="str">
            <v>30511</v>
          </cell>
        </row>
        <row r="4971">
          <cell r="G4971" t="str">
            <v xml:space="preserve">Xã Vĩnh Tiến  </v>
          </cell>
          <cell r="I4971" t="str">
            <v>30511</v>
          </cell>
        </row>
        <row r="4972">
          <cell r="G4972" t="str">
            <v>Xã Hạ Bì</v>
          </cell>
          <cell r="I4972" t="str">
            <v>30511</v>
          </cell>
        </row>
        <row r="4973">
          <cell r="G4973" t="str">
            <v>Xã Mỵ Hòa</v>
          </cell>
          <cell r="I4973" t="str">
            <v>30511</v>
          </cell>
        </row>
        <row r="4974">
          <cell r="G4974" t="str">
            <v xml:space="preserve">Xã Hùng Tiến   </v>
          </cell>
          <cell r="I4974" t="str">
            <v>30511</v>
          </cell>
        </row>
        <row r="4975">
          <cell r="G4975" t="str">
            <v>Xã Nật Sơn</v>
          </cell>
          <cell r="I4975" t="str">
            <v>30511</v>
          </cell>
        </row>
        <row r="4976">
          <cell r="G4976" t="str">
            <v>Xã Kim Truy</v>
          </cell>
          <cell r="I4976" t="str">
            <v>30511</v>
          </cell>
        </row>
        <row r="4977">
          <cell r="G4977" t="str">
            <v xml:space="preserve">Xã Kim Sơn     </v>
          </cell>
          <cell r="I4977" t="str">
            <v>30511</v>
          </cell>
        </row>
        <row r="4978">
          <cell r="G4978" t="str">
            <v>Xã Thượng Tiến</v>
          </cell>
          <cell r="I4978" t="str">
            <v>30511</v>
          </cell>
        </row>
        <row r="4979">
          <cell r="G4979" t="str">
            <v>Thị trấn Mường Khến</v>
          </cell>
          <cell r="I4979" t="str">
            <v>30513</v>
          </cell>
        </row>
        <row r="4980">
          <cell r="G4980" t="str">
            <v>Xã Phú Vinh</v>
          </cell>
          <cell r="I4980" t="str">
            <v>30513</v>
          </cell>
        </row>
        <row r="4981">
          <cell r="G4981" t="str">
            <v xml:space="preserve">Xã Phú Cường    </v>
          </cell>
          <cell r="I4981" t="str">
            <v>30513</v>
          </cell>
        </row>
        <row r="4982">
          <cell r="G4982" t="str">
            <v>Xã Quy Hậu</v>
          </cell>
          <cell r="I4982" t="str">
            <v>30513</v>
          </cell>
        </row>
        <row r="4983">
          <cell r="G4983" t="str">
            <v xml:space="preserve">Xã Phong Phú </v>
          </cell>
          <cell r="I4983" t="str">
            <v>30513</v>
          </cell>
        </row>
        <row r="4984">
          <cell r="G4984" t="str">
            <v>Xã Mãn Đức</v>
          </cell>
          <cell r="I4984" t="str">
            <v>30513</v>
          </cell>
        </row>
        <row r="4985">
          <cell r="G4985" t="str">
            <v>Xã Địch Giáo</v>
          </cell>
          <cell r="I4985" t="str">
            <v>30513</v>
          </cell>
        </row>
        <row r="4986">
          <cell r="G4986" t="str">
            <v xml:space="preserve">Xã Tuân Lộ </v>
          </cell>
          <cell r="I4986" t="str">
            <v>30513</v>
          </cell>
        </row>
        <row r="4987">
          <cell r="G4987" t="str">
            <v>Xã Thanh Hối</v>
          </cell>
          <cell r="I4987" t="str">
            <v>30513</v>
          </cell>
        </row>
        <row r="4988">
          <cell r="G4988" t="str">
            <v>Xã Đông Lai</v>
          </cell>
          <cell r="I4988" t="str">
            <v>30513</v>
          </cell>
        </row>
        <row r="4989">
          <cell r="G4989" t="str">
            <v xml:space="preserve">Xã Bắc Sơn       </v>
          </cell>
          <cell r="I4989" t="str">
            <v>30513</v>
          </cell>
        </row>
        <row r="4990">
          <cell r="G4990" t="str">
            <v>Xã Quy Mỹ</v>
          </cell>
          <cell r="I4990" t="str">
            <v>30513</v>
          </cell>
        </row>
        <row r="4991">
          <cell r="G4991" t="str">
            <v>Xã Do Nhân</v>
          </cell>
          <cell r="I4991" t="str">
            <v>30513</v>
          </cell>
        </row>
        <row r="4992">
          <cell r="G4992" t="str">
            <v>Xã Lỗ Sơn</v>
          </cell>
          <cell r="I4992" t="str">
            <v>30513</v>
          </cell>
        </row>
        <row r="4993">
          <cell r="G4993" t="str">
            <v>Xã Ngổ Luông</v>
          </cell>
          <cell r="I4993" t="str">
            <v>30513</v>
          </cell>
        </row>
        <row r="4994">
          <cell r="G4994" t="str">
            <v>Xã Gia Mô</v>
          </cell>
          <cell r="I4994" t="str">
            <v>30513</v>
          </cell>
        </row>
        <row r="4995">
          <cell r="G4995" t="str">
            <v xml:space="preserve">Xã Trung Hòa   </v>
          </cell>
          <cell r="I4995" t="str">
            <v>30513</v>
          </cell>
        </row>
        <row r="4996">
          <cell r="G4996" t="str">
            <v xml:space="preserve">Xã Ngọc Mỹ  </v>
          </cell>
          <cell r="I4996" t="str">
            <v>30513</v>
          </cell>
        </row>
        <row r="4997">
          <cell r="G4997" t="str">
            <v>Xã Ngòi Hoa</v>
          </cell>
          <cell r="I4997" t="str">
            <v>30513</v>
          </cell>
        </row>
        <row r="4998">
          <cell r="G4998" t="str">
            <v>Xã Mỹ Hòa</v>
          </cell>
          <cell r="I4998" t="str">
            <v>30513</v>
          </cell>
        </row>
        <row r="4999">
          <cell r="G4999" t="str">
            <v>Xã Quyết Chiến</v>
          </cell>
          <cell r="I4999" t="str">
            <v>30513</v>
          </cell>
        </row>
        <row r="5000">
          <cell r="G5000" t="str">
            <v>Xã Tử Nê</v>
          </cell>
          <cell r="I5000" t="str">
            <v>30513</v>
          </cell>
        </row>
        <row r="5001">
          <cell r="G5001" t="str">
            <v>Xã Lũng Vân</v>
          </cell>
          <cell r="I5001" t="str">
            <v>30513</v>
          </cell>
        </row>
        <row r="5002">
          <cell r="G5002" t="str">
            <v xml:space="preserve">Xã Nam Sơn     </v>
          </cell>
          <cell r="I5002" t="str">
            <v>30513</v>
          </cell>
        </row>
        <row r="5003">
          <cell r="G5003" t="str">
            <v>Thị trấn Vụ Bản</v>
          </cell>
          <cell r="I5003" t="str">
            <v>30515</v>
          </cell>
        </row>
        <row r="5004">
          <cell r="G5004" t="str">
            <v>Xã Miền Đồi</v>
          </cell>
          <cell r="I5004" t="str">
            <v>30515</v>
          </cell>
        </row>
        <row r="5005">
          <cell r="G5005" t="str">
            <v>Xã Tuân Đạo</v>
          </cell>
          <cell r="I5005" t="str">
            <v>30515</v>
          </cell>
        </row>
        <row r="5006">
          <cell r="G5006" t="str">
            <v xml:space="preserve">Xã Văn Sơn </v>
          </cell>
          <cell r="I5006" t="str">
            <v>30515</v>
          </cell>
        </row>
        <row r="5007">
          <cell r="G5007" t="str">
            <v xml:space="preserve">Xã Tân Lập             </v>
          </cell>
          <cell r="I5007" t="str">
            <v>30515</v>
          </cell>
        </row>
        <row r="5008">
          <cell r="G5008" t="str">
            <v xml:space="preserve">Xã Nhân Nghĩa </v>
          </cell>
          <cell r="I5008" t="str">
            <v>30515</v>
          </cell>
        </row>
        <row r="5009">
          <cell r="G5009" t="str">
            <v xml:space="preserve">Xã Phú Lương   </v>
          </cell>
          <cell r="I5009" t="str">
            <v>30515</v>
          </cell>
        </row>
        <row r="5010">
          <cell r="G5010" t="str">
            <v>Xã Phúc Tuy</v>
          </cell>
          <cell r="I5010" t="str">
            <v>30515</v>
          </cell>
        </row>
        <row r="5011">
          <cell r="G5011" t="str">
            <v>Xã Xuất Hóa</v>
          </cell>
          <cell r="I5011" t="str">
            <v>30515</v>
          </cell>
        </row>
        <row r="5012">
          <cell r="G5012" t="str">
            <v>Xã Bình Hẻm</v>
          </cell>
          <cell r="I5012" t="str">
            <v>30515</v>
          </cell>
        </row>
        <row r="5013">
          <cell r="G5013" t="str">
            <v>Xã Bình Cảng</v>
          </cell>
          <cell r="I5013" t="str">
            <v>30515</v>
          </cell>
        </row>
        <row r="5014">
          <cell r="G5014" t="str">
            <v>Xã Định Cư</v>
          </cell>
          <cell r="I5014" t="str">
            <v>30515</v>
          </cell>
        </row>
        <row r="5015">
          <cell r="G5015" t="str">
            <v>Xã Chí Đạo</v>
          </cell>
          <cell r="I5015" t="str">
            <v>30515</v>
          </cell>
        </row>
        <row r="5016">
          <cell r="G5016" t="str">
            <v>Xã Liên Vũ</v>
          </cell>
          <cell r="I5016" t="str">
            <v>30515</v>
          </cell>
        </row>
        <row r="5017">
          <cell r="G5017" t="str">
            <v>Xã Hương Nhượng</v>
          </cell>
          <cell r="I5017" t="str">
            <v>30515</v>
          </cell>
        </row>
        <row r="5018">
          <cell r="G5018" t="str">
            <v>Xã Vũ Lâm</v>
          </cell>
          <cell r="I5018" t="str">
            <v>30515</v>
          </cell>
        </row>
        <row r="5019">
          <cell r="G5019" t="str">
            <v xml:space="preserve">Xã Tự Do </v>
          </cell>
          <cell r="I5019" t="str">
            <v>30515</v>
          </cell>
        </row>
        <row r="5020">
          <cell r="G5020" t="str">
            <v>Xã Yên Nghiệp</v>
          </cell>
          <cell r="I5020" t="str">
            <v>30515</v>
          </cell>
        </row>
        <row r="5021">
          <cell r="G5021" t="str">
            <v>Xã ân Nghĩa</v>
          </cell>
          <cell r="I5021" t="str">
            <v>30515</v>
          </cell>
        </row>
        <row r="5022">
          <cell r="G5022" t="str">
            <v xml:space="preserve">Xã Mỹ Thành  </v>
          </cell>
          <cell r="I5022" t="str">
            <v>30515</v>
          </cell>
        </row>
        <row r="5023">
          <cell r="G5023" t="str">
            <v>Xã Chí Thiện</v>
          </cell>
          <cell r="I5023" t="str">
            <v>30515</v>
          </cell>
        </row>
        <row r="5024">
          <cell r="G5024" t="str">
            <v xml:space="preserve">Xã Tân Mỹ   </v>
          </cell>
          <cell r="I5024" t="str">
            <v>30515</v>
          </cell>
        </row>
        <row r="5025">
          <cell r="G5025" t="str">
            <v xml:space="preserve">Xã Quý Hòa </v>
          </cell>
          <cell r="I5025" t="str">
            <v>30515</v>
          </cell>
        </row>
        <row r="5026">
          <cell r="G5026" t="str">
            <v>Xã Văn Nghĩa</v>
          </cell>
          <cell r="I5026" t="str">
            <v>30515</v>
          </cell>
        </row>
        <row r="5027">
          <cell r="G5027" t="str">
            <v xml:space="preserve">Xã Thượng Cốc </v>
          </cell>
          <cell r="I5027" t="str">
            <v>30515</v>
          </cell>
        </row>
        <row r="5028">
          <cell r="G5028" t="str">
            <v xml:space="preserve">Xã Yên Phú     </v>
          </cell>
          <cell r="I5028" t="str">
            <v>30515</v>
          </cell>
        </row>
        <row r="5029">
          <cell r="G5029" t="str">
            <v>Xã Bình Chân</v>
          </cell>
          <cell r="I5029" t="str">
            <v>30515</v>
          </cell>
        </row>
        <row r="5030">
          <cell r="G5030" t="str">
            <v xml:space="preserve">Xã Ngọc Sơn   </v>
          </cell>
          <cell r="I5030" t="str">
            <v>30515</v>
          </cell>
        </row>
        <row r="5031">
          <cell r="G5031" t="str">
            <v>Xã Ngọc Lâu</v>
          </cell>
          <cell r="I5031" t="str">
            <v>30515</v>
          </cell>
        </row>
        <row r="5032">
          <cell r="G5032" t="str">
            <v>Xã Phú Lão</v>
          </cell>
          <cell r="I5032" t="str">
            <v>30517</v>
          </cell>
        </row>
        <row r="5033">
          <cell r="G5033" t="str">
            <v>Xã Phú Thành</v>
          </cell>
          <cell r="I5033" t="str">
            <v>30517</v>
          </cell>
        </row>
        <row r="5034">
          <cell r="G5034" t="str">
            <v>Xã Hưng Thi</v>
          </cell>
          <cell r="I5034" t="str">
            <v>30517</v>
          </cell>
        </row>
        <row r="5035">
          <cell r="G5035" t="str">
            <v xml:space="preserve">Xã Lạc Long </v>
          </cell>
          <cell r="I5035" t="str">
            <v>30517</v>
          </cell>
        </row>
        <row r="5036">
          <cell r="G5036" t="str">
            <v xml:space="preserve">Xã Liên Hòa    </v>
          </cell>
          <cell r="I5036" t="str">
            <v>30517</v>
          </cell>
        </row>
        <row r="5037">
          <cell r="G5037" t="str">
            <v>Xã Đồng Môn</v>
          </cell>
          <cell r="I5037" t="str">
            <v>30517</v>
          </cell>
        </row>
        <row r="5038">
          <cell r="G5038" t="str">
            <v xml:space="preserve">Xã Đồng Tâm     </v>
          </cell>
          <cell r="I5038" t="str">
            <v>30517</v>
          </cell>
        </row>
        <row r="5039">
          <cell r="G5039" t="str">
            <v>Xã Yên Bồng</v>
          </cell>
          <cell r="I5039" t="str">
            <v>30517</v>
          </cell>
        </row>
        <row r="5040">
          <cell r="G5040" t="str">
            <v xml:space="preserve">Xã An Bình    </v>
          </cell>
          <cell r="I5040" t="str">
            <v>30517</v>
          </cell>
        </row>
        <row r="5041">
          <cell r="G5041" t="str">
            <v>Thị trấn Chi Nê</v>
          </cell>
          <cell r="I5041" t="str">
            <v>30517</v>
          </cell>
        </row>
        <row r="5042">
          <cell r="G5042" t="str">
            <v>Xã Cố Nghĩa</v>
          </cell>
          <cell r="I5042" t="str">
            <v>30517</v>
          </cell>
        </row>
        <row r="5043">
          <cell r="G5043" t="str">
            <v>Xã Khoan Dụ</v>
          </cell>
          <cell r="I5043" t="str">
            <v>30517</v>
          </cell>
        </row>
        <row r="5044">
          <cell r="G5044" t="str">
            <v xml:space="preserve">Xã An Lạc    </v>
          </cell>
          <cell r="I5044" t="str">
            <v>30517</v>
          </cell>
        </row>
        <row r="5045">
          <cell r="G5045" t="str">
            <v>Xã Thanh Nông</v>
          </cell>
          <cell r="I5045" t="str">
            <v>30517</v>
          </cell>
        </row>
        <row r="5046">
          <cell r="G5046" t="str">
            <v xml:space="preserve">Thị trấn Thanh Hà </v>
          </cell>
          <cell r="I5046" t="str">
            <v>30517</v>
          </cell>
        </row>
        <row r="5047">
          <cell r="G5047" t="str">
            <v>Xã Lạc Sỹ</v>
          </cell>
          <cell r="I5047" t="str">
            <v>30519</v>
          </cell>
        </row>
        <row r="5048">
          <cell r="G5048" t="str">
            <v>Xã Lạc Hưng</v>
          </cell>
          <cell r="I5048" t="str">
            <v>30519</v>
          </cell>
        </row>
        <row r="5049">
          <cell r="G5049" t="str">
            <v>Xã Bảo Hiệu</v>
          </cell>
          <cell r="I5049" t="str">
            <v>30519</v>
          </cell>
        </row>
        <row r="5050">
          <cell r="G5050" t="str">
            <v>Xã Đa Phúc</v>
          </cell>
          <cell r="I5050" t="str">
            <v>30519</v>
          </cell>
        </row>
        <row r="5051">
          <cell r="G5051" t="str">
            <v>Xã Hữu Lợi</v>
          </cell>
          <cell r="I5051" t="str">
            <v>30519</v>
          </cell>
        </row>
        <row r="5052">
          <cell r="G5052" t="str">
            <v>Xã Lạc Thịnh</v>
          </cell>
          <cell r="I5052" t="str">
            <v>30519</v>
          </cell>
        </row>
        <row r="5053">
          <cell r="G5053" t="str">
            <v xml:space="preserve">Xã Yên Lạc  </v>
          </cell>
          <cell r="I5053" t="str">
            <v>30519</v>
          </cell>
        </row>
        <row r="5054">
          <cell r="G5054" t="str">
            <v xml:space="preserve">Xã Đoàn Kết    </v>
          </cell>
          <cell r="I5054" t="str">
            <v>30519</v>
          </cell>
        </row>
        <row r="5055">
          <cell r="G5055" t="str">
            <v>Xã Phú Lai</v>
          </cell>
          <cell r="I5055" t="str">
            <v>30519</v>
          </cell>
        </row>
        <row r="5056">
          <cell r="G5056" t="str">
            <v xml:space="preserve">Xã Yên Trị </v>
          </cell>
          <cell r="I5056" t="str">
            <v>30519</v>
          </cell>
        </row>
        <row r="5057">
          <cell r="G5057" t="str">
            <v>Xã Lạc Lương</v>
          </cell>
          <cell r="I5057" t="str">
            <v>30519</v>
          </cell>
        </row>
        <row r="5058">
          <cell r="G5058" t="str">
            <v>Thị trấn Hàng Trạm</v>
          </cell>
          <cell r="I5058" t="str">
            <v>30519</v>
          </cell>
        </row>
        <row r="5059">
          <cell r="G5059" t="str">
            <v>Xã Ngọc Lương</v>
          </cell>
          <cell r="I5059" t="str">
            <v>30519</v>
          </cell>
        </row>
        <row r="5060">
          <cell r="G5060" t="str">
            <v>Phường Đông Sơn</v>
          </cell>
          <cell r="I5060" t="str">
            <v>40101</v>
          </cell>
        </row>
        <row r="5061">
          <cell r="G5061" t="str">
            <v>Phường Đông Thọ</v>
          </cell>
          <cell r="I5061" t="str">
            <v>40101</v>
          </cell>
        </row>
        <row r="5062">
          <cell r="G5062" t="str">
            <v>Phường Phú Sơn</v>
          </cell>
          <cell r="I5062" t="str">
            <v>40101</v>
          </cell>
        </row>
        <row r="5063">
          <cell r="G5063" t="str">
            <v>Phường Đông Vệ</v>
          </cell>
          <cell r="I5063" t="str">
            <v>40101</v>
          </cell>
        </row>
        <row r="5064">
          <cell r="G5064" t="str">
            <v>Phường Đông Hương</v>
          </cell>
          <cell r="I5064" t="str">
            <v>40101</v>
          </cell>
        </row>
        <row r="5065">
          <cell r="G5065" t="str">
            <v>Phường Hàm Rồng</v>
          </cell>
          <cell r="I5065" t="str">
            <v>40101</v>
          </cell>
        </row>
        <row r="5066">
          <cell r="G5066" t="str">
            <v>Phường Nam Ngạn</v>
          </cell>
          <cell r="I5066" t="str">
            <v>40101</v>
          </cell>
        </row>
        <row r="5067">
          <cell r="G5067" t="str">
            <v xml:space="preserve">Phường Trường Thi </v>
          </cell>
          <cell r="I5067" t="str">
            <v>40101</v>
          </cell>
        </row>
        <row r="5068">
          <cell r="G5068" t="str">
            <v xml:space="preserve">Phường Điện Biên </v>
          </cell>
          <cell r="I5068" t="str">
            <v>40101</v>
          </cell>
        </row>
        <row r="5069">
          <cell r="G5069" t="str">
            <v xml:space="preserve">Phường Lam Sơn  </v>
          </cell>
          <cell r="I5069" t="str">
            <v>40101</v>
          </cell>
        </row>
        <row r="5070">
          <cell r="G5070" t="str">
            <v>Phường Ba Đình</v>
          </cell>
          <cell r="I5070" t="str">
            <v>40101</v>
          </cell>
        </row>
        <row r="5071">
          <cell r="G5071" t="str">
            <v>Phường Ngọc Trạo</v>
          </cell>
          <cell r="I5071" t="str">
            <v>40101</v>
          </cell>
        </row>
        <row r="5072">
          <cell r="G5072" t="str">
            <v>Phường Tân Sơn</v>
          </cell>
          <cell r="I5072" t="str">
            <v>40101</v>
          </cell>
        </row>
        <row r="5073">
          <cell r="G5073" t="str">
            <v>Phường Đông Cương</v>
          </cell>
          <cell r="I5073" t="str">
            <v>40101</v>
          </cell>
        </row>
        <row r="5074">
          <cell r="G5074" t="str">
            <v xml:space="preserve">Phường Đông Hải </v>
          </cell>
          <cell r="I5074" t="str">
            <v>40101</v>
          </cell>
        </row>
        <row r="5075">
          <cell r="G5075" t="str">
            <v>Phường Quảng Hưng</v>
          </cell>
          <cell r="I5075" t="str">
            <v>40101</v>
          </cell>
        </row>
        <row r="5076">
          <cell r="G5076" t="str">
            <v>Phường Quảng Thắng</v>
          </cell>
          <cell r="I5076" t="str">
            <v>40101</v>
          </cell>
        </row>
        <row r="5077">
          <cell r="G5077" t="str">
            <v>Phường Quảng Thành</v>
          </cell>
          <cell r="I5077" t="str">
            <v>40101</v>
          </cell>
        </row>
        <row r="5078">
          <cell r="G5078" t="str">
            <v xml:space="preserve">Xã Quảng Thịnh </v>
          </cell>
          <cell r="I5078" t="str">
            <v>40101</v>
          </cell>
        </row>
        <row r="5079">
          <cell r="G5079" t="str">
            <v>Xã Quảng Đông</v>
          </cell>
          <cell r="I5079" t="str">
            <v>40101</v>
          </cell>
        </row>
        <row r="5080">
          <cell r="G5080" t="str">
            <v>Xã Quảng Cát</v>
          </cell>
          <cell r="I5080" t="str">
            <v>40101</v>
          </cell>
        </row>
        <row r="5081">
          <cell r="G5081" t="str">
            <v xml:space="preserve">Xã Quảng Phú </v>
          </cell>
          <cell r="I5081" t="str">
            <v>40101</v>
          </cell>
        </row>
        <row r="5082">
          <cell r="G5082" t="str">
            <v>Xã Quảng Tâm</v>
          </cell>
          <cell r="I5082" t="str">
            <v>40101</v>
          </cell>
        </row>
        <row r="5083">
          <cell r="G5083" t="str">
            <v>Xã Hoằng Anh</v>
          </cell>
          <cell r="I5083" t="str">
            <v>40101</v>
          </cell>
        </row>
        <row r="5084">
          <cell r="G5084" t="str">
            <v>Xã Hoằng Lý</v>
          </cell>
          <cell r="I5084" t="str">
            <v>40101</v>
          </cell>
        </row>
        <row r="5085">
          <cell r="G5085" t="str">
            <v>Xã Hoằng Long</v>
          </cell>
          <cell r="I5085" t="str">
            <v>40101</v>
          </cell>
        </row>
        <row r="5086">
          <cell r="G5086" t="str">
            <v>Xã Hoằng Quang</v>
          </cell>
          <cell r="I5086" t="str">
            <v>40101</v>
          </cell>
        </row>
        <row r="5087">
          <cell r="G5087" t="str">
            <v>Xã Hoằng Đại</v>
          </cell>
          <cell r="I5087" t="str">
            <v>40101</v>
          </cell>
        </row>
        <row r="5088">
          <cell r="G5088" t="str">
            <v>Phường Tào Xuyên</v>
          </cell>
          <cell r="I5088" t="str">
            <v>40101</v>
          </cell>
        </row>
        <row r="5089">
          <cell r="G5089" t="str">
            <v>Xã Thiệu Dương</v>
          </cell>
          <cell r="I5089" t="str">
            <v>40101</v>
          </cell>
        </row>
        <row r="5090">
          <cell r="G5090" t="str">
            <v>Xã Thiệu Khánh</v>
          </cell>
          <cell r="I5090" t="str">
            <v>40101</v>
          </cell>
        </row>
        <row r="5091">
          <cell r="G5091" t="str">
            <v>Xã Thiệu Vân</v>
          </cell>
          <cell r="I5091" t="str">
            <v>40101</v>
          </cell>
        </row>
        <row r="5092">
          <cell r="G5092" t="str">
            <v xml:space="preserve">Xã Đông Vinh </v>
          </cell>
          <cell r="I5092" t="str">
            <v>40101</v>
          </cell>
        </row>
        <row r="5093">
          <cell r="G5093" t="str">
            <v xml:space="preserve">Xã Đông Lĩnh  </v>
          </cell>
          <cell r="I5093" t="str">
            <v>40101</v>
          </cell>
        </row>
        <row r="5094">
          <cell r="G5094" t="str">
            <v xml:space="preserve">Xã Đông Tân </v>
          </cell>
          <cell r="I5094" t="str">
            <v>40101</v>
          </cell>
        </row>
        <row r="5095">
          <cell r="G5095" t="str">
            <v xml:space="preserve">Xã Đông Hưng  </v>
          </cell>
          <cell r="I5095" t="str">
            <v>40101</v>
          </cell>
        </row>
        <row r="5096">
          <cell r="G5096" t="str">
            <v>Phường An Hoạch</v>
          </cell>
          <cell r="I5096" t="str">
            <v>40101</v>
          </cell>
        </row>
        <row r="5097">
          <cell r="G5097" t="str">
            <v xml:space="preserve">Phường Lam Sơn   </v>
          </cell>
          <cell r="I5097" t="str">
            <v>40103</v>
          </cell>
        </row>
        <row r="5098">
          <cell r="G5098" t="str">
            <v xml:space="preserve">Phường Bắc Sơn    </v>
          </cell>
          <cell r="I5098" t="str">
            <v>40103</v>
          </cell>
        </row>
        <row r="5099">
          <cell r="G5099" t="str">
            <v xml:space="preserve">Phường Đông Sơn </v>
          </cell>
          <cell r="I5099" t="str">
            <v>40103</v>
          </cell>
        </row>
        <row r="5100">
          <cell r="G5100" t="str">
            <v xml:space="preserve">Phường Ba Đình </v>
          </cell>
          <cell r="I5100" t="str">
            <v>40103</v>
          </cell>
        </row>
        <row r="5101">
          <cell r="G5101" t="str">
            <v xml:space="preserve">Phường Ngọc Trạo </v>
          </cell>
          <cell r="I5101" t="str">
            <v>40103</v>
          </cell>
        </row>
        <row r="5102">
          <cell r="G5102" t="str">
            <v xml:space="preserve">Xã Quang Trung         </v>
          </cell>
          <cell r="I5102" t="str">
            <v>40103</v>
          </cell>
        </row>
        <row r="5103">
          <cell r="G5103" t="str">
            <v>Xã Hà Lan</v>
          </cell>
          <cell r="I5103" t="str">
            <v>40103</v>
          </cell>
        </row>
        <row r="5104">
          <cell r="G5104" t="str">
            <v xml:space="preserve">Phường Phú Sơn </v>
          </cell>
          <cell r="I5104" t="str">
            <v>40103</v>
          </cell>
        </row>
        <row r="5105">
          <cell r="G5105" t="str">
            <v xml:space="preserve">Phường Bắc Sơn     </v>
          </cell>
          <cell r="I5105" t="str">
            <v>40105</v>
          </cell>
        </row>
        <row r="5106">
          <cell r="G5106" t="str">
            <v xml:space="preserve">Phường Trung Sơn </v>
          </cell>
          <cell r="I5106" t="str">
            <v>40105</v>
          </cell>
        </row>
        <row r="5107">
          <cell r="G5107" t="str">
            <v>Phường Trường Sơn</v>
          </cell>
          <cell r="I5107" t="str">
            <v>40105</v>
          </cell>
        </row>
        <row r="5108">
          <cell r="G5108" t="str">
            <v>Xã Quảng Cư</v>
          </cell>
          <cell r="I5108" t="str">
            <v>40105</v>
          </cell>
        </row>
        <row r="5109">
          <cell r="G5109" t="str">
            <v>Phường Quảng Tiến</v>
          </cell>
          <cell r="I5109" t="str">
            <v>40105</v>
          </cell>
        </row>
        <row r="5110">
          <cell r="G5110" t="str">
            <v xml:space="preserve">Xã Quảng Châu </v>
          </cell>
          <cell r="I5110" t="str">
            <v>40105</v>
          </cell>
        </row>
        <row r="5111">
          <cell r="G5111" t="str">
            <v>Xã Quảng Đại</v>
          </cell>
          <cell r="I5111" t="str">
            <v>40105</v>
          </cell>
        </row>
        <row r="5112">
          <cell r="G5112" t="str">
            <v>Xã Quảng Hùng</v>
          </cell>
          <cell r="I5112" t="str">
            <v>40105</v>
          </cell>
        </row>
        <row r="5113">
          <cell r="G5113" t="str">
            <v xml:space="preserve">Xã Quảng Minh  </v>
          </cell>
          <cell r="I5113" t="str">
            <v>40105</v>
          </cell>
        </row>
        <row r="5114">
          <cell r="G5114" t="str">
            <v>Xã Quảng Thọ</v>
          </cell>
          <cell r="I5114" t="str">
            <v>40105</v>
          </cell>
        </row>
        <row r="5115">
          <cell r="G5115" t="str">
            <v>Xã Quảng Vinh</v>
          </cell>
          <cell r="I5115" t="str">
            <v>40105</v>
          </cell>
        </row>
        <row r="5116">
          <cell r="G5116" t="str">
            <v>Xã Mường Chanh</v>
          </cell>
          <cell r="I5116" t="str">
            <v>40107</v>
          </cell>
        </row>
        <row r="5117">
          <cell r="G5117" t="str">
            <v>Xã Tam Chung</v>
          </cell>
          <cell r="I5117" t="str">
            <v>40107</v>
          </cell>
        </row>
        <row r="5118">
          <cell r="G5118" t="str">
            <v>Thị trấn Mường Lát</v>
          </cell>
          <cell r="I5118" t="str">
            <v>40107</v>
          </cell>
        </row>
        <row r="5119">
          <cell r="G5119" t="str">
            <v>Xã Quang Chiểu</v>
          </cell>
          <cell r="I5119" t="str">
            <v>40107</v>
          </cell>
        </row>
        <row r="5120">
          <cell r="G5120" t="str">
            <v>Xã Tén Tằn</v>
          </cell>
          <cell r="I5120" t="str">
            <v>40107</v>
          </cell>
        </row>
        <row r="5121">
          <cell r="G5121" t="str">
            <v>Xã Mường Lý</v>
          </cell>
          <cell r="I5121" t="str">
            <v>40107</v>
          </cell>
        </row>
        <row r="5122">
          <cell r="G5122" t="str">
            <v>Xã Trung Lý</v>
          </cell>
          <cell r="I5122" t="str">
            <v>40107</v>
          </cell>
        </row>
        <row r="5123">
          <cell r="G5123" t="str">
            <v>Xã Pù Nhi</v>
          </cell>
          <cell r="I5123" t="str">
            <v>40107</v>
          </cell>
        </row>
        <row r="5124">
          <cell r="G5124" t="str">
            <v>Xã Nhi Sơn</v>
          </cell>
          <cell r="I5124" t="str">
            <v>40107</v>
          </cell>
        </row>
        <row r="5125">
          <cell r="G5125" t="str">
            <v>Xã Phú Thanh</v>
          </cell>
          <cell r="I5125" t="str">
            <v>40109</v>
          </cell>
        </row>
        <row r="5126">
          <cell r="G5126" t="str">
            <v xml:space="preserve">Xã Nam Tiến  </v>
          </cell>
          <cell r="I5126" t="str">
            <v>40109</v>
          </cell>
        </row>
        <row r="5127">
          <cell r="G5127" t="str">
            <v xml:space="preserve">Xã Thanh Xuân  </v>
          </cell>
          <cell r="I5127" t="str">
            <v>40109</v>
          </cell>
        </row>
        <row r="5128">
          <cell r="G5128" t="str">
            <v>Xã Hồi Xuân</v>
          </cell>
          <cell r="I5128" t="str">
            <v>40109</v>
          </cell>
        </row>
        <row r="5129">
          <cell r="G5129" t="str">
            <v>Xã Nam Động</v>
          </cell>
          <cell r="I5129" t="str">
            <v>40109</v>
          </cell>
        </row>
        <row r="5130">
          <cell r="G5130" t="str">
            <v>Thị trấn Quan Hóa</v>
          </cell>
          <cell r="I5130" t="str">
            <v>40109</v>
          </cell>
        </row>
        <row r="5131">
          <cell r="G5131" t="str">
            <v>Xã Thành Sơn</v>
          </cell>
          <cell r="I5131" t="str">
            <v>40109</v>
          </cell>
        </row>
        <row r="5132">
          <cell r="G5132" t="str">
            <v xml:space="preserve">Xã Trung Sơn    </v>
          </cell>
          <cell r="I5132" t="str">
            <v>40109</v>
          </cell>
        </row>
        <row r="5133">
          <cell r="G5133" t="str">
            <v xml:space="preserve">Xã Trung Thành     </v>
          </cell>
          <cell r="I5133" t="str">
            <v>40109</v>
          </cell>
        </row>
        <row r="5134">
          <cell r="G5134" t="str">
            <v>Xã Phú Lệ</v>
          </cell>
          <cell r="I5134" t="str">
            <v>40109</v>
          </cell>
        </row>
        <row r="5135">
          <cell r="G5135" t="str">
            <v xml:space="preserve">Xã Phú Sơn  </v>
          </cell>
          <cell r="I5135" t="str">
            <v>40109</v>
          </cell>
        </row>
        <row r="5136">
          <cell r="G5136" t="str">
            <v xml:space="preserve">Xã Phú Xuân  </v>
          </cell>
          <cell r="I5136" t="str">
            <v>40109</v>
          </cell>
        </row>
        <row r="5137">
          <cell r="G5137" t="str">
            <v>Xã Hiền Chung</v>
          </cell>
          <cell r="I5137" t="str">
            <v>40109</v>
          </cell>
        </row>
        <row r="5138">
          <cell r="G5138" t="str">
            <v>Xã Hiền Kiệt</v>
          </cell>
          <cell r="I5138" t="str">
            <v>40109</v>
          </cell>
        </row>
        <row r="5139">
          <cell r="G5139" t="str">
            <v>Xã Thiên Phú</v>
          </cell>
          <cell r="I5139" t="str">
            <v>40109</v>
          </cell>
        </row>
        <row r="5140">
          <cell r="G5140" t="str">
            <v>Xã Phú Nghiêm</v>
          </cell>
          <cell r="I5140" t="str">
            <v>40109</v>
          </cell>
        </row>
        <row r="5141">
          <cell r="G5141" t="str">
            <v>Xã Nam Xuân</v>
          </cell>
          <cell r="I5141" t="str">
            <v>40109</v>
          </cell>
        </row>
        <row r="5142">
          <cell r="G5142" t="str">
            <v xml:space="preserve">Xã Xuân Phú   </v>
          </cell>
          <cell r="I5142" t="str">
            <v>40109</v>
          </cell>
        </row>
        <row r="5143">
          <cell r="G5143" t="str">
            <v>Thị trấn Quan Sơn</v>
          </cell>
          <cell r="I5143" t="str">
            <v>40111</v>
          </cell>
        </row>
        <row r="5144">
          <cell r="G5144" t="str">
            <v>Xã Mường Mìn</v>
          </cell>
          <cell r="I5144" t="str">
            <v>40111</v>
          </cell>
        </row>
        <row r="5145">
          <cell r="G5145" t="str">
            <v>Xã Trung Hạ</v>
          </cell>
          <cell r="I5145" t="str">
            <v>40111</v>
          </cell>
        </row>
        <row r="5146">
          <cell r="G5146" t="str">
            <v xml:space="preserve">Xã Sơn Thủy  </v>
          </cell>
          <cell r="I5146" t="str">
            <v>40111</v>
          </cell>
        </row>
        <row r="5147">
          <cell r="G5147" t="str">
            <v>Xã Sơn Điện</v>
          </cell>
          <cell r="I5147" t="str">
            <v>40111</v>
          </cell>
        </row>
        <row r="5148">
          <cell r="G5148" t="str">
            <v>Xã Trung Xuân</v>
          </cell>
          <cell r="I5148" t="str">
            <v>40111</v>
          </cell>
        </row>
        <row r="5149">
          <cell r="G5149" t="str">
            <v>Xã Trung Thượng</v>
          </cell>
          <cell r="I5149" t="str">
            <v>40111</v>
          </cell>
        </row>
        <row r="5150">
          <cell r="G5150" t="str">
            <v xml:space="preserve">Xã Sơn Hà    </v>
          </cell>
          <cell r="I5150" t="str">
            <v>40111</v>
          </cell>
        </row>
        <row r="5151">
          <cell r="G5151" t="str">
            <v xml:space="preserve">Xã Tam Thanh  </v>
          </cell>
          <cell r="I5151" t="str">
            <v>40111</v>
          </cell>
        </row>
        <row r="5152">
          <cell r="G5152" t="str">
            <v>Xã Na Mèo</v>
          </cell>
          <cell r="I5152" t="str">
            <v>40111</v>
          </cell>
        </row>
        <row r="5153">
          <cell r="G5153" t="str">
            <v>Xã Sơn Lư</v>
          </cell>
          <cell r="I5153" t="str">
            <v>40111</v>
          </cell>
        </row>
        <row r="5154">
          <cell r="G5154" t="str">
            <v>Xã Tam Lư</v>
          </cell>
          <cell r="I5154" t="str">
            <v>40111</v>
          </cell>
        </row>
        <row r="5155">
          <cell r="G5155" t="str">
            <v>Xã Trung Tiến</v>
          </cell>
          <cell r="I5155" t="str">
            <v>40111</v>
          </cell>
        </row>
        <row r="5156">
          <cell r="G5156" t="str">
            <v>Xã Điền Quang</v>
          </cell>
          <cell r="I5156" t="str">
            <v>40113</v>
          </cell>
        </row>
        <row r="5157">
          <cell r="G5157" t="str">
            <v>Xã Hạ Trung</v>
          </cell>
          <cell r="I5157" t="str">
            <v>40113</v>
          </cell>
        </row>
        <row r="5158">
          <cell r="G5158" t="str">
            <v>Xã Điền Hạ</v>
          </cell>
          <cell r="I5158" t="str">
            <v>40113</v>
          </cell>
        </row>
        <row r="5159">
          <cell r="G5159" t="str">
            <v>Xã Lương Ngoại</v>
          </cell>
          <cell r="I5159" t="str">
            <v>40113</v>
          </cell>
        </row>
        <row r="5160">
          <cell r="G5160" t="str">
            <v>Xã Lương Trung</v>
          </cell>
          <cell r="I5160" t="str">
            <v>40113</v>
          </cell>
        </row>
        <row r="5161">
          <cell r="G5161" t="str">
            <v xml:space="preserve">Xã Cổ Lũng </v>
          </cell>
          <cell r="I5161" t="str">
            <v>40113</v>
          </cell>
        </row>
        <row r="5162">
          <cell r="G5162" t="str">
            <v>Xã Văn Nho</v>
          </cell>
          <cell r="I5162" t="str">
            <v>40113</v>
          </cell>
        </row>
        <row r="5163">
          <cell r="G5163" t="str">
            <v xml:space="preserve">Xã Tân Lập              </v>
          </cell>
          <cell r="I5163" t="str">
            <v>40113</v>
          </cell>
        </row>
        <row r="5164">
          <cell r="G5164" t="str">
            <v>Thị trấn Cành Nàng</v>
          </cell>
          <cell r="I5164" t="str">
            <v>40113</v>
          </cell>
        </row>
        <row r="5165">
          <cell r="G5165" t="str">
            <v>Xã Điền Thượng</v>
          </cell>
          <cell r="I5165" t="str">
            <v>40113</v>
          </cell>
        </row>
        <row r="5166">
          <cell r="G5166" t="str">
            <v>Xã Điền Trung</v>
          </cell>
          <cell r="I5166" t="str">
            <v>40113</v>
          </cell>
        </row>
        <row r="5167">
          <cell r="G5167" t="str">
            <v xml:space="preserve">Xã Thành Sơn </v>
          </cell>
          <cell r="I5167" t="str">
            <v>40113</v>
          </cell>
        </row>
        <row r="5168">
          <cell r="G5168" t="str">
            <v>Xã ái Thượng</v>
          </cell>
          <cell r="I5168" t="str">
            <v>40113</v>
          </cell>
        </row>
        <row r="5169">
          <cell r="G5169" t="str">
            <v>Xã Lương Nội</v>
          </cell>
          <cell r="I5169" t="str">
            <v>40113</v>
          </cell>
        </row>
        <row r="5170">
          <cell r="G5170" t="str">
            <v>Xã Điền Lư</v>
          </cell>
          <cell r="I5170" t="str">
            <v>40113</v>
          </cell>
        </row>
        <row r="5171">
          <cell r="G5171" t="str">
            <v>Xã Lũng Niêm</v>
          </cell>
          <cell r="I5171" t="str">
            <v>40113</v>
          </cell>
        </row>
        <row r="5172">
          <cell r="G5172" t="str">
            <v>Xã Lũng Cao</v>
          </cell>
          <cell r="I5172" t="str">
            <v>40113</v>
          </cell>
        </row>
        <row r="5173">
          <cell r="G5173" t="str">
            <v>Xã Thành Lâm</v>
          </cell>
          <cell r="I5173" t="str">
            <v>40113</v>
          </cell>
        </row>
        <row r="5174">
          <cell r="G5174" t="str">
            <v>Xã Ban Công</v>
          </cell>
          <cell r="I5174" t="str">
            <v>40113</v>
          </cell>
        </row>
        <row r="5175">
          <cell r="G5175" t="str">
            <v>Xã Kỳ Tân</v>
          </cell>
          <cell r="I5175" t="str">
            <v>40113</v>
          </cell>
        </row>
        <row r="5176">
          <cell r="G5176" t="str">
            <v>Xã Thiết ống</v>
          </cell>
          <cell r="I5176" t="str">
            <v>40113</v>
          </cell>
        </row>
        <row r="5177">
          <cell r="G5177" t="str">
            <v>Xã Lâm Sa</v>
          </cell>
          <cell r="I5177" t="str">
            <v>40113</v>
          </cell>
        </row>
        <row r="5178">
          <cell r="G5178" t="str">
            <v>Xã Thiết Kế</v>
          </cell>
          <cell r="I5178" t="str">
            <v>40113</v>
          </cell>
        </row>
        <row r="5179">
          <cell r="G5179" t="str">
            <v>Xã Cẩm Giang</v>
          </cell>
          <cell r="I5179" t="str">
            <v>40115</v>
          </cell>
        </row>
        <row r="5180">
          <cell r="G5180" t="str">
            <v>Xã Cẩm Tân</v>
          </cell>
          <cell r="I5180" t="str">
            <v>40115</v>
          </cell>
        </row>
        <row r="5181">
          <cell r="G5181" t="str">
            <v xml:space="preserve">Xã Cẩm Yên </v>
          </cell>
          <cell r="I5181" t="str">
            <v>40115</v>
          </cell>
        </row>
        <row r="5182">
          <cell r="G5182" t="str">
            <v>Xã Phúc Do</v>
          </cell>
          <cell r="I5182" t="str">
            <v>40115</v>
          </cell>
        </row>
        <row r="5183">
          <cell r="G5183" t="str">
            <v>Xã Cẩm Thạch</v>
          </cell>
          <cell r="I5183" t="str">
            <v>40115</v>
          </cell>
        </row>
        <row r="5184">
          <cell r="G5184" t="str">
            <v>Xã Cẩm Tú</v>
          </cell>
          <cell r="I5184" t="str">
            <v>40115</v>
          </cell>
        </row>
        <row r="5185">
          <cell r="G5185" t="str">
            <v>Xã Cẩm Tâm</v>
          </cell>
          <cell r="I5185" t="str">
            <v>40115</v>
          </cell>
        </row>
        <row r="5186">
          <cell r="G5186" t="str">
            <v>Thị trấn Cẩm Thủy</v>
          </cell>
          <cell r="I5186" t="str">
            <v>40115</v>
          </cell>
        </row>
        <row r="5187">
          <cell r="G5187" t="str">
            <v>Xã Cẩm Thành</v>
          </cell>
          <cell r="I5187" t="str">
            <v>40115</v>
          </cell>
        </row>
        <row r="5188">
          <cell r="G5188" t="str">
            <v>Xã Cẩm Quý</v>
          </cell>
          <cell r="I5188" t="str">
            <v>40115</v>
          </cell>
        </row>
        <row r="5189">
          <cell r="G5189" t="str">
            <v>Xã Cẩm Lương</v>
          </cell>
          <cell r="I5189" t="str">
            <v>40115</v>
          </cell>
        </row>
        <row r="5190">
          <cell r="G5190" t="str">
            <v>Xã Cẩm Liên</v>
          </cell>
          <cell r="I5190" t="str">
            <v>40115</v>
          </cell>
        </row>
        <row r="5191">
          <cell r="G5191" t="str">
            <v>Xã Cẩm Bình</v>
          </cell>
          <cell r="I5191" t="str">
            <v>40115</v>
          </cell>
        </row>
        <row r="5192">
          <cell r="G5192" t="str">
            <v xml:space="preserve">Xã Cẩm Sơn </v>
          </cell>
          <cell r="I5192" t="str">
            <v>40115</v>
          </cell>
        </row>
        <row r="5193">
          <cell r="G5193" t="str">
            <v>Xã Cẩm Châu</v>
          </cell>
          <cell r="I5193" t="str">
            <v>40115</v>
          </cell>
        </row>
        <row r="5194">
          <cell r="G5194" t="str">
            <v>Xã Cẩm Phong</v>
          </cell>
          <cell r="I5194" t="str">
            <v>40115</v>
          </cell>
        </row>
        <row r="5195">
          <cell r="G5195" t="str">
            <v>Xã Cẩm Ngọc</v>
          </cell>
          <cell r="I5195" t="str">
            <v>40115</v>
          </cell>
        </row>
        <row r="5196">
          <cell r="G5196" t="str">
            <v>Xã Cẩm Long</v>
          </cell>
          <cell r="I5196" t="str">
            <v>40115</v>
          </cell>
        </row>
        <row r="5197">
          <cell r="G5197" t="str">
            <v>Xã Cẩm Phú</v>
          </cell>
          <cell r="I5197" t="str">
            <v>40115</v>
          </cell>
        </row>
        <row r="5198">
          <cell r="G5198" t="str">
            <v>Xã Cẩm Vân</v>
          </cell>
          <cell r="I5198" t="str">
            <v>40115</v>
          </cell>
        </row>
        <row r="5199">
          <cell r="G5199" t="str">
            <v>Xã Quang Hiến</v>
          </cell>
          <cell r="I5199" t="str">
            <v>40117</v>
          </cell>
        </row>
        <row r="5200">
          <cell r="G5200" t="str">
            <v xml:space="preserve">Xã Yên Thắng   </v>
          </cell>
          <cell r="I5200" t="str">
            <v>40117</v>
          </cell>
        </row>
        <row r="5201">
          <cell r="G5201" t="str">
            <v xml:space="preserve">Xã Tân Phúc </v>
          </cell>
          <cell r="I5201" t="str">
            <v>40117</v>
          </cell>
        </row>
        <row r="5202">
          <cell r="G5202" t="str">
            <v xml:space="preserve">Xã Đồng Lương </v>
          </cell>
          <cell r="I5202" t="str">
            <v>40117</v>
          </cell>
        </row>
        <row r="5203">
          <cell r="G5203" t="str">
            <v>Thị trấn Lang Chánh</v>
          </cell>
          <cell r="I5203" t="str">
            <v>40117</v>
          </cell>
        </row>
        <row r="5204">
          <cell r="G5204" t="str">
            <v>Xã Yên Khương</v>
          </cell>
          <cell r="I5204" t="str">
            <v>40117</v>
          </cell>
        </row>
        <row r="5205">
          <cell r="G5205" t="str">
            <v>Xã Trí Nang</v>
          </cell>
          <cell r="I5205" t="str">
            <v>40117</v>
          </cell>
        </row>
        <row r="5206">
          <cell r="G5206" t="str">
            <v xml:space="preserve">Xã Giao An </v>
          </cell>
          <cell r="I5206" t="str">
            <v>40117</v>
          </cell>
        </row>
        <row r="5207">
          <cell r="G5207" t="str">
            <v xml:space="preserve">Xã Giao Thiện </v>
          </cell>
          <cell r="I5207" t="str">
            <v>40117</v>
          </cell>
        </row>
        <row r="5208">
          <cell r="G5208" t="str">
            <v>Xã Tam Văn</v>
          </cell>
          <cell r="I5208" t="str">
            <v>40117</v>
          </cell>
        </row>
        <row r="5209">
          <cell r="G5209" t="str">
            <v>Xã Lâm Phú</v>
          </cell>
          <cell r="I5209" t="str">
            <v>40117</v>
          </cell>
        </row>
        <row r="5210">
          <cell r="G5210" t="str">
            <v>Xã Thành Mỹ</v>
          </cell>
          <cell r="I5210" t="str">
            <v>40119</v>
          </cell>
        </row>
        <row r="5211">
          <cell r="G5211" t="str">
            <v>Xã Thành An</v>
          </cell>
          <cell r="I5211" t="str">
            <v>40119</v>
          </cell>
        </row>
        <row r="5212">
          <cell r="G5212" t="str">
            <v>Thị trấn Kim Tân</v>
          </cell>
          <cell r="I5212" t="str">
            <v>40119</v>
          </cell>
        </row>
        <row r="5213">
          <cell r="G5213" t="str">
            <v>Xã Thạch Quảng</v>
          </cell>
          <cell r="I5213" t="str">
            <v>40119</v>
          </cell>
        </row>
        <row r="5214">
          <cell r="G5214" t="str">
            <v>Xã Thành Minh</v>
          </cell>
          <cell r="I5214" t="str">
            <v>40119</v>
          </cell>
        </row>
        <row r="5215">
          <cell r="G5215" t="str">
            <v>Xã Thành Vân</v>
          </cell>
          <cell r="I5215" t="str">
            <v>40119</v>
          </cell>
        </row>
        <row r="5216">
          <cell r="G5216" t="str">
            <v>Xã Thành Tiến</v>
          </cell>
          <cell r="I5216" t="str">
            <v>40119</v>
          </cell>
        </row>
        <row r="5217">
          <cell r="G5217" t="str">
            <v>Xã Thạch Cẩm</v>
          </cell>
          <cell r="I5217" t="str">
            <v>40119</v>
          </cell>
        </row>
        <row r="5218">
          <cell r="G5218" t="str">
            <v xml:space="preserve">Xã Thạch Sơn  </v>
          </cell>
          <cell r="I5218" t="str">
            <v>40119</v>
          </cell>
        </row>
        <row r="5219">
          <cell r="G5219" t="str">
            <v xml:space="preserve">Xã Thạch Bình </v>
          </cell>
          <cell r="I5219" t="str">
            <v>40119</v>
          </cell>
        </row>
        <row r="5220">
          <cell r="G5220" t="str">
            <v>Xã Thạch Định</v>
          </cell>
          <cell r="I5220" t="str">
            <v>40119</v>
          </cell>
        </row>
        <row r="5221">
          <cell r="G5221" t="str">
            <v xml:space="preserve">Xã Thạch Đồng </v>
          </cell>
          <cell r="I5221" t="str">
            <v>40119</v>
          </cell>
        </row>
        <row r="5222">
          <cell r="G5222" t="str">
            <v>Xã Thạch Long</v>
          </cell>
          <cell r="I5222" t="str">
            <v>40119</v>
          </cell>
        </row>
        <row r="5223">
          <cell r="G5223" t="str">
            <v>Xã Thành Yên</v>
          </cell>
          <cell r="I5223" t="str">
            <v>40119</v>
          </cell>
        </row>
        <row r="5224">
          <cell r="G5224" t="str">
            <v>Xã Thành Vinh</v>
          </cell>
          <cell r="I5224" t="str">
            <v>40119</v>
          </cell>
        </row>
        <row r="5225">
          <cell r="G5225" t="str">
            <v xml:space="preserve">Xã Thành Công   </v>
          </cell>
          <cell r="I5225" t="str">
            <v>40119</v>
          </cell>
        </row>
        <row r="5226">
          <cell r="G5226" t="str">
            <v>Xã Thành Tân</v>
          </cell>
          <cell r="I5226" t="str">
            <v>40119</v>
          </cell>
        </row>
        <row r="5227">
          <cell r="G5227" t="str">
            <v>Xã Thành Trực</v>
          </cell>
          <cell r="I5227" t="str">
            <v>40119</v>
          </cell>
        </row>
        <row r="5228">
          <cell r="G5228" t="str">
            <v>Xã Thành Tâm</v>
          </cell>
          <cell r="I5228" t="str">
            <v>40119</v>
          </cell>
        </row>
        <row r="5229">
          <cell r="G5229" t="str">
            <v>Xã Thành Thọ</v>
          </cell>
          <cell r="I5229" t="str">
            <v>40119</v>
          </cell>
        </row>
        <row r="5230">
          <cell r="G5230" t="str">
            <v xml:space="preserve">Xã Thành Long </v>
          </cell>
          <cell r="I5230" t="str">
            <v>40119</v>
          </cell>
        </row>
        <row r="5231">
          <cell r="G5231" t="str">
            <v>Xã Thành Kim</v>
          </cell>
          <cell r="I5231" t="str">
            <v>40119</v>
          </cell>
        </row>
        <row r="5232">
          <cell r="G5232" t="str">
            <v>Xã Thành Hưng</v>
          </cell>
          <cell r="I5232" t="str">
            <v>40119</v>
          </cell>
        </row>
        <row r="5233">
          <cell r="G5233" t="str">
            <v>Xã Ngọc Trạo</v>
          </cell>
          <cell r="I5233" t="str">
            <v>40119</v>
          </cell>
        </row>
        <row r="5234">
          <cell r="G5234" t="str">
            <v>Thị trấn Vân Du</v>
          </cell>
          <cell r="I5234" t="str">
            <v>40119</v>
          </cell>
        </row>
        <row r="5235">
          <cell r="G5235" t="str">
            <v>Xã Thạch Tân</v>
          </cell>
          <cell r="I5235" t="str">
            <v>40119</v>
          </cell>
        </row>
        <row r="5236">
          <cell r="G5236" t="str">
            <v xml:space="preserve">Xã Thạch Lâm </v>
          </cell>
          <cell r="I5236" t="str">
            <v>40119</v>
          </cell>
        </row>
        <row r="5237">
          <cell r="G5237" t="str">
            <v>Xã Thạch Tượng</v>
          </cell>
          <cell r="I5237" t="str">
            <v>40119</v>
          </cell>
        </row>
        <row r="5238">
          <cell r="G5238" t="str">
            <v xml:space="preserve">Xã Quang Trung          </v>
          </cell>
          <cell r="I5238" t="str">
            <v>40121</v>
          </cell>
        </row>
        <row r="5239">
          <cell r="G5239" t="str">
            <v>Xã Nguyệt ấn</v>
          </cell>
          <cell r="I5239" t="str">
            <v>40121</v>
          </cell>
        </row>
        <row r="5240">
          <cell r="G5240" t="str">
            <v>Xã Thúy Sơn</v>
          </cell>
          <cell r="I5240" t="str">
            <v>40121</v>
          </cell>
        </row>
        <row r="5241">
          <cell r="G5241" t="str">
            <v xml:space="preserve">Xã Ngọc Khê </v>
          </cell>
          <cell r="I5241" t="str">
            <v>40121</v>
          </cell>
        </row>
        <row r="5242">
          <cell r="G5242" t="str">
            <v xml:space="preserve">Xã Ngọc Sơn    </v>
          </cell>
          <cell r="I5242" t="str">
            <v>40121</v>
          </cell>
        </row>
        <row r="5243">
          <cell r="G5243" t="str">
            <v>Xã Phùng Giáo</v>
          </cell>
          <cell r="I5243" t="str">
            <v>40121</v>
          </cell>
        </row>
        <row r="5244">
          <cell r="G5244" t="str">
            <v>Xã Kiên Thọ</v>
          </cell>
          <cell r="I5244" t="str">
            <v>40121</v>
          </cell>
        </row>
        <row r="5245">
          <cell r="G5245" t="str">
            <v>Thị trấn Ngọc Lặc</v>
          </cell>
          <cell r="I5245" t="str">
            <v>40121</v>
          </cell>
        </row>
        <row r="5246">
          <cell r="G5246" t="str">
            <v xml:space="preserve">Xã Lam Sơn  </v>
          </cell>
          <cell r="I5246" t="str">
            <v>40121</v>
          </cell>
        </row>
        <row r="5247">
          <cell r="G5247" t="str">
            <v xml:space="preserve">Xã Mỹ Tân </v>
          </cell>
          <cell r="I5247" t="str">
            <v>40121</v>
          </cell>
        </row>
        <row r="5248">
          <cell r="G5248" t="str">
            <v>Xã Thạch Lập</v>
          </cell>
          <cell r="I5248" t="str">
            <v>40121</v>
          </cell>
        </row>
        <row r="5249">
          <cell r="G5249" t="str">
            <v>Xã Vân Am</v>
          </cell>
          <cell r="I5249" t="str">
            <v>40121</v>
          </cell>
        </row>
        <row r="5250">
          <cell r="G5250" t="str">
            <v>Xã Cao Ngọc</v>
          </cell>
          <cell r="I5250" t="str">
            <v>40121</v>
          </cell>
        </row>
        <row r="5251">
          <cell r="G5251" t="str">
            <v xml:space="preserve">Xã Đồng Thịnh   </v>
          </cell>
          <cell r="I5251" t="str">
            <v>40121</v>
          </cell>
        </row>
        <row r="5252">
          <cell r="G5252" t="str">
            <v xml:space="preserve">Xã Ngọc Liên </v>
          </cell>
          <cell r="I5252" t="str">
            <v>40121</v>
          </cell>
        </row>
        <row r="5253">
          <cell r="G5253" t="str">
            <v>Xã Lộc Thịnh</v>
          </cell>
          <cell r="I5253" t="str">
            <v>40121</v>
          </cell>
        </row>
        <row r="5254">
          <cell r="G5254" t="str">
            <v>Xã Cao Thịnh</v>
          </cell>
          <cell r="I5254" t="str">
            <v>40121</v>
          </cell>
        </row>
        <row r="5255">
          <cell r="G5255" t="str">
            <v>Xã Ngọc Trung</v>
          </cell>
          <cell r="I5255" t="str">
            <v>40121</v>
          </cell>
        </row>
        <row r="5256">
          <cell r="G5256" t="str">
            <v>Xã Phùng Minh</v>
          </cell>
          <cell r="I5256" t="str">
            <v>40121</v>
          </cell>
        </row>
        <row r="5257">
          <cell r="G5257" t="str">
            <v xml:space="preserve">Xã Phúc Thịnh </v>
          </cell>
          <cell r="I5257" t="str">
            <v>40121</v>
          </cell>
        </row>
        <row r="5258">
          <cell r="G5258" t="str">
            <v xml:space="preserve">Xã Minh Tiến      </v>
          </cell>
          <cell r="I5258" t="str">
            <v>40121</v>
          </cell>
        </row>
        <row r="5259">
          <cell r="G5259" t="str">
            <v xml:space="preserve">Xã Minh Sơn  </v>
          </cell>
          <cell r="I5259" t="str">
            <v>40121</v>
          </cell>
        </row>
        <row r="5260">
          <cell r="G5260" t="str">
            <v>Xã Ngọc Phụng</v>
          </cell>
          <cell r="I5260" t="str">
            <v>40123</v>
          </cell>
        </row>
        <row r="5261">
          <cell r="G5261" t="str">
            <v xml:space="preserve">Xã Xuân Lộc </v>
          </cell>
          <cell r="I5261" t="str">
            <v>40123</v>
          </cell>
        </row>
        <row r="5262">
          <cell r="G5262" t="str">
            <v>Xã Thọ Thanh</v>
          </cell>
          <cell r="I5262" t="str">
            <v>40123</v>
          </cell>
        </row>
        <row r="5263">
          <cell r="G5263" t="str">
            <v>Xã Xuân Cao</v>
          </cell>
          <cell r="I5263" t="str">
            <v>40123</v>
          </cell>
        </row>
        <row r="5264">
          <cell r="G5264" t="str">
            <v>Xã Bát Mọt</v>
          </cell>
          <cell r="I5264" t="str">
            <v>40123</v>
          </cell>
        </row>
        <row r="5265">
          <cell r="G5265" t="str">
            <v>Xã Xuân Lẹ</v>
          </cell>
          <cell r="I5265" t="str">
            <v>40123</v>
          </cell>
        </row>
        <row r="5266">
          <cell r="G5266" t="str">
            <v>Thị trấn Thường Xuân</v>
          </cell>
          <cell r="I5266" t="str">
            <v>40123</v>
          </cell>
        </row>
        <row r="5267">
          <cell r="G5267" t="str">
            <v xml:space="preserve">Xã Yên Nhân  </v>
          </cell>
          <cell r="I5267" t="str">
            <v>40123</v>
          </cell>
        </row>
        <row r="5268">
          <cell r="G5268" t="str">
            <v>Xã Vạn Xuân</v>
          </cell>
          <cell r="I5268" t="str">
            <v>40123</v>
          </cell>
        </row>
        <row r="5269">
          <cell r="G5269" t="str">
            <v xml:space="preserve">Xã Lương Sơn  </v>
          </cell>
          <cell r="I5269" t="str">
            <v>40123</v>
          </cell>
        </row>
        <row r="5270">
          <cell r="G5270" t="str">
            <v>Xã Luận Thành</v>
          </cell>
          <cell r="I5270" t="str">
            <v>40123</v>
          </cell>
        </row>
        <row r="5271">
          <cell r="G5271" t="str">
            <v>Xã Luận Khê</v>
          </cell>
          <cell r="I5271" t="str">
            <v>40123</v>
          </cell>
        </row>
        <row r="5272">
          <cell r="G5272" t="str">
            <v>Xã Xuân Thắng</v>
          </cell>
          <cell r="I5272" t="str">
            <v>40123</v>
          </cell>
        </row>
        <row r="5273">
          <cell r="G5273" t="str">
            <v xml:space="preserve">Xã Xuân Cẩm </v>
          </cell>
          <cell r="I5273" t="str">
            <v>40123</v>
          </cell>
        </row>
        <row r="5274">
          <cell r="G5274" t="str">
            <v xml:space="preserve">Xã Xuân Dương   </v>
          </cell>
          <cell r="I5274" t="str">
            <v>40123</v>
          </cell>
        </row>
        <row r="5275">
          <cell r="G5275" t="str">
            <v>Xã Xuân Chinh</v>
          </cell>
          <cell r="I5275" t="str">
            <v>40123</v>
          </cell>
        </row>
        <row r="5276">
          <cell r="G5276" t="str">
            <v xml:space="preserve">Xã Tân Thành         </v>
          </cell>
          <cell r="I5276" t="str">
            <v>40123</v>
          </cell>
        </row>
        <row r="5277">
          <cell r="G5277" t="str">
            <v xml:space="preserve">Xã Thanh Lâm   </v>
          </cell>
          <cell r="I5277" t="str">
            <v>40125</v>
          </cell>
        </row>
        <row r="5278">
          <cell r="G5278" t="str">
            <v>Thị trấn Yên Cát</v>
          </cell>
          <cell r="I5278" t="str">
            <v>40125</v>
          </cell>
        </row>
        <row r="5279">
          <cell r="G5279" t="str">
            <v>Xã Bãi Trành</v>
          </cell>
          <cell r="I5279" t="str">
            <v>40125</v>
          </cell>
        </row>
        <row r="5280">
          <cell r="G5280" t="str">
            <v>Xã Xuân Quỳ</v>
          </cell>
          <cell r="I5280" t="str">
            <v>40125</v>
          </cell>
        </row>
        <row r="5281">
          <cell r="G5281" t="str">
            <v xml:space="preserve">Xã Tân Bình  </v>
          </cell>
          <cell r="I5281" t="str">
            <v>40125</v>
          </cell>
        </row>
        <row r="5282">
          <cell r="G5282" t="str">
            <v>Xã Thanh Hoà</v>
          </cell>
          <cell r="I5282" t="str">
            <v>40125</v>
          </cell>
        </row>
        <row r="5283">
          <cell r="G5283" t="str">
            <v xml:space="preserve">Xã Thanh Sơn     </v>
          </cell>
          <cell r="I5283" t="str">
            <v>40125</v>
          </cell>
        </row>
        <row r="5284">
          <cell r="G5284" t="str">
            <v>Xã Thượng Ninh</v>
          </cell>
          <cell r="I5284" t="str">
            <v>40125</v>
          </cell>
        </row>
        <row r="5285">
          <cell r="G5285" t="str">
            <v xml:space="preserve">Xã Thanh Phong </v>
          </cell>
          <cell r="I5285" t="str">
            <v>40125</v>
          </cell>
        </row>
        <row r="5286">
          <cell r="G5286" t="str">
            <v xml:space="preserve">Xã Xuân Hoà  </v>
          </cell>
          <cell r="I5286" t="str">
            <v>40125</v>
          </cell>
        </row>
        <row r="5287">
          <cell r="G5287" t="str">
            <v>Xã Xuân Bình</v>
          </cell>
          <cell r="I5287" t="str">
            <v>40125</v>
          </cell>
        </row>
        <row r="5288">
          <cell r="G5288" t="str">
            <v>Xã Hóa Quỳ</v>
          </cell>
          <cell r="I5288" t="str">
            <v>40125</v>
          </cell>
        </row>
        <row r="5289">
          <cell r="G5289" t="str">
            <v>Xã Yên Lễ</v>
          </cell>
          <cell r="I5289" t="str">
            <v>40125</v>
          </cell>
        </row>
        <row r="5290">
          <cell r="G5290" t="str">
            <v>Xã Cát Vân</v>
          </cell>
          <cell r="I5290" t="str">
            <v>40125</v>
          </cell>
        </row>
        <row r="5291">
          <cell r="G5291" t="str">
            <v>Xã Cát Tân</v>
          </cell>
          <cell r="I5291" t="str">
            <v>40125</v>
          </cell>
        </row>
        <row r="5292">
          <cell r="G5292" t="str">
            <v>Xã Bình Lương</v>
          </cell>
          <cell r="I5292" t="str">
            <v>40125</v>
          </cell>
        </row>
        <row r="5293">
          <cell r="G5293" t="str">
            <v>Xã Thanh Quân</v>
          </cell>
          <cell r="I5293" t="str">
            <v>40125</v>
          </cell>
        </row>
        <row r="5294">
          <cell r="G5294" t="str">
            <v xml:space="preserve">Xã Thanh Xuân   </v>
          </cell>
          <cell r="I5294" t="str">
            <v>40125</v>
          </cell>
        </row>
        <row r="5295">
          <cell r="G5295" t="str">
            <v xml:space="preserve">Xã Phú Nhuận  </v>
          </cell>
          <cell r="I5295" t="str">
            <v>40127</v>
          </cell>
        </row>
        <row r="5296">
          <cell r="G5296" t="str">
            <v>Xã Xuân Khang</v>
          </cell>
          <cell r="I5296" t="str">
            <v>40127</v>
          </cell>
        </row>
        <row r="5297">
          <cell r="G5297" t="str">
            <v>Xã Xuân Thái</v>
          </cell>
          <cell r="I5297" t="str">
            <v>40127</v>
          </cell>
        </row>
        <row r="5298">
          <cell r="G5298" t="str">
            <v>Xã Phúc Đường</v>
          </cell>
          <cell r="I5298" t="str">
            <v>40127</v>
          </cell>
        </row>
        <row r="5299">
          <cell r="G5299" t="str">
            <v>Thị trấn Bến Sung</v>
          </cell>
          <cell r="I5299" t="str">
            <v>40127</v>
          </cell>
        </row>
        <row r="5300">
          <cell r="G5300" t="str">
            <v>Xã Cán Khê</v>
          </cell>
          <cell r="I5300" t="str">
            <v>40127</v>
          </cell>
        </row>
        <row r="5301">
          <cell r="G5301" t="str">
            <v>Xã Xuân Du</v>
          </cell>
          <cell r="I5301" t="str">
            <v>40127</v>
          </cell>
        </row>
        <row r="5302">
          <cell r="G5302" t="str">
            <v>Xã Xuân Thọ</v>
          </cell>
          <cell r="I5302" t="str">
            <v>40127</v>
          </cell>
        </row>
        <row r="5303">
          <cell r="G5303" t="str">
            <v>Xã Phượng Nghi</v>
          </cell>
          <cell r="I5303" t="str">
            <v>40127</v>
          </cell>
        </row>
        <row r="5304">
          <cell r="G5304" t="str">
            <v>Xã Mậu Lâm</v>
          </cell>
          <cell r="I5304" t="str">
            <v>40127</v>
          </cell>
        </row>
        <row r="5305">
          <cell r="G5305" t="str">
            <v xml:space="preserve">Xã Hải Long </v>
          </cell>
          <cell r="I5305" t="str">
            <v>40127</v>
          </cell>
        </row>
        <row r="5306">
          <cell r="G5306" t="str">
            <v xml:space="preserve">Xã Hải Vân </v>
          </cell>
          <cell r="I5306" t="str">
            <v>40127</v>
          </cell>
        </row>
        <row r="5307">
          <cell r="G5307" t="str">
            <v>Xã Xuân Phúc</v>
          </cell>
          <cell r="I5307" t="str">
            <v>40127</v>
          </cell>
        </row>
        <row r="5308">
          <cell r="G5308" t="str">
            <v xml:space="preserve">Xã Yên Thọ  </v>
          </cell>
          <cell r="I5308" t="str">
            <v>40127</v>
          </cell>
        </row>
        <row r="5309">
          <cell r="G5309" t="str">
            <v xml:space="preserve">Xã Yên Lạc   </v>
          </cell>
          <cell r="I5309" t="str">
            <v>40127</v>
          </cell>
        </row>
        <row r="5310">
          <cell r="G5310" t="str">
            <v xml:space="preserve">Xã Thanh Tân  </v>
          </cell>
          <cell r="I5310" t="str">
            <v>40127</v>
          </cell>
        </row>
        <row r="5311">
          <cell r="G5311" t="str">
            <v>Xã Thanh Kỳ</v>
          </cell>
          <cell r="I5311" t="str">
            <v>40127</v>
          </cell>
        </row>
        <row r="5312">
          <cell r="G5312" t="str">
            <v xml:space="preserve">Xã Vĩnh Long </v>
          </cell>
          <cell r="I5312" t="str">
            <v>40129</v>
          </cell>
        </row>
        <row r="5313">
          <cell r="G5313" t="str">
            <v xml:space="preserve">Xã Vĩnh Quang  </v>
          </cell>
          <cell r="I5313" t="str">
            <v>40129</v>
          </cell>
        </row>
        <row r="5314">
          <cell r="G5314" t="str">
            <v xml:space="preserve">Xã Vĩnh Phúc </v>
          </cell>
          <cell r="I5314" t="str">
            <v>40129</v>
          </cell>
        </row>
        <row r="5315">
          <cell r="G5315" t="str">
            <v xml:space="preserve">Xã Vĩnh Hòa </v>
          </cell>
          <cell r="I5315" t="str">
            <v>40129</v>
          </cell>
        </row>
        <row r="5316">
          <cell r="G5316" t="str">
            <v xml:space="preserve">Xã Vĩnh Thịnh </v>
          </cell>
          <cell r="I5316" t="str">
            <v>40129</v>
          </cell>
        </row>
        <row r="5317">
          <cell r="G5317" t="str">
            <v xml:space="preserve">Thị trấn Vĩnh Lộc </v>
          </cell>
          <cell r="I5317" t="str">
            <v>40129</v>
          </cell>
        </row>
        <row r="5318">
          <cell r="G5318" t="str">
            <v>Xã Vĩnh Thành</v>
          </cell>
          <cell r="I5318" t="str">
            <v>40129</v>
          </cell>
        </row>
        <row r="5319">
          <cell r="G5319" t="str">
            <v xml:space="preserve">Xã Vĩnh Yên   </v>
          </cell>
          <cell r="I5319" t="str">
            <v>40129</v>
          </cell>
        </row>
        <row r="5320">
          <cell r="G5320" t="str">
            <v xml:space="preserve">Xã Vĩnh Tiến   </v>
          </cell>
          <cell r="I5320" t="str">
            <v>40129</v>
          </cell>
        </row>
        <row r="5321">
          <cell r="G5321" t="str">
            <v>Xã Vĩnh Hưng</v>
          </cell>
          <cell r="I5321" t="str">
            <v>40129</v>
          </cell>
        </row>
        <row r="5322">
          <cell r="G5322" t="str">
            <v>Xã Vĩnh Minh</v>
          </cell>
          <cell r="I5322" t="str">
            <v>40129</v>
          </cell>
        </row>
        <row r="5323">
          <cell r="G5323" t="str">
            <v>Xã Vĩnh Khang</v>
          </cell>
          <cell r="I5323" t="str">
            <v>40129</v>
          </cell>
        </row>
        <row r="5324">
          <cell r="G5324" t="str">
            <v>Xã Vĩnh Hùng</v>
          </cell>
          <cell r="I5324" t="str">
            <v>40129</v>
          </cell>
        </row>
        <row r="5325">
          <cell r="G5325" t="str">
            <v>Xã Vĩnh Tân</v>
          </cell>
          <cell r="I5325" t="str">
            <v>40129</v>
          </cell>
        </row>
        <row r="5326">
          <cell r="G5326" t="str">
            <v xml:space="preserve">Xã Vĩnh Ninh </v>
          </cell>
          <cell r="I5326" t="str">
            <v>40129</v>
          </cell>
        </row>
        <row r="5327">
          <cell r="G5327" t="str">
            <v xml:space="preserve">Xã Vĩnh An </v>
          </cell>
          <cell r="I5327" t="str">
            <v>40129</v>
          </cell>
        </row>
        <row r="5328">
          <cell r="G5328" t="str">
            <v>Xã Hà Vinh</v>
          </cell>
          <cell r="I5328" t="str">
            <v>40131</v>
          </cell>
        </row>
        <row r="5329">
          <cell r="G5329" t="str">
            <v>Xã Hà Ngọc</v>
          </cell>
          <cell r="I5329" t="str">
            <v>40131</v>
          </cell>
        </row>
        <row r="5330">
          <cell r="G5330" t="str">
            <v xml:space="preserve">Xã Hà Châu </v>
          </cell>
          <cell r="I5330" t="str">
            <v>40131</v>
          </cell>
        </row>
        <row r="5331">
          <cell r="G5331" t="str">
            <v>Thị trấn Hà Trung</v>
          </cell>
          <cell r="I5331" t="str">
            <v>40131</v>
          </cell>
        </row>
        <row r="5332">
          <cell r="G5332" t="str">
            <v>Xã Hà Vân</v>
          </cell>
          <cell r="I5332" t="str">
            <v>40131</v>
          </cell>
        </row>
        <row r="5333">
          <cell r="G5333" t="str">
            <v>Xã Hà Dương</v>
          </cell>
          <cell r="I5333" t="str">
            <v>40131</v>
          </cell>
        </row>
        <row r="5334">
          <cell r="G5334" t="str">
            <v>Xã Hà Ninh</v>
          </cell>
          <cell r="I5334" t="str">
            <v>40131</v>
          </cell>
        </row>
        <row r="5335">
          <cell r="G5335" t="str">
            <v>Xã Hà Lĩnh</v>
          </cell>
          <cell r="I5335" t="str">
            <v>40131</v>
          </cell>
        </row>
        <row r="5336">
          <cell r="G5336" t="str">
            <v>Xã Hà Bình</v>
          </cell>
          <cell r="I5336" t="str">
            <v>40131</v>
          </cell>
        </row>
        <row r="5337">
          <cell r="G5337" t="str">
            <v>Xã Hà Thái</v>
          </cell>
          <cell r="I5337" t="str">
            <v>40131</v>
          </cell>
        </row>
        <row r="5338">
          <cell r="G5338" t="str">
            <v>Xã Hà Long</v>
          </cell>
          <cell r="I5338" t="str">
            <v>40131</v>
          </cell>
        </row>
        <row r="5339">
          <cell r="G5339" t="str">
            <v>Xã Hà Bắc</v>
          </cell>
          <cell r="I5339" t="str">
            <v>40131</v>
          </cell>
        </row>
        <row r="5340">
          <cell r="G5340" t="str">
            <v>Xã Hà Yên</v>
          </cell>
          <cell r="I5340" t="str">
            <v>40131</v>
          </cell>
        </row>
        <row r="5341">
          <cell r="G5341" t="str">
            <v xml:space="preserve">Xã Hà Thanh </v>
          </cell>
          <cell r="I5341" t="str">
            <v>40131</v>
          </cell>
        </row>
        <row r="5342">
          <cell r="G5342" t="str">
            <v>Xã Hà Giang</v>
          </cell>
          <cell r="I5342" t="str">
            <v>40131</v>
          </cell>
        </row>
        <row r="5343">
          <cell r="G5343" t="str">
            <v>Xã Hà Phú</v>
          </cell>
          <cell r="I5343" t="str">
            <v>40131</v>
          </cell>
        </row>
        <row r="5344">
          <cell r="G5344" t="str">
            <v>Xã Hà Phong</v>
          </cell>
          <cell r="I5344" t="str">
            <v>40131</v>
          </cell>
        </row>
        <row r="5345">
          <cell r="G5345" t="str">
            <v>Xã Hà Lâm</v>
          </cell>
          <cell r="I5345" t="str">
            <v>40131</v>
          </cell>
        </row>
        <row r="5346">
          <cell r="G5346" t="str">
            <v>Xã Hà Sơn</v>
          </cell>
          <cell r="I5346" t="str">
            <v>40131</v>
          </cell>
        </row>
        <row r="5347">
          <cell r="G5347" t="str">
            <v>Xã Hà Đông</v>
          </cell>
          <cell r="I5347" t="str">
            <v>40131</v>
          </cell>
        </row>
        <row r="5348">
          <cell r="G5348" t="str">
            <v>Xã Hà Tân</v>
          </cell>
          <cell r="I5348" t="str">
            <v>40131</v>
          </cell>
        </row>
        <row r="5349">
          <cell r="G5349" t="str">
            <v>Xã Hà Tiến</v>
          </cell>
          <cell r="I5349" t="str">
            <v>40131</v>
          </cell>
        </row>
        <row r="5350">
          <cell r="G5350" t="str">
            <v>Xã Hà Lai</v>
          </cell>
          <cell r="I5350" t="str">
            <v>40131</v>
          </cell>
        </row>
        <row r="5351">
          <cell r="G5351" t="str">
            <v>Xã Hà Toại</v>
          </cell>
          <cell r="I5351" t="str">
            <v>40131</v>
          </cell>
        </row>
        <row r="5352">
          <cell r="G5352" t="str">
            <v>Xã Hà Hải</v>
          </cell>
          <cell r="I5352" t="str">
            <v>40131</v>
          </cell>
        </row>
        <row r="5353">
          <cell r="G5353" t="str">
            <v>Xã Nga Tiến</v>
          </cell>
          <cell r="I5353" t="str">
            <v>40133</v>
          </cell>
        </row>
        <row r="5354">
          <cell r="G5354" t="str">
            <v>Xã Nga An</v>
          </cell>
          <cell r="I5354" t="str">
            <v>40133</v>
          </cell>
        </row>
        <row r="5355">
          <cell r="G5355" t="str">
            <v>Xã Ba Đình</v>
          </cell>
          <cell r="I5355" t="str">
            <v>40133</v>
          </cell>
        </row>
        <row r="5356">
          <cell r="G5356" t="str">
            <v>Xã Nga Thiện</v>
          </cell>
          <cell r="I5356" t="str">
            <v>40133</v>
          </cell>
        </row>
        <row r="5357">
          <cell r="G5357" t="str">
            <v>Xã Nga Trung</v>
          </cell>
          <cell r="I5357" t="str">
            <v>40133</v>
          </cell>
        </row>
        <row r="5358">
          <cell r="G5358" t="str">
            <v>Xã Nga Mỹ</v>
          </cell>
          <cell r="I5358" t="str">
            <v>40133</v>
          </cell>
        </row>
        <row r="5359">
          <cell r="G5359" t="str">
            <v>Xã Nga Thành</v>
          </cell>
          <cell r="I5359" t="str">
            <v>40133</v>
          </cell>
        </row>
        <row r="5360">
          <cell r="G5360" t="str">
            <v>Xã Nga Tân</v>
          </cell>
          <cell r="I5360" t="str">
            <v>40133</v>
          </cell>
        </row>
        <row r="5361">
          <cell r="G5361" t="str">
            <v>Xã Nga Thạch</v>
          </cell>
          <cell r="I5361" t="str">
            <v>40133</v>
          </cell>
        </row>
        <row r="5362">
          <cell r="G5362" t="str">
            <v>Thị trấn Nga Sơn</v>
          </cell>
          <cell r="I5362" t="str">
            <v>40133</v>
          </cell>
        </row>
        <row r="5363">
          <cell r="G5363" t="str">
            <v>Xã Nga Vịnh</v>
          </cell>
          <cell r="I5363" t="str">
            <v>40133</v>
          </cell>
        </row>
        <row r="5364">
          <cell r="G5364" t="str">
            <v>Xã Nga Văn</v>
          </cell>
          <cell r="I5364" t="str">
            <v>40133</v>
          </cell>
        </row>
        <row r="5365">
          <cell r="G5365" t="str">
            <v>Xã Nga Lĩnh</v>
          </cell>
          <cell r="I5365" t="str">
            <v>40133</v>
          </cell>
        </row>
        <row r="5366">
          <cell r="G5366" t="str">
            <v>Xã Nga Nhân</v>
          </cell>
          <cell r="I5366" t="str">
            <v>40133</v>
          </cell>
        </row>
        <row r="5367">
          <cell r="G5367" t="str">
            <v>Xã Nga Bạch</v>
          </cell>
          <cell r="I5367" t="str">
            <v>40133</v>
          </cell>
        </row>
        <row r="5368">
          <cell r="G5368" t="str">
            <v>Xã Nga Thanh</v>
          </cell>
          <cell r="I5368" t="str">
            <v>40133</v>
          </cell>
        </row>
        <row r="5369">
          <cell r="G5369" t="str">
            <v>Xã Nga Hưng</v>
          </cell>
          <cell r="I5369" t="str">
            <v>40133</v>
          </cell>
        </row>
        <row r="5370">
          <cell r="G5370" t="str">
            <v>Xã Nga Yên</v>
          </cell>
          <cell r="I5370" t="str">
            <v>40133</v>
          </cell>
        </row>
        <row r="5371">
          <cell r="G5371" t="str">
            <v>Xã Nga Giáp</v>
          </cell>
          <cell r="I5371" t="str">
            <v>40133</v>
          </cell>
        </row>
        <row r="5372">
          <cell r="G5372" t="str">
            <v>Xã Nga Hải</v>
          </cell>
          <cell r="I5372" t="str">
            <v>40133</v>
          </cell>
        </row>
        <row r="5373">
          <cell r="G5373" t="str">
            <v>Xã Nga Phú</v>
          </cell>
          <cell r="I5373" t="str">
            <v>40133</v>
          </cell>
        </row>
        <row r="5374">
          <cell r="G5374" t="str">
            <v>Xã Nga Điền</v>
          </cell>
          <cell r="I5374" t="str">
            <v>40133</v>
          </cell>
        </row>
        <row r="5375">
          <cell r="G5375" t="str">
            <v>Xã Nga Thủy</v>
          </cell>
          <cell r="I5375" t="str">
            <v>40133</v>
          </cell>
        </row>
        <row r="5376">
          <cell r="G5376" t="str">
            <v>Xã Nga Liên</v>
          </cell>
          <cell r="I5376" t="str">
            <v>40133</v>
          </cell>
        </row>
        <row r="5377">
          <cell r="G5377" t="str">
            <v>Xã Nga Thái</v>
          </cell>
          <cell r="I5377" t="str">
            <v>40133</v>
          </cell>
        </row>
        <row r="5378">
          <cell r="G5378" t="str">
            <v>Xã Nga Thắng</v>
          </cell>
          <cell r="I5378" t="str">
            <v>40133</v>
          </cell>
        </row>
        <row r="5379">
          <cell r="G5379" t="str">
            <v>Xã Nga Trường</v>
          </cell>
          <cell r="I5379" t="str">
            <v>40133</v>
          </cell>
        </row>
        <row r="5380">
          <cell r="G5380" t="str">
            <v>Thị trấn Quán Lào</v>
          </cell>
          <cell r="I5380" t="str">
            <v>40135</v>
          </cell>
        </row>
        <row r="5381">
          <cell r="G5381" t="str">
            <v xml:space="preserve">Xã Yên Phong   </v>
          </cell>
          <cell r="I5381" t="str">
            <v>40135</v>
          </cell>
        </row>
        <row r="5382">
          <cell r="G5382" t="str">
            <v>Xã Định Công</v>
          </cell>
          <cell r="I5382" t="str">
            <v>40135</v>
          </cell>
        </row>
        <row r="5383">
          <cell r="G5383" t="str">
            <v xml:space="preserve">Xã Yên Phú      </v>
          </cell>
          <cell r="I5383" t="str">
            <v>40135</v>
          </cell>
        </row>
        <row r="5384">
          <cell r="G5384" t="str">
            <v>Xã Qúi Lộc</v>
          </cell>
          <cell r="I5384" t="str">
            <v>40135</v>
          </cell>
        </row>
        <row r="5385">
          <cell r="G5385" t="str">
            <v>Xã Yên Trường</v>
          </cell>
          <cell r="I5385" t="str">
            <v>40135</v>
          </cell>
        </row>
        <row r="5386">
          <cell r="G5386" t="str">
            <v>Xã Yên Hùng</v>
          </cell>
          <cell r="I5386" t="str">
            <v>40135</v>
          </cell>
        </row>
        <row r="5387">
          <cell r="G5387" t="str">
            <v>Xã Định Tăng</v>
          </cell>
          <cell r="I5387" t="str">
            <v>40135</v>
          </cell>
        </row>
        <row r="5388">
          <cell r="G5388" t="str">
            <v>Xã Định Tân</v>
          </cell>
          <cell r="I5388" t="str">
            <v>40135</v>
          </cell>
        </row>
        <row r="5389">
          <cell r="G5389" t="str">
            <v>Xã Định Tường</v>
          </cell>
          <cell r="I5389" t="str">
            <v>40135</v>
          </cell>
        </row>
        <row r="5390">
          <cell r="G5390" t="str">
            <v>Thị trấn Thống Nhất</v>
          </cell>
          <cell r="I5390" t="str">
            <v>40135</v>
          </cell>
        </row>
        <row r="5391">
          <cell r="G5391" t="str">
            <v xml:space="preserve">Xã Yên Lâm  </v>
          </cell>
          <cell r="I5391" t="str">
            <v>40135</v>
          </cell>
        </row>
        <row r="5392">
          <cell r="G5392" t="str">
            <v>Xã Yên Tâm</v>
          </cell>
          <cell r="I5392" t="str">
            <v>40135</v>
          </cell>
        </row>
        <row r="5393">
          <cell r="G5393" t="str">
            <v>Xã Yên Giang</v>
          </cell>
          <cell r="I5393" t="str">
            <v>40135</v>
          </cell>
        </row>
        <row r="5394">
          <cell r="G5394" t="str">
            <v xml:space="preserve">Xã Yên Thọ   </v>
          </cell>
          <cell r="I5394" t="str">
            <v>40135</v>
          </cell>
        </row>
        <row r="5395">
          <cell r="G5395" t="str">
            <v xml:space="preserve">Xã Yên Trung   </v>
          </cell>
          <cell r="I5395" t="str">
            <v>40135</v>
          </cell>
        </row>
        <row r="5396">
          <cell r="G5396" t="str">
            <v>Xã Yên Bái</v>
          </cell>
          <cell r="I5396" t="str">
            <v>40135</v>
          </cell>
        </row>
        <row r="5397">
          <cell r="G5397" t="str">
            <v xml:space="preserve">Xã Yên Thái  </v>
          </cell>
          <cell r="I5397" t="str">
            <v>40135</v>
          </cell>
        </row>
        <row r="5398">
          <cell r="G5398" t="str">
            <v xml:space="preserve">Xã Yên Thịnh  </v>
          </cell>
          <cell r="I5398" t="str">
            <v>40135</v>
          </cell>
        </row>
        <row r="5399">
          <cell r="G5399" t="str">
            <v xml:space="preserve">Xã Yên Ninh  </v>
          </cell>
          <cell r="I5399" t="str">
            <v>40135</v>
          </cell>
        </row>
        <row r="5400">
          <cell r="G5400" t="str">
            <v xml:space="preserve">Xã Yên Lạc    </v>
          </cell>
          <cell r="I5400" t="str">
            <v>40135</v>
          </cell>
        </row>
        <row r="5401">
          <cell r="G5401" t="str">
            <v>Xã Định Hòa</v>
          </cell>
          <cell r="I5401" t="str">
            <v>40135</v>
          </cell>
        </row>
        <row r="5402">
          <cell r="G5402" t="str">
            <v>Xã Định Thành</v>
          </cell>
          <cell r="I5402" t="str">
            <v>40135</v>
          </cell>
        </row>
        <row r="5403">
          <cell r="G5403" t="str">
            <v>Xã Định Tiến</v>
          </cell>
          <cell r="I5403" t="str">
            <v>40135</v>
          </cell>
        </row>
        <row r="5404">
          <cell r="G5404" t="str">
            <v>Xã Định Long</v>
          </cell>
          <cell r="I5404" t="str">
            <v>40135</v>
          </cell>
        </row>
        <row r="5405">
          <cell r="G5405" t="str">
            <v>Xã Định Liên</v>
          </cell>
          <cell r="I5405" t="str">
            <v>40135</v>
          </cell>
        </row>
        <row r="5406">
          <cell r="G5406" t="str">
            <v>Xã Định Hưng</v>
          </cell>
          <cell r="I5406" t="str">
            <v>40135</v>
          </cell>
        </row>
        <row r="5407">
          <cell r="G5407" t="str">
            <v>Xã Định Hải</v>
          </cell>
          <cell r="I5407" t="str">
            <v>40135</v>
          </cell>
        </row>
        <row r="5408">
          <cell r="G5408" t="str">
            <v>Xã Định Bình</v>
          </cell>
          <cell r="I5408" t="str">
            <v>40135</v>
          </cell>
        </row>
        <row r="5409">
          <cell r="G5409" t="str">
            <v>Thị trấn Sao Vàng</v>
          </cell>
          <cell r="I5409" t="str">
            <v>40137</v>
          </cell>
        </row>
        <row r="5410">
          <cell r="G5410" t="str">
            <v xml:space="preserve">Xã Xuân Hòa   </v>
          </cell>
          <cell r="I5410" t="str">
            <v>40137</v>
          </cell>
        </row>
        <row r="5411">
          <cell r="G5411" t="str">
            <v xml:space="preserve">Xã Xuân Phú    </v>
          </cell>
          <cell r="I5411" t="str">
            <v>40137</v>
          </cell>
        </row>
        <row r="5412">
          <cell r="G5412" t="str">
            <v>Xã Xuân Yên</v>
          </cell>
          <cell r="I5412" t="str">
            <v>40137</v>
          </cell>
        </row>
        <row r="5413">
          <cell r="G5413" t="str">
            <v>Thị trấn Thọ Xuân</v>
          </cell>
          <cell r="I5413" t="str">
            <v>40137</v>
          </cell>
        </row>
        <row r="5414">
          <cell r="G5414" t="str">
            <v xml:space="preserve">Xã Xuân Thành </v>
          </cell>
          <cell r="I5414" t="str">
            <v>40137</v>
          </cell>
        </row>
        <row r="5415">
          <cell r="G5415" t="str">
            <v xml:space="preserve">Xã Xuân Phong  </v>
          </cell>
          <cell r="I5415" t="str">
            <v>40137</v>
          </cell>
        </row>
        <row r="5416">
          <cell r="G5416" t="str">
            <v>Xã Thọ Hải</v>
          </cell>
          <cell r="I5416" t="str">
            <v>40137</v>
          </cell>
        </row>
        <row r="5417">
          <cell r="G5417" t="str">
            <v xml:space="preserve">Xã Xuân Sơn  </v>
          </cell>
          <cell r="I5417" t="str">
            <v>40137</v>
          </cell>
        </row>
        <row r="5418">
          <cell r="G5418" t="str">
            <v xml:space="preserve">Xã Quảng Phú  </v>
          </cell>
          <cell r="I5418" t="str">
            <v>40137</v>
          </cell>
        </row>
        <row r="5419">
          <cell r="G5419" t="str">
            <v xml:space="preserve">Xã Xuân Lai  </v>
          </cell>
          <cell r="I5419" t="str">
            <v>40137</v>
          </cell>
        </row>
        <row r="5420">
          <cell r="G5420" t="str">
            <v xml:space="preserve">Xã Xuân Tân  </v>
          </cell>
          <cell r="I5420" t="str">
            <v>40137</v>
          </cell>
        </row>
        <row r="5421">
          <cell r="G5421" t="str">
            <v>Xã Xuân Bái</v>
          </cell>
          <cell r="I5421" t="str">
            <v>40137</v>
          </cell>
        </row>
        <row r="5422">
          <cell r="G5422" t="str">
            <v xml:space="preserve">Xã Xuân Thắng </v>
          </cell>
          <cell r="I5422" t="str">
            <v>40137</v>
          </cell>
        </row>
        <row r="5423">
          <cell r="G5423" t="str">
            <v>Xã Xuân Lam</v>
          </cell>
          <cell r="I5423" t="str">
            <v>40137</v>
          </cell>
        </row>
        <row r="5424">
          <cell r="G5424" t="str">
            <v>Xã Xuân Thiên</v>
          </cell>
          <cell r="I5424" t="str">
            <v>40137</v>
          </cell>
        </row>
        <row r="5425">
          <cell r="G5425" t="str">
            <v>Xã Thọ Minh</v>
          </cell>
          <cell r="I5425" t="str">
            <v>40137</v>
          </cell>
        </row>
        <row r="5426">
          <cell r="G5426" t="str">
            <v xml:space="preserve">Xã Xuân Châu </v>
          </cell>
          <cell r="I5426" t="str">
            <v>40137</v>
          </cell>
        </row>
        <row r="5427">
          <cell r="G5427" t="str">
            <v>Xã Thọ Lập</v>
          </cell>
          <cell r="I5427" t="str">
            <v>40137</v>
          </cell>
        </row>
        <row r="5428">
          <cell r="G5428" t="str">
            <v>Xã Xuân Tín</v>
          </cell>
          <cell r="I5428" t="str">
            <v>40137</v>
          </cell>
        </row>
        <row r="5429">
          <cell r="G5429" t="str">
            <v xml:space="preserve">Xã Phú Yên </v>
          </cell>
          <cell r="I5429" t="str">
            <v>40137</v>
          </cell>
        </row>
        <row r="5430">
          <cell r="G5430" t="str">
            <v>Xã Xuân Lập</v>
          </cell>
          <cell r="I5430" t="str">
            <v>40137</v>
          </cell>
        </row>
        <row r="5431">
          <cell r="G5431" t="str">
            <v>Xã Thọ Thắng</v>
          </cell>
          <cell r="I5431" t="str">
            <v>40137</v>
          </cell>
        </row>
        <row r="5432">
          <cell r="G5432" t="str">
            <v xml:space="preserve">Xã Xuân Minh </v>
          </cell>
          <cell r="I5432" t="str">
            <v>40137</v>
          </cell>
        </row>
        <row r="5433">
          <cell r="G5433" t="str">
            <v xml:space="preserve">Xã Xuân Vinh </v>
          </cell>
          <cell r="I5433" t="str">
            <v>40137</v>
          </cell>
        </row>
        <row r="5434">
          <cell r="G5434" t="str">
            <v>Xã Thọ Trường</v>
          </cell>
          <cell r="I5434" t="str">
            <v>40137</v>
          </cell>
        </row>
        <row r="5435">
          <cell r="G5435" t="str">
            <v>Xã Thọ Xương</v>
          </cell>
          <cell r="I5435" t="str">
            <v>40137</v>
          </cell>
        </row>
        <row r="5436">
          <cell r="G5436" t="str">
            <v>Thị trấn Lam Sơn</v>
          </cell>
          <cell r="I5436" t="str">
            <v>40137</v>
          </cell>
        </row>
        <row r="5437">
          <cell r="G5437" t="str">
            <v>Xã Xuân Khánh</v>
          </cell>
          <cell r="I5437" t="str">
            <v>40137</v>
          </cell>
        </row>
        <row r="5438">
          <cell r="G5438" t="str">
            <v>Xã Thọ Nguyên</v>
          </cell>
          <cell r="I5438" t="str">
            <v>40137</v>
          </cell>
        </row>
        <row r="5439">
          <cell r="G5439" t="str">
            <v xml:space="preserve">Xã Hạnh Phúc </v>
          </cell>
          <cell r="I5439" t="str">
            <v>40137</v>
          </cell>
        </row>
        <row r="5440">
          <cell r="G5440" t="str">
            <v>Xã Bắc Lương</v>
          </cell>
          <cell r="I5440" t="str">
            <v>40137</v>
          </cell>
        </row>
        <row r="5441">
          <cell r="G5441" t="str">
            <v>Xã Nam Giang</v>
          </cell>
          <cell r="I5441" t="str">
            <v>40137</v>
          </cell>
        </row>
        <row r="5442">
          <cell r="G5442" t="str">
            <v xml:space="preserve">Xã Thọ Lộc </v>
          </cell>
          <cell r="I5442" t="str">
            <v>40137</v>
          </cell>
        </row>
        <row r="5443">
          <cell r="G5443" t="str">
            <v xml:space="preserve">Xã Xuân Trường </v>
          </cell>
          <cell r="I5443" t="str">
            <v>40137</v>
          </cell>
        </row>
        <row r="5444">
          <cell r="G5444" t="str">
            <v>Xã Tây Hồ</v>
          </cell>
          <cell r="I5444" t="str">
            <v>40137</v>
          </cell>
        </row>
        <row r="5445">
          <cell r="G5445" t="str">
            <v xml:space="preserve">Xã Xuân Giang  </v>
          </cell>
          <cell r="I5445" t="str">
            <v>40137</v>
          </cell>
        </row>
        <row r="5446">
          <cell r="G5446" t="str">
            <v xml:space="preserve">Xã Xuân Quang   </v>
          </cell>
          <cell r="I5446" t="str">
            <v>40137</v>
          </cell>
        </row>
        <row r="5447">
          <cell r="G5447" t="str">
            <v>Xã Xuân Hưng</v>
          </cell>
          <cell r="I5447" t="str">
            <v>40137</v>
          </cell>
        </row>
        <row r="5448">
          <cell r="G5448" t="str">
            <v>Xã Thọ Diên</v>
          </cell>
          <cell r="I5448" t="str">
            <v>40137</v>
          </cell>
        </row>
        <row r="5449">
          <cell r="G5449" t="str">
            <v>Xã Thọ Lâm</v>
          </cell>
          <cell r="I5449" t="str">
            <v>40137</v>
          </cell>
        </row>
        <row r="5450">
          <cell r="G5450" t="str">
            <v xml:space="preserve">Xã Tuy Lộc  </v>
          </cell>
          <cell r="I5450" t="str">
            <v>40139</v>
          </cell>
        </row>
        <row r="5451">
          <cell r="G5451" t="str">
            <v>Xã Hòa Lộc</v>
          </cell>
          <cell r="I5451" t="str">
            <v>40139</v>
          </cell>
        </row>
        <row r="5452">
          <cell r="G5452" t="str">
            <v>Xã Đồng Lộc</v>
          </cell>
          <cell r="I5452" t="str">
            <v>40139</v>
          </cell>
        </row>
        <row r="5453">
          <cell r="G5453" t="str">
            <v>Xã Tiến Lộc</v>
          </cell>
          <cell r="I5453" t="str">
            <v>40139</v>
          </cell>
        </row>
        <row r="5454">
          <cell r="G5454" t="str">
            <v>Xã Thành Lộc</v>
          </cell>
          <cell r="I5454" t="str">
            <v>40139</v>
          </cell>
        </row>
        <row r="5455">
          <cell r="G5455" t="str">
            <v>Xã Văn Lộc</v>
          </cell>
          <cell r="I5455" t="str">
            <v>40139</v>
          </cell>
        </row>
        <row r="5456">
          <cell r="G5456" t="str">
            <v>Xã Thịnh Lộc</v>
          </cell>
          <cell r="I5456" t="str">
            <v>40139</v>
          </cell>
        </row>
        <row r="5457">
          <cell r="G5457" t="str">
            <v xml:space="preserve">Xã Phú Lộc  </v>
          </cell>
          <cell r="I5457" t="str">
            <v>40139</v>
          </cell>
        </row>
        <row r="5458">
          <cell r="G5458" t="str">
            <v xml:space="preserve">Xã Hải Lộc </v>
          </cell>
          <cell r="I5458" t="str">
            <v>40139</v>
          </cell>
        </row>
        <row r="5459">
          <cell r="G5459" t="str">
            <v>Thị trấn Hậu Lộc</v>
          </cell>
          <cell r="I5459" t="str">
            <v>40139</v>
          </cell>
        </row>
        <row r="5460">
          <cell r="G5460" t="str">
            <v>Xã Đại Lộc</v>
          </cell>
          <cell r="I5460" t="str">
            <v>40139</v>
          </cell>
        </row>
        <row r="5461">
          <cell r="G5461" t="str">
            <v>Xã Triệu Lộc</v>
          </cell>
          <cell r="I5461" t="str">
            <v>40139</v>
          </cell>
        </row>
        <row r="5462">
          <cell r="G5462" t="str">
            <v>Xã Châu Lộc</v>
          </cell>
          <cell r="I5462" t="str">
            <v>40139</v>
          </cell>
        </row>
        <row r="5463">
          <cell r="G5463" t="str">
            <v>Xã Lộc Sơn</v>
          </cell>
          <cell r="I5463" t="str">
            <v>40139</v>
          </cell>
        </row>
        <row r="5464">
          <cell r="G5464" t="str">
            <v>Xã Cầu Lộc</v>
          </cell>
          <cell r="I5464" t="str">
            <v>40139</v>
          </cell>
        </row>
        <row r="5465">
          <cell r="G5465" t="str">
            <v>Xã Phong Lộc</v>
          </cell>
          <cell r="I5465" t="str">
            <v>40139</v>
          </cell>
        </row>
        <row r="5466">
          <cell r="G5466" t="str">
            <v xml:space="preserve">Xã Mỹ Lộc </v>
          </cell>
          <cell r="I5466" t="str">
            <v>40139</v>
          </cell>
        </row>
        <row r="5467">
          <cell r="G5467" t="str">
            <v>Xã Thuần Lộc</v>
          </cell>
          <cell r="I5467" t="str">
            <v>40139</v>
          </cell>
        </row>
        <row r="5468">
          <cell r="G5468" t="str">
            <v>Xã Lộc Tân</v>
          </cell>
          <cell r="I5468" t="str">
            <v>40139</v>
          </cell>
        </row>
        <row r="5469">
          <cell r="G5469" t="str">
            <v xml:space="preserve">Xã Xuân Lộc  </v>
          </cell>
          <cell r="I5469" t="str">
            <v>40139</v>
          </cell>
        </row>
        <row r="5470">
          <cell r="G5470" t="str">
            <v>Xã Hoa Lộc</v>
          </cell>
          <cell r="I5470" t="str">
            <v>40139</v>
          </cell>
        </row>
        <row r="5471">
          <cell r="G5471" t="str">
            <v>Xã Liên Lộc</v>
          </cell>
          <cell r="I5471" t="str">
            <v>40139</v>
          </cell>
        </row>
        <row r="5472">
          <cell r="G5472" t="str">
            <v>Xã Quang Lộc</v>
          </cell>
          <cell r="I5472" t="str">
            <v>40139</v>
          </cell>
        </row>
        <row r="5473">
          <cell r="G5473" t="str">
            <v>Xã Minh Lộc</v>
          </cell>
          <cell r="I5473" t="str">
            <v>40139</v>
          </cell>
        </row>
        <row r="5474">
          <cell r="G5474" t="str">
            <v>Xã Hưng Lộc</v>
          </cell>
          <cell r="I5474" t="str">
            <v>40139</v>
          </cell>
        </row>
        <row r="5475">
          <cell r="G5475" t="str">
            <v xml:space="preserve">Xã Đa Lộc </v>
          </cell>
          <cell r="I5475" t="str">
            <v>40139</v>
          </cell>
        </row>
        <row r="5476">
          <cell r="G5476" t="str">
            <v>Xã Ngư Lộc</v>
          </cell>
          <cell r="I5476" t="str">
            <v>40139</v>
          </cell>
        </row>
        <row r="5477">
          <cell r="G5477" t="str">
            <v>Xã Thiệu Long</v>
          </cell>
          <cell r="I5477" t="str">
            <v>40141</v>
          </cell>
        </row>
        <row r="5478">
          <cell r="G5478" t="str">
            <v>Xã Thiệu Minh</v>
          </cell>
          <cell r="I5478" t="str">
            <v>40141</v>
          </cell>
        </row>
        <row r="5479">
          <cell r="G5479" t="str">
            <v>Thị trấn Vạn Hà</v>
          </cell>
          <cell r="I5479" t="str">
            <v>40141</v>
          </cell>
        </row>
        <row r="5480">
          <cell r="G5480" t="str">
            <v>Xã Thiệu Công</v>
          </cell>
          <cell r="I5480" t="str">
            <v>40141</v>
          </cell>
        </row>
        <row r="5481">
          <cell r="G5481" t="str">
            <v>Xã Thiệu Duy</v>
          </cell>
          <cell r="I5481" t="str">
            <v>40141</v>
          </cell>
        </row>
        <row r="5482">
          <cell r="G5482" t="str">
            <v>Xã Thiệu Quang</v>
          </cell>
          <cell r="I5482" t="str">
            <v>40141</v>
          </cell>
        </row>
        <row r="5483">
          <cell r="G5483" t="str">
            <v>Xã Thiệu Hòa</v>
          </cell>
          <cell r="I5483" t="str">
            <v>40141</v>
          </cell>
        </row>
        <row r="5484">
          <cell r="G5484" t="str">
            <v>Xã Thiệu Lý</v>
          </cell>
          <cell r="I5484" t="str">
            <v>40141</v>
          </cell>
        </row>
        <row r="5485">
          <cell r="G5485" t="str">
            <v>Xã Thiệu Châu</v>
          </cell>
          <cell r="I5485" t="str">
            <v>40141</v>
          </cell>
        </row>
        <row r="5486">
          <cell r="G5486" t="str">
            <v>Xã Thiệu Ngọc</v>
          </cell>
          <cell r="I5486" t="str">
            <v>40141</v>
          </cell>
        </row>
        <row r="5487">
          <cell r="G5487" t="str">
            <v>Xã Thiệu Vũ</v>
          </cell>
          <cell r="I5487" t="str">
            <v>40141</v>
          </cell>
        </row>
        <row r="5488">
          <cell r="G5488" t="str">
            <v>Xã Thiệu Phúc</v>
          </cell>
          <cell r="I5488" t="str">
            <v>40141</v>
          </cell>
        </row>
        <row r="5489">
          <cell r="G5489" t="str">
            <v>Xã Thiệu Tiến</v>
          </cell>
          <cell r="I5489" t="str">
            <v>40141</v>
          </cell>
        </row>
        <row r="5490">
          <cell r="G5490" t="str">
            <v>Xã Thiệu Phú</v>
          </cell>
          <cell r="I5490" t="str">
            <v>40141</v>
          </cell>
        </row>
        <row r="5491">
          <cell r="G5491" t="str">
            <v>Xã Thiệu Giang</v>
          </cell>
          <cell r="I5491" t="str">
            <v>40141</v>
          </cell>
        </row>
        <row r="5492">
          <cell r="G5492" t="str">
            <v>Xã Thiệu Nguyên</v>
          </cell>
          <cell r="I5492" t="str">
            <v>40141</v>
          </cell>
        </row>
        <row r="5493">
          <cell r="G5493" t="str">
            <v>Xã Thiệu Hợp</v>
          </cell>
          <cell r="I5493" t="str">
            <v>40141</v>
          </cell>
        </row>
        <row r="5494">
          <cell r="G5494" t="str">
            <v>Xã Thiệu Thịnh</v>
          </cell>
          <cell r="I5494" t="str">
            <v>40141</v>
          </cell>
        </row>
        <row r="5495">
          <cell r="G5495" t="str">
            <v>Xã Thiệu Thành</v>
          </cell>
          <cell r="I5495" t="str">
            <v>40141</v>
          </cell>
        </row>
        <row r="5496">
          <cell r="G5496" t="str">
            <v>Xã Thiệu Toán</v>
          </cell>
          <cell r="I5496" t="str">
            <v>40141</v>
          </cell>
        </row>
        <row r="5497">
          <cell r="G5497" t="str">
            <v>Xã Thiệu Chính</v>
          </cell>
          <cell r="I5497" t="str">
            <v>40141</v>
          </cell>
        </row>
        <row r="5498">
          <cell r="G5498" t="str">
            <v>Xã Thiệu Tâm</v>
          </cell>
          <cell r="I5498" t="str">
            <v>40141</v>
          </cell>
        </row>
        <row r="5499">
          <cell r="G5499" t="str">
            <v>Xã Thiệu Viên</v>
          </cell>
          <cell r="I5499" t="str">
            <v>40141</v>
          </cell>
        </row>
        <row r="5500">
          <cell r="G5500" t="str">
            <v>Xã Thiệu Vận</v>
          </cell>
          <cell r="I5500" t="str">
            <v>40141</v>
          </cell>
        </row>
        <row r="5501">
          <cell r="G5501" t="str">
            <v>Xã Thiệu Trung</v>
          </cell>
          <cell r="I5501" t="str">
            <v>40141</v>
          </cell>
        </row>
        <row r="5502">
          <cell r="G5502" t="str">
            <v>Xã Thiệu Đô</v>
          </cell>
          <cell r="I5502" t="str">
            <v>40141</v>
          </cell>
        </row>
        <row r="5503">
          <cell r="G5503" t="str">
            <v>Xã Thiệu Giao</v>
          </cell>
          <cell r="I5503" t="str">
            <v>40141</v>
          </cell>
        </row>
        <row r="5504">
          <cell r="G5504" t="str">
            <v>Xã Thiệu Tân</v>
          </cell>
          <cell r="I5504" t="str">
            <v>40141</v>
          </cell>
        </row>
        <row r="5505">
          <cell r="G5505" t="str">
            <v>Xã Hoằng Trinh</v>
          </cell>
          <cell r="I5505" t="str">
            <v>40143</v>
          </cell>
        </row>
        <row r="5506">
          <cell r="G5506" t="str">
            <v>Xã Hoằng Trạch</v>
          </cell>
          <cell r="I5506" t="str">
            <v>40143</v>
          </cell>
        </row>
        <row r="5507">
          <cell r="G5507" t="str">
            <v>Xã Hoằng Phụ</v>
          </cell>
          <cell r="I5507" t="str">
            <v>40143</v>
          </cell>
        </row>
        <row r="5508">
          <cell r="G5508" t="str">
            <v>Xã Hoằng Phượng</v>
          </cell>
          <cell r="I5508" t="str">
            <v>40143</v>
          </cell>
        </row>
        <row r="5509">
          <cell r="G5509" t="str">
            <v>Xã Hoằng Giang</v>
          </cell>
          <cell r="I5509" t="str">
            <v>40143</v>
          </cell>
        </row>
        <row r="5510">
          <cell r="G5510" t="str">
            <v>Xã Hoằng Quý</v>
          </cell>
          <cell r="I5510" t="str">
            <v>40143</v>
          </cell>
        </row>
        <row r="5511">
          <cell r="G5511" t="str">
            <v>Xã Hoằng Minh</v>
          </cell>
          <cell r="I5511" t="str">
            <v>40143</v>
          </cell>
        </row>
        <row r="5512">
          <cell r="G5512" t="str">
            <v>Xã Hoằng Đạt</v>
          </cell>
          <cell r="I5512" t="str">
            <v>40143</v>
          </cell>
        </row>
        <row r="5513">
          <cell r="G5513" t="str">
            <v>Xã Hoằng Đồng</v>
          </cell>
          <cell r="I5513" t="str">
            <v>40143</v>
          </cell>
        </row>
        <row r="5514">
          <cell r="G5514" t="str">
            <v>Xã Hoằng Lộc</v>
          </cell>
          <cell r="I5514" t="str">
            <v>40143</v>
          </cell>
        </row>
        <row r="5515">
          <cell r="G5515" t="str">
            <v>Xã Hoằng Lưu</v>
          </cell>
          <cell r="I5515" t="str">
            <v>40143</v>
          </cell>
        </row>
        <row r="5516">
          <cell r="G5516" t="str">
            <v>Xã Hoằng Tiến</v>
          </cell>
          <cell r="I5516" t="str">
            <v>40143</v>
          </cell>
        </row>
        <row r="5517">
          <cell r="G5517" t="str">
            <v>Xã Hoằng Thanh</v>
          </cell>
          <cell r="I5517" t="str">
            <v>40143</v>
          </cell>
        </row>
        <row r="5518">
          <cell r="G5518" t="str">
            <v>Xã Hoằng Phú</v>
          </cell>
          <cell r="I5518" t="str">
            <v>40143</v>
          </cell>
        </row>
        <row r="5519">
          <cell r="G5519" t="str">
            <v>Xã Hoằng Quỳ</v>
          </cell>
          <cell r="I5519" t="str">
            <v>40143</v>
          </cell>
        </row>
        <row r="5520">
          <cell r="G5520" t="str">
            <v>Xã Hoằng Kim</v>
          </cell>
          <cell r="I5520" t="str">
            <v>40143</v>
          </cell>
        </row>
        <row r="5521">
          <cell r="G5521" t="str">
            <v>Xã Hoằng Trung</v>
          </cell>
          <cell r="I5521" t="str">
            <v>40143</v>
          </cell>
        </row>
        <row r="5522">
          <cell r="G5522" t="str">
            <v>Xã Hoằng Sơn</v>
          </cell>
          <cell r="I5522" t="str">
            <v>40143</v>
          </cell>
        </row>
        <row r="5523">
          <cell r="G5523" t="str">
            <v>Xã Hoằng Lương</v>
          </cell>
          <cell r="I5523" t="str">
            <v>40143</v>
          </cell>
        </row>
        <row r="5524">
          <cell r="G5524" t="str">
            <v>Xã Hoằng Xuyên</v>
          </cell>
          <cell r="I5524" t="str">
            <v>40143</v>
          </cell>
        </row>
        <row r="5525">
          <cell r="G5525" t="str">
            <v>Xã Hoằng Cát</v>
          </cell>
          <cell r="I5525" t="str">
            <v>40143</v>
          </cell>
        </row>
        <row r="5526">
          <cell r="G5526" t="str">
            <v>Xã Hoằng Khê</v>
          </cell>
          <cell r="I5526" t="str">
            <v>40143</v>
          </cell>
        </row>
        <row r="5527">
          <cell r="G5527" t="str">
            <v>Xã Hoằng Hợp</v>
          </cell>
          <cell r="I5527" t="str">
            <v>40143</v>
          </cell>
        </row>
        <row r="5528">
          <cell r="G5528" t="str">
            <v>Xã Hoằng Phúc</v>
          </cell>
          <cell r="I5528" t="str">
            <v>40143</v>
          </cell>
        </row>
        <row r="5529">
          <cell r="G5529" t="str">
            <v>Xã Hoằng Đức</v>
          </cell>
          <cell r="I5529" t="str">
            <v>40143</v>
          </cell>
        </row>
        <row r="5530">
          <cell r="G5530" t="str">
            <v>Xã Hoằng Hà</v>
          </cell>
          <cell r="I5530" t="str">
            <v>40143</v>
          </cell>
        </row>
        <row r="5531">
          <cell r="G5531" t="str">
            <v>Xã Hoằng Vinh</v>
          </cell>
          <cell r="I5531" t="str">
            <v>40143</v>
          </cell>
        </row>
        <row r="5532">
          <cell r="G5532" t="str">
            <v>Xã Hoằng Đạo</v>
          </cell>
          <cell r="I5532" t="str">
            <v>40143</v>
          </cell>
        </row>
        <row r="5533">
          <cell r="G5533" t="str">
            <v>Xã Hoằng Thắng</v>
          </cell>
          <cell r="I5533" t="str">
            <v>40143</v>
          </cell>
        </row>
        <row r="5534">
          <cell r="G5534" t="str">
            <v>Xã Hoằng Thái</v>
          </cell>
          <cell r="I5534" t="str">
            <v>40143</v>
          </cell>
        </row>
        <row r="5535">
          <cell r="G5535" t="str">
            <v>Xã Hoằng Thịnh</v>
          </cell>
          <cell r="I5535" t="str">
            <v>40143</v>
          </cell>
        </row>
        <row r="5536">
          <cell r="G5536" t="str">
            <v>Xã Hoằng Thành</v>
          </cell>
          <cell r="I5536" t="str">
            <v>40143</v>
          </cell>
        </row>
        <row r="5537">
          <cell r="G5537" t="str">
            <v>Xã Hoằng Phong</v>
          </cell>
          <cell r="I5537" t="str">
            <v>40143</v>
          </cell>
        </row>
        <row r="5538">
          <cell r="G5538" t="str">
            <v>Xã Hoằng Châu</v>
          </cell>
          <cell r="I5538" t="str">
            <v>40143</v>
          </cell>
        </row>
        <row r="5539">
          <cell r="G5539" t="str">
            <v>Xã Hoằng Tân</v>
          </cell>
          <cell r="I5539" t="str">
            <v>40143</v>
          </cell>
        </row>
        <row r="5540">
          <cell r="G5540" t="str">
            <v>Xã Hoằng Yến</v>
          </cell>
          <cell r="I5540" t="str">
            <v>40143</v>
          </cell>
        </row>
        <row r="5541">
          <cell r="G5541" t="str">
            <v>Xã Hoằng Hải</v>
          </cell>
          <cell r="I5541" t="str">
            <v>40143</v>
          </cell>
        </row>
        <row r="5542">
          <cell r="G5542" t="str">
            <v>Xã Hoằng Ngọc</v>
          </cell>
          <cell r="I5542" t="str">
            <v>40143</v>
          </cell>
        </row>
        <row r="5543">
          <cell r="G5543" t="str">
            <v>Xã Hoằng Đông</v>
          </cell>
          <cell r="I5543" t="str">
            <v>40143</v>
          </cell>
        </row>
        <row r="5544">
          <cell r="G5544" t="str">
            <v>Xã Hoằng Trường</v>
          </cell>
          <cell r="I5544" t="str">
            <v>40143</v>
          </cell>
        </row>
        <row r="5545">
          <cell r="G5545" t="str">
            <v>Thị trấn Bút Sơn</v>
          </cell>
          <cell r="I5545" t="str">
            <v>40143</v>
          </cell>
        </row>
        <row r="5546">
          <cell r="G5546" t="str">
            <v>Xã Hoằng Xuân</v>
          </cell>
          <cell r="I5546" t="str">
            <v>40143</v>
          </cell>
        </row>
        <row r="5547">
          <cell r="G5547" t="str">
            <v>Xã Hoằng Khánh</v>
          </cell>
          <cell r="I5547" t="str">
            <v>40143</v>
          </cell>
        </row>
        <row r="5548">
          <cell r="G5548" t="str">
            <v xml:space="preserve">Xã Đông Hòa </v>
          </cell>
          <cell r="I5548" t="str">
            <v>40145</v>
          </cell>
        </row>
        <row r="5549">
          <cell r="G5549" t="str">
            <v xml:space="preserve">Xã Đông Quang  </v>
          </cell>
          <cell r="I5549" t="str">
            <v>40145</v>
          </cell>
        </row>
        <row r="5550">
          <cell r="G5550" t="str">
            <v xml:space="preserve">Xã Đông Hoàng  </v>
          </cell>
          <cell r="I5550" t="str">
            <v>40145</v>
          </cell>
        </row>
        <row r="5551">
          <cell r="G5551" t="str">
            <v xml:space="preserve">Xã Đông Yên </v>
          </cell>
          <cell r="I5551" t="str">
            <v>40145</v>
          </cell>
        </row>
        <row r="5552">
          <cell r="G5552" t="str">
            <v xml:space="preserve">Xã Đông Tiến </v>
          </cell>
          <cell r="I5552" t="str">
            <v>40145</v>
          </cell>
        </row>
        <row r="5553">
          <cell r="G5553" t="str">
            <v>Xã Đông Văn</v>
          </cell>
          <cell r="I5553" t="str">
            <v>40145</v>
          </cell>
        </row>
        <row r="5554">
          <cell r="G5554" t="str">
            <v>Thị trấn Rừng Thông</v>
          </cell>
          <cell r="I5554" t="str">
            <v>40145</v>
          </cell>
        </row>
        <row r="5555">
          <cell r="G5555" t="str">
            <v xml:space="preserve">Xã Đông Ninh </v>
          </cell>
          <cell r="I5555" t="str">
            <v>40145</v>
          </cell>
        </row>
        <row r="5556">
          <cell r="G5556" t="str">
            <v xml:space="preserve">Xã Đông Khê </v>
          </cell>
          <cell r="I5556" t="str">
            <v>40145</v>
          </cell>
        </row>
        <row r="5557">
          <cell r="G5557" t="str">
            <v xml:space="preserve">Xã Đông Minh  </v>
          </cell>
          <cell r="I5557" t="str">
            <v>40145</v>
          </cell>
        </row>
        <row r="5558">
          <cell r="G5558" t="str">
            <v>Xã Đông Thanh</v>
          </cell>
          <cell r="I5558" t="str">
            <v>40145</v>
          </cell>
        </row>
        <row r="5559">
          <cell r="G5559" t="str">
            <v>Xã Đông Anh</v>
          </cell>
          <cell r="I5559" t="str">
            <v>40145</v>
          </cell>
        </row>
        <row r="5560">
          <cell r="G5560" t="str">
            <v xml:space="preserve">Xã Đông Xuân   </v>
          </cell>
          <cell r="I5560" t="str">
            <v>40145</v>
          </cell>
        </row>
        <row r="5561">
          <cell r="G5561" t="str">
            <v>Xã Đông Thịnh</v>
          </cell>
          <cell r="I5561" t="str">
            <v>40145</v>
          </cell>
        </row>
        <row r="5562">
          <cell r="G5562" t="str">
            <v xml:space="preserve">Xã Đông Phú </v>
          </cell>
          <cell r="I5562" t="str">
            <v>40145</v>
          </cell>
        </row>
        <row r="5563">
          <cell r="G5563" t="str">
            <v>Xã Đông Nam</v>
          </cell>
          <cell r="I5563" t="str">
            <v>40145</v>
          </cell>
        </row>
        <row r="5564">
          <cell r="G5564" t="str">
            <v>Xã Thọ Thế</v>
          </cell>
          <cell r="I5564" t="str">
            <v>40147</v>
          </cell>
        </row>
        <row r="5565">
          <cell r="G5565" t="str">
            <v xml:space="preserve">Xã Đồng Thắng </v>
          </cell>
          <cell r="I5565" t="str">
            <v>40147</v>
          </cell>
        </row>
        <row r="5566">
          <cell r="G5566" t="str">
            <v>Xã Hợp Thắng</v>
          </cell>
          <cell r="I5566" t="str">
            <v>40147</v>
          </cell>
        </row>
        <row r="5567">
          <cell r="G5567" t="str">
            <v>Thị trấn Triệu Sơn</v>
          </cell>
          <cell r="I5567" t="str">
            <v>40147</v>
          </cell>
        </row>
        <row r="5568">
          <cell r="G5568" t="str">
            <v xml:space="preserve">Xã Hợp Tiến    </v>
          </cell>
          <cell r="I5568" t="str">
            <v>40147</v>
          </cell>
        </row>
        <row r="5569">
          <cell r="G5569" t="str">
            <v xml:space="preserve">Xã Minh Sơn   </v>
          </cell>
          <cell r="I5569" t="str">
            <v>40147</v>
          </cell>
        </row>
        <row r="5570">
          <cell r="G5570" t="str">
            <v>Xã Dân Lý</v>
          </cell>
          <cell r="I5570" t="str">
            <v>40147</v>
          </cell>
        </row>
        <row r="5571">
          <cell r="G5571" t="str">
            <v xml:space="preserve">Xã Thái Hòa    </v>
          </cell>
          <cell r="I5571" t="str">
            <v>40147</v>
          </cell>
        </row>
        <row r="5572">
          <cell r="G5572" t="str">
            <v xml:space="preserve">Xã Đồng Tiến       </v>
          </cell>
          <cell r="I5572" t="str">
            <v>40147</v>
          </cell>
        </row>
        <row r="5573">
          <cell r="G5573" t="str">
            <v>Xã Xuân Thịnh</v>
          </cell>
          <cell r="I5573" t="str">
            <v>40147</v>
          </cell>
        </row>
        <row r="5574">
          <cell r="G5574" t="str">
            <v>Xã Thọ Ngọc</v>
          </cell>
          <cell r="I5574" t="str">
            <v>40147</v>
          </cell>
        </row>
        <row r="5575">
          <cell r="G5575" t="str">
            <v>Xã Thọ Vực</v>
          </cell>
          <cell r="I5575" t="str">
            <v>40147</v>
          </cell>
        </row>
        <row r="5576">
          <cell r="G5576" t="str">
            <v>Xã Thọ Sơn</v>
          </cell>
          <cell r="I5576" t="str">
            <v>40147</v>
          </cell>
        </row>
        <row r="5577">
          <cell r="G5577" t="str">
            <v>Xã Thọ Bình</v>
          </cell>
          <cell r="I5577" t="str">
            <v>40147</v>
          </cell>
        </row>
        <row r="5578">
          <cell r="G5578" t="str">
            <v>Xã Thọ Tiến</v>
          </cell>
          <cell r="I5578" t="str">
            <v>40147</v>
          </cell>
        </row>
        <row r="5579">
          <cell r="G5579" t="str">
            <v xml:space="preserve">Xã Hợp Lý  </v>
          </cell>
          <cell r="I5579" t="str">
            <v>40147</v>
          </cell>
        </row>
        <row r="5580">
          <cell r="G5580" t="str">
            <v xml:space="preserve">Xã Hợp Thành      </v>
          </cell>
          <cell r="I5580" t="str">
            <v>40147</v>
          </cell>
        </row>
        <row r="5581">
          <cell r="G5581" t="str">
            <v>Xã Triệu Thành</v>
          </cell>
          <cell r="I5581" t="str">
            <v>40147</v>
          </cell>
        </row>
        <row r="5582">
          <cell r="G5582" t="str">
            <v xml:space="preserve">Xã Minh Dân </v>
          </cell>
          <cell r="I5582" t="str">
            <v>40147</v>
          </cell>
        </row>
        <row r="5583">
          <cell r="G5583" t="str">
            <v xml:space="preserve">Xã Minh Châu    </v>
          </cell>
          <cell r="I5583" t="str">
            <v>40147</v>
          </cell>
        </row>
        <row r="5584">
          <cell r="G5584" t="str">
            <v>Xã Dân Lực</v>
          </cell>
          <cell r="I5584" t="str">
            <v>40147</v>
          </cell>
        </row>
        <row r="5585">
          <cell r="G5585" t="str">
            <v>Xã Dân Quyền</v>
          </cell>
          <cell r="I5585" t="str">
            <v>40147</v>
          </cell>
        </row>
        <row r="5586">
          <cell r="G5586" t="str">
            <v>Xã An Nông</v>
          </cell>
          <cell r="I5586" t="str">
            <v>40147</v>
          </cell>
        </row>
        <row r="5587">
          <cell r="G5587" t="str">
            <v xml:space="preserve">Xã Văn Sơn  </v>
          </cell>
          <cell r="I5587" t="str">
            <v>40147</v>
          </cell>
        </row>
        <row r="5588">
          <cell r="G5588" t="str">
            <v>Xã Tân Ninh</v>
          </cell>
          <cell r="I5588" t="str">
            <v>40147</v>
          </cell>
        </row>
        <row r="5589">
          <cell r="G5589" t="str">
            <v>Xã Đồng Lợi</v>
          </cell>
          <cell r="I5589" t="str">
            <v>40147</v>
          </cell>
        </row>
        <row r="5590">
          <cell r="G5590" t="str">
            <v>Xã Tiến Nông</v>
          </cell>
          <cell r="I5590" t="str">
            <v>40147</v>
          </cell>
        </row>
        <row r="5591">
          <cell r="G5591" t="str">
            <v>Xã Khuyến Nông</v>
          </cell>
          <cell r="I5591" t="str">
            <v>40147</v>
          </cell>
        </row>
        <row r="5592">
          <cell r="G5592" t="str">
            <v xml:space="preserve">Xã Xuân Lộc   </v>
          </cell>
          <cell r="I5592" t="str">
            <v>40147</v>
          </cell>
        </row>
        <row r="5593">
          <cell r="G5593" t="str">
            <v>Xã Thọ Dân</v>
          </cell>
          <cell r="I5593" t="str">
            <v>40147</v>
          </cell>
        </row>
        <row r="5594">
          <cell r="G5594" t="str">
            <v xml:space="preserve">Xã Xuân Thọ </v>
          </cell>
          <cell r="I5594" t="str">
            <v>40147</v>
          </cell>
        </row>
        <row r="5595">
          <cell r="G5595" t="str">
            <v>Xã Thọ Tân</v>
          </cell>
          <cell r="I5595" t="str">
            <v>40147</v>
          </cell>
        </row>
        <row r="5596">
          <cell r="G5596" t="str">
            <v>Xã Thọ Cường</v>
          </cell>
          <cell r="I5596" t="str">
            <v>40147</v>
          </cell>
        </row>
        <row r="5597">
          <cell r="G5597" t="str">
            <v>Xã Thọ Phú</v>
          </cell>
          <cell r="I5597" t="str">
            <v>40147</v>
          </cell>
        </row>
        <row r="5598">
          <cell r="G5598" t="str">
            <v>Xã Nông Trường</v>
          </cell>
          <cell r="I5598" t="str">
            <v>40147</v>
          </cell>
        </row>
        <row r="5599">
          <cell r="G5599" t="str">
            <v xml:space="preserve">Xã Bình Sơn   </v>
          </cell>
          <cell r="I5599" t="str">
            <v>40147</v>
          </cell>
        </row>
        <row r="5600">
          <cell r="G5600" t="str">
            <v>Xã Quảng Nhân</v>
          </cell>
          <cell r="I5600" t="str">
            <v>40149</v>
          </cell>
        </row>
        <row r="5601">
          <cell r="G5601" t="str">
            <v>Xã Quảng Phúc</v>
          </cell>
          <cell r="I5601" t="str">
            <v>40149</v>
          </cell>
        </row>
        <row r="5602">
          <cell r="G5602" t="str">
            <v xml:space="preserve">Xã Quảng Đại </v>
          </cell>
          <cell r="I5602" t="str">
            <v>40149</v>
          </cell>
        </row>
        <row r="5603">
          <cell r="G5603" t="str">
            <v xml:space="preserve">Xã Quảng Lợi </v>
          </cell>
          <cell r="I5603" t="str">
            <v>40149</v>
          </cell>
        </row>
        <row r="5604">
          <cell r="G5604" t="str">
            <v xml:space="preserve">Xã Quảng Đức </v>
          </cell>
          <cell r="I5604" t="str">
            <v>40149</v>
          </cell>
        </row>
        <row r="5605">
          <cell r="G5605" t="str">
            <v>Xã Quảng Ninh</v>
          </cell>
          <cell r="I5605" t="str">
            <v>40149</v>
          </cell>
        </row>
        <row r="5606">
          <cell r="G5606" t="str">
            <v xml:space="preserve">Xã Quảng Long </v>
          </cell>
          <cell r="I5606" t="str">
            <v>40149</v>
          </cell>
        </row>
        <row r="5607">
          <cell r="G5607" t="str">
            <v xml:space="preserve">Xã Quảng Khê </v>
          </cell>
          <cell r="I5607" t="str">
            <v>40149</v>
          </cell>
        </row>
        <row r="5608">
          <cell r="G5608" t="str">
            <v>Xã Quảng Trường</v>
          </cell>
          <cell r="I5608" t="str">
            <v>40149</v>
          </cell>
        </row>
        <row r="5609">
          <cell r="G5609" t="str">
            <v xml:space="preserve">Xã Quảng Hùng </v>
          </cell>
          <cell r="I5609" t="str">
            <v>40149</v>
          </cell>
        </row>
        <row r="5610">
          <cell r="G5610" t="str">
            <v xml:space="preserve">Xã Quảng Thọ </v>
          </cell>
          <cell r="I5610" t="str">
            <v>40149</v>
          </cell>
        </row>
        <row r="5611">
          <cell r="G5611" t="str">
            <v>Xã Quảng Hải</v>
          </cell>
          <cell r="I5611" t="str">
            <v>40149</v>
          </cell>
        </row>
        <row r="5612">
          <cell r="G5612" t="str">
            <v>Xã Quảng Nham</v>
          </cell>
          <cell r="I5612" t="str">
            <v>40149</v>
          </cell>
        </row>
        <row r="5613">
          <cell r="G5613" t="str">
            <v>Xã Quảng Thạch</v>
          </cell>
          <cell r="I5613" t="str">
            <v>40149</v>
          </cell>
        </row>
        <row r="5614">
          <cell r="G5614" t="str">
            <v>Xã Quảng Thái</v>
          </cell>
          <cell r="I5614" t="str">
            <v>40149</v>
          </cell>
        </row>
        <row r="5615">
          <cell r="G5615" t="str">
            <v>Thị trấn Quảng Xương</v>
          </cell>
          <cell r="I5615" t="str">
            <v>40149</v>
          </cell>
        </row>
        <row r="5616">
          <cell r="G5616" t="str">
            <v xml:space="preserve">Xã Quảng Tân </v>
          </cell>
          <cell r="I5616" t="str">
            <v>40149</v>
          </cell>
        </row>
        <row r="5617">
          <cell r="G5617" t="str">
            <v>Xã Quảng Trạch</v>
          </cell>
          <cell r="I5617" t="str">
            <v>40149</v>
          </cell>
        </row>
        <row r="5618">
          <cell r="G5618" t="str">
            <v xml:space="preserve">Xã Quảng Phong </v>
          </cell>
          <cell r="I5618" t="str">
            <v>40149</v>
          </cell>
        </row>
        <row r="5619">
          <cell r="G5619" t="str">
            <v>Xã Quảng Định</v>
          </cell>
          <cell r="I5619" t="str">
            <v>40149</v>
          </cell>
        </row>
        <row r="5620">
          <cell r="G5620" t="str">
            <v>Xã Quảng Bình</v>
          </cell>
          <cell r="I5620" t="str">
            <v>40149</v>
          </cell>
        </row>
        <row r="5621">
          <cell r="G5621" t="str">
            <v>Xã Quảng Hợp</v>
          </cell>
          <cell r="I5621" t="str">
            <v>40149</v>
          </cell>
        </row>
        <row r="5622">
          <cell r="G5622" t="str">
            <v>Xã Quảng Văn</v>
          </cell>
          <cell r="I5622" t="str">
            <v>40149</v>
          </cell>
        </row>
        <row r="5623">
          <cell r="G5623" t="str">
            <v>Xã Quảng Yên</v>
          </cell>
          <cell r="I5623" t="str">
            <v>40149</v>
          </cell>
        </row>
        <row r="5624">
          <cell r="G5624" t="str">
            <v>Xã Quảng Hòa</v>
          </cell>
          <cell r="I5624" t="str">
            <v>40149</v>
          </cell>
        </row>
        <row r="5625">
          <cell r="G5625" t="str">
            <v>Xã Quảng Lĩnh</v>
          </cell>
          <cell r="I5625" t="str">
            <v>40149</v>
          </cell>
        </row>
        <row r="5626">
          <cell r="G5626" t="str">
            <v xml:space="preserve">Xã Quảng Trung </v>
          </cell>
          <cell r="I5626" t="str">
            <v>40149</v>
          </cell>
        </row>
        <row r="5627">
          <cell r="G5627" t="str">
            <v xml:space="preserve">Xã Quảng Chính </v>
          </cell>
          <cell r="I5627" t="str">
            <v>40149</v>
          </cell>
        </row>
        <row r="5628">
          <cell r="G5628" t="str">
            <v>Xã Quảng Ngọc</v>
          </cell>
          <cell r="I5628" t="str">
            <v>40149</v>
          </cell>
        </row>
        <row r="5629">
          <cell r="G5629" t="str">
            <v>Xã Quảng Vọng</v>
          </cell>
          <cell r="I5629" t="str">
            <v>40149</v>
          </cell>
        </row>
        <row r="5630">
          <cell r="G5630" t="str">
            <v xml:space="preserve">Xã Quảng Minh   </v>
          </cell>
          <cell r="I5630" t="str">
            <v>40149</v>
          </cell>
        </row>
        <row r="5631">
          <cell r="G5631" t="str">
            <v>Xã Quảng Giao</v>
          </cell>
          <cell r="I5631" t="str">
            <v>40149</v>
          </cell>
        </row>
        <row r="5632">
          <cell r="G5632" t="str">
            <v xml:space="preserve">Xã Quảng Châu  </v>
          </cell>
          <cell r="I5632" t="str">
            <v>40149</v>
          </cell>
        </row>
        <row r="5633">
          <cell r="G5633" t="str">
            <v xml:space="preserve">Xã Quảng Vinh </v>
          </cell>
          <cell r="I5633" t="str">
            <v>40149</v>
          </cell>
        </row>
        <row r="5634">
          <cell r="G5634" t="str">
            <v>Xã Quảng Lưu</v>
          </cell>
          <cell r="I5634" t="str">
            <v>40149</v>
          </cell>
        </row>
        <row r="5635">
          <cell r="G5635" t="str">
            <v>Xã Quảng Lộc</v>
          </cell>
          <cell r="I5635" t="str">
            <v>40149</v>
          </cell>
        </row>
        <row r="5636">
          <cell r="G5636" t="str">
            <v xml:space="preserve">Xã Tân Phúc  </v>
          </cell>
          <cell r="I5636" t="str">
            <v>40151</v>
          </cell>
        </row>
        <row r="5637">
          <cell r="G5637" t="str">
            <v>Xã Minh Nghĩa</v>
          </cell>
          <cell r="I5637" t="str">
            <v>40151</v>
          </cell>
        </row>
        <row r="5638">
          <cell r="G5638" t="str">
            <v>Xã Công Liêm</v>
          </cell>
          <cell r="I5638" t="str">
            <v>40151</v>
          </cell>
        </row>
        <row r="5639">
          <cell r="G5639" t="str">
            <v>Xã Tân Thọ</v>
          </cell>
          <cell r="I5639" t="str">
            <v>40151</v>
          </cell>
        </row>
        <row r="5640">
          <cell r="G5640" t="str">
            <v>Xã Hoàng Giang</v>
          </cell>
          <cell r="I5640" t="str">
            <v>40151</v>
          </cell>
        </row>
        <row r="5641">
          <cell r="G5641" t="str">
            <v>Xã Tế Thắng</v>
          </cell>
          <cell r="I5641" t="str">
            <v>40151</v>
          </cell>
        </row>
        <row r="5642">
          <cell r="G5642" t="str">
            <v>Xã Tế Nông</v>
          </cell>
          <cell r="I5642" t="str">
            <v>40151</v>
          </cell>
        </row>
        <row r="5643">
          <cell r="G5643" t="str">
            <v>Xã Trừơng Trung</v>
          </cell>
          <cell r="I5643" t="str">
            <v>40151</v>
          </cell>
        </row>
        <row r="5644">
          <cell r="G5644" t="str">
            <v>Xã Trường Minh</v>
          </cell>
          <cell r="I5644" t="str">
            <v>40151</v>
          </cell>
        </row>
        <row r="5645">
          <cell r="G5645" t="str">
            <v>Xã Tượng Văn</v>
          </cell>
          <cell r="I5645" t="str">
            <v>40151</v>
          </cell>
        </row>
        <row r="5646">
          <cell r="G5646" t="str">
            <v>Xã Công Chính</v>
          </cell>
          <cell r="I5646" t="str">
            <v>40151</v>
          </cell>
        </row>
        <row r="5647">
          <cell r="G5647" t="str">
            <v>Thị trấn Nông Cống</v>
          </cell>
          <cell r="I5647" t="str">
            <v>40151</v>
          </cell>
        </row>
        <row r="5648">
          <cell r="G5648" t="str">
            <v>Xã Hoàng Sơn</v>
          </cell>
          <cell r="I5648" t="str">
            <v>40151</v>
          </cell>
        </row>
        <row r="5649">
          <cell r="G5649" t="str">
            <v>Xã Tân Khang</v>
          </cell>
          <cell r="I5649" t="str">
            <v>40151</v>
          </cell>
        </row>
        <row r="5650">
          <cell r="G5650" t="str">
            <v xml:space="preserve">Xã Trung Chính </v>
          </cell>
          <cell r="I5650" t="str">
            <v>40151</v>
          </cell>
        </row>
        <row r="5651">
          <cell r="G5651" t="str">
            <v>Xã Trung ý</v>
          </cell>
          <cell r="I5651" t="str">
            <v>40151</v>
          </cell>
        </row>
        <row r="5652">
          <cell r="G5652" t="str">
            <v xml:space="preserve">Xã Trung Thành      </v>
          </cell>
          <cell r="I5652" t="str">
            <v>40151</v>
          </cell>
        </row>
        <row r="5653">
          <cell r="G5653" t="str">
            <v>Xã Tế Tân</v>
          </cell>
          <cell r="I5653" t="str">
            <v>40151</v>
          </cell>
        </row>
        <row r="5654">
          <cell r="G5654" t="str">
            <v>Xã Minh Thọ</v>
          </cell>
          <cell r="I5654" t="str">
            <v>40151</v>
          </cell>
        </row>
        <row r="5655">
          <cell r="G5655" t="str">
            <v>Xã Tế Lợi</v>
          </cell>
          <cell r="I5655" t="str">
            <v>40151</v>
          </cell>
        </row>
        <row r="5656">
          <cell r="G5656" t="str">
            <v>Xã Minh Khôi</v>
          </cell>
          <cell r="I5656" t="str">
            <v>40151</v>
          </cell>
        </row>
        <row r="5657">
          <cell r="G5657" t="str">
            <v>Xã Vạn Hòa</v>
          </cell>
          <cell r="I5657" t="str">
            <v>40151</v>
          </cell>
        </row>
        <row r="5658">
          <cell r="G5658" t="str">
            <v xml:space="preserve">Xã Vạn Thắng </v>
          </cell>
          <cell r="I5658" t="str">
            <v>40151</v>
          </cell>
        </row>
        <row r="5659">
          <cell r="G5659" t="str">
            <v xml:space="preserve">Xã Trường Giang </v>
          </cell>
          <cell r="I5659" t="str">
            <v>40151</v>
          </cell>
        </row>
        <row r="5660">
          <cell r="G5660" t="str">
            <v>Xã Vạn Thiện</v>
          </cell>
          <cell r="I5660" t="str">
            <v>40151</v>
          </cell>
        </row>
        <row r="5661">
          <cell r="G5661" t="str">
            <v xml:space="preserve">Xã Thăng Long  </v>
          </cell>
          <cell r="I5661" t="str">
            <v>40151</v>
          </cell>
        </row>
        <row r="5662">
          <cell r="G5662" t="str">
            <v xml:space="preserve">Xã Trường Sơn  </v>
          </cell>
          <cell r="I5662" t="str">
            <v>40151</v>
          </cell>
        </row>
        <row r="5663">
          <cell r="G5663" t="str">
            <v>Xã Thăng Bình</v>
          </cell>
          <cell r="I5663" t="str">
            <v>40151</v>
          </cell>
        </row>
        <row r="5664">
          <cell r="G5664" t="str">
            <v>Xã Thăng Thọ</v>
          </cell>
          <cell r="I5664" t="str">
            <v>40151</v>
          </cell>
        </row>
        <row r="5665">
          <cell r="G5665" t="str">
            <v xml:space="preserve">Xã Tượng Lĩnh </v>
          </cell>
          <cell r="I5665" t="str">
            <v>40151</v>
          </cell>
        </row>
        <row r="5666">
          <cell r="G5666" t="str">
            <v>Xã Tượng Sơn</v>
          </cell>
          <cell r="I5666" t="str">
            <v>40151</v>
          </cell>
        </row>
        <row r="5667">
          <cell r="G5667" t="str">
            <v>Xã Công Bình</v>
          </cell>
          <cell r="I5667" t="str">
            <v>40151</v>
          </cell>
        </row>
        <row r="5668">
          <cell r="G5668" t="str">
            <v xml:space="preserve">Xã Yên Mỹ     </v>
          </cell>
          <cell r="I5668" t="str">
            <v>40151</v>
          </cell>
        </row>
        <row r="5669">
          <cell r="G5669" t="str">
            <v xml:space="preserve">Xã Thanh Thủy   </v>
          </cell>
          <cell r="I5669" t="str">
            <v>40153</v>
          </cell>
        </row>
        <row r="5670">
          <cell r="G5670" t="str">
            <v>Xã Hải Lĩnh</v>
          </cell>
          <cell r="I5670" t="str">
            <v>40153</v>
          </cell>
        </row>
        <row r="5671">
          <cell r="G5671" t="str">
            <v>Xã Hải Bình</v>
          </cell>
          <cell r="I5671" t="str">
            <v>40153</v>
          </cell>
        </row>
        <row r="5672">
          <cell r="G5672" t="str">
            <v xml:space="preserve">Xã Hùng Sơn    </v>
          </cell>
          <cell r="I5672" t="str">
            <v>40153</v>
          </cell>
        </row>
        <row r="5673">
          <cell r="G5673" t="str">
            <v xml:space="preserve">Xã Định Hải </v>
          </cell>
          <cell r="I5673" t="str">
            <v>40153</v>
          </cell>
        </row>
        <row r="5674">
          <cell r="G5674" t="str">
            <v>Xã Hải Nhân</v>
          </cell>
          <cell r="I5674" t="str">
            <v>40153</v>
          </cell>
        </row>
        <row r="5675">
          <cell r="G5675" t="str">
            <v xml:space="preserve">Xã Phú Lâm  </v>
          </cell>
          <cell r="I5675" t="str">
            <v>40153</v>
          </cell>
        </row>
        <row r="5676">
          <cell r="G5676" t="str">
            <v xml:space="preserve">Xã Tân Trường </v>
          </cell>
          <cell r="I5676" t="str">
            <v>40153</v>
          </cell>
        </row>
        <row r="5677">
          <cell r="G5677" t="str">
            <v>Xã Trường Lâm</v>
          </cell>
          <cell r="I5677" t="str">
            <v>40153</v>
          </cell>
        </row>
        <row r="5678">
          <cell r="G5678" t="str">
            <v xml:space="preserve">Xã Hải Hà </v>
          </cell>
          <cell r="I5678" t="str">
            <v>40153</v>
          </cell>
        </row>
        <row r="5679">
          <cell r="G5679" t="str">
            <v>Thị trấn Tĩnh Gia</v>
          </cell>
          <cell r="I5679" t="str">
            <v>40153</v>
          </cell>
        </row>
        <row r="5680">
          <cell r="G5680" t="str">
            <v xml:space="preserve">Xã Hải Châu </v>
          </cell>
          <cell r="I5680" t="str">
            <v>40153</v>
          </cell>
        </row>
        <row r="5681">
          <cell r="G5681" t="str">
            <v xml:space="preserve">Xã Thanh Sơn      </v>
          </cell>
          <cell r="I5681" t="str">
            <v>40153</v>
          </cell>
        </row>
        <row r="5682">
          <cell r="G5682" t="str">
            <v>Xã Triêu Dương</v>
          </cell>
          <cell r="I5682" t="str">
            <v>40153</v>
          </cell>
        </row>
        <row r="5683">
          <cell r="G5683" t="str">
            <v xml:space="preserve">Xã Hải Ninh </v>
          </cell>
          <cell r="I5683" t="str">
            <v>40153</v>
          </cell>
        </row>
        <row r="5684">
          <cell r="G5684" t="str">
            <v>Xã Anh Sơn</v>
          </cell>
          <cell r="I5684" t="str">
            <v>40153</v>
          </cell>
        </row>
        <row r="5685">
          <cell r="G5685" t="str">
            <v>Xã Ngọc Lĩnh</v>
          </cell>
          <cell r="I5685" t="str">
            <v>40153</v>
          </cell>
        </row>
        <row r="5686">
          <cell r="G5686" t="str">
            <v xml:space="preserve">Xã Hải An </v>
          </cell>
          <cell r="I5686" t="str">
            <v>40153</v>
          </cell>
        </row>
        <row r="5687">
          <cell r="G5687" t="str">
            <v>Xã Các Sơn</v>
          </cell>
          <cell r="I5687" t="str">
            <v>40153</v>
          </cell>
        </row>
        <row r="5688">
          <cell r="G5688" t="str">
            <v xml:space="preserve">Xã Tân Dân        </v>
          </cell>
          <cell r="I5688" t="str">
            <v>40153</v>
          </cell>
        </row>
        <row r="5689">
          <cell r="G5689" t="str">
            <v xml:space="preserve">Xã Phú Sơn   </v>
          </cell>
          <cell r="I5689" t="str">
            <v>40153</v>
          </cell>
        </row>
        <row r="5690">
          <cell r="G5690" t="str">
            <v xml:space="preserve">Xã Ninh Hải  </v>
          </cell>
          <cell r="I5690" t="str">
            <v>40153</v>
          </cell>
        </row>
        <row r="5691">
          <cell r="G5691" t="str">
            <v>Xã Nguyên Bình</v>
          </cell>
          <cell r="I5691" t="str">
            <v>40153</v>
          </cell>
        </row>
        <row r="5692">
          <cell r="G5692" t="str">
            <v xml:space="preserve">Xã Hải Hòa </v>
          </cell>
          <cell r="I5692" t="str">
            <v>40153</v>
          </cell>
        </row>
        <row r="5693">
          <cell r="G5693" t="str">
            <v xml:space="preserve">Xã Bình Minh     </v>
          </cell>
          <cell r="I5693" t="str">
            <v>40153</v>
          </cell>
        </row>
        <row r="5694">
          <cell r="G5694" t="str">
            <v xml:space="preserve">Xã Hải Thanh </v>
          </cell>
          <cell r="I5694" t="str">
            <v>40153</v>
          </cell>
        </row>
        <row r="5695">
          <cell r="G5695" t="str">
            <v xml:space="preserve">Xã Xuân Lâm </v>
          </cell>
          <cell r="I5695" t="str">
            <v>40153</v>
          </cell>
        </row>
        <row r="5696">
          <cell r="G5696" t="str">
            <v>Xã Trúc Lâm</v>
          </cell>
          <cell r="I5696" t="str">
            <v>40153</v>
          </cell>
        </row>
        <row r="5697">
          <cell r="G5697" t="str">
            <v>Xã Tùng Lâm</v>
          </cell>
          <cell r="I5697" t="str">
            <v>40153</v>
          </cell>
        </row>
        <row r="5698">
          <cell r="G5698" t="str">
            <v>Xã Tĩnh Hải</v>
          </cell>
          <cell r="I5698" t="str">
            <v>40153</v>
          </cell>
        </row>
        <row r="5699">
          <cell r="G5699" t="str">
            <v xml:space="preserve">Xã Mai Lâm </v>
          </cell>
          <cell r="I5699" t="str">
            <v>40153</v>
          </cell>
        </row>
        <row r="5700">
          <cell r="G5700" t="str">
            <v xml:space="preserve">Xã Hải Yến </v>
          </cell>
          <cell r="I5700" t="str">
            <v>40153</v>
          </cell>
        </row>
        <row r="5701">
          <cell r="G5701" t="str">
            <v>Xã Hải Thượng</v>
          </cell>
          <cell r="I5701" t="str">
            <v>40153</v>
          </cell>
        </row>
        <row r="5702">
          <cell r="G5702" t="str">
            <v>Xã Nghi Sơn</v>
          </cell>
          <cell r="I5702" t="str">
            <v>40153</v>
          </cell>
        </row>
        <row r="5703">
          <cell r="G5703" t="str">
            <v xml:space="preserve">Phường Quang Trung            </v>
          </cell>
          <cell r="I5703" t="str">
            <v>40301</v>
          </cell>
        </row>
        <row r="5704">
          <cell r="G5704" t="str">
            <v>Phường Hưng Bình</v>
          </cell>
          <cell r="I5704" t="str">
            <v>40301</v>
          </cell>
        </row>
        <row r="5705">
          <cell r="G5705" t="str">
            <v>Phường Lê Mao</v>
          </cell>
          <cell r="I5705" t="str">
            <v>40301</v>
          </cell>
        </row>
        <row r="5706">
          <cell r="G5706" t="str">
            <v>Phường Trung Đô</v>
          </cell>
          <cell r="I5706" t="str">
            <v>40301</v>
          </cell>
        </row>
        <row r="5707">
          <cell r="G5707" t="str">
            <v>Xã Hưng Hòa</v>
          </cell>
          <cell r="I5707" t="str">
            <v>40301</v>
          </cell>
        </row>
        <row r="5708">
          <cell r="G5708" t="str">
            <v>Phường Đông Vĩnh</v>
          </cell>
          <cell r="I5708" t="str">
            <v>40301</v>
          </cell>
        </row>
        <row r="5709">
          <cell r="G5709" t="str">
            <v>Phường Hà Huy Tập</v>
          </cell>
          <cell r="I5709" t="str">
            <v>40301</v>
          </cell>
        </row>
        <row r="5710">
          <cell r="G5710" t="str">
            <v xml:space="preserve">Phường Lê Lợi    </v>
          </cell>
          <cell r="I5710" t="str">
            <v>40301</v>
          </cell>
        </row>
        <row r="5711">
          <cell r="G5711" t="str">
            <v>Phường Quán Bàu</v>
          </cell>
          <cell r="I5711" t="str">
            <v>40301</v>
          </cell>
        </row>
        <row r="5712">
          <cell r="G5712" t="str">
            <v>Phường Hưng Phúc</v>
          </cell>
          <cell r="I5712" t="str">
            <v>40301</v>
          </cell>
        </row>
        <row r="5713">
          <cell r="G5713" t="str">
            <v>Phường Hưng Dũng</v>
          </cell>
          <cell r="I5713" t="str">
            <v>40301</v>
          </cell>
        </row>
        <row r="5714">
          <cell r="G5714" t="str">
            <v xml:space="preserve">Phường Cửa Nam  </v>
          </cell>
          <cell r="I5714" t="str">
            <v>40301</v>
          </cell>
        </row>
        <row r="5715">
          <cell r="G5715" t="str">
            <v>Phường Đội Cung</v>
          </cell>
          <cell r="I5715" t="str">
            <v>40301</v>
          </cell>
        </row>
        <row r="5716">
          <cell r="G5716" t="str">
            <v xml:space="preserve">Phường Trường Thi  </v>
          </cell>
          <cell r="I5716" t="str">
            <v>40301</v>
          </cell>
        </row>
        <row r="5717">
          <cell r="G5717" t="str">
            <v>Phường Bến Thủy</v>
          </cell>
          <cell r="I5717" t="str">
            <v>40301</v>
          </cell>
        </row>
        <row r="5718">
          <cell r="G5718" t="str">
            <v>Phường Hồng Sơn</v>
          </cell>
          <cell r="I5718" t="str">
            <v>40301</v>
          </cell>
        </row>
        <row r="5719">
          <cell r="G5719" t="str">
            <v>Xã Nghi Phú</v>
          </cell>
          <cell r="I5719" t="str">
            <v>40301</v>
          </cell>
        </row>
        <row r="5720">
          <cell r="G5720" t="str">
            <v>Xã Hưng Đông</v>
          </cell>
          <cell r="I5720" t="str">
            <v>40301</v>
          </cell>
        </row>
        <row r="5721">
          <cell r="G5721" t="str">
            <v xml:space="preserve">Xã Hưng Lộc </v>
          </cell>
          <cell r="I5721" t="str">
            <v>40301</v>
          </cell>
        </row>
        <row r="5722">
          <cell r="G5722" t="str">
            <v>Phường Vinh Tân</v>
          </cell>
          <cell r="I5722" t="str">
            <v>40301</v>
          </cell>
        </row>
        <row r="5723">
          <cell r="G5723" t="str">
            <v>Xã Hưng Chính</v>
          </cell>
          <cell r="I5723" t="str">
            <v>40301</v>
          </cell>
        </row>
        <row r="5724">
          <cell r="G5724" t="str">
            <v>Xã Nghi Kim</v>
          </cell>
          <cell r="I5724" t="str">
            <v>40301</v>
          </cell>
        </row>
        <row r="5725">
          <cell r="G5725" t="str">
            <v>Xã Nghi Liên</v>
          </cell>
          <cell r="I5725" t="str">
            <v>40301</v>
          </cell>
        </row>
        <row r="5726">
          <cell r="G5726" t="str">
            <v>Xã Nghi Ân</v>
          </cell>
          <cell r="I5726" t="str">
            <v>40301</v>
          </cell>
        </row>
        <row r="5727">
          <cell r="G5727" t="str">
            <v>Xã Nghi Đức</v>
          </cell>
          <cell r="I5727" t="str">
            <v>40301</v>
          </cell>
        </row>
        <row r="5728">
          <cell r="G5728" t="str">
            <v>Phường Nghi Tân</v>
          </cell>
          <cell r="I5728" t="str">
            <v>40303</v>
          </cell>
        </row>
        <row r="5729">
          <cell r="G5729" t="str">
            <v>Phường Thu Thuỷ</v>
          </cell>
          <cell r="I5729" t="str">
            <v>40303</v>
          </cell>
        </row>
        <row r="5730">
          <cell r="G5730" t="str">
            <v>Phường Nghi Thu</v>
          </cell>
          <cell r="I5730" t="str">
            <v>40303</v>
          </cell>
        </row>
        <row r="5731">
          <cell r="G5731" t="str">
            <v>Phường Nghi Thuỷ</v>
          </cell>
          <cell r="I5731" t="str">
            <v>40303</v>
          </cell>
        </row>
        <row r="5732">
          <cell r="G5732" t="str">
            <v>Phường Nghi Hoà</v>
          </cell>
          <cell r="I5732" t="str">
            <v>40303</v>
          </cell>
        </row>
        <row r="5733">
          <cell r="G5733" t="str">
            <v>Phường Nghi Hải</v>
          </cell>
          <cell r="I5733" t="str">
            <v>40303</v>
          </cell>
        </row>
        <row r="5734">
          <cell r="G5734" t="str">
            <v>Phường Nghi Hương</v>
          </cell>
          <cell r="I5734" t="str">
            <v>40303</v>
          </cell>
        </row>
        <row r="5735">
          <cell r="G5735" t="str">
            <v>Xã Mường Nọc</v>
          </cell>
          <cell r="I5735" t="str">
            <v>40305</v>
          </cell>
        </row>
        <row r="5736">
          <cell r="G5736" t="str">
            <v>Xã Hạnh Dịch</v>
          </cell>
          <cell r="I5736" t="str">
            <v>40305</v>
          </cell>
        </row>
        <row r="5737">
          <cell r="G5737" t="str">
            <v>Xã Châu Kim</v>
          </cell>
          <cell r="I5737" t="str">
            <v>40305</v>
          </cell>
        </row>
        <row r="5738">
          <cell r="G5738" t="str">
            <v xml:space="preserve">Xã Quang Phong </v>
          </cell>
          <cell r="I5738" t="str">
            <v>40305</v>
          </cell>
        </row>
        <row r="5739">
          <cell r="G5739" t="str">
            <v>Thị trấn Kim Sơn</v>
          </cell>
          <cell r="I5739" t="str">
            <v>40305</v>
          </cell>
        </row>
        <row r="5740">
          <cell r="G5740" t="str">
            <v>Xã Thông Thụ</v>
          </cell>
          <cell r="I5740" t="str">
            <v>40305</v>
          </cell>
        </row>
        <row r="5741">
          <cell r="G5741" t="str">
            <v xml:space="preserve">Xã Đồng Văn  </v>
          </cell>
          <cell r="I5741" t="str">
            <v>40305</v>
          </cell>
        </row>
        <row r="5742">
          <cell r="G5742" t="str">
            <v xml:space="preserve">Xã Tiền Phong         </v>
          </cell>
          <cell r="I5742" t="str">
            <v>40305</v>
          </cell>
        </row>
        <row r="5743">
          <cell r="G5743" t="str">
            <v>Xã Nậm Giải</v>
          </cell>
          <cell r="I5743" t="str">
            <v>40305</v>
          </cell>
        </row>
        <row r="5744">
          <cell r="G5744" t="str">
            <v xml:space="preserve">Xã Tri Lễ </v>
          </cell>
          <cell r="I5744" t="str">
            <v>40305</v>
          </cell>
        </row>
        <row r="5745">
          <cell r="G5745" t="str">
            <v xml:space="preserve">Xã Quế Sơn </v>
          </cell>
          <cell r="I5745" t="str">
            <v>40305</v>
          </cell>
        </row>
        <row r="5746">
          <cell r="G5746" t="str">
            <v>Xã Châu Thôn</v>
          </cell>
          <cell r="I5746" t="str">
            <v>40305</v>
          </cell>
        </row>
        <row r="5747">
          <cell r="G5747" t="str">
            <v>Xã Nậm Nhoóng</v>
          </cell>
          <cell r="I5747" t="str">
            <v>40305</v>
          </cell>
        </row>
        <row r="5748">
          <cell r="G5748" t="str">
            <v>Xã Cắm Muộn</v>
          </cell>
          <cell r="I5748" t="str">
            <v>40305</v>
          </cell>
        </row>
        <row r="5749">
          <cell r="G5749" t="str">
            <v>Xã Châu Tiến</v>
          </cell>
          <cell r="I5749" t="str">
            <v>40307</v>
          </cell>
        </row>
        <row r="5750">
          <cell r="G5750" t="str">
            <v>Xã Châu Thuận</v>
          </cell>
          <cell r="I5750" t="str">
            <v>40307</v>
          </cell>
        </row>
        <row r="5751">
          <cell r="G5751" t="str">
            <v>Xã Châu Hoàn</v>
          </cell>
          <cell r="I5751" t="str">
            <v>40307</v>
          </cell>
        </row>
        <row r="5752">
          <cell r="G5752" t="str">
            <v>Xã Diên Lãm</v>
          </cell>
          <cell r="I5752" t="str">
            <v>40307</v>
          </cell>
        </row>
        <row r="5753">
          <cell r="G5753" t="str">
            <v>Thị trấn Quỳ Châu</v>
          </cell>
          <cell r="I5753" t="str">
            <v>40307</v>
          </cell>
        </row>
        <row r="5754">
          <cell r="G5754" t="str">
            <v>Xã Châu Bính</v>
          </cell>
          <cell r="I5754" t="str">
            <v>40307</v>
          </cell>
        </row>
        <row r="5755">
          <cell r="G5755" t="str">
            <v>Xã Châu Hội</v>
          </cell>
          <cell r="I5755" t="str">
            <v>40307</v>
          </cell>
        </row>
        <row r="5756">
          <cell r="G5756" t="str">
            <v>Xã Châu Nga</v>
          </cell>
          <cell r="I5756" t="str">
            <v>40307</v>
          </cell>
        </row>
        <row r="5757">
          <cell r="G5757" t="str">
            <v>Xã Châu Hạnh</v>
          </cell>
          <cell r="I5757" t="str">
            <v>40307</v>
          </cell>
        </row>
        <row r="5758">
          <cell r="G5758" t="str">
            <v>Xã Châu Thắng</v>
          </cell>
          <cell r="I5758" t="str">
            <v>40307</v>
          </cell>
        </row>
        <row r="5759">
          <cell r="G5759" t="str">
            <v xml:space="preserve">Xã Châu Phong </v>
          </cell>
          <cell r="I5759" t="str">
            <v>40307</v>
          </cell>
        </row>
        <row r="5760">
          <cell r="G5760" t="str">
            <v>Xã Châu Bình</v>
          </cell>
          <cell r="I5760" t="str">
            <v>40307</v>
          </cell>
        </row>
        <row r="5761">
          <cell r="G5761" t="str">
            <v>Xã Na Loi</v>
          </cell>
          <cell r="I5761" t="str">
            <v>40309</v>
          </cell>
        </row>
        <row r="5762">
          <cell r="G5762" t="str">
            <v>Xã Mường ải</v>
          </cell>
          <cell r="I5762" t="str">
            <v>40309</v>
          </cell>
        </row>
        <row r="5763">
          <cell r="G5763" t="str">
            <v>Xã Bảo Nam</v>
          </cell>
          <cell r="I5763" t="str">
            <v>40309</v>
          </cell>
        </row>
        <row r="5764">
          <cell r="G5764" t="str">
            <v>Xã Hữu Lập</v>
          </cell>
          <cell r="I5764" t="str">
            <v>40309</v>
          </cell>
        </row>
        <row r="5765">
          <cell r="G5765" t="str">
            <v>Xã Hữu Kiệm</v>
          </cell>
          <cell r="I5765" t="str">
            <v>40309</v>
          </cell>
        </row>
        <row r="5766">
          <cell r="G5766" t="str">
            <v>Xã Nậm Càn</v>
          </cell>
          <cell r="I5766" t="str">
            <v>40309</v>
          </cell>
        </row>
        <row r="5767">
          <cell r="G5767" t="str">
            <v>Thị trấn Mường Xén</v>
          </cell>
          <cell r="I5767" t="str">
            <v>40309</v>
          </cell>
        </row>
        <row r="5768">
          <cell r="G5768" t="str">
            <v>Xã Mỹ Lý</v>
          </cell>
          <cell r="I5768" t="str">
            <v>40309</v>
          </cell>
        </row>
        <row r="5769">
          <cell r="G5769" t="str">
            <v xml:space="preserve">Xã Bắc Lý  </v>
          </cell>
          <cell r="I5769" t="str">
            <v>40309</v>
          </cell>
        </row>
        <row r="5770">
          <cell r="G5770" t="str">
            <v>Xã Keng Đu</v>
          </cell>
          <cell r="I5770" t="str">
            <v>40309</v>
          </cell>
        </row>
        <row r="5771">
          <cell r="G5771" t="str">
            <v>Xã Đoọc Mạy</v>
          </cell>
          <cell r="I5771" t="str">
            <v>40309</v>
          </cell>
        </row>
        <row r="5772">
          <cell r="G5772" t="str">
            <v>Xã Huồi Tụ</v>
          </cell>
          <cell r="I5772" t="str">
            <v>40309</v>
          </cell>
        </row>
        <row r="5773">
          <cell r="G5773" t="str">
            <v>Xã Mường Lống</v>
          </cell>
          <cell r="I5773" t="str">
            <v>40309</v>
          </cell>
        </row>
        <row r="5774">
          <cell r="G5774" t="str">
            <v>Xã Nậm Cắn</v>
          </cell>
          <cell r="I5774" t="str">
            <v>40309</v>
          </cell>
        </row>
        <row r="5775">
          <cell r="G5775" t="str">
            <v>Xã Phà Đánh</v>
          </cell>
          <cell r="I5775" t="str">
            <v>40309</v>
          </cell>
        </row>
        <row r="5776">
          <cell r="G5776" t="str">
            <v>Xã Bảo Thắng</v>
          </cell>
          <cell r="I5776" t="str">
            <v>40309</v>
          </cell>
        </row>
        <row r="5777">
          <cell r="G5777" t="str">
            <v>Xã Tà Cạ</v>
          </cell>
          <cell r="I5777" t="str">
            <v>40309</v>
          </cell>
        </row>
        <row r="5778">
          <cell r="G5778" t="str">
            <v>Xã Chiêu Lưu</v>
          </cell>
          <cell r="I5778" t="str">
            <v>40309</v>
          </cell>
        </row>
        <row r="5779">
          <cell r="G5779" t="str">
            <v>Xã Mường Típ</v>
          </cell>
          <cell r="I5779" t="str">
            <v>40309</v>
          </cell>
        </row>
        <row r="5780">
          <cell r="G5780" t="str">
            <v xml:space="preserve">Xã Tây Sơn </v>
          </cell>
          <cell r="I5780" t="str">
            <v>40309</v>
          </cell>
        </row>
        <row r="5781">
          <cell r="G5781" t="str">
            <v>Xã Na Ngoi</v>
          </cell>
          <cell r="I5781" t="str">
            <v>40309</v>
          </cell>
        </row>
        <row r="5782">
          <cell r="G5782" t="str">
            <v>Xã Châu Hồng</v>
          </cell>
          <cell r="I5782" t="str">
            <v>40311</v>
          </cell>
        </row>
        <row r="5783">
          <cell r="G5783" t="str">
            <v>Xã Châu Đình</v>
          </cell>
          <cell r="I5783" t="str">
            <v>40311</v>
          </cell>
        </row>
        <row r="5784">
          <cell r="G5784" t="str">
            <v xml:space="preserve">Xã Châu Tiến </v>
          </cell>
          <cell r="I5784" t="str">
            <v>40311</v>
          </cell>
        </row>
        <row r="5785">
          <cell r="G5785" t="str">
            <v>Xã Liên Hợp</v>
          </cell>
          <cell r="I5785" t="str">
            <v>40311</v>
          </cell>
        </row>
        <row r="5786">
          <cell r="G5786" t="str">
            <v>Xã Châu Quang</v>
          </cell>
          <cell r="I5786" t="str">
            <v>40311</v>
          </cell>
        </row>
        <row r="5787">
          <cell r="G5787" t="str">
            <v>Xã Châu Thái</v>
          </cell>
          <cell r="I5787" t="str">
            <v>40311</v>
          </cell>
        </row>
        <row r="5788">
          <cell r="G5788" t="str">
            <v>Xã Châu Lý</v>
          </cell>
          <cell r="I5788" t="str">
            <v>40311</v>
          </cell>
        </row>
        <row r="5789">
          <cell r="G5789" t="str">
            <v>Thị trấn Quỳ Hợp</v>
          </cell>
          <cell r="I5789" t="str">
            <v>40311</v>
          </cell>
        </row>
        <row r="5790">
          <cell r="G5790" t="str">
            <v xml:space="preserve">Xã Yên Hợp </v>
          </cell>
          <cell r="I5790" t="str">
            <v>40311</v>
          </cell>
        </row>
        <row r="5791">
          <cell r="G5791" t="str">
            <v>Xã Đồng Hợp</v>
          </cell>
          <cell r="I5791" t="str">
            <v>40311</v>
          </cell>
        </row>
        <row r="5792">
          <cell r="G5792" t="str">
            <v>Xã Châu Thành</v>
          </cell>
          <cell r="I5792" t="str">
            <v>40311</v>
          </cell>
        </row>
        <row r="5793">
          <cell r="G5793" t="str">
            <v xml:space="preserve">Xã Châu Lộc </v>
          </cell>
          <cell r="I5793" t="str">
            <v>40311</v>
          </cell>
        </row>
        <row r="5794">
          <cell r="G5794" t="str">
            <v xml:space="preserve">Xã Tam Hợp </v>
          </cell>
          <cell r="I5794" t="str">
            <v>40311</v>
          </cell>
        </row>
        <row r="5795">
          <cell r="G5795" t="str">
            <v>Xã Châu Cường</v>
          </cell>
          <cell r="I5795" t="str">
            <v>40311</v>
          </cell>
        </row>
        <row r="5796">
          <cell r="G5796" t="str">
            <v>Xã Thọ Hợp</v>
          </cell>
          <cell r="I5796" t="str">
            <v>40311</v>
          </cell>
        </row>
        <row r="5797">
          <cell r="G5797" t="str">
            <v>Xã Minh Hợp</v>
          </cell>
          <cell r="I5797" t="str">
            <v>40311</v>
          </cell>
        </row>
        <row r="5798">
          <cell r="G5798" t="str">
            <v>Xã Nghĩa Xuân</v>
          </cell>
          <cell r="I5798" t="str">
            <v>40311</v>
          </cell>
        </row>
        <row r="5799">
          <cell r="G5799" t="str">
            <v>Xã Văn Lợi</v>
          </cell>
          <cell r="I5799" t="str">
            <v>40311</v>
          </cell>
        </row>
        <row r="5800">
          <cell r="G5800" t="str">
            <v xml:space="preserve">Xã Nam Sơn      </v>
          </cell>
          <cell r="I5800" t="str">
            <v>40311</v>
          </cell>
        </row>
        <row r="5801">
          <cell r="G5801" t="str">
            <v>Xã Hạ Sơn</v>
          </cell>
          <cell r="I5801" t="str">
            <v>40311</v>
          </cell>
        </row>
        <row r="5802">
          <cell r="G5802" t="str">
            <v xml:space="preserve">Xã Bắc Sơn        </v>
          </cell>
          <cell r="I5802" t="str">
            <v>40311</v>
          </cell>
        </row>
        <row r="5803">
          <cell r="G5803" t="str">
            <v xml:space="preserve">Xã Nghĩa Hưng  </v>
          </cell>
          <cell r="I5803" t="str">
            <v>40313</v>
          </cell>
        </row>
        <row r="5804">
          <cell r="G5804" t="str">
            <v>Xã Nghĩa Yên</v>
          </cell>
          <cell r="I5804" t="str">
            <v>40313</v>
          </cell>
        </row>
        <row r="5805">
          <cell r="G5805" t="str">
            <v xml:space="preserve">Xã Nghĩa Lợi  </v>
          </cell>
          <cell r="I5805" t="str">
            <v>40313</v>
          </cell>
        </row>
        <row r="5806">
          <cell r="G5806" t="str">
            <v xml:space="preserve">Xã Nghĩa Phú </v>
          </cell>
          <cell r="I5806" t="str">
            <v>40313</v>
          </cell>
        </row>
        <row r="5807">
          <cell r="G5807" t="str">
            <v xml:space="preserve">Xã Nghĩa Trung  </v>
          </cell>
          <cell r="I5807" t="str">
            <v>40313</v>
          </cell>
        </row>
        <row r="5808">
          <cell r="G5808" t="str">
            <v>Xã Nghĩa Mai</v>
          </cell>
          <cell r="I5808" t="str">
            <v>40313</v>
          </cell>
        </row>
        <row r="5809">
          <cell r="G5809" t="str">
            <v xml:space="preserve">Xã Nghĩa Lạc </v>
          </cell>
          <cell r="I5809" t="str">
            <v>40313</v>
          </cell>
        </row>
        <row r="5810">
          <cell r="G5810" t="str">
            <v xml:space="preserve">Xã Nghĩa Lâm </v>
          </cell>
          <cell r="I5810" t="str">
            <v>40313</v>
          </cell>
        </row>
        <row r="5811">
          <cell r="G5811" t="str">
            <v xml:space="preserve">Xã Nghĩa Sơn  </v>
          </cell>
          <cell r="I5811" t="str">
            <v>40313</v>
          </cell>
        </row>
        <row r="5812">
          <cell r="G5812" t="str">
            <v xml:space="preserve">Xã Nghĩa Bình </v>
          </cell>
          <cell r="I5812" t="str">
            <v>40313</v>
          </cell>
        </row>
        <row r="5813">
          <cell r="G5813" t="str">
            <v>Xã Nghĩa Thọ</v>
          </cell>
          <cell r="I5813" t="str">
            <v>40313</v>
          </cell>
        </row>
        <row r="5814">
          <cell r="G5814" t="str">
            <v xml:space="preserve">Xã Nghĩa Minh </v>
          </cell>
          <cell r="I5814" t="str">
            <v>40313</v>
          </cell>
        </row>
        <row r="5815">
          <cell r="G5815" t="str">
            <v xml:space="preserve">Xã Nghĩa Hồng </v>
          </cell>
          <cell r="I5815" t="str">
            <v>40313</v>
          </cell>
        </row>
        <row r="5816">
          <cell r="G5816" t="str">
            <v xml:space="preserve">Xã Nghĩa Thịnh </v>
          </cell>
          <cell r="I5816" t="str">
            <v>40313</v>
          </cell>
        </row>
        <row r="5817">
          <cell r="G5817" t="str">
            <v>Xã Nghĩa Hội</v>
          </cell>
          <cell r="I5817" t="str">
            <v>40313</v>
          </cell>
        </row>
        <row r="5818">
          <cell r="G5818" t="str">
            <v xml:space="preserve">Xã Nghĩa Tân </v>
          </cell>
          <cell r="I5818" t="str">
            <v>40313</v>
          </cell>
        </row>
        <row r="5819">
          <cell r="G5819" t="str">
            <v xml:space="preserve">Xã Nghĩa Thắng </v>
          </cell>
          <cell r="I5819" t="str">
            <v>40313</v>
          </cell>
        </row>
        <row r="5820">
          <cell r="G5820" t="str">
            <v>Xã Nghĩa Hiếu</v>
          </cell>
          <cell r="I5820" t="str">
            <v>40313</v>
          </cell>
        </row>
        <row r="5821">
          <cell r="G5821" t="str">
            <v>Xã Nghĩa Liên</v>
          </cell>
          <cell r="I5821" t="str">
            <v>40313</v>
          </cell>
        </row>
        <row r="5822">
          <cell r="G5822" t="str">
            <v>Xã Nghĩa Đức</v>
          </cell>
          <cell r="I5822" t="str">
            <v>40313</v>
          </cell>
        </row>
        <row r="5823">
          <cell r="G5823" t="str">
            <v xml:space="preserve">Xã Nghĩa An   </v>
          </cell>
          <cell r="I5823" t="str">
            <v>40313</v>
          </cell>
        </row>
        <row r="5824">
          <cell r="G5824" t="str">
            <v>Xã Nghĩa Long</v>
          </cell>
          <cell r="I5824" t="str">
            <v>40313</v>
          </cell>
        </row>
        <row r="5825">
          <cell r="G5825" t="str">
            <v>Xã Nghĩa Khánh</v>
          </cell>
          <cell r="I5825" t="str">
            <v>40313</v>
          </cell>
        </row>
        <row r="5826">
          <cell r="G5826" t="str">
            <v>Xã Nghĩa Lộc</v>
          </cell>
          <cell r="I5826" t="str">
            <v>40313</v>
          </cell>
        </row>
        <row r="5827">
          <cell r="G5827" t="str">
            <v>Thị trấn Nghĩa Đàn</v>
          </cell>
          <cell r="I5827" t="str">
            <v>40313</v>
          </cell>
        </row>
        <row r="5828">
          <cell r="G5828" t="str">
            <v>Phưòng Hoà Hiếu</v>
          </cell>
          <cell r="I5828" t="str">
            <v>40314</v>
          </cell>
        </row>
        <row r="5829">
          <cell r="G5829" t="str">
            <v>Phường Quang Tiến</v>
          </cell>
          <cell r="I5829" t="str">
            <v>40314</v>
          </cell>
        </row>
        <row r="5830">
          <cell r="G5830" t="str">
            <v>Phường Long Sơn</v>
          </cell>
          <cell r="I5830" t="str">
            <v>40314</v>
          </cell>
        </row>
        <row r="5831">
          <cell r="G5831" t="str">
            <v>Phường Quang Phong</v>
          </cell>
          <cell r="I5831" t="str">
            <v>40314</v>
          </cell>
        </row>
        <row r="5832">
          <cell r="G5832" t="str">
            <v>Xã Nghĩa Mỹ</v>
          </cell>
          <cell r="I5832" t="str">
            <v>40314</v>
          </cell>
        </row>
        <row r="5833">
          <cell r="G5833" t="str">
            <v xml:space="preserve">Xã Nghĩa Thuận </v>
          </cell>
          <cell r="I5833" t="str">
            <v>40314</v>
          </cell>
        </row>
        <row r="5834">
          <cell r="G5834" t="str">
            <v>Xã Nghĩa Tiến</v>
          </cell>
          <cell r="I5834" t="str">
            <v>40314</v>
          </cell>
        </row>
        <row r="5835">
          <cell r="G5835" t="str">
            <v>Xã Đông Hiếu</v>
          </cell>
          <cell r="I5835" t="str">
            <v>40314</v>
          </cell>
        </row>
        <row r="5836">
          <cell r="G5836" t="str">
            <v>Xã Tây Hiếu</v>
          </cell>
          <cell r="I5836" t="str">
            <v>40314</v>
          </cell>
        </row>
        <row r="5837">
          <cell r="G5837" t="str">
            <v>Xã Nghĩa Hoà</v>
          </cell>
          <cell r="I5837" t="str">
            <v>40314</v>
          </cell>
        </row>
        <row r="5838">
          <cell r="G5838" t="str">
            <v xml:space="preserve">Xã Nga My </v>
          </cell>
          <cell r="I5838" t="str">
            <v>40315</v>
          </cell>
        </row>
        <row r="5839">
          <cell r="G5839" t="str">
            <v xml:space="preserve">Xã Tam Hợp  </v>
          </cell>
          <cell r="I5839" t="str">
            <v>40315</v>
          </cell>
        </row>
        <row r="5840">
          <cell r="G5840" t="str">
            <v>Xã Hữu Khuông</v>
          </cell>
          <cell r="I5840" t="str">
            <v>40315</v>
          </cell>
        </row>
        <row r="5841">
          <cell r="G5841" t="str">
            <v>Xã Xiêng My</v>
          </cell>
          <cell r="I5841" t="str">
            <v>40315</v>
          </cell>
        </row>
        <row r="5842">
          <cell r="G5842" t="str">
            <v xml:space="preserve">Xã Yên Hòa   </v>
          </cell>
          <cell r="I5842" t="str">
            <v>40315</v>
          </cell>
        </row>
        <row r="5843">
          <cell r="G5843" t="str">
            <v>Xã Thạch Giám</v>
          </cell>
          <cell r="I5843" t="str">
            <v>40315</v>
          </cell>
        </row>
        <row r="5844">
          <cell r="G5844" t="str">
            <v xml:space="preserve">Xã Tam Quang </v>
          </cell>
          <cell r="I5844" t="str">
            <v>40315</v>
          </cell>
        </row>
        <row r="5845">
          <cell r="G5845" t="str">
            <v>Thị trấn Hòa Bình</v>
          </cell>
          <cell r="I5845" t="str">
            <v>40315</v>
          </cell>
        </row>
        <row r="5846">
          <cell r="G5846" t="str">
            <v xml:space="preserve">Xã Mai Sơn  </v>
          </cell>
          <cell r="I5846" t="str">
            <v>40315</v>
          </cell>
        </row>
        <row r="5847">
          <cell r="G5847" t="str">
            <v>Xã Nhôn Mai</v>
          </cell>
          <cell r="I5847" t="str">
            <v>40315</v>
          </cell>
        </row>
        <row r="5848">
          <cell r="G5848" t="str">
            <v>Xã Yên Tĩnh</v>
          </cell>
          <cell r="I5848" t="str">
            <v>40315</v>
          </cell>
        </row>
        <row r="5849">
          <cell r="G5849" t="str">
            <v>Xã Lưỡng Minh</v>
          </cell>
          <cell r="I5849" t="str">
            <v>40315</v>
          </cell>
        </row>
        <row r="5850">
          <cell r="G5850" t="str">
            <v>Xã Yên Na</v>
          </cell>
          <cell r="I5850" t="str">
            <v>40315</v>
          </cell>
        </row>
        <row r="5851">
          <cell r="G5851" t="str">
            <v>Xã Lưu Kiền</v>
          </cell>
          <cell r="I5851" t="str">
            <v>40315</v>
          </cell>
        </row>
        <row r="5852">
          <cell r="G5852" t="str">
            <v>Xã Xá Lượng</v>
          </cell>
          <cell r="I5852" t="str">
            <v>40315</v>
          </cell>
        </row>
        <row r="5853">
          <cell r="G5853" t="str">
            <v>Xã Tam Thái</v>
          </cell>
          <cell r="I5853" t="str">
            <v>40315</v>
          </cell>
        </row>
        <row r="5854">
          <cell r="G5854" t="str">
            <v>Xã Tam Đình</v>
          </cell>
          <cell r="I5854" t="str">
            <v>40315</v>
          </cell>
        </row>
        <row r="5855">
          <cell r="G5855" t="str">
            <v xml:space="preserve">Xã Yên Thắng    </v>
          </cell>
          <cell r="I5855" t="str">
            <v>40315</v>
          </cell>
        </row>
        <row r="5856">
          <cell r="G5856" t="str">
            <v>Xã Quỳnh Bảng</v>
          </cell>
          <cell r="I5856" t="str">
            <v>40317</v>
          </cell>
        </row>
        <row r="5857">
          <cell r="G5857" t="str">
            <v>Xã Quỳnh Diễn</v>
          </cell>
          <cell r="I5857" t="str">
            <v>40317</v>
          </cell>
        </row>
        <row r="5858">
          <cell r="G5858" t="str">
            <v>Xã Quỳnh Yên</v>
          </cell>
          <cell r="I5858" t="str">
            <v>40317</v>
          </cell>
        </row>
        <row r="5859">
          <cell r="G5859" t="str">
            <v xml:space="preserve">Xã Quỳnh Hưng </v>
          </cell>
          <cell r="I5859" t="str">
            <v>40317</v>
          </cell>
        </row>
        <row r="5860">
          <cell r="G5860" t="str">
            <v xml:space="preserve">Xã An Hòa </v>
          </cell>
          <cell r="I5860" t="str">
            <v>40317</v>
          </cell>
        </row>
        <row r="5861">
          <cell r="G5861" t="str">
            <v>Xã Quỳnh Thuận</v>
          </cell>
          <cell r="I5861" t="str">
            <v>40317</v>
          </cell>
        </row>
        <row r="5862">
          <cell r="G5862" t="str">
            <v>Xã Quỳnh Tam</v>
          </cell>
          <cell r="I5862" t="str">
            <v>40317</v>
          </cell>
        </row>
        <row r="5863">
          <cell r="G5863" t="str">
            <v>Xã Quỳnh Thắng</v>
          </cell>
          <cell r="I5863" t="str">
            <v>40317</v>
          </cell>
        </row>
        <row r="5864">
          <cell r="G5864" t="str">
            <v xml:space="preserve">Xã Quỳnh Hoa </v>
          </cell>
          <cell r="I5864" t="str">
            <v>40317</v>
          </cell>
        </row>
        <row r="5865">
          <cell r="G5865" t="str">
            <v>Xã Quỳnh Thạch</v>
          </cell>
          <cell r="I5865" t="str">
            <v>40317</v>
          </cell>
        </row>
        <row r="5866">
          <cell r="G5866" t="str">
            <v xml:space="preserve">Xã Quỳnh Mỹ </v>
          </cell>
          <cell r="I5866" t="str">
            <v>40317</v>
          </cell>
        </row>
        <row r="5867">
          <cell r="G5867" t="str">
            <v>Xã Quỳnh Thanh</v>
          </cell>
          <cell r="I5867" t="str">
            <v>40317</v>
          </cell>
        </row>
        <row r="5868">
          <cell r="G5868" t="str">
            <v>Xã Quỳnh Hậu</v>
          </cell>
          <cell r="I5868" t="str">
            <v>40317</v>
          </cell>
        </row>
        <row r="5869">
          <cell r="G5869" t="str">
            <v xml:space="preserve">Xã Quỳnh Lâm </v>
          </cell>
          <cell r="I5869" t="str">
            <v>40317</v>
          </cell>
        </row>
        <row r="5870">
          <cell r="G5870" t="str">
            <v>Xã Quỳnh Đôi</v>
          </cell>
          <cell r="I5870" t="str">
            <v>40317</v>
          </cell>
        </row>
        <row r="5871">
          <cell r="G5871" t="str">
            <v>Xã Quỳnh Lương</v>
          </cell>
          <cell r="I5871" t="str">
            <v>40317</v>
          </cell>
        </row>
        <row r="5872">
          <cell r="G5872" t="str">
            <v xml:space="preserve">Xã Quỳnh Hồng </v>
          </cell>
          <cell r="I5872" t="str">
            <v>40317</v>
          </cell>
        </row>
        <row r="5873">
          <cell r="G5873" t="str">
            <v>Xã Quỳnh Bá</v>
          </cell>
          <cell r="I5873" t="str">
            <v>40317</v>
          </cell>
        </row>
        <row r="5874">
          <cell r="G5874" t="str">
            <v xml:space="preserve">Xã Quỳnh Minh </v>
          </cell>
          <cell r="I5874" t="str">
            <v>40317</v>
          </cell>
        </row>
        <row r="5875">
          <cell r="G5875" t="str">
            <v>Xã Quỳnh Giang</v>
          </cell>
          <cell r="I5875" t="str">
            <v>40317</v>
          </cell>
        </row>
        <row r="5876">
          <cell r="G5876" t="str">
            <v xml:space="preserve">Xã Quỳnh Ngọc </v>
          </cell>
          <cell r="I5876" t="str">
            <v>40317</v>
          </cell>
        </row>
        <row r="5877">
          <cell r="G5877" t="str">
            <v>Xã Quỳnh Nghĩa</v>
          </cell>
          <cell r="I5877" t="str">
            <v>40317</v>
          </cell>
        </row>
        <row r="5878">
          <cell r="G5878" t="str">
            <v>Xã Tiến Thủy</v>
          </cell>
          <cell r="I5878" t="str">
            <v>40317</v>
          </cell>
        </row>
        <row r="5879">
          <cell r="G5879" t="str">
            <v xml:space="preserve">Xã Sơn Hải  </v>
          </cell>
          <cell r="I5879" t="str">
            <v>40317</v>
          </cell>
        </row>
        <row r="5880">
          <cell r="G5880" t="str">
            <v xml:space="preserve">Xã Quỳnh Thọ </v>
          </cell>
          <cell r="I5880" t="str">
            <v>40317</v>
          </cell>
        </row>
        <row r="5881">
          <cell r="G5881" t="str">
            <v>Xã Quỳnh Long</v>
          </cell>
          <cell r="I5881" t="str">
            <v>40317</v>
          </cell>
        </row>
        <row r="5882">
          <cell r="G5882" t="str">
            <v>Xã Tân Thắng</v>
          </cell>
          <cell r="I5882" t="str">
            <v>40317</v>
          </cell>
        </row>
        <row r="5883">
          <cell r="G5883" t="str">
            <v>Thị trấn Cầu Giát</v>
          </cell>
          <cell r="I5883" t="str">
            <v>40317</v>
          </cell>
        </row>
        <row r="5884">
          <cell r="G5884" t="str">
            <v>Xã Quỳnh Tân</v>
          </cell>
          <cell r="I5884" t="str">
            <v>40317</v>
          </cell>
        </row>
        <row r="5885">
          <cell r="G5885" t="str">
            <v xml:space="preserve">Xã Quỳnh Châu </v>
          </cell>
          <cell r="I5885" t="str">
            <v>40317</v>
          </cell>
        </row>
        <row r="5886">
          <cell r="G5886" t="str">
            <v xml:space="preserve">Xã Tân Sơn     </v>
          </cell>
          <cell r="I5886" t="str">
            <v>40317</v>
          </cell>
        </row>
        <row r="5887">
          <cell r="G5887" t="str">
            <v>Xã Quỳnh Văn</v>
          </cell>
          <cell r="I5887" t="str">
            <v>40317</v>
          </cell>
        </row>
        <row r="5888">
          <cell r="G5888" t="str">
            <v xml:space="preserve">Xã Ngọc Sơn     </v>
          </cell>
          <cell r="I5888" t="str">
            <v>40317</v>
          </cell>
        </row>
        <row r="5889">
          <cell r="G5889" t="str">
            <v xml:space="preserve">Xã Tân Hợp  </v>
          </cell>
          <cell r="I5889" t="str">
            <v>40319</v>
          </cell>
        </row>
        <row r="5890">
          <cell r="G5890" t="str">
            <v xml:space="preserve">Xã Tân An    </v>
          </cell>
          <cell r="I5890" t="str">
            <v>40319</v>
          </cell>
        </row>
        <row r="5891">
          <cell r="G5891" t="str">
            <v>Thị trấn Tân Kỳ</v>
          </cell>
          <cell r="I5891" t="str">
            <v>40319</v>
          </cell>
        </row>
        <row r="5892">
          <cell r="G5892" t="str">
            <v>Xã Giai Xuân</v>
          </cell>
          <cell r="I5892" t="str">
            <v>40319</v>
          </cell>
        </row>
        <row r="5893">
          <cell r="G5893" t="str">
            <v xml:space="preserve">Xã Nghĩa Thái </v>
          </cell>
          <cell r="I5893" t="str">
            <v>40319</v>
          </cell>
        </row>
        <row r="5894">
          <cell r="G5894" t="str">
            <v>Xã Tiên Kỳ</v>
          </cell>
          <cell r="I5894" t="str">
            <v>40319</v>
          </cell>
        </row>
        <row r="5895">
          <cell r="G5895" t="str">
            <v xml:space="preserve">Xã Kỳ Sơn  </v>
          </cell>
          <cell r="I5895" t="str">
            <v>40319</v>
          </cell>
        </row>
        <row r="5896">
          <cell r="G5896" t="str">
            <v>Xã Nghĩa Hành</v>
          </cell>
          <cell r="I5896" t="str">
            <v>40319</v>
          </cell>
        </row>
        <row r="5897">
          <cell r="G5897" t="str">
            <v xml:space="preserve">Xã Tân Phú   </v>
          </cell>
          <cell r="I5897" t="str">
            <v>40319</v>
          </cell>
        </row>
        <row r="5898">
          <cell r="G5898" t="str">
            <v xml:space="preserve">Xã Tân Xuân </v>
          </cell>
          <cell r="I5898" t="str">
            <v>40319</v>
          </cell>
        </row>
        <row r="5899">
          <cell r="G5899" t="str">
            <v xml:space="preserve">Xã Nghĩa Bình  </v>
          </cell>
          <cell r="I5899" t="str">
            <v>40319</v>
          </cell>
        </row>
        <row r="5900">
          <cell r="G5900" t="str">
            <v xml:space="preserve">Xã Nghĩa Đồng </v>
          </cell>
          <cell r="I5900" t="str">
            <v>40319</v>
          </cell>
        </row>
        <row r="5901">
          <cell r="G5901" t="str">
            <v xml:space="preserve">Xã Đồng Văn   </v>
          </cell>
          <cell r="I5901" t="str">
            <v>40319</v>
          </cell>
        </row>
        <row r="5902">
          <cell r="G5902" t="str">
            <v>Xã Nghĩa Hợp</v>
          </cell>
          <cell r="I5902" t="str">
            <v>40319</v>
          </cell>
        </row>
        <row r="5903">
          <cell r="G5903" t="str">
            <v>Xã Nghĩa Hoàn</v>
          </cell>
          <cell r="I5903" t="str">
            <v>40319</v>
          </cell>
        </row>
        <row r="5904">
          <cell r="G5904" t="str">
            <v xml:space="preserve">Xã Nghĩa Phúc  </v>
          </cell>
          <cell r="I5904" t="str">
            <v>40319</v>
          </cell>
        </row>
        <row r="5905">
          <cell r="G5905" t="str">
            <v>Xã Nghĩa Dũng</v>
          </cell>
          <cell r="I5905" t="str">
            <v>40319</v>
          </cell>
        </row>
        <row r="5906">
          <cell r="G5906" t="str">
            <v xml:space="preserve">Xã Tân Long  </v>
          </cell>
          <cell r="I5906" t="str">
            <v>40319</v>
          </cell>
        </row>
        <row r="5907">
          <cell r="G5907" t="str">
            <v xml:space="preserve">Xã Hương Sơn    </v>
          </cell>
          <cell r="I5907" t="str">
            <v>40319</v>
          </cell>
        </row>
        <row r="5908">
          <cell r="G5908" t="str">
            <v xml:space="preserve">Xã Kỳ Tân </v>
          </cell>
          <cell r="I5908" t="str">
            <v>40319</v>
          </cell>
        </row>
        <row r="5909">
          <cell r="G5909" t="str">
            <v xml:space="preserve">Xã Phú Sơn    </v>
          </cell>
          <cell r="I5909" t="str">
            <v>40319</v>
          </cell>
        </row>
        <row r="5910">
          <cell r="G5910" t="str">
            <v xml:space="preserve">Xã Tân Sơn      </v>
          </cell>
          <cell r="I5910" t="str">
            <v>40319</v>
          </cell>
        </row>
        <row r="5911">
          <cell r="G5911" t="str">
            <v xml:space="preserve">Xã Tân Hương    </v>
          </cell>
          <cell r="I5911" t="str">
            <v>40319</v>
          </cell>
        </row>
        <row r="5912">
          <cell r="G5912" t="str">
            <v>Thị trấn Con Cuông</v>
          </cell>
          <cell r="I5912" t="str">
            <v>40321</v>
          </cell>
        </row>
        <row r="5913">
          <cell r="G5913" t="str">
            <v>Xã Bình Chuẩn</v>
          </cell>
          <cell r="I5913" t="str">
            <v>40321</v>
          </cell>
        </row>
        <row r="5914">
          <cell r="G5914" t="str">
            <v>Xã Đôn Phục</v>
          </cell>
          <cell r="I5914" t="str">
            <v>40321</v>
          </cell>
        </row>
        <row r="5915">
          <cell r="G5915" t="str">
            <v>Xã Bồng Khê</v>
          </cell>
          <cell r="I5915" t="str">
            <v>40321</v>
          </cell>
        </row>
        <row r="5916">
          <cell r="G5916" t="str">
            <v>Xã Lạng Khê</v>
          </cell>
          <cell r="I5916" t="str">
            <v>40321</v>
          </cell>
        </row>
        <row r="5917">
          <cell r="G5917" t="str">
            <v>Xã Cam Lâm</v>
          </cell>
          <cell r="I5917" t="str">
            <v>40321</v>
          </cell>
        </row>
        <row r="5918">
          <cell r="G5918" t="str">
            <v>Xã Thạch Ngàn</v>
          </cell>
          <cell r="I5918" t="str">
            <v>40321</v>
          </cell>
        </row>
        <row r="5919">
          <cell r="G5919" t="str">
            <v>Xã Mậu Đức</v>
          </cell>
          <cell r="I5919" t="str">
            <v>40321</v>
          </cell>
        </row>
        <row r="5920">
          <cell r="G5920" t="str">
            <v>Xã Châu Khê</v>
          </cell>
          <cell r="I5920" t="str">
            <v>40321</v>
          </cell>
        </row>
        <row r="5921">
          <cell r="G5921" t="str">
            <v>Xã Chi Khê</v>
          </cell>
          <cell r="I5921" t="str">
            <v>40321</v>
          </cell>
        </row>
        <row r="5922">
          <cell r="G5922" t="str">
            <v>Xã Yên Khê</v>
          </cell>
          <cell r="I5922" t="str">
            <v>40321</v>
          </cell>
        </row>
        <row r="5923">
          <cell r="G5923" t="str">
            <v>Xã Lục Dạ</v>
          </cell>
          <cell r="I5923" t="str">
            <v>40321</v>
          </cell>
        </row>
        <row r="5924">
          <cell r="G5924" t="str">
            <v>Xã Môn Sơn</v>
          </cell>
          <cell r="I5924" t="str">
            <v>40321</v>
          </cell>
        </row>
        <row r="5925">
          <cell r="G5925" t="str">
            <v>Xã Đức Thành</v>
          </cell>
          <cell r="I5925" t="str">
            <v>40323</v>
          </cell>
        </row>
        <row r="5926">
          <cell r="G5926" t="str">
            <v>Xã Tăng Thành</v>
          </cell>
          <cell r="I5926" t="str">
            <v>40323</v>
          </cell>
        </row>
        <row r="5927">
          <cell r="G5927" t="str">
            <v>Xã Lý Thành</v>
          </cell>
          <cell r="I5927" t="str">
            <v>40323</v>
          </cell>
        </row>
        <row r="5928">
          <cell r="G5928" t="str">
            <v xml:space="preserve">Xã Tân Thành          </v>
          </cell>
          <cell r="I5928" t="str">
            <v>40323</v>
          </cell>
        </row>
        <row r="5929">
          <cell r="G5929" t="str">
            <v>Xã Đô Thành</v>
          </cell>
          <cell r="I5929" t="str">
            <v>40323</v>
          </cell>
        </row>
        <row r="5930">
          <cell r="G5930" t="str">
            <v xml:space="preserve">Xã Phúc Thành </v>
          </cell>
          <cell r="I5930" t="str">
            <v>40323</v>
          </cell>
        </row>
        <row r="5931">
          <cell r="G5931" t="str">
            <v>Xã Hoa Thành</v>
          </cell>
          <cell r="I5931" t="str">
            <v>40323</v>
          </cell>
        </row>
        <row r="5932">
          <cell r="G5932" t="str">
            <v xml:space="preserve">Xã Hợp Thành       </v>
          </cell>
          <cell r="I5932" t="str">
            <v>40323</v>
          </cell>
        </row>
        <row r="5933">
          <cell r="G5933" t="str">
            <v xml:space="preserve">Xã Trung Thành       </v>
          </cell>
          <cell r="I5933" t="str">
            <v>40323</v>
          </cell>
        </row>
        <row r="5934">
          <cell r="G5934" t="str">
            <v xml:space="preserve">Xã Vĩnh Thành </v>
          </cell>
          <cell r="I5934" t="str">
            <v>40323</v>
          </cell>
        </row>
        <row r="5935">
          <cell r="G5935" t="str">
            <v xml:space="preserve">Xã Đại Thành   </v>
          </cell>
          <cell r="I5935" t="str">
            <v>40323</v>
          </cell>
        </row>
        <row r="5936">
          <cell r="G5936" t="str">
            <v>Xã Công Thành</v>
          </cell>
          <cell r="I5936" t="str">
            <v>40323</v>
          </cell>
        </row>
        <row r="5937">
          <cell r="G5937" t="str">
            <v>Thị trấn Yên Thành</v>
          </cell>
          <cell r="I5937" t="str">
            <v>40323</v>
          </cell>
        </row>
        <row r="5938">
          <cell r="G5938" t="str">
            <v>Xã Mã Thành</v>
          </cell>
          <cell r="I5938" t="str">
            <v>40323</v>
          </cell>
        </row>
        <row r="5939">
          <cell r="G5939" t="str">
            <v>Xã Lăng Thành</v>
          </cell>
          <cell r="I5939" t="str">
            <v>40323</v>
          </cell>
        </row>
        <row r="5940">
          <cell r="G5940" t="str">
            <v>Xã Kim Thành</v>
          </cell>
          <cell r="I5940" t="str">
            <v>40323</v>
          </cell>
        </row>
        <row r="5941">
          <cell r="G5941" t="str">
            <v>Xã Hậu Thành</v>
          </cell>
          <cell r="I5941" t="str">
            <v>40323</v>
          </cell>
        </row>
        <row r="5942">
          <cell r="G5942" t="str">
            <v>Xã Thọ Thành</v>
          </cell>
          <cell r="I5942" t="str">
            <v>40323</v>
          </cell>
        </row>
        <row r="5943">
          <cell r="G5943" t="str">
            <v xml:space="preserve">Xã Quang Thành </v>
          </cell>
          <cell r="I5943" t="str">
            <v>40323</v>
          </cell>
        </row>
        <row r="5944">
          <cell r="G5944" t="str">
            <v>Xã Tây Thành</v>
          </cell>
          <cell r="I5944" t="str">
            <v>40323</v>
          </cell>
        </row>
        <row r="5945">
          <cell r="G5945" t="str">
            <v>Xã Hồng Thành</v>
          </cell>
          <cell r="I5945" t="str">
            <v>40323</v>
          </cell>
        </row>
        <row r="5946">
          <cell r="G5946" t="str">
            <v>Xã Đồng Thành</v>
          </cell>
          <cell r="I5946" t="str">
            <v>40323</v>
          </cell>
        </row>
        <row r="5947">
          <cell r="G5947" t="str">
            <v xml:space="preserve">Xã Phú Thành </v>
          </cell>
          <cell r="I5947" t="str">
            <v>40323</v>
          </cell>
        </row>
        <row r="5948">
          <cell r="G5948" t="str">
            <v>Xã Văn Thành</v>
          </cell>
          <cell r="I5948" t="str">
            <v>40323</v>
          </cell>
        </row>
        <row r="5949">
          <cell r="G5949" t="str">
            <v>Xã Thịnh Thành</v>
          </cell>
          <cell r="I5949" t="str">
            <v>40323</v>
          </cell>
        </row>
        <row r="5950">
          <cell r="G5950" t="str">
            <v xml:space="preserve">Xã Xuân Thành  </v>
          </cell>
          <cell r="I5950" t="str">
            <v>40323</v>
          </cell>
        </row>
        <row r="5951">
          <cell r="G5951" t="str">
            <v>Xã Bắc Thành</v>
          </cell>
          <cell r="I5951" t="str">
            <v>40323</v>
          </cell>
        </row>
        <row r="5952">
          <cell r="G5952" t="str">
            <v>Xã Nhân Thành</v>
          </cell>
          <cell r="I5952" t="str">
            <v>40323</v>
          </cell>
        </row>
        <row r="5953">
          <cell r="G5953" t="str">
            <v>Xã Long Thành</v>
          </cell>
          <cell r="I5953" t="str">
            <v>40323</v>
          </cell>
        </row>
        <row r="5954">
          <cell r="G5954" t="str">
            <v>Xã Minh Thành</v>
          </cell>
          <cell r="I5954" t="str">
            <v>40323</v>
          </cell>
        </row>
        <row r="5955">
          <cell r="G5955" t="str">
            <v>Xã Nam Thành</v>
          </cell>
          <cell r="I5955" t="str">
            <v>40323</v>
          </cell>
        </row>
        <row r="5956">
          <cell r="G5956" t="str">
            <v xml:space="preserve">Xã Khánh Thành </v>
          </cell>
          <cell r="I5956" t="str">
            <v>40323</v>
          </cell>
        </row>
        <row r="5957">
          <cell r="G5957" t="str">
            <v>Xã Viên Thành</v>
          </cell>
          <cell r="I5957" t="str">
            <v>40323</v>
          </cell>
        </row>
        <row r="5958">
          <cell r="G5958" t="str">
            <v>Xã Liên Thành</v>
          </cell>
          <cell r="I5958" t="str">
            <v>40323</v>
          </cell>
        </row>
        <row r="5959">
          <cell r="G5959" t="str">
            <v>Xã Bảo Thành</v>
          </cell>
          <cell r="I5959" t="str">
            <v>40323</v>
          </cell>
        </row>
        <row r="5960">
          <cell r="G5960" t="str">
            <v xml:space="preserve">Xã Mỹ Thành   </v>
          </cell>
          <cell r="I5960" t="str">
            <v>40323</v>
          </cell>
        </row>
        <row r="5961">
          <cell r="G5961" t="str">
            <v xml:space="preserve">Xã Sơn Thành </v>
          </cell>
          <cell r="I5961" t="str">
            <v>40323</v>
          </cell>
        </row>
        <row r="5962">
          <cell r="G5962" t="str">
            <v>Xã Tiến Thành</v>
          </cell>
          <cell r="I5962" t="str">
            <v>40323</v>
          </cell>
        </row>
        <row r="5963">
          <cell r="G5963" t="str">
            <v>Xã Hùng Thành</v>
          </cell>
          <cell r="I5963" t="str">
            <v>40323</v>
          </cell>
        </row>
        <row r="5964">
          <cell r="G5964" t="str">
            <v>Xã Diễn Thọ</v>
          </cell>
          <cell r="I5964" t="str">
            <v>40325</v>
          </cell>
        </row>
        <row r="5965">
          <cell r="G5965" t="str">
            <v>Xã Diễn Yên</v>
          </cell>
          <cell r="I5965" t="str">
            <v>40325</v>
          </cell>
        </row>
        <row r="5966">
          <cell r="G5966" t="str">
            <v>Xã Diễn Xuân</v>
          </cell>
          <cell r="I5966" t="str">
            <v>40325</v>
          </cell>
        </row>
        <row r="5967">
          <cell r="G5967" t="str">
            <v>Xã Diễn Bình</v>
          </cell>
          <cell r="I5967" t="str">
            <v>40325</v>
          </cell>
        </row>
        <row r="5968">
          <cell r="G5968" t="str">
            <v>Xã Diễn Đoài</v>
          </cell>
          <cell r="I5968" t="str">
            <v>40325</v>
          </cell>
        </row>
        <row r="5969">
          <cell r="G5969" t="str">
            <v>Xã Diễn Hùng</v>
          </cell>
          <cell r="I5969" t="str">
            <v>40325</v>
          </cell>
        </row>
        <row r="5970">
          <cell r="G5970" t="str">
            <v>Xã Diễn Hải</v>
          </cell>
          <cell r="I5970" t="str">
            <v>40325</v>
          </cell>
        </row>
        <row r="5971">
          <cell r="G5971" t="str">
            <v>Xã Diễn Kim</v>
          </cell>
          <cell r="I5971" t="str">
            <v>40325</v>
          </cell>
        </row>
        <row r="5972">
          <cell r="G5972" t="str">
            <v>Xã Diễn Đồng</v>
          </cell>
          <cell r="I5972" t="str">
            <v>40325</v>
          </cell>
        </row>
        <row r="5973">
          <cell r="G5973" t="str">
            <v>Xã Diễn Quảng</v>
          </cell>
          <cell r="I5973" t="str">
            <v>40325</v>
          </cell>
        </row>
        <row r="5974">
          <cell r="G5974" t="str">
            <v>Xã Diễn Phúc</v>
          </cell>
          <cell r="I5974" t="str">
            <v>40325</v>
          </cell>
        </row>
        <row r="5975">
          <cell r="G5975" t="str">
            <v>Xã Diễn Lợi</v>
          </cell>
          <cell r="I5975" t="str">
            <v>40325</v>
          </cell>
        </row>
        <row r="5976">
          <cell r="G5976" t="str">
            <v>Xã Diễn Lộc</v>
          </cell>
          <cell r="I5976" t="str">
            <v>40325</v>
          </cell>
        </row>
        <row r="5977">
          <cell r="G5977" t="str">
            <v>Xã Diễn Trung</v>
          </cell>
          <cell r="I5977" t="str">
            <v>40325</v>
          </cell>
        </row>
        <row r="5978">
          <cell r="G5978" t="str">
            <v>Xã Diễn An</v>
          </cell>
          <cell r="I5978" t="str">
            <v>40325</v>
          </cell>
        </row>
        <row r="5979">
          <cell r="G5979" t="str">
            <v>Xã Diễn Phú</v>
          </cell>
          <cell r="I5979" t="str">
            <v>40325</v>
          </cell>
        </row>
        <row r="5980">
          <cell r="G5980" t="str">
            <v>Xã Diễn Thắng</v>
          </cell>
          <cell r="I5980" t="str">
            <v>40325</v>
          </cell>
        </row>
        <row r="5981">
          <cell r="G5981" t="str">
            <v>Thị trấn Diễn Châu</v>
          </cell>
          <cell r="I5981" t="str">
            <v>40325</v>
          </cell>
        </row>
        <row r="5982">
          <cell r="G5982" t="str">
            <v>Xã Diễn Lâm</v>
          </cell>
          <cell r="I5982" t="str">
            <v>40325</v>
          </cell>
        </row>
        <row r="5983">
          <cell r="G5983" t="str">
            <v>Xã Diễn Trường</v>
          </cell>
          <cell r="I5983" t="str">
            <v>40325</v>
          </cell>
        </row>
        <row r="5984">
          <cell r="G5984" t="str">
            <v>Xã Diễn Hoàng</v>
          </cell>
          <cell r="I5984" t="str">
            <v>40325</v>
          </cell>
        </row>
        <row r="5985">
          <cell r="G5985" t="str">
            <v>Xã Diễn Mỹ</v>
          </cell>
          <cell r="I5985" t="str">
            <v>40325</v>
          </cell>
        </row>
        <row r="5986">
          <cell r="G5986" t="str">
            <v>Xã Diễn Hồng</v>
          </cell>
          <cell r="I5986" t="str">
            <v>40325</v>
          </cell>
        </row>
        <row r="5987">
          <cell r="G5987" t="str">
            <v>Xã Diễn Phong</v>
          </cell>
          <cell r="I5987" t="str">
            <v>40325</v>
          </cell>
        </row>
        <row r="5988">
          <cell r="G5988" t="str">
            <v>Xã Diễn Tháp</v>
          </cell>
          <cell r="I5988" t="str">
            <v>40325</v>
          </cell>
        </row>
        <row r="5989">
          <cell r="G5989" t="str">
            <v>Xã Diễn Liên</v>
          </cell>
          <cell r="I5989" t="str">
            <v>40325</v>
          </cell>
        </row>
        <row r="5990">
          <cell r="G5990" t="str">
            <v>Xã Diễn Vạn</v>
          </cell>
          <cell r="I5990" t="str">
            <v>40325</v>
          </cell>
        </row>
        <row r="5991">
          <cell r="G5991" t="str">
            <v>Xã Diễn Kỷ</v>
          </cell>
          <cell r="I5991" t="str">
            <v>40325</v>
          </cell>
        </row>
        <row r="5992">
          <cell r="G5992" t="str">
            <v>Xã Diễn Thái</v>
          </cell>
          <cell r="I5992" t="str">
            <v>40325</v>
          </cell>
        </row>
        <row r="5993">
          <cell r="G5993" t="str">
            <v>Xã Diễn Bích</v>
          </cell>
          <cell r="I5993" t="str">
            <v>40325</v>
          </cell>
        </row>
        <row r="5994">
          <cell r="G5994" t="str">
            <v>Xã Diễn Hạnh</v>
          </cell>
          <cell r="I5994" t="str">
            <v>40325</v>
          </cell>
        </row>
        <row r="5995">
          <cell r="G5995" t="str">
            <v>Xã Diễn Ngọc</v>
          </cell>
          <cell r="I5995" t="str">
            <v>40325</v>
          </cell>
        </row>
        <row r="5996">
          <cell r="G5996" t="str">
            <v>Xã Diễn Nguyên</v>
          </cell>
          <cell r="I5996" t="str">
            <v>40325</v>
          </cell>
        </row>
        <row r="5997">
          <cell r="G5997" t="str">
            <v>Xã Diễn Hoa</v>
          </cell>
          <cell r="I5997" t="str">
            <v>40325</v>
          </cell>
        </row>
        <row r="5998">
          <cell r="G5998" t="str">
            <v>Xã Diễn Thành</v>
          </cell>
          <cell r="I5998" t="str">
            <v>40325</v>
          </cell>
        </row>
        <row r="5999">
          <cell r="G5999" t="str">
            <v>Xã Diễn Minh</v>
          </cell>
          <cell r="I5999" t="str">
            <v>40325</v>
          </cell>
        </row>
        <row r="6000">
          <cell r="G6000" t="str">
            <v>Xã Diễn Cát</v>
          </cell>
          <cell r="I6000" t="str">
            <v>40325</v>
          </cell>
        </row>
        <row r="6001">
          <cell r="G6001" t="str">
            <v>Xã Diễn Thịnh</v>
          </cell>
          <cell r="I6001" t="str">
            <v>40325</v>
          </cell>
        </row>
        <row r="6002">
          <cell r="G6002" t="str">
            <v>Xã Diễn Tân</v>
          </cell>
          <cell r="I6002" t="str">
            <v>40325</v>
          </cell>
        </row>
        <row r="6003">
          <cell r="G6003" t="str">
            <v xml:space="preserve">Xã Thọ Sơn </v>
          </cell>
          <cell r="I6003" t="str">
            <v>40327</v>
          </cell>
        </row>
        <row r="6004">
          <cell r="G6004" t="str">
            <v>Xã Lạng Sơn</v>
          </cell>
          <cell r="I6004" t="str">
            <v>40327</v>
          </cell>
        </row>
        <row r="6005">
          <cell r="G6005" t="str">
            <v xml:space="preserve">Xã Bình Sơn    </v>
          </cell>
          <cell r="I6005" t="str">
            <v>40327</v>
          </cell>
        </row>
        <row r="6006">
          <cell r="G6006" t="str">
            <v xml:space="preserve">Xã Cẩm Sơn  </v>
          </cell>
          <cell r="I6006" t="str">
            <v>40327</v>
          </cell>
        </row>
        <row r="6007">
          <cell r="G6007" t="str">
            <v>Xã Tào Sơn</v>
          </cell>
          <cell r="I6007" t="str">
            <v>40327</v>
          </cell>
        </row>
        <row r="6008">
          <cell r="G6008" t="str">
            <v xml:space="preserve">Xã Thạch Sơn   </v>
          </cell>
          <cell r="I6008" t="str">
            <v>40327</v>
          </cell>
        </row>
        <row r="6009">
          <cell r="G6009" t="str">
            <v>Xã Lĩnh Sơn</v>
          </cell>
          <cell r="I6009" t="str">
            <v>40327</v>
          </cell>
        </row>
        <row r="6010">
          <cell r="G6010" t="str">
            <v>Thị trấn Anh Sơn</v>
          </cell>
          <cell r="I6010" t="str">
            <v>40327</v>
          </cell>
        </row>
        <row r="6011">
          <cell r="G6011" t="str">
            <v xml:space="preserve">Xã Thành Sơn  </v>
          </cell>
          <cell r="I6011" t="str">
            <v>40327</v>
          </cell>
        </row>
        <row r="6012">
          <cell r="G6012" t="str">
            <v xml:space="preserve">Xã Tam Sơn  </v>
          </cell>
          <cell r="I6012" t="str">
            <v>40327</v>
          </cell>
        </row>
        <row r="6013">
          <cell r="G6013" t="str">
            <v>Xã Đỉnh Sơn</v>
          </cell>
          <cell r="I6013" t="str">
            <v>40327</v>
          </cell>
        </row>
        <row r="6014">
          <cell r="G6014" t="str">
            <v xml:space="preserve">Xã Hùng Sơn     </v>
          </cell>
          <cell r="I6014" t="str">
            <v>40327</v>
          </cell>
        </row>
        <row r="6015">
          <cell r="G6015" t="str">
            <v>Xã Đức Sơn</v>
          </cell>
          <cell r="I6015" t="str">
            <v>40327</v>
          </cell>
        </row>
        <row r="6016">
          <cell r="G6016" t="str">
            <v>Xã Tường Sơn</v>
          </cell>
          <cell r="I6016" t="str">
            <v>40327</v>
          </cell>
        </row>
        <row r="6017">
          <cell r="G6017" t="str">
            <v xml:space="preserve">Xã Vĩnh Sơn </v>
          </cell>
          <cell r="I6017" t="str">
            <v>40327</v>
          </cell>
        </row>
        <row r="6018">
          <cell r="G6018" t="str">
            <v>Xã Hội Sơn</v>
          </cell>
          <cell r="I6018" t="str">
            <v>40327</v>
          </cell>
        </row>
        <row r="6019">
          <cell r="G6019" t="str">
            <v xml:space="preserve">Xã Phúc Sơn   </v>
          </cell>
          <cell r="I6019" t="str">
            <v>40327</v>
          </cell>
        </row>
        <row r="6020">
          <cell r="G6020" t="str">
            <v xml:space="preserve">Xã Long Sơn  </v>
          </cell>
          <cell r="I6020" t="str">
            <v>40327</v>
          </cell>
        </row>
        <row r="6021">
          <cell r="G6021" t="str">
            <v>Xã Khai Sơn</v>
          </cell>
          <cell r="I6021" t="str">
            <v>40327</v>
          </cell>
        </row>
        <row r="6022">
          <cell r="G6022" t="str">
            <v xml:space="preserve">Xã Cao Sơn   </v>
          </cell>
          <cell r="I6022" t="str">
            <v>40327</v>
          </cell>
        </row>
        <row r="6023">
          <cell r="G6023" t="str">
            <v xml:space="preserve">Xã Hoa Sơn </v>
          </cell>
          <cell r="I6023" t="str">
            <v>40327</v>
          </cell>
        </row>
        <row r="6024">
          <cell r="G6024" t="str">
            <v>Xã Bồi Sơn</v>
          </cell>
          <cell r="I6024" t="str">
            <v>40329</v>
          </cell>
        </row>
        <row r="6025">
          <cell r="G6025" t="str">
            <v xml:space="preserve">Xã Nam Sơn       </v>
          </cell>
          <cell r="I6025" t="str">
            <v>40329</v>
          </cell>
        </row>
        <row r="6026">
          <cell r="G6026" t="str">
            <v>Xã Thuận Sơn</v>
          </cell>
          <cell r="I6026" t="str">
            <v>40329</v>
          </cell>
        </row>
        <row r="6027">
          <cell r="G6027" t="str">
            <v>Xã Mỹ Sơn</v>
          </cell>
          <cell r="I6027" t="str">
            <v>40329</v>
          </cell>
        </row>
        <row r="6028">
          <cell r="G6028" t="str">
            <v xml:space="preserve">Xã Minh Sơn    </v>
          </cell>
          <cell r="I6028" t="str">
            <v>40329</v>
          </cell>
        </row>
        <row r="6029">
          <cell r="G6029" t="str">
            <v xml:space="preserve">Xã Lam Sơn   </v>
          </cell>
          <cell r="I6029" t="str">
            <v>40329</v>
          </cell>
        </row>
        <row r="6030">
          <cell r="G6030" t="str">
            <v xml:space="preserve">Xã Ngọc Sơn      </v>
          </cell>
          <cell r="I6030" t="str">
            <v>40329</v>
          </cell>
        </row>
        <row r="6031">
          <cell r="G6031" t="str">
            <v xml:space="preserve">Xã Hòa Sơn   </v>
          </cell>
          <cell r="I6031" t="str">
            <v>40329</v>
          </cell>
        </row>
        <row r="6032">
          <cell r="G6032" t="str">
            <v>Xã Lưu Sơn</v>
          </cell>
          <cell r="I6032" t="str">
            <v>40329</v>
          </cell>
        </row>
        <row r="6033">
          <cell r="G6033" t="str">
            <v>Xã Đà Sơn</v>
          </cell>
          <cell r="I6033" t="str">
            <v>40329</v>
          </cell>
        </row>
        <row r="6034">
          <cell r="G6034" t="str">
            <v xml:space="preserve">Xã Quang Sơn   </v>
          </cell>
          <cell r="I6034" t="str">
            <v>40329</v>
          </cell>
        </row>
        <row r="6035">
          <cell r="G6035" t="str">
            <v>Thị trấn Đô Lương</v>
          </cell>
          <cell r="I6035" t="str">
            <v>40329</v>
          </cell>
        </row>
        <row r="6036">
          <cell r="G6036" t="str">
            <v xml:space="preserve">Xã Hồng Sơn </v>
          </cell>
          <cell r="I6036" t="str">
            <v>40329</v>
          </cell>
        </row>
        <row r="6037">
          <cell r="G6037" t="str">
            <v>Xã Bài Sơn</v>
          </cell>
          <cell r="I6037" t="str">
            <v>40329</v>
          </cell>
        </row>
        <row r="6038">
          <cell r="G6038" t="str">
            <v xml:space="preserve">Xã Bắc Sơn         </v>
          </cell>
          <cell r="I6038" t="str">
            <v>40329</v>
          </cell>
        </row>
        <row r="6039">
          <cell r="G6039" t="str">
            <v xml:space="preserve">Xã Tràng Sơn </v>
          </cell>
          <cell r="I6039" t="str">
            <v>40329</v>
          </cell>
        </row>
        <row r="6040">
          <cell r="G6040" t="str">
            <v xml:space="preserve">Xã Thượng Sơn </v>
          </cell>
          <cell r="I6040" t="str">
            <v>40329</v>
          </cell>
        </row>
        <row r="6041">
          <cell r="G6041" t="str">
            <v>Xã Đặng Sơn</v>
          </cell>
          <cell r="I6041" t="str">
            <v>40329</v>
          </cell>
        </row>
        <row r="6042">
          <cell r="G6042" t="str">
            <v xml:space="preserve">Xã Đông Sơn     </v>
          </cell>
          <cell r="I6042" t="str">
            <v>40329</v>
          </cell>
        </row>
        <row r="6043">
          <cell r="G6043" t="str">
            <v xml:space="preserve">Xã Yên Sơn        </v>
          </cell>
          <cell r="I6043" t="str">
            <v>40329</v>
          </cell>
        </row>
        <row r="6044">
          <cell r="G6044" t="str">
            <v xml:space="preserve">Xã Văn Sơn   </v>
          </cell>
          <cell r="I6044" t="str">
            <v>40329</v>
          </cell>
        </row>
        <row r="6045">
          <cell r="G6045" t="str">
            <v>Xã Lạc Sơn</v>
          </cell>
          <cell r="I6045" t="str">
            <v>40329</v>
          </cell>
        </row>
        <row r="6046">
          <cell r="G6046" t="str">
            <v xml:space="preserve">Xã Tân Sơn       </v>
          </cell>
          <cell r="I6046" t="str">
            <v>40329</v>
          </cell>
        </row>
        <row r="6047">
          <cell r="G6047" t="str">
            <v xml:space="preserve">Xã Thái Sơn      </v>
          </cell>
          <cell r="I6047" t="str">
            <v>40329</v>
          </cell>
        </row>
        <row r="6048">
          <cell r="G6048" t="str">
            <v>Xã Thịnh Sơn</v>
          </cell>
          <cell r="I6048" t="str">
            <v>40329</v>
          </cell>
        </row>
        <row r="6049">
          <cell r="G6049" t="str">
            <v xml:space="preserve">Xã Trung Sơn     </v>
          </cell>
          <cell r="I6049" t="str">
            <v>40329</v>
          </cell>
        </row>
        <row r="6050">
          <cell r="G6050" t="str">
            <v xml:space="preserve">Xã Xuân Sơn   </v>
          </cell>
          <cell r="I6050" t="str">
            <v>40329</v>
          </cell>
        </row>
        <row r="6051">
          <cell r="G6051" t="str">
            <v>Xã Nhân Sơn</v>
          </cell>
          <cell r="I6051" t="str">
            <v>40329</v>
          </cell>
        </row>
        <row r="6052">
          <cell r="G6052" t="str">
            <v>Xã Hiến Sơn</v>
          </cell>
          <cell r="I6052" t="str">
            <v>40329</v>
          </cell>
        </row>
        <row r="6053">
          <cell r="G6053" t="str">
            <v>Xã Trù Sơn</v>
          </cell>
          <cell r="I6053" t="str">
            <v>40329</v>
          </cell>
        </row>
        <row r="6054">
          <cell r="G6054" t="str">
            <v xml:space="preserve">Xã Đại Sơn  </v>
          </cell>
          <cell r="I6054" t="str">
            <v>40329</v>
          </cell>
        </row>
        <row r="6055">
          <cell r="G6055" t="str">
            <v>Xã Giang Sơn Đông</v>
          </cell>
          <cell r="I6055" t="str">
            <v>40329</v>
          </cell>
        </row>
        <row r="6056">
          <cell r="G6056" t="str">
            <v>Xã Giang Sơn Tây</v>
          </cell>
          <cell r="I6056" t="str">
            <v>40329</v>
          </cell>
        </row>
        <row r="6057">
          <cell r="G6057" t="str">
            <v xml:space="preserve">Xã Thanh Phong  </v>
          </cell>
          <cell r="I6057" t="str">
            <v>40331</v>
          </cell>
        </row>
        <row r="6058">
          <cell r="G6058" t="str">
            <v xml:space="preserve">Xã Ngọc Sơn       </v>
          </cell>
          <cell r="I6058" t="str">
            <v>40331</v>
          </cell>
        </row>
        <row r="6059">
          <cell r="G6059" t="str">
            <v xml:space="preserve">Xã Thanh Yên </v>
          </cell>
          <cell r="I6059" t="str">
            <v>40331</v>
          </cell>
        </row>
        <row r="6060">
          <cell r="G6060" t="str">
            <v xml:space="preserve">Xã Thanh Đức </v>
          </cell>
          <cell r="I6060" t="str">
            <v>40331</v>
          </cell>
        </row>
        <row r="6061">
          <cell r="G6061" t="str">
            <v>Xã Cát Văn</v>
          </cell>
          <cell r="I6061" t="str">
            <v>40331</v>
          </cell>
        </row>
        <row r="6062">
          <cell r="G6062" t="str">
            <v>Xã Thanh Hòa</v>
          </cell>
          <cell r="I6062" t="str">
            <v>40331</v>
          </cell>
        </row>
        <row r="6063">
          <cell r="G6063" t="str">
            <v>Xã Thanh Tiên</v>
          </cell>
          <cell r="I6063" t="str">
            <v>40331</v>
          </cell>
        </row>
        <row r="6064">
          <cell r="G6064" t="str">
            <v xml:space="preserve">Xã Thanh Văn </v>
          </cell>
          <cell r="I6064" t="str">
            <v>40331</v>
          </cell>
        </row>
        <row r="6065">
          <cell r="G6065" t="str">
            <v>Xã Thanh Lĩnh</v>
          </cell>
          <cell r="I6065" t="str">
            <v>40331</v>
          </cell>
        </row>
        <row r="6066">
          <cell r="G6066" t="str">
            <v>Xã Thanh Chi</v>
          </cell>
          <cell r="I6066" t="str">
            <v>40331</v>
          </cell>
        </row>
        <row r="6067">
          <cell r="G6067" t="str">
            <v xml:space="preserve">Xã Thanh Khê </v>
          </cell>
          <cell r="I6067" t="str">
            <v>40331</v>
          </cell>
        </row>
        <row r="6068">
          <cell r="G6068" t="str">
            <v>Xã Thanh Khai</v>
          </cell>
          <cell r="I6068" t="str">
            <v>40331</v>
          </cell>
        </row>
        <row r="6069">
          <cell r="G6069" t="str">
            <v xml:space="preserve">Xã Thanh Tùng </v>
          </cell>
          <cell r="I6069" t="str">
            <v>40331</v>
          </cell>
        </row>
        <row r="6070">
          <cell r="G6070" t="str">
            <v xml:space="preserve">Xã Thanh Xuân    </v>
          </cell>
          <cell r="I6070" t="str">
            <v>40331</v>
          </cell>
        </row>
        <row r="6071">
          <cell r="G6071" t="str">
            <v>Thị trấn Thanh Chương</v>
          </cell>
          <cell r="I6071" t="str">
            <v>40331</v>
          </cell>
        </row>
        <row r="6072">
          <cell r="G6072" t="str">
            <v>Xã Thanh Nho</v>
          </cell>
          <cell r="I6072" t="str">
            <v>40331</v>
          </cell>
        </row>
        <row r="6073">
          <cell r="G6073" t="str">
            <v>Xã Hạnh Lâm</v>
          </cell>
          <cell r="I6073" t="str">
            <v>40331</v>
          </cell>
        </row>
        <row r="6074">
          <cell r="G6074" t="str">
            <v>Xã Phong Thịnh</v>
          </cell>
          <cell r="I6074" t="str">
            <v>40331</v>
          </cell>
        </row>
        <row r="6075">
          <cell r="G6075" t="str">
            <v xml:space="preserve">Xã Thanh Mỹ </v>
          </cell>
          <cell r="I6075" t="str">
            <v>40331</v>
          </cell>
        </row>
        <row r="6076">
          <cell r="G6076" t="str">
            <v xml:space="preserve">Xã Thanh Hưng </v>
          </cell>
          <cell r="I6076" t="str">
            <v>40331</v>
          </cell>
        </row>
        <row r="6077">
          <cell r="G6077" t="str">
            <v>Xã Thanh Liên</v>
          </cell>
          <cell r="I6077" t="str">
            <v>40331</v>
          </cell>
        </row>
        <row r="6078">
          <cell r="G6078" t="str">
            <v>Xã Thanh Tường</v>
          </cell>
          <cell r="I6078" t="str">
            <v>40331</v>
          </cell>
        </row>
        <row r="6079">
          <cell r="G6079" t="str">
            <v>Xã Thanh Đồng</v>
          </cell>
          <cell r="I6079" t="str">
            <v>40331</v>
          </cell>
        </row>
        <row r="6080">
          <cell r="G6080" t="str">
            <v>Xã Thanh Ngọc</v>
          </cell>
          <cell r="I6080" t="str">
            <v>40331</v>
          </cell>
        </row>
        <row r="6081">
          <cell r="G6081" t="str">
            <v xml:space="preserve">Xã Thanh Hương </v>
          </cell>
          <cell r="I6081" t="str">
            <v>40331</v>
          </cell>
        </row>
        <row r="6082">
          <cell r="G6082" t="str">
            <v xml:space="preserve">Xã Đồng Văn    </v>
          </cell>
          <cell r="I6082" t="str">
            <v>40331</v>
          </cell>
        </row>
        <row r="6083">
          <cell r="G6083" t="str">
            <v>Xã Thanh Thịnh</v>
          </cell>
          <cell r="I6083" t="str">
            <v>40331</v>
          </cell>
        </row>
        <row r="6084">
          <cell r="G6084" t="str">
            <v xml:space="preserve">Xã Thanh An  </v>
          </cell>
          <cell r="I6084" t="str">
            <v>40331</v>
          </cell>
        </row>
        <row r="6085">
          <cell r="G6085" t="str">
            <v>Xã Xuân Tường</v>
          </cell>
          <cell r="I6085" t="str">
            <v>40331</v>
          </cell>
        </row>
        <row r="6086">
          <cell r="G6086" t="str">
            <v>Xã Thanh Dương</v>
          </cell>
          <cell r="I6086" t="str">
            <v>40331</v>
          </cell>
        </row>
        <row r="6087">
          <cell r="G6087" t="str">
            <v xml:space="preserve">Xã Thanh Lương   </v>
          </cell>
          <cell r="I6087" t="str">
            <v>40331</v>
          </cell>
        </row>
        <row r="6088">
          <cell r="G6088" t="str">
            <v>Xã Võ Liệt</v>
          </cell>
          <cell r="I6088" t="str">
            <v>40331</v>
          </cell>
        </row>
        <row r="6089">
          <cell r="G6089" t="str">
            <v xml:space="preserve">Xã Thanh Long   </v>
          </cell>
          <cell r="I6089" t="str">
            <v>40331</v>
          </cell>
        </row>
        <row r="6090">
          <cell r="G6090" t="str">
            <v xml:space="preserve">Xã Thanh Thủy    </v>
          </cell>
          <cell r="I6090" t="str">
            <v>40331</v>
          </cell>
        </row>
        <row r="6091">
          <cell r="G6091" t="str">
            <v xml:space="preserve">Xã Thanh Hà  </v>
          </cell>
          <cell r="I6091" t="str">
            <v>40331</v>
          </cell>
        </row>
        <row r="6092">
          <cell r="G6092" t="str">
            <v xml:space="preserve">Xã Thanh Giang </v>
          </cell>
          <cell r="I6092" t="str">
            <v>40331</v>
          </cell>
        </row>
        <row r="6093">
          <cell r="G6093" t="str">
            <v xml:space="preserve">Xã Thanh Lâm    </v>
          </cell>
          <cell r="I6093" t="str">
            <v>40331</v>
          </cell>
        </row>
        <row r="6094">
          <cell r="G6094" t="str">
            <v xml:space="preserve">Xã Thanh Mai  </v>
          </cell>
          <cell r="I6094" t="str">
            <v>40331</v>
          </cell>
        </row>
        <row r="6095">
          <cell r="G6095" t="str">
            <v xml:space="preserve">Xã Thanh Sơn       </v>
          </cell>
          <cell r="I6095" t="str">
            <v>40331</v>
          </cell>
        </row>
        <row r="6096">
          <cell r="G6096" t="str">
            <v xml:space="preserve">Xã Ngọc Lâm </v>
          </cell>
          <cell r="I6096" t="str">
            <v>40331</v>
          </cell>
        </row>
        <row r="6097">
          <cell r="G6097" t="str">
            <v>Xã Nghi Quang</v>
          </cell>
          <cell r="I6097" t="str">
            <v>40333</v>
          </cell>
        </row>
        <row r="6098">
          <cell r="G6098" t="str">
            <v>Xã Nghi Công Nam</v>
          </cell>
          <cell r="I6098" t="str">
            <v>40333</v>
          </cell>
        </row>
        <row r="6099">
          <cell r="G6099" t="str">
            <v>Xã Nghi Thái</v>
          </cell>
          <cell r="I6099" t="str">
            <v>40333</v>
          </cell>
        </row>
        <row r="6100">
          <cell r="G6100" t="str">
            <v>Xã Nghi Phương</v>
          </cell>
          <cell r="I6100" t="str">
            <v>40333</v>
          </cell>
        </row>
        <row r="6101">
          <cell r="G6101" t="str">
            <v>Xã Nghi Hợp</v>
          </cell>
          <cell r="I6101" t="str">
            <v>40333</v>
          </cell>
        </row>
        <row r="6102">
          <cell r="G6102" t="str">
            <v>Xã Nghi Công Bắc</v>
          </cell>
          <cell r="I6102" t="str">
            <v>40333</v>
          </cell>
        </row>
        <row r="6103">
          <cell r="G6103" t="str">
            <v>Xã Nghi Trường</v>
          </cell>
          <cell r="I6103" t="str">
            <v>40333</v>
          </cell>
        </row>
        <row r="6104">
          <cell r="G6104" t="str">
            <v>Xã Nghi Vạn</v>
          </cell>
          <cell r="I6104" t="str">
            <v>40333</v>
          </cell>
        </row>
        <row r="6105">
          <cell r="G6105" t="str">
            <v>Thị trấn Quán Hành</v>
          </cell>
          <cell r="I6105" t="str">
            <v>40333</v>
          </cell>
        </row>
        <row r="6106">
          <cell r="G6106" t="str">
            <v>Xã Nghi Văn</v>
          </cell>
          <cell r="I6106" t="str">
            <v>40333</v>
          </cell>
        </row>
        <row r="6107">
          <cell r="G6107" t="str">
            <v>Xã Nghi Yên</v>
          </cell>
          <cell r="I6107" t="str">
            <v>40333</v>
          </cell>
        </row>
        <row r="6108">
          <cell r="G6108" t="str">
            <v>Xã Nghi Tiến</v>
          </cell>
          <cell r="I6108" t="str">
            <v>40333</v>
          </cell>
        </row>
        <row r="6109">
          <cell r="G6109" t="str">
            <v>Xã Nghi Hưng</v>
          </cell>
          <cell r="I6109" t="str">
            <v>40333</v>
          </cell>
        </row>
        <row r="6110">
          <cell r="G6110" t="str">
            <v>Xã Nghi Đồng</v>
          </cell>
          <cell r="I6110" t="str">
            <v>40333</v>
          </cell>
        </row>
        <row r="6111">
          <cell r="G6111" t="str">
            <v>Xã Nghi Thiết</v>
          </cell>
          <cell r="I6111" t="str">
            <v>40333</v>
          </cell>
        </row>
        <row r="6112">
          <cell r="G6112" t="str">
            <v>Xã Nghi Lâm</v>
          </cell>
          <cell r="I6112" t="str">
            <v>40333</v>
          </cell>
        </row>
        <row r="6113">
          <cell r="G6113" t="str">
            <v>Xã Nghi Kiều</v>
          </cell>
          <cell r="I6113" t="str">
            <v>40333</v>
          </cell>
        </row>
        <row r="6114">
          <cell r="G6114" t="str">
            <v>Xã Nghi Mỹ</v>
          </cell>
          <cell r="I6114" t="str">
            <v>40333</v>
          </cell>
        </row>
        <row r="6115">
          <cell r="G6115" t="str">
            <v>Xã Nghi Thuận</v>
          </cell>
          <cell r="I6115" t="str">
            <v>40333</v>
          </cell>
        </row>
        <row r="6116">
          <cell r="G6116" t="str">
            <v>Xã Nghi Long</v>
          </cell>
          <cell r="I6116" t="str">
            <v>40333</v>
          </cell>
        </row>
        <row r="6117">
          <cell r="G6117" t="str">
            <v>Xã Nghi Xá</v>
          </cell>
          <cell r="I6117" t="str">
            <v>40333</v>
          </cell>
        </row>
        <row r="6118">
          <cell r="G6118" t="str">
            <v>Xã Nghi Hoa</v>
          </cell>
          <cell r="I6118" t="str">
            <v>40333</v>
          </cell>
        </row>
        <row r="6119">
          <cell r="G6119" t="str">
            <v>Xã Nghi Khánh</v>
          </cell>
          <cell r="I6119" t="str">
            <v>40333</v>
          </cell>
        </row>
        <row r="6120">
          <cell r="G6120" t="str">
            <v>Xã Nghi Thịnh</v>
          </cell>
          <cell r="I6120" t="str">
            <v>40333</v>
          </cell>
        </row>
        <row r="6121">
          <cell r="G6121" t="str">
            <v>Xã Nghi Thạch</v>
          </cell>
          <cell r="I6121" t="str">
            <v>40333</v>
          </cell>
        </row>
        <row r="6122">
          <cell r="G6122" t="str">
            <v>Xã Nghi Trung</v>
          </cell>
          <cell r="I6122" t="str">
            <v>40333</v>
          </cell>
        </row>
        <row r="6123">
          <cell r="G6123" t="str">
            <v>Xã Nghi Diên</v>
          </cell>
          <cell r="I6123" t="str">
            <v>40333</v>
          </cell>
        </row>
        <row r="6124">
          <cell r="G6124" t="str">
            <v>Xã Nghi Phong</v>
          </cell>
          <cell r="I6124" t="str">
            <v>40333</v>
          </cell>
        </row>
        <row r="6125">
          <cell r="G6125" t="str">
            <v>Xã Nghi Xuân</v>
          </cell>
          <cell r="I6125" t="str">
            <v>40333</v>
          </cell>
        </row>
        <row r="6126">
          <cell r="G6126" t="str">
            <v xml:space="preserve">Xã Nghi ân </v>
          </cell>
          <cell r="I6126" t="str">
            <v>40333</v>
          </cell>
        </row>
        <row r="6127">
          <cell r="G6127" t="str">
            <v>Xã Phúc Thọ</v>
          </cell>
          <cell r="I6127" t="str">
            <v>40333</v>
          </cell>
        </row>
        <row r="6128">
          <cell r="G6128" t="str">
            <v>Xã Nam Kim</v>
          </cell>
          <cell r="I6128" t="str">
            <v>40335</v>
          </cell>
        </row>
        <row r="6129">
          <cell r="G6129" t="str">
            <v xml:space="preserve">Xã Hùng Tiến    </v>
          </cell>
          <cell r="I6129" t="str">
            <v>40335</v>
          </cell>
        </row>
        <row r="6130">
          <cell r="G6130" t="str">
            <v xml:space="preserve">Xã Nam Hưng   </v>
          </cell>
          <cell r="I6130" t="str">
            <v>40335</v>
          </cell>
        </row>
        <row r="6131">
          <cell r="G6131" t="str">
            <v xml:space="preserve">Xã Nam Xuân </v>
          </cell>
          <cell r="I6131" t="str">
            <v>40335</v>
          </cell>
        </row>
        <row r="6132">
          <cell r="G6132" t="str">
            <v xml:space="preserve">Xã Nam Giang </v>
          </cell>
          <cell r="I6132" t="str">
            <v>40335</v>
          </cell>
        </row>
        <row r="6133">
          <cell r="G6133" t="str">
            <v xml:space="preserve">Xã Nam Tân </v>
          </cell>
          <cell r="I6133" t="str">
            <v>40335</v>
          </cell>
        </row>
        <row r="6134">
          <cell r="G6134" t="str">
            <v xml:space="preserve">Xã Xuân Lâm  </v>
          </cell>
          <cell r="I6134" t="str">
            <v>40335</v>
          </cell>
        </row>
        <row r="6135">
          <cell r="G6135" t="str">
            <v xml:space="preserve">Xã Nam Cường   </v>
          </cell>
          <cell r="I6135" t="str">
            <v>40335</v>
          </cell>
        </row>
        <row r="6136">
          <cell r="G6136" t="str">
            <v>Thị trấn Nam Đàn</v>
          </cell>
          <cell r="I6136" t="str">
            <v>40335</v>
          </cell>
        </row>
        <row r="6137">
          <cell r="G6137" t="str">
            <v>Xã Nam Nghĩa</v>
          </cell>
          <cell r="I6137" t="str">
            <v>40335</v>
          </cell>
        </row>
        <row r="6138">
          <cell r="G6138" t="str">
            <v xml:space="preserve">Xã Nam Thanh  </v>
          </cell>
          <cell r="I6138" t="str">
            <v>40335</v>
          </cell>
        </row>
        <row r="6139">
          <cell r="G6139" t="str">
            <v>Xã Nam Anh</v>
          </cell>
          <cell r="I6139" t="str">
            <v>40335</v>
          </cell>
        </row>
        <row r="6140">
          <cell r="G6140" t="str">
            <v xml:space="preserve">Xã Nam Thái </v>
          </cell>
          <cell r="I6140" t="str">
            <v>40335</v>
          </cell>
        </row>
        <row r="6141">
          <cell r="G6141" t="str">
            <v>Xã Vân Diên</v>
          </cell>
          <cell r="I6141" t="str">
            <v>40335</v>
          </cell>
        </row>
        <row r="6142">
          <cell r="G6142" t="str">
            <v>Xã Nam Lĩnh</v>
          </cell>
          <cell r="I6142" t="str">
            <v>40335</v>
          </cell>
        </row>
        <row r="6143">
          <cell r="G6143" t="str">
            <v xml:space="preserve">Xã Xuân Hòa    </v>
          </cell>
          <cell r="I6143" t="str">
            <v>40335</v>
          </cell>
        </row>
        <row r="6144">
          <cell r="G6144" t="str">
            <v xml:space="preserve">Xã Nam Thượng </v>
          </cell>
          <cell r="I6144" t="str">
            <v>40335</v>
          </cell>
        </row>
        <row r="6145">
          <cell r="G6145" t="str">
            <v>Xã Kim Liên</v>
          </cell>
          <cell r="I6145" t="str">
            <v>40335</v>
          </cell>
        </row>
        <row r="6146">
          <cell r="G6146" t="str">
            <v>Xã Nam Lộc</v>
          </cell>
          <cell r="I6146" t="str">
            <v>40335</v>
          </cell>
        </row>
        <row r="6147">
          <cell r="G6147" t="str">
            <v>Xã Hồng Long</v>
          </cell>
          <cell r="I6147" t="str">
            <v>40335</v>
          </cell>
        </row>
        <row r="6148">
          <cell r="G6148" t="str">
            <v>Xã Nam Cát</v>
          </cell>
          <cell r="I6148" t="str">
            <v>40335</v>
          </cell>
        </row>
        <row r="6149">
          <cell r="G6149" t="str">
            <v>Xã Khánh Sơn</v>
          </cell>
          <cell r="I6149" t="str">
            <v>40335</v>
          </cell>
        </row>
        <row r="6150">
          <cell r="G6150" t="str">
            <v>Xã Nam Phúc</v>
          </cell>
          <cell r="I6150" t="str">
            <v>40335</v>
          </cell>
        </row>
        <row r="6151">
          <cell r="G6151" t="str">
            <v xml:space="preserve">Xã Nam Trung  </v>
          </cell>
          <cell r="I6151" t="str">
            <v>40335</v>
          </cell>
        </row>
        <row r="6152">
          <cell r="G6152" t="str">
            <v>Xã Hưng Lợi</v>
          </cell>
          <cell r="I6152" t="str">
            <v>40337</v>
          </cell>
        </row>
        <row r="6153">
          <cell r="G6153" t="str">
            <v>Xã Hưng Trung</v>
          </cell>
          <cell r="I6153" t="str">
            <v>40337</v>
          </cell>
        </row>
        <row r="6154">
          <cell r="G6154" t="str">
            <v xml:space="preserve">Xã Hưng Đạo       </v>
          </cell>
          <cell r="I6154" t="str">
            <v>40337</v>
          </cell>
        </row>
        <row r="6155">
          <cell r="G6155" t="str">
            <v>Xã Hưng Thông</v>
          </cell>
          <cell r="I6155" t="str">
            <v>40337</v>
          </cell>
        </row>
        <row r="6156">
          <cell r="G6156" t="str">
            <v>Xã Hưng Phúc</v>
          </cell>
          <cell r="I6156" t="str">
            <v>40337</v>
          </cell>
        </row>
        <row r="6157">
          <cell r="G6157" t="str">
            <v>Xã Hưng Châu</v>
          </cell>
          <cell r="I6157" t="str">
            <v>40337</v>
          </cell>
        </row>
        <row r="6158">
          <cell r="G6158" t="str">
            <v xml:space="preserve">Xã Hưng Khánh </v>
          </cell>
          <cell r="I6158" t="str">
            <v>40337</v>
          </cell>
        </row>
        <row r="6159">
          <cell r="G6159" t="str">
            <v>Thị trấn Hưng Nguyên</v>
          </cell>
          <cell r="I6159" t="str">
            <v>40337</v>
          </cell>
        </row>
        <row r="6160">
          <cell r="G6160" t="str">
            <v>Xã Hưng Yên Nam</v>
          </cell>
          <cell r="I6160" t="str">
            <v>40337</v>
          </cell>
        </row>
        <row r="6161">
          <cell r="G6161" t="str">
            <v>Xã Hưng Tây</v>
          </cell>
          <cell r="I6161" t="str">
            <v>40337</v>
          </cell>
        </row>
        <row r="6162">
          <cell r="G6162" t="str">
            <v>Xã Hưng Mỹ</v>
          </cell>
          <cell r="I6162" t="str">
            <v>40337</v>
          </cell>
        </row>
        <row r="6163">
          <cell r="G6163" t="str">
            <v xml:space="preserve">Xã Hưng Thịnh   </v>
          </cell>
          <cell r="I6163" t="str">
            <v>40337</v>
          </cell>
        </row>
        <row r="6164">
          <cell r="G6164" t="str">
            <v>Xã Hưng Lĩnh</v>
          </cell>
          <cell r="I6164" t="str">
            <v>40337</v>
          </cell>
        </row>
        <row r="6165">
          <cell r="G6165" t="str">
            <v>Xã Hưng Tân</v>
          </cell>
          <cell r="I6165" t="str">
            <v>40337</v>
          </cell>
        </row>
        <row r="6166">
          <cell r="G6166" t="str">
            <v>Xã Hưng Thắng</v>
          </cell>
          <cell r="I6166" t="str">
            <v>40337</v>
          </cell>
        </row>
        <row r="6167">
          <cell r="G6167" t="str">
            <v xml:space="preserve">Xã Hưng Long   </v>
          </cell>
          <cell r="I6167" t="str">
            <v>40337</v>
          </cell>
        </row>
        <row r="6168">
          <cell r="G6168" t="str">
            <v>Xã Hưng Tiến</v>
          </cell>
          <cell r="I6168" t="str">
            <v>40337</v>
          </cell>
        </row>
        <row r="6169">
          <cell r="G6169" t="str">
            <v>Xã Hưng Xá</v>
          </cell>
          <cell r="I6169" t="str">
            <v>40337</v>
          </cell>
        </row>
        <row r="6170">
          <cell r="G6170" t="str">
            <v>Xã Hưng Xuân</v>
          </cell>
          <cell r="I6170" t="str">
            <v>40337</v>
          </cell>
        </row>
        <row r="6171">
          <cell r="G6171" t="str">
            <v xml:space="preserve">Xã Hưng Nhân </v>
          </cell>
          <cell r="I6171" t="str">
            <v>40337</v>
          </cell>
        </row>
        <row r="6172">
          <cell r="G6172" t="str">
            <v>Xã Hưng Phú</v>
          </cell>
          <cell r="I6172" t="str">
            <v>40337</v>
          </cell>
        </row>
        <row r="6173">
          <cell r="G6173" t="str">
            <v>Xã Hưng Lam</v>
          </cell>
          <cell r="I6173" t="str">
            <v>40337</v>
          </cell>
        </row>
        <row r="6174">
          <cell r="G6174" t="str">
            <v>Xã Hưng Yên Bắc</v>
          </cell>
          <cell r="I6174" t="str">
            <v>40337</v>
          </cell>
        </row>
        <row r="6175">
          <cell r="G6175" t="str">
            <v>Phường Quỳnh Thiện</v>
          </cell>
          <cell r="I6175" t="str">
            <v>40339</v>
          </cell>
        </row>
        <row r="6176">
          <cell r="G6176" t="str">
            <v>Phường Quỳnh Dị</v>
          </cell>
          <cell r="I6176" t="str">
            <v>40339</v>
          </cell>
        </row>
        <row r="6177">
          <cell r="G6177" t="str">
            <v>Phường Mai Hùng</v>
          </cell>
          <cell r="I6177" t="str">
            <v>40339</v>
          </cell>
        </row>
        <row r="6178">
          <cell r="G6178" t="str">
            <v>Phường Quỳnh Phương</v>
          </cell>
          <cell r="I6178" t="str">
            <v>40339</v>
          </cell>
        </row>
        <row r="6179">
          <cell r="G6179" t="str">
            <v>Phường Quỳnh Xuân</v>
          </cell>
          <cell r="I6179" t="str">
            <v>40339</v>
          </cell>
        </row>
        <row r="6180">
          <cell r="G6180" t="str">
            <v xml:space="preserve">Xã Quỳnh Trang </v>
          </cell>
          <cell r="I6180" t="str">
            <v>40339</v>
          </cell>
        </row>
        <row r="6181">
          <cell r="G6181" t="str">
            <v>Xã Quỳnh Lập</v>
          </cell>
          <cell r="I6181" t="str">
            <v>40339</v>
          </cell>
        </row>
        <row r="6182">
          <cell r="G6182" t="str">
            <v>Xã Quỳnh Liên</v>
          </cell>
          <cell r="I6182" t="str">
            <v>40339</v>
          </cell>
        </row>
        <row r="6183">
          <cell r="G6183" t="str">
            <v>Xã Quỳnh Vinh</v>
          </cell>
          <cell r="I6183" t="str">
            <v>40339</v>
          </cell>
        </row>
        <row r="6184">
          <cell r="G6184" t="str">
            <v>Xã Quỳnh Lộc</v>
          </cell>
          <cell r="I6184" t="str">
            <v>40339</v>
          </cell>
        </row>
        <row r="6185">
          <cell r="G6185" t="str">
            <v>Phường Thạch Linh</v>
          </cell>
          <cell r="I6185" t="str">
            <v>40501</v>
          </cell>
        </row>
        <row r="6186">
          <cell r="G6186" t="str">
            <v>Phường Nam Hà</v>
          </cell>
          <cell r="I6186" t="str">
            <v>40501</v>
          </cell>
        </row>
        <row r="6187">
          <cell r="G6187" t="str">
            <v xml:space="preserve">Phường Hà Huy Tập </v>
          </cell>
          <cell r="I6187" t="str">
            <v>40501</v>
          </cell>
        </row>
        <row r="6188">
          <cell r="G6188" t="str">
            <v>Xã Thạch Hạ</v>
          </cell>
          <cell r="I6188" t="str">
            <v>40501</v>
          </cell>
        </row>
        <row r="6189">
          <cell r="G6189" t="str">
            <v xml:space="preserve">Xã Thạch Bình  </v>
          </cell>
          <cell r="I6189" t="str">
            <v>40501</v>
          </cell>
        </row>
        <row r="6190">
          <cell r="G6190" t="str">
            <v xml:space="preserve">Phường Trần Phú     </v>
          </cell>
          <cell r="I6190" t="str">
            <v>40501</v>
          </cell>
        </row>
        <row r="6191">
          <cell r="G6191" t="str">
            <v>Phường Bắc Hà</v>
          </cell>
          <cell r="I6191" t="str">
            <v>40501</v>
          </cell>
        </row>
        <row r="6192">
          <cell r="G6192" t="str">
            <v xml:space="preserve">Phường Tân Giang </v>
          </cell>
          <cell r="I6192" t="str">
            <v>40501</v>
          </cell>
        </row>
        <row r="6193">
          <cell r="G6193" t="str">
            <v>Phường Đại Nài</v>
          </cell>
          <cell r="I6193" t="str">
            <v>40501</v>
          </cell>
        </row>
        <row r="6194">
          <cell r="G6194" t="str">
            <v>Xã Thạch Trung</v>
          </cell>
          <cell r="I6194" t="str">
            <v>40501</v>
          </cell>
        </row>
        <row r="6195">
          <cell r="G6195" t="str">
            <v>Phường Thạch Quý</v>
          </cell>
          <cell r="I6195" t="str">
            <v>40501</v>
          </cell>
        </row>
        <row r="6196">
          <cell r="G6196" t="str">
            <v>Phường Văn Yên</v>
          </cell>
          <cell r="I6196" t="str">
            <v>40501</v>
          </cell>
        </row>
        <row r="6197">
          <cell r="G6197" t="str">
            <v>Xã Thạch Môn</v>
          </cell>
          <cell r="I6197" t="str">
            <v>40501</v>
          </cell>
        </row>
        <row r="6198">
          <cell r="G6198" t="str">
            <v xml:space="preserve">Xã Thạch Đồng  </v>
          </cell>
          <cell r="I6198" t="str">
            <v>40501</v>
          </cell>
        </row>
        <row r="6199">
          <cell r="G6199" t="str">
            <v>Xã Thạch Hưng</v>
          </cell>
          <cell r="I6199" t="str">
            <v>40501</v>
          </cell>
        </row>
        <row r="6200">
          <cell r="G6200" t="str">
            <v xml:space="preserve">Phường Nguyễn Du  </v>
          </cell>
          <cell r="I6200" t="str">
            <v>40501</v>
          </cell>
        </row>
        <row r="6201">
          <cell r="G6201" t="str">
            <v>Phường Nam Hồng</v>
          </cell>
          <cell r="I6201" t="str">
            <v>40503</v>
          </cell>
        </row>
        <row r="6202">
          <cell r="G6202" t="str">
            <v xml:space="preserve">Xã Trung Lương  </v>
          </cell>
          <cell r="I6202" t="str">
            <v>40503</v>
          </cell>
        </row>
        <row r="6203">
          <cell r="G6203" t="str">
            <v>Xã Đức Thuận</v>
          </cell>
          <cell r="I6203" t="str">
            <v>40503</v>
          </cell>
        </row>
        <row r="6204">
          <cell r="G6204" t="str">
            <v>Xã Đậu Liêu</v>
          </cell>
          <cell r="I6204" t="str">
            <v>40503</v>
          </cell>
        </row>
        <row r="6205">
          <cell r="G6205" t="str">
            <v>Xã Thuận Lộc</v>
          </cell>
          <cell r="I6205" t="str">
            <v>40503</v>
          </cell>
        </row>
        <row r="6206">
          <cell r="G6206" t="str">
            <v>Phường Bắc Hồng</v>
          </cell>
          <cell r="I6206" t="str">
            <v>40503</v>
          </cell>
        </row>
        <row r="6207">
          <cell r="G6207" t="str">
            <v>Thị trấn Nghi Xuân</v>
          </cell>
          <cell r="I6207" t="str">
            <v>40505</v>
          </cell>
        </row>
        <row r="6208">
          <cell r="G6208" t="str">
            <v>Xã Xuân Liên</v>
          </cell>
          <cell r="I6208" t="str">
            <v>40505</v>
          </cell>
        </row>
        <row r="6209">
          <cell r="G6209" t="str">
            <v>Xã Xuân Hội</v>
          </cell>
          <cell r="I6209" t="str">
            <v>40505</v>
          </cell>
        </row>
        <row r="6210">
          <cell r="G6210" t="str">
            <v>Xã Xuân Phổ</v>
          </cell>
          <cell r="I6210" t="str">
            <v>40505</v>
          </cell>
        </row>
        <row r="6211">
          <cell r="G6211" t="str">
            <v xml:space="preserve">Xã Xuân Yên </v>
          </cell>
          <cell r="I6211" t="str">
            <v>40505</v>
          </cell>
        </row>
        <row r="6212">
          <cell r="G6212" t="str">
            <v xml:space="preserve">Xã Xuân Hồng </v>
          </cell>
          <cell r="I6212" t="str">
            <v>40505</v>
          </cell>
        </row>
        <row r="6213">
          <cell r="G6213" t="str">
            <v xml:space="preserve">Xã Xuân Lam </v>
          </cell>
          <cell r="I6213" t="str">
            <v>40505</v>
          </cell>
        </row>
        <row r="6214">
          <cell r="G6214" t="str">
            <v>Thị trấn Xuân An</v>
          </cell>
          <cell r="I6214" t="str">
            <v>40505</v>
          </cell>
        </row>
        <row r="6215">
          <cell r="G6215" t="str">
            <v xml:space="preserve">Xã Xuân Trường  </v>
          </cell>
          <cell r="I6215" t="str">
            <v>40505</v>
          </cell>
        </row>
        <row r="6216">
          <cell r="G6216" t="str">
            <v>Xã Xuân Đan</v>
          </cell>
          <cell r="I6216" t="str">
            <v>40505</v>
          </cell>
        </row>
        <row r="6217">
          <cell r="G6217" t="str">
            <v>Xã Xuân Hải</v>
          </cell>
          <cell r="I6217" t="str">
            <v>40505</v>
          </cell>
        </row>
        <row r="6218">
          <cell r="G6218" t="str">
            <v xml:space="preserve">Xã Xuân Giang   </v>
          </cell>
          <cell r="I6218" t="str">
            <v>40505</v>
          </cell>
        </row>
        <row r="6219">
          <cell r="G6219" t="str">
            <v>Xã Tiên Điền</v>
          </cell>
          <cell r="I6219" t="str">
            <v>40505</v>
          </cell>
        </row>
        <row r="6220">
          <cell r="G6220" t="str">
            <v>Xã Xuân Mỹ</v>
          </cell>
          <cell r="I6220" t="str">
            <v>40505</v>
          </cell>
        </row>
        <row r="6221">
          <cell r="G6221" t="str">
            <v xml:space="preserve">Xã Xuân Thành   </v>
          </cell>
          <cell r="I6221" t="str">
            <v>40505</v>
          </cell>
        </row>
        <row r="6222">
          <cell r="G6222" t="str">
            <v xml:space="preserve">Xã Xuân Viên </v>
          </cell>
          <cell r="I6222" t="str">
            <v>40505</v>
          </cell>
        </row>
        <row r="6223">
          <cell r="G6223" t="str">
            <v>Xã Cổ Đạm</v>
          </cell>
          <cell r="I6223" t="str">
            <v>40505</v>
          </cell>
        </row>
        <row r="6224">
          <cell r="G6224" t="str">
            <v>Xã Xuân Lĩnh</v>
          </cell>
          <cell r="I6224" t="str">
            <v>40505</v>
          </cell>
        </row>
        <row r="6225">
          <cell r="G6225" t="str">
            <v>Xã Cương Gián</v>
          </cell>
          <cell r="I6225" t="str">
            <v>40505</v>
          </cell>
        </row>
        <row r="6226">
          <cell r="G6226" t="str">
            <v xml:space="preserve">Xã Trường Sơn   </v>
          </cell>
          <cell r="I6226" t="str">
            <v>40507</v>
          </cell>
        </row>
        <row r="6227">
          <cell r="G6227" t="str">
            <v>Xã Đức Hòa</v>
          </cell>
          <cell r="I6227" t="str">
            <v>40507</v>
          </cell>
        </row>
        <row r="6228">
          <cell r="G6228" t="str">
            <v>Xã Đức Vĩnh</v>
          </cell>
          <cell r="I6228" t="str">
            <v>40507</v>
          </cell>
        </row>
        <row r="6229">
          <cell r="G6229" t="str">
            <v xml:space="preserve">Xã Liên Minh  </v>
          </cell>
          <cell r="I6229" t="str">
            <v>40507</v>
          </cell>
        </row>
        <row r="6230">
          <cell r="G6230" t="str">
            <v>Xã Tùng ảnh</v>
          </cell>
          <cell r="I6230" t="str">
            <v>40507</v>
          </cell>
        </row>
        <row r="6231">
          <cell r="G6231" t="str">
            <v>Xã Đức Thủy</v>
          </cell>
          <cell r="I6231" t="str">
            <v>40507</v>
          </cell>
        </row>
        <row r="6232">
          <cell r="G6232" t="str">
            <v xml:space="preserve">Xã Đức Long    </v>
          </cell>
          <cell r="I6232" t="str">
            <v>40507</v>
          </cell>
        </row>
        <row r="6233">
          <cell r="G6233" t="str">
            <v>Xã Đức Lập</v>
          </cell>
          <cell r="I6233" t="str">
            <v>40507</v>
          </cell>
        </row>
        <row r="6234">
          <cell r="G6234" t="str">
            <v>Xã Đức Lạng</v>
          </cell>
          <cell r="I6234" t="str">
            <v>40507</v>
          </cell>
        </row>
        <row r="6235">
          <cell r="G6235" t="str">
            <v>Thị trấn Đức Thọ</v>
          </cell>
          <cell r="I6235" t="str">
            <v>40507</v>
          </cell>
        </row>
        <row r="6236">
          <cell r="G6236" t="str">
            <v xml:space="preserve">Xã Đức Quang </v>
          </cell>
          <cell r="I6236" t="str">
            <v>40507</v>
          </cell>
        </row>
        <row r="6237">
          <cell r="G6237" t="str">
            <v>Xã Đức Châu</v>
          </cell>
          <cell r="I6237" t="str">
            <v>40507</v>
          </cell>
        </row>
        <row r="6238">
          <cell r="G6238" t="str">
            <v>Xã Đức Tùng</v>
          </cell>
          <cell r="I6238" t="str">
            <v>40507</v>
          </cell>
        </row>
        <row r="6239">
          <cell r="G6239" t="str">
            <v>Xã Đức La</v>
          </cell>
          <cell r="I6239" t="str">
            <v>40507</v>
          </cell>
        </row>
        <row r="6240">
          <cell r="G6240" t="str">
            <v>Xã Yên Hồ</v>
          </cell>
          <cell r="I6240" t="str">
            <v>40507</v>
          </cell>
        </row>
        <row r="6241">
          <cell r="G6241" t="str">
            <v>Xã Đức Nhân</v>
          </cell>
          <cell r="I6241" t="str">
            <v>40507</v>
          </cell>
        </row>
        <row r="6242">
          <cell r="G6242" t="str">
            <v>Xã Bùi Xá</v>
          </cell>
          <cell r="I6242" t="str">
            <v>40507</v>
          </cell>
        </row>
        <row r="6243">
          <cell r="G6243" t="str">
            <v>Xã Đức Thịnh</v>
          </cell>
          <cell r="I6243" t="str">
            <v>40507</v>
          </cell>
        </row>
        <row r="6244">
          <cell r="G6244" t="str">
            <v>Xã Đức Yên</v>
          </cell>
          <cell r="I6244" t="str">
            <v>40507</v>
          </cell>
        </row>
        <row r="6245">
          <cell r="G6245" t="str">
            <v>Xã Thái Yên</v>
          </cell>
          <cell r="I6245" t="str">
            <v>40507</v>
          </cell>
        </row>
        <row r="6246">
          <cell r="G6246" t="str">
            <v>Xã Trung Lễ</v>
          </cell>
          <cell r="I6246" t="str">
            <v>40507</v>
          </cell>
        </row>
        <row r="6247">
          <cell r="G6247" t="str">
            <v>Xã Đức Lâm</v>
          </cell>
          <cell r="I6247" t="str">
            <v>40507</v>
          </cell>
        </row>
        <row r="6248">
          <cell r="G6248" t="str">
            <v>Xã Đức Thanh</v>
          </cell>
          <cell r="I6248" t="str">
            <v>40507</v>
          </cell>
        </row>
        <row r="6249">
          <cell r="G6249" t="str">
            <v>Xã Đức Dũng</v>
          </cell>
          <cell r="I6249" t="str">
            <v>40507</v>
          </cell>
        </row>
        <row r="6250">
          <cell r="G6250" t="str">
            <v>Xã Đức An</v>
          </cell>
          <cell r="I6250" t="str">
            <v>40507</v>
          </cell>
        </row>
        <row r="6251">
          <cell r="G6251" t="str">
            <v>Xã Đức Lạc</v>
          </cell>
          <cell r="I6251" t="str">
            <v>40507</v>
          </cell>
        </row>
        <row r="6252">
          <cell r="G6252" t="str">
            <v>Xã Đức Đồng</v>
          </cell>
          <cell r="I6252" t="str">
            <v>40507</v>
          </cell>
        </row>
        <row r="6253">
          <cell r="G6253" t="str">
            <v xml:space="preserve">Xã Tân Hương     </v>
          </cell>
          <cell r="I6253" t="str">
            <v>40507</v>
          </cell>
        </row>
        <row r="6254">
          <cell r="G6254" t="str">
            <v>Xã Sơn Hồng</v>
          </cell>
          <cell r="I6254" t="str">
            <v>40509</v>
          </cell>
        </row>
        <row r="6255">
          <cell r="G6255" t="str">
            <v>Xã Sơn Ninh</v>
          </cell>
          <cell r="I6255" t="str">
            <v>40509</v>
          </cell>
        </row>
        <row r="6256">
          <cell r="G6256" t="str">
            <v>Xã Sơn Diệm</v>
          </cell>
          <cell r="I6256" t="str">
            <v>40509</v>
          </cell>
        </row>
        <row r="6257">
          <cell r="G6257" t="str">
            <v>Xã Sơn Lâm</v>
          </cell>
          <cell r="I6257" t="str">
            <v>40509</v>
          </cell>
        </row>
        <row r="6258">
          <cell r="G6258" t="str">
            <v>Xã Sơn Giang</v>
          </cell>
          <cell r="I6258" t="str">
            <v>40509</v>
          </cell>
        </row>
        <row r="6259">
          <cell r="G6259" t="str">
            <v>Xã Sơn Mỹ</v>
          </cell>
          <cell r="I6259" t="str">
            <v>40509</v>
          </cell>
        </row>
        <row r="6260">
          <cell r="G6260" t="str">
            <v>Xã Sơn Châu</v>
          </cell>
          <cell r="I6260" t="str">
            <v>40509</v>
          </cell>
        </row>
        <row r="6261">
          <cell r="G6261" t="str">
            <v>Xã Sơn Bằng</v>
          </cell>
          <cell r="I6261" t="str">
            <v>40509</v>
          </cell>
        </row>
        <row r="6262">
          <cell r="G6262" t="str">
            <v>Xã Sơn Trà</v>
          </cell>
          <cell r="I6262" t="str">
            <v>40509</v>
          </cell>
        </row>
        <row r="6263">
          <cell r="G6263" t="str">
            <v>Xã Sơn Hàm</v>
          </cell>
          <cell r="I6263" t="str">
            <v>40509</v>
          </cell>
        </row>
        <row r="6264">
          <cell r="G6264" t="str">
            <v>Xã Sơn Mai</v>
          </cell>
          <cell r="I6264" t="str">
            <v>40509</v>
          </cell>
        </row>
        <row r="6265">
          <cell r="G6265" t="str">
            <v>Thị trấn Phố Châu</v>
          </cell>
          <cell r="I6265" t="str">
            <v>40509</v>
          </cell>
        </row>
        <row r="6266">
          <cell r="G6266" t="str">
            <v>Thị trấn Tây Sơn</v>
          </cell>
          <cell r="I6266" t="str">
            <v>40509</v>
          </cell>
        </row>
        <row r="6267">
          <cell r="G6267" t="str">
            <v>Xã Sơn Tiến</v>
          </cell>
          <cell r="I6267" t="str">
            <v>40509</v>
          </cell>
        </row>
        <row r="6268">
          <cell r="G6268" t="str">
            <v>Xã Sơn Lễ</v>
          </cell>
          <cell r="I6268" t="str">
            <v>40509</v>
          </cell>
        </row>
        <row r="6269">
          <cell r="G6269" t="str">
            <v xml:space="preserve">Xã Sơn Thịnh </v>
          </cell>
          <cell r="I6269" t="str">
            <v>40509</v>
          </cell>
        </row>
        <row r="6270">
          <cell r="G6270" t="str">
            <v>Xã Sơn An</v>
          </cell>
          <cell r="I6270" t="str">
            <v>40509</v>
          </cell>
        </row>
        <row r="6271">
          <cell r="G6271" t="str">
            <v>Xã Sơn Lĩnh</v>
          </cell>
          <cell r="I6271" t="str">
            <v>40509</v>
          </cell>
        </row>
        <row r="6272">
          <cell r="G6272" t="str">
            <v>Xã Sơn Hòa</v>
          </cell>
          <cell r="I6272" t="str">
            <v>40509</v>
          </cell>
        </row>
        <row r="6273">
          <cell r="G6273" t="str">
            <v>Xã Sơn Tân</v>
          </cell>
          <cell r="I6273" t="str">
            <v>40509</v>
          </cell>
        </row>
        <row r="6274">
          <cell r="G6274" t="str">
            <v>Xã Sơn Tây</v>
          </cell>
          <cell r="I6274" t="str">
            <v>40509</v>
          </cell>
        </row>
        <row r="6275">
          <cell r="G6275" t="str">
            <v xml:space="preserve">Xã Sơn Hà     </v>
          </cell>
          <cell r="I6275" t="str">
            <v>40509</v>
          </cell>
        </row>
        <row r="6276">
          <cell r="G6276" t="str">
            <v>Xã Sơn Quang</v>
          </cell>
          <cell r="I6276" t="str">
            <v>40509</v>
          </cell>
        </row>
        <row r="6277">
          <cell r="G6277" t="str">
            <v>Xã Sơn Trung</v>
          </cell>
          <cell r="I6277" t="str">
            <v>40509</v>
          </cell>
        </row>
        <row r="6278">
          <cell r="G6278" t="str">
            <v xml:space="preserve">Xã Sơn Bình </v>
          </cell>
          <cell r="I6278" t="str">
            <v>40509</v>
          </cell>
        </row>
        <row r="6279">
          <cell r="G6279" t="str">
            <v>Xã Sơn Kim 1</v>
          </cell>
          <cell r="I6279" t="str">
            <v>40509</v>
          </cell>
        </row>
        <row r="6280">
          <cell r="G6280" t="str">
            <v>Xã Sơn Kim 2</v>
          </cell>
          <cell r="I6280" t="str">
            <v>40509</v>
          </cell>
        </row>
        <row r="6281">
          <cell r="G6281" t="str">
            <v>Xã Sơn Long</v>
          </cell>
          <cell r="I6281" t="str">
            <v>40509</v>
          </cell>
        </row>
        <row r="6282">
          <cell r="G6282" t="str">
            <v xml:space="preserve">Xã Sơn Thủy   </v>
          </cell>
          <cell r="I6282" t="str">
            <v>40509</v>
          </cell>
        </row>
        <row r="6283">
          <cell r="G6283" t="str">
            <v xml:space="preserve">Xã Sơn Phú  </v>
          </cell>
          <cell r="I6283" t="str">
            <v>40509</v>
          </cell>
        </row>
        <row r="6284">
          <cell r="G6284" t="str">
            <v>Xã Sơn Phúc</v>
          </cell>
          <cell r="I6284" t="str">
            <v>40509</v>
          </cell>
        </row>
        <row r="6285">
          <cell r="G6285" t="str">
            <v>Xã Sơn Trường</v>
          </cell>
          <cell r="I6285" t="str">
            <v>40509</v>
          </cell>
        </row>
        <row r="6286">
          <cell r="G6286" t="str">
            <v>Xã Gia Hanh</v>
          </cell>
          <cell r="I6286" t="str">
            <v>40511</v>
          </cell>
        </row>
        <row r="6287">
          <cell r="G6287" t="str">
            <v>Xã Sơn Lộc</v>
          </cell>
          <cell r="I6287" t="str">
            <v>40511</v>
          </cell>
        </row>
        <row r="6288">
          <cell r="G6288" t="str">
            <v>Xã Khánh Lộc</v>
          </cell>
          <cell r="I6288" t="str">
            <v>40511</v>
          </cell>
        </row>
        <row r="6289">
          <cell r="G6289" t="str">
            <v>Xã Kim Lộc</v>
          </cell>
          <cell r="I6289" t="str">
            <v>40511</v>
          </cell>
        </row>
        <row r="6290">
          <cell r="G6290" t="str">
            <v>Xã Song Lộc</v>
          </cell>
          <cell r="I6290" t="str">
            <v>40511</v>
          </cell>
        </row>
        <row r="6291">
          <cell r="G6291" t="str">
            <v>Xã Vĩnh Lộc</v>
          </cell>
          <cell r="I6291" t="str">
            <v>40511</v>
          </cell>
        </row>
        <row r="6292">
          <cell r="G6292" t="str">
            <v xml:space="preserve">Xã Tiến Lộc </v>
          </cell>
          <cell r="I6292" t="str">
            <v>40511</v>
          </cell>
        </row>
        <row r="6293">
          <cell r="G6293" t="str">
            <v>Xã Trung Lộc</v>
          </cell>
          <cell r="I6293" t="str">
            <v>40511</v>
          </cell>
        </row>
        <row r="6294">
          <cell r="G6294" t="str">
            <v xml:space="preserve">Xã Xuân Lộc    </v>
          </cell>
          <cell r="I6294" t="str">
            <v>40511</v>
          </cell>
        </row>
        <row r="6295">
          <cell r="G6295" t="str">
            <v>Xã Thượng Lộc</v>
          </cell>
          <cell r="I6295" t="str">
            <v>40511</v>
          </cell>
        </row>
        <row r="6296">
          <cell r="G6296" t="str">
            <v xml:space="preserve">Xã Quang Lộc </v>
          </cell>
          <cell r="I6296" t="str">
            <v>40511</v>
          </cell>
        </row>
        <row r="6297">
          <cell r="G6297" t="str">
            <v xml:space="preserve">Xã Đồng Lộc </v>
          </cell>
          <cell r="I6297" t="str">
            <v>40511</v>
          </cell>
        </row>
        <row r="6298">
          <cell r="G6298" t="str">
            <v xml:space="preserve">Xã Mỹ Lộc  </v>
          </cell>
          <cell r="I6298" t="str">
            <v>40511</v>
          </cell>
        </row>
        <row r="6299">
          <cell r="G6299" t="str">
            <v>Thị trấn Nghèn</v>
          </cell>
          <cell r="I6299" t="str">
            <v>40511</v>
          </cell>
        </row>
        <row r="6300">
          <cell r="G6300" t="str">
            <v>Xã Thiên Lộc</v>
          </cell>
          <cell r="I6300" t="str">
            <v>40511</v>
          </cell>
        </row>
        <row r="6301">
          <cell r="G6301" t="str">
            <v>Xã Thuần Thiện</v>
          </cell>
          <cell r="I6301" t="str">
            <v>40511</v>
          </cell>
        </row>
        <row r="6302">
          <cell r="G6302" t="str">
            <v>Xã Vượng Lộc</v>
          </cell>
          <cell r="I6302" t="str">
            <v>40511</v>
          </cell>
        </row>
        <row r="6303">
          <cell r="G6303" t="str">
            <v>Xã Thanh Lộc</v>
          </cell>
          <cell r="I6303" t="str">
            <v>40511</v>
          </cell>
        </row>
        <row r="6304">
          <cell r="G6304" t="str">
            <v>Xã Thường Nga</v>
          </cell>
          <cell r="I6304" t="str">
            <v>40511</v>
          </cell>
        </row>
        <row r="6305">
          <cell r="G6305" t="str">
            <v>Xã Trường Lộc</v>
          </cell>
          <cell r="I6305" t="str">
            <v>40511</v>
          </cell>
        </row>
        <row r="6306">
          <cell r="G6306" t="str">
            <v>Xã Tùng Lộc</v>
          </cell>
          <cell r="I6306" t="str">
            <v>40511</v>
          </cell>
        </row>
        <row r="6307">
          <cell r="G6307" t="str">
            <v xml:space="preserve">Xã Yên Lộc  </v>
          </cell>
          <cell r="I6307" t="str">
            <v>40511</v>
          </cell>
        </row>
        <row r="6308">
          <cell r="G6308" t="str">
            <v xml:space="preserve">Xã Phú Lộc   </v>
          </cell>
          <cell r="I6308" t="str">
            <v>40511</v>
          </cell>
        </row>
        <row r="6309">
          <cell r="G6309" t="str">
            <v>Thị trấn Thạch Hà</v>
          </cell>
          <cell r="I6309" t="str">
            <v>40513</v>
          </cell>
        </row>
        <row r="6310">
          <cell r="G6310" t="str">
            <v>Xã Thạch Lạc</v>
          </cell>
          <cell r="I6310" t="str">
            <v>40513</v>
          </cell>
        </row>
        <row r="6311">
          <cell r="G6311" t="str">
            <v>Xã Thạch Xuân</v>
          </cell>
          <cell r="I6311" t="str">
            <v>40513</v>
          </cell>
        </row>
        <row r="6312">
          <cell r="G6312" t="str">
            <v>Xã Thạch Bàn</v>
          </cell>
          <cell r="I6312" t="str">
            <v>40513</v>
          </cell>
        </row>
        <row r="6313">
          <cell r="G6313" t="str">
            <v>Xã Thạch Kênh</v>
          </cell>
          <cell r="I6313" t="str">
            <v>40513</v>
          </cell>
        </row>
        <row r="6314">
          <cell r="G6314" t="str">
            <v>Xã Phù Việt</v>
          </cell>
          <cell r="I6314" t="str">
            <v>40513</v>
          </cell>
        </row>
        <row r="6315">
          <cell r="G6315" t="str">
            <v>Xã Việt Xuyên</v>
          </cell>
          <cell r="I6315" t="str">
            <v>40513</v>
          </cell>
        </row>
        <row r="6316">
          <cell r="G6316" t="str">
            <v>Xã Thạch Ngọc</v>
          </cell>
          <cell r="I6316" t="str">
            <v>40513</v>
          </cell>
        </row>
        <row r="6317">
          <cell r="G6317" t="str">
            <v>Xã Thạch Thắng</v>
          </cell>
          <cell r="I6317" t="str">
            <v>40513</v>
          </cell>
        </row>
        <row r="6318">
          <cell r="G6318" t="str">
            <v>Xã Thạch Hội</v>
          </cell>
          <cell r="I6318" t="str">
            <v>40513</v>
          </cell>
        </row>
        <row r="6319">
          <cell r="G6319" t="str">
            <v>Xã Thạch Hương</v>
          </cell>
          <cell r="I6319" t="str">
            <v>40513</v>
          </cell>
        </row>
        <row r="6320">
          <cell r="G6320" t="str">
            <v xml:space="preserve">Xã Ngọc Sơn        </v>
          </cell>
          <cell r="I6320" t="str">
            <v>40513</v>
          </cell>
        </row>
        <row r="6321">
          <cell r="G6321" t="str">
            <v>Xã Thạch Hải</v>
          </cell>
          <cell r="I6321" t="str">
            <v>40513</v>
          </cell>
        </row>
        <row r="6322">
          <cell r="G6322" t="str">
            <v xml:space="preserve">Xã Thạch Sơn    </v>
          </cell>
          <cell r="I6322" t="str">
            <v>40513</v>
          </cell>
        </row>
        <row r="6323">
          <cell r="G6323" t="str">
            <v>Xã Thạch Liên</v>
          </cell>
          <cell r="I6323" t="str">
            <v>40513</v>
          </cell>
        </row>
        <row r="6324">
          <cell r="G6324" t="str">
            <v>Xã Thạch Đỉnh</v>
          </cell>
          <cell r="I6324" t="str">
            <v>40513</v>
          </cell>
        </row>
        <row r="6325">
          <cell r="G6325" t="str">
            <v>Xã Thạch Khê</v>
          </cell>
          <cell r="I6325" t="str">
            <v>40513</v>
          </cell>
        </row>
        <row r="6326">
          <cell r="G6326" t="str">
            <v xml:space="preserve">Xã Thạch Long </v>
          </cell>
          <cell r="I6326" t="str">
            <v>40513</v>
          </cell>
        </row>
        <row r="6327">
          <cell r="G6327" t="str">
            <v>Xã Thạch Tiến</v>
          </cell>
          <cell r="I6327" t="str">
            <v>40513</v>
          </cell>
        </row>
        <row r="6328">
          <cell r="G6328" t="str">
            <v>Xã Thạch Thanh</v>
          </cell>
          <cell r="I6328" t="str">
            <v>40513</v>
          </cell>
        </row>
        <row r="6329">
          <cell r="G6329" t="str">
            <v>Xã Thạch Trị</v>
          </cell>
          <cell r="I6329" t="str">
            <v>40513</v>
          </cell>
        </row>
        <row r="6330">
          <cell r="G6330" t="str">
            <v xml:space="preserve">Xã Tượng Sơn </v>
          </cell>
          <cell r="I6330" t="str">
            <v>40513</v>
          </cell>
        </row>
        <row r="6331">
          <cell r="G6331" t="str">
            <v>Xã Thạch Văn</v>
          </cell>
          <cell r="I6331" t="str">
            <v>40513</v>
          </cell>
        </row>
        <row r="6332">
          <cell r="G6332" t="str">
            <v>Xã Thạch Vĩnh</v>
          </cell>
          <cell r="I6332" t="str">
            <v>40513</v>
          </cell>
        </row>
        <row r="6333">
          <cell r="G6333" t="str">
            <v>Xã Thạch Lưu</v>
          </cell>
          <cell r="I6333" t="str">
            <v>40513</v>
          </cell>
        </row>
        <row r="6334">
          <cell r="G6334" t="str">
            <v>Xã Thạch Đài</v>
          </cell>
          <cell r="I6334" t="str">
            <v>40513</v>
          </cell>
        </row>
        <row r="6335">
          <cell r="G6335" t="str">
            <v xml:space="preserve">Xã Bắc Sơn          </v>
          </cell>
          <cell r="I6335" t="str">
            <v>40513</v>
          </cell>
        </row>
        <row r="6336">
          <cell r="G6336" t="str">
            <v xml:space="preserve">Xã Thạch Tân </v>
          </cell>
          <cell r="I6336" t="str">
            <v>40513</v>
          </cell>
        </row>
        <row r="6337">
          <cell r="G6337" t="str">
            <v xml:space="preserve">Xã Thạch Lâm  </v>
          </cell>
          <cell r="I6337" t="str">
            <v>40513</v>
          </cell>
        </row>
        <row r="6338">
          <cell r="G6338" t="str">
            <v>Xã Nam Hương</v>
          </cell>
          <cell r="I6338" t="str">
            <v>40513</v>
          </cell>
        </row>
        <row r="6339">
          <cell r="G6339" t="str">
            <v>Xã Thạch Điền</v>
          </cell>
          <cell r="I6339" t="str">
            <v>40513</v>
          </cell>
        </row>
        <row r="6340">
          <cell r="G6340" t="str">
            <v xml:space="preserve">Xã Cẩm Thành </v>
          </cell>
          <cell r="I6340" t="str">
            <v>40515</v>
          </cell>
        </row>
        <row r="6341">
          <cell r="G6341" t="str">
            <v>Xã Cẩm Lộc</v>
          </cell>
          <cell r="I6341" t="str">
            <v>40515</v>
          </cell>
        </row>
        <row r="6342">
          <cell r="G6342" t="str">
            <v xml:space="preserve">Xã Cẩm Sơn   </v>
          </cell>
          <cell r="I6342" t="str">
            <v>40515</v>
          </cell>
        </row>
        <row r="6343">
          <cell r="G6343" t="str">
            <v xml:space="preserve">Xã Cẩm Hưng </v>
          </cell>
          <cell r="I6343" t="str">
            <v>40515</v>
          </cell>
        </row>
        <row r="6344">
          <cell r="G6344" t="str">
            <v>Thị trấn Cẩm Xuyên</v>
          </cell>
          <cell r="I6344" t="str">
            <v>40515</v>
          </cell>
        </row>
        <row r="6345">
          <cell r="G6345" t="str">
            <v xml:space="preserve">Xã Cẩm Yên  </v>
          </cell>
          <cell r="I6345" t="str">
            <v>40515</v>
          </cell>
        </row>
        <row r="6346">
          <cell r="G6346" t="str">
            <v>Xã Cẩm Nam</v>
          </cell>
          <cell r="I6346" t="str">
            <v>40515</v>
          </cell>
        </row>
        <row r="6347">
          <cell r="G6347" t="str">
            <v>Xã Cẩm Nhượng</v>
          </cell>
          <cell r="I6347" t="str">
            <v>40515</v>
          </cell>
        </row>
        <row r="6348">
          <cell r="G6348" t="str">
            <v>Xã Cẩm Quan</v>
          </cell>
          <cell r="I6348" t="str">
            <v>40515</v>
          </cell>
        </row>
        <row r="6349">
          <cell r="G6349" t="str">
            <v>Thị trấn Thiên Cầm</v>
          </cell>
          <cell r="I6349" t="str">
            <v>40515</v>
          </cell>
        </row>
        <row r="6350">
          <cell r="G6350" t="str">
            <v>Xã Cẩm Hòa</v>
          </cell>
          <cell r="I6350" t="str">
            <v>40515</v>
          </cell>
        </row>
        <row r="6351">
          <cell r="G6351" t="str">
            <v>Xã Cẩm Dương</v>
          </cell>
          <cell r="I6351" t="str">
            <v>40515</v>
          </cell>
        </row>
        <row r="6352">
          <cell r="G6352" t="str">
            <v xml:space="preserve">Xã Cẩm Bình </v>
          </cell>
          <cell r="I6352" t="str">
            <v>40515</v>
          </cell>
        </row>
        <row r="6353">
          <cell r="G6353" t="str">
            <v>Xã Cẩm Vĩnh</v>
          </cell>
          <cell r="I6353" t="str">
            <v>40515</v>
          </cell>
        </row>
        <row r="6354">
          <cell r="G6354" t="str">
            <v>Xã Cẩm Quang</v>
          </cell>
          <cell r="I6354" t="str">
            <v>40515</v>
          </cell>
        </row>
        <row r="6355">
          <cell r="G6355" t="str">
            <v>Xã Cẩm Huy</v>
          </cell>
          <cell r="I6355" t="str">
            <v>40515</v>
          </cell>
        </row>
        <row r="6356">
          <cell r="G6356" t="str">
            <v xml:space="preserve">Xã Cẩm Thạch </v>
          </cell>
          <cell r="I6356" t="str">
            <v>40515</v>
          </cell>
        </row>
        <row r="6357">
          <cell r="G6357" t="str">
            <v>Xã Cẩm Thăng</v>
          </cell>
          <cell r="I6357" t="str">
            <v>40515</v>
          </cell>
        </row>
        <row r="6358">
          <cell r="G6358" t="str">
            <v>Xã Cẩm Duệ</v>
          </cell>
          <cell r="I6358" t="str">
            <v>40515</v>
          </cell>
        </row>
        <row r="6359">
          <cell r="G6359" t="str">
            <v xml:space="preserve">Xã Cẩm Phúc </v>
          </cell>
          <cell r="I6359" t="str">
            <v>40515</v>
          </cell>
        </row>
        <row r="6360">
          <cell r="G6360" t="str">
            <v xml:space="preserve">Xã Cẩm Lĩnh </v>
          </cell>
          <cell r="I6360" t="str">
            <v>40515</v>
          </cell>
        </row>
        <row r="6361">
          <cell r="G6361" t="str">
            <v>Xã Cẩm Hà</v>
          </cell>
          <cell r="I6361" t="str">
            <v>40515</v>
          </cell>
        </row>
        <row r="6362">
          <cell r="G6362" t="str">
            <v>Xã Cẩm Thịnh</v>
          </cell>
          <cell r="I6362" t="str">
            <v>40515</v>
          </cell>
        </row>
        <row r="6363">
          <cell r="G6363" t="str">
            <v>Xã Cẩm Mỹ</v>
          </cell>
          <cell r="I6363" t="str">
            <v>40515</v>
          </cell>
        </row>
        <row r="6364">
          <cell r="G6364" t="str">
            <v>Xã Cẩm Trung</v>
          </cell>
          <cell r="I6364" t="str">
            <v>40515</v>
          </cell>
        </row>
        <row r="6365">
          <cell r="G6365" t="str">
            <v>Xã Cẩm Lạc</v>
          </cell>
          <cell r="I6365" t="str">
            <v>40515</v>
          </cell>
        </row>
        <row r="6366">
          <cell r="G6366" t="str">
            <v>Xã Cẩm Minh</v>
          </cell>
          <cell r="I6366" t="str">
            <v>40515</v>
          </cell>
        </row>
        <row r="6367">
          <cell r="G6367" t="str">
            <v>Xã Hương Long</v>
          </cell>
          <cell r="I6367" t="str">
            <v>40517</v>
          </cell>
        </row>
        <row r="6368">
          <cell r="G6368" t="str">
            <v>Thị trấn Hương Khê</v>
          </cell>
          <cell r="I6368" t="str">
            <v>40517</v>
          </cell>
        </row>
        <row r="6369">
          <cell r="G6369" t="str">
            <v>Xã Phương Điền</v>
          </cell>
          <cell r="I6369" t="str">
            <v>40517</v>
          </cell>
        </row>
        <row r="6370">
          <cell r="G6370" t="str">
            <v>Xã Hương Bình</v>
          </cell>
          <cell r="I6370" t="str">
            <v>40517</v>
          </cell>
        </row>
        <row r="6371">
          <cell r="G6371" t="str">
            <v>Xã Phú Phong</v>
          </cell>
          <cell r="I6371" t="str">
            <v>40517</v>
          </cell>
        </row>
        <row r="6372">
          <cell r="G6372" t="str">
            <v>Xã Phúc Trạch</v>
          </cell>
          <cell r="I6372" t="str">
            <v>40517</v>
          </cell>
        </row>
        <row r="6373">
          <cell r="G6373" t="str">
            <v>Xã Hương Liên</v>
          </cell>
          <cell r="I6373" t="str">
            <v>40517</v>
          </cell>
        </row>
        <row r="6374">
          <cell r="G6374" t="str">
            <v>Xã Phương Mỹ</v>
          </cell>
          <cell r="I6374" t="str">
            <v>40517</v>
          </cell>
        </row>
        <row r="6375">
          <cell r="G6375" t="str">
            <v>Xã Hà Linh</v>
          </cell>
          <cell r="I6375" t="str">
            <v>40517</v>
          </cell>
        </row>
        <row r="6376">
          <cell r="G6376" t="str">
            <v>Xã Hương Thủy</v>
          </cell>
          <cell r="I6376" t="str">
            <v>40517</v>
          </cell>
        </row>
        <row r="6377">
          <cell r="G6377" t="str">
            <v>Xã Hòa Hải</v>
          </cell>
          <cell r="I6377" t="str">
            <v>40517</v>
          </cell>
        </row>
        <row r="6378">
          <cell r="G6378" t="str">
            <v>Xã Phúc Đồng</v>
          </cell>
          <cell r="I6378" t="str">
            <v>40517</v>
          </cell>
        </row>
        <row r="6379">
          <cell r="G6379" t="str">
            <v>Xã Hương Giang</v>
          </cell>
          <cell r="I6379" t="str">
            <v>40517</v>
          </cell>
        </row>
        <row r="6380">
          <cell r="G6380" t="str">
            <v xml:space="preserve">Xã Lộc Yên </v>
          </cell>
          <cell r="I6380" t="str">
            <v>40517</v>
          </cell>
        </row>
        <row r="6381">
          <cell r="G6381" t="str">
            <v>Xã Phú Gia</v>
          </cell>
          <cell r="I6381" t="str">
            <v>40517</v>
          </cell>
        </row>
        <row r="6382">
          <cell r="G6382" t="str">
            <v>Xã Gia Phố</v>
          </cell>
          <cell r="I6382" t="str">
            <v>40517</v>
          </cell>
        </row>
        <row r="6383">
          <cell r="G6383" t="str">
            <v>Xã Hương Đô</v>
          </cell>
          <cell r="I6383" t="str">
            <v>40517</v>
          </cell>
        </row>
        <row r="6384">
          <cell r="G6384" t="str">
            <v>Xã Hương Vĩnh</v>
          </cell>
          <cell r="I6384" t="str">
            <v>40517</v>
          </cell>
        </row>
        <row r="6385">
          <cell r="G6385" t="str">
            <v>Xã Hương Xuân</v>
          </cell>
          <cell r="I6385" t="str">
            <v>40517</v>
          </cell>
        </row>
        <row r="6386">
          <cell r="G6386" t="str">
            <v>Xã Hương Trà</v>
          </cell>
          <cell r="I6386" t="str">
            <v>40517</v>
          </cell>
        </row>
        <row r="6387">
          <cell r="G6387" t="str">
            <v>Xã Hương Trạch</v>
          </cell>
          <cell r="I6387" t="str">
            <v>40517</v>
          </cell>
        </row>
        <row r="6388">
          <cell r="G6388" t="str">
            <v xml:space="preserve">Xã Hương Lâm </v>
          </cell>
          <cell r="I6388" t="str">
            <v>40517</v>
          </cell>
        </row>
        <row r="6389">
          <cell r="G6389" t="str">
            <v>Xã Kỳ Phong</v>
          </cell>
          <cell r="I6389" t="str">
            <v>40519</v>
          </cell>
        </row>
        <row r="6390">
          <cell r="G6390" t="str">
            <v>Xã Kỳ Xuân</v>
          </cell>
          <cell r="I6390" t="str">
            <v>40519</v>
          </cell>
        </row>
        <row r="6391">
          <cell r="G6391" t="str">
            <v>Xã Kỳ Tiến</v>
          </cell>
          <cell r="I6391" t="str">
            <v>40519</v>
          </cell>
        </row>
        <row r="6392">
          <cell r="G6392" t="str">
            <v>Xã Kỳ Thọ</v>
          </cell>
          <cell r="I6392" t="str">
            <v>40519</v>
          </cell>
        </row>
        <row r="6393">
          <cell r="G6393" t="str">
            <v xml:space="preserve">Xã Kỳ Sơn   </v>
          </cell>
          <cell r="I6393" t="str">
            <v>40519</v>
          </cell>
        </row>
        <row r="6394">
          <cell r="G6394" t="str">
            <v xml:space="preserve">Xã Kỳ Thượng </v>
          </cell>
          <cell r="I6394" t="str">
            <v>40519</v>
          </cell>
        </row>
        <row r="6395">
          <cell r="G6395" t="str">
            <v>Xã Kỳ Hải</v>
          </cell>
          <cell r="I6395" t="str">
            <v>40519</v>
          </cell>
        </row>
        <row r="6396">
          <cell r="G6396" t="str">
            <v>Xã Kỳ Thư</v>
          </cell>
          <cell r="I6396" t="str">
            <v>40519</v>
          </cell>
        </row>
        <row r="6397">
          <cell r="G6397" t="str">
            <v>Xã Kỳ Châu</v>
          </cell>
          <cell r="I6397" t="str">
            <v>40519</v>
          </cell>
        </row>
        <row r="6398">
          <cell r="G6398" t="str">
            <v xml:space="preserve">Xã Kỳ Tân  </v>
          </cell>
          <cell r="I6398" t="str">
            <v>40519</v>
          </cell>
        </row>
        <row r="6399">
          <cell r="G6399" t="str">
            <v>Xã Kỳ Hợp</v>
          </cell>
          <cell r="I6399" t="str">
            <v>40519</v>
          </cell>
        </row>
        <row r="6400">
          <cell r="G6400" t="str">
            <v>Xã Kỳ Lâm</v>
          </cell>
          <cell r="I6400" t="str">
            <v>40519</v>
          </cell>
        </row>
        <row r="6401">
          <cell r="G6401" t="str">
            <v>Xã Kỳ Lạc</v>
          </cell>
          <cell r="I6401" t="str">
            <v>40519</v>
          </cell>
        </row>
        <row r="6402">
          <cell r="G6402" t="str">
            <v>Xã Kỳ Bắc</v>
          </cell>
          <cell r="I6402" t="str">
            <v>40519</v>
          </cell>
        </row>
        <row r="6403">
          <cell r="G6403" t="str">
            <v xml:space="preserve">Xã Kỳ Phú </v>
          </cell>
          <cell r="I6403" t="str">
            <v>40519</v>
          </cell>
        </row>
        <row r="6404">
          <cell r="G6404" t="str">
            <v>Xã Kỳ Giang</v>
          </cell>
          <cell r="I6404" t="str">
            <v>40519</v>
          </cell>
        </row>
        <row r="6405">
          <cell r="G6405" t="str">
            <v>Xã Kỳ Đồng</v>
          </cell>
          <cell r="I6405" t="str">
            <v>40519</v>
          </cell>
        </row>
        <row r="6406">
          <cell r="G6406" t="str">
            <v>Xã Kỳ Khang</v>
          </cell>
          <cell r="I6406" t="str">
            <v>40519</v>
          </cell>
        </row>
        <row r="6407">
          <cell r="G6407" t="str">
            <v>Xã Kỳ Văn</v>
          </cell>
          <cell r="I6407" t="str">
            <v>40519</v>
          </cell>
        </row>
        <row r="6408">
          <cell r="G6408" t="str">
            <v>Xã Kỳ Trung</v>
          </cell>
          <cell r="I6408" t="str">
            <v>40519</v>
          </cell>
        </row>
        <row r="6409">
          <cell r="G6409" t="str">
            <v>Xã Kỳ Tây</v>
          </cell>
          <cell r="I6409" t="str">
            <v>40519</v>
          </cell>
        </row>
        <row r="6410">
          <cell r="G6410" t="str">
            <v>Xã Kỳ Hà</v>
          </cell>
          <cell r="I6410" t="str">
            <v>40520</v>
          </cell>
        </row>
        <row r="6411">
          <cell r="G6411" t="str">
            <v>Xã Kỳ Ninh</v>
          </cell>
          <cell r="I6411" t="str">
            <v>40520</v>
          </cell>
        </row>
        <row r="6412">
          <cell r="G6412" t="str">
            <v>Xã Kỳ Lợi</v>
          </cell>
          <cell r="I6412" t="str">
            <v>40520</v>
          </cell>
        </row>
        <row r="6413">
          <cell r="G6413" t="str">
            <v>Phường Kỳ Thịnh</v>
          </cell>
          <cell r="I6413" t="str">
            <v>40520</v>
          </cell>
        </row>
        <row r="6414">
          <cell r="G6414" t="str">
            <v>Phường Kỳ Long</v>
          </cell>
          <cell r="I6414" t="str">
            <v>40520</v>
          </cell>
        </row>
        <row r="6415">
          <cell r="G6415" t="str">
            <v>Phường Kỳ Liên</v>
          </cell>
          <cell r="I6415" t="str">
            <v>40520</v>
          </cell>
        </row>
        <row r="6416">
          <cell r="G6416" t="str">
            <v>Phường Kỳ Phương</v>
          </cell>
          <cell r="I6416" t="str">
            <v>40520</v>
          </cell>
        </row>
        <row r="6417">
          <cell r="G6417" t="str">
            <v>Xã Kỳ Nam</v>
          </cell>
          <cell r="I6417" t="str">
            <v>40520</v>
          </cell>
        </row>
        <row r="6418">
          <cell r="G6418" t="str">
            <v>Xã Kỳ Hưng</v>
          </cell>
          <cell r="I6418" t="str">
            <v>40520</v>
          </cell>
        </row>
        <row r="6419">
          <cell r="G6419" t="str">
            <v>Xã Kỳ Hoa</v>
          </cell>
          <cell r="I6419" t="str">
            <v>40520</v>
          </cell>
        </row>
        <row r="6420">
          <cell r="G6420" t="str">
            <v>Phường Sông Trí</v>
          </cell>
          <cell r="I6420" t="str">
            <v>40520</v>
          </cell>
        </row>
        <row r="6421">
          <cell r="G6421" t="str">
            <v>Phường Kỳ Trinh</v>
          </cell>
          <cell r="I6421" t="str">
            <v>40520</v>
          </cell>
        </row>
        <row r="6422">
          <cell r="G6422" t="str">
            <v>Xã ân Phú</v>
          </cell>
          <cell r="I6422" t="str">
            <v>40521</v>
          </cell>
        </row>
        <row r="6423">
          <cell r="G6423" t="str">
            <v xml:space="preserve">Xã Đức Giang  </v>
          </cell>
          <cell r="I6423" t="str">
            <v>40521</v>
          </cell>
        </row>
        <row r="6424">
          <cell r="G6424" t="str">
            <v>Xã Đức Bồng</v>
          </cell>
          <cell r="I6424" t="str">
            <v>40521</v>
          </cell>
        </row>
        <row r="6425">
          <cell r="G6425" t="str">
            <v>Xã Hương Minh</v>
          </cell>
          <cell r="I6425" t="str">
            <v>40521</v>
          </cell>
        </row>
        <row r="6426">
          <cell r="G6426" t="str">
            <v>Thị trấn Vũ Quang</v>
          </cell>
          <cell r="I6426" t="str">
            <v>40521</v>
          </cell>
        </row>
        <row r="6427">
          <cell r="G6427" t="str">
            <v>Xã Đức Lĩnh</v>
          </cell>
          <cell r="I6427" t="str">
            <v>40521</v>
          </cell>
        </row>
        <row r="6428">
          <cell r="G6428" t="str">
            <v>Xã Sơn Thọ</v>
          </cell>
          <cell r="I6428" t="str">
            <v>40521</v>
          </cell>
        </row>
        <row r="6429">
          <cell r="G6429" t="str">
            <v>Xã Đức Hương</v>
          </cell>
          <cell r="I6429" t="str">
            <v>40521</v>
          </cell>
        </row>
        <row r="6430">
          <cell r="G6430" t="str">
            <v>Xã Đức Liên</v>
          </cell>
          <cell r="I6430" t="str">
            <v>40521</v>
          </cell>
        </row>
        <row r="6431">
          <cell r="G6431" t="str">
            <v>Xã Hương Điền</v>
          </cell>
          <cell r="I6431" t="str">
            <v>40521</v>
          </cell>
        </row>
        <row r="6432">
          <cell r="G6432" t="str">
            <v>Xã Hương Thọ</v>
          </cell>
          <cell r="I6432" t="str">
            <v>40521</v>
          </cell>
        </row>
        <row r="6433">
          <cell r="G6433" t="str">
            <v>Xã Hương Quang</v>
          </cell>
          <cell r="I6433" t="str">
            <v>40521</v>
          </cell>
        </row>
        <row r="6434">
          <cell r="G6434" t="str">
            <v>Xã Thạch Bằng</v>
          </cell>
          <cell r="I6434" t="str">
            <v>40523</v>
          </cell>
        </row>
        <row r="6435">
          <cell r="G6435" t="str">
            <v>Xã Thạch Châu</v>
          </cell>
          <cell r="I6435" t="str">
            <v>40523</v>
          </cell>
        </row>
        <row r="6436">
          <cell r="G6436" t="str">
            <v>Xã Thạch Kim</v>
          </cell>
          <cell r="I6436" t="str">
            <v>40523</v>
          </cell>
        </row>
        <row r="6437">
          <cell r="G6437" t="str">
            <v>Xã Thạch Mỹ</v>
          </cell>
          <cell r="I6437" t="str">
            <v>40523</v>
          </cell>
        </row>
        <row r="6438">
          <cell r="G6438" t="str">
            <v>Xã Mai Phụ</v>
          </cell>
          <cell r="I6438" t="str">
            <v>40523</v>
          </cell>
        </row>
        <row r="6439">
          <cell r="G6439" t="str">
            <v>Xã Hộ Độ</v>
          </cell>
          <cell r="I6439" t="str">
            <v>40523</v>
          </cell>
        </row>
        <row r="6440">
          <cell r="G6440" t="str">
            <v>Xã Bình Lộc</v>
          </cell>
          <cell r="I6440" t="str">
            <v>40523</v>
          </cell>
        </row>
        <row r="6441">
          <cell r="G6441" t="str">
            <v xml:space="preserve">Xã Thịnh Lộc </v>
          </cell>
          <cell r="I6441" t="str">
            <v>40523</v>
          </cell>
        </row>
        <row r="6442">
          <cell r="G6442" t="str">
            <v xml:space="preserve">Xã Phù Lưu  </v>
          </cell>
          <cell r="I6442" t="str">
            <v>40523</v>
          </cell>
        </row>
        <row r="6443">
          <cell r="G6443" t="str">
            <v>Xã ích Hậu</v>
          </cell>
          <cell r="I6443" t="str">
            <v>40523</v>
          </cell>
        </row>
        <row r="6444">
          <cell r="G6444" t="str">
            <v>Xã Hồng Lộc</v>
          </cell>
          <cell r="I6444" t="str">
            <v>40523</v>
          </cell>
        </row>
        <row r="6445">
          <cell r="G6445" t="str">
            <v>Xã Tân Lộc</v>
          </cell>
          <cell r="I6445" t="str">
            <v>40523</v>
          </cell>
        </row>
        <row r="6446">
          <cell r="G6446" t="str">
            <v>Xã An Lộc</v>
          </cell>
          <cell r="I6446" t="str">
            <v>40523</v>
          </cell>
        </row>
        <row r="6447">
          <cell r="G6447" t="str">
            <v>Xã Nghĩa Ninh</v>
          </cell>
          <cell r="I6447" t="str">
            <v>40701</v>
          </cell>
        </row>
        <row r="6448">
          <cell r="G6448" t="str">
            <v>Phường Bắc Lý</v>
          </cell>
          <cell r="I6448" t="str">
            <v>40701</v>
          </cell>
        </row>
        <row r="6449">
          <cell r="G6449" t="str">
            <v>Phường Phú Hải</v>
          </cell>
          <cell r="I6449" t="str">
            <v>40701</v>
          </cell>
        </row>
        <row r="6450">
          <cell r="G6450" t="str">
            <v>Xã Lộc Ninh</v>
          </cell>
          <cell r="I6450" t="str">
            <v>40701</v>
          </cell>
        </row>
        <row r="6451">
          <cell r="G6451" t="str">
            <v xml:space="preserve">Xã Đức Ninh </v>
          </cell>
          <cell r="I6451" t="str">
            <v>40701</v>
          </cell>
        </row>
        <row r="6452">
          <cell r="G6452" t="str">
            <v xml:space="preserve">Phường Hải Thành </v>
          </cell>
          <cell r="I6452" t="str">
            <v>40701</v>
          </cell>
        </row>
        <row r="6453">
          <cell r="G6453" t="str">
            <v>Phường Đồng Phú</v>
          </cell>
          <cell r="I6453" t="str">
            <v>40701</v>
          </cell>
        </row>
        <row r="6454">
          <cell r="G6454" t="str">
            <v>Phường Đồng Mỹ</v>
          </cell>
          <cell r="I6454" t="str">
            <v>40701</v>
          </cell>
        </row>
        <row r="6455">
          <cell r="G6455" t="str">
            <v>Phường Nam Lý</v>
          </cell>
          <cell r="I6455" t="str">
            <v>40701</v>
          </cell>
        </row>
        <row r="6456">
          <cell r="G6456" t="str">
            <v>Phường Hải Đình</v>
          </cell>
          <cell r="I6456" t="str">
            <v>40701</v>
          </cell>
        </row>
        <row r="6457">
          <cell r="G6457" t="str">
            <v>Phường Đồng Sơn</v>
          </cell>
          <cell r="I6457" t="str">
            <v>40701</v>
          </cell>
        </row>
        <row r="6458">
          <cell r="G6458" t="str">
            <v>Phường Bắc Nghĩa</v>
          </cell>
          <cell r="I6458" t="str">
            <v>40701</v>
          </cell>
        </row>
        <row r="6459">
          <cell r="G6459" t="str">
            <v>Phường Đức Ninh Đông</v>
          </cell>
          <cell r="I6459" t="str">
            <v>40701</v>
          </cell>
        </row>
        <row r="6460">
          <cell r="G6460" t="str">
            <v>Xã Quang Phú</v>
          </cell>
          <cell r="I6460" t="str">
            <v>40701</v>
          </cell>
        </row>
        <row r="6461">
          <cell r="G6461" t="str">
            <v>Xã Bảo Ninh</v>
          </cell>
          <cell r="I6461" t="str">
            <v>40701</v>
          </cell>
        </row>
        <row r="6462">
          <cell r="G6462" t="str">
            <v>Xã Thuận Đức</v>
          </cell>
          <cell r="I6462" t="str">
            <v>40701</v>
          </cell>
        </row>
        <row r="6463">
          <cell r="G6463" t="str">
            <v>Xã Thanh Thạch</v>
          </cell>
          <cell r="I6463" t="str">
            <v>40703</v>
          </cell>
        </row>
        <row r="6464">
          <cell r="G6464" t="str">
            <v>Xã Cao Quảng</v>
          </cell>
          <cell r="I6464" t="str">
            <v>40703</v>
          </cell>
        </row>
        <row r="6465">
          <cell r="G6465" t="str">
            <v>Xã Kim Hóa</v>
          </cell>
          <cell r="I6465" t="str">
            <v>40703</v>
          </cell>
        </row>
        <row r="6466">
          <cell r="G6466" t="str">
            <v>Xã Lâm Hóa</v>
          </cell>
          <cell r="I6466" t="str">
            <v>40703</v>
          </cell>
        </row>
        <row r="6467">
          <cell r="G6467" t="str">
            <v>Xã Ngư Hóa</v>
          </cell>
          <cell r="I6467" t="str">
            <v>40703</v>
          </cell>
        </row>
        <row r="6468">
          <cell r="G6468" t="str">
            <v>Xã Đức Hóa</v>
          </cell>
          <cell r="I6468" t="str">
            <v>40703</v>
          </cell>
        </row>
        <row r="6469">
          <cell r="G6469" t="str">
            <v>Xã Châu Hóa</v>
          </cell>
          <cell r="I6469" t="str">
            <v>40703</v>
          </cell>
        </row>
        <row r="6470">
          <cell r="G6470" t="str">
            <v>Thị trấn Đồng Lê</v>
          </cell>
          <cell r="I6470" t="str">
            <v>40703</v>
          </cell>
        </row>
        <row r="6471">
          <cell r="G6471" t="str">
            <v>Xã Hương Hóa</v>
          </cell>
          <cell r="I6471" t="str">
            <v>40703</v>
          </cell>
        </row>
        <row r="6472">
          <cell r="G6472" t="str">
            <v>Xã Thanh Hóa</v>
          </cell>
          <cell r="I6472" t="str">
            <v>40703</v>
          </cell>
        </row>
        <row r="6473">
          <cell r="G6473" t="str">
            <v>Xã Thuận Hóa</v>
          </cell>
          <cell r="I6473" t="str">
            <v>40703</v>
          </cell>
        </row>
        <row r="6474">
          <cell r="G6474" t="str">
            <v>Xã Lê Hóa</v>
          </cell>
          <cell r="I6474" t="str">
            <v>40703</v>
          </cell>
        </row>
        <row r="6475">
          <cell r="G6475" t="str">
            <v>Xã Sơn Hoá</v>
          </cell>
          <cell r="I6475" t="str">
            <v>40703</v>
          </cell>
        </row>
        <row r="6476">
          <cell r="G6476" t="str">
            <v xml:space="preserve">Xã Đồng Hóa </v>
          </cell>
          <cell r="I6476" t="str">
            <v>40703</v>
          </cell>
        </row>
        <row r="6477">
          <cell r="G6477" t="str">
            <v>Xã Nam Hoá</v>
          </cell>
          <cell r="I6477" t="str">
            <v>40703</v>
          </cell>
        </row>
        <row r="6478">
          <cell r="G6478" t="str">
            <v>Xã Thạch Hóa</v>
          </cell>
          <cell r="I6478" t="str">
            <v>40703</v>
          </cell>
        </row>
        <row r="6479">
          <cell r="G6479" t="str">
            <v>Xã Phong Hóa</v>
          </cell>
          <cell r="I6479" t="str">
            <v>40703</v>
          </cell>
        </row>
        <row r="6480">
          <cell r="G6480" t="str">
            <v>Xã Mai Hóa</v>
          </cell>
          <cell r="I6480" t="str">
            <v>40703</v>
          </cell>
        </row>
        <row r="6481">
          <cell r="G6481" t="str">
            <v>Xã Tiến Hóa</v>
          </cell>
          <cell r="I6481" t="str">
            <v>40703</v>
          </cell>
        </row>
        <row r="6482">
          <cell r="G6482" t="str">
            <v>Xã Văn Hóa</v>
          </cell>
          <cell r="I6482" t="str">
            <v>40703</v>
          </cell>
        </row>
        <row r="6483">
          <cell r="G6483" t="str">
            <v>Xã Yên Hóa</v>
          </cell>
          <cell r="I6483" t="str">
            <v>40705</v>
          </cell>
        </row>
        <row r="6484">
          <cell r="G6484" t="str">
            <v>Xã Hóa Phúc</v>
          </cell>
          <cell r="I6484" t="str">
            <v>40705</v>
          </cell>
        </row>
        <row r="6485">
          <cell r="G6485" t="str">
            <v>Xã Hóa Tiến</v>
          </cell>
          <cell r="I6485" t="str">
            <v>40705</v>
          </cell>
        </row>
        <row r="6486">
          <cell r="G6486" t="str">
            <v>Xã Minh Hóa</v>
          </cell>
          <cell r="I6486" t="str">
            <v>40705</v>
          </cell>
        </row>
        <row r="6487">
          <cell r="G6487" t="str">
            <v>Xã Trung Hóa</v>
          </cell>
          <cell r="I6487" t="str">
            <v>40705</v>
          </cell>
        </row>
        <row r="6488">
          <cell r="G6488" t="str">
            <v>Thị trấn Quy Đạt</v>
          </cell>
          <cell r="I6488" t="str">
            <v>40705</v>
          </cell>
        </row>
        <row r="6489">
          <cell r="G6489" t="str">
            <v>Xã Dân Hóa</v>
          </cell>
          <cell r="I6489" t="str">
            <v>40705</v>
          </cell>
        </row>
        <row r="6490">
          <cell r="G6490" t="str">
            <v>Xã Trọng Hoá</v>
          </cell>
          <cell r="I6490" t="str">
            <v>40705</v>
          </cell>
        </row>
        <row r="6491">
          <cell r="G6491" t="str">
            <v>Xã Hồng Hóa</v>
          </cell>
          <cell r="I6491" t="str">
            <v>40705</v>
          </cell>
        </row>
        <row r="6492">
          <cell r="G6492" t="str">
            <v>Xã Hóa Thanh</v>
          </cell>
          <cell r="I6492" t="str">
            <v>40705</v>
          </cell>
        </row>
        <row r="6493">
          <cell r="G6493" t="str">
            <v>Xã Hóa Hợp</v>
          </cell>
          <cell r="I6493" t="str">
            <v>40705</v>
          </cell>
        </row>
        <row r="6494">
          <cell r="G6494" t="str">
            <v>Xã Xuân Hóa</v>
          </cell>
          <cell r="I6494" t="str">
            <v>40705</v>
          </cell>
        </row>
        <row r="6495">
          <cell r="G6495" t="str">
            <v>Xã Tân Hóa</v>
          </cell>
          <cell r="I6495" t="str">
            <v>40705</v>
          </cell>
        </row>
        <row r="6496">
          <cell r="G6496" t="str">
            <v>Xã Hóa Sơn</v>
          </cell>
          <cell r="I6496" t="str">
            <v>40705</v>
          </cell>
        </row>
        <row r="6497">
          <cell r="G6497" t="str">
            <v>Xã Quy Hóa</v>
          </cell>
          <cell r="I6497" t="str">
            <v>40705</v>
          </cell>
        </row>
        <row r="6498">
          <cell r="G6498" t="str">
            <v>Xã Thượng Hóa</v>
          </cell>
          <cell r="I6498" t="str">
            <v>40705</v>
          </cell>
        </row>
        <row r="6499">
          <cell r="G6499" t="str">
            <v>Xã Quảng Tiến</v>
          </cell>
          <cell r="I6499" t="str">
            <v>40707</v>
          </cell>
        </row>
        <row r="6500">
          <cell r="G6500" t="str">
            <v xml:space="preserve">Xã Quảng Hợp </v>
          </cell>
          <cell r="I6500" t="str">
            <v>40707</v>
          </cell>
        </row>
        <row r="6501">
          <cell r="G6501" t="str">
            <v xml:space="preserve">Xã Quảng Châu   </v>
          </cell>
          <cell r="I6501" t="str">
            <v>40707</v>
          </cell>
        </row>
        <row r="6502">
          <cell r="G6502" t="str">
            <v>Xã Cảnh Dương</v>
          </cell>
          <cell r="I6502" t="str">
            <v>40707</v>
          </cell>
        </row>
        <row r="6503">
          <cell r="G6503" t="str">
            <v>Xã Cảnh Hóa</v>
          </cell>
          <cell r="I6503" t="str">
            <v>40707</v>
          </cell>
        </row>
        <row r="6504">
          <cell r="G6504" t="str">
            <v xml:space="preserve">Xã Quảng Thanh </v>
          </cell>
          <cell r="I6504" t="str">
            <v>40707</v>
          </cell>
        </row>
        <row r="6505">
          <cell r="G6505" t="str">
            <v>Xã Quảng Kim</v>
          </cell>
          <cell r="I6505" t="str">
            <v>40707</v>
          </cell>
        </row>
        <row r="6506">
          <cell r="G6506" t="str">
            <v xml:space="preserve">Xã Quảng Đông </v>
          </cell>
          <cell r="I6506" t="str">
            <v>40707</v>
          </cell>
        </row>
        <row r="6507">
          <cell r="G6507" t="str">
            <v xml:space="preserve">Xã Quảng Phú   </v>
          </cell>
          <cell r="I6507" t="str">
            <v>40707</v>
          </cell>
        </row>
        <row r="6508">
          <cell r="G6508" t="str">
            <v xml:space="preserve">Xã Quảng Thạch </v>
          </cell>
          <cell r="I6508" t="str">
            <v>40707</v>
          </cell>
        </row>
        <row r="6509">
          <cell r="G6509" t="str">
            <v xml:space="preserve">Xã Quảng Lưu </v>
          </cell>
          <cell r="I6509" t="str">
            <v>40707</v>
          </cell>
        </row>
        <row r="6510">
          <cell r="G6510" t="str">
            <v>Xã Quảng Tùng</v>
          </cell>
          <cell r="I6510" t="str">
            <v>40707</v>
          </cell>
        </row>
        <row r="6511">
          <cell r="G6511" t="str">
            <v xml:space="preserve">Xã Quảng Hưng </v>
          </cell>
          <cell r="I6511" t="str">
            <v>40707</v>
          </cell>
        </row>
        <row r="6512">
          <cell r="G6512" t="str">
            <v>Xã Quảng Xuân</v>
          </cell>
          <cell r="I6512" t="str">
            <v>40707</v>
          </cell>
        </row>
        <row r="6513">
          <cell r="G6513" t="str">
            <v>Xã Quảng Liên</v>
          </cell>
          <cell r="I6513" t="str">
            <v>40707</v>
          </cell>
        </row>
        <row r="6514">
          <cell r="G6514" t="str">
            <v xml:space="preserve">Xã Quảng Trường </v>
          </cell>
          <cell r="I6514" t="str">
            <v>40707</v>
          </cell>
        </row>
        <row r="6515">
          <cell r="G6515" t="str">
            <v>Xã Quảng Phương</v>
          </cell>
          <cell r="I6515" t="str">
            <v>40707</v>
          </cell>
        </row>
        <row r="6516">
          <cell r="G6516" t="str">
            <v>Xã Phù Hóa</v>
          </cell>
          <cell r="I6516" t="str">
            <v>40707</v>
          </cell>
        </row>
        <row r="6517">
          <cell r="G6517" t="str">
            <v>Xã Liên Trạch</v>
          </cell>
          <cell r="I6517" t="str">
            <v>40709</v>
          </cell>
        </row>
        <row r="6518">
          <cell r="G6518" t="str">
            <v>Xã Phú Định</v>
          </cell>
          <cell r="I6518" t="str">
            <v>40709</v>
          </cell>
        </row>
        <row r="6519">
          <cell r="G6519" t="str">
            <v>Xã Thượng Trạch</v>
          </cell>
          <cell r="I6519" t="str">
            <v>40709</v>
          </cell>
        </row>
        <row r="6520">
          <cell r="G6520" t="str">
            <v>Xã Đồng Trạch</v>
          </cell>
          <cell r="I6520" t="str">
            <v>40709</v>
          </cell>
        </row>
        <row r="6521">
          <cell r="G6521" t="str">
            <v>Xã Hoàn Trạch</v>
          </cell>
          <cell r="I6521" t="str">
            <v>40709</v>
          </cell>
        </row>
        <row r="6522">
          <cell r="G6522" t="str">
            <v>Xã Hoà Trạch</v>
          </cell>
          <cell r="I6522" t="str">
            <v>40709</v>
          </cell>
        </row>
        <row r="6523">
          <cell r="G6523" t="str">
            <v>Xã Nam Trạch</v>
          </cell>
          <cell r="I6523" t="str">
            <v>40709</v>
          </cell>
        </row>
        <row r="6524">
          <cell r="G6524" t="str">
            <v>Thị trấn NT Việt Trung</v>
          </cell>
          <cell r="I6524" t="str">
            <v>40709</v>
          </cell>
        </row>
        <row r="6525">
          <cell r="G6525" t="str">
            <v>Xã Xuân Trạch</v>
          </cell>
          <cell r="I6525" t="str">
            <v>40709</v>
          </cell>
        </row>
        <row r="6526">
          <cell r="G6526" t="str">
            <v>Xã Mỹ Trạch</v>
          </cell>
          <cell r="I6526" t="str">
            <v>40709</v>
          </cell>
        </row>
        <row r="6527">
          <cell r="G6527" t="str">
            <v>Xã Hạ Trạch</v>
          </cell>
          <cell r="I6527" t="str">
            <v>40709</v>
          </cell>
        </row>
        <row r="6528">
          <cell r="G6528" t="str">
            <v>Xã Bắc Trạch</v>
          </cell>
          <cell r="I6528" t="str">
            <v>40709</v>
          </cell>
        </row>
        <row r="6529">
          <cell r="G6529" t="str">
            <v>Xã Lâm Trạch</v>
          </cell>
          <cell r="I6529" t="str">
            <v>40709</v>
          </cell>
        </row>
        <row r="6530">
          <cell r="G6530" t="str">
            <v>Xã Thanh Trạch</v>
          </cell>
          <cell r="I6530" t="str">
            <v>40709</v>
          </cell>
        </row>
        <row r="6531">
          <cell r="G6531" t="str">
            <v xml:space="preserve">Xã Phúc Trạch </v>
          </cell>
          <cell r="I6531" t="str">
            <v>40709</v>
          </cell>
        </row>
        <row r="6532">
          <cell r="G6532" t="str">
            <v>Xã Cự Nẫm</v>
          </cell>
          <cell r="I6532" t="str">
            <v>40709</v>
          </cell>
        </row>
        <row r="6533">
          <cell r="G6533" t="str">
            <v>Xã Hải Trạch</v>
          </cell>
          <cell r="I6533" t="str">
            <v>40709</v>
          </cell>
        </row>
        <row r="6534">
          <cell r="G6534" t="str">
            <v xml:space="preserve">Xã Sơn Lộc </v>
          </cell>
          <cell r="I6534" t="str">
            <v>40709</v>
          </cell>
        </row>
        <row r="6535">
          <cell r="G6535" t="str">
            <v>Xã Phú Trạch</v>
          </cell>
          <cell r="I6535" t="str">
            <v>40709</v>
          </cell>
        </row>
        <row r="6536">
          <cell r="G6536" t="str">
            <v>Xã Hưng Trạch</v>
          </cell>
          <cell r="I6536" t="str">
            <v>40709</v>
          </cell>
        </row>
        <row r="6537">
          <cell r="G6537" t="str">
            <v>Xã Đức Trạch</v>
          </cell>
          <cell r="I6537" t="str">
            <v>40709</v>
          </cell>
        </row>
        <row r="6538">
          <cell r="G6538" t="str">
            <v>Xã Sơn Trạch</v>
          </cell>
          <cell r="I6538" t="str">
            <v>40709</v>
          </cell>
        </row>
        <row r="6539">
          <cell r="G6539" t="str">
            <v>Xã Vạn Trạch</v>
          </cell>
          <cell r="I6539" t="str">
            <v>40709</v>
          </cell>
        </row>
        <row r="6540">
          <cell r="G6540" t="str">
            <v>Xã Trung Trạch</v>
          </cell>
          <cell r="I6540" t="str">
            <v>40709</v>
          </cell>
        </row>
        <row r="6541">
          <cell r="G6541" t="str">
            <v>Xã Tây Trạch</v>
          </cell>
          <cell r="I6541" t="str">
            <v>40709</v>
          </cell>
        </row>
        <row r="6542">
          <cell r="G6542" t="str">
            <v>Xã Đại Trạch</v>
          </cell>
          <cell r="I6542" t="str">
            <v>40709</v>
          </cell>
        </row>
        <row r="6543">
          <cell r="G6543" t="str">
            <v>Xã Nhân Trạch</v>
          </cell>
          <cell r="I6543" t="str">
            <v>40709</v>
          </cell>
        </row>
        <row r="6544">
          <cell r="G6544" t="str">
            <v>Xã Tân Trạch</v>
          </cell>
          <cell r="I6544" t="str">
            <v>40709</v>
          </cell>
        </row>
        <row r="6545">
          <cell r="G6545" t="str">
            <v>Xã Lý Trạch</v>
          </cell>
          <cell r="I6545" t="str">
            <v>40709</v>
          </cell>
        </row>
        <row r="6546">
          <cell r="G6546" t="str">
            <v>Thị trấn Hoàn Lão</v>
          </cell>
          <cell r="I6546" t="str">
            <v>40709</v>
          </cell>
        </row>
        <row r="6547">
          <cell r="G6547" t="str">
            <v xml:space="preserve">Xã Vĩnh Ninh  </v>
          </cell>
          <cell r="I6547" t="str">
            <v>40711</v>
          </cell>
        </row>
        <row r="6548">
          <cell r="G6548" t="str">
            <v xml:space="preserve">Xã An Ninh   </v>
          </cell>
          <cell r="I6548" t="str">
            <v>40711</v>
          </cell>
        </row>
        <row r="6549">
          <cell r="G6549" t="str">
            <v>Xã Lương Ninh</v>
          </cell>
          <cell r="I6549" t="str">
            <v>40711</v>
          </cell>
        </row>
        <row r="6550">
          <cell r="G6550" t="str">
            <v>Xã Hàm Ninh</v>
          </cell>
          <cell r="I6550" t="str">
            <v>40711</v>
          </cell>
        </row>
        <row r="6551">
          <cell r="G6551" t="str">
            <v xml:space="preserve">Xã Tân Ninh </v>
          </cell>
          <cell r="I6551" t="str">
            <v>40711</v>
          </cell>
        </row>
        <row r="6552">
          <cell r="G6552" t="str">
            <v>Thị trấn Quán Hàu</v>
          </cell>
          <cell r="I6552" t="str">
            <v>40711</v>
          </cell>
        </row>
        <row r="6553">
          <cell r="G6553" t="str">
            <v xml:space="preserve">Xã Trường Sơn    </v>
          </cell>
          <cell r="I6553" t="str">
            <v>40711</v>
          </cell>
        </row>
        <row r="6554">
          <cell r="G6554" t="str">
            <v>Xã Võ Ninh</v>
          </cell>
          <cell r="I6554" t="str">
            <v>40711</v>
          </cell>
        </row>
        <row r="6555">
          <cell r="G6555" t="str">
            <v xml:space="preserve">Xã Hải Ninh  </v>
          </cell>
          <cell r="I6555" t="str">
            <v>40711</v>
          </cell>
        </row>
        <row r="6556">
          <cell r="G6556" t="str">
            <v>Xã Duy Ninh</v>
          </cell>
          <cell r="I6556" t="str">
            <v>40711</v>
          </cell>
        </row>
        <row r="6557">
          <cell r="G6557" t="str">
            <v>Xã Gia Ninh</v>
          </cell>
          <cell r="I6557" t="str">
            <v>40711</v>
          </cell>
        </row>
        <row r="6558">
          <cell r="G6558" t="str">
            <v>Xã Trường Xuân</v>
          </cell>
          <cell r="I6558" t="str">
            <v>40711</v>
          </cell>
        </row>
        <row r="6559">
          <cell r="G6559" t="str">
            <v xml:space="preserve">Xã Hiền Ninh </v>
          </cell>
          <cell r="I6559" t="str">
            <v>40711</v>
          </cell>
        </row>
        <row r="6560">
          <cell r="G6560" t="str">
            <v xml:space="preserve">Xã Xuân Ninh </v>
          </cell>
          <cell r="I6560" t="str">
            <v>40711</v>
          </cell>
        </row>
        <row r="6561">
          <cell r="G6561" t="str">
            <v xml:space="preserve">Xã Vạn Ninh  </v>
          </cell>
          <cell r="I6561" t="str">
            <v>40711</v>
          </cell>
        </row>
        <row r="6562">
          <cell r="G6562" t="str">
            <v>Xã Ngân Thủy</v>
          </cell>
          <cell r="I6562" t="str">
            <v>40713</v>
          </cell>
        </row>
        <row r="6563">
          <cell r="G6563" t="str">
            <v>Xã Ngư Thủy Nam</v>
          </cell>
          <cell r="I6563" t="str">
            <v>40713</v>
          </cell>
        </row>
        <row r="6564">
          <cell r="G6564" t="str">
            <v>Thị trấn NT Lệ Ninh</v>
          </cell>
          <cell r="I6564" t="str">
            <v>40713</v>
          </cell>
        </row>
        <row r="6565">
          <cell r="G6565" t="str">
            <v>Xã An Thủy</v>
          </cell>
          <cell r="I6565" t="str">
            <v>40713</v>
          </cell>
        </row>
        <row r="6566">
          <cell r="G6566" t="str">
            <v xml:space="preserve">Xã Sơn Thủy    </v>
          </cell>
          <cell r="I6566" t="str">
            <v>40713</v>
          </cell>
        </row>
        <row r="6567">
          <cell r="G6567" t="str">
            <v>Xã Dương Thủy</v>
          </cell>
          <cell r="I6567" t="str">
            <v>40713</v>
          </cell>
        </row>
        <row r="6568">
          <cell r="G6568" t="str">
            <v>Xã Mỹ Thủy</v>
          </cell>
          <cell r="I6568" t="str">
            <v>40713</v>
          </cell>
        </row>
        <row r="6569">
          <cell r="G6569" t="str">
            <v>Xã Sen Thủy</v>
          </cell>
          <cell r="I6569" t="str">
            <v>40713</v>
          </cell>
        </row>
        <row r="6570">
          <cell r="G6570" t="str">
            <v>Xã Văn Thủy</v>
          </cell>
          <cell r="I6570" t="str">
            <v>40713</v>
          </cell>
        </row>
        <row r="6571">
          <cell r="G6571" t="str">
            <v>Thị trấn Kiến Giang</v>
          </cell>
          <cell r="I6571" t="str">
            <v>40713</v>
          </cell>
        </row>
        <row r="6572">
          <cell r="G6572" t="str">
            <v>Xã Hồng Thủy</v>
          </cell>
          <cell r="I6572" t="str">
            <v>40713</v>
          </cell>
        </row>
        <row r="6573">
          <cell r="G6573" t="str">
            <v>Xã Ngư Thuỷ Bắc</v>
          </cell>
          <cell r="I6573" t="str">
            <v>40713</v>
          </cell>
        </row>
        <row r="6574">
          <cell r="G6574" t="str">
            <v>Xã Hoa Thủy</v>
          </cell>
          <cell r="I6574" t="str">
            <v>40713</v>
          </cell>
        </row>
        <row r="6575">
          <cell r="G6575" t="str">
            <v xml:space="preserve">Xã Thanh Thủy     </v>
          </cell>
          <cell r="I6575" t="str">
            <v>40713</v>
          </cell>
        </row>
        <row r="6576">
          <cell r="G6576" t="str">
            <v>Xã Phong Thủy</v>
          </cell>
          <cell r="I6576" t="str">
            <v>40713</v>
          </cell>
        </row>
        <row r="6577">
          <cell r="G6577" t="str">
            <v>Xã Cam Thủy</v>
          </cell>
          <cell r="I6577" t="str">
            <v>40713</v>
          </cell>
        </row>
        <row r="6578">
          <cell r="G6578" t="str">
            <v>Xã Lộc Thủy</v>
          </cell>
          <cell r="I6578" t="str">
            <v>40713</v>
          </cell>
        </row>
        <row r="6579">
          <cell r="G6579" t="str">
            <v>Xã Ngư Thuỷ Trung</v>
          </cell>
          <cell r="I6579" t="str">
            <v>40713</v>
          </cell>
        </row>
        <row r="6580">
          <cell r="G6580" t="str">
            <v>Xã Liên Thủy</v>
          </cell>
          <cell r="I6580" t="str">
            <v>40713</v>
          </cell>
        </row>
        <row r="6581">
          <cell r="G6581" t="str">
            <v>Xã Hưng Thủy</v>
          </cell>
          <cell r="I6581" t="str">
            <v>40713</v>
          </cell>
        </row>
        <row r="6582">
          <cell r="G6582" t="str">
            <v>Xã Tân Thủy</v>
          </cell>
          <cell r="I6582" t="str">
            <v>40713</v>
          </cell>
        </row>
        <row r="6583">
          <cell r="G6583" t="str">
            <v>Xã Phú Thủy</v>
          </cell>
          <cell r="I6583" t="str">
            <v>40713</v>
          </cell>
        </row>
        <row r="6584">
          <cell r="G6584" t="str">
            <v xml:space="preserve">Xã Xuân Thủy  </v>
          </cell>
          <cell r="I6584" t="str">
            <v>40713</v>
          </cell>
        </row>
        <row r="6585">
          <cell r="G6585" t="str">
            <v>Xã Mai Thủy</v>
          </cell>
          <cell r="I6585" t="str">
            <v>40713</v>
          </cell>
        </row>
        <row r="6586">
          <cell r="G6586" t="str">
            <v>Xã Thái Thủy</v>
          </cell>
          <cell r="I6586" t="str">
            <v>40713</v>
          </cell>
        </row>
        <row r="6587">
          <cell r="G6587" t="str">
            <v>Xã Kim Thủy</v>
          </cell>
          <cell r="I6587" t="str">
            <v>40713</v>
          </cell>
        </row>
        <row r="6588">
          <cell r="G6588" t="str">
            <v>Xã Trường Thủy</v>
          </cell>
          <cell r="I6588" t="str">
            <v>40713</v>
          </cell>
        </row>
        <row r="6589">
          <cell r="G6589" t="str">
            <v>Xã Lâm Thuỷ</v>
          </cell>
          <cell r="I6589" t="str">
            <v>40713</v>
          </cell>
        </row>
        <row r="6590">
          <cell r="G6590" t="str">
            <v>Phường Ba Đồn</v>
          </cell>
          <cell r="I6590" t="str">
            <v>40715</v>
          </cell>
        </row>
        <row r="6591">
          <cell r="G6591" t="str">
            <v>Phường Quảng Long</v>
          </cell>
          <cell r="I6591" t="str">
            <v>40715</v>
          </cell>
        </row>
        <row r="6592">
          <cell r="G6592" t="str">
            <v>Phường Quảng Thọ</v>
          </cell>
          <cell r="I6592" t="str">
            <v>40715</v>
          </cell>
        </row>
        <row r="6593">
          <cell r="G6593" t="str">
            <v>Phường Quảng Thuận</v>
          </cell>
          <cell r="I6593" t="str">
            <v>40715</v>
          </cell>
        </row>
        <row r="6594">
          <cell r="G6594" t="str">
            <v>Phường Quảng Phúc</v>
          </cell>
          <cell r="I6594" t="str">
            <v>40715</v>
          </cell>
        </row>
        <row r="6595">
          <cell r="G6595" t="str">
            <v>Phường Quảng Phong</v>
          </cell>
          <cell r="I6595" t="str">
            <v>40715</v>
          </cell>
        </row>
        <row r="6596">
          <cell r="G6596" t="str">
            <v xml:space="preserve">Xã Quảng Sơn </v>
          </cell>
          <cell r="I6596" t="str">
            <v>40715</v>
          </cell>
        </row>
        <row r="6597">
          <cell r="G6597" t="str">
            <v>Xã Quảng Tiên</v>
          </cell>
          <cell r="I6597" t="str">
            <v>40715</v>
          </cell>
        </row>
        <row r="6598">
          <cell r="G6598" t="str">
            <v xml:space="preserve">Xã Quảng Trung  </v>
          </cell>
          <cell r="I6598" t="str">
            <v>40715</v>
          </cell>
        </row>
        <row r="6599">
          <cell r="G6599" t="str">
            <v xml:space="preserve">Xã Quảng Tân  </v>
          </cell>
          <cell r="I6599" t="str">
            <v>40715</v>
          </cell>
        </row>
        <row r="6600">
          <cell r="G6600" t="str">
            <v>Xã Quảng Thủy</v>
          </cell>
          <cell r="I6600" t="str">
            <v>40715</v>
          </cell>
        </row>
        <row r="6601">
          <cell r="G6601" t="str">
            <v xml:space="preserve">Xã Quảng Minh    </v>
          </cell>
          <cell r="I6601" t="str">
            <v>40715</v>
          </cell>
        </row>
        <row r="6602">
          <cell r="G6602" t="str">
            <v xml:space="preserve">Xã Quảng Lộc </v>
          </cell>
          <cell r="I6602" t="str">
            <v>40715</v>
          </cell>
        </row>
        <row r="6603">
          <cell r="G6603" t="str">
            <v xml:space="preserve">Xã Quảng Hải </v>
          </cell>
          <cell r="I6603" t="str">
            <v>40715</v>
          </cell>
        </row>
        <row r="6604">
          <cell r="G6604" t="str">
            <v xml:space="preserve">Xã Quảng Hòa </v>
          </cell>
          <cell r="I6604" t="str">
            <v>40715</v>
          </cell>
        </row>
        <row r="6605">
          <cell r="G6605" t="str">
            <v xml:space="preserve">Xã Quảng Văn </v>
          </cell>
          <cell r="I6605" t="str">
            <v>40715</v>
          </cell>
        </row>
        <row r="6606">
          <cell r="G6606" t="str">
            <v>Phường Đông Lễ</v>
          </cell>
          <cell r="I6606" t="str">
            <v>40901</v>
          </cell>
        </row>
        <row r="6607">
          <cell r="G6607" t="str">
            <v>Phường 5</v>
          </cell>
          <cell r="I6607" t="str">
            <v>40901</v>
          </cell>
        </row>
        <row r="6608">
          <cell r="G6608" t="str">
            <v>Phường Đông Giang</v>
          </cell>
          <cell r="I6608" t="str">
            <v>40901</v>
          </cell>
        </row>
        <row r="6609">
          <cell r="G6609" t="str">
            <v>Phường 1</v>
          </cell>
          <cell r="I6609" t="str">
            <v>40901</v>
          </cell>
        </row>
        <row r="6610">
          <cell r="G6610" t="str">
            <v>Phường Đông Thanh</v>
          </cell>
          <cell r="I6610" t="str">
            <v>40901</v>
          </cell>
        </row>
        <row r="6611">
          <cell r="G6611" t="str">
            <v>Phường 2</v>
          </cell>
          <cell r="I6611" t="str">
            <v>40901</v>
          </cell>
        </row>
        <row r="6612">
          <cell r="G6612" t="str">
            <v>Phường 4</v>
          </cell>
          <cell r="I6612" t="str">
            <v>40901</v>
          </cell>
        </row>
        <row r="6613">
          <cell r="G6613" t="str">
            <v>Phường Đông Lương</v>
          </cell>
          <cell r="I6613" t="str">
            <v>40901</v>
          </cell>
        </row>
        <row r="6614">
          <cell r="G6614" t="str">
            <v>Phường 3</v>
          </cell>
          <cell r="I6614" t="str">
            <v>40901</v>
          </cell>
        </row>
        <row r="6615">
          <cell r="G6615" t="str">
            <v xml:space="preserve">Phường 1 </v>
          </cell>
          <cell r="I6615" t="str">
            <v>40903</v>
          </cell>
        </row>
        <row r="6616">
          <cell r="G6616" t="str">
            <v xml:space="preserve">Phường 2 </v>
          </cell>
          <cell r="I6616" t="str">
            <v>40903</v>
          </cell>
        </row>
        <row r="6617">
          <cell r="G6617" t="str">
            <v xml:space="preserve">Phường 3 </v>
          </cell>
          <cell r="I6617" t="str">
            <v>40903</v>
          </cell>
        </row>
        <row r="6618">
          <cell r="G6618" t="str">
            <v>Phường An Đôn</v>
          </cell>
          <cell r="I6618" t="str">
            <v>40903</v>
          </cell>
        </row>
        <row r="6619">
          <cell r="G6619" t="str">
            <v>Xã Hải Lệ</v>
          </cell>
          <cell r="I6619" t="str">
            <v>40903</v>
          </cell>
        </row>
        <row r="6620">
          <cell r="G6620" t="str">
            <v>Xã Vĩnh Nam</v>
          </cell>
          <cell r="I6620" t="str">
            <v>40905</v>
          </cell>
        </row>
        <row r="6621">
          <cell r="G6621" t="str">
            <v>Xã Vĩnh Thái</v>
          </cell>
          <cell r="I6621" t="str">
            <v>40905</v>
          </cell>
        </row>
        <row r="6622">
          <cell r="G6622" t="str">
            <v>Xã Vĩnh Kim</v>
          </cell>
          <cell r="I6622" t="str">
            <v>40905</v>
          </cell>
        </row>
        <row r="6623">
          <cell r="G6623" t="str">
            <v>Xã Vĩnh Khê</v>
          </cell>
          <cell r="I6623" t="str">
            <v>40905</v>
          </cell>
        </row>
        <row r="6624">
          <cell r="G6624" t="str">
            <v>Xã Vĩnh Lâm</v>
          </cell>
          <cell r="I6624" t="str">
            <v>40905</v>
          </cell>
        </row>
        <row r="6625">
          <cell r="G6625" t="str">
            <v>Xã Vĩnh Hà</v>
          </cell>
          <cell r="I6625" t="str">
            <v>40905</v>
          </cell>
        </row>
        <row r="6626">
          <cell r="G6626" t="str">
            <v xml:space="preserve">Xã Vĩnh Sơn  </v>
          </cell>
          <cell r="I6626" t="str">
            <v>40905</v>
          </cell>
        </row>
        <row r="6627">
          <cell r="G6627" t="str">
            <v>Xã Vĩnh Giang</v>
          </cell>
          <cell r="I6627" t="str">
            <v>40905</v>
          </cell>
        </row>
        <row r="6628">
          <cell r="G6628" t="str">
            <v>Xã Vĩnh ô</v>
          </cell>
          <cell r="I6628" t="str">
            <v>40905</v>
          </cell>
        </row>
        <row r="6629">
          <cell r="G6629" t="str">
            <v>Thị trấn Cửa Tùng</v>
          </cell>
          <cell r="I6629" t="str">
            <v>40905</v>
          </cell>
        </row>
        <row r="6630">
          <cell r="G6630" t="str">
            <v>Thị trấn Hồ Xá</v>
          </cell>
          <cell r="I6630" t="str">
            <v>40905</v>
          </cell>
        </row>
        <row r="6631">
          <cell r="G6631" t="str">
            <v>Thị trấn Bến Quan</v>
          </cell>
          <cell r="I6631" t="str">
            <v>40905</v>
          </cell>
        </row>
        <row r="6632">
          <cell r="G6632" t="str">
            <v>Xã Vĩnh Tú</v>
          </cell>
          <cell r="I6632" t="str">
            <v>40905</v>
          </cell>
        </row>
        <row r="6633">
          <cell r="G6633" t="str">
            <v>Xã Vĩnh Chấp</v>
          </cell>
          <cell r="I6633" t="str">
            <v>40905</v>
          </cell>
        </row>
        <row r="6634">
          <cell r="G6634" t="str">
            <v xml:space="preserve">Xã Vĩnh Trung </v>
          </cell>
          <cell r="I6634" t="str">
            <v>40905</v>
          </cell>
        </row>
        <row r="6635">
          <cell r="G6635" t="str">
            <v>Xã Vĩnh Thạch</v>
          </cell>
          <cell r="I6635" t="str">
            <v>40905</v>
          </cell>
        </row>
        <row r="6636">
          <cell r="G6636" t="str">
            <v xml:space="preserve">Xã Vĩnh Long  </v>
          </cell>
          <cell r="I6636" t="str">
            <v>40905</v>
          </cell>
        </row>
        <row r="6637">
          <cell r="G6637" t="str">
            <v xml:space="preserve">Xã Vĩnh Hòa  </v>
          </cell>
          <cell r="I6637" t="str">
            <v>40905</v>
          </cell>
        </row>
        <row r="6638">
          <cell r="G6638" t="str">
            <v>Xã Vĩnh Hiền</v>
          </cell>
          <cell r="I6638" t="str">
            <v>40905</v>
          </cell>
        </row>
        <row r="6639">
          <cell r="G6639" t="str">
            <v>Xã Vĩnh Thủy</v>
          </cell>
          <cell r="I6639" t="str">
            <v>40905</v>
          </cell>
        </row>
        <row r="6640">
          <cell r="G6640" t="str">
            <v xml:space="preserve">Xã Vĩnh Thành  </v>
          </cell>
          <cell r="I6640" t="str">
            <v>40905</v>
          </cell>
        </row>
        <row r="6641">
          <cell r="G6641" t="str">
            <v xml:space="preserve">Xã Vĩnh Tân </v>
          </cell>
          <cell r="I6641" t="str">
            <v>40905</v>
          </cell>
        </row>
        <row r="6642">
          <cell r="G6642" t="str">
            <v>Xã Trung Giang</v>
          </cell>
          <cell r="I6642" t="str">
            <v>40907</v>
          </cell>
        </row>
        <row r="6643">
          <cell r="G6643" t="str">
            <v>Xã Linh Thượng</v>
          </cell>
          <cell r="I6643" t="str">
            <v>40907</v>
          </cell>
        </row>
        <row r="6644">
          <cell r="G6644" t="str">
            <v>Xã Trung Hải</v>
          </cell>
          <cell r="I6644" t="str">
            <v>40907</v>
          </cell>
        </row>
        <row r="6645">
          <cell r="G6645" t="str">
            <v>Xã Vĩnh Trường</v>
          </cell>
          <cell r="I6645" t="str">
            <v>40907</v>
          </cell>
        </row>
        <row r="6646">
          <cell r="G6646" t="str">
            <v>Xã Gio Châu</v>
          </cell>
          <cell r="I6646" t="str">
            <v>40907</v>
          </cell>
        </row>
        <row r="6647">
          <cell r="G6647" t="str">
            <v>Xã Gio Sơn</v>
          </cell>
          <cell r="I6647" t="str">
            <v>40907</v>
          </cell>
        </row>
        <row r="6648">
          <cell r="G6648" t="str">
            <v>Xã Linh Hải</v>
          </cell>
          <cell r="I6648" t="str">
            <v>40907</v>
          </cell>
        </row>
        <row r="6649">
          <cell r="G6649" t="str">
            <v>Thị trấn Gio Linh</v>
          </cell>
          <cell r="I6649" t="str">
            <v>40907</v>
          </cell>
        </row>
        <row r="6650">
          <cell r="G6650" t="str">
            <v>Thị trấn Cửa Việt</v>
          </cell>
          <cell r="I6650" t="str">
            <v>40907</v>
          </cell>
        </row>
        <row r="6651">
          <cell r="G6651" t="str">
            <v xml:space="preserve">Xã Trung Sơn      </v>
          </cell>
          <cell r="I6651" t="str">
            <v>40907</v>
          </cell>
        </row>
        <row r="6652">
          <cell r="G6652" t="str">
            <v>Xã Gio Phong</v>
          </cell>
          <cell r="I6652" t="str">
            <v>40907</v>
          </cell>
        </row>
        <row r="6653">
          <cell r="G6653" t="str">
            <v>Xã Gio Mỹ</v>
          </cell>
          <cell r="I6653" t="str">
            <v>40907</v>
          </cell>
        </row>
        <row r="6654">
          <cell r="G6654" t="str">
            <v>Xã Gio Bình</v>
          </cell>
          <cell r="I6654" t="str">
            <v>40907</v>
          </cell>
        </row>
        <row r="6655">
          <cell r="G6655" t="str">
            <v>Xã Gio Hải</v>
          </cell>
          <cell r="I6655" t="str">
            <v>40907</v>
          </cell>
        </row>
        <row r="6656">
          <cell r="G6656" t="str">
            <v>Xã Gio An</v>
          </cell>
          <cell r="I6656" t="str">
            <v>40907</v>
          </cell>
        </row>
        <row r="6657">
          <cell r="G6657" t="str">
            <v>Xã Gio Thành</v>
          </cell>
          <cell r="I6657" t="str">
            <v>40907</v>
          </cell>
        </row>
        <row r="6658">
          <cell r="G6658" t="str">
            <v>Xã Gio Việt</v>
          </cell>
          <cell r="I6658" t="str">
            <v>40907</v>
          </cell>
        </row>
        <row r="6659">
          <cell r="G6659" t="str">
            <v>Xã Gio Hòa</v>
          </cell>
          <cell r="I6659" t="str">
            <v>40907</v>
          </cell>
        </row>
        <row r="6660">
          <cell r="G6660" t="str">
            <v>Xã Gio Mai</v>
          </cell>
          <cell r="I6660" t="str">
            <v>40907</v>
          </cell>
        </row>
        <row r="6661">
          <cell r="G6661" t="str">
            <v>Xã Hải Thái</v>
          </cell>
          <cell r="I6661" t="str">
            <v>40907</v>
          </cell>
        </row>
        <row r="6662">
          <cell r="G6662" t="str">
            <v>Xã Gio Quang</v>
          </cell>
          <cell r="I6662" t="str">
            <v>40907</v>
          </cell>
        </row>
        <row r="6663">
          <cell r="G6663" t="str">
            <v>Xã Cam Thanh</v>
          </cell>
          <cell r="I6663" t="str">
            <v>40909</v>
          </cell>
        </row>
        <row r="6664">
          <cell r="G6664" t="str">
            <v xml:space="preserve">Xã Cam Thủy </v>
          </cell>
          <cell r="I6664" t="str">
            <v>40909</v>
          </cell>
        </row>
        <row r="6665">
          <cell r="G6665" t="str">
            <v>Xã Cam Chính</v>
          </cell>
          <cell r="I6665" t="str">
            <v>40909</v>
          </cell>
        </row>
        <row r="6666">
          <cell r="G6666" t="str">
            <v>Thị trấn Cam Lộ</v>
          </cell>
          <cell r="I6666" t="str">
            <v>40909</v>
          </cell>
        </row>
        <row r="6667">
          <cell r="G6667" t="str">
            <v>Xã Cam Tuyền</v>
          </cell>
          <cell r="I6667" t="str">
            <v>40909</v>
          </cell>
        </row>
        <row r="6668">
          <cell r="G6668" t="str">
            <v>Xã Cam An</v>
          </cell>
          <cell r="I6668" t="str">
            <v>40909</v>
          </cell>
        </row>
        <row r="6669">
          <cell r="G6669" t="str">
            <v>Xã Cam Thành</v>
          </cell>
          <cell r="I6669" t="str">
            <v>40909</v>
          </cell>
        </row>
        <row r="6670">
          <cell r="G6670" t="str">
            <v>Xã Cam Hiếu</v>
          </cell>
          <cell r="I6670" t="str">
            <v>40909</v>
          </cell>
        </row>
        <row r="6671">
          <cell r="G6671" t="str">
            <v>Xã Cam Nghĩa</v>
          </cell>
          <cell r="I6671" t="str">
            <v>40909</v>
          </cell>
        </row>
        <row r="6672">
          <cell r="G6672" t="str">
            <v>Xã Triệu Đại</v>
          </cell>
          <cell r="I6672" t="str">
            <v>40911</v>
          </cell>
        </row>
        <row r="6673">
          <cell r="G6673" t="str">
            <v>Xã Triệu Vân</v>
          </cell>
          <cell r="I6673" t="str">
            <v>40911</v>
          </cell>
        </row>
        <row r="6674">
          <cell r="G6674" t="str">
            <v>Xã Triệu Thuận</v>
          </cell>
          <cell r="I6674" t="str">
            <v>40911</v>
          </cell>
        </row>
        <row r="6675">
          <cell r="G6675" t="str">
            <v>Xã Triệu Sơn</v>
          </cell>
          <cell r="I6675" t="str">
            <v>40911</v>
          </cell>
        </row>
        <row r="6676">
          <cell r="G6676" t="str">
            <v>Xã Triệu Trung</v>
          </cell>
          <cell r="I6676" t="str">
            <v>40911</v>
          </cell>
        </row>
        <row r="6677">
          <cell r="G6677" t="str">
            <v xml:space="preserve">Xã Triệu Thành </v>
          </cell>
          <cell r="I6677" t="str">
            <v>40911</v>
          </cell>
        </row>
        <row r="6678">
          <cell r="G6678" t="str">
            <v>Thị trấn ái Tử</v>
          </cell>
          <cell r="I6678" t="str">
            <v>40911</v>
          </cell>
        </row>
        <row r="6679">
          <cell r="G6679" t="str">
            <v>Xã Triệu An</v>
          </cell>
          <cell r="I6679" t="str">
            <v>40911</v>
          </cell>
        </row>
        <row r="6680">
          <cell r="G6680" t="str">
            <v>Xã Triệu Phước</v>
          </cell>
          <cell r="I6680" t="str">
            <v>40911</v>
          </cell>
        </row>
        <row r="6681">
          <cell r="G6681" t="str">
            <v>Xã Triệu Độ</v>
          </cell>
          <cell r="I6681" t="str">
            <v>40911</v>
          </cell>
        </row>
        <row r="6682">
          <cell r="G6682" t="str">
            <v>Xã Triệu Trạch</v>
          </cell>
          <cell r="I6682" t="str">
            <v>40911</v>
          </cell>
        </row>
        <row r="6683">
          <cell r="G6683" t="str">
            <v>Xã Triệu Hòa</v>
          </cell>
          <cell r="I6683" t="str">
            <v>40911</v>
          </cell>
        </row>
        <row r="6684">
          <cell r="G6684" t="str">
            <v>Xã Triệu Lăng</v>
          </cell>
          <cell r="I6684" t="str">
            <v>40911</v>
          </cell>
        </row>
        <row r="6685">
          <cell r="G6685" t="str">
            <v>Xã Triệu Long</v>
          </cell>
          <cell r="I6685" t="str">
            <v>40911</v>
          </cell>
        </row>
        <row r="6686">
          <cell r="G6686" t="str">
            <v>Xã Triệu Tài</v>
          </cell>
          <cell r="I6686" t="str">
            <v>40911</v>
          </cell>
        </row>
        <row r="6687">
          <cell r="G6687" t="str">
            <v>Xã Triệu Đông</v>
          </cell>
          <cell r="I6687" t="str">
            <v>40911</v>
          </cell>
        </row>
        <row r="6688">
          <cell r="G6688" t="str">
            <v>Xã Triệu ái</v>
          </cell>
          <cell r="I6688" t="str">
            <v>40911</v>
          </cell>
        </row>
        <row r="6689">
          <cell r="G6689" t="str">
            <v>Xã Triệu Thượng</v>
          </cell>
          <cell r="I6689" t="str">
            <v>40911</v>
          </cell>
        </row>
        <row r="6690">
          <cell r="G6690" t="str">
            <v>Xã Triệu Giang</v>
          </cell>
          <cell r="I6690" t="str">
            <v>40911</v>
          </cell>
        </row>
        <row r="6691">
          <cell r="G6691" t="str">
            <v>Thị trấn Hải Lăng</v>
          </cell>
          <cell r="I6691" t="str">
            <v>40913</v>
          </cell>
        </row>
        <row r="6692">
          <cell r="G6692" t="str">
            <v>Xã Hải Thành</v>
          </cell>
          <cell r="I6692" t="str">
            <v>40913</v>
          </cell>
        </row>
        <row r="6693">
          <cell r="G6693" t="str">
            <v xml:space="preserve">Xã Hải Tân </v>
          </cell>
          <cell r="I6693" t="str">
            <v>40913</v>
          </cell>
        </row>
        <row r="6694">
          <cell r="G6694" t="str">
            <v>Xã Hải Chánh</v>
          </cell>
          <cell r="I6694" t="str">
            <v>40913</v>
          </cell>
        </row>
        <row r="6695">
          <cell r="G6695" t="str">
            <v>Xã Hải Thiện</v>
          </cell>
          <cell r="I6695" t="str">
            <v>40913</v>
          </cell>
        </row>
        <row r="6696">
          <cell r="G6696" t="str">
            <v xml:space="preserve">Xã Hải Xuân  </v>
          </cell>
          <cell r="I6696" t="str">
            <v>40913</v>
          </cell>
        </row>
        <row r="6697">
          <cell r="G6697" t="str">
            <v xml:space="preserve">Xã Hải Phú </v>
          </cell>
          <cell r="I6697" t="str">
            <v>40913</v>
          </cell>
        </row>
        <row r="6698">
          <cell r="G6698" t="str">
            <v xml:space="preserve">Xã Hải An  </v>
          </cell>
          <cell r="I6698" t="str">
            <v>40913</v>
          </cell>
        </row>
        <row r="6699">
          <cell r="G6699" t="str">
            <v>Xã Hải Ba</v>
          </cell>
          <cell r="I6699" t="str">
            <v>40913</v>
          </cell>
        </row>
        <row r="6700">
          <cell r="G6700" t="str">
            <v>Xã Hải Quy</v>
          </cell>
          <cell r="I6700" t="str">
            <v>40913</v>
          </cell>
        </row>
        <row r="6701">
          <cell r="G6701" t="str">
            <v>Xã Hải Quế</v>
          </cell>
          <cell r="I6701" t="str">
            <v>40913</v>
          </cell>
        </row>
        <row r="6702">
          <cell r="G6702" t="str">
            <v>Xã Hải Vĩnh</v>
          </cell>
          <cell r="I6702" t="str">
            <v>40913</v>
          </cell>
        </row>
        <row r="6703">
          <cell r="G6703" t="str">
            <v xml:space="preserve">Xã Hải Lệ </v>
          </cell>
          <cell r="I6703" t="str">
            <v>40913</v>
          </cell>
        </row>
        <row r="6704">
          <cell r="G6704" t="str">
            <v xml:space="preserve">Xã Hải Thượng </v>
          </cell>
          <cell r="I6704" t="str">
            <v>40913</v>
          </cell>
        </row>
        <row r="6705">
          <cell r="G6705" t="str">
            <v>Xã Hải Dương</v>
          </cell>
          <cell r="I6705" t="str">
            <v>40913</v>
          </cell>
        </row>
        <row r="6706">
          <cell r="G6706" t="str">
            <v>Xã Hải Lâm</v>
          </cell>
          <cell r="I6706" t="str">
            <v>40913</v>
          </cell>
        </row>
        <row r="6707">
          <cell r="G6707" t="str">
            <v xml:space="preserve">Xã Hải Hòa  </v>
          </cell>
          <cell r="I6707" t="str">
            <v>40913</v>
          </cell>
        </row>
        <row r="6708">
          <cell r="G6708" t="str">
            <v>Xã Hải Trường</v>
          </cell>
          <cell r="I6708" t="str">
            <v>40913</v>
          </cell>
        </row>
        <row r="6709">
          <cell r="G6709" t="str">
            <v>Xã Hải Thọ</v>
          </cell>
          <cell r="I6709" t="str">
            <v>40913</v>
          </cell>
        </row>
        <row r="6710">
          <cell r="G6710" t="str">
            <v xml:space="preserve">Xã Hải Sơn  </v>
          </cell>
          <cell r="I6710" t="str">
            <v>40913</v>
          </cell>
        </row>
        <row r="6711">
          <cell r="G6711" t="str">
            <v>Xã Hải Khê</v>
          </cell>
          <cell r="I6711" t="str">
            <v>40913</v>
          </cell>
        </row>
        <row r="6712">
          <cell r="G6712" t="str">
            <v>Thị trấn Khe Sanh</v>
          </cell>
          <cell r="I6712" t="str">
            <v>40915</v>
          </cell>
        </row>
        <row r="6713">
          <cell r="G6713" t="str">
            <v xml:space="preserve">Xã Tân Liên  </v>
          </cell>
          <cell r="I6713" t="str">
            <v>40915</v>
          </cell>
        </row>
        <row r="6714">
          <cell r="G6714" t="str">
            <v>Xã Hướng Linh</v>
          </cell>
          <cell r="I6714" t="str">
            <v>40915</v>
          </cell>
        </row>
        <row r="6715">
          <cell r="G6715" t="str">
            <v xml:space="preserve">Xã Tân Long   </v>
          </cell>
          <cell r="I6715" t="str">
            <v>40915</v>
          </cell>
        </row>
        <row r="6716">
          <cell r="G6716" t="str">
            <v>Xã Thuận</v>
          </cell>
          <cell r="I6716" t="str">
            <v>40915</v>
          </cell>
        </row>
        <row r="6717">
          <cell r="G6717" t="str">
            <v>Xã Thanh</v>
          </cell>
          <cell r="I6717" t="str">
            <v>40915</v>
          </cell>
        </row>
        <row r="6718">
          <cell r="G6718" t="str">
            <v>Xã Xy</v>
          </cell>
          <cell r="I6718" t="str">
            <v>40915</v>
          </cell>
        </row>
        <row r="6719">
          <cell r="G6719" t="str">
            <v>Thị trấn Lao Bảo</v>
          </cell>
          <cell r="I6719" t="str">
            <v>40915</v>
          </cell>
        </row>
        <row r="6720">
          <cell r="G6720" t="str">
            <v>Xã Hướng Lập</v>
          </cell>
          <cell r="I6720" t="str">
            <v>40915</v>
          </cell>
        </row>
        <row r="6721">
          <cell r="G6721" t="str">
            <v>Xã Hướng Việt</v>
          </cell>
          <cell r="I6721" t="str">
            <v>40915</v>
          </cell>
        </row>
        <row r="6722">
          <cell r="G6722" t="str">
            <v>Xã Hướng Phùng</v>
          </cell>
          <cell r="I6722" t="str">
            <v>40915</v>
          </cell>
        </row>
        <row r="6723">
          <cell r="G6723" t="str">
            <v>Xã Hướng Sơn</v>
          </cell>
          <cell r="I6723" t="str">
            <v>40915</v>
          </cell>
        </row>
        <row r="6724">
          <cell r="G6724" t="str">
            <v xml:space="preserve">Xã Tân Hợp   </v>
          </cell>
          <cell r="I6724" t="str">
            <v>40915</v>
          </cell>
        </row>
        <row r="6725">
          <cell r="G6725" t="str">
            <v>Xã Hướng Tân</v>
          </cell>
          <cell r="I6725" t="str">
            <v>40915</v>
          </cell>
        </row>
        <row r="6726">
          <cell r="G6726" t="str">
            <v xml:space="preserve">Xã Tân Thành           </v>
          </cell>
          <cell r="I6726" t="str">
            <v>40915</v>
          </cell>
        </row>
        <row r="6727">
          <cell r="G6727" t="str">
            <v xml:space="preserve">Xã Tân Lập               </v>
          </cell>
          <cell r="I6727" t="str">
            <v>40915</v>
          </cell>
        </row>
        <row r="6728">
          <cell r="G6728" t="str">
            <v>Xã Húc</v>
          </cell>
          <cell r="I6728" t="str">
            <v>40915</v>
          </cell>
        </row>
        <row r="6729">
          <cell r="G6729" t="str">
            <v>Xã Hướng Lộc</v>
          </cell>
          <cell r="I6729" t="str">
            <v>40915</v>
          </cell>
        </row>
        <row r="6730">
          <cell r="G6730" t="str">
            <v>Xã Ba Tầng</v>
          </cell>
          <cell r="I6730" t="str">
            <v>40915</v>
          </cell>
        </row>
        <row r="6731">
          <cell r="G6731" t="str">
            <v>Xã A Dơi</v>
          </cell>
          <cell r="I6731" t="str">
            <v>40915</v>
          </cell>
        </row>
        <row r="6732">
          <cell r="G6732" t="str">
            <v>Xã A Xing</v>
          </cell>
          <cell r="I6732" t="str">
            <v>40915</v>
          </cell>
        </row>
        <row r="6733">
          <cell r="G6733" t="str">
            <v>Xã A Túc</v>
          </cell>
          <cell r="I6733" t="str">
            <v>40915</v>
          </cell>
        </row>
        <row r="6734">
          <cell r="G6734" t="str">
            <v>Xã Ba Nang</v>
          </cell>
          <cell r="I6734" t="str">
            <v>40917</v>
          </cell>
        </row>
        <row r="6735">
          <cell r="G6735" t="str">
            <v>Xã Hướng Hiệp</v>
          </cell>
          <cell r="I6735" t="str">
            <v>40917</v>
          </cell>
        </row>
        <row r="6736">
          <cell r="G6736" t="str">
            <v xml:space="preserve">Xã Hải Phúc </v>
          </cell>
          <cell r="I6736" t="str">
            <v>40917</v>
          </cell>
        </row>
        <row r="6737">
          <cell r="G6737" t="str">
            <v>Xã A Vao</v>
          </cell>
          <cell r="I6737" t="str">
            <v>40917</v>
          </cell>
        </row>
        <row r="6738">
          <cell r="G6738" t="str">
            <v>Xã A Ngo</v>
          </cell>
          <cell r="I6738" t="str">
            <v>40917</v>
          </cell>
        </row>
        <row r="6739">
          <cell r="G6739" t="str">
            <v>Thị trấn Krông Klang</v>
          </cell>
          <cell r="I6739" t="str">
            <v>40917</v>
          </cell>
        </row>
        <row r="6740">
          <cell r="G6740" t="str">
            <v>Xã Mò ó</v>
          </cell>
          <cell r="I6740" t="str">
            <v>40917</v>
          </cell>
        </row>
        <row r="6741">
          <cell r="G6741" t="str">
            <v>Xã Đa Krông</v>
          </cell>
          <cell r="I6741" t="str">
            <v>40917</v>
          </cell>
        </row>
        <row r="6742">
          <cell r="G6742" t="str">
            <v xml:space="preserve">Xã Triệu Nguyên </v>
          </cell>
          <cell r="I6742" t="str">
            <v>40917</v>
          </cell>
        </row>
        <row r="6743">
          <cell r="G6743" t="str">
            <v>Xã Ba Lòng</v>
          </cell>
          <cell r="I6743" t="str">
            <v>40917</v>
          </cell>
        </row>
        <row r="6744">
          <cell r="G6744" t="str">
            <v>Xã Tà Long</v>
          </cell>
          <cell r="I6744" t="str">
            <v>40917</v>
          </cell>
        </row>
        <row r="6745">
          <cell r="G6745" t="str">
            <v>Xã Húc Nghì</v>
          </cell>
          <cell r="I6745" t="str">
            <v>40917</v>
          </cell>
        </row>
        <row r="6746">
          <cell r="G6746" t="str">
            <v>Xã Tà Rụt</v>
          </cell>
          <cell r="I6746" t="str">
            <v>40917</v>
          </cell>
        </row>
        <row r="6747">
          <cell r="G6747" t="str">
            <v>Xã A Bung</v>
          </cell>
          <cell r="I6747" t="str">
            <v>40917</v>
          </cell>
        </row>
        <row r="6748">
          <cell r="G6748" t="str">
            <v>Xã Cồn Cỏ</v>
          </cell>
          <cell r="I6748" t="str">
            <v>40919</v>
          </cell>
        </row>
        <row r="6749">
          <cell r="G6749" t="str">
            <v>Phường Phú Thuận</v>
          </cell>
          <cell r="I6749" t="str">
            <v>41101</v>
          </cell>
        </row>
        <row r="6750">
          <cell r="G6750" t="str">
            <v>Phường Phường Đúc</v>
          </cell>
          <cell r="I6750" t="str">
            <v>41101</v>
          </cell>
        </row>
        <row r="6751">
          <cell r="G6751" t="str">
            <v>Phường Phú Hậu</v>
          </cell>
          <cell r="I6751" t="str">
            <v>41101</v>
          </cell>
        </row>
        <row r="6752">
          <cell r="G6752" t="str">
            <v>Phường Phú Cát</v>
          </cell>
          <cell r="I6752" t="str">
            <v>41101</v>
          </cell>
        </row>
        <row r="6753">
          <cell r="G6753" t="str">
            <v>Phường Vĩnh Ninh</v>
          </cell>
          <cell r="I6753" t="str">
            <v>41101</v>
          </cell>
        </row>
        <row r="6754">
          <cell r="G6754" t="str">
            <v>Phường Phước Vĩnh</v>
          </cell>
          <cell r="I6754" t="str">
            <v>41101</v>
          </cell>
        </row>
        <row r="6755">
          <cell r="G6755" t="str">
            <v>Phường Thủy Xuân</v>
          </cell>
          <cell r="I6755" t="str">
            <v>41101</v>
          </cell>
        </row>
        <row r="6756">
          <cell r="G6756" t="str">
            <v>Phường Phú Bình</v>
          </cell>
          <cell r="I6756" t="str">
            <v>41101</v>
          </cell>
        </row>
        <row r="6757">
          <cell r="G6757" t="str">
            <v>Phường Tây Lộc</v>
          </cell>
          <cell r="I6757" t="str">
            <v>41101</v>
          </cell>
        </row>
        <row r="6758">
          <cell r="G6758" t="str">
            <v>Phường Thuận Lộc</v>
          </cell>
          <cell r="I6758" t="str">
            <v>41101</v>
          </cell>
        </row>
        <row r="6759">
          <cell r="G6759" t="str">
            <v>Phường Phú Hiệp</v>
          </cell>
          <cell r="I6759" t="str">
            <v>41101</v>
          </cell>
        </row>
        <row r="6760">
          <cell r="G6760" t="str">
            <v>Phường Thuận Hòa</v>
          </cell>
          <cell r="I6760" t="str">
            <v>41101</v>
          </cell>
        </row>
        <row r="6761">
          <cell r="G6761" t="str">
            <v>Phường Thuận Thành</v>
          </cell>
          <cell r="I6761" t="str">
            <v>41101</v>
          </cell>
        </row>
        <row r="6762">
          <cell r="G6762" t="str">
            <v>Phường Phú Hòa</v>
          </cell>
          <cell r="I6762" t="str">
            <v>41101</v>
          </cell>
        </row>
        <row r="6763">
          <cell r="G6763" t="str">
            <v>Phường Kim Long</v>
          </cell>
          <cell r="I6763" t="str">
            <v>41101</v>
          </cell>
        </row>
        <row r="6764">
          <cell r="G6764" t="str">
            <v>Phường Vỹ Dạ</v>
          </cell>
          <cell r="I6764" t="str">
            <v>41101</v>
          </cell>
        </row>
        <row r="6765">
          <cell r="G6765" t="str">
            <v>Phường Phú Hội</v>
          </cell>
          <cell r="I6765" t="str">
            <v>41101</v>
          </cell>
        </row>
        <row r="6766">
          <cell r="G6766" t="str">
            <v>Phường Phú Nhuận</v>
          </cell>
          <cell r="I6766" t="str">
            <v>41101</v>
          </cell>
        </row>
        <row r="6767">
          <cell r="G6767" t="str">
            <v>Phường Xuân Phú</v>
          </cell>
          <cell r="I6767" t="str">
            <v>41101</v>
          </cell>
        </row>
        <row r="6768">
          <cell r="G6768" t="str">
            <v>Phường Trường An</v>
          </cell>
          <cell r="I6768" t="str">
            <v>41101</v>
          </cell>
        </row>
        <row r="6769">
          <cell r="G6769" t="str">
            <v>Phường An Cựu</v>
          </cell>
          <cell r="I6769" t="str">
            <v>41101</v>
          </cell>
        </row>
        <row r="6770">
          <cell r="G6770" t="str">
            <v>Phường Hương Sơ</v>
          </cell>
          <cell r="I6770" t="str">
            <v>41101</v>
          </cell>
        </row>
        <row r="6771">
          <cell r="G6771" t="str">
            <v>Phường Thủy Biều</v>
          </cell>
          <cell r="I6771" t="str">
            <v>41101</v>
          </cell>
        </row>
        <row r="6772">
          <cell r="G6772" t="str">
            <v>Phường Hương Long</v>
          </cell>
          <cell r="I6772" t="str">
            <v>41101</v>
          </cell>
        </row>
        <row r="6773">
          <cell r="G6773" t="str">
            <v>Phường An Đông</v>
          </cell>
          <cell r="I6773" t="str">
            <v>41101</v>
          </cell>
        </row>
        <row r="6774">
          <cell r="G6774" t="str">
            <v>Phường An Tây</v>
          </cell>
          <cell r="I6774" t="str">
            <v>41101</v>
          </cell>
        </row>
        <row r="6775">
          <cell r="G6775" t="str">
            <v>Phường An Hòa</v>
          </cell>
          <cell r="I6775" t="str">
            <v>41101</v>
          </cell>
        </row>
        <row r="6776">
          <cell r="G6776" t="str">
            <v>Thị trấn Phong Điền</v>
          </cell>
          <cell r="I6776" t="str">
            <v>41103</v>
          </cell>
        </row>
        <row r="6777">
          <cell r="G6777" t="str">
            <v>Xã Phong Sơn</v>
          </cell>
          <cell r="I6777" t="str">
            <v>41103</v>
          </cell>
        </row>
        <row r="6778">
          <cell r="G6778" t="str">
            <v>Xã Điền Môn</v>
          </cell>
          <cell r="I6778" t="str">
            <v>41103</v>
          </cell>
        </row>
        <row r="6779">
          <cell r="G6779" t="str">
            <v>Xã Điền Hòa</v>
          </cell>
          <cell r="I6779" t="str">
            <v>41103</v>
          </cell>
        </row>
        <row r="6780">
          <cell r="G6780" t="str">
            <v>Xã Phong Hòa</v>
          </cell>
          <cell r="I6780" t="str">
            <v>41103</v>
          </cell>
        </row>
        <row r="6781">
          <cell r="G6781" t="str">
            <v>Xã Phong An</v>
          </cell>
          <cell r="I6781" t="str">
            <v>41103</v>
          </cell>
        </row>
        <row r="6782">
          <cell r="G6782" t="str">
            <v>Xã Điền Hương</v>
          </cell>
          <cell r="I6782" t="str">
            <v>41103</v>
          </cell>
        </row>
        <row r="6783">
          <cell r="G6783" t="str">
            <v>Xã Điền Lộc</v>
          </cell>
          <cell r="I6783" t="str">
            <v>41103</v>
          </cell>
        </row>
        <row r="6784">
          <cell r="G6784" t="str">
            <v>Xã Phong Bình</v>
          </cell>
          <cell r="I6784" t="str">
            <v>41103</v>
          </cell>
        </row>
        <row r="6785">
          <cell r="G6785" t="str">
            <v>Xã Phong Chương</v>
          </cell>
          <cell r="I6785" t="str">
            <v>41103</v>
          </cell>
        </row>
        <row r="6786">
          <cell r="G6786" t="str">
            <v>Xã Phong Hải</v>
          </cell>
          <cell r="I6786" t="str">
            <v>41103</v>
          </cell>
        </row>
        <row r="6787">
          <cell r="G6787" t="str">
            <v>Xã Điền Hải</v>
          </cell>
          <cell r="I6787" t="str">
            <v>41103</v>
          </cell>
        </row>
        <row r="6788">
          <cell r="G6788" t="str">
            <v>Xã Phong Thu</v>
          </cell>
          <cell r="I6788" t="str">
            <v>41103</v>
          </cell>
        </row>
        <row r="6789">
          <cell r="G6789" t="str">
            <v>Xã Phong Hiền</v>
          </cell>
          <cell r="I6789" t="str">
            <v>41103</v>
          </cell>
        </row>
        <row r="6790">
          <cell r="G6790" t="str">
            <v>Xã Phong Mỹ</v>
          </cell>
          <cell r="I6790" t="str">
            <v>41103</v>
          </cell>
        </row>
        <row r="6791">
          <cell r="G6791" t="str">
            <v>Xã Phong Xuân</v>
          </cell>
          <cell r="I6791" t="str">
            <v>41103</v>
          </cell>
        </row>
        <row r="6792">
          <cell r="G6792" t="str">
            <v xml:space="preserve">Xã Quảng Thái </v>
          </cell>
          <cell r="I6792" t="str">
            <v>41105</v>
          </cell>
        </row>
        <row r="6793">
          <cell r="G6793" t="str">
            <v>Xã Quảng Phước</v>
          </cell>
          <cell r="I6793" t="str">
            <v>41105</v>
          </cell>
        </row>
        <row r="6794">
          <cell r="G6794" t="str">
            <v xml:space="preserve">Xã Quảng Phú    </v>
          </cell>
          <cell r="I6794" t="str">
            <v>41105</v>
          </cell>
        </row>
        <row r="6795">
          <cell r="G6795" t="str">
            <v>Thị trấn Sịa</v>
          </cell>
          <cell r="I6795" t="str">
            <v>41105</v>
          </cell>
        </row>
        <row r="6796">
          <cell r="G6796" t="str">
            <v>Xã Quảng Ngạn</v>
          </cell>
          <cell r="I6796" t="str">
            <v>41105</v>
          </cell>
        </row>
        <row r="6797">
          <cell r="G6797" t="str">
            <v xml:space="preserve">Xã Quảng Lợi  </v>
          </cell>
          <cell r="I6797" t="str">
            <v>41105</v>
          </cell>
        </row>
        <row r="6798">
          <cell r="G6798" t="str">
            <v>Xã Quảng Công</v>
          </cell>
          <cell r="I6798" t="str">
            <v>41105</v>
          </cell>
        </row>
        <row r="6799">
          <cell r="G6799" t="str">
            <v xml:space="preserve">Xã Quảng Vinh  </v>
          </cell>
          <cell r="I6799" t="str">
            <v>41105</v>
          </cell>
        </row>
        <row r="6800">
          <cell r="G6800" t="str">
            <v xml:space="preserve">Xã Quảng An </v>
          </cell>
          <cell r="I6800" t="str">
            <v>41105</v>
          </cell>
        </row>
        <row r="6801">
          <cell r="G6801" t="str">
            <v xml:space="preserve">Xã Quảng Thành </v>
          </cell>
          <cell r="I6801" t="str">
            <v>41105</v>
          </cell>
        </row>
        <row r="6802">
          <cell r="G6802" t="str">
            <v xml:space="preserve">Xã Quảng Thọ  </v>
          </cell>
          <cell r="I6802" t="str">
            <v>41105</v>
          </cell>
        </row>
        <row r="6803">
          <cell r="G6803" t="str">
            <v>Phường Hương Văn</v>
          </cell>
          <cell r="I6803" t="str">
            <v>41107</v>
          </cell>
        </row>
        <row r="6804">
          <cell r="G6804" t="str">
            <v>Xã Hương Phong</v>
          </cell>
          <cell r="I6804" t="str">
            <v>41107</v>
          </cell>
        </row>
        <row r="6805">
          <cell r="G6805" t="str">
            <v>Xã Hương Vinh</v>
          </cell>
          <cell r="I6805" t="str">
            <v>41107</v>
          </cell>
        </row>
        <row r="6806">
          <cell r="G6806" t="str">
            <v xml:space="preserve">Xã Hương Bình </v>
          </cell>
          <cell r="I6806" t="str">
            <v>41107</v>
          </cell>
        </row>
        <row r="6807">
          <cell r="G6807" t="str">
            <v xml:space="preserve">Xã Hồng Tiến   </v>
          </cell>
          <cell r="I6807" t="str">
            <v>41107</v>
          </cell>
        </row>
        <row r="6808">
          <cell r="G6808" t="str">
            <v>Phường Tứ Hạ</v>
          </cell>
          <cell r="I6808" t="str">
            <v>41107</v>
          </cell>
        </row>
        <row r="6809">
          <cell r="G6809" t="str">
            <v xml:space="preserve">Xã Hải Dương </v>
          </cell>
          <cell r="I6809" t="str">
            <v>41107</v>
          </cell>
        </row>
        <row r="6810">
          <cell r="G6810" t="str">
            <v>Xã Hương Toàn</v>
          </cell>
          <cell r="I6810" t="str">
            <v>41107</v>
          </cell>
        </row>
        <row r="6811">
          <cell r="G6811" t="str">
            <v>Phường Hương Vân</v>
          </cell>
          <cell r="I6811" t="str">
            <v>41107</v>
          </cell>
        </row>
        <row r="6812">
          <cell r="G6812" t="str">
            <v>Phường Hương Xuân</v>
          </cell>
          <cell r="I6812" t="str">
            <v>41107</v>
          </cell>
        </row>
        <row r="6813">
          <cell r="G6813" t="str">
            <v>Phường Hương Chữ</v>
          </cell>
          <cell r="I6813" t="str">
            <v>41107</v>
          </cell>
        </row>
        <row r="6814">
          <cell r="G6814" t="str">
            <v>Phường Hương An</v>
          </cell>
          <cell r="I6814" t="str">
            <v>41107</v>
          </cell>
        </row>
        <row r="6815">
          <cell r="G6815" t="str">
            <v>Phường Hương Hồ</v>
          </cell>
          <cell r="I6815" t="str">
            <v>41107</v>
          </cell>
        </row>
        <row r="6816">
          <cell r="G6816" t="str">
            <v xml:space="preserve">Xã Hương Thọ </v>
          </cell>
          <cell r="I6816" t="str">
            <v>41107</v>
          </cell>
        </row>
        <row r="6817">
          <cell r="G6817" t="str">
            <v>Xã Bình Điền</v>
          </cell>
          <cell r="I6817" t="str">
            <v>41107</v>
          </cell>
        </row>
        <row r="6818">
          <cell r="G6818" t="str">
            <v xml:space="preserve">Xã Bình Thành </v>
          </cell>
          <cell r="I6818" t="str">
            <v>41107</v>
          </cell>
        </row>
        <row r="6819">
          <cell r="G6819" t="str">
            <v>Thị trấn Thuận An</v>
          </cell>
          <cell r="I6819" t="str">
            <v>41109</v>
          </cell>
        </row>
        <row r="6820">
          <cell r="G6820" t="str">
            <v xml:space="preserve">Xã Phú Lương    </v>
          </cell>
          <cell r="I6820" t="str">
            <v>41109</v>
          </cell>
        </row>
        <row r="6821">
          <cell r="G6821" t="str">
            <v>Xã Phú Mậu</v>
          </cell>
          <cell r="I6821" t="str">
            <v>41109</v>
          </cell>
        </row>
        <row r="6822">
          <cell r="G6822" t="str">
            <v xml:space="preserve">Xã Phú Xuân   </v>
          </cell>
          <cell r="I6822" t="str">
            <v>41109</v>
          </cell>
        </row>
        <row r="6823">
          <cell r="G6823" t="str">
            <v xml:space="preserve">Xã Phú Thượng </v>
          </cell>
          <cell r="I6823" t="str">
            <v>41109</v>
          </cell>
        </row>
        <row r="6824">
          <cell r="G6824" t="str">
            <v>Thị trấn Phú Đa</v>
          </cell>
          <cell r="I6824" t="str">
            <v>41109</v>
          </cell>
        </row>
        <row r="6825">
          <cell r="G6825" t="str">
            <v>Xã Vinh Thái</v>
          </cell>
          <cell r="I6825" t="str">
            <v>41109</v>
          </cell>
        </row>
        <row r="6826">
          <cell r="G6826" t="str">
            <v>Xã Phú Thuận</v>
          </cell>
          <cell r="I6826" t="str">
            <v>41109</v>
          </cell>
        </row>
        <row r="6827">
          <cell r="G6827" t="str">
            <v>Xã Phú Dương</v>
          </cell>
          <cell r="I6827" t="str">
            <v>41109</v>
          </cell>
        </row>
        <row r="6828">
          <cell r="G6828" t="str">
            <v>Xã Phú An</v>
          </cell>
          <cell r="I6828" t="str">
            <v>41109</v>
          </cell>
        </row>
        <row r="6829">
          <cell r="G6829" t="str">
            <v xml:space="preserve">Xã Phú Hải </v>
          </cell>
          <cell r="I6829" t="str">
            <v>41109</v>
          </cell>
        </row>
        <row r="6830">
          <cell r="G6830" t="str">
            <v>Xã Phú Diên</v>
          </cell>
          <cell r="I6830" t="str">
            <v>41109</v>
          </cell>
        </row>
        <row r="6831">
          <cell r="G6831" t="str">
            <v xml:space="preserve">Xã Phú Thanh </v>
          </cell>
          <cell r="I6831" t="str">
            <v>41109</v>
          </cell>
        </row>
        <row r="6832">
          <cell r="G6832" t="str">
            <v xml:space="preserve">Xã Phú Mỹ  </v>
          </cell>
          <cell r="I6832" t="str">
            <v>41109</v>
          </cell>
        </row>
        <row r="6833">
          <cell r="G6833" t="str">
            <v>Xã Phú Hồ</v>
          </cell>
          <cell r="I6833" t="str">
            <v>41109</v>
          </cell>
        </row>
        <row r="6834">
          <cell r="G6834" t="str">
            <v>Xã Vinh Xuân</v>
          </cell>
          <cell r="I6834" t="str">
            <v>41109</v>
          </cell>
        </row>
        <row r="6835">
          <cell r="G6835" t="str">
            <v>Xã Vinh Thanh</v>
          </cell>
          <cell r="I6835" t="str">
            <v>41109</v>
          </cell>
        </row>
        <row r="6836">
          <cell r="G6836" t="str">
            <v>Xã Vinh An</v>
          </cell>
          <cell r="I6836" t="str">
            <v>41109</v>
          </cell>
        </row>
        <row r="6837">
          <cell r="G6837" t="str">
            <v>Xã Vinh Phú</v>
          </cell>
          <cell r="I6837" t="str">
            <v>41109</v>
          </cell>
        </row>
        <row r="6838">
          <cell r="G6838" t="str">
            <v>Xã Vinh Hà</v>
          </cell>
          <cell r="I6838" t="str">
            <v>41109</v>
          </cell>
        </row>
        <row r="6839">
          <cell r="G6839" t="str">
            <v>Phường Thủy Châu</v>
          </cell>
          <cell r="I6839" t="str">
            <v>41111</v>
          </cell>
        </row>
        <row r="6840">
          <cell r="G6840" t="str">
            <v>Xã Thủy Thanh</v>
          </cell>
          <cell r="I6840" t="str">
            <v>41111</v>
          </cell>
        </row>
        <row r="6841">
          <cell r="G6841" t="str">
            <v>Phường Thủy Lương</v>
          </cell>
          <cell r="I6841" t="str">
            <v>41111</v>
          </cell>
        </row>
        <row r="6842">
          <cell r="G6842" t="str">
            <v xml:space="preserve">Xã Phú Sơn     </v>
          </cell>
          <cell r="I6842" t="str">
            <v>41111</v>
          </cell>
        </row>
        <row r="6843">
          <cell r="G6843" t="str">
            <v>Phường Phú Bài</v>
          </cell>
          <cell r="I6843" t="str">
            <v>41111</v>
          </cell>
        </row>
        <row r="6844">
          <cell r="G6844" t="str">
            <v>Xã Thủy Vân</v>
          </cell>
          <cell r="I6844" t="str">
            <v>41111</v>
          </cell>
        </row>
        <row r="6845">
          <cell r="G6845" t="str">
            <v>Phường Thủy Dương</v>
          </cell>
          <cell r="I6845" t="str">
            <v>41111</v>
          </cell>
        </row>
        <row r="6846">
          <cell r="G6846" t="str">
            <v>Phường Thủy Phương</v>
          </cell>
          <cell r="I6846" t="str">
            <v>41111</v>
          </cell>
        </row>
        <row r="6847">
          <cell r="G6847" t="str">
            <v>Xã Thủy Bằng</v>
          </cell>
          <cell r="I6847" t="str">
            <v>41111</v>
          </cell>
        </row>
        <row r="6848">
          <cell r="G6848" t="str">
            <v>Xã Thủy Tân</v>
          </cell>
          <cell r="I6848" t="str">
            <v>41111</v>
          </cell>
        </row>
        <row r="6849">
          <cell r="G6849" t="str">
            <v>Xã Thủy Phù</v>
          </cell>
          <cell r="I6849" t="str">
            <v>41111</v>
          </cell>
        </row>
        <row r="6850">
          <cell r="G6850" t="str">
            <v>Xã Dương Hòa</v>
          </cell>
          <cell r="I6850" t="str">
            <v>41111</v>
          </cell>
        </row>
        <row r="6851">
          <cell r="G6851" t="str">
            <v>Xã Lộc Điền</v>
          </cell>
          <cell r="I6851" t="str">
            <v>41113</v>
          </cell>
        </row>
        <row r="6852">
          <cell r="G6852" t="str">
            <v>Xã Vinh Mỹ</v>
          </cell>
          <cell r="I6852" t="str">
            <v>41113</v>
          </cell>
        </row>
        <row r="6853">
          <cell r="G6853" t="str">
            <v>Thị trấn Phú Lộc</v>
          </cell>
          <cell r="I6853" t="str">
            <v>41113</v>
          </cell>
        </row>
        <row r="6854">
          <cell r="G6854" t="str">
            <v>Xã Vinh Giang</v>
          </cell>
          <cell r="I6854" t="str">
            <v>41113</v>
          </cell>
        </row>
        <row r="6855">
          <cell r="G6855" t="str">
            <v>Xã Lộc Bình</v>
          </cell>
          <cell r="I6855" t="str">
            <v>41113</v>
          </cell>
        </row>
        <row r="6856">
          <cell r="G6856" t="str">
            <v xml:space="preserve">Xã Lộc Thủy </v>
          </cell>
          <cell r="I6856" t="str">
            <v>41113</v>
          </cell>
        </row>
        <row r="6857">
          <cell r="G6857" t="str">
            <v xml:space="preserve">Xã Xuân Lộc     </v>
          </cell>
          <cell r="I6857" t="str">
            <v>41113</v>
          </cell>
        </row>
        <row r="6858">
          <cell r="G6858" t="str">
            <v>Thị trấn Lăng Cô</v>
          </cell>
          <cell r="I6858" t="str">
            <v>41113</v>
          </cell>
        </row>
        <row r="6859">
          <cell r="G6859" t="str">
            <v>Xã Vinh Hưng</v>
          </cell>
          <cell r="I6859" t="str">
            <v>41113</v>
          </cell>
        </row>
        <row r="6860">
          <cell r="G6860" t="str">
            <v>Xã Vinh Hải</v>
          </cell>
          <cell r="I6860" t="str">
            <v>41113</v>
          </cell>
        </row>
        <row r="6861">
          <cell r="G6861" t="str">
            <v>Xã Vinh Hiền</v>
          </cell>
          <cell r="I6861" t="str">
            <v>41113</v>
          </cell>
        </row>
        <row r="6862">
          <cell r="G6862" t="str">
            <v>Xã Lộc Bổn</v>
          </cell>
          <cell r="I6862" t="str">
            <v>41113</v>
          </cell>
        </row>
        <row r="6863">
          <cell r="G6863" t="str">
            <v xml:space="preserve">Xã Lộc Sơn </v>
          </cell>
          <cell r="I6863" t="str">
            <v>41113</v>
          </cell>
        </row>
        <row r="6864">
          <cell r="G6864" t="str">
            <v>Xã Lộc Vĩnh</v>
          </cell>
          <cell r="I6864" t="str">
            <v>41113</v>
          </cell>
        </row>
        <row r="6865">
          <cell r="G6865" t="str">
            <v xml:space="preserve">Xã Lộc An </v>
          </cell>
          <cell r="I6865" t="str">
            <v>41113</v>
          </cell>
        </row>
        <row r="6866">
          <cell r="G6866" t="str">
            <v>Xã Lộc Trì</v>
          </cell>
          <cell r="I6866" t="str">
            <v>41113</v>
          </cell>
        </row>
        <row r="6867">
          <cell r="G6867" t="str">
            <v>Xã Lộc Tiến</v>
          </cell>
          <cell r="I6867" t="str">
            <v>41113</v>
          </cell>
        </row>
        <row r="6868">
          <cell r="G6868" t="str">
            <v>Xã Lộc Hòa</v>
          </cell>
          <cell r="I6868" t="str">
            <v>41113</v>
          </cell>
        </row>
        <row r="6869">
          <cell r="G6869" t="str">
            <v>Xã Hồng Quảng</v>
          </cell>
          <cell r="I6869" t="str">
            <v>41115</v>
          </cell>
        </row>
        <row r="6870">
          <cell r="G6870" t="str">
            <v xml:space="preserve">Xã Đông Sơn      </v>
          </cell>
          <cell r="I6870" t="str">
            <v>41115</v>
          </cell>
        </row>
        <row r="6871">
          <cell r="G6871" t="str">
            <v>Xã Hồng Hạ</v>
          </cell>
          <cell r="I6871" t="str">
            <v>41115</v>
          </cell>
        </row>
        <row r="6872">
          <cell r="G6872" t="str">
            <v>Xã Hồng Trung</v>
          </cell>
          <cell r="I6872" t="str">
            <v>41115</v>
          </cell>
        </row>
        <row r="6873">
          <cell r="G6873" t="str">
            <v>Xã Hương Nguyên</v>
          </cell>
          <cell r="I6873" t="str">
            <v>41115</v>
          </cell>
        </row>
        <row r="6874">
          <cell r="G6874" t="str">
            <v xml:space="preserve">Xã Bắc Sơn           </v>
          </cell>
          <cell r="I6874" t="str">
            <v>41115</v>
          </cell>
        </row>
        <row r="6875">
          <cell r="G6875" t="str">
            <v>Xã Hồng Bắc</v>
          </cell>
          <cell r="I6875" t="str">
            <v>41115</v>
          </cell>
        </row>
        <row r="6876">
          <cell r="G6876" t="str">
            <v xml:space="preserve">Xã A Ngo </v>
          </cell>
          <cell r="I6876" t="str">
            <v>41115</v>
          </cell>
        </row>
        <row r="6877">
          <cell r="G6877" t="str">
            <v xml:space="preserve">Xã Sơn Thủy     </v>
          </cell>
          <cell r="I6877" t="str">
            <v>41115</v>
          </cell>
        </row>
        <row r="6878">
          <cell r="G6878" t="str">
            <v xml:space="preserve">Xã Phú Vinh </v>
          </cell>
          <cell r="I6878" t="str">
            <v>41115</v>
          </cell>
        </row>
        <row r="6879">
          <cell r="G6879" t="str">
            <v xml:space="preserve">Xã Hương Phong </v>
          </cell>
          <cell r="I6879" t="str">
            <v>41115</v>
          </cell>
        </row>
        <row r="6880">
          <cell r="G6880" t="str">
            <v>Xã Nhâm</v>
          </cell>
          <cell r="I6880" t="str">
            <v>41115</v>
          </cell>
        </row>
        <row r="6881">
          <cell r="G6881" t="str">
            <v>Xã Hồng Thượng</v>
          </cell>
          <cell r="I6881" t="str">
            <v>41115</v>
          </cell>
        </row>
        <row r="6882">
          <cell r="G6882" t="str">
            <v xml:space="preserve">Xã Hồng Thái        </v>
          </cell>
          <cell r="I6882" t="str">
            <v>41115</v>
          </cell>
        </row>
        <row r="6883">
          <cell r="G6883" t="str">
            <v xml:space="preserve">Xã Hương Lâm  </v>
          </cell>
          <cell r="I6883" t="str">
            <v>41115</v>
          </cell>
        </row>
        <row r="6884">
          <cell r="G6884" t="str">
            <v>Xã A Roằng</v>
          </cell>
          <cell r="I6884" t="str">
            <v>41115</v>
          </cell>
        </row>
        <row r="6885">
          <cell r="G6885" t="str">
            <v>Xã A Đớt</v>
          </cell>
          <cell r="I6885" t="str">
            <v>41115</v>
          </cell>
        </row>
        <row r="6886">
          <cell r="G6886" t="str">
            <v xml:space="preserve">Xã Hồng Thủy </v>
          </cell>
          <cell r="I6886" t="str">
            <v>41115</v>
          </cell>
        </row>
        <row r="6887">
          <cell r="G6887" t="str">
            <v>Xã Hồng Kim</v>
          </cell>
          <cell r="I6887" t="str">
            <v>41115</v>
          </cell>
        </row>
        <row r="6888">
          <cell r="G6888" t="str">
            <v>Thị trấn A Lưới</v>
          </cell>
          <cell r="I6888" t="str">
            <v>41115</v>
          </cell>
        </row>
        <row r="6889">
          <cell r="G6889" t="str">
            <v xml:space="preserve">Xã Hồng Vân  </v>
          </cell>
          <cell r="I6889" t="str">
            <v>41115</v>
          </cell>
        </row>
        <row r="6890">
          <cell r="G6890" t="str">
            <v xml:space="preserve">Xã Hương Giang </v>
          </cell>
          <cell r="I6890" t="str">
            <v>41117</v>
          </cell>
        </row>
        <row r="6891">
          <cell r="G6891" t="str">
            <v>Xã Hương Lộc</v>
          </cell>
          <cell r="I6891" t="str">
            <v>41117</v>
          </cell>
        </row>
        <row r="6892">
          <cell r="G6892" t="str">
            <v>Xã Hương Hữu</v>
          </cell>
          <cell r="I6892" t="str">
            <v>41117</v>
          </cell>
        </row>
        <row r="6893">
          <cell r="G6893" t="str">
            <v>Thị trấn Khe Tre</v>
          </cell>
          <cell r="I6893" t="str">
            <v>41117</v>
          </cell>
        </row>
        <row r="6894">
          <cell r="G6894" t="str">
            <v>Xã Hương Phú</v>
          </cell>
          <cell r="I6894" t="str">
            <v>41117</v>
          </cell>
        </row>
        <row r="6895">
          <cell r="G6895" t="str">
            <v xml:space="preserve">Xã Hương Sơn     </v>
          </cell>
          <cell r="I6895" t="str">
            <v>41117</v>
          </cell>
        </row>
        <row r="6896">
          <cell r="G6896" t="str">
            <v>Xã Thượng Quảng</v>
          </cell>
          <cell r="I6896" t="str">
            <v>41117</v>
          </cell>
        </row>
        <row r="6897">
          <cell r="G6897" t="str">
            <v>Xã Hương Hoà</v>
          </cell>
          <cell r="I6897" t="str">
            <v>41117</v>
          </cell>
        </row>
        <row r="6898">
          <cell r="G6898" t="str">
            <v>Xã Thượng Lộ</v>
          </cell>
          <cell r="I6898" t="str">
            <v>41117</v>
          </cell>
        </row>
        <row r="6899">
          <cell r="G6899" t="str">
            <v xml:space="preserve">Xã Thượng Long </v>
          </cell>
          <cell r="I6899" t="str">
            <v>41117</v>
          </cell>
        </row>
        <row r="6900">
          <cell r="G6900" t="str">
            <v>Xã Thượng Nhật</v>
          </cell>
          <cell r="I6900" t="str">
            <v>41117</v>
          </cell>
        </row>
        <row r="6901">
          <cell r="G6901" t="str">
            <v>Phường Hải Châu I</v>
          </cell>
          <cell r="I6901" t="str">
            <v>50101</v>
          </cell>
        </row>
        <row r="6902">
          <cell r="G6902" t="str">
            <v>Phường Thạch Thang</v>
          </cell>
          <cell r="I6902" t="str">
            <v>50101</v>
          </cell>
        </row>
        <row r="6903">
          <cell r="G6903" t="str">
            <v>Phường Nam Dương</v>
          </cell>
          <cell r="I6903" t="str">
            <v>50101</v>
          </cell>
        </row>
        <row r="6904">
          <cell r="G6904" t="str">
            <v xml:space="preserve">Phường Thanh Bình   </v>
          </cell>
          <cell r="I6904" t="str">
            <v>50101</v>
          </cell>
        </row>
        <row r="6905">
          <cell r="G6905" t="str">
            <v>Phường Thuận Phước</v>
          </cell>
          <cell r="I6905" t="str">
            <v>50101</v>
          </cell>
        </row>
        <row r="6906">
          <cell r="G6906" t="str">
            <v>Phường Hải Châu II</v>
          </cell>
          <cell r="I6906" t="str">
            <v>50101</v>
          </cell>
        </row>
        <row r="6907">
          <cell r="G6907" t="str">
            <v>Phường Phước Ninh</v>
          </cell>
          <cell r="I6907" t="str">
            <v>50101</v>
          </cell>
        </row>
        <row r="6908">
          <cell r="G6908" t="str">
            <v>Phường Hoà Thuận</v>
          </cell>
          <cell r="I6908" t="str">
            <v>50101</v>
          </cell>
        </row>
        <row r="6909">
          <cell r="G6909" t="str">
            <v>Phường Bình Hiên</v>
          </cell>
          <cell r="I6909" t="str">
            <v>50101</v>
          </cell>
        </row>
        <row r="6910">
          <cell r="G6910" t="str">
            <v>Phường Bình Thuận</v>
          </cell>
          <cell r="I6910" t="str">
            <v>50101</v>
          </cell>
        </row>
        <row r="6911">
          <cell r="G6911" t="str">
            <v>Phường Hoà Cường</v>
          </cell>
          <cell r="I6911" t="str">
            <v>50101</v>
          </cell>
        </row>
        <row r="6912">
          <cell r="G6912" t="str">
            <v>Phường Hoà Thuận Đông</v>
          </cell>
          <cell r="I6912" t="str">
            <v>50101</v>
          </cell>
        </row>
        <row r="6913">
          <cell r="G6913" t="str">
            <v>Phường Hoà Thuận Tây</v>
          </cell>
          <cell r="I6913" t="str">
            <v>50101</v>
          </cell>
        </row>
        <row r="6914">
          <cell r="G6914" t="str">
            <v>Phường Hoà Cường Nam</v>
          </cell>
          <cell r="I6914" t="str">
            <v>50101</v>
          </cell>
        </row>
        <row r="6915">
          <cell r="G6915" t="str">
            <v>Phường Hoà Cường Bắc</v>
          </cell>
          <cell r="I6915" t="str">
            <v>50101</v>
          </cell>
        </row>
        <row r="6916">
          <cell r="G6916" t="str">
            <v>Phường Xuân Hà</v>
          </cell>
          <cell r="I6916" t="str">
            <v>50103</v>
          </cell>
        </row>
        <row r="6917">
          <cell r="G6917" t="str">
            <v>Phường Thạc Gián</v>
          </cell>
          <cell r="I6917" t="str">
            <v>50103</v>
          </cell>
        </row>
        <row r="6918">
          <cell r="G6918" t="str">
            <v>Phường Tam Thuận</v>
          </cell>
          <cell r="I6918" t="str">
            <v>50103</v>
          </cell>
        </row>
        <row r="6919">
          <cell r="G6919" t="str">
            <v>Phường Tân Chính</v>
          </cell>
          <cell r="I6919" t="str">
            <v>50103</v>
          </cell>
        </row>
        <row r="6920">
          <cell r="G6920" t="str">
            <v>Phường Chính Gián</v>
          </cell>
          <cell r="I6920" t="str">
            <v>50103</v>
          </cell>
        </row>
        <row r="6921">
          <cell r="G6921" t="str">
            <v>Phường Vĩnh Trung</v>
          </cell>
          <cell r="I6921" t="str">
            <v>50103</v>
          </cell>
        </row>
        <row r="6922">
          <cell r="G6922" t="str">
            <v>Phường An Khê</v>
          </cell>
          <cell r="I6922" t="str">
            <v>50103</v>
          </cell>
        </row>
        <row r="6923">
          <cell r="G6923" t="str">
            <v>Phường Thanh Khê Đông</v>
          </cell>
          <cell r="I6923" t="str">
            <v>50103</v>
          </cell>
        </row>
        <row r="6924">
          <cell r="G6924" t="str">
            <v>Phường Thanh Khê Tây</v>
          </cell>
          <cell r="I6924" t="str">
            <v>50103</v>
          </cell>
        </row>
        <row r="6925">
          <cell r="G6925" t="str">
            <v>Phường Hoà Khê</v>
          </cell>
          <cell r="I6925" t="str">
            <v>50103</v>
          </cell>
        </row>
        <row r="6926">
          <cell r="G6926" t="str">
            <v>Phường An Hải Tây</v>
          </cell>
          <cell r="I6926" t="str">
            <v>50105</v>
          </cell>
        </row>
        <row r="6927">
          <cell r="G6927" t="str">
            <v>Phường Thọ Quang</v>
          </cell>
          <cell r="I6927" t="str">
            <v>50105</v>
          </cell>
        </row>
        <row r="6928">
          <cell r="G6928" t="str">
            <v>Phường Phước Mỹ</v>
          </cell>
          <cell r="I6928" t="str">
            <v>50105</v>
          </cell>
        </row>
        <row r="6929">
          <cell r="G6929" t="str">
            <v>Phường Nại Hiên Đông</v>
          </cell>
          <cell r="I6929" t="str">
            <v>50105</v>
          </cell>
        </row>
        <row r="6930">
          <cell r="G6930" t="str">
            <v>Phường Mân Thái</v>
          </cell>
          <cell r="I6930" t="str">
            <v>50105</v>
          </cell>
        </row>
        <row r="6931">
          <cell r="G6931" t="str">
            <v>Phường An Hải Bắc</v>
          </cell>
          <cell r="I6931" t="str">
            <v>50105</v>
          </cell>
        </row>
        <row r="6932">
          <cell r="G6932" t="str">
            <v>Phường An Hải Đông</v>
          </cell>
          <cell r="I6932" t="str">
            <v>50105</v>
          </cell>
        </row>
        <row r="6933">
          <cell r="G6933" t="str">
            <v>Phường Hoà Quý</v>
          </cell>
          <cell r="I6933" t="str">
            <v>50107</v>
          </cell>
        </row>
        <row r="6934">
          <cell r="G6934" t="str">
            <v>Phường Mỹ An</v>
          </cell>
          <cell r="I6934" t="str">
            <v>50107</v>
          </cell>
        </row>
        <row r="6935">
          <cell r="G6935" t="str">
            <v>Phường Khuê Mỹ</v>
          </cell>
          <cell r="I6935" t="str">
            <v>50107</v>
          </cell>
        </row>
        <row r="6936">
          <cell r="G6936" t="str">
            <v>Phường Hoà Hải</v>
          </cell>
          <cell r="I6936" t="str">
            <v>50107</v>
          </cell>
        </row>
        <row r="6937">
          <cell r="G6937" t="str">
            <v>Phường Hoà Khánh Bắc</v>
          </cell>
          <cell r="I6937" t="str">
            <v>50109</v>
          </cell>
        </row>
        <row r="6938">
          <cell r="G6938" t="str">
            <v>Phường Hoà Hiệp Bắc</v>
          </cell>
          <cell r="I6938" t="str">
            <v>50109</v>
          </cell>
        </row>
        <row r="6939">
          <cell r="G6939" t="str">
            <v>Phường Hoà Minh</v>
          </cell>
          <cell r="I6939" t="str">
            <v>50109</v>
          </cell>
        </row>
        <row r="6940">
          <cell r="G6940" t="str">
            <v>Phường Hoà Hiệp Nam</v>
          </cell>
          <cell r="I6940" t="str">
            <v>50109</v>
          </cell>
        </row>
        <row r="6941">
          <cell r="G6941" t="str">
            <v>Phường Hoà Khánh Nam</v>
          </cell>
          <cell r="I6941" t="str">
            <v>50109</v>
          </cell>
        </row>
        <row r="6942">
          <cell r="G6942" t="str">
            <v>Xã Hoà Phú</v>
          </cell>
          <cell r="I6942" t="str">
            <v>50111</v>
          </cell>
        </row>
        <row r="6943">
          <cell r="G6943" t="str">
            <v>Xã Hoà Sơn</v>
          </cell>
          <cell r="I6943" t="str">
            <v>50111</v>
          </cell>
        </row>
        <row r="6944">
          <cell r="G6944" t="str">
            <v>Xã Hoà Châu</v>
          </cell>
          <cell r="I6944" t="str">
            <v>50111</v>
          </cell>
        </row>
        <row r="6945">
          <cell r="G6945" t="str">
            <v>Xã Hoà Bắc</v>
          </cell>
          <cell r="I6945" t="str">
            <v>50111</v>
          </cell>
        </row>
        <row r="6946">
          <cell r="G6946" t="str">
            <v>Xã Hoà Liên</v>
          </cell>
          <cell r="I6946" t="str">
            <v>50111</v>
          </cell>
        </row>
        <row r="6947">
          <cell r="G6947" t="str">
            <v>Xã Hoà Ninh</v>
          </cell>
          <cell r="I6947" t="str">
            <v>50111</v>
          </cell>
        </row>
        <row r="6948">
          <cell r="G6948" t="str">
            <v>Xã Hoà Nhơn</v>
          </cell>
          <cell r="I6948" t="str">
            <v>50111</v>
          </cell>
        </row>
        <row r="6949">
          <cell r="G6949" t="str">
            <v>Xã Hoà Phong</v>
          </cell>
          <cell r="I6949" t="str">
            <v>50111</v>
          </cell>
        </row>
        <row r="6950">
          <cell r="G6950" t="str">
            <v>Xã Hoà Tiến</v>
          </cell>
          <cell r="I6950" t="str">
            <v>50111</v>
          </cell>
        </row>
        <row r="6951">
          <cell r="G6951" t="str">
            <v>Xã Hoà Phước</v>
          </cell>
          <cell r="I6951" t="str">
            <v>50111</v>
          </cell>
        </row>
        <row r="6952">
          <cell r="G6952" t="str">
            <v>Xã Hoà Khương</v>
          </cell>
          <cell r="I6952" t="str">
            <v>50111</v>
          </cell>
        </row>
        <row r="6953">
          <cell r="G6953" t="str">
            <v>Phường Khuê Trung</v>
          </cell>
          <cell r="I6953" t="str">
            <v>50115</v>
          </cell>
        </row>
        <row r="6954">
          <cell r="G6954" t="str">
            <v>Phường Hoà Xuân</v>
          </cell>
          <cell r="I6954" t="str">
            <v>50115</v>
          </cell>
        </row>
        <row r="6955">
          <cell r="G6955" t="str">
            <v>Phường Hoà Thọ Đông</v>
          </cell>
          <cell r="I6955" t="str">
            <v>50115</v>
          </cell>
        </row>
        <row r="6956">
          <cell r="G6956" t="str">
            <v>Phường Hoà Thọ Tây</v>
          </cell>
          <cell r="I6956" t="str">
            <v>50115</v>
          </cell>
        </row>
        <row r="6957">
          <cell r="G6957" t="str">
            <v>Phường Hoà An</v>
          </cell>
          <cell r="I6957" t="str">
            <v>50115</v>
          </cell>
        </row>
        <row r="6958">
          <cell r="G6958" t="str">
            <v>Phường Hoà Phát</v>
          </cell>
          <cell r="I6958" t="str">
            <v>50115</v>
          </cell>
        </row>
        <row r="6959">
          <cell r="G6959" t="str">
            <v>Phường Hòa Hương</v>
          </cell>
          <cell r="I6959" t="str">
            <v>50301</v>
          </cell>
        </row>
        <row r="6960">
          <cell r="G6960" t="str">
            <v>Phường Phước Hòa</v>
          </cell>
          <cell r="I6960" t="str">
            <v>50301</v>
          </cell>
        </row>
        <row r="6961">
          <cell r="G6961" t="str">
            <v>Phường An Sơn</v>
          </cell>
          <cell r="I6961" t="str">
            <v>50301</v>
          </cell>
        </row>
        <row r="6962">
          <cell r="G6962" t="str">
            <v>Xã Tam Thăng</v>
          </cell>
          <cell r="I6962" t="str">
            <v>50301</v>
          </cell>
        </row>
        <row r="6963">
          <cell r="G6963" t="str">
            <v>Phường Tân Thạnh</v>
          </cell>
          <cell r="I6963" t="str">
            <v>50301</v>
          </cell>
        </row>
        <row r="6964">
          <cell r="G6964" t="str">
            <v>Phường An Mỹ</v>
          </cell>
          <cell r="I6964" t="str">
            <v>50301</v>
          </cell>
        </row>
        <row r="6965">
          <cell r="G6965" t="str">
            <v>Phường An Xuân</v>
          </cell>
          <cell r="I6965" t="str">
            <v>50301</v>
          </cell>
        </row>
        <row r="6966">
          <cell r="G6966" t="str">
            <v>Phường Trường Xuân</v>
          </cell>
          <cell r="I6966" t="str">
            <v>50301</v>
          </cell>
        </row>
        <row r="6967">
          <cell r="G6967" t="str">
            <v>Phường An Phú</v>
          </cell>
          <cell r="I6967" t="str">
            <v>50301</v>
          </cell>
        </row>
        <row r="6968">
          <cell r="G6968" t="str">
            <v xml:space="preserve">Xã Tam Thanh   </v>
          </cell>
          <cell r="I6968" t="str">
            <v>50301</v>
          </cell>
        </row>
        <row r="6969">
          <cell r="G6969" t="str">
            <v>Xã Tam Phú</v>
          </cell>
          <cell r="I6969" t="str">
            <v>50301</v>
          </cell>
        </row>
        <row r="6970">
          <cell r="G6970" t="str">
            <v>Phường Hòa Thuận</v>
          </cell>
          <cell r="I6970" t="str">
            <v>50301</v>
          </cell>
        </row>
        <row r="6971">
          <cell r="G6971" t="str">
            <v>Xã Tam Ngọc</v>
          </cell>
          <cell r="I6971" t="str">
            <v>50301</v>
          </cell>
        </row>
        <row r="6972">
          <cell r="G6972" t="str">
            <v>Xã Tam Dân</v>
          </cell>
          <cell r="I6972" t="str">
            <v>50302</v>
          </cell>
        </row>
        <row r="6973">
          <cell r="G6973" t="str">
            <v>Xã Tam Lãnh</v>
          </cell>
          <cell r="I6973" t="str">
            <v>50302</v>
          </cell>
        </row>
        <row r="6974">
          <cell r="G6974" t="str">
            <v xml:space="preserve">Xã Tam Thái </v>
          </cell>
          <cell r="I6974" t="str">
            <v>50302</v>
          </cell>
        </row>
        <row r="6975">
          <cell r="G6975" t="str">
            <v>Xã Tam Đại</v>
          </cell>
          <cell r="I6975" t="str">
            <v>50302</v>
          </cell>
        </row>
        <row r="6976">
          <cell r="G6976" t="str">
            <v>Xã Tam Vinh</v>
          </cell>
          <cell r="I6976" t="str">
            <v>50302</v>
          </cell>
        </row>
        <row r="6977">
          <cell r="G6977" t="str">
            <v>Xã Tam Đàn</v>
          </cell>
          <cell r="I6977" t="str">
            <v>50302</v>
          </cell>
        </row>
        <row r="6978">
          <cell r="G6978" t="str">
            <v>Xã Tam An</v>
          </cell>
          <cell r="I6978" t="str">
            <v>50302</v>
          </cell>
        </row>
        <row r="6979">
          <cell r="G6979" t="str">
            <v>Xã Tam Thành</v>
          </cell>
          <cell r="I6979" t="str">
            <v>50302</v>
          </cell>
        </row>
        <row r="6980">
          <cell r="G6980" t="str">
            <v>Xã Tam Phước</v>
          </cell>
          <cell r="I6980" t="str">
            <v>50302</v>
          </cell>
        </row>
        <row r="6981">
          <cell r="G6981" t="str">
            <v>Xã Tam Lộc</v>
          </cell>
          <cell r="I6981" t="str">
            <v>50302</v>
          </cell>
        </row>
        <row r="6982">
          <cell r="G6982" t="str">
            <v>Thị trấn Phú Thịnh</v>
          </cell>
          <cell r="I6982" t="str">
            <v>50302</v>
          </cell>
        </row>
        <row r="6983">
          <cell r="G6983" t="str">
            <v>Phường Cẩm Châu</v>
          </cell>
          <cell r="I6983" t="str">
            <v>50303</v>
          </cell>
        </row>
        <row r="6984">
          <cell r="G6984" t="str">
            <v>Phường Minh An</v>
          </cell>
          <cell r="I6984" t="str">
            <v>50303</v>
          </cell>
        </row>
        <row r="6985">
          <cell r="G6985" t="str">
            <v>Phường Sơn Phong</v>
          </cell>
          <cell r="I6985" t="str">
            <v>50303</v>
          </cell>
        </row>
        <row r="6986">
          <cell r="G6986" t="str">
            <v>Xã Cẩm Kim</v>
          </cell>
          <cell r="I6986" t="str">
            <v>50303</v>
          </cell>
        </row>
        <row r="6987">
          <cell r="G6987" t="str">
            <v xml:space="preserve">Xã Tân Hiệp </v>
          </cell>
          <cell r="I6987" t="str">
            <v>50303</v>
          </cell>
        </row>
        <row r="6988">
          <cell r="G6988" t="str">
            <v xml:space="preserve">Phường Tân An  </v>
          </cell>
          <cell r="I6988" t="str">
            <v>50303</v>
          </cell>
        </row>
        <row r="6989">
          <cell r="G6989" t="str">
            <v>Phường Cẩm Phô</v>
          </cell>
          <cell r="I6989" t="str">
            <v>50303</v>
          </cell>
        </row>
        <row r="6990">
          <cell r="G6990" t="str">
            <v>Phường Thanh Hà</v>
          </cell>
          <cell r="I6990" t="str">
            <v>50303</v>
          </cell>
        </row>
        <row r="6991">
          <cell r="G6991" t="str">
            <v>Phường Cửa Đại</v>
          </cell>
          <cell r="I6991" t="str">
            <v>50303</v>
          </cell>
        </row>
        <row r="6992">
          <cell r="G6992" t="str">
            <v>Phường Cẩm An</v>
          </cell>
          <cell r="I6992" t="str">
            <v>50303</v>
          </cell>
        </row>
        <row r="6993">
          <cell r="G6993" t="str">
            <v xml:space="preserve">Xã Cẩm Hà </v>
          </cell>
          <cell r="I6993" t="str">
            <v>50303</v>
          </cell>
        </row>
        <row r="6994">
          <cell r="G6994" t="str">
            <v>Phường Cẩm Nam</v>
          </cell>
          <cell r="I6994" t="str">
            <v>50303</v>
          </cell>
        </row>
        <row r="6995">
          <cell r="G6995" t="str">
            <v>Xã Cẩm Thanh</v>
          </cell>
          <cell r="I6995" t="str">
            <v>50303</v>
          </cell>
        </row>
        <row r="6996">
          <cell r="G6996" t="str">
            <v>Xã A Nông</v>
          </cell>
          <cell r="I6996" t="str">
            <v>50304</v>
          </cell>
        </row>
        <row r="6997">
          <cell r="G6997" t="str">
            <v>Xã Tr Hy</v>
          </cell>
          <cell r="I6997" t="str">
            <v>50304</v>
          </cell>
        </row>
        <row r="6998">
          <cell r="G6998" t="str">
            <v>Xã Bha Lê</v>
          </cell>
          <cell r="I6998" t="str">
            <v>50304</v>
          </cell>
        </row>
        <row r="6999">
          <cell r="G6999" t="str">
            <v>Xã Ch ơm</v>
          </cell>
          <cell r="I6999" t="str">
            <v>50304</v>
          </cell>
        </row>
        <row r="7000">
          <cell r="G7000" t="str">
            <v>Xã Ga Ri</v>
          </cell>
          <cell r="I7000" t="str">
            <v>50304</v>
          </cell>
        </row>
        <row r="7001">
          <cell r="G7001" t="str">
            <v>Xã A Xan</v>
          </cell>
          <cell r="I7001" t="str">
            <v>50304</v>
          </cell>
        </row>
        <row r="7002">
          <cell r="G7002" t="str">
            <v>Xã Lăng</v>
          </cell>
          <cell r="I7002" t="str">
            <v>50304</v>
          </cell>
        </row>
        <row r="7003">
          <cell r="G7003" t="str">
            <v>Xã A Tiêng</v>
          </cell>
          <cell r="I7003" t="str">
            <v>50304</v>
          </cell>
        </row>
        <row r="7004">
          <cell r="G7004" t="str">
            <v>Xã A Vương</v>
          </cell>
          <cell r="I7004" t="str">
            <v>50304</v>
          </cell>
        </row>
        <row r="7005">
          <cell r="G7005" t="str">
            <v>Xã Dang</v>
          </cell>
          <cell r="I7005" t="str">
            <v>50304</v>
          </cell>
        </row>
        <row r="7006">
          <cell r="G7006" t="str">
            <v>Xã Ba</v>
          </cell>
          <cell r="I7006" t="str">
            <v>50305</v>
          </cell>
        </row>
        <row r="7007">
          <cell r="G7007" t="str">
            <v>Thị trấn P Rao</v>
          </cell>
          <cell r="I7007" t="str">
            <v>50305</v>
          </cell>
        </row>
        <row r="7008">
          <cell r="G7008" t="str">
            <v>Xã Tư</v>
          </cell>
          <cell r="I7008" t="str">
            <v>50305</v>
          </cell>
        </row>
        <row r="7009">
          <cell r="G7009" t="str">
            <v>Xã Za Hung</v>
          </cell>
          <cell r="I7009" t="str">
            <v>50305</v>
          </cell>
        </row>
        <row r="7010">
          <cell r="G7010" t="str">
            <v>Xã Tà Lu</v>
          </cell>
          <cell r="I7010" t="str">
            <v>50305</v>
          </cell>
        </row>
        <row r="7011">
          <cell r="G7011" t="str">
            <v>Xã Sông Kôn</v>
          </cell>
          <cell r="I7011" t="str">
            <v>50305</v>
          </cell>
        </row>
        <row r="7012">
          <cell r="G7012" t="str">
            <v>Xã Zơ Ngây</v>
          </cell>
          <cell r="I7012" t="str">
            <v>50305</v>
          </cell>
        </row>
        <row r="7013">
          <cell r="G7013" t="str">
            <v>Xã ATing</v>
          </cell>
          <cell r="I7013" t="str">
            <v>50305</v>
          </cell>
        </row>
        <row r="7014">
          <cell r="G7014" t="str">
            <v>Xã A Rooi</v>
          </cell>
          <cell r="I7014" t="str">
            <v>50305</v>
          </cell>
        </row>
        <row r="7015">
          <cell r="G7015" t="str">
            <v>Xã Mà Cooil</v>
          </cell>
          <cell r="I7015" t="str">
            <v>50305</v>
          </cell>
        </row>
        <row r="7016">
          <cell r="G7016" t="str">
            <v>Xã Ka Dăng</v>
          </cell>
          <cell r="I7016" t="str">
            <v>50305</v>
          </cell>
        </row>
        <row r="7017">
          <cell r="G7017" t="str">
            <v>Xã Đại Hồng</v>
          </cell>
          <cell r="I7017" t="str">
            <v>50307</v>
          </cell>
        </row>
        <row r="7018">
          <cell r="G7018" t="str">
            <v>Xã Đại Hòa</v>
          </cell>
          <cell r="I7018" t="str">
            <v>50307</v>
          </cell>
        </row>
        <row r="7019">
          <cell r="G7019" t="str">
            <v>Thị trấn ái Nghĩa</v>
          </cell>
          <cell r="I7019" t="str">
            <v>50307</v>
          </cell>
        </row>
        <row r="7020">
          <cell r="G7020" t="str">
            <v xml:space="preserve">Xã Đại Đồng        </v>
          </cell>
          <cell r="I7020" t="str">
            <v>50307</v>
          </cell>
        </row>
        <row r="7021">
          <cell r="G7021" t="str">
            <v>Xã Đại Thạnh</v>
          </cell>
          <cell r="I7021" t="str">
            <v>50307</v>
          </cell>
        </row>
        <row r="7022">
          <cell r="G7022" t="str">
            <v xml:space="preserve">Xã Đại Minh </v>
          </cell>
          <cell r="I7022" t="str">
            <v>50307</v>
          </cell>
        </row>
        <row r="7023">
          <cell r="G7023" t="str">
            <v xml:space="preserve">Xã Đại Sơn   </v>
          </cell>
          <cell r="I7023" t="str">
            <v>50307</v>
          </cell>
        </row>
        <row r="7024">
          <cell r="G7024" t="str">
            <v>Xã Đại Lãnh</v>
          </cell>
          <cell r="I7024" t="str">
            <v>50307</v>
          </cell>
        </row>
        <row r="7025">
          <cell r="G7025" t="str">
            <v xml:space="preserve">Xã Đại Hưng  </v>
          </cell>
          <cell r="I7025" t="str">
            <v>50307</v>
          </cell>
        </row>
        <row r="7026">
          <cell r="G7026" t="str">
            <v>Xã Đại Quang</v>
          </cell>
          <cell r="I7026" t="str">
            <v>50307</v>
          </cell>
        </row>
        <row r="7027">
          <cell r="G7027" t="str">
            <v xml:space="preserve">Xã Đại Nghĩa </v>
          </cell>
          <cell r="I7027" t="str">
            <v>50307</v>
          </cell>
        </row>
        <row r="7028">
          <cell r="G7028" t="str">
            <v>Xã Đại Hiệp</v>
          </cell>
          <cell r="I7028" t="str">
            <v>50307</v>
          </cell>
        </row>
        <row r="7029">
          <cell r="G7029" t="str">
            <v>Xã Đại Chánh</v>
          </cell>
          <cell r="I7029" t="str">
            <v>50307</v>
          </cell>
        </row>
        <row r="7030">
          <cell r="G7030" t="str">
            <v>Xã Đại Tân</v>
          </cell>
          <cell r="I7030" t="str">
            <v>50307</v>
          </cell>
        </row>
        <row r="7031">
          <cell r="G7031" t="str">
            <v>Xã Đại Phong</v>
          </cell>
          <cell r="I7031" t="str">
            <v>50307</v>
          </cell>
        </row>
        <row r="7032">
          <cell r="G7032" t="str">
            <v xml:space="preserve">Xã Đại Thắng   </v>
          </cell>
          <cell r="I7032" t="str">
            <v>50307</v>
          </cell>
        </row>
        <row r="7033">
          <cell r="G7033" t="str">
            <v xml:space="preserve">Xã Đại Cường </v>
          </cell>
          <cell r="I7033" t="str">
            <v>50307</v>
          </cell>
        </row>
        <row r="7034">
          <cell r="G7034" t="str">
            <v xml:space="preserve">Xã Đại An   </v>
          </cell>
          <cell r="I7034" t="str">
            <v>50307</v>
          </cell>
        </row>
        <row r="7035">
          <cell r="G7035" t="str">
            <v>Xã Điện Phước</v>
          </cell>
          <cell r="I7035" t="str">
            <v>50309</v>
          </cell>
        </row>
        <row r="7036">
          <cell r="G7036" t="str">
            <v>Phường Vĩnh Điện</v>
          </cell>
          <cell r="I7036" t="str">
            <v>50309</v>
          </cell>
        </row>
        <row r="7037">
          <cell r="G7037" t="str">
            <v>Xã Điện Hồng</v>
          </cell>
          <cell r="I7037" t="str">
            <v>50309</v>
          </cell>
        </row>
        <row r="7038">
          <cell r="G7038" t="str">
            <v>Phường Điện Nam Bắc</v>
          </cell>
          <cell r="I7038" t="str">
            <v>50309</v>
          </cell>
        </row>
        <row r="7039">
          <cell r="G7039" t="str">
            <v>Xã Điện Phong</v>
          </cell>
          <cell r="I7039" t="str">
            <v>50309</v>
          </cell>
        </row>
        <row r="7040">
          <cell r="G7040" t="str">
            <v>Xã Điện Tiến</v>
          </cell>
          <cell r="I7040" t="str">
            <v>50309</v>
          </cell>
        </row>
        <row r="7041">
          <cell r="G7041" t="str">
            <v>Xã Điện Hòa</v>
          </cell>
          <cell r="I7041" t="str">
            <v>50309</v>
          </cell>
        </row>
        <row r="7042">
          <cell r="G7042" t="str">
            <v>Xã Điện Thắng Bắc</v>
          </cell>
          <cell r="I7042" t="str">
            <v>50309</v>
          </cell>
        </row>
        <row r="7043">
          <cell r="G7043" t="str">
            <v>Xã Điện Thắng Trung</v>
          </cell>
          <cell r="I7043" t="str">
            <v>50309</v>
          </cell>
        </row>
        <row r="7044">
          <cell r="G7044" t="str">
            <v>Xã Điện Thắng Nam</v>
          </cell>
          <cell r="I7044" t="str">
            <v>50309</v>
          </cell>
        </row>
        <row r="7045">
          <cell r="G7045" t="str">
            <v>Phường Điện Ngọc</v>
          </cell>
          <cell r="I7045" t="str">
            <v>50309</v>
          </cell>
        </row>
        <row r="7046">
          <cell r="G7046" t="str">
            <v>Xã Điện Thọ</v>
          </cell>
          <cell r="I7046" t="str">
            <v>50309</v>
          </cell>
        </row>
        <row r="7047">
          <cell r="G7047" t="str">
            <v>Phường Điện An</v>
          </cell>
          <cell r="I7047" t="str">
            <v>50309</v>
          </cell>
        </row>
        <row r="7048">
          <cell r="G7048" t="str">
            <v>Phường Điện Nam Trung</v>
          </cell>
          <cell r="I7048" t="str">
            <v>50309</v>
          </cell>
        </row>
        <row r="7049">
          <cell r="G7049" t="str">
            <v>Phường Điện Nam Đông</v>
          </cell>
          <cell r="I7049" t="str">
            <v>50309</v>
          </cell>
        </row>
        <row r="7050">
          <cell r="G7050" t="str">
            <v>Phường Điện Dương</v>
          </cell>
          <cell r="I7050" t="str">
            <v>50309</v>
          </cell>
        </row>
        <row r="7051">
          <cell r="G7051" t="str">
            <v>Xã Điện Quang</v>
          </cell>
          <cell r="I7051" t="str">
            <v>50309</v>
          </cell>
        </row>
        <row r="7052">
          <cell r="G7052" t="str">
            <v>Xã Điện Trung</v>
          </cell>
          <cell r="I7052" t="str">
            <v>50309</v>
          </cell>
        </row>
        <row r="7053">
          <cell r="G7053" t="str">
            <v>Xã Điện Minh</v>
          </cell>
          <cell r="I7053" t="str">
            <v>50309</v>
          </cell>
        </row>
        <row r="7054">
          <cell r="G7054" t="str">
            <v>Xã Điện Phương</v>
          </cell>
          <cell r="I7054" t="str">
            <v>50309</v>
          </cell>
        </row>
        <row r="7055">
          <cell r="G7055" t="str">
            <v>Xã Duy Nghĩa</v>
          </cell>
          <cell r="I7055" t="str">
            <v>50311</v>
          </cell>
        </row>
        <row r="7056">
          <cell r="G7056" t="str">
            <v>Thị trấn Nam Phước</v>
          </cell>
          <cell r="I7056" t="str">
            <v>50311</v>
          </cell>
        </row>
        <row r="7057">
          <cell r="G7057" t="str">
            <v>Xã Duy Trung</v>
          </cell>
          <cell r="I7057" t="str">
            <v>50311</v>
          </cell>
        </row>
        <row r="7058">
          <cell r="G7058" t="str">
            <v>Xã Duy Phước</v>
          </cell>
          <cell r="I7058" t="str">
            <v>50311</v>
          </cell>
        </row>
        <row r="7059">
          <cell r="G7059" t="str">
            <v>Xã Duy Thu</v>
          </cell>
          <cell r="I7059" t="str">
            <v>50311</v>
          </cell>
        </row>
        <row r="7060">
          <cell r="G7060" t="str">
            <v>Xã Duy Châu</v>
          </cell>
          <cell r="I7060" t="str">
            <v>50311</v>
          </cell>
        </row>
        <row r="7061">
          <cell r="G7061" t="str">
            <v>Xã Duy Thành</v>
          </cell>
          <cell r="I7061" t="str">
            <v>50311</v>
          </cell>
        </row>
        <row r="7062">
          <cell r="G7062" t="str">
            <v>Xã Duy Vinh</v>
          </cell>
          <cell r="I7062" t="str">
            <v>50311</v>
          </cell>
        </row>
        <row r="7063">
          <cell r="G7063" t="str">
            <v xml:space="preserve">Xã Duy Hải </v>
          </cell>
          <cell r="I7063" t="str">
            <v>50311</v>
          </cell>
        </row>
        <row r="7064">
          <cell r="G7064" t="str">
            <v>Xã Duy Phú</v>
          </cell>
          <cell r="I7064" t="str">
            <v>50311</v>
          </cell>
        </row>
        <row r="7065">
          <cell r="G7065" t="str">
            <v xml:space="preserve">Xã Duy Tân </v>
          </cell>
          <cell r="I7065" t="str">
            <v>50311</v>
          </cell>
        </row>
        <row r="7066">
          <cell r="G7066" t="str">
            <v>Xã Duy Hòa</v>
          </cell>
          <cell r="I7066" t="str">
            <v>50311</v>
          </cell>
        </row>
        <row r="7067">
          <cell r="G7067" t="str">
            <v>Xã Duy Trinh</v>
          </cell>
          <cell r="I7067" t="str">
            <v>50311</v>
          </cell>
        </row>
        <row r="7068">
          <cell r="G7068" t="str">
            <v>Xã Duy Sơn</v>
          </cell>
          <cell r="I7068" t="str">
            <v>50311</v>
          </cell>
        </row>
        <row r="7069">
          <cell r="G7069" t="str">
            <v>Xã Laêê</v>
          </cell>
          <cell r="I7069" t="str">
            <v>50313</v>
          </cell>
        </row>
        <row r="7070">
          <cell r="G7070" t="str">
            <v>Xã Zuôih</v>
          </cell>
          <cell r="I7070" t="str">
            <v>50313</v>
          </cell>
        </row>
        <row r="7071">
          <cell r="G7071" t="str">
            <v>Xã Chà vàl</v>
          </cell>
          <cell r="I7071" t="str">
            <v>50313</v>
          </cell>
        </row>
        <row r="7072">
          <cell r="G7072" t="str">
            <v>Thị trấn Thạnh Mỹ</v>
          </cell>
          <cell r="I7072" t="str">
            <v>50313</v>
          </cell>
        </row>
        <row r="7073">
          <cell r="G7073" t="str">
            <v>Xã Tà Bhing</v>
          </cell>
          <cell r="I7073" t="str">
            <v>50313</v>
          </cell>
        </row>
        <row r="7074">
          <cell r="G7074" t="str">
            <v>Xã Cà Dy</v>
          </cell>
          <cell r="I7074" t="str">
            <v>50313</v>
          </cell>
        </row>
        <row r="7075">
          <cell r="G7075" t="str">
            <v>Xã La Dêê</v>
          </cell>
          <cell r="I7075" t="str">
            <v>50313</v>
          </cell>
        </row>
        <row r="7076">
          <cell r="G7076" t="str">
            <v>Xã Đắc Pring</v>
          </cell>
          <cell r="I7076" t="str">
            <v>50313</v>
          </cell>
        </row>
        <row r="7077">
          <cell r="G7077" t="str">
            <v>Xã Đắc Pre</v>
          </cell>
          <cell r="I7077" t="str">
            <v>50313</v>
          </cell>
        </row>
        <row r="7078">
          <cell r="G7078" t="str">
            <v>Xã Chơ Chun</v>
          </cell>
          <cell r="I7078" t="str">
            <v>50313</v>
          </cell>
        </row>
        <row r="7079">
          <cell r="G7079" t="str">
            <v>Xã Đắc Tôi</v>
          </cell>
          <cell r="I7079" t="str">
            <v>50313</v>
          </cell>
        </row>
        <row r="7080">
          <cell r="G7080" t="str">
            <v>Xã Tà Pơơ</v>
          </cell>
          <cell r="I7080" t="str">
            <v>50313</v>
          </cell>
        </row>
        <row r="7081">
          <cell r="G7081" t="str">
            <v>Xã Bình Phục</v>
          </cell>
          <cell r="I7081" t="str">
            <v>50315</v>
          </cell>
        </row>
        <row r="7082">
          <cell r="G7082" t="str">
            <v>Xã Bình Hải</v>
          </cell>
          <cell r="I7082" t="str">
            <v>50315</v>
          </cell>
        </row>
        <row r="7083">
          <cell r="G7083" t="str">
            <v>Xã Bình Giang</v>
          </cell>
          <cell r="I7083" t="str">
            <v>50315</v>
          </cell>
        </row>
        <row r="7084">
          <cell r="G7084" t="str">
            <v>Xã Bình Đào</v>
          </cell>
          <cell r="I7084" t="str">
            <v>50315</v>
          </cell>
        </row>
        <row r="7085">
          <cell r="G7085" t="str">
            <v xml:space="preserve">Xã Bình Định   </v>
          </cell>
          <cell r="I7085" t="str">
            <v>50315</v>
          </cell>
        </row>
        <row r="7086">
          <cell r="G7086" t="str">
            <v>Xã Bình Tú</v>
          </cell>
          <cell r="I7086" t="str">
            <v>50315</v>
          </cell>
        </row>
        <row r="7087">
          <cell r="G7087" t="str">
            <v>Xã Bình An</v>
          </cell>
          <cell r="I7087" t="str">
            <v>50315</v>
          </cell>
        </row>
        <row r="7088">
          <cell r="G7088" t="str">
            <v>Thị trấn Hà Lam</v>
          </cell>
          <cell r="I7088" t="str">
            <v>50315</v>
          </cell>
        </row>
        <row r="7089">
          <cell r="G7089" t="str">
            <v xml:space="preserve">Xã Bình Dương    </v>
          </cell>
          <cell r="I7089" t="str">
            <v>50315</v>
          </cell>
        </row>
        <row r="7090">
          <cell r="G7090" t="str">
            <v xml:space="preserve">Xã Bình Nguyên </v>
          </cell>
          <cell r="I7090" t="str">
            <v>50315</v>
          </cell>
        </row>
        <row r="7091">
          <cell r="G7091" t="str">
            <v>Xã Bình Triều</v>
          </cell>
          <cell r="I7091" t="str">
            <v>50315</v>
          </cell>
        </row>
        <row r="7092">
          <cell r="G7092" t="str">
            <v xml:space="preserve">Xã Bình Minh      </v>
          </cell>
          <cell r="I7092" t="str">
            <v>50315</v>
          </cell>
        </row>
        <row r="7093">
          <cell r="G7093" t="str">
            <v>Xã Bình Lãnh</v>
          </cell>
          <cell r="I7093" t="str">
            <v>50315</v>
          </cell>
        </row>
        <row r="7094">
          <cell r="G7094" t="str">
            <v>Xã Bình Trị</v>
          </cell>
          <cell r="I7094" t="str">
            <v>50315</v>
          </cell>
        </row>
        <row r="7095">
          <cell r="G7095" t="str">
            <v>Xã Bình Quý</v>
          </cell>
          <cell r="I7095" t="str">
            <v>50315</v>
          </cell>
        </row>
        <row r="7096">
          <cell r="G7096" t="str">
            <v xml:space="preserve">Xã Bình Phú  </v>
          </cell>
          <cell r="I7096" t="str">
            <v>50315</v>
          </cell>
        </row>
        <row r="7097">
          <cell r="G7097" t="str">
            <v>Xã Bình Chánh</v>
          </cell>
          <cell r="I7097" t="str">
            <v>50315</v>
          </cell>
        </row>
        <row r="7098">
          <cell r="G7098" t="str">
            <v>Xã Bình Sa</v>
          </cell>
          <cell r="I7098" t="str">
            <v>50315</v>
          </cell>
        </row>
        <row r="7099">
          <cell r="G7099" t="str">
            <v>Xã Bình Quế</v>
          </cell>
          <cell r="I7099" t="str">
            <v>50315</v>
          </cell>
        </row>
        <row r="7100">
          <cell r="G7100" t="str">
            <v xml:space="preserve">Xã Bình Trung  </v>
          </cell>
          <cell r="I7100" t="str">
            <v>50315</v>
          </cell>
        </row>
        <row r="7101">
          <cell r="G7101" t="str">
            <v>Xã Bình Nam</v>
          </cell>
          <cell r="I7101" t="str">
            <v>50315</v>
          </cell>
        </row>
        <row r="7102">
          <cell r="G7102" t="str">
            <v>Xã Bình Định Bắc</v>
          </cell>
          <cell r="I7102" t="str">
            <v>50315</v>
          </cell>
        </row>
        <row r="7103">
          <cell r="G7103" t="str">
            <v>Xã Bình Định Nam</v>
          </cell>
          <cell r="I7103" t="str">
            <v>50315</v>
          </cell>
        </row>
        <row r="7104">
          <cell r="G7104" t="str">
            <v>Xã Quế Cường</v>
          </cell>
          <cell r="I7104" t="str">
            <v>50317</v>
          </cell>
        </row>
        <row r="7105">
          <cell r="G7105" t="str">
            <v>Xã Phú Thọ</v>
          </cell>
          <cell r="I7105" t="str">
            <v>50317</v>
          </cell>
        </row>
        <row r="7106">
          <cell r="G7106" t="str">
            <v>Xã Quế Long</v>
          </cell>
          <cell r="I7106" t="str">
            <v>50317</v>
          </cell>
        </row>
        <row r="7107">
          <cell r="G7107" t="str">
            <v>Xã Quế Minh</v>
          </cell>
          <cell r="I7107" t="str">
            <v>50317</v>
          </cell>
        </row>
        <row r="7108">
          <cell r="G7108" t="str">
            <v>Thị trấn Đông Phú</v>
          </cell>
          <cell r="I7108" t="str">
            <v>50317</v>
          </cell>
        </row>
        <row r="7109">
          <cell r="G7109" t="str">
            <v>Xã Quế Xuân 1</v>
          </cell>
          <cell r="I7109" t="str">
            <v>50317</v>
          </cell>
        </row>
        <row r="7110">
          <cell r="G7110" t="str">
            <v>Xã Quế Xuân 2</v>
          </cell>
          <cell r="I7110" t="str">
            <v>50317</v>
          </cell>
        </row>
        <row r="7111">
          <cell r="G7111" t="str">
            <v>Xã Quế Phú</v>
          </cell>
          <cell r="I7111" t="str">
            <v>50317</v>
          </cell>
        </row>
        <row r="7112">
          <cell r="G7112" t="str">
            <v>Xã Quế Hiệp</v>
          </cell>
          <cell r="I7112" t="str">
            <v>50317</v>
          </cell>
        </row>
        <row r="7113">
          <cell r="G7113" t="str">
            <v>Xã Quế Thuận</v>
          </cell>
          <cell r="I7113" t="str">
            <v>50317</v>
          </cell>
        </row>
        <row r="7114">
          <cell r="G7114" t="str">
            <v>Xã Quế Châu</v>
          </cell>
          <cell r="I7114" t="str">
            <v>50317</v>
          </cell>
        </row>
        <row r="7115">
          <cell r="G7115" t="str">
            <v>Xã Quế Phong</v>
          </cell>
          <cell r="I7115" t="str">
            <v>50317</v>
          </cell>
        </row>
        <row r="7116">
          <cell r="G7116" t="str">
            <v>Xã Quế An</v>
          </cell>
          <cell r="I7116" t="str">
            <v>50317</v>
          </cell>
        </row>
        <row r="7117">
          <cell r="G7117" t="str">
            <v>Xã Hương An</v>
          </cell>
          <cell r="I7117" t="str">
            <v>50317</v>
          </cell>
        </row>
        <row r="7118">
          <cell r="G7118" t="str">
            <v>Xã Quế Lộc</v>
          </cell>
          <cell r="I7118" t="str">
            <v>50318</v>
          </cell>
        </row>
        <row r="7119">
          <cell r="G7119" t="str">
            <v>Xã Sơn Viên</v>
          </cell>
          <cell r="I7119" t="str">
            <v>50318</v>
          </cell>
        </row>
        <row r="7120">
          <cell r="G7120" t="str">
            <v>Xã Quế Trung</v>
          </cell>
          <cell r="I7120" t="str">
            <v>50318</v>
          </cell>
        </row>
        <row r="7121">
          <cell r="G7121" t="str">
            <v>Xã Quế Ninh</v>
          </cell>
          <cell r="I7121" t="str">
            <v>50318</v>
          </cell>
        </row>
        <row r="7122">
          <cell r="G7122" t="str">
            <v>Xã Quế Phước</v>
          </cell>
          <cell r="I7122" t="str">
            <v>50318</v>
          </cell>
        </row>
        <row r="7123">
          <cell r="G7123" t="str">
            <v>Xã Phước Ninh</v>
          </cell>
          <cell r="I7123" t="str">
            <v>50318</v>
          </cell>
        </row>
        <row r="7124">
          <cell r="G7124" t="str">
            <v xml:space="preserve">Xã Quế Lâm </v>
          </cell>
          <cell r="I7124" t="str">
            <v>50318</v>
          </cell>
        </row>
        <row r="7125">
          <cell r="G7125" t="str">
            <v>Xã Bình Lâm</v>
          </cell>
          <cell r="I7125" t="str">
            <v>50319</v>
          </cell>
        </row>
        <row r="7126">
          <cell r="G7126" t="str">
            <v xml:space="preserve">Xã Hiệp Thuận </v>
          </cell>
          <cell r="I7126" t="str">
            <v>50319</v>
          </cell>
        </row>
        <row r="7127">
          <cell r="G7127" t="str">
            <v>Xã Phước Trà</v>
          </cell>
          <cell r="I7127" t="str">
            <v>50319</v>
          </cell>
        </row>
        <row r="7128">
          <cell r="G7128" t="str">
            <v>Xã Thăng Phước</v>
          </cell>
          <cell r="I7128" t="str">
            <v>50319</v>
          </cell>
        </row>
        <row r="7129">
          <cell r="G7129" t="str">
            <v>Thị trấn Tân An</v>
          </cell>
          <cell r="I7129" t="str">
            <v>50319</v>
          </cell>
        </row>
        <row r="7130">
          <cell r="G7130" t="str">
            <v xml:space="preserve">Xã Hiệp Hòa   </v>
          </cell>
          <cell r="I7130" t="str">
            <v>50319</v>
          </cell>
        </row>
        <row r="7131">
          <cell r="G7131" t="str">
            <v>Xã Quế Thọ</v>
          </cell>
          <cell r="I7131" t="str">
            <v>50319</v>
          </cell>
        </row>
        <row r="7132">
          <cell r="G7132" t="str">
            <v>Xã Sông Trà</v>
          </cell>
          <cell r="I7132" t="str">
            <v>50319</v>
          </cell>
        </row>
        <row r="7133">
          <cell r="G7133" t="str">
            <v>Xã Phước Gia</v>
          </cell>
          <cell r="I7133" t="str">
            <v>50319</v>
          </cell>
        </row>
        <row r="7134">
          <cell r="G7134" t="str">
            <v>Xã Quế Bình</v>
          </cell>
          <cell r="I7134" t="str">
            <v>50319</v>
          </cell>
        </row>
        <row r="7135">
          <cell r="G7135" t="str">
            <v>Xã Quế Lưu</v>
          </cell>
          <cell r="I7135" t="str">
            <v>50319</v>
          </cell>
        </row>
        <row r="7136">
          <cell r="G7136" t="str">
            <v xml:space="preserve">Xã Bình Sơn     </v>
          </cell>
          <cell r="I7136" t="str">
            <v>50319</v>
          </cell>
        </row>
        <row r="7137">
          <cell r="G7137" t="str">
            <v xml:space="preserve">Xã Tiên Hiệp </v>
          </cell>
          <cell r="I7137" t="str">
            <v>50321</v>
          </cell>
        </row>
        <row r="7138">
          <cell r="G7138" t="str">
            <v>Thị trấn Tiên Kỳ</v>
          </cell>
          <cell r="I7138" t="str">
            <v>50321</v>
          </cell>
        </row>
        <row r="7139">
          <cell r="G7139" t="str">
            <v>Xã Tiên Lãnh</v>
          </cell>
          <cell r="I7139" t="str">
            <v>50321</v>
          </cell>
        </row>
        <row r="7140">
          <cell r="G7140" t="str">
            <v>Xã Tiên Mỹ</v>
          </cell>
          <cell r="I7140" t="str">
            <v>50321</v>
          </cell>
        </row>
        <row r="7141">
          <cell r="G7141" t="str">
            <v>Xã Tiên Lộc</v>
          </cell>
          <cell r="I7141" t="str">
            <v>50321</v>
          </cell>
        </row>
        <row r="7142">
          <cell r="G7142" t="str">
            <v xml:space="preserve">Xã Tiên Sơn </v>
          </cell>
          <cell r="I7142" t="str">
            <v>50321</v>
          </cell>
        </row>
        <row r="7143">
          <cell r="G7143" t="str">
            <v>Xã Tiên Hà</v>
          </cell>
          <cell r="I7143" t="str">
            <v>50321</v>
          </cell>
        </row>
        <row r="7144">
          <cell r="G7144" t="str">
            <v>Xã Tiên Cẩm</v>
          </cell>
          <cell r="I7144" t="str">
            <v>50321</v>
          </cell>
        </row>
        <row r="7145">
          <cell r="G7145" t="str">
            <v>Xã Tiên Châu</v>
          </cell>
          <cell r="I7145" t="str">
            <v>50321</v>
          </cell>
        </row>
        <row r="7146">
          <cell r="G7146" t="str">
            <v>Xã Tiên Ngọc</v>
          </cell>
          <cell r="I7146" t="str">
            <v>50321</v>
          </cell>
        </row>
        <row r="7147">
          <cell r="G7147" t="str">
            <v>Xã Tiên Cảnh</v>
          </cell>
          <cell r="I7147" t="str">
            <v>50321</v>
          </cell>
        </row>
        <row r="7148">
          <cell r="G7148" t="str">
            <v xml:space="preserve">Xã Tiên Phong  </v>
          </cell>
          <cell r="I7148" t="str">
            <v>50321</v>
          </cell>
        </row>
        <row r="7149">
          <cell r="G7149" t="str">
            <v>Xã Tiên Thọ</v>
          </cell>
          <cell r="I7149" t="str">
            <v>50321</v>
          </cell>
        </row>
        <row r="7150">
          <cell r="G7150" t="str">
            <v>Xã Tiên An</v>
          </cell>
          <cell r="I7150" t="str">
            <v>50321</v>
          </cell>
        </row>
        <row r="7151">
          <cell r="G7151" t="str">
            <v>Xã Tiên Lập</v>
          </cell>
          <cell r="I7151" t="str">
            <v>50321</v>
          </cell>
        </row>
        <row r="7152">
          <cell r="G7152" t="str">
            <v>Xã Phước Đức</v>
          </cell>
          <cell r="I7152" t="str">
            <v>50323</v>
          </cell>
        </row>
        <row r="7153">
          <cell r="G7153" t="str">
            <v>Thị trấn Khâm Đức</v>
          </cell>
          <cell r="I7153" t="str">
            <v>50323</v>
          </cell>
        </row>
        <row r="7154">
          <cell r="G7154" t="str">
            <v>Xã Phước Năng</v>
          </cell>
          <cell r="I7154" t="str">
            <v>50323</v>
          </cell>
        </row>
        <row r="7155">
          <cell r="G7155" t="str">
            <v>Xã Phước Lộc</v>
          </cell>
          <cell r="I7155" t="str">
            <v>50323</v>
          </cell>
        </row>
        <row r="7156">
          <cell r="G7156" t="str">
            <v>Xã Phước Xuân</v>
          </cell>
          <cell r="I7156" t="str">
            <v>50323</v>
          </cell>
        </row>
        <row r="7157">
          <cell r="G7157" t="str">
            <v>Xã Phước Hiệp</v>
          </cell>
          <cell r="I7157" t="str">
            <v>50323</v>
          </cell>
        </row>
        <row r="7158">
          <cell r="G7158" t="str">
            <v>Xã Phước Mỹ</v>
          </cell>
          <cell r="I7158" t="str">
            <v>50323</v>
          </cell>
        </row>
        <row r="7159">
          <cell r="G7159" t="str">
            <v>Xã Phước Chánh</v>
          </cell>
          <cell r="I7159" t="str">
            <v>50323</v>
          </cell>
        </row>
        <row r="7160">
          <cell r="G7160" t="str">
            <v>Xã Phước Công</v>
          </cell>
          <cell r="I7160" t="str">
            <v>50323</v>
          </cell>
        </row>
        <row r="7161">
          <cell r="G7161" t="str">
            <v>Xã Phước Kim</v>
          </cell>
          <cell r="I7161" t="str">
            <v>50323</v>
          </cell>
        </row>
        <row r="7162">
          <cell r="G7162" t="str">
            <v>Xã Phước Thành</v>
          </cell>
          <cell r="I7162" t="str">
            <v>50323</v>
          </cell>
        </row>
        <row r="7163">
          <cell r="G7163" t="str">
            <v>Xã Phước Hoà</v>
          </cell>
          <cell r="I7163" t="str">
            <v>50323</v>
          </cell>
        </row>
        <row r="7164">
          <cell r="G7164" t="str">
            <v>Xã Tam Anh Nam</v>
          </cell>
          <cell r="I7164" t="str">
            <v>50325</v>
          </cell>
        </row>
        <row r="7165">
          <cell r="G7165" t="str">
            <v>Xã Tam Nghĩa</v>
          </cell>
          <cell r="I7165" t="str">
            <v>50325</v>
          </cell>
        </row>
        <row r="7166">
          <cell r="G7166" t="str">
            <v>Xã Tam Xuân I</v>
          </cell>
          <cell r="I7166" t="str">
            <v>50325</v>
          </cell>
        </row>
        <row r="7167">
          <cell r="G7167" t="str">
            <v>Xã Tam Xuân II</v>
          </cell>
          <cell r="I7167" t="str">
            <v>50325</v>
          </cell>
        </row>
        <row r="7168">
          <cell r="G7168" t="str">
            <v xml:space="preserve">Xã Tam Tiến </v>
          </cell>
          <cell r="I7168" t="str">
            <v>50325</v>
          </cell>
        </row>
        <row r="7169">
          <cell r="G7169" t="str">
            <v xml:space="preserve">Xã Tam Sơn   </v>
          </cell>
          <cell r="I7169" t="str">
            <v>50325</v>
          </cell>
        </row>
        <row r="7170">
          <cell r="G7170" t="str">
            <v>Xã Tam Thạnh</v>
          </cell>
          <cell r="I7170" t="str">
            <v>50325</v>
          </cell>
        </row>
        <row r="7171">
          <cell r="G7171" t="str">
            <v>Xã Tam Anh Bắc</v>
          </cell>
          <cell r="I7171" t="str">
            <v>50325</v>
          </cell>
        </row>
        <row r="7172">
          <cell r="G7172" t="str">
            <v>Xã Tam Hòa</v>
          </cell>
          <cell r="I7172" t="str">
            <v>50325</v>
          </cell>
        </row>
        <row r="7173">
          <cell r="G7173" t="str">
            <v xml:space="preserve">Xã Tam Hiệp   </v>
          </cell>
          <cell r="I7173" t="str">
            <v>50325</v>
          </cell>
        </row>
        <row r="7174">
          <cell r="G7174" t="str">
            <v>Xã Tam Hải</v>
          </cell>
          <cell r="I7174" t="str">
            <v>50325</v>
          </cell>
        </row>
        <row r="7175">
          <cell r="G7175" t="str">
            <v xml:space="preserve">Xã Tam Giang </v>
          </cell>
          <cell r="I7175" t="str">
            <v>50325</v>
          </cell>
        </row>
        <row r="7176">
          <cell r="G7176" t="str">
            <v xml:space="preserve">Xã Tam Quang  </v>
          </cell>
          <cell r="I7176" t="str">
            <v>50325</v>
          </cell>
        </row>
        <row r="7177">
          <cell r="G7177" t="str">
            <v>Xã Tam Mỹ Tây</v>
          </cell>
          <cell r="I7177" t="str">
            <v>50325</v>
          </cell>
        </row>
        <row r="7178">
          <cell r="G7178" t="str">
            <v>Xã Tam Mỹ Đông</v>
          </cell>
          <cell r="I7178" t="str">
            <v>50325</v>
          </cell>
        </row>
        <row r="7179">
          <cell r="G7179" t="str">
            <v>Xã Tam Trà</v>
          </cell>
          <cell r="I7179" t="str">
            <v>50325</v>
          </cell>
        </row>
        <row r="7180">
          <cell r="G7180" t="str">
            <v>Thị trấn Núi Thành</v>
          </cell>
          <cell r="I7180" t="str">
            <v>50325</v>
          </cell>
        </row>
        <row r="7181">
          <cell r="G7181" t="str">
            <v>Xã Trà Dương</v>
          </cell>
          <cell r="I7181" t="str">
            <v>50327</v>
          </cell>
        </row>
        <row r="7182">
          <cell r="G7182" t="str">
            <v>Xã Trà Nú</v>
          </cell>
          <cell r="I7182" t="str">
            <v>50327</v>
          </cell>
        </row>
        <row r="7183">
          <cell r="G7183" t="str">
            <v xml:space="preserve">Xã Trà Giang </v>
          </cell>
          <cell r="I7183" t="str">
            <v>50327</v>
          </cell>
        </row>
        <row r="7184">
          <cell r="G7184" t="str">
            <v>Xã Trà Giác</v>
          </cell>
          <cell r="I7184" t="str">
            <v>50327</v>
          </cell>
        </row>
        <row r="7185">
          <cell r="G7185" t="str">
            <v>Thị trấn Trà My</v>
          </cell>
          <cell r="I7185" t="str">
            <v>50327</v>
          </cell>
        </row>
        <row r="7186">
          <cell r="G7186" t="str">
            <v>Xã Trà Kót</v>
          </cell>
          <cell r="I7186" t="str">
            <v>50327</v>
          </cell>
        </row>
        <row r="7187">
          <cell r="G7187" t="str">
            <v>Xã Trà Đông</v>
          </cell>
          <cell r="I7187" t="str">
            <v>50327</v>
          </cell>
        </row>
        <row r="7188">
          <cell r="G7188" t="str">
            <v>Xã Trà Bui</v>
          </cell>
          <cell r="I7188" t="str">
            <v>50327</v>
          </cell>
        </row>
        <row r="7189">
          <cell r="G7189" t="str">
            <v>Xã Trà Đốc</v>
          </cell>
          <cell r="I7189" t="str">
            <v>50327</v>
          </cell>
        </row>
        <row r="7190">
          <cell r="G7190" t="str">
            <v>Xã Trà Tân</v>
          </cell>
          <cell r="I7190" t="str">
            <v>50327</v>
          </cell>
        </row>
        <row r="7191">
          <cell r="G7191" t="str">
            <v>Xã Trà Giáp</v>
          </cell>
          <cell r="I7191" t="str">
            <v>50327</v>
          </cell>
        </row>
        <row r="7192">
          <cell r="G7192" t="str">
            <v>Xã Trà Ka</v>
          </cell>
          <cell r="I7192" t="str">
            <v>50327</v>
          </cell>
        </row>
        <row r="7193">
          <cell r="G7193" t="str">
            <v>Xã Trà Sơn</v>
          </cell>
          <cell r="I7193" t="str">
            <v>50327</v>
          </cell>
        </row>
        <row r="7194">
          <cell r="G7194" t="str">
            <v>Xã Trà Cang</v>
          </cell>
          <cell r="I7194" t="str">
            <v>50329</v>
          </cell>
        </row>
        <row r="7195">
          <cell r="G7195" t="str">
            <v>Xã Trà Dơn</v>
          </cell>
          <cell r="I7195" t="str">
            <v>50329</v>
          </cell>
        </row>
        <row r="7196">
          <cell r="G7196" t="str">
            <v>Xã Trà Linh</v>
          </cell>
          <cell r="I7196" t="str">
            <v>50329</v>
          </cell>
        </row>
        <row r="7197">
          <cell r="G7197" t="str">
            <v>Xã Trà Leng</v>
          </cell>
          <cell r="I7197" t="str">
            <v>50329</v>
          </cell>
        </row>
        <row r="7198">
          <cell r="G7198" t="str">
            <v>Xã Trà Tập</v>
          </cell>
          <cell r="I7198" t="str">
            <v>50329</v>
          </cell>
        </row>
        <row r="7199">
          <cell r="G7199" t="str">
            <v>Xã Trà Mai</v>
          </cell>
          <cell r="I7199" t="str">
            <v>50329</v>
          </cell>
        </row>
        <row r="7200">
          <cell r="G7200" t="str">
            <v>Xã Trà Nam</v>
          </cell>
          <cell r="I7200" t="str">
            <v>50329</v>
          </cell>
        </row>
        <row r="7201">
          <cell r="G7201" t="str">
            <v>Xã Trà Don</v>
          </cell>
          <cell r="I7201" t="str">
            <v>50329</v>
          </cell>
        </row>
        <row r="7202">
          <cell r="G7202" t="str">
            <v>Xã Trà Vân</v>
          </cell>
          <cell r="I7202" t="str">
            <v>50329</v>
          </cell>
        </row>
        <row r="7203">
          <cell r="G7203" t="str">
            <v>Xã Trà Vinh</v>
          </cell>
          <cell r="I7203" t="str">
            <v>50329</v>
          </cell>
        </row>
        <row r="7204">
          <cell r="G7204" t="str">
            <v>Phường Nghĩa Chánh</v>
          </cell>
          <cell r="I7204" t="str">
            <v>50501</v>
          </cell>
        </row>
        <row r="7205">
          <cell r="G7205" t="str">
            <v>Phường Quảng Phú</v>
          </cell>
          <cell r="I7205" t="str">
            <v>50501</v>
          </cell>
        </row>
        <row r="7206">
          <cell r="G7206" t="str">
            <v>Phường Nghĩa Lộ</v>
          </cell>
          <cell r="I7206" t="str">
            <v>50501</v>
          </cell>
        </row>
        <row r="7207">
          <cell r="G7207" t="str">
            <v xml:space="preserve">Phường Lê Hồng Phong  </v>
          </cell>
          <cell r="I7207" t="str">
            <v>50501</v>
          </cell>
        </row>
        <row r="7208">
          <cell r="G7208" t="str">
            <v xml:space="preserve">Phường Trần Phú      </v>
          </cell>
          <cell r="I7208" t="str">
            <v>50501</v>
          </cell>
        </row>
        <row r="7209">
          <cell r="G7209" t="str">
            <v xml:space="preserve">Phường Trần Hưng Đạo      </v>
          </cell>
          <cell r="I7209" t="str">
            <v>50501</v>
          </cell>
        </row>
        <row r="7210">
          <cell r="G7210" t="str">
            <v>Phường Nguyễn Nghiêm</v>
          </cell>
          <cell r="I7210" t="str">
            <v>50501</v>
          </cell>
        </row>
        <row r="7211">
          <cell r="G7211" t="str">
            <v>Phường Chánh Lộ</v>
          </cell>
          <cell r="I7211" t="str">
            <v>50501</v>
          </cell>
        </row>
        <row r="7212">
          <cell r="G7212" t="str">
            <v xml:space="preserve">Xã Nghĩa Dũng </v>
          </cell>
          <cell r="I7212" t="str">
            <v>50501</v>
          </cell>
        </row>
        <row r="7213">
          <cell r="G7213" t="str">
            <v>Xã Nghĩa Dõng</v>
          </cell>
          <cell r="I7213" t="str">
            <v>50501</v>
          </cell>
        </row>
        <row r="7214">
          <cell r="G7214" t="str">
            <v>Phường Trương Quang Trọng</v>
          </cell>
          <cell r="I7214" t="str">
            <v>50501</v>
          </cell>
        </row>
        <row r="7215">
          <cell r="G7215" t="str">
            <v>Xã Tịnh ấn Tây</v>
          </cell>
          <cell r="I7215" t="str">
            <v>50501</v>
          </cell>
        </row>
        <row r="7216">
          <cell r="G7216" t="str">
            <v>Xã Tịnh ấn Đông</v>
          </cell>
          <cell r="I7216" t="str">
            <v>50501</v>
          </cell>
        </row>
        <row r="7217">
          <cell r="G7217" t="str">
            <v>Xã Tịnh An</v>
          </cell>
          <cell r="I7217" t="str">
            <v>50501</v>
          </cell>
        </row>
        <row r="7218">
          <cell r="G7218" t="str">
            <v>Xã Tịnh Long</v>
          </cell>
          <cell r="I7218" t="str">
            <v>50501</v>
          </cell>
        </row>
        <row r="7219">
          <cell r="G7219" t="str">
            <v>Xã Tịnh Châu</v>
          </cell>
          <cell r="I7219" t="str">
            <v>50501</v>
          </cell>
        </row>
        <row r="7220">
          <cell r="G7220" t="str">
            <v>Xã Tịnh Thiện</v>
          </cell>
          <cell r="I7220" t="str">
            <v>50501</v>
          </cell>
        </row>
        <row r="7221">
          <cell r="G7221" t="str">
            <v>Xã Tịnh Khê</v>
          </cell>
          <cell r="I7221" t="str">
            <v>50501</v>
          </cell>
        </row>
        <row r="7222">
          <cell r="G7222" t="str">
            <v>Xã Tịnh Hoà</v>
          </cell>
          <cell r="I7222" t="str">
            <v>50501</v>
          </cell>
        </row>
        <row r="7223">
          <cell r="G7223" t="str">
            <v>Xã Tịnh Kỳ</v>
          </cell>
          <cell r="I7223" t="str">
            <v>50501</v>
          </cell>
        </row>
        <row r="7224">
          <cell r="G7224" t="str">
            <v>Xã Nghĩa Hà</v>
          </cell>
          <cell r="I7224" t="str">
            <v>50501</v>
          </cell>
        </row>
        <row r="7225">
          <cell r="G7225" t="str">
            <v xml:space="preserve">Xã Nghĩa Phú  </v>
          </cell>
          <cell r="I7225" t="str">
            <v>50501</v>
          </cell>
        </row>
        <row r="7226">
          <cell r="G7226" t="str">
            <v xml:space="preserve">Xã Nghĩa An    </v>
          </cell>
          <cell r="I7226" t="str">
            <v>50501</v>
          </cell>
        </row>
        <row r="7227">
          <cell r="G7227" t="str">
            <v>Xã An Vĩnh</v>
          </cell>
          <cell r="I7227" t="str">
            <v>50503</v>
          </cell>
        </row>
        <row r="7228">
          <cell r="G7228" t="str">
            <v>Xã An Hải</v>
          </cell>
          <cell r="I7228" t="str">
            <v>50503</v>
          </cell>
        </row>
        <row r="7229">
          <cell r="G7229" t="str">
            <v xml:space="preserve">Xã An Bình     </v>
          </cell>
          <cell r="I7229" t="str">
            <v>50503</v>
          </cell>
        </row>
        <row r="7230">
          <cell r="G7230" t="str">
            <v xml:space="preserve">Xã Bình Trị </v>
          </cell>
          <cell r="I7230" t="str">
            <v>50505</v>
          </cell>
        </row>
        <row r="7231">
          <cell r="G7231" t="str">
            <v xml:space="preserve">Xã Bình Phú   </v>
          </cell>
          <cell r="I7231" t="str">
            <v>50505</v>
          </cell>
        </row>
        <row r="7232">
          <cell r="G7232" t="str">
            <v xml:space="preserve">Xã Bình Thuận  </v>
          </cell>
          <cell r="I7232" t="str">
            <v>50505</v>
          </cell>
        </row>
        <row r="7233">
          <cell r="G7233" t="str">
            <v xml:space="preserve">Xã Bình Nguyên  </v>
          </cell>
          <cell r="I7233" t="str">
            <v>50505</v>
          </cell>
        </row>
        <row r="7234">
          <cell r="G7234" t="str">
            <v xml:space="preserve">Xã Bình Hải </v>
          </cell>
          <cell r="I7234" t="str">
            <v>50505</v>
          </cell>
        </row>
        <row r="7235">
          <cell r="G7235" t="str">
            <v xml:space="preserve">Xã Bình Hòa </v>
          </cell>
          <cell r="I7235" t="str">
            <v>50505</v>
          </cell>
        </row>
        <row r="7236">
          <cell r="G7236" t="str">
            <v>Xã Bình Thanh Tây</v>
          </cell>
          <cell r="I7236" t="str">
            <v>50505</v>
          </cell>
        </row>
        <row r="7237">
          <cell r="G7237" t="str">
            <v>Xã Bình Mỹ</v>
          </cell>
          <cell r="I7237" t="str">
            <v>50505</v>
          </cell>
        </row>
        <row r="7238">
          <cell r="G7238" t="str">
            <v>Thị trấn Châu ổ</v>
          </cell>
          <cell r="I7238" t="str">
            <v>50505</v>
          </cell>
        </row>
        <row r="7239">
          <cell r="G7239" t="str">
            <v>Xã Bình Thạnh</v>
          </cell>
          <cell r="I7239" t="str">
            <v>50505</v>
          </cell>
        </row>
        <row r="7240">
          <cell r="G7240" t="str">
            <v>Xã Bình Đông</v>
          </cell>
          <cell r="I7240" t="str">
            <v>50505</v>
          </cell>
        </row>
        <row r="7241">
          <cell r="G7241" t="str">
            <v xml:space="preserve">Xã Bình Chánh </v>
          </cell>
          <cell r="I7241" t="str">
            <v>50505</v>
          </cell>
        </row>
        <row r="7242">
          <cell r="G7242" t="str">
            <v>Xã Bình Khương</v>
          </cell>
          <cell r="I7242" t="str">
            <v>50505</v>
          </cell>
        </row>
        <row r="7243">
          <cell r="G7243" t="str">
            <v xml:space="preserve">Xã Bình An </v>
          </cell>
          <cell r="I7243" t="str">
            <v>50505</v>
          </cell>
        </row>
        <row r="7244">
          <cell r="G7244" t="str">
            <v xml:space="preserve">Xã Bình Dương     </v>
          </cell>
          <cell r="I7244" t="str">
            <v>50505</v>
          </cell>
        </row>
        <row r="7245">
          <cell r="G7245" t="str">
            <v>Xã Bình Phước</v>
          </cell>
          <cell r="I7245" t="str">
            <v>50505</v>
          </cell>
        </row>
        <row r="7246">
          <cell r="G7246" t="str">
            <v>Xã Bình Thới</v>
          </cell>
          <cell r="I7246" t="str">
            <v>50505</v>
          </cell>
        </row>
        <row r="7247">
          <cell r="G7247" t="str">
            <v xml:space="preserve">Xã Bình Trung   </v>
          </cell>
          <cell r="I7247" t="str">
            <v>50505</v>
          </cell>
        </row>
        <row r="7248">
          <cell r="G7248" t="str">
            <v xml:space="preserve">Xã Bình Minh       </v>
          </cell>
          <cell r="I7248" t="str">
            <v>50505</v>
          </cell>
        </row>
        <row r="7249">
          <cell r="G7249" t="str">
            <v xml:space="preserve">Xã Bình Long  </v>
          </cell>
          <cell r="I7249" t="str">
            <v>50505</v>
          </cell>
        </row>
        <row r="7250">
          <cell r="G7250" t="str">
            <v>Xã Bình Thanh Đông</v>
          </cell>
          <cell r="I7250" t="str">
            <v>50505</v>
          </cell>
        </row>
        <row r="7251">
          <cell r="G7251" t="str">
            <v>Xã Bình Chương</v>
          </cell>
          <cell r="I7251" t="str">
            <v>50505</v>
          </cell>
        </row>
        <row r="7252">
          <cell r="G7252" t="str">
            <v>Xã Bình Hiệp</v>
          </cell>
          <cell r="I7252" t="str">
            <v>50505</v>
          </cell>
        </row>
        <row r="7253">
          <cell r="G7253" t="str">
            <v>Xã Bình Tân</v>
          </cell>
          <cell r="I7253" t="str">
            <v>50505</v>
          </cell>
        </row>
        <row r="7254">
          <cell r="G7254" t="str">
            <v>Xã Bình Châu</v>
          </cell>
          <cell r="I7254" t="str">
            <v>50505</v>
          </cell>
        </row>
        <row r="7255">
          <cell r="G7255" t="str">
            <v>Xã Trà Bình</v>
          </cell>
          <cell r="I7255" t="str">
            <v>50507</v>
          </cell>
        </row>
        <row r="7256">
          <cell r="G7256" t="str">
            <v>Thị trấn Trà Xuân</v>
          </cell>
          <cell r="I7256" t="str">
            <v>50507</v>
          </cell>
        </row>
        <row r="7257">
          <cell r="G7257" t="str">
            <v>Xã Trà Phú</v>
          </cell>
          <cell r="I7257" t="str">
            <v>50507</v>
          </cell>
        </row>
        <row r="7258">
          <cell r="G7258" t="str">
            <v>Xã Trà Bùi</v>
          </cell>
          <cell r="I7258" t="str">
            <v>50507</v>
          </cell>
        </row>
        <row r="7259">
          <cell r="G7259" t="str">
            <v xml:space="preserve">Xã Trà Giang  </v>
          </cell>
          <cell r="I7259" t="str">
            <v>50507</v>
          </cell>
        </row>
        <row r="7260">
          <cell r="G7260" t="str">
            <v>Xã Trà Thủy</v>
          </cell>
          <cell r="I7260" t="str">
            <v>50507</v>
          </cell>
        </row>
        <row r="7261">
          <cell r="G7261" t="str">
            <v>Xã Trà Hiệp</v>
          </cell>
          <cell r="I7261" t="str">
            <v>50507</v>
          </cell>
        </row>
        <row r="7262">
          <cell r="G7262" t="str">
            <v>Xã Trà Lâm</v>
          </cell>
          <cell r="I7262" t="str">
            <v>50507</v>
          </cell>
        </row>
        <row r="7263">
          <cell r="G7263" t="str">
            <v xml:space="preserve">Xã Trà Tân </v>
          </cell>
          <cell r="I7263" t="str">
            <v>50507</v>
          </cell>
        </row>
        <row r="7264">
          <cell r="G7264" t="str">
            <v xml:space="preserve">Xã Trà Sơn </v>
          </cell>
          <cell r="I7264" t="str">
            <v>50507</v>
          </cell>
        </row>
        <row r="7265">
          <cell r="G7265" t="str">
            <v>Xã Trà Thọ</v>
          </cell>
          <cell r="I7265" t="str">
            <v>50508</v>
          </cell>
        </row>
        <row r="7266">
          <cell r="G7266" t="str">
            <v>Xã Trà Quân</v>
          </cell>
          <cell r="I7266" t="str">
            <v>50508</v>
          </cell>
        </row>
        <row r="7267">
          <cell r="G7267" t="str">
            <v>Xã Trà Xinh</v>
          </cell>
          <cell r="I7267" t="str">
            <v>50508</v>
          </cell>
        </row>
        <row r="7268">
          <cell r="G7268" t="str">
            <v>Xã Trà Thanh</v>
          </cell>
          <cell r="I7268" t="str">
            <v>50508</v>
          </cell>
        </row>
        <row r="7269">
          <cell r="G7269" t="str">
            <v>Xã Trà Khê</v>
          </cell>
          <cell r="I7269" t="str">
            <v>50508</v>
          </cell>
        </row>
        <row r="7270">
          <cell r="G7270" t="str">
            <v>Xã Trà Phong</v>
          </cell>
          <cell r="I7270" t="str">
            <v>50508</v>
          </cell>
        </row>
        <row r="7271">
          <cell r="G7271" t="str">
            <v>Xã Trà Lãnh</v>
          </cell>
          <cell r="I7271" t="str">
            <v>50508</v>
          </cell>
        </row>
        <row r="7272">
          <cell r="G7272" t="str">
            <v>Xã Trà Nham</v>
          </cell>
          <cell r="I7272" t="str">
            <v>50508</v>
          </cell>
        </row>
        <row r="7273">
          <cell r="G7273" t="str">
            <v>Xã Trà Trung</v>
          </cell>
          <cell r="I7273" t="str">
            <v>50508</v>
          </cell>
        </row>
        <row r="7274">
          <cell r="G7274" t="str">
            <v>Xã Tịnh Thọ</v>
          </cell>
          <cell r="I7274" t="str">
            <v>50509</v>
          </cell>
        </row>
        <row r="7275">
          <cell r="G7275" t="str">
            <v>Xã Tịnh Đông</v>
          </cell>
          <cell r="I7275" t="str">
            <v>50509</v>
          </cell>
        </row>
        <row r="7276">
          <cell r="G7276" t="str">
            <v>Xã Tịnh Hà</v>
          </cell>
          <cell r="I7276" t="str">
            <v>50509</v>
          </cell>
        </row>
        <row r="7277">
          <cell r="G7277" t="str">
            <v>Xã Tịnh Minh</v>
          </cell>
          <cell r="I7277" t="str">
            <v>50509</v>
          </cell>
        </row>
        <row r="7278">
          <cell r="G7278" t="str">
            <v>Thị trấn Sơn Tịnh</v>
          </cell>
          <cell r="I7278" t="str">
            <v>50509</v>
          </cell>
        </row>
        <row r="7279">
          <cell r="G7279" t="str">
            <v>Xã Tịnh Trà</v>
          </cell>
          <cell r="I7279" t="str">
            <v>50509</v>
          </cell>
        </row>
        <row r="7280">
          <cell r="G7280" t="str">
            <v>Xã Tịnh Phong</v>
          </cell>
          <cell r="I7280" t="str">
            <v>50509</v>
          </cell>
        </row>
        <row r="7281">
          <cell r="G7281" t="str">
            <v>Xã Tịnh Hiệp</v>
          </cell>
          <cell r="I7281" t="str">
            <v>50509</v>
          </cell>
        </row>
        <row r="7282">
          <cell r="G7282" t="str">
            <v>Xã Tịnh Bình</v>
          </cell>
          <cell r="I7282" t="str">
            <v>50509</v>
          </cell>
        </row>
        <row r="7283">
          <cell r="G7283" t="str">
            <v>Xã Tịnh Bắc</v>
          </cell>
          <cell r="I7283" t="str">
            <v>50509</v>
          </cell>
        </row>
        <row r="7284">
          <cell r="G7284" t="str">
            <v>Xã Tịnh Sơn</v>
          </cell>
          <cell r="I7284" t="str">
            <v>50509</v>
          </cell>
        </row>
        <row r="7285">
          <cell r="G7285" t="str">
            <v>Xã Tịnh Giang</v>
          </cell>
          <cell r="I7285" t="str">
            <v>50509</v>
          </cell>
        </row>
        <row r="7286">
          <cell r="G7286" t="str">
            <v>Xã Sơn Mùa</v>
          </cell>
          <cell r="I7286" t="str">
            <v>50511</v>
          </cell>
        </row>
        <row r="7287">
          <cell r="G7287" t="str">
            <v xml:space="preserve">Xã Sơn Lập </v>
          </cell>
          <cell r="I7287" t="str">
            <v>50511</v>
          </cell>
        </row>
        <row r="7288">
          <cell r="G7288" t="str">
            <v>Xã Sơn Bua</v>
          </cell>
          <cell r="I7288" t="str">
            <v>50511</v>
          </cell>
        </row>
        <row r="7289">
          <cell r="G7289" t="str">
            <v xml:space="preserve">Xã Sơn Tân </v>
          </cell>
          <cell r="I7289" t="str">
            <v>50511</v>
          </cell>
        </row>
        <row r="7290">
          <cell r="G7290" t="str">
            <v>Xã Sơn Dung</v>
          </cell>
          <cell r="I7290" t="str">
            <v>50511</v>
          </cell>
        </row>
        <row r="7291">
          <cell r="G7291" t="str">
            <v>Xã Sơn Tinh</v>
          </cell>
          <cell r="I7291" t="str">
            <v>50511</v>
          </cell>
        </row>
        <row r="7292">
          <cell r="G7292" t="str">
            <v>Xã Sơn Liên</v>
          </cell>
          <cell r="I7292" t="str">
            <v>50511</v>
          </cell>
        </row>
        <row r="7293">
          <cell r="G7293" t="str">
            <v xml:space="preserve">Xã Sơn Long </v>
          </cell>
          <cell r="I7293" t="str">
            <v>50511</v>
          </cell>
        </row>
        <row r="7294">
          <cell r="G7294" t="str">
            <v>Xã Sơn Màu</v>
          </cell>
          <cell r="I7294" t="str">
            <v>50511</v>
          </cell>
        </row>
        <row r="7295">
          <cell r="G7295" t="str">
            <v>Xã Sơn Thượng</v>
          </cell>
          <cell r="I7295" t="str">
            <v>50513</v>
          </cell>
        </row>
        <row r="7296">
          <cell r="G7296" t="str">
            <v>Xã Sơn Nham</v>
          </cell>
          <cell r="I7296" t="str">
            <v>50513</v>
          </cell>
        </row>
        <row r="7297">
          <cell r="G7297" t="str">
            <v xml:space="preserve">Xã Sơn Trung </v>
          </cell>
          <cell r="I7297" t="str">
            <v>50513</v>
          </cell>
        </row>
        <row r="7298">
          <cell r="G7298" t="str">
            <v xml:space="preserve">Xã Sơn Thủy      </v>
          </cell>
          <cell r="I7298" t="str">
            <v>50513</v>
          </cell>
        </row>
        <row r="7299">
          <cell r="G7299" t="str">
            <v>Thị trấn Di Lăng</v>
          </cell>
          <cell r="I7299" t="str">
            <v>50513</v>
          </cell>
        </row>
        <row r="7300">
          <cell r="G7300" t="str">
            <v>Xã Sơn Hạ</v>
          </cell>
          <cell r="I7300" t="str">
            <v>50513</v>
          </cell>
        </row>
        <row r="7301">
          <cell r="G7301" t="str">
            <v xml:space="preserve">Xã Sơn Thành  </v>
          </cell>
          <cell r="I7301" t="str">
            <v>50513</v>
          </cell>
        </row>
        <row r="7302">
          <cell r="G7302" t="str">
            <v>Xã Sơn Bao</v>
          </cell>
          <cell r="I7302" t="str">
            <v>50513</v>
          </cell>
        </row>
        <row r="7303">
          <cell r="G7303" t="str">
            <v>Xã Sơn Linh</v>
          </cell>
          <cell r="I7303" t="str">
            <v>50513</v>
          </cell>
        </row>
        <row r="7304">
          <cell r="G7304" t="str">
            <v xml:space="preserve">Xã Sơn Giang </v>
          </cell>
          <cell r="I7304" t="str">
            <v>50513</v>
          </cell>
        </row>
        <row r="7305">
          <cell r="G7305" t="str">
            <v>Xã Sơn Cao</v>
          </cell>
          <cell r="I7305" t="str">
            <v>50513</v>
          </cell>
        </row>
        <row r="7306">
          <cell r="G7306" t="str">
            <v xml:space="preserve">Xã Sơn Hải   </v>
          </cell>
          <cell r="I7306" t="str">
            <v>50513</v>
          </cell>
        </row>
        <row r="7307">
          <cell r="G7307" t="str">
            <v>Xã Sơn Kỳ</v>
          </cell>
          <cell r="I7307" t="str">
            <v>50513</v>
          </cell>
        </row>
        <row r="7308">
          <cell r="G7308" t="str">
            <v>Xã Sơn Ba</v>
          </cell>
          <cell r="I7308" t="str">
            <v>50513</v>
          </cell>
        </row>
        <row r="7309">
          <cell r="G7309" t="str">
            <v>Thị trấn Sông Vệ</v>
          </cell>
          <cell r="I7309" t="str">
            <v>50515</v>
          </cell>
        </row>
        <row r="7310">
          <cell r="G7310" t="str">
            <v>Xã Nghĩa Điền</v>
          </cell>
          <cell r="I7310" t="str">
            <v>50515</v>
          </cell>
        </row>
        <row r="7311">
          <cell r="G7311" t="str">
            <v>Xã Nghĩa Thương</v>
          </cell>
          <cell r="I7311" t="str">
            <v>50515</v>
          </cell>
        </row>
        <row r="7312">
          <cell r="G7312" t="str">
            <v xml:space="preserve">Xã Nghĩa Mỹ </v>
          </cell>
          <cell r="I7312" t="str">
            <v>50515</v>
          </cell>
        </row>
        <row r="7313">
          <cell r="G7313" t="str">
            <v>Thị trấn La Hà</v>
          </cell>
          <cell r="I7313" t="str">
            <v>50515</v>
          </cell>
        </row>
        <row r="7314">
          <cell r="G7314" t="str">
            <v xml:space="preserve">Xã Nghĩa Lâm  </v>
          </cell>
          <cell r="I7314" t="str">
            <v>50515</v>
          </cell>
        </row>
        <row r="7315">
          <cell r="G7315" t="str">
            <v xml:space="preserve">Xã Nghĩa Thắng  </v>
          </cell>
          <cell r="I7315" t="str">
            <v>50515</v>
          </cell>
        </row>
        <row r="7316">
          <cell r="G7316" t="str">
            <v xml:space="preserve">Xã Nghĩa Thuận  </v>
          </cell>
          <cell r="I7316" t="str">
            <v>50515</v>
          </cell>
        </row>
        <row r="7317">
          <cell r="G7317" t="str">
            <v>Xã Nghĩa Kỳ</v>
          </cell>
          <cell r="I7317" t="str">
            <v>50515</v>
          </cell>
        </row>
        <row r="7318">
          <cell r="G7318" t="str">
            <v xml:space="preserve">Xã Nghĩa Sơn   </v>
          </cell>
          <cell r="I7318" t="str">
            <v>50515</v>
          </cell>
        </row>
        <row r="7319">
          <cell r="G7319" t="str">
            <v xml:space="preserve">Xã Nghĩa Thọ </v>
          </cell>
          <cell r="I7319" t="str">
            <v>50515</v>
          </cell>
        </row>
        <row r="7320">
          <cell r="G7320" t="str">
            <v xml:space="preserve">Xã Nghĩa Hòa </v>
          </cell>
          <cell r="I7320" t="str">
            <v>50515</v>
          </cell>
        </row>
        <row r="7321">
          <cell r="G7321" t="str">
            <v xml:space="preserve">Xã Nghĩa Trung   </v>
          </cell>
          <cell r="I7321" t="str">
            <v>50515</v>
          </cell>
        </row>
        <row r="7322">
          <cell r="G7322" t="str">
            <v xml:space="preserve">Xã Nghĩa Hiệp </v>
          </cell>
          <cell r="I7322" t="str">
            <v>50515</v>
          </cell>
        </row>
        <row r="7323">
          <cell r="G7323" t="str">
            <v xml:space="preserve">Xã Nghĩa Phương </v>
          </cell>
          <cell r="I7323" t="str">
            <v>50515</v>
          </cell>
        </row>
        <row r="7324">
          <cell r="G7324" t="str">
            <v>Xã Hành Phước</v>
          </cell>
          <cell r="I7324" t="str">
            <v>50517</v>
          </cell>
        </row>
        <row r="7325">
          <cell r="G7325" t="str">
            <v>Xã Hành Thuận</v>
          </cell>
          <cell r="I7325" t="str">
            <v>50517</v>
          </cell>
        </row>
        <row r="7326">
          <cell r="G7326" t="str">
            <v>Xã Hành Minh</v>
          </cell>
          <cell r="I7326" t="str">
            <v>50517</v>
          </cell>
        </row>
        <row r="7327">
          <cell r="G7327" t="str">
            <v>Xã Hành Tín Tây</v>
          </cell>
          <cell r="I7327" t="str">
            <v>50517</v>
          </cell>
        </row>
        <row r="7328">
          <cell r="G7328" t="str">
            <v>Thị trấn Chợ Chùa</v>
          </cell>
          <cell r="I7328" t="str">
            <v>50517</v>
          </cell>
        </row>
        <row r="7329">
          <cell r="G7329" t="str">
            <v>Xã Hành Dũng</v>
          </cell>
          <cell r="I7329" t="str">
            <v>50517</v>
          </cell>
        </row>
        <row r="7330">
          <cell r="G7330" t="str">
            <v>Xã Hành Trung</v>
          </cell>
          <cell r="I7330" t="str">
            <v>50517</v>
          </cell>
        </row>
        <row r="7331">
          <cell r="G7331" t="str">
            <v>Xã Hành Nhân</v>
          </cell>
          <cell r="I7331" t="str">
            <v>50517</v>
          </cell>
        </row>
        <row r="7332">
          <cell r="G7332" t="str">
            <v>Xã Hành Đức</v>
          </cell>
          <cell r="I7332" t="str">
            <v>50517</v>
          </cell>
        </row>
        <row r="7333">
          <cell r="G7333" t="str">
            <v>Xã Hành Thiện</v>
          </cell>
          <cell r="I7333" t="str">
            <v>50517</v>
          </cell>
        </row>
        <row r="7334">
          <cell r="G7334" t="str">
            <v>Xã Hành Thịnh</v>
          </cell>
          <cell r="I7334" t="str">
            <v>50517</v>
          </cell>
        </row>
        <row r="7335">
          <cell r="G7335" t="str">
            <v>Xã Hành Tín Đông</v>
          </cell>
          <cell r="I7335" t="str">
            <v>50517</v>
          </cell>
        </row>
        <row r="7336">
          <cell r="G7336" t="str">
            <v xml:space="preserve">Xã Long Sơn   </v>
          </cell>
          <cell r="I7336" t="str">
            <v>50519</v>
          </cell>
        </row>
        <row r="7337">
          <cell r="G7337" t="str">
            <v>Xã Long Môn</v>
          </cell>
          <cell r="I7337" t="str">
            <v>50519</v>
          </cell>
        </row>
        <row r="7338">
          <cell r="G7338" t="str">
            <v>Xã Long Mai</v>
          </cell>
          <cell r="I7338" t="str">
            <v>50519</v>
          </cell>
        </row>
        <row r="7339">
          <cell r="G7339" t="str">
            <v xml:space="preserve">Xã Thanh An   </v>
          </cell>
          <cell r="I7339" t="str">
            <v>50519</v>
          </cell>
        </row>
        <row r="7340">
          <cell r="G7340" t="str">
            <v>Xã Long Hiệp</v>
          </cell>
          <cell r="I7340" t="str">
            <v>50519</v>
          </cell>
        </row>
        <row r="7341">
          <cell r="G7341" t="str">
            <v>Xã Đức Thạnh</v>
          </cell>
          <cell r="I7341" t="str">
            <v>50521</v>
          </cell>
        </row>
        <row r="7342">
          <cell r="G7342" t="str">
            <v xml:space="preserve">Xã Đức Thắng  </v>
          </cell>
          <cell r="I7342" t="str">
            <v>50521</v>
          </cell>
        </row>
        <row r="7343">
          <cell r="G7343" t="str">
            <v>Xã Đức Minh</v>
          </cell>
          <cell r="I7343" t="str">
            <v>50521</v>
          </cell>
        </row>
        <row r="7344">
          <cell r="G7344" t="str">
            <v>Xã Đức Phú</v>
          </cell>
          <cell r="I7344" t="str">
            <v>50521</v>
          </cell>
        </row>
        <row r="7345">
          <cell r="G7345" t="str">
            <v>Thị trấn Mộ Đức</v>
          </cell>
          <cell r="I7345" t="str">
            <v>50521</v>
          </cell>
        </row>
        <row r="7346">
          <cell r="G7346" t="str">
            <v>Xã Đức Lợi</v>
          </cell>
          <cell r="I7346" t="str">
            <v>50521</v>
          </cell>
        </row>
        <row r="7347">
          <cell r="G7347" t="str">
            <v>Xã Đức Nhuận</v>
          </cell>
          <cell r="I7347" t="str">
            <v>50521</v>
          </cell>
        </row>
        <row r="7348">
          <cell r="G7348" t="str">
            <v>Xã Đức Chánh</v>
          </cell>
          <cell r="I7348" t="str">
            <v>50521</v>
          </cell>
        </row>
        <row r="7349">
          <cell r="G7349" t="str">
            <v>Xã Đức Hiệp</v>
          </cell>
          <cell r="I7349" t="str">
            <v>50521</v>
          </cell>
        </row>
        <row r="7350">
          <cell r="G7350" t="str">
            <v xml:space="preserve">Xã Đức Hòa </v>
          </cell>
          <cell r="I7350" t="str">
            <v>50521</v>
          </cell>
        </row>
        <row r="7351">
          <cell r="G7351" t="str">
            <v>Xã Đức Tân</v>
          </cell>
          <cell r="I7351" t="str">
            <v>50521</v>
          </cell>
        </row>
        <row r="7352">
          <cell r="G7352" t="str">
            <v>Xã Đức Phong</v>
          </cell>
          <cell r="I7352" t="str">
            <v>50521</v>
          </cell>
        </row>
        <row r="7353">
          <cell r="G7353" t="str">
            <v>Xã Đức Lân</v>
          </cell>
          <cell r="I7353" t="str">
            <v>50521</v>
          </cell>
        </row>
        <row r="7354">
          <cell r="G7354" t="str">
            <v>Xã Phổ Nhơn</v>
          </cell>
          <cell r="I7354" t="str">
            <v>50523</v>
          </cell>
        </row>
        <row r="7355">
          <cell r="G7355" t="str">
            <v>Xã Phổ An</v>
          </cell>
          <cell r="I7355" t="str">
            <v>50523</v>
          </cell>
        </row>
        <row r="7356">
          <cell r="G7356" t="str">
            <v>Xã Phổ Văn</v>
          </cell>
          <cell r="I7356" t="str">
            <v>50523</v>
          </cell>
        </row>
        <row r="7357">
          <cell r="G7357" t="str">
            <v>Xã Phổ Minh</v>
          </cell>
          <cell r="I7357" t="str">
            <v>50523</v>
          </cell>
        </row>
        <row r="7358">
          <cell r="G7358" t="str">
            <v>Xã Phổ Khánh</v>
          </cell>
          <cell r="I7358" t="str">
            <v>50523</v>
          </cell>
        </row>
        <row r="7359">
          <cell r="G7359" t="str">
            <v>Thị trấn Đức Phổ</v>
          </cell>
          <cell r="I7359" t="str">
            <v>50523</v>
          </cell>
        </row>
        <row r="7360">
          <cell r="G7360" t="str">
            <v>Xã Phổ Phong</v>
          </cell>
          <cell r="I7360" t="str">
            <v>50523</v>
          </cell>
        </row>
        <row r="7361">
          <cell r="G7361" t="str">
            <v>Xã Phổ Thuận</v>
          </cell>
          <cell r="I7361" t="str">
            <v>50523</v>
          </cell>
        </row>
        <row r="7362">
          <cell r="G7362" t="str">
            <v>Xã Phổ Quang</v>
          </cell>
          <cell r="I7362" t="str">
            <v>50523</v>
          </cell>
        </row>
        <row r="7363">
          <cell r="G7363" t="str">
            <v>Xã Phổ Ninh</v>
          </cell>
          <cell r="I7363" t="str">
            <v>50523</v>
          </cell>
        </row>
        <row r="7364">
          <cell r="G7364" t="str">
            <v>Xã Phổ Vinh</v>
          </cell>
          <cell r="I7364" t="str">
            <v>50523</v>
          </cell>
        </row>
        <row r="7365">
          <cell r="G7365" t="str">
            <v>Xã Phổ Hòa</v>
          </cell>
          <cell r="I7365" t="str">
            <v>50523</v>
          </cell>
        </row>
        <row r="7366">
          <cell r="G7366" t="str">
            <v>Xã Phổ Cường</v>
          </cell>
          <cell r="I7366" t="str">
            <v>50523</v>
          </cell>
        </row>
        <row r="7367">
          <cell r="G7367" t="str">
            <v>Xã Phổ Thạnh</v>
          </cell>
          <cell r="I7367" t="str">
            <v>50523</v>
          </cell>
        </row>
        <row r="7368">
          <cell r="G7368" t="str">
            <v>Xã Phổ Châu</v>
          </cell>
          <cell r="I7368" t="str">
            <v>50523</v>
          </cell>
        </row>
        <row r="7369">
          <cell r="G7369" t="str">
            <v>Xã Ba Thành</v>
          </cell>
          <cell r="I7369" t="str">
            <v>50525</v>
          </cell>
        </row>
        <row r="7370">
          <cell r="G7370" t="str">
            <v>Xã Ba Bích</v>
          </cell>
          <cell r="I7370" t="str">
            <v>50525</v>
          </cell>
        </row>
        <row r="7371">
          <cell r="G7371" t="str">
            <v>Xã Ba Điền</v>
          </cell>
          <cell r="I7371" t="str">
            <v>50525</v>
          </cell>
        </row>
        <row r="7372">
          <cell r="G7372" t="str">
            <v>Xã Ba Dinh</v>
          </cell>
          <cell r="I7372" t="str">
            <v>50525</v>
          </cell>
        </row>
        <row r="7373">
          <cell r="G7373" t="str">
            <v>Xã Ba Khâm</v>
          </cell>
          <cell r="I7373" t="str">
            <v>50525</v>
          </cell>
        </row>
        <row r="7374">
          <cell r="G7374" t="str">
            <v>Xã Ba Trang</v>
          </cell>
          <cell r="I7374" t="str">
            <v>50525</v>
          </cell>
        </row>
        <row r="7375">
          <cell r="G7375" t="str">
            <v>Xã Ba Lế</v>
          </cell>
          <cell r="I7375" t="str">
            <v>50525</v>
          </cell>
        </row>
        <row r="7376">
          <cell r="G7376" t="str">
            <v>Thị trấn Ba Tơ</v>
          </cell>
          <cell r="I7376" t="str">
            <v>50525</v>
          </cell>
        </row>
        <row r="7377">
          <cell r="G7377" t="str">
            <v>Xã Ba Vinh</v>
          </cell>
          <cell r="I7377" t="str">
            <v>50525</v>
          </cell>
        </row>
        <row r="7378">
          <cell r="G7378" t="str">
            <v>Xã Ba Động</v>
          </cell>
          <cell r="I7378" t="str">
            <v>50525</v>
          </cell>
        </row>
        <row r="7379">
          <cell r="G7379" t="str">
            <v>Xã Ba Liên</v>
          </cell>
          <cell r="I7379" t="str">
            <v>50525</v>
          </cell>
        </row>
        <row r="7380">
          <cell r="G7380" t="str">
            <v>Xã Ba Ngạc</v>
          </cell>
          <cell r="I7380" t="str">
            <v>50525</v>
          </cell>
        </row>
        <row r="7381">
          <cell r="G7381" t="str">
            <v>Xã Ba Cung</v>
          </cell>
          <cell r="I7381" t="str">
            <v>50525</v>
          </cell>
        </row>
        <row r="7382">
          <cell r="G7382" t="str">
            <v>Xã Ba Chùa</v>
          </cell>
          <cell r="I7382" t="str">
            <v>50525</v>
          </cell>
        </row>
        <row r="7383">
          <cell r="G7383" t="str">
            <v>Xã Ba Tiêu</v>
          </cell>
          <cell r="I7383" t="str">
            <v>50525</v>
          </cell>
        </row>
        <row r="7384">
          <cell r="G7384" t="str">
            <v>Xã Ba Tô</v>
          </cell>
          <cell r="I7384" t="str">
            <v>50525</v>
          </cell>
        </row>
        <row r="7385">
          <cell r="G7385" t="str">
            <v xml:space="preserve">Xã Ba Vì </v>
          </cell>
          <cell r="I7385" t="str">
            <v>50525</v>
          </cell>
        </row>
        <row r="7386">
          <cell r="G7386" t="str">
            <v>Xã Ba Nam</v>
          </cell>
          <cell r="I7386" t="str">
            <v>50525</v>
          </cell>
        </row>
        <row r="7387">
          <cell r="G7387" t="str">
            <v>Xã Ba Xa</v>
          </cell>
          <cell r="I7387" t="str">
            <v>50525</v>
          </cell>
        </row>
        <row r="7388">
          <cell r="G7388" t="str">
            <v>Xã Ba Giang</v>
          </cell>
          <cell r="I7388" t="str">
            <v>50525</v>
          </cell>
        </row>
        <row r="7389">
          <cell r="G7389" t="str">
            <v>Phường Nhơn Bình</v>
          </cell>
          <cell r="I7389" t="str">
            <v>50701</v>
          </cell>
        </row>
        <row r="7390">
          <cell r="G7390" t="str">
            <v xml:space="preserve">Phường Trần Phú       </v>
          </cell>
          <cell r="I7390" t="str">
            <v>50701</v>
          </cell>
        </row>
        <row r="7391">
          <cell r="G7391" t="str">
            <v>Phường Thị Nại</v>
          </cell>
          <cell r="I7391" t="str">
            <v>50701</v>
          </cell>
        </row>
        <row r="7392">
          <cell r="G7392" t="str">
            <v>Phường Lý Thường Kiệt</v>
          </cell>
          <cell r="I7392" t="str">
            <v>50701</v>
          </cell>
        </row>
        <row r="7393">
          <cell r="G7393" t="str">
            <v>Phường Ghềnh Ráng</v>
          </cell>
          <cell r="I7393" t="str">
            <v>50701</v>
          </cell>
        </row>
        <row r="7394">
          <cell r="G7394" t="str">
            <v>Phường Nhơn Phú</v>
          </cell>
          <cell r="I7394" t="str">
            <v>50701</v>
          </cell>
        </row>
        <row r="7395">
          <cell r="G7395" t="str">
            <v xml:space="preserve">Phường Đống Đa </v>
          </cell>
          <cell r="I7395" t="str">
            <v>50701</v>
          </cell>
        </row>
        <row r="7396">
          <cell r="G7396" t="str">
            <v>Phường Trần Quang Diệu</v>
          </cell>
          <cell r="I7396" t="str">
            <v>50701</v>
          </cell>
        </row>
        <row r="7397">
          <cell r="G7397" t="str">
            <v>Phường Hải Cảng</v>
          </cell>
          <cell r="I7397" t="str">
            <v>50701</v>
          </cell>
        </row>
        <row r="7398">
          <cell r="G7398" t="str">
            <v xml:space="preserve">Phường Quang Trung             </v>
          </cell>
          <cell r="I7398" t="str">
            <v>50701</v>
          </cell>
        </row>
        <row r="7399">
          <cell r="G7399" t="str">
            <v xml:space="preserve">Phường Lê Hồng Phong   </v>
          </cell>
          <cell r="I7399" t="str">
            <v>50701</v>
          </cell>
        </row>
        <row r="7400">
          <cell r="G7400" t="str">
            <v xml:space="preserve">Phường Trần Hưng Đạo       </v>
          </cell>
          <cell r="I7400" t="str">
            <v>50701</v>
          </cell>
        </row>
        <row r="7401">
          <cell r="G7401" t="str">
            <v>Phường Ngô Mây</v>
          </cell>
          <cell r="I7401" t="str">
            <v>50701</v>
          </cell>
        </row>
        <row r="7402">
          <cell r="G7402" t="str">
            <v xml:space="preserve">Phường Lê Lợi     </v>
          </cell>
          <cell r="I7402" t="str">
            <v>50701</v>
          </cell>
        </row>
        <row r="7403">
          <cell r="G7403" t="str">
            <v xml:space="preserve">Phường Bùi Thị Xuân </v>
          </cell>
          <cell r="I7403" t="str">
            <v>50701</v>
          </cell>
        </row>
        <row r="7404">
          <cell r="G7404" t="str">
            <v>Phường Nguyễn Văn Cừ</v>
          </cell>
          <cell r="I7404" t="str">
            <v>50701</v>
          </cell>
        </row>
        <row r="7405">
          <cell r="G7405" t="str">
            <v>Xã Nhơn Lý</v>
          </cell>
          <cell r="I7405" t="str">
            <v>50701</v>
          </cell>
        </row>
        <row r="7406">
          <cell r="G7406" t="str">
            <v>Xã Nhơn Hội</v>
          </cell>
          <cell r="I7406" t="str">
            <v>50701</v>
          </cell>
        </row>
        <row r="7407">
          <cell r="G7407" t="str">
            <v>Xã Nhơn Hải</v>
          </cell>
          <cell r="I7407" t="str">
            <v>50701</v>
          </cell>
        </row>
        <row r="7408">
          <cell r="G7408" t="str">
            <v>Xã Nhơn Châu</v>
          </cell>
          <cell r="I7408" t="str">
            <v>50701</v>
          </cell>
        </row>
        <row r="7409">
          <cell r="G7409" t="str">
            <v xml:space="preserve">Xã Phước Mỹ </v>
          </cell>
          <cell r="I7409" t="str">
            <v>50701</v>
          </cell>
        </row>
        <row r="7410">
          <cell r="G7410" t="str">
            <v>Xã An Tân</v>
          </cell>
          <cell r="I7410" t="str">
            <v>50703</v>
          </cell>
        </row>
        <row r="7411">
          <cell r="G7411" t="str">
            <v xml:space="preserve">Xã An Hưng </v>
          </cell>
          <cell r="I7411" t="str">
            <v>50703</v>
          </cell>
        </row>
        <row r="7412">
          <cell r="G7412" t="str">
            <v>Xã An Toàn</v>
          </cell>
          <cell r="I7412" t="str">
            <v>50703</v>
          </cell>
        </row>
        <row r="7413">
          <cell r="G7413" t="str">
            <v>Xã An Quang</v>
          </cell>
          <cell r="I7413" t="str">
            <v>50703</v>
          </cell>
        </row>
        <row r="7414">
          <cell r="G7414" t="str">
            <v>Xã An Trung</v>
          </cell>
          <cell r="I7414" t="str">
            <v>50703</v>
          </cell>
        </row>
        <row r="7415">
          <cell r="G7415" t="str">
            <v>Xã An Dũng</v>
          </cell>
          <cell r="I7415" t="str">
            <v>50703</v>
          </cell>
        </row>
        <row r="7416">
          <cell r="G7416" t="str">
            <v xml:space="preserve">Xã An Vinh </v>
          </cell>
          <cell r="I7416" t="str">
            <v>50703</v>
          </cell>
        </row>
        <row r="7417">
          <cell r="G7417" t="str">
            <v xml:space="preserve">Xã An Hòa  </v>
          </cell>
          <cell r="I7417" t="str">
            <v>50703</v>
          </cell>
        </row>
        <row r="7418">
          <cell r="G7418" t="str">
            <v>Xã An Nghĩa</v>
          </cell>
          <cell r="I7418" t="str">
            <v>50703</v>
          </cell>
        </row>
        <row r="7419">
          <cell r="G7419" t="str">
            <v xml:space="preserve">Thị trấn An Lão </v>
          </cell>
          <cell r="I7419" t="str">
            <v>50703</v>
          </cell>
        </row>
        <row r="7420">
          <cell r="G7420" t="str">
            <v>Xã Tam Quan Nam</v>
          </cell>
          <cell r="I7420" t="str">
            <v>50705</v>
          </cell>
        </row>
        <row r="7421">
          <cell r="G7421" t="str">
            <v>Xã Hoài Sơn</v>
          </cell>
          <cell r="I7421" t="str">
            <v>50705</v>
          </cell>
        </row>
        <row r="7422">
          <cell r="G7422" t="str">
            <v>Xã Tam Quan Bắc</v>
          </cell>
          <cell r="I7422" t="str">
            <v>50705</v>
          </cell>
        </row>
        <row r="7423">
          <cell r="G7423" t="str">
            <v>Xã Hoài Thanh</v>
          </cell>
          <cell r="I7423" t="str">
            <v>50705</v>
          </cell>
        </row>
        <row r="7424">
          <cell r="G7424" t="str">
            <v>Xã Hoài Mỹ</v>
          </cell>
          <cell r="I7424" t="str">
            <v>50705</v>
          </cell>
        </row>
        <row r="7425">
          <cell r="G7425" t="str">
            <v>Thị trấn Tam Quan</v>
          </cell>
          <cell r="I7425" t="str">
            <v>50705</v>
          </cell>
        </row>
        <row r="7426">
          <cell r="G7426" t="str">
            <v>Thị trấn Bồng Sơn</v>
          </cell>
          <cell r="I7426" t="str">
            <v>50705</v>
          </cell>
        </row>
        <row r="7427">
          <cell r="G7427" t="str">
            <v>Xã Hoài Châu Bắc</v>
          </cell>
          <cell r="I7427" t="str">
            <v>50705</v>
          </cell>
        </row>
        <row r="7428">
          <cell r="G7428" t="str">
            <v>Xã Hoài Châu</v>
          </cell>
          <cell r="I7428" t="str">
            <v>50705</v>
          </cell>
        </row>
        <row r="7429">
          <cell r="G7429" t="str">
            <v>Xã Hoài Phú</v>
          </cell>
          <cell r="I7429" t="str">
            <v>50705</v>
          </cell>
        </row>
        <row r="7430">
          <cell r="G7430" t="str">
            <v>Xã Hoài Hảo</v>
          </cell>
          <cell r="I7430" t="str">
            <v>50705</v>
          </cell>
        </row>
        <row r="7431">
          <cell r="G7431" t="str">
            <v>Xã Hoài Thanh Tây</v>
          </cell>
          <cell r="I7431" t="str">
            <v>50705</v>
          </cell>
        </row>
        <row r="7432">
          <cell r="G7432" t="str">
            <v>Xã Hoài Hương</v>
          </cell>
          <cell r="I7432" t="str">
            <v>50705</v>
          </cell>
        </row>
        <row r="7433">
          <cell r="G7433" t="str">
            <v>Xã Hoài Tân</v>
          </cell>
          <cell r="I7433" t="str">
            <v>50705</v>
          </cell>
        </row>
        <row r="7434">
          <cell r="G7434" t="str">
            <v>Xã Hoài Hải</v>
          </cell>
          <cell r="I7434" t="str">
            <v>50705</v>
          </cell>
        </row>
        <row r="7435">
          <cell r="G7435" t="str">
            <v>Xã Hoài Xuân</v>
          </cell>
          <cell r="I7435" t="str">
            <v>50705</v>
          </cell>
        </row>
        <row r="7436">
          <cell r="G7436" t="str">
            <v>Xã Hoài Đức</v>
          </cell>
          <cell r="I7436" t="str">
            <v>50705</v>
          </cell>
        </row>
        <row r="7437">
          <cell r="G7437" t="str">
            <v>Xã Ân Mỹ</v>
          </cell>
          <cell r="I7437" t="str">
            <v>50707</v>
          </cell>
        </row>
        <row r="7438">
          <cell r="G7438" t="str">
            <v>Xã ân Hảo Tây</v>
          </cell>
          <cell r="I7438" t="str">
            <v>50707</v>
          </cell>
        </row>
        <row r="7439">
          <cell r="G7439" t="str">
            <v>Xã ân Hảo Đông</v>
          </cell>
          <cell r="I7439" t="str">
            <v>50707</v>
          </cell>
        </row>
        <row r="7440">
          <cell r="G7440" t="str">
            <v>Xã Ân Tín</v>
          </cell>
          <cell r="I7440" t="str">
            <v>50707</v>
          </cell>
        </row>
        <row r="7441">
          <cell r="G7441" t="str">
            <v>Xã Ân Hữu</v>
          </cell>
          <cell r="I7441" t="str">
            <v>50707</v>
          </cell>
        </row>
        <row r="7442">
          <cell r="G7442" t="str">
            <v>Xã Ân Tường Đông</v>
          </cell>
          <cell r="I7442" t="str">
            <v>50707</v>
          </cell>
        </row>
        <row r="7443">
          <cell r="G7443" t="str">
            <v>Thị trấn Tăng Bạt Hổ</v>
          </cell>
          <cell r="I7443" t="str">
            <v>50707</v>
          </cell>
        </row>
        <row r="7444">
          <cell r="G7444" t="str">
            <v>Xã Ân Sơn</v>
          </cell>
          <cell r="I7444" t="str">
            <v>50707</v>
          </cell>
        </row>
        <row r="7445">
          <cell r="G7445" t="str">
            <v>Xã Đăk Mang</v>
          </cell>
          <cell r="I7445" t="str">
            <v>50707</v>
          </cell>
        </row>
        <row r="7446">
          <cell r="G7446" t="str">
            <v>Xã Ân Thạnh</v>
          </cell>
          <cell r="I7446" t="str">
            <v>50707</v>
          </cell>
        </row>
        <row r="7447">
          <cell r="G7447" t="str">
            <v>Xã Ân Phong</v>
          </cell>
          <cell r="I7447" t="str">
            <v>50707</v>
          </cell>
        </row>
        <row r="7448">
          <cell r="G7448" t="str">
            <v>Xã Ân Đức</v>
          </cell>
          <cell r="I7448" t="str">
            <v>50707</v>
          </cell>
        </row>
        <row r="7449">
          <cell r="G7449" t="str">
            <v>Xã Bok Tới</v>
          </cell>
          <cell r="I7449" t="str">
            <v>50707</v>
          </cell>
        </row>
        <row r="7450">
          <cell r="G7450" t="str">
            <v>Xã Ân Tường Tây</v>
          </cell>
          <cell r="I7450" t="str">
            <v>50707</v>
          </cell>
        </row>
        <row r="7451">
          <cell r="G7451" t="str">
            <v xml:space="preserve">Xã Ân Nghĩa </v>
          </cell>
          <cell r="I7451" t="str">
            <v>50707</v>
          </cell>
        </row>
        <row r="7452">
          <cell r="G7452" t="str">
            <v>Thị trấn Phù Mỹ</v>
          </cell>
          <cell r="I7452" t="str">
            <v>50709</v>
          </cell>
        </row>
        <row r="7453">
          <cell r="G7453" t="str">
            <v>Xã Mỹ Chánh</v>
          </cell>
          <cell r="I7453" t="str">
            <v>50709</v>
          </cell>
        </row>
        <row r="7454">
          <cell r="G7454" t="str">
            <v>Xã Mỹ Châu</v>
          </cell>
          <cell r="I7454" t="str">
            <v>50709</v>
          </cell>
        </row>
        <row r="7455">
          <cell r="G7455" t="str">
            <v>Xã Mỹ Lợi</v>
          </cell>
          <cell r="I7455" t="str">
            <v>50709</v>
          </cell>
        </row>
        <row r="7456">
          <cell r="G7456" t="str">
            <v xml:space="preserve">Xã Mỹ Thọ </v>
          </cell>
          <cell r="I7456" t="str">
            <v>50709</v>
          </cell>
        </row>
        <row r="7457">
          <cell r="G7457" t="str">
            <v>Xã Mỹ Quang</v>
          </cell>
          <cell r="I7457" t="str">
            <v>50709</v>
          </cell>
        </row>
        <row r="7458">
          <cell r="G7458" t="str">
            <v>Xã Mỹ Chánh Tây</v>
          </cell>
          <cell r="I7458" t="str">
            <v>50709</v>
          </cell>
        </row>
        <row r="7459">
          <cell r="G7459" t="str">
            <v>Thị trấn Bình Dương</v>
          </cell>
          <cell r="I7459" t="str">
            <v>50709</v>
          </cell>
        </row>
        <row r="7460">
          <cell r="G7460" t="str">
            <v xml:space="preserve">Xã Mỹ Đức </v>
          </cell>
          <cell r="I7460" t="str">
            <v>50709</v>
          </cell>
        </row>
        <row r="7461">
          <cell r="G7461" t="str">
            <v xml:space="preserve">Xã Mỹ Thắng </v>
          </cell>
          <cell r="I7461" t="str">
            <v>50709</v>
          </cell>
        </row>
        <row r="7462">
          <cell r="G7462" t="str">
            <v xml:space="preserve">Xã Mỹ Lộc   </v>
          </cell>
          <cell r="I7462" t="str">
            <v>50709</v>
          </cell>
        </row>
        <row r="7463">
          <cell r="G7463" t="str">
            <v xml:space="preserve">Xã Mỹ An </v>
          </cell>
          <cell r="I7463" t="str">
            <v>50709</v>
          </cell>
        </row>
        <row r="7464">
          <cell r="G7464" t="str">
            <v>Xã Mỹ Phong</v>
          </cell>
          <cell r="I7464" t="str">
            <v>50709</v>
          </cell>
        </row>
        <row r="7465">
          <cell r="G7465" t="str">
            <v>Xã Mỹ Trinh</v>
          </cell>
          <cell r="I7465" t="str">
            <v>50709</v>
          </cell>
        </row>
        <row r="7466">
          <cell r="G7466" t="str">
            <v xml:space="preserve">Xã Mỹ Hòa </v>
          </cell>
          <cell r="I7466" t="str">
            <v>50709</v>
          </cell>
        </row>
        <row r="7467">
          <cell r="G7467" t="str">
            <v xml:space="preserve">Xã Mỹ Thành    </v>
          </cell>
          <cell r="I7467" t="str">
            <v>50709</v>
          </cell>
        </row>
        <row r="7468">
          <cell r="G7468" t="str">
            <v>Xã Mỹ Hiệp</v>
          </cell>
          <cell r="I7468" t="str">
            <v>50709</v>
          </cell>
        </row>
        <row r="7469">
          <cell r="G7469" t="str">
            <v>Xã Mỹ Tài</v>
          </cell>
          <cell r="I7469" t="str">
            <v>50709</v>
          </cell>
        </row>
        <row r="7470">
          <cell r="G7470" t="str">
            <v>Xã Mỹ Cát</v>
          </cell>
          <cell r="I7470" t="str">
            <v>50709</v>
          </cell>
        </row>
        <row r="7471">
          <cell r="G7471" t="str">
            <v xml:space="preserve">Xã Vĩnh Thịnh  </v>
          </cell>
          <cell r="I7471" t="str">
            <v>50711</v>
          </cell>
        </row>
        <row r="7472">
          <cell r="G7472" t="str">
            <v>Xã Vĩnh Hiệp</v>
          </cell>
          <cell r="I7472" t="str">
            <v>50711</v>
          </cell>
        </row>
        <row r="7473">
          <cell r="G7473" t="str">
            <v xml:space="preserve">Xã Vĩnh Sơn   </v>
          </cell>
          <cell r="I7473" t="str">
            <v>50711</v>
          </cell>
        </row>
        <row r="7474">
          <cell r="G7474" t="str">
            <v xml:space="preserve">Xã Vĩnh Kim </v>
          </cell>
          <cell r="I7474" t="str">
            <v>50711</v>
          </cell>
        </row>
        <row r="7475">
          <cell r="G7475" t="str">
            <v xml:space="preserve">Xã Vĩnh Hòa   </v>
          </cell>
          <cell r="I7475" t="str">
            <v>50711</v>
          </cell>
        </row>
        <row r="7476">
          <cell r="G7476" t="str">
            <v xml:space="preserve">Xã Vĩnh Hảo </v>
          </cell>
          <cell r="I7476" t="str">
            <v>50711</v>
          </cell>
        </row>
        <row r="7477">
          <cell r="G7477" t="str">
            <v xml:space="preserve">Xã Vĩnh Quang   </v>
          </cell>
          <cell r="I7477" t="str">
            <v>50711</v>
          </cell>
        </row>
        <row r="7478">
          <cell r="G7478" t="str">
            <v>Thị trấn Vĩnh Thạnh</v>
          </cell>
          <cell r="I7478" t="str">
            <v>50711</v>
          </cell>
        </row>
        <row r="7479">
          <cell r="G7479" t="str">
            <v>Xã Vĩnh Thuận</v>
          </cell>
          <cell r="I7479" t="str">
            <v>50711</v>
          </cell>
        </row>
        <row r="7480">
          <cell r="G7480" t="str">
            <v>Xã Cát Trinh</v>
          </cell>
          <cell r="I7480" t="str">
            <v>50713</v>
          </cell>
        </row>
        <row r="7481">
          <cell r="G7481" t="str">
            <v>Xã Cát Minh</v>
          </cell>
          <cell r="I7481" t="str">
            <v>50713</v>
          </cell>
        </row>
        <row r="7482">
          <cell r="G7482" t="str">
            <v xml:space="preserve">Xã Cát Tân </v>
          </cell>
          <cell r="I7482" t="str">
            <v>50713</v>
          </cell>
        </row>
        <row r="7483">
          <cell r="G7483" t="str">
            <v>Xã Cát Hanh</v>
          </cell>
          <cell r="I7483" t="str">
            <v>50713</v>
          </cell>
        </row>
        <row r="7484">
          <cell r="G7484" t="str">
            <v>Xã Cát Thành</v>
          </cell>
          <cell r="I7484" t="str">
            <v>50713</v>
          </cell>
        </row>
        <row r="7485">
          <cell r="G7485" t="str">
            <v>Xã Cát Hải</v>
          </cell>
          <cell r="I7485" t="str">
            <v>50713</v>
          </cell>
        </row>
        <row r="7486">
          <cell r="G7486" t="str">
            <v>Xã Cát Hiệp</v>
          </cell>
          <cell r="I7486" t="str">
            <v>50713</v>
          </cell>
        </row>
        <row r="7487">
          <cell r="G7487" t="str">
            <v>Xã Cát Nhơn</v>
          </cell>
          <cell r="I7487" t="str">
            <v>50713</v>
          </cell>
        </row>
        <row r="7488">
          <cell r="G7488" t="str">
            <v>Xã Cát Hưng</v>
          </cell>
          <cell r="I7488" t="str">
            <v>50713</v>
          </cell>
        </row>
        <row r="7489">
          <cell r="G7489" t="str">
            <v>Xã Cát Tường</v>
          </cell>
          <cell r="I7489" t="str">
            <v>50713</v>
          </cell>
        </row>
        <row r="7490">
          <cell r="G7490" t="str">
            <v>Xã Cát Tiến</v>
          </cell>
          <cell r="I7490" t="str">
            <v>50713</v>
          </cell>
        </row>
        <row r="7491">
          <cell r="G7491" t="str">
            <v>Xã Cát Thắng</v>
          </cell>
          <cell r="I7491" t="str">
            <v>50713</v>
          </cell>
        </row>
        <row r="7492">
          <cell r="G7492" t="str">
            <v>Xã Cát Chánh</v>
          </cell>
          <cell r="I7492" t="str">
            <v>50713</v>
          </cell>
        </row>
        <row r="7493">
          <cell r="G7493" t="str">
            <v>Xã Cát Lâm</v>
          </cell>
          <cell r="I7493" t="str">
            <v>50713</v>
          </cell>
        </row>
        <row r="7494">
          <cell r="G7494" t="str">
            <v>Thị trấn Ngô Mây</v>
          </cell>
          <cell r="I7494" t="str">
            <v>50713</v>
          </cell>
        </row>
        <row r="7495">
          <cell r="G7495" t="str">
            <v>Xã Cát Sơn</v>
          </cell>
          <cell r="I7495" t="str">
            <v>50713</v>
          </cell>
        </row>
        <row r="7496">
          <cell r="G7496" t="str">
            <v>Xã Cát Khánh</v>
          </cell>
          <cell r="I7496" t="str">
            <v>50713</v>
          </cell>
        </row>
        <row r="7497">
          <cell r="G7497" t="str">
            <v>Xã Cát Tài</v>
          </cell>
          <cell r="I7497" t="str">
            <v>50713</v>
          </cell>
        </row>
        <row r="7498">
          <cell r="G7498" t="str">
            <v xml:space="preserve">Xã Vĩnh An  </v>
          </cell>
          <cell r="I7498" t="str">
            <v>50715</v>
          </cell>
        </row>
        <row r="7499">
          <cell r="G7499" t="str">
            <v>Thị trấn Phú Phong</v>
          </cell>
          <cell r="I7499" t="str">
            <v>50715</v>
          </cell>
        </row>
        <row r="7500">
          <cell r="G7500" t="str">
            <v xml:space="preserve">Xã Bình Thành  </v>
          </cell>
          <cell r="I7500" t="str">
            <v>50715</v>
          </cell>
        </row>
        <row r="7501">
          <cell r="G7501" t="str">
            <v>Xã Bình Tường</v>
          </cell>
          <cell r="I7501" t="str">
            <v>50715</v>
          </cell>
        </row>
        <row r="7502">
          <cell r="G7502" t="str">
            <v>Xã Bình Nghi</v>
          </cell>
          <cell r="I7502" t="str">
            <v>50715</v>
          </cell>
        </row>
        <row r="7503">
          <cell r="G7503" t="str">
            <v xml:space="preserve">Xã Bình Tân </v>
          </cell>
          <cell r="I7503" t="str">
            <v>50715</v>
          </cell>
        </row>
        <row r="7504">
          <cell r="G7504" t="str">
            <v>Xã Tây Thuận</v>
          </cell>
          <cell r="I7504" t="str">
            <v>50715</v>
          </cell>
        </row>
        <row r="7505">
          <cell r="G7505" t="str">
            <v xml:space="preserve">Xã Bình Thuận   </v>
          </cell>
          <cell r="I7505" t="str">
            <v>50715</v>
          </cell>
        </row>
        <row r="7506">
          <cell r="G7506" t="str">
            <v xml:space="preserve">Xã Tây Giang </v>
          </cell>
          <cell r="I7506" t="str">
            <v>50715</v>
          </cell>
        </row>
        <row r="7507">
          <cell r="G7507" t="str">
            <v xml:space="preserve">Xã Tây An </v>
          </cell>
          <cell r="I7507" t="str">
            <v>50715</v>
          </cell>
        </row>
        <row r="7508">
          <cell r="G7508" t="str">
            <v xml:space="preserve">Xã Bình Hòa  </v>
          </cell>
          <cell r="I7508" t="str">
            <v>50715</v>
          </cell>
        </row>
        <row r="7509">
          <cell r="G7509" t="str">
            <v>Xã Tây Bình</v>
          </cell>
          <cell r="I7509" t="str">
            <v>50715</v>
          </cell>
        </row>
        <row r="7510">
          <cell r="G7510" t="str">
            <v>Xã Tây Vinh</v>
          </cell>
          <cell r="I7510" t="str">
            <v>50715</v>
          </cell>
        </row>
        <row r="7511">
          <cell r="G7511" t="str">
            <v>Xã Tây Xuân</v>
          </cell>
          <cell r="I7511" t="str">
            <v>50715</v>
          </cell>
        </row>
        <row r="7512">
          <cell r="G7512" t="str">
            <v>Xã Tây Phú</v>
          </cell>
          <cell r="I7512" t="str">
            <v>50715</v>
          </cell>
        </row>
        <row r="7513">
          <cell r="G7513" t="str">
            <v>Phường Đập Đá</v>
          </cell>
          <cell r="I7513" t="str">
            <v>50717</v>
          </cell>
        </row>
        <row r="7514">
          <cell r="G7514" t="str">
            <v>Xã Nhơn Tân</v>
          </cell>
          <cell r="I7514" t="str">
            <v>50717</v>
          </cell>
        </row>
        <row r="7515">
          <cell r="G7515" t="str">
            <v>Phường Bình Định</v>
          </cell>
          <cell r="I7515" t="str">
            <v>50717</v>
          </cell>
        </row>
        <row r="7516">
          <cell r="G7516" t="str">
            <v>Xã Nhơn Hạnh</v>
          </cell>
          <cell r="I7516" t="str">
            <v>50717</v>
          </cell>
        </row>
        <row r="7517">
          <cell r="G7517" t="str">
            <v>Xã Nhơn Phúc</v>
          </cell>
          <cell r="I7517" t="str">
            <v>50717</v>
          </cell>
        </row>
        <row r="7518">
          <cell r="G7518" t="str">
            <v>Phường Nhơn Hòa</v>
          </cell>
          <cell r="I7518" t="str">
            <v>50717</v>
          </cell>
        </row>
        <row r="7519">
          <cell r="G7519" t="str">
            <v>Xã Nhơn Mỹ</v>
          </cell>
          <cell r="I7519" t="str">
            <v>50717</v>
          </cell>
        </row>
        <row r="7520">
          <cell r="G7520" t="str">
            <v>Phường Nhơn Thành</v>
          </cell>
          <cell r="I7520" t="str">
            <v>50717</v>
          </cell>
        </row>
        <row r="7521">
          <cell r="G7521" t="str">
            <v>Xã Nhơn Hậu</v>
          </cell>
          <cell r="I7521" t="str">
            <v>50717</v>
          </cell>
        </row>
        <row r="7522">
          <cell r="G7522" t="str">
            <v>Xã Nhơn Phong</v>
          </cell>
          <cell r="I7522" t="str">
            <v>50717</v>
          </cell>
        </row>
        <row r="7523">
          <cell r="G7523" t="str">
            <v>Xã Nhơn An</v>
          </cell>
          <cell r="I7523" t="str">
            <v>50717</v>
          </cell>
        </row>
        <row r="7524">
          <cell r="G7524" t="str">
            <v>Phường Nhơn Hưng</v>
          </cell>
          <cell r="I7524" t="str">
            <v>50717</v>
          </cell>
        </row>
        <row r="7525">
          <cell r="G7525" t="str">
            <v>Xã Nhơn Khánh</v>
          </cell>
          <cell r="I7525" t="str">
            <v>50717</v>
          </cell>
        </row>
        <row r="7526">
          <cell r="G7526" t="str">
            <v>Xã Nhơn Lộc</v>
          </cell>
          <cell r="I7526" t="str">
            <v>50717</v>
          </cell>
        </row>
        <row r="7527">
          <cell r="G7527" t="str">
            <v>Xã Nhơn Thọ</v>
          </cell>
          <cell r="I7527" t="str">
            <v>50717</v>
          </cell>
        </row>
        <row r="7528">
          <cell r="G7528" t="str">
            <v>Xã Phước Nghĩa</v>
          </cell>
          <cell r="I7528" t="str">
            <v>50719</v>
          </cell>
        </row>
        <row r="7529">
          <cell r="G7529" t="str">
            <v>Xã Phước Thuận</v>
          </cell>
          <cell r="I7529" t="str">
            <v>50719</v>
          </cell>
        </row>
        <row r="7530">
          <cell r="G7530" t="str">
            <v>Xã Phước Sơn</v>
          </cell>
          <cell r="I7530" t="str">
            <v>50719</v>
          </cell>
        </row>
        <row r="7531">
          <cell r="G7531" t="str">
            <v>Thị trấn Diêu Trì</v>
          </cell>
          <cell r="I7531" t="str">
            <v>50719</v>
          </cell>
        </row>
        <row r="7532">
          <cell r="G7532" t="str">
            <v>Thị trấn Tuy Phước</v>
          </cell>
          <cell r="I7532" t="str">
            <v>50719</v>
          </cell>
        </row>
        <row r="7533">
          <cell r="G7533" t="str">
            <v>Xã Phước Thắng</v>
          </cell>
          <cell r="I7533" t="str">
            <v>50719</v>
          </cell>
        </row>
        <row r="7534">
          <cell r="G7534" t="str">
            <v>Xã Phước Hưng</v>
          </cell>
          <cell r="I7534" t="str">
            <v>50719</v>
          </cell>
        </row>
        <row r="7535">
          <cell r="G7535" t="str">
            <v>Xã Phước Quang</v>
          </cell>
          <cell r="I7535" t="str">
            <v>50719</v>
          </cell>
        </row>
        <row r="7536">
          <cell r="G7536" t="str">
            <v>Xã Phước Hòa</v>
          </cell>
          <cell r="I7536" t="str">
            <v>50719</v>
          </cell>
        </row>
        <row r="7537">
          <cell r="G7537" t="str">
            <v xml:space="preserve">Xã Phước Hiệp </v>
          </cell>
          <cell r="I7537" t="str">
            <v>50719</v>
          </cell>
        </row>
        <row r="7538">
          <cell r="G7538" t="str">
            <v xml:space="preserve">Xã Phước Lộc </v>
          </cell>
          <cell r="I7538" t="str">
            <v>50719</v>
          </cell>
        </row>
        <row r="7539">
          <cell r="G7539" t="str">
            <v>Xã Phước An</v>
          </cell>
          <cell r="I7539" t="str">
            <v>50719</v>
          </cell>
        </row>
        <row r="7540">
          <cell r="G7540" t="str">
            <v xml:space="preserve">Xã Phước Thành </v>
          </cell>
          <cell r="I7540" t="str">
            <v>50719</v>
          </cell>
        </row>
        <row r="7541">
          <cell r="G7541" t="str">
            <v>Thị trấn Vân Canh</v>
          </cell>
          <cell r="I7541" t="str">
            <v>50721</v>
          </cell>
        </row>
        <row r="7542">
          <cell r="G7542" t="str">
            <v>Xã Canh Thuận</v>
          </cell>
          <cell r="I7542" t="str">
            <v>50721</v>
          </cell>
        </row>
        <row r="7543">
          <cell r="G7543" t="str">
            <v>Xã Canh Liên</v>
          </cell>
          <cell r="I7543" t="str">
            <v>50721</v>
          </cell>
        </row>
        <row r="7544">
          <cell r="G7544" t="str">
            <v>Xã Canh Hiệp</v>
          </cell>
          <cell r="I7544" t="str">
            <v>50721</v>
          </cell>
        </row>
        <row r="7545">
          <cell r="G7545" t="str">
            <v>Xã Canh Vinh</v>
          </cell>
          <cell r="I7545" t="str">
            <v>50721</v>
          </cell>
        </row>
        <row r="7546">
          <cell r="G7546" t="str">
            <v>Xã Canh Hiển</v>
          </cell>
          <cell r="I7546" t="str">
            <v>50721</v>
          </cell>
        </row>
        <row r="7547">
          <cell r="G7547" t="str">
            <v>Xã Canh Hòa</v>
          </cell>
          <cell r="I7547" t="str">
            <v>50721</v>
          </cell>
        </row>
        <row r="7548">
          <cell r="G7548" t="str">
            <v xml:space="preserve">Phường 5 </v>
          </cell>
          <cell r="I7548" t="str">
            <v>50901</v>
          </cell>
        </row>
        <row r="7549">
          <cell r="G7549" t="str">
            <v xml:space="preserve">Phường 2  </v>
          </cell>
          <cell r="I7549" t="str">
            <v>50901</v>
          </cell>
        </row>
        <row r="7550">
          <cell r="G7550" t="str">
            <v xml:space="preserve">Phường 4 </v>
          </cell>
          <cell r="I7550" t="str">
            <v>50901</v>
          </cell>
        </row>
        <row r="7551">
          <cell r="G7551" t="str">
            <v>Xã Hòa Kiến</v>
          </cell>
          <cell r="I7551" t="str">
            <v>50901</v>
          </cell>
        </row>
        <row r="7552">
          <cell r="G7552" t="str">
            <v xml:space="preserve">Phường 1  </v>
          </cell>
          <cell r="I7552" t="str">
            <v>50901</v>
          </cell>
        </row>
        <row r="7553">
          <cell r="G7553" t="str">
            <v>Phường 8</v>
          </cell>
          <cell r="I7553" t="str">
            <v>50901</v>
          </cell>
        </row>
        <row r="7554">
          <cell r="G7554" t="str">
            <v>Phường 9</v>
          </cell>
          <cell r="I7554" t="str">
            <v>50901</v>
          </cell>
        </row>
        <row r="7555">
          <cell r="G7555" t="str">
            <v xml:space="preserve">Phường 3  </v>
          </cell>
          <cell r="I7555" t="str">
            <v>50901</v>
          </cell>
        </row>
        <row r="7556">
          <cell r="G7556" t="str">
            <v>Phường 7</v>
          </cell>
          <cell r="I7556" t="str">
            <v>50901</v>
          </cell>
        </row>
        <row r="7557">
          <cell r="G7557" t="str">
            <v>Phường 6</v>
          </cell>
          <cell r="I7557" t="str">
            <v>50901</v>
          </cell>
        </row>
        <row r="7558">
          <cell r="G7558" t="str">
            <v>Xã Bình Kiến</v>
          </cell>
          <cell r="I7558" t="str">
            <v>50901</v>
          </cell>
        </row>
        <row r="7559">
          <cell r="G7559" t="str">
            <v xml:space="preserve">Xã Bình Ngọc </v>
          </cell>
          <cell r="I7559" t="str">
            <v>50901</v>
          </cell>
        </row>
        <row r="7560">
          <cell r="G7560" t="str">
            <v xml:space="preserve">Xã An Phú  </v>
          </cell>
          <cell r="I7560" t="str">
            <v>50901</v>
          </cell>
        </row>
        <row r="7561">
          <cell r="G7561" t="str">
            <v>Phường Phú Lâm</v>
          </cell>
          <cell r="I7561" t="str">
            <v>50901</v>
          </cell>
        </row>
        <row r="7562">
          <cell r="G7562" t="str">
            <v>Phường Phú Thạnh</v>
          </cell>
          <cell r="I7562" t="str">
            <v>50901</v>
          </cell>
        </row>
        <row r="7563">
          <cell r="G7563" t="str">
            <v>Phường Phú Đông</v>
          </cell>
          <cell r="I7563" t="str">
            <v>50901</v>
          </cell>
        </row>
        <row r="7564">
          <cell r="G7564" t="str">
            <v>Xã Xuân Quang 3</v>
          </cell>
          <cell r="I7564" t="str">
            <v>50903</v>
          </cell>
        </row>
        <row r="7565">
          <cell r="G7565" t="str">
            <v>Xã Xuân Lãnh</v>
          </cell>
          <cell r="I7565" t="str">
            <v>50903</v>
          </cell>
        </row>
        <row r="7566">
          <cell r="G7566" t="str">
            <v>Xã Xuân Quang 2</v>
          </cell>
          <cell r="I7566" t="str">
            <v>50903</v>
          </cell>
        </row>
        <row r="7567">
          <cell r="G7567" t="str">
            <v>Thị trấn La Hai</v>
          </cell>
          <cell r="I7567" t="str">
            <v>50903</v>
          </cell>
        </row>
        <row r="7568">
          <cell r="G7568" t="str">
            <v xml:space="preserve">Xã Đa Lộc  </v>
          </cell>
          <cell r="I7568" t="str">
            <v>50903</v>
          </cell>
        </row>
        <row r="7569">
          <cell r="G7569" t="str">
            <v>Xã Phú Mỡ</v>
          </cell>
          <cell r="I7569" t="str">
            <v>50903</v>
          </cell>
        </row>
        <row r="7570">
          <cell r="G7570" t="str">
            <v xml:space="preserve">Xã Xuân Long  </v>
          </cell>
          <cell r="I7570" t="str">
            <v>50903</v>
          </cell>
        </row>
        <row r="7571">
          <cell r="G7571" t="str">
            <v>Xã Xuân Quang 1</v>
          </cell>
          <cell r="I7571" t="str">
            <v>50903</v>
          </cell>
        </row>
        <row r="7572">
          <cell r="G7572" t="str">
            <v>Xã Xuân Sơn Bắc</v>
          </cell>
          <cell r="I7572" t="str">
            <v>50903</v>
          </cell>
        </row>
        <row r="7573">
          <cell r="G7573" t="str">
            <v>Xã Xuân Sơn Nam</v>
          </cell>
          <cell r="I7573" t="str">
            <v>50903</v>
          </cell>
        </row>
        <row r="7574">
          <cell r="G7574" t="str">
            <v>Xã Xuân Phước</v>
          </cell>
          <cell r="I7574" t="str">
            <v>50903</v>
          </cell>
        </row>
        <row r="7575">
          <cell r="G7575" t="str">
            <v xml:space="preserve">Xã Xuân Lâm   </v>
          </cell>
          <cell r="I7575" t="str">
            <v>50905</v>
          </cell>
        </row>
        <row r="7576">
          <cell r="G7576" t="str">
            <v xml:space="preserve">Xã Xuân Phương   </v>
          </cell>
          <cell r="I7576" t="str">
            <v>50905</v>
          </cell>
        </row>
        <row r="7577">
          <cell r="G7577" t="str">
            <v xml:space="preserve">Xã Xuân Hải </v>
          </cell>
          <cell r="I7577" t="str">
            <v>50905</v>
          </cell>
        </row>
        <row r="7578">
          <cell r="G7578" t="str">
            <v>Xã Xuân Cảnh</v>
          </cell>
          <cell r="I7578" t="str">
            <v>50905</v>
          </cell>
        </row>
        <row r="7579">
          <cell r="G7579" t="str">
            <v>Xã Xuân Thọ 2</v>
          </cell>
          <cell r="I7579" t="str">
            <v>50905</v>
          </cell>
        </row>
        <row r="7580">
          <cell r="G7580" t="str">
            <v xml:space="preserve">Xã Xuân Lộc      </v>
          </cell>
          <cell r="I7580" t="str">
            <v>50905</v>
          </cell>
        </row>
        <row r="7581">
          <cell r="G7581" t="str">
            <v xml:space="preserve">Xã Xuân Bình </v>
          </cell>
          <cell r="I7581" t="str">
            <v>50905</v>
          </cell>
        </row>
        <row r="7582">
          <cell r="G7582" t="str">
            <v xml:space="preserve">Xã Xuân Hòa     </v>
          </cell>
          <cell r="I7582" t="str">
            <v>50905</v>
          </cell>
        </row>
        <row r="7583">
          <cell r="G7583" t="str">
            <v xml:space="preserve">Xã Xuân Thịnh </v>
          </cell>
          <cell r="I7583" t="str">
            <v>50905</v>
          </cell>
        </row>
        <row r="7584">
          <cell r="G7584" t="str">
            <v>Xã Xuân Thọ 1</v>
          </cell>
          <cell r="I7584" t="str">
            <v>50905</v>
          </cell>
        </row>
        <row r="7585">
          <cell r="G7585" t="str">
            <v>Phường Xuân Yên</v>
          </cell>
          <cell r="I7585" t="str">
            <v>50905</v>
          </cell>
        </row>
        <row r="7586">
          <cell r="G7586" t="str">
            <v xml:space="preserve">Phường Xuân Phú </v>
          </cell>
          <cell r="I7586" t="str">
            <v>50905</v>
          </cell>
        </row>
        <row r="7587">
          <cell r="G7587" t="str">
            <v>Phường Xuân Thành</v>
          </cell>
          <cell r="I7587" t="str">
            <v>50905</v>
          </cell>
        </row>
        <row r="7588">
          <cell r="G7588" t="str">
            <v>Phường Xuân Đài</v>
          </cell>
          <cell r="I7588" t="str">
            <v>50905</v>
          </cell>
        </row>
        <row r="7589">
          <cell r="G7589" t="str">
            <v xml:space="preserve">Xã An Hòa   </v>
          </cell>
          <cell r="I7589" t="str">
            <v>50907</v>
          </cell>
        </row>
        <row r="7590">
          <cell r="G7590" t="str">
            <v>Thị trấn Chí Thạnh</v>
          </cell>
          <cell r="I7590" t="str">
            <v>50907</v>
          </cell>
        </row>
        <row r="7591">
          <cell r="G7591" t="str">
            <v>Xã An Định</v>
          </cell>
          <cell r="I7591" t="str">
            <v>50907</v>
          </cell>
        </row>
        <row r="7592">
          <cell r="G7592" t="str">
            <v>Xã An Xuân</v>
          </cell>
          <cell r="I7592" t="str">
            <v>50907</v>
          </cell>
        </row>
        <row r="7593">
          <cell r="G7593" t="str">
            <v xml:space="preserve">Xã An Hiệp </v>
          </cell>
          <cell r="I7593" t="str">
            <v>50907</v>
          </cell>
        </row>
        <row r="7594">
          <cell r="G7594" t="str">
            <v>Xã An Dân</v>
          </cell>
          <cell r="I7594" t="str">
            <v>50907</v>
          </cell>
        </row>
        <row r="7595">
          <cell r="G7595" t="str">
            <v>Xã An Ninh Tây</v>
          </cell>
          <cell r="I7595" t="str">
            <v>50907</v>
          </cell>
        </row>
        <row r="7596">
          <cell r="G7596" t="str">
            <v>Xã An Ninh Đông</v>
          </cell>
          <cell r="I7596" t="str">
            <v>50907</v>
          </cell>
        </row>
        <row r="7597">
          <cell r="G7597" t="str">
            <v>Xã An Thạch</v>
          </cell>
          <cell r="I7597" t="str">
            <v>50907</v>
          </cell>
        </row>
        <row r="7598">
          <cell r="G7598" t="str">
            <v>Xã An Nghiệp</v>
          </cell>
          <cell r="I7598" t="str">
            <v>50907</v>
          </cell>
        </row>
        <row r="7599">
          <cell r="G7599" t="str">
            <v xml:space="preserve">Xã An Hải </v>
          </cell>
          <cell r="I7599" t="str">
            <v>50907</v>
          </cell>
        </row>
        <row r="7600">
          <cell r="G7600" t="str">
            <v>Xã An Cư</v>
          </cell>
          <cell r="I7600" t="str">
            <v>50907</v>
          </cell>
        </row>
        <row r="7601">
          <cell r="G7601" t="str">
            <v>Xã An Lĩnh</v>
          </cell>
          <cell r="I7601" t="str">
            <v>50907</v>
          </cell>
        </row>
        <row r="7602">
          <cell r="G7602" t="str">
            <v xml:space="preserve">Xã An Mỹ   </v>
          </cell>
          <cell r="I7602" t="str">
            <v>50907</v>
          </cell>
        </row>
        <row r="7603">
          <cell r="G7603" t="str">
            <v>Xã An Chấn</v>
          </cell>
          <cell r="I7603" t="str">
            <v>50907</v>
          </cell>
        </row>
        <row r="7604">
          <cell r="G7604" t="str">
            <v xml:space="preserve">Xã An Thọ </v>
          </cell>
          <cell r="I7604" t="str">
            <v>50907</v>
          </cell>
        </row>
        <row r="7605">
          <cell r="G7605" t="str">
            <v>Xã Sơn Xuân</v>
          </cell>
          <cell r="I7605" t="str">
            <v>50909</v>
          </cell>
        </row>
        <row r="7606">
          <cell r="G7606" t="str">
            <v>Thị trấn Củng Sơn</v>
          </cell>
          <cell r="I7606" t="str">
            <v>50909</v>
          </cell>
        </row>
        <row r="7607">
          <cell r="G7607" t="str">
            <v>Xã Suối Trai</v>
          </cell>
          <cell r="I7607" t="str">
            <v>50909</v>
          </cell>
        </row>
        <row r="7608">
          <cell r="G7608" t="str">
            <v xml:space="preserve">Xã Sơn Long  </v>
          </cell>
          <cell r="I7608" t="str">
            <v>50909</v>
          </cell>
        </row>
        <row r="7609">
          <cell r="G7609" t="str">
            <v>Xã Cà Lúi</v>
          </cell>
          <cell r="I7609" t="str">
            <v>50909</v>
          </cell>
        </row>
        <row r="7610">
          <cell r="G7610" t="str">
            <v>Xã Sơn Phước</v>
          </cell>
          <cell r="I7610" t="str">
            <v>50909</v>
          </cell>
        </row>
        <row r="7611">
          <cell r="G7611" t="str">
            <v>Xã Sơn Nguyên</v>
          </cell>
          <cell r="I7611" t="str">
            <v>50909</v>
          </cell>
        </row>
        <row r="7612">
          <cell r="G7612" t="str">
            <v>Xã Eachà Rang</v>
          </cell>
          <cell r="I7612" t="str">
            <v>50909</v>
          </cell>
        </row>
        <row r="7613">
          <cell r="G7613" t="str">
            <v>Xã Krông Pa</v>
          </cell>
          <cell r="I7613" t="str">
            <v>50909</v>
          </cell>
        </row>
        <row r="7614">
          <cell r="G7614" t="str">
            <v>Xã Suối Bạc</v>
          </cell>
          <cell r="I7614" t="str">
            <v>50909</v>
          </cell>
        </row>
        <row r="7615">
          <cell r="G7615" t="str">
            <v xml:space="preserve">Xã Sơn Hà      </v>
          </cell>
          <cell r="I7615" t="str">
            <v>50909</v>
          </cell>
        </row>
        <row r="7616">
          <cell r="G7616" t="str">
            <v>Xã Sơn Định</v>
          </cell>
          <cell r="I7616" t="str">
            <v>50909</v>
          </cell>
        </row>
        <row r="7617">
          <cell r="G7617" t="str">
            <v>Xã Phước Tân</v>
          </cell>
          <cell r="I7617" t="str">
            <v>50909</v>
          </cell>
        </row>
        <row r="7618">
          <cell r="G7618" t="str">
            <v>Xã Sơn Hội</v>
          </cell>
          <cell r="I7618" t="str">
            <v>50909</v>
          </cell>
        </row>
        <row r="7619">
          <cell r="G7619" t="str">
            <v>Xã Hòa Tân Đông</v>
          </cell>
          <cell r="I7619" t="str">
            <v>50911</v>
          </cell>
        </row>
        <row r="7620">
          <cell r="G7620" t="str">
            <v>Xã Hòa Xuân Nam</v>
          </cell>
          <cell r="I7620" t="str">
            <v>50911</v>
          </cell>
        </row>
        <row r="7621">
          <cell r="G7621" t="str">
            <v>Xã Hòa Thành</v>
          </cell>
          <cell r="I7621" t="str">
            <v>50911</v>
          </cell>
        </row>
        <row r="7622">
          <cell r="G7622" t="str">
            <v>Xã Hòa Hiệp Bắc</v>
          </cell>
          <cell r="I7622" t="str">
            <v>50911</v>
          </cell>
        </row>
        <row r="7623">
          <cell r="G7623" t="str">
            <v>Thị trấn Hòa Vinh</v>
          </cell>
          <cell r="I7623" t="str">
            <v>50911</v>
          </cell>
        </row>
        <row r="7624">
          <cell r="G7624" t="str">
            <v>Thị trấn Hòa Hiệp Trung</v>
          </cell>
          <cell r="I7624" t="str">
            <v>50911</v>
          </cell>
        </row>
        <row r="7625">
          <cell r="G7625" t="str">
            <v>Xã Hòa Xuân Tây</v>
          </cell>
          <cell r="I7625" t="str">
            <v>50911</v>
          </cell>
        </row>
        <row r="7626">
          <cell r="G7626" t="str">
            <v>Xã Hòa Hiệp Nam</v>
          </cell>
          <cell r="I7626" t="str">
            <v>50911</v>
          </cell>
        </row>
        <row r="7627">
          <cell r="G7627" t="str">
            <v>Xã Hòa Xuân Đông</v>
          </cell>
          <cell r="I7627" t="str">
            <v>50911</v>
          </cell>
        </row>
        <row r="7628">
          <cell r="G7628" t="str">
            <v>Xã Hòa Tâm</v>
          </cell>
          <cell r="I7628" t="str">
            <v>50911</v>
          </cell>
        </row>
        <row r="7629">
          <cell r="G7629" t="str">
            <v xml:space="preserve">Thị trấn Phú Thứ </v>
          </cell>
          <cell r="I7629" t="str">
            <v>50912</v>
          </cell>
        </row>
        <row r="7630">
          <cell r="G7630" t="str">
            <v xml:space="preserve">Xã Hòa Phú  </v>
          </cell>
          <cell r="I7630" t="str">
            <v>50912</v>
          </cell>
        </row>
        <row r="7631">
          <cell r="G7631" t="str">
            <v>Xã Hòa Mỹ Đông</v>
          </cell>
          <cell r="I7631" t="str">
            <v>50912</v>
          </cell>
        </row>
        <row r="7632">
          <cell r="G7632" t="str">
            <v>Xã Sơn Thành Tây</v>
          </cell>
          <cell r="I7632" t="str">
            <v>50912</v>
          </cell>
        </row>
        <row r="7633">
          <cell r="G7633" t="str">
            <v>Xã Sơn Thành Đông</v>
          </cell>
          <cell r="I7633" t="str">
            <v>50912</v>
          </cell>
        </row>
        <row r="7634">
          <cell r="G7634" t="str">
            <v>Xã Hòa Bình 1</v>
          </cell>
          <cell r="I7634" t="str">
            <v>50912</v>
          </cell>
        </row>
        <row r="7635">
          <cell r="G7635" t="str">
            <v xml:space="preserve">Xã Hòa Phong </v>
          </cell>
          <cell r="I7635" t="str">
            <v>50912</v>
          </cell>
        </row>
        <row r="7636">
          <cell r="G7636" t="str">
            <v>Xã Hòa Tân Tây</v>
          </cell>
          <cell r="I7636" t="str">
            <v>50912</v>
          </cell>
        </row>
        <row r="7637">
          <cell r="G7637" t="str">
            <v>Xã Hòa Đồng</v>
          </cell>
          <cell r="I7637" t="str">
            <v>50912</v>
          </cell>
        </row>
        <row r="7638">
          <cell r="G7638" t="str">
            <v>Xã Hòa Mỹ Tây</v>
          </cell>
          <cell r="I7638" t="str">
            <v>50912</v>
          </cell>
        </row>
        <row r="7639">
          <cell r="G7639" t="str">
            <v>Xã Hòa Thịnh</v>
          </cell>
          <cell r="I7639" t="str">
            <v>50912</v>
          </cell>
        </row>
        <row r="7640">
          <cell r="G7640" t="str">
            <v xml:space="preserve">Xã Sơn Giang  </v>
          </cell>
          <cell r="I7640" t="str">
            <v>50913</v>
          </cell>
        </row>
        <row r="7641">
          <cell r="G7641" t="str">
            <v>Xã Ea Bá</v>
          </cell>
          <cell r="I7641" t="str">
            <v>50913</v>
          </cell>
        </row>
        <row r="7642">
          <cell r="G7642" t="str">
            <v>Xã EaBia</v>
          </cell>
          <cell r="I7642" t="str">
            <v>50913</v>
          </cell>
        </row>
        <row r="7643">
          <cell r="G7643" t="str">
            <v>Xã Ealy</v>
          </cell>
          <cell r="I7643" t="str">
            <v>50913</v>
          </cell>
        </row>
        <row r="7644">
          <cell r="G7644" t="str">
            <v>Thị trấn Hai Riêng</v>
          </cell>
          <cell r="I7644" t="str">
            <v>50913</v>
          </cell>
        </row>
        <row r="7645">
          <cell r="G7645" t="str">
            <v>Xã Ea Lâm</v>
          </cell>
          <cell r="I7645" t="str">
            <v>50913</v>
          </cell>
        </row>
        <row r="7646">
          <cell r="G7646" t="str">
            <v>Xã Đức Bình Tây</v>
          </cell>
          <cell r="I7646" t="str">
            <v>50913</v>
          </cell>
        </row>
        <row r="7647">
          <cell r="G7647" t="str">
            <v>Xã Đức Bình Đông</v>
          </cell>
          <cell r="I7647" t="str">
            <v>50913</v>
          </cell>
        </row>
        <row r="7648">
          <cell r="G7648" t="str">
            <v>Xã EaBar</v>
          </cell>
          <cell r="I7648" t="str">
            <v>50913</v>
          </cell>
        </row>
        <row r="7649">
          <cell r="G7649" t="str">
            <v>Xã EaTrol</v>
          </cell>
          <cell r="I7649" t="str">
            <v>50913</v>
          </cell>
        </row>
        <row r="7650">
          <cell r="G7650" t="str">
            <v>Xã Sông Hinh</v>
          </cell>
          <cell r="I7650" t="str">
            <v>50913</v>
          </cell>
        </row>
        <row r="7651">
          <cell r="G7651" t="str">
            <v xml:space="preserve">Xã Hòa An </v>
          </cell>
          <cell r="I7651" t="str">
            <v>50915</v>
          </cell>
        </row>
        <row r="7652">
          <cell r="G7652" t="str">
            <v>Xã Hòa Hội</v>
          </cell>
          <cell r="I7652" t="str">
            <v>50915</v>
          </cell>
        </row>
        <row r="7653">
          <cell r="G7653" t="str">
            <v>Xã Hòa Định Đông</v>
          </cell>
          <cell r="I7653" t="str">
            <v>50915</v>
          </cell>
        </row>
        <row r="7654">
          <cell r="G7654" t="str">
            <v>Xã Hòa Quang Bắc</v>
          </cell>
          <cell r="I7654" t="str">
            <v>50915</v>
          </cell>
        </row>
        <row r="7655">
          <cell r="G7655" t="str">
            <v>Xã Hoà Quang Nam</v>
          </cell>
          <cell r="I7655" t="str">
            <v>50915</v>
          </cell>
        </row>
        <row r="7656">
          <cell r="G7656" t="str">
            <v>Xã Hòa Trị</v>
          </cell>
          <cell r="I7656" t="str">
            <v>50915</v>
          </cell>
        </row>
        <row r="7657">
          <cell r="G7657" t="str">
            <v>Xã Hòa Định Tây</v>
          </cell>
          <cell r="I7657" t="str">
            <v>50915</v>
          </cell>
        </row>
        <row r="7658">
          <cell r="G7658" t="str">
            <v xml:space="preserve">Xã Hòa Thắng </v>
          </cell>
          <cell r="I7658" t="str">
            <v>50915</v>
          </cell>
        </row>
        <row r="7659">
          <cell r="G7659" t="str">
            <v>Thị trấn Phú Hòa</v>
          </cell>
          <cell r="I7659" t="str">
            <v>50915</v>
          </cell>
        </row>
        <row r="7660">
          <cell r="G7660" t="str">
            <v xml:space="preserve">Xã Vĩnh Hiệp </v>
          </cell>
          <cell r="I7660" t="str">
            <v>51101</v>
          </cell>
        </row>
        <row r="7661">
          <cell r="G7661" t="str">
            <v>Phường Phước Tân</v>
          </cell>
          <cell r="I7661" t="str">
            <v>51101</v>
          </cell>
        </row>
        <row r="7662">
          <cell r="G7662" t="str">
            <v>Phường Vĩnh Hoà</v>
          </cell>
          <cell r="I7662" t="str">
            <v>51101</v>
          </cell>
        </row>
        <row r="7663">
          <cell r="G7663" t="str">
            <v>Phường Ngọc Hiệp</v>
          </cell>
          <cell r="I7663" t="str">
            <v>51101</v>
          </cell>
        </row>
        <row r="7664">
          <cell r="G7664" t="str">
            <v>Phường Vạn Thạnh</v>
          </cell>
          <cell r="I7664" t="str">
            <v>51101</v>
          </cell>
        </row>
        <row r="7665">
          <cell r="G7665" t="str">
            <v>Phường Lộc Thọ</v>
          </cell>
          <cell r="I7665" t="str">
            <v>51101</v>
          </cell>
        </row>
        <row r="7666">
          <cell r="G7666" t="str">
            <v>Phường Vĩnh Nguyên</v>
          </cell>
          <cell r="I7666" t="str">
            <v>51101</v>
          </cell>
        </row>
        <row r="7667">
          <cell r="G7667" t="str">
            <v xml:space="preserve">Xã Vĩnh Ngọc </v>
          </cell>
          <cell r="I7667" t="str">
            <v>51101</v>
          </cell>
        </row>
        <row r="7668">
          <cell r="G7668" t="str">
            <v xml:space="preserve">Xã Vĩnh Thái </v>
          </cell>
          <cell r="I7668" t="str">
            <v>51101</v>
          </cell>
        </row>
        <row r="7669">
          <cell r="G7669" t="str">
            <v>Phường Vĩnh Hải</v>
          </cell>
          <cell r="I7669" t="str">
            <v>51101</v>
          </cell>
        </row>
        <row r="7670">
          <cell r="G7670" t="str">
            <v>Phường Vĩnh Phước</v>
          </cell>
          <cell r="I7670" t="str">
            <v>51101</v>
          </cell>
        </row>
        <row r="7671">
          <cell r="G7671" t="str">
            <v>Phường Vĩnh Thọ</v>
          </cell>
          <cell r="I7671" t="str">
            <v>51101</v>
          </cell>
        </row>
        <row r="7672">
          <cell r="G7672" t="str">
            <v>Phường Xương Huân</v>
          </cell>
          <cell r="I7672" t="str">
            <v>51101</v>
          </cell>
        </row>
        <row r="7673">
          <cell r="G7673" t="str">
            <v>Phường Vạn Thắng</v>
          </cell>
          <cell r="I7673" t="str">
            <v>51101</v>
          </cell>
        </row>
        <row r="7674">
          <cell r="G7674" t="str">
            <v>Phường Phương Sài</v>
          </cell>
          <cell r="I7674" t="str">
            <v>51101</v>
          </cell>
        </row>
        <row r="7675">
          <cell r="G7675" t="str">
            <v>Phường Phương Sơn</v>
          </cell>
          <cell r="I7675" t="str">
            <v>51101</v>
          </cell>
        </row>
        <row r="7676">
          <cell r="G7676" t="str">
            <v>Phường Phước Hải</v>
          </cell>
          <cell r="I7676" t="str">
            <v>51101</v>
          </cell>
        </row>
        <row r="7677">
          <cell r="G7677" t="str">
            <v>Phường Phước Tiến</v>
          </cell>
          <cell r="I7677" t="str">
            <v>51101</v>
          </cell>
        </row>
        <row r="7678">
          <cell r="G7678" t="str">
            <v xml:space="preserve">Phường Tân Lập </v>
          </cell>
          <cell r="I7678" t="str">
            <v>51101</v>
          </cell>
        </row>
        <row r="7679">
          <cell r="G7679" t="str">
            <v xml:space="preserve">Phường Phước Hòa </v>
          </cell>
          <cell r="I7679" t="str">
            <v>51101</v>
          </cell>
        </row>
        <row r="7680">
          <cell r="G7680" t="str">
            <v>Phường Phước Long</v>
          </cell>
          <cell r="I7680" t="str">
            <v>51101</v>
          </cell>
        </row>
        <row r="7681">
          <cell r="G7681" t="str">
            <v>Phường Vĩnh Trường</v>
          </cell>
          <cell r="I7681" t="str">
            <v>51101</v>
          </cell>
        </row>
        <row r="7682">
          <cell r="G7682" t="str">
            <v>Xã Vĩnh Lương</v>
          </cell>
          <cell r="I7682" t="str">
            <v>51101</v>
          </cell>
        </row>
        <row r="7683">
          <cell r="G7683" t="str">
            <v>Xã Vĩnh Phương</v>
          </cell>
          <cell r="I7683" t="str">
            <v>51101</v>
          </cell>
        </row>
        <row r="7684">
          <cell r="G7684" t="str">
            <v>Xã Vĩnh Thạnh</v>
          </cell>
          <cell r="I7684" t="str">
            <v>51101</v>
          </cell>
        </row>
        <row r="7685">
          <cell r="G7685" t="str">
            <v xml:space="preserve">Xã Vĩnh Trung  </v>
          </cell>
          <cell r="I7685" t="str">
            <v>51101</v>
          </cell>
        </row>
        <row r="7686">
          <cell r="G7686" t="str">
            <v>Xã Phước Đồng</v>
          </cell>
          <cell r="I7686" t="str">
            <v>51101</v>
          </cell>
        </row>
        <row r="7687">
          <cell r="G7687" t="str">
            <v>Xã Vạn Long</v>
          </cell>
          <cell r="I7687" t="str">
            <v>51103</v>
          </cell>
        </row>
        <row r="7688">
          <cell r="G7688" t="str">
            <v>Xã Vạn Hưng</v>
          </cell>
          <cell r="I7688" t="str">
            <v>51103</v>
          </cell>
        </row>
        <row r="7689">
          <cell r="G7689" t="str">
            <v xml:space="preserve">Xã Đại Lãnh </v>
          </cell>
          <cell r="I7689" t="str">
            <v>51103</v>
          </cell>
        </row>
        <row r="7690">
          <cell r="G7690" t="str">
            <v>Xã Vạn Phước</v>
          </cell>
          <cell r="I7690" t="str">
            <v>51103</v>
          </cell>
        </row>
        <row r="7691">
          <cell r="G7691" t="str">
            <v>Xã Vạn Bình</v>
          </cell>
          <cell r="I7691" t="str">
            <v>51103</v>
          </cell>
        </row>
        <row r="7692">
          <cell r="G7692" t="str">
            <v xml:space="preserve">Xã Vạn Thọ </v>
          </cell>
          <cell r="I7692" t="str">
            <v>51103</v>
          </cell>
        </row>
        <row r="7693">
          <cell r="G7693" t="str">
            <v>Xã Vạn Khánh</v>
          </cell>
          <cell r="I7693" t="str">
            <v>51103</v>
          </cell>
        </row>
        <row r="7694">
          <cell r="G7694" t="str">
            <v>Xã Vạn Phú</v>
          </cell>
          <cell r="I7694" t="str">
            <v>51103</v>
          </cell>
        </row>
        <row r="7695">
          <cell r="G7695" t="str">
            <v>Xã Vạn Lương</v>
          </cell>
          <cell r="I7695" t="str">
            <v>51103</v>
          </cell>
        </row>
        <row r="7696">
          <cell r="G7696" t="str">
            <v xml:space="preserve">Xã Vạn Thắng  </v>
          </cell>
          <cell r="I7696" t="str">
            <v>51103</v>
          </cell>
        </row>
        <row r="7697">
          <cell r="G7697" t="str">
            <v>Xã Vạn Thạnh</v>
          </cell>
          <cell r="I7697" t="str">
            <v>51103</v>
          </cell>
        </row>
        <row r="7698">
          <cell r="G7698" t="str">
            <v xml:space="preserve">Xã Xuân Sơn    </v>
          </cell>
          <cell r="I7698" t="str">
            <v>51103</v>
          </cell>
        </row>
        <row r="7699">
          <cell r="G7699" t="str">
            <v>Thị trấn Vạn Giã</v>
          </cell>
          <cell r="I7699" t="str">
            <v>51103</v>
          </cell>
        </row>
        <row r="7700">
          <cell r="G7700" t="str">
            <v>Phường Ninh Hiệp</v>
          </cell>
          <cell r="I7700" t="str">
            <v>51105</v>
          </cell>
        </row>
        <row r="7701">
          <cell r="G7701" t="str">
            <v>Phường Ninh Thủy</v>
          </cell>
          <cell r="I7701" t="str">
            <v>51105</v>
          </cell>
        </row>
        <row r="7702">
          <cell r="G7702" t="str">
            <v>Xã Ninh ích</v>
          </cell>
          <cell r="I7702" t="str">
            <v>51105</v>
          </cell>
        </row>
        <row r="7703">
          <cell r="G7703" t="str">
            <v>Xã Ninh Thượng</v>
          </cell>
          <cell r="I7703" t="str">
            <v>51105</v>
          </cell>
        </row>
        <row r="7704">
          <cell r="G7704" t="str">
            <v>Xã Ninh Trung</v>
          </cell>
          <cell r="I7704" t="str">
            <v>51105</v>
          </cell>
        </row>
        <row r="7705">
          <cell r="G7705" t="str">
            <v>Phường Ninh Diêm</v>
          </cell>
          <cell r="I7705" t="str">
            <v>51105</v>
          </cell>
        </row>
        <row r="7706">
          <cell r="G7706" t="str">
            <v>Xã Ninh Phụng</v>
          </cell>
          <cell r="I7706" t="str">
            <v>51105</v>
          </cell>
        </row>
        <row r="7707">
          <cell r="G7707" t="str">
            <v>Xã Ninh Tân</v>
          </cell>
          <cell r="I7707" t="str">
            <v>51105</v>
          </cell>
        </row>
        <row r="7708">
          <cell r="G7708" t="str">
            <v>Xã Ninh Hưng</v>
          </cell>
          <cell r="I7708" t="str">
            <v>51105</v>
          </cell>
        </row>
        <row r="7709">
          <cell r="G7709" t="str">
            <v xml:space="preserve">Xã Ninh Sơn </v>
          </cell>
          <cell r="I7709" t="str">
            <v>51105</v>
          </cell>
        </row>
        <row r="7710">
          <cell r="G7710" t="str">
            <v>Xã Ninh Tây</v>
          </cell>
          <cell r="I7710" t="str">
            <v>51105</v>
          </cell>
        </row>
        <row r="7711">
          <cell r="G7711" t="str">
            <v xml:space="preserve">Xã Ninh An </v>
          </cell>
          <cell r="I7711" t="str">
            <v>51105</v>
          </cell>
        </row>
        <row r="7712">
          <cell r="G7712" t="str">
            <v>Phường Ninh Hải</v>
          </cell>
          <cell r="I7712" t="str">
            <v>51105</v>
          </cell>
        </row>
        <row r="7713">
          <cell r="G7713" t="str">
            <v>Xã Ninh Thọ</v>
          </cell>
          <cell r="I7713" t="str">
            <v>51105</v>
          </cell>
        </row>
        <row r="7714">
          <cell r="G7714" t="str">
            <v>Xã Ninh Sim</v>
          </cell>
          <cell r="I7714" t="str">
            <v>51105</v>
          </cell>
        </row>
        <row r="7715">
          <cell r="G7715" t="str">
            <v xml:space="preserve">Xã Ninh Xuân </v>
          </cell>
          <cell r="I7715" t="str">
            <v>51105</v>
          </cell>
        </row>
        <row r="7716">
          <cell r="G7716" t="str">
            <v>Xã Ninh Thân</v>
          </cell>
          <cell r="I7716" t="str">
            <v>51105</v>
          </cell>
        </row>
        <row r="7717">
          <cell r="G7717" t="str">
            <v>Xã Ninh Đông</v>
          </cell>
          <cell r="I7717" t="str">
            <v>51105</v>
          </cell>
        </row>
        <row r="7718">
          <cell r="G7718" t="str">
            <v>Phường Ninh Đa</v>
          </cell>
          <cell r="I7718" t="str">
            <v>51105</v>
          </cell>
        </row>
        <row r="7719">
          <cell r="G7719" t="str">
            <v>Xã Ninh Bình</v>
          </cell>
          <cell r="I7719" t="str">
            <v>51105</v>
          </cell>
        </row>
        <row r="7720">
          <cell r="G7720" t="str">
            <v>Xã Ninh Phước</v>
          </cell>
          <cell r="I7720" t="str">
            <v>51105</v>
          </cell>
        </row>
        <row r="7721">
          <cell r="G7721" t="str">
            <v>Xã Ninh Phú</v>
          </cell>
          <cell r="I7721" t="str">
            <v>51105</v>
          </cell>
        </row>
        <row r="7722">
          <cell r="G7722" t="str">
            <v>Xã Ninh Quang</v>
          </cell>
          <cell r="I7722" t="str">
            <v>51105</v>
          </cell>
        </row>
        <row r="7723">
          <cell r="G7723" t="str">
            <v>Phường Ninh Giang</v>
          </cell>
          <cell r="I7723" t="str">
            <v>51105</v>
          </cell>
        </row>
        <row r="7724">
          <cell r="G7724" t="str">
            <v>Phường Ninh Hà</v>
          </cell>
          <cell r="I7724" t="str">
            <v>51105</v>
          </cell>
        </row>
        <row r="7725">
          <cell r="G7725" t="str">
            <v>Xã Ninh Lộc</v>
          </cell>
          <cell r="I7725" t="str">
            <v>51105</v>
          </cell>
        </row>
        <row r="7726">
          <cell r="G7726" t="str">
            <v xml:space="preserve">Xã Ninh Vân </v>
          </cell>
          <cell r="I7726" t="str">
            <v>51105</v>
          </cell>
        </row>
        <row r="7727">
          <cell r="G7727" t="str">
            <v>Xã Diên Phú</v>
          </cell>
          <cell r="I7727" t="str">
            <v>51107</v>
          </cell>
        </row>
        <row r="7728">
          <cell r="G7728" t="str">
            <v>Xã Suối Tiên</v>
          </cell>
          <cell r="I7728" t="str">
            <v>51107</v>
          </cell>
        </row>
        <row r="7729">
          <cell r="G7729" t="str">
            <v>Thị trấn Diên Khánh</v>
          </cell>
          <cell r="I7729" t="str">
            <v>51107</v>
          </cell>
        </row>
        <row r="7730">
          <cell r="G7730" t="str">
            <v>Xã Diên Sơn</v>
          </cell>
          <cell r="I7730" t="str">
            <v>51107</v>
          </cell>
        </row>
        <row r="7731">
          <cell r="G7731" t="str">
            <v>Xã Diên Phước</v>
          </cell>
          <cell r="I7731" t="str">
            <v>51107</v>
          </cell>
        </row>
        <row r="7732">
          <cell r="G7732" t="str">
            <v>Xã Diên Thạnh</v>
          </cell>
          <cell r="I7732" t="str">
            <v>51107</v>
          </cell>
        </row>
        <row r="7733">
          <cell r="G7733" t="str">
            <v>Xã Suối Hiệp</v>
          </cell>
          <cell r="I7733" t="str">
            <v>51107</v>
          </cell>
        </row>
        <row r="7734">
          <cell r="G7734" t="str">
            <v>Xã Diên Lâm</v>
          </cell>
          <cell r="I7734" t="str">
            <v>51107</v>
          </cell>
        </row>
        <row r="7735">
          <cell r="G7735" t="str">
            <v>Xã Diên Điền</v>
          </cell>
          <cell r="I7735" t="str">
            <v>51107</v>
          </cell>
        </row>
        <row r="7736">
          <cell r="G7736" t="str">
            <v>Xã Diên Xuân</v>
          </cell>
          <cell r="I7736" t="str">
            <v>51107</v>
          </cell>
        </row>
        <row r="7737">
          <cell r="G7737" t="str">
            <v>Xã Diên Đồng</v>
          </cell>
          <cell r="I7737" t="str">
            <v>51107</v>
          </cell>
        </row>
        <row r="7738">
          <cell r="G7738" t="str">
            <v>Xã Diên Thọ</v>
          </cell>
          <cell r="I7738" t="str">
            <v>51107</v>
          </cell>
        </row>
        <row r="7739">
          <cell r="G7739" t="str">
            <v>Xã Diên Lạc</v>
          </cell>
          <cell r="I7739" t="str">
            <v>51107</v>
          </cell>
        </row>
        <row r="7740">
          <cell r="G7740" t="str">
            <v>Xã Diên Tân</v>
          </cell>
          <cell r="I7740" t="str">
            <v>51107</v>
          </cell>
        </row>
        <row r="7741">
          <cell r="G7741" t="str">
            <v>Xã Diên Hòa</v>
          </cell>
          <cell r="I7741" t="str">
            <v>51107</v>
          </cell>
        </row>
        <row r="7742">
          <cell r="G7742" t="str">
            <v>Xã Diên Toàn</v>
          </cell>
          <cell r="I7742" t="str">
            <v>51107</v>
          </cell>
        </row>
        <row r="7743">
          <cell r="G7743" t="str">
            <v>Xã Diên An</v>
          </cell>
          <cell r="I7743" t="str">
            <v>51107</v>
          </cell>
        </row>
        <row r="7744">
          <cell r="G7744" t="str">
            <v>Xã Diên Bình</v>
          </cell>
          <cell r="I7744" t="str">
            <v>51107</v>
          </cell>
        </row>
        <row r="7745">
          <cell r="G7745" t="str">
            <v>Xã Diên Lộc</v>
          </cell>
          <cell r="I7745" t="str">
            <v>51107</v>
          </cell>
        </row>
        <row r="7746">
          <cell r="G7746" t="str">
            <v>Phường Cam Thuận</v>
          </cell>
          <cell r="I7746" t="str">
            <v>51109</v>
          </cell>
        </row>
        <row r="7747">
          <cell r="G7747" t="str">
            <v>Xã Cam Bình</v>
          </cell>
          <cell r="I7747" t="str">
            <v>51109</v>
          </cell>
        </row>
        <row r="7748">
          <cell r="G7748" t="str">
            <v>Phường Cam Nghĩa</v>
          </cell>
          <cell r="I7748" t="str">
            <v>51109</v>
          </cell>
        </row>
        <row r="7749">
          <cell r="G7749" t="str">
            <v>Phường Cam Phúc Bắc</v>
          </cell>
          <cell r="I7749" t="str">
            <v>51109</v>
          </cell>
        </row>
        <row r="7750">
          <cell r="G7750" t="str">
            <v>Phường Cam Phúc Nam</v>
          </cell>
          <cell r="I7750" t="str">
            <v>51109</v>
          </cell>
        </row>
        <row r="7751">
          <cell r="G7751" t="str">
            <v>Phường Cam Lộc</v>
          </cell>
          <cell r="I7751" t="str">
            <v>51109</v>
          </cell>
        </row>
        <row r="7752">
          <cell r="G7752" t="str">
            <v>Phường Cam Phú</v>
          </cell>
          <cell r="I7752" t="str">
            <v>51109</v>
          </cell>
        </row>
        <row r="7753">
          <cell r="G7753" t="str">
            <v>Phường Ba Ngòi</v>
          </cell>
          <cell r="I7753" t="str">
            <v>51109</v>
          </cell>
        </row>
        <row r="7754">
          <cell r="G7754" t="str">
            <v>Phường Cam Lợi</v>
          </cell>
          <cell r="I7754" t="str">
            <v>51109</v>
          </cell>
        </row>
        <row r="7755">
          <cell r="G7755" t="str">
            <v>Phường Cam Linh</v>
          </cell>
          <cell r="I7755" t="str">
            <v>51109</v>
          </cell>
        </row>
        <row r="7756">
          <cell r="G7756" t="str">
            <v>Xã Cam Thành Nam</v>
          </cell>
          <cell r="I7756" t="str">
            <v>51109</v>
          </cell>
        </row>
        <row r="7757">
          <cell r="G7757" t="str">
            <v>Xã Cam Phước Đông</v>
          </cell>
          <cell r="I7757" t="str">
            <v>51109</v>
          </cell>
        </row>
        <row r="7758">
          <cell r="G7758" t="str">
            <v>Xã Cam Thịnh Tây</v>
          </cell>
          <cell r="I7758" t="str">
            <v>51109</v>
          </cell>
        </row>
        <row r="7759">
          <cell r="G7759" t="str">
            <v>Xã Cam Thịnh Đông</v>
          </cell>
          <cell r="I7759" t="str">
            <v>51109</v>
          </cell>
        </row>
        <row r="7760">
          <cell r="G7760" t="str">
            <v>Xã Cam Lập</v>
          </cell>
          <cell r="I7760" t="str">
            <v>51109</v>
          </cell>
        </row>
        <row r="7761">
          <cell r="G7761" t="str">
            <v>Xã Cầu Bà</v>
          </cell>
          <cell r="I7761" t="str">
            <v>51111</v>
          </cell>
        </row>
        <row r="7762">
          <cell r="G7762" t="str">
            <v>Thị trấn Khánh Vĩnh</v>
          </cell>
          <cell r="I7762" t="str">
            <v>51111</v>
          </cell>
        </row>
        <row r="7763">
          <cell r="G7763" t="str">
            <v xml:space="preserve">Xã Khánh Thượng  </v>
          </cell>
          <cell r="I7763" t="str">
            <v>51111</v>
          </cell>
        </row>
        <row r="7764">
          <cell r="G7764" t="str">
            <v>Xã Liên Sang</v>
          </cell>
          <cell r="I7764" t="str">
            <v>51111</v>
          </cell>
        </row>
        <row r="7765">
          <cell r="G7765" t="str">
            <v>Xã Khánh Hiệp</v>
          </cell>
          <cell r="I7765" t="str">
            <v>51111</v>
          </cell>
        </row>
        <row r="7766">
          <cell r="G7766" t="str">
            <v>Xã Khánh Bình</v>
          </cell>
          <cell r="I7766" t="str">
            <v>51111</v>
          </cell>
        </row>
        <row r="7767">
          <cell r="G7767" t="str">
            <v xml:space="preserve">Xã Khánh Trung </v>
          </cell>
          <cell r="I7767" t="str">
            <v>51111</v>
          </cell>
        </row>
        <row r="7768">
          <cell r="G7768" t="str">
            <v>Xã Khánh Đông</v>
          </cell>
          <cell r="I7768" t="str">
            <v>51111</v>
          </cell>
        </row>
        <row r="7769">
          <cell r="G7769" t="str">
            <v>Xã Khánh Nam</v>
          </cell>
          <cell r="I7769" t="str">
            <v>51111</v>
          </cell>
        </row>
        <row r="7770">
          <cell r="G7770" t="str">
            <v>Xã Sông Cầu</v>
          </cell>
          <cell r="I7770" t="str">
            <v>51111</v>
          </cell>
        </row>
        <row r="7771">
          <cell r="G7771" t="str">
            <v>Xã Giang Ly</v>
          </cell>
          <cell r="I7771" t="str">
            <v>51111</v>
          </cell>
        </row>
        <row r="7772">
          <cell r="G7772" t="str">
            <v xml:space="preserve">Xã Khánh Thành  </v>
          </cell>
          <cell r="I7772" t="str">
            <v>51111</v>
          </cell>
        </row>
        <row r="7773">
          <cell r="G7773" t="str">
            <v xml:space="preserve">Xã Khánh Phú </v>
          </cell>
          <cell r="I7773" t="str">
            <v>51111</v>
          </cell>
        </row>
        <row r="7774">
          <cell r="G7774" t="str">
            <v>Xã Sơn Thái</v>
          </cell>
          <cell r="I7774" t="str">
            <v>51111</v>
          </cell>
        </row>
        <row r="7775">
          <cell r="G7775" t="str">
            <v>Thị trấn Tô Hạp</v>
          </cell>
          <cell r="I7775" t="str">
            <v>51113</v>
          </cell>
        </row>
        <row r="7776">
          <cell r="G7776" t="str">
            <v xml:space="preserve">Xã Sơn Bình  </v>
          </cell>
          <cell r="I7776" t="str">
            <v>51113</v>
          </cell>
        </row>
        <row r="7777">
          <cell r="G7777" t="str">
            <v xml:space="preserve">Xã Thành Sơn   </v>
          </cell>
          <cell r="I7777" t="str">
            <v>51113</v>
          </cell>
        </row>
        <row r="7778">
          <cell r="G7778" t="str">
            <v xml:space="preserve">Xã Sơn Lâm </v>
          </cell>
          <cell r="I7778" t="str">
            <v>51113</v>
          </cell>
        </row>
        <row r="7779">
          <cell r="G7779" t="str">
            <v>Xã Sơn Hiệp</v>
          </cell>
          <cell r="I7779" t="str">
            <v>51113</v>
          </cell>
        </row>
        <row r="7780">
          <cell r="G7780" t="str">
            <v xml:space="preserve">Xã Sơn Trung  </v>
          </cell>
          <cell r="I7780" t="str">
            <v>51113</v>
          </cell>
        </row>
        <row r="7781">
          <cell r="G7781" t="str">
            <v>Xã Ba Cụm Bắc</v>
          </cell>
          <cell r="I7781" t="str">
            <v>51113</v>
          </cell>
        </row>
        <row r="7782">
          <cell r="G7782" t="str">
            <v>Xã Ba Cụm Nam</v>
          </cell>
          <cell r="I7782" t="str">
            <v>51113</v>
          </cell>
        </row>
        <row r="7783">
          <cell r="G7783" t="str">
            <v>Thị trấn Trường Sa</v>
          </cell>
          <cell r="I7783" t="str">
            <v>51115</v>
          </cell>
        </row>
        <row r="7784">
          <cell r="G7784" t="str">
            <v>Xã Song Tử Tây</v>
          </cell>
          <cell r="I7784" t="str">
            <v>51115</v>
          </cell>
        </row>
        <row r="7785">
          <cell r="G7785" t="str">
            <v>Xã Sinh Tồn</v>
          </cell>
          <cell r="I7785" t="str">
            <v>51115</v>
          </cell>
        </row>
        <row r="7786">
          <cell r="G7786" t="str">
            <v>Thị trấn Cam Đức</v>
          </cell>
          <cell r="I7786" t="str">
            <v>51117</v>
          </cell>
        </row>
        <row r="7787">
          <cell r="G7787" t="str">
            <v>Xã Suối Cát</v>
          </cell>
          <cell r="I7787" t="str">
            <v>51117</v>
          </cell>
        </row>
        <row r="7788">
          <cell r="G7788" t="str">
            <v>Xã Suối Tân</v>
          </cell>
          <cell r="I7788" t="str">
            <v>51117</v>
          </cell>
        </row>
        <row r="7789">
          <cell r="G7789" t="str">
            <v>Xã Cam Tân</v>
          </cell>
          <cell r="I7789" t="str">
            <v>51117</v>
          </cell>
        </row>
        <row r="7790">
          <cell r="G7790" t="str">
            <v>Xã Cam Hòa</v>
          </cell>
          <cell r="I7790" t="str">
            <v>51117</v>
          </cell>
        </row>
        <row r="7791">
          <cell r="G7791" t="str">
            <v>Xã Cam Hải Đông</v>
          </cell>
          <cell r="I7791" t="str">
            <v>51117</v>
          </cell>
        </row>
        <row r="7792">
          <cell r="G7792" t="str">
            <v>Xã Cam Hải Tây</v>
          </cell>
          <cell r="I7792" t="str">
            <v>51117</v>
          </cell>
        </row>
        <row r="7793">
          <cell r="G7793" t="str">
            <v>Xã Cam Hiệp Bắc</v>
          </cell>
          <cell r="I7793" t="str">
            <v>51117</v>
          </cell>
        </row>
        <row r="7794">
          <cell r="G7794" t="str">
            <v>Xã Cam Hiệp Nam</v>
          </cell>
          <cell r="I7794" t="str">
            <v>51117</v>
          </cell>
        </row>
        <row r="7795">
          <cell r="G7795" t="str">
            <v>Xã Cam Thành Bắc</v>
          </cell>
          <cell r="I7795" t="str">
            <v>51117</v>
          </cell>
        </row>
        <row r="7796">
          <cell r="G7796" t="str">
            <v>Xã Cam An Bắc</v>
          </cell>
          <cell r="I7796" t="str">
            <v>51117</v>
          </cell>
        </row>
        <row r="7797">
          <cell r="G7797" t="str">
            <v>Xã Cam An Nam</v>
          </cell>
          <cell r="I7797" t="str">
            <v>51117</v>
          </cell>
        </row>
        <row r="7798">
          <cell r="G7798" t="str">
            <v>Xã Cam Phước Tây</v>
          </cell>
          <cell r="I7798" t="str">
            <v>51117</v>
          </cell>
        </row>
        <row r="7799">
          <cell r="G7799" t="str">
            <v xml:space="preserve">Xã Sơn Tân  </v>
          </cell>
          <cell r="I7799" t="str">
            <v>51117</v>
          </cell>
        </row>
        <row r="7800">
          <cell r="G7800" t="str">
            <v xml:space="preserve">Phường Lê Lợi      </v>
          </cell>
          <cell r="I7800" t="str">
            <v>60101</v>
          </cell>
        </row>
        <row r="7801">
          <cell r="G7801" t="str">
            <v xml:space="preserve">Xã Hòa Bình           </v>
          </cell>
          <cell r="I7801" t="str">
            <v>60101</v>
          </cell>
        </row>
        <row r="7802">
          <cell r="G7802" t="str">
            <v xml:space="preserve">Phường Quang Trung              </v>
          </cell>
          <cell r="I7802" t="str">
            <v>60101</v>
          </cell>
        </row>
        <row r="7803">
          <cell r="G7803" t="str">
            <v xml:space="preserve">Phường Thắng Lợi </v>
          </cell>
          <cell r="I7803" t="str">
            <v>60101</v>
          </cell>
        </row>
        <row r="7804">
          <cell r="G7804" t="str">
            <v xml:space="preserve">Phường Trần Hưng Đạo        </v>
          </cell>
          <cell r="I7804" t="str">
            <v>60101</v>
          </cell>
        </row>
        <row r="7805">
          <cell r="G7805" t="str">
            <v>Xã Đắk Blà</v>
          </cell>
          <cell r="I7805" t="str">
            <v>60101</v>
          </cell>
        </row>
        <row r="7806">
          <cell r="G7806" t="str">
            <v>Xã Đắk Rơ Wa</v>
          </cell>
          <cell r="I7806" t="str">
            <v>60101</v>
          </cell>
        </row>
        <row r="7807">
          <cell r="G7807" t="str">
            <v>Phường Duy Tân</v>
          </cell>
          <cell r="I7807" t="str">
            <v>60101</v>
          </cell>
        </row>
        <row r="7808">
          <cell r="G7808" t="str">
            <v xml:space="preserve">Phường Quyết Thắng  </v>
          </cell>
          <cell r="I7808" t="str">
            <v>60101</v>
          </cell>
        </row>
        <row r="7809">
          <cell r="G7809" t="str">
            <v>Phường Trường Chinh</v>
          </cell>
          <cell r="I7809" t="str">
            <v>60101</v>
          </cell>
        </row>
        <row r="7810">
          <cell r="G7810" t="str">
            <v xml:space="preserve">Phường Ngô Mây </v>
          </cell>
          <cell r="I7810" t="str">
            <v>60101</v>
          </cell>
        </row>
        <row r="7811">
          <cell r="G7811" t="str">
            <v xml:space="preserve">Phường Thống Nhất  </v>
          </cell>
          <cell r="I7811" t="str">
            <v>60101</v>
          </cell>
        </row>
        <row r="7812">
          <cell r="G7812" t="str">
            <v xml:space="preserve">Phường Nguyễn Trãi   </v>
          </cell>
          <cell r="I7812" t="str">
            <v>60101</v>
          </cell>
        </row>
        <row r="7813">
          <cell r="G7813" t="str">
            <v>Xã Đắk Cấm</v>
          </cell>
          <cell r="I7813" t="str">
            <v>60101</v>
          </cell>
        </row>
        <row r="7814">
          <cell r="G7814" t="str">
            <v>Xã Kroong</v>
          </cell>
          <cell r="I7814" t="str">
            <v>60101</v>
          </cell>
        </row>
        <row r="7815">
          <cell r="G7815" t="str">
            <v>Xã Ngọk Bay</v>
          </cell>
          <cell r="I7815" t="str">
            <v>60101</v>
          </cell>
        </row>
        <row r="7816">
          <cell r="G7816" t="str">
            <v xml:space="preserve">Xã Vinh Quang   </v>
          </cell>
          <cell r="I7816" t="str">
            <v>60101</v>
          </cell>
        </row>
        <row r="7817">
          <cell r="G7817" t="str">
            <v>Xã Ia Chim</v>
          </cell>
          <cell r="I7817" t="str">
            <v>60101</v>
          </cell>
        </row>
        <row r="7818">
          <cell r="G7818" t="str">
            <v xml:space="preserve">Xã Đoàn Kết     </v>
          </cell>
          <cell r="I7818" t="str">
            <v>60101</v>
          </cell>
        </row>
        <row r="7819">
          <cell r="G7819" t="str">
            <v>Xã Chư Hreng</v>
          </cell>
          <cell r="I7819" t="str">
            <v>60101</v>
          </cell>
        </row>
        <row r="7820">
          <cell r="G7820" t="str">
            <v>Xã Đăk Năng</v>
          </cell>
          <cell r="I7820" t="str">
            <v>60101</v>
          </cell>
        </row>
        <row r="7821">
          <cell r="G7821" t="str">
            <v>Xã Đắk Môn</v>
          </cell>
          <cell r="I7821" t="str">
            <v>60103</v>
          </cell>
        </row>
        <row r="7822">
          <cell r="G7822" t="str">
            <v>Xã Đắk Man</v>
          </cell>
          <cell r="I7822" t="str">
            <v>60103</v>
          </cell>
        </row>
        <row r="7823">
          <cell r="G7823" t="str">
            <v>Xã Đắk Choong</v>
          </cell>
          <cell r="I7823" t="str">
            <v>60103</v>
          </cell>
        </row>
        <row r="7824">
          <cell r="G7824" t="str">
            <v>Xã Đắk KRoong</v>
          </cell>
          <cell r="I7824" t="str">
            <v>60103</v>
          </cell>
        </row>
        <row r="7825">
          <cell r="G7825" t="str">
            <v>Thị trấn Đắk Glei</v>
          </cell>
          <cell r="I7825" t="str">
            <v>60103</v>
          </cell>
        </row>
        <row r="7826">
          <cell r="G7826" t="str">
            <v>Xã Đắk Plô</v>
          </cell>
          <cell r="I7826" t="str">
            <v>60103</v>
          </cell>
        </row>
        <row r="7827">
          <cell r="G7827" t="str">
            <v>Xã Đắk Nhoong</v>
          </cell>
          <cell r="I7827" t="str">
            <v>60103</v>
          </cell>
        </row>
        <row r="7828">
          <cell r="G7828" t="str">
            <v>Xã Đắk Pék</v>
          </cell>
          <cell r="I7828" t="str">
            <v>60103</v>
          </cell>
        </row>
        <row r="7829">
          <cell r="G7829" t="str">
            <v>Xã Xốp</v>
          </cell>
          <cell r="I7829" t="str">
            <v>60103</v>
          </cell>
        </row>
        <row r="7830">
          <cell r="G7830" t="str">
            <v>Xã Mường Hoong</v>
          </cell>
          <cell r="I7830" t="str">
            <v>60103</v>
          </cell>
        </row>
        <row r="7831">
          <cell r="G7831" t="str">
            <v xml:space="preserve">Xã Ngọc Linh </v>
          </cell>
          <cell r="I7831" t="str">
            <v>60103</v>
          </cell>
        </row>
        <row r="7832">
          <cell r="G7832" t="str">
            <v>Xã Đắk Long</v>
          </cell>
          <cell r="I7832" t="str">
            <v>60103</v>
          </cell>
        </row>
        <row r="7833">
          <cell r="G7833" t="str">
            <v>Xã Đắk Dục</v>
          </cell>
          <cell r="I7833" t="str">
            <v>60105</v>
          </cell>
        </row>
        <row r="7834">
          <cell r="G7834" t="str">
            <v>Xã Đắk Kan</v>
          </cell>
          <cell r="I7834" t="str">
            <v>60105</v>
          </cell>
        </row>
        <row r="7835">
          <cell r="G7835" t="str">
            <v>Thị trấn Plei Cần</v>
          </cell>
          <cell r="I7835" t="str">
            <v>60105</v>
          </cell>
        </row>
        <row r="7836">
          <cell r="G7836" t="str">
            <v>Xã Đắk Ang</v>
          </cell>
          <cell r="I7836" t="str">
            <v>60105</v>
          </cell>
        </row>
        <row r="7837">
          <cell r="G7837" t="str">
            <v>Xã Đắk Nông</v>
          </cell>
          <cell r="I7837" t="str">
            <v>60105</v>
          </cell>
        </row>
        <row r="7838">
          <cell r="G7838" t="str">
            <v>Xã Đắk Xú</v>
          </cell>
          <cell r="I7838" t="str">
            <v>60105</v>
          </cell>
        </row>
        <row r="7839">
          <cell r="G7839" t="str">
            <v>Xã Pờ Y</v>
          </cell>
          <cell r="I7839" t="str">
            <v>60105</v>
          </cell>
        </row>
        <row r="7840">
          <cell r="G7840" t="str">
            <v>Xã Sa Loong</v>
          </cell>
          <cell r="I7840" t="str">
            <v>60105</v>
          </cell>
        </row>
        <row r="7841">
          <cell r="G7841" t="str">
            <v>Xã Ngọk Tụ</v>
          </cell>
          <cell r="I7841" t="str">
            <v>60107</v>
          </cell>
        </row>
        <row r="7842">
          <cell r="G7842" t="str">
            <v>Xã Đắk Trăm</v>
          </cell>
          <cell r="I7842" t="str">
            <v>60107</v>
          </cell>
        </row>
        <row r="7843">
          <cell r="G7843" t="str">
            <v>Xã Văn Lem</v>
          </cell>
          <cell r="I7843" t="str">
            <v>60107</v>
          </cell>
        </row>
        <row r="7844">
          <cell r="G7844" t="str">
            <v>Xã Kon Đào</v>
          </cell>
          <cell r="I7844" t="str">
            <v>60107</v>
          </cell>
        </row>
        <row r="7845">
          <cell r="G7845" t="str">
            <v>Xã Tân Cảnh</v>
          </cell>
          <cell r="I7845" t="str">
            <v>60107</v>
          </cell>
        </row>
        <row r="7846">
          <cell r="G7846" t="str">
            <v xml:space="preserve">Xã Diên Bình </v>
          </cell>
          <cell r="I7846" t="str">
            <v>60107</v>
          </cell>
        </row>
        <row r="7847">
          <cell r="G7847" t="str">
            <v>Xã Pô Kô</v>
          </cell>
          <cell r="I7847" t="str">
            <v>60107</v>
          </cell>
        </row>
        <row r="7848">
          <cell r="G7848" t="str">
            <v>Xã Đắk Rơ Nga</v>
          </cell>
          <cell r="I7848" t="str">
            <v>60107</v>
          </cell>
        </row>
        <row r="7849">
          <cell r="G7849" t="str">
            <v>Thị trấn Đắk Tô</v>
          </cell>
          <cell r="I7849" t="str">
            <v>60107</v>
          </cell>
        </row>
        <row r="7850">
          <cell r="G7850" t="str">
            <v>Xã Đắk Tờ Re</v>
          </cell>
          <cell r="I7850" t="str">
            <v>60108</v>
          </cell>
        </row>
        <row r="7851">
          <cell r="G7851" t="str">
            <v>Xã Đắk Ruồng</v>
          </cell>
          <cell r="I7851" t="str">
            <v>60108</v>
          </cell>
        </row>
        <row r="7852">
          <cell r="G7852" t="str">
            <v>Thị trấn Đắk Rve</v>
          </cell>
          <cell r="I7852" t="str">
            <v>60108</v>
          </cell>
        </row>
        <row r="7853">
          <cell r="G7853" t="str">
            <v>Xã Đắk Kôi</v>
          </cell>
          <cell r="I7853" t="str">
            <v>60108</v>
          </cell>
        </row>
        <row r="7854">
          <cell r="G7854" t="str">
            <v>Xã Đắk Tơ Lung</v>
          </cell>
          <cell r="I7854" t="str">
            <v>60108</v>
          </cell>
        </row>
        <row r="7855">
          <cell r="G7855" t="str">
            <v>Xã Đắk Pne</v>
          </cell>
          <cell r="I7855" t="str">
            <v>60108</v>
          </cell>
        </row>
        <row r="7856">
          <cell r="G7856" t="str">
            <v xml:space="preserve">Xã Tân Lập                </v>
          </cell>
          <cell r="I7856" t="str">
            <v>60108</v>
          </cell>
        </row>
        <row r="7857">
          <cell r="G7857" t="str">
            <v>Xã Măng Buk</v>
          </cell>
          <cell r="I7857" t="str">
            <v>60109</v>
          </cell>
        </row>
        <row r="7858">
          <cell r="G7858" t="str">
            <v>Xã Đắk Ring</v>
          </cell>
          <cell r="I7858" t="str">
            <v>60109</v>
          </cell>
        </row>
        <row r="7859">
          <cell r="G7859" t="str">
            <v>Xã Pờ ê</v>
          </cell>
          <cell r="I7859" t="str">
            <v>60109</v>
          </cell>
        </row>
        <row r="7860">
          <cell r="G7860" t="str">
            <v>Xã Hiếu</v>
          </cell>
          <cell r="I7860" t="str">
            <v>60109</v>
          </cell>
        </row>
        <row r="7861">
          <cell r="G7861" t="str">
            <v>Xã Đắk Nên</v>
          </cell>
          <cell r="I7861" t="str">
            <v>60109</v>
          </cell>
        </row>
        <row r="7862">
          <cell r="G7862" t="str">
            <v>Xã Đắk Tăng</v>
          </cell>
          <cell r="I7862" t="str">
            <v>60109</v>
          </cell>
        </row>
        <row r="7863">
          <cell r="G7863" t="str">
            <v>Xã Ngok Tem</v>
          </cell>
          <cell r="I7863" t="str">
            <v>60109</v>
          </cell>
        </row>
        <row r="7864">
          <cell r="G7864" t="str">
            <v>Xã Măng Cành</v>
          </cell>
          <cell r="I7864" t="str">
            <v>60109</v>
          </cell>
        </row>
        <row r="7865">
          <cell r="G7865" t="str">
            <v xml:space="preserve">Xã Đắk Long </v>
          </cell>
          <cell r="I7865" t="str">
            <v>60109</v>
          </cell>
        </row>
        <row r="7866">
          <cell r="G7866" t="str">
            <v>Thị trấn Đắk Hà</v>
          </cell>
          <cell r="I7866" t="str">
            <v>60111</v>
          </cell>
        </row>
        <row r="7867">
          <cell r="G7867" t="str">
            <v>Xã Đắk Mar</v>
          </cell>
          <cell r="I7867" t="str">
            <v>60111</v>
          </cell>
        </row>
        <row r="7868">
          <cell r="G7868" t="str">
            <v>Xã Đắk La</v>
          </cell>
          <cell r="I7868" t="str">
            <v>60111</v>
          </cell>
        </row>
        <row r="7869">
          <cell r="G7869" t="str">
            <v>Xã Đắk PXi</v>
          </cell>
          <cell r="I7869" t="str">
            <v>60111</v>
          </cell>
        </row>
        <row r="7870">
          <cell r="G7870" t="str">
            <v>Xã Đắk HRing</v>
          </cell>
          <cell r="I7870" t="str">
            <v>60111</v>
          </cell>
        </row>
        <row r="7871">
          <cell r="G7871" t="str">
            <v>Xã Đắk Ui</v>
          </cell>
          <cell r="I7871" t="str">
            <v>60111</v>
          </cell>
        </row>
        <row r="7872">
          <cell r="G7872" t="str">
            <v>Xã Ngok Wang</v>
          </cell>
          <cell r="I7872" t="str">
            <v>60111</v>
          </cell>
        </row>
        <row r="7873">
          <cell r="G7873" t="str">
            <v>Xã Ngok Réo</v>
          </cell>
          <cell r="I7873" t="str">
            <v>60111</v>
          </cell>
        </row>
        <row r="7874">
          <cell r="G7874" t="str">
            <v>Xã Hà Mòn</v>
          </cell>
          <cell r="I7874" t="str">
            <v>60111</v>
          </cell>
        </row>
        <row r="7875">
          <cell r="G7875" t="str">
            <v>Xã Đăk Long</v>
          </cell>
          <cell r="I7875" t="str">
            <v>60111</v>
          </cell>
        </row>
        <row r="7876">
          <cell r="G7876" t="str">
            <v>Xã Đăk Ngọk</v>
          </cell>
          <cell r="I7876" t="str">
            <v>60111</v>
          </cell>
        </row>
        <row r="7877">
          <cell r="G7877" t="str">
            <v>Xã Rơ Kơi</v>
          </cell>
          <cell r="I7877" t="str">
            <v>60113</v>
          </cell>
        </row>
        <row r="7878">
          <cell r="G7878" t="str">
            <v>Xã Ya ly</v>
          </cell>
          <cell r="I7878" t="str">
            <v>60113</v>
          </cell>
        </row>
        <row r="7879">
          <cell r="G7879" t="str">
            <v>Xã Mô Rai</v>
          </cell>
          <cell r="I7879" t="str">
            <v>60113</v>
          </cell>
        </row>
        <row r="7880">
          <cell r="G7880" t="str">
            <v>Xã Sa Bình</v>
          </cell>
          <cell r="I7880" t="str">
            <v>60113</v>
          </cell>
        </row>
        <row r="7881">
          <cell r="G7881" t="str">
            <v>Thị trấn Sa Thầy</v>
          </cell>
          <cell r="I7881" t="str">
            <v>60113</v>
          </cell>
        </row>
        <row r="7882">
          <cell r="G7882" t="str">
            <v>Xã Sa Nhơn</v>
          </cell>
          <cell r="I7882" t="str">
            <v>60113</v>
          </cell>
        </row>
        <row r="7883">
          <cell r="G7883" t="str">
            <v>Xã Hơ Moong</v>
          </cell>
          <cell r="I7883" t="str">
            <v>60113</v>
          </cell>
        </row>
        <row r="7884">
          <cell r="G7884" t="str">
            <v>Xã Sa Sơn</v>
          </cell>
          <cell r="I7884" t="str">
            <v>60113</v>
          </cell>
        </row>
        <row r="7885">
          <cell r="G7885" t="str">
            <v>Xã Sa Nghĩa</v>
          </cell>
          <cell r="I7885" t="str">
            <v>60113</v>
          </cell>
        </row>
        <row r="7886">
          <cell r="G7886" t="str">
            <v>Xã Ya Xiêr</v>
          </cell>
          <cell r="I7886" t="str">
            <v>60113</v>
          </cell>
        </row>
        <row r="7887">
          <cell r="G7887" t="str">
            <v>Xã Ya Tăng</v>
          </cell>
          <cell r="I7887" t="str">
            <v>60113</v>
          </cell>
        </row>
        <row r="7888">
          <cell r="G7888" t="str">
            <v>Xã Ia Dom</v>
          </cell>
          <cell r="I7888" t="str">
            <v>60114</v>
          </cell>
        </row>
        <row r="7889">
          <cell r="G7889" t="str">
            <v>Xã Ia Dal</v>
          </cell>
          <cell r="I7889" t="str">
            <v>60114</v>
          </cell>
        </row>
        <row r="7890">
          <cell r="G7890" t="str">
            <v>Xã Ia Tơi</v>
          </cell>
          <cell r="I7890" t="str">
            <v>60114</v>
          </cell>
        </row>
        <row r="7891">
          <cell r="G7891" t="str">
            <v>Xã Đắk Tơ Kan</v>
          </cell>
          <cell r="I7891" t="str">
            <v>60115</v>
          </cell>
        </row>
        <row r="7892">
          <cell r="G7892" t="str">
            <v>Xã Ngọk Lây</v>
          </cell>
          <cell r="I7892" t="str">
            <v>60115</v>
          </cell>
        </row>
        <row r="7893">
          <cell r="G7893" t="str">
            <v>Xã Đắk Na</v>
          </cell>
          <cell r="I7893" t="str">
            <v>60115</v>
          </cell>
        </row>
        <row r="7894">
          <cell r="G7894" t="str">
            <v>Xã Măng Ri</v>
          </cell>
          <cell r="I7894" t="str">
            <v>60115</v>
          </cell>
        </row>
        <row r="7895">
          <cell r="G7895" t="str">
            <v>Xã Ngok Yêu</v>
          </cell>
          <cell r="I7895" t="str">
            <v>60115</v>
          </cell>
        </row>
        <row r="7896">
          <cell r="G7896" t="str">
            <v>Xã Đắk Sao</v>
          </cell>
          <cell r="I7896" t="str">
            <v>60115</v>
          </cell>
        </row>
        <row r="7897">
          <cell r="G7897" t="str">
            <v>Xã Đắk Rơ Ông</v>
          </cell>
          <cell r="I7897" t="str">
            <v>60115</v>
          </cell>
        </row>
        <row r="7898">
          <cell r="G7898" t="str">
            <v>Xã Tu Mơ Rông</v>
          </cell>
          <cell r="I7898" t="str">
            <v>60115</v>
          </cell>
        </row>
        <row r="7899">
          <cell r="G7899" t="str">
            <v>Xã Đắk Hà</v>
          </cell>
          <cell r="I7899" t="str">
            <v>60115</v>
          </cell>
        </row>
        <row r="7900">
          <cell r="G7900" t="str">
            <v>Xã Tê Xăng</v>
          </cell>
          <cell r="I7900" t="str">
            <v>60115</v>
          </cell>
        </row>
        <row r="7901">
          <cell r="G7901" t="str">
            <v>Xã Văn Xuôi</v>
          </cell>
          <cell r="I7901" t="str">
            <v>60115</v>
          </cell>
        </row>
        <row r="7902">
          <cell r="G7902" t="str">
            <v xml:space="preserve">Phường Tây Sơn </v>
          </cell>
          <cell r="I7902" t="str">
            <v>60301</v>
          </cell>
        </row>
        <row r="7903">
          <cell r="G7903" t="str">
            <v>Phường Yên Đỗ</v>
          </cell>
          <cell r="I7903" t="str">
            <v>60301</v>
          </cell>
        </row>
        <row r="7904">
          <cell r="G7904" t="str">
            <v>Phường Hội Phú</v>
          </cell>
          <cell r="I7904" t="str">
            <v>60301</v>
          </cell>
        </row>
        <row r="7905">
          <cell r="G7905" t="str">
            <v>Phường Trà Bá</v>
          </cell>
          <cell r="I7905" t="str">
            <v>60301</v>
          </cell>
        </row>
        <row r="7906">
          <cell r="G7906" t="str">
            <v xml:space="preserve">Xã Tân Sơn        </v>
          </cell>
          <cell r="I7906" t="str">
            <v>60301</v>
          </cell>
        </row>
        <row r="7907">
          <cell r="G7907" t="str">
            <v xml:space="preserve">Xã Diên Phú </v>
          </cell>
          <cell r="I7907" t="str">
            <v>60301</v>
          </cell>
        </row>
        <row r="7908">
          <cell r="G7908" t="str">
            <v>Phường Diên Hồng</v>
          </cell>
          <cell r="I7908" t="str">
            <v>60301</v>
          </cell>
        </row>
        <row r="7909">
          <cell r="G7909" t="str">
            <v>Phường Ia Kring</v>
          </cell>
          <cell r="I7909" t="str">
            <v>60301</v>
          </cell>
        </row>
        <row r="7910">
          <cell r="G7910" t="str">
            <v>Phường Hội Thương</v>
          </cell>
          <cell r="I7910" t="str">
            <v>60301</v>
          </cell>
        </row>
        <row r="7911">
          <cell r="G7911" t="str">
            <v>Phường Hoa Lư</v>
          </cell>
          <cell r="I7911" t="str">
            <v>60301</v>
          </cell>
        </row>
        <row r="7912">
          <cell r="G7912" t="str">
            <v xml:space="preserve">Phường Thống Nhất   </v>
          </cell>
          <cell r="I7912" t="str">
            <v>60301</v>
          </cell>
        </row>
        <row r="7913">
          <cell r="G7913" t="str">
            <v>Phường Yên Thế</v>
          </cell>
          <cell r="I7913" t="str">
            <v>60301</v>
          </cell>
        </row>
        <row r="7914">
          <cell r="G7914" t="str">
            <v>Xã Chư HDrông</v>
          </cell>
          <cell r="I7914" t="str">
            <v>60301</v>
          </cell>
        </row>
        <row r="7915">
          <cell r="G7915" t="str">
            <v>Xã Biển Hồ</v>
          </cell>
          <cell r="I7915" t="str">
            <v>60301</v>
          </cell>
        </row>
        <row r="7916">
          <cell r="G7916" t="str">
            <v>Xã Trà Đa</v>
          </cell>
          <cell r="I7916" t="str">
            <v>60301</v>
          </cell>
        </row>
        <row r="7917">
          <cell r="G7917" t="str">
            <v>Xã Chư á</v>
          </cell>
          <cell r="I7917" t="str">
            <v>60301</v>
          </cell>
        </row>
        <row r="7918">
          <cell r="G7918" t="str">
            <v xml:space="preserve">Xã An Phú   </v>
          </cell>
          <cell r="I7918" t="str">
            <v>60301</v>
          </cell>
        </row>
        <row r="7919">
          <cell r="G7919" t="str">
            <v>Xã Ia Kênh</v>
          </cell>
          <cell r="I7919" t="str">
            <v>60301</v>
          </cell>
        </row>
        <row r="7920">
          <cell r="G7920" t="str">
            <v>Xã Gào</v>
          </cell>
          <cell r="I7920" t="str">
            <v>60301</v>
          </cell>
        </row>
        <row r="7921">
          <cell r="G7921" t="str">
            <v xml:space="preserve">Phường Đống Đa  </v>
          </cell>
          <cell r="I7921" t="str">
            <v>60301</v>
          </cell>
        </row>
        <row r="7922">
          <cell r="G7922" t="str">
            <v xml:space="preserve">Phường Chi Lăng </v>
          </cell>
          <cell r="I7922" t="str">
            <v>60301</v>
          </cell>
        </row>
        <row r="7923">
          <cell r="G7923" t="str">
            <v xml:space="preserve">Phường Thắng Lợi  </v>
          </cell>
          <cell r="I7923" t="str">
            <v>60301</v>
          </cell>
        </row>
        <row r="7924">
          <cell r="G7924" t="str">
            <v>Phường Phù Đổng</v>
          </cell>
          <cell r="I7924" t="str">
            <v>60301</v>
          </cell>
        </row>
        <row r="7925">
          <cell r="G7925" t="str">
            <v>Xã KRong</v>
          </cell>
          <cell r="I7925" t="str">
            <v>60303</v>
          </cell>
        </row>
        <row r="7926">
          <cell r="G7926" t="str">
            <v>Xã Kon Pne</v>
          </cell>
          <cell r="I7926" t="str">
            <v>60303</v>
          </cell>
        </row>
        <row r="7927">
          <cell r="G7927" t="str">
            <v>Xã Sơ Pai</v>
          </cell>
          <cell r="I7927" t="str">
            <v>60303</v>
          </cell>
        </row>
        <row r="7928">
          <cell r="G7928" t="str">
            <v xml:space="preserve">Xã Nghĩa An     </v>
          </cell>
          <cell r="I7928" t="str">
            <v>60303</v>
          </cell>
        </row>
        <row r="7929">
          <cell r="G7929" t="str">
            <v>Xã Đăk HLơ</v>
          </cell>
          <cell r="I7929" t="str">
            <v>60303</v>
          </cell>
        </row>
        <row r="7930">
          <cell r="G7930" t="str">
            <v>Thị trấn KBang</v>
          </cell>
          <cell r="I7930" t="str">
            <v>60303</v>
          </cell>
        </row>
        <row r="7931">
          <cell r="G7931" t="str">
            <v>Xã Đăk Roong</v>
          </cell>
          <cell r="I7931" t="str">
            <v>60303</v>
          </cell>
        </row>
        <row r="7932">
          <cell r="G7932" t="str">
            <v>Xã Sơn Lang</v>
          </cell>
          <cell r="I7932" t="str">
            <v>60303</v>
          </cell>
        </row>
        <row r="7933">
          <cell r="G7933" t="str">
            <v>Xã Lơ Ku</v>
          </cell>
          <cell r="I7933" t="str">
            <v>60303</v>
          </cell>
        </row>
        <row r="7934">
          <cell r="G7934" t="str">
            <v>Xã Đông</v>
          </cell>
          <cell r="I7934" t="str">
            <v>60303</v>
          </cell>
        </row>
        <row r="7935">
          <cell r="G7935" t="str">
            <v>Xã Tơ Tung</v>
          </cell>
          <cell r="I7935" t="str">
            <v>60303</v>
          </cell>
        </row>
        <row r="7936">
          <cell r="G7936" t="str">
            <v>Xã Kông Lơng Khơng</v>
          </cell>
          <cell r="I7936" t="str">
            <v>60303</v>
          </cell>
        </row>
        <row r="7937">
          <cell r="G7937" t="str">
            <v>Xã Kông Pla</v>
          </cell>
          <cell r="I7937" t="str">
            <v>60303</v>
          </cell>
        </row>
        <row r="7938">
          <cell r="G7938" t="str">
            <v>Xã Đăk Smar</v>
          </cell>
          <cell r="I7938" t="str">
            <v>60303</v>
          </cell>
        </row>
        <row r="7939">
          <cell r="G7939" t="str">
            <v>Xã Kon Thụp</v>
          </cell>
          <cell r="I7939" t="str">
            <v>60305</v>
          </cell>
        </row>
        <row r="7940">
          <cell r="G7940" t="str">
            <v>Xã Lơ Pang</v>
          </cell>
          <cell r="I7940" t="str">
            <v>60305</v>
          </cell>
        </row>
        <row r="7941">
          <cell r="G7941" t="str">
            <v>Xã Đăk Trôi</v>
          </cell>
          <cell r="I7941" t="str">
            <v>60305</v>
          </cell>
        </row>
        <row r="7942">
          <cell r="G7942" t="str">
            <v>Xã Hà Ra</v>
          </cell>
          <cell r="I7942" t="str">
            <v>60305</v>
          </cell>
        </row>
        <row r="7943">
          <cell r="G7943" t="str">
            <v>Thị trấn Kon Dơng</v>
          </cell>
          <cell r="I7943" t="str">
            <v>60305</v>
          </cell>
        </row>
        <row r="7944">
          <cell r="G7944" t="str">
            <v>Xã Ayun</v>
          </cell>
          <cell r="I7944" t="str">
            <v>60305</v>
          </cell>
        </row>
        <row r="7945">
          <cell r="G7945" t="str">
            <v>Xã Đăk Yă</v>
          </cell>
          <cell r="I7945" t="str">
            <v>60305</v>
          </cell>
        </row>
        <row r="7946">
          <cell r="G7946" t="str">
            <v>Xã Đăk Djrăng</v>
          </cell>
          <cell r="I7946" t="str">
            <v>60305</v>
          </cell>
        </row>
        <row r="7947">
          <cell r="G7947" t="str">
            <v>Xã Đê Ar</v>
          </cell>
          <cell r="I7947" t="str">
            <v>60305</v>
          </cell>
        </row>
        <row r="7948">
          <cell r="G7948" t="str">
            <v>Xã Kon Chiêng</v>
          </cell>
          <cell r="I7948" t="str">
            <v>60305</v>
          </cell>
        </row>
        <row r="7949">
          <cell r="G7949" t="str">
            <v>Xã ĐăkTaLey</v>
          </cell>
          <cell r="I7949" t="str">
            <v>60305</v>
          </cell>
        </row>
        <row r="7950">
          <cell r="G7950" t="str">
            <v>Xã ĐăkJơTa</v>
          </cell>
          <cell r="I7950" t="str">
            <v>60305</v>
          </cell>
        </row>
        <row r="7951">
          <cell r="G7951" t="str">
            <v xml:space="preserve">Xã Hòa Phú   </v>
          </cell>
          <cell r="I7951" t="str">
            <v>60307</v>
          </cell>
        </row>
        <row r="7952">
          <cell r="G7952" t="str">
            <v>Xã Ia Phí</v>
          </cell>
          <cell r="I7952" t="str">
            <v>60307</v>
          </cell>
        </row>
        <row r="7953">
          <cell r="G7953" t="str">
            <v>Xã Đăk Tơ Ver</v>
          </cell>
          <cell r="I7953" t="str">
            <v>60307</v>
          </cell>
        </row>
        <row r="7954">
          <cell r="G7954" t="str">
            <v>Xã Ia Nhin</v>
          </cell>
          <cell r="I7954" t="str">
            <v>60307</v>
          </cell>
        </row>
        <row r="7955">
          <cell r="G7955" t="str">
            <v xml:space="preserve">Thị trấn Phú Hòa </v>
          </cell>
          <cell r="I7955" t="str">
            <v>60307</v>
          </cell>
        </row>
        <row r="7956">
          <cell r="G7956" t="str">
            <v>Xã Hà Tây</v>
          </cell>
          <cell r="I7956" t="str">
            <v>60307</v>
          </cell>
        </row>
        <row r="7957">
          <cell r="G7957" t="str">
            <v>Xã Ia Khươl</v>
          </cell>
          <cell r="I7957" t="str">
            <v>60307</v>
          </cell>
        </row>
        <row r="7958">
          <cell r="G7958" t="str">
            <v>Thị Trấn Ia Ly</v>
          </cell>
          <cell r="I7958" t="str">
            <v>60307</v>
          </cell>
        </row>
        <row r="7959">
          <cell r="G7959" t="str">
            <v>Xã Ia Mơ Nông</v>
          </cell>
          <cell r="I7959" t="str">
            <v>60307</v>
          </cell>
        </row>
        <row r="7960">
          <cell r="G7960" t="str">
            <v>Xã Chư Đăng Ya</v>
          </cell>
          <cell r="I7960" t="str">
            <v>60307</v>
          </cell>
        </row>
        <row r="7961">
          <cell r="G7961" t="str">
            <v>Xã Ia Ka</v>
          </cell>
          <cell r="I7961" t="str">
            <v>60307</v>
          </cell>
        </row>
        <row r="7962">
          <cell r="G7962" t="str">
            <v xml:space="preserve">Xã Nghĩa Hòa  </v>
          </cell>
          <cell r="I7962" t="str">
            <v>60307</v>
          </cell>
        </row>
        <row r="7963">
          <cell r="G7963" t="str">
            <v>Xã Chư Jôr</v>
          </cell>
          <cell r="I7963" t="str">
            <v>60307</v>
          </cell>
        </row>
        <row r="7964">
          <cell r="G7964" t="str">
            <v xml:space="preserve">Xã Nghĩa Hưng   </v>
          </cell>
          <cell r="I7964" t="str">
            <v>60307</v>
          </cell>
        </row>
        <row r="7965">
          <cell r="G7965" t="str">
            <v>Xã Ia Kreng</v>
          </cell>
          <cell r="I7965" t="str">
            <v>60307</v>
          </cell>
        </row>
        <row r="7966">
          <cell r="G7966" t="str">
            <v>Xã Ia KRai</v>
          </cell>
          <cell r="I7966" t="str">
            <v>60309</v>
          </cell>
        </row>
        <row r="7967">
          <cell r="G7967" t="str">
            <v>Thị trấn Ia Kha</v>
          </cell>
          <cell r="I7967" t="str">
            <v>60309</v>
          </cell>
        </row>
        <row r="7968">
          <cell r="G7968" t="str">
            <v>Xã Ia Tô</v>
          </cell>
          <cell r="I7968" t="str">
            <v>60309</v>
          </cell>
        </row>
        <row r="7969">
          <cell r="G7969" t="str">
            <v>Xã Ia Chia</v>
          </cell>
          <cell r="I7969" t="str">
            <v>60309</v>
          </cell>
        </row>
        <row r="7970">
          <cell r="G7970" t="str">
            <v>Xã Ia Sao</v>
          </cell>
          <cell r="I7970" t="str">
            <v>60309</v>
          </cell>
        </row>
        <row r="7971">
          <cell r="G7971" t="str">
            <v>Xã Ia Hrung</v>
          </cell>
          <cell r="I7971" t="str">
            <v>60309</v>
          </cell>
        </row>
        <row r="7972">
          <cell r="G7972" t="str">
            <v>Xã Ia Khai</v>
          </cell>
          <cell r="I7972" t="str">
            <v>60309</v>
          </cell>
        </row>
        <row r="7973">
          <cell r="G7973" t="str">
            <v>Xã Ia O</v>
          </cell>
          <cell r="I7973" t="str">
            <v>60309</v>
          </cell>
        </row>
        <row r="7974">
          <cell r="G7974" t="str">
            <v>Xã Ia Dêr</v>
          </cell>
          <cell r="I7974" t="str">
            <v>60309</v>
          </cell>
        </row>
        <row r="7975">
          <cell r="G7975" t="str">
            <v>Xã Ia Pếch</v>
          </cell>
          <cell r="I7975" t="str">
            <v>60309</v>
          </cell>
        </row>
        <row r="7976">
          <cell r="G7976" t="str">
            <v>Xã Ia Bă</v>
          </cell>
          <cell r="I7976" t="str">
            <v>60309</v>
          </cell>
        </row>
        <row r="7977">
          <cell r="G7977" t="str">
            <v>Xã Ia Yok</v>
          </cell>
          <cell r="I7977" t="str">
            <v>60309</v>
          </cell>
        </row>
        <row r="7978">
          <cell r="G7978" t="str">
            <v>Xã IaGrăng</v>
          </cell>
          <cell r="I7978" t="str">
            <v>60309</v>
          </cell>
        </row>
        <row r="7979">
          <cell r="G7979" t="str">
            <v>Phường An Bình</v>
          </cell>
          <cell r="I7979" t="str">
            <v>60311</v>
          </cell>
        </row>
        <row r="7980">
          <cell r="G7980" t="str">
            <v xml:space="preserve">Phường Tây Sơn  </v>
          </cell>
          <cell r="I7980" t="str">
            <v>60311</v>
          </cell>
        </row>
        <row r="7981">
          <cell r="G7981" t="str">
            <v>Xã Cửu An</v>
          </cell>
          <cell r="I7981" t="str">
            <v>60311</v>
          </cell>
        </row>
        <row r="7982">
          <cell r="G7982" t="str">
            <v xml:space="preserve">Phường An Phú </v>
          </cell>
          <cell r="I7982" t="str">
            <v>60311</v>
          </cell>
        </row>
        <row r="7983">
          <cell r="G7983" t="str">
            <v>Phường An Tân</v>
          </cell>
          <cell r="I7983" t="str">
            <v>60311</v>
          </cell>
        </row>
        <row r="7984">
          <cell r="G7984" t="str">
            <v>Xã Tú An</v>
          </cell>
          <cell r="I7984" t="str">
            <v>60311</v>
          </cell>
        </row>
        <row r="7985">
          <cell r="G7985" t="str">
            <v xml:space="preserve">Xã Song An </v>
          </cell>
          <cell r="I7985" t="str">
            <v>60311</v>
          </cell>
        </row>
        <row r="7986">
          <cell r="G7986" t="str">
            <v xml:space="preserve">Xã Thành An </v>
          </cell>
          <cell r="I7986" t="str">
            <v>60311</v>
          </cell>
        </row>
        <row r="7987">
          <cell r="G7987" t="str">
            <v xml:space="preserve">Xã Xuân An </v>
          </cell>
          <cell r="I7987" t="str">
            <v>60311</v>
          </cell>
        </row>
        <row r="7988">
          <cell r="G7988" t="str">
            <v>Phường An Phước</v>
          </cell>
          <cell r="I7988" t="str">
            <v>60311</v>
          </cell>
        </row>
        <row r="7989">
          <cell r="G7989" t="str">
            <v xml:space="preserve">Phường Ngô Mây  </v>
          </cell>
          <cell r="I7989" t="str">
            <v>60311</v>
          </cell>
        </row>
        <row r="7990">
          <cell r="G7990" t="str">
            <v>Xã Ya Ma</v>
          </cell>
          <cell r="I7990" t="str">
            <v>60313</v>
          </cell>
        </row>
        <row r="7991">
          <cell r="G7991" t="str">
            <v>Xã Kông Yang</v>
          </cell>
          <cell r="I7991" t="str">
            <v>60313</v>
          </cell>
        </row>
        <row r="7992">
          <cell r="G7992" t="str">
            <v>Xã Yang Trung</v>
          </cell>
          <cell r="I7992" t="str">
            <v>60313</v>
          </cell>
        </row>
        <row r="7993">
          <cell r="G7993" t="str">
            <v>Thị trấn Kông Chro</v>
          </cell>
          <cell r="I7993" t="str">
            <v>60313</v>
          </cell>
        </row>
        <row r="7994">
          <cell r="G7994" t="str">
            <v>Xã Chư Krêy</v>
          </cell>
          <cell r="I7994" t="str">
            <v>60313</v>
          </cell>
        </row>
        <row r="7995">
          <cell r="G7995" t="str">
            <v xml:space="preserve">Xã An Trung </v>
          </cell>
          <cell r="I7995" t="str">
            <v>60313</v>
          </cell>
        </row>
        <row r="7996">
          <cell r="G7996" t="str">
            <v>Xã Đăk Tơ Pang</v>
          </cell>
          <cell r="I7996" t="str">
            <v>60313</v>
          </cell>
        </row>
        <row r="7997">
          <cell r="G7997" t="str">
            <v>Xã SRó</v>
          </cell>
          <cell r="I7997" t="str">
            <v>60313</v>
          </cell>
        </row>
        <row r="7998">
          <cell r="G7998" t="str">
            <v>Xã Đăk Song</v>
          </cell>
          <cell r="I7998" t="str">
            <v>60313</v>
          </cell>
        </row>
        <row r="7999">
          <cell r="G7999" t="str">
            <v>Xã Chơ Long</v>
          </cell>
          <cell r="I7999" t="str">
            <v>60313</v>
          </cell>
        </row>
        <row r="8000">
          <cell r="G8000" t="str">
            <v>Xã Yang Nam</v>
          </cell>
          <cell r="I8000" t="str">
            <v>60313</v>
          </cell>
        </row>
        <row r="8001">
          <cell r="G8001" t="str">
            <v>Xã Đăk Pling</v>
          </cell>
          <cell r="I8001" t="str">
            <v>60313</v>
          </cell>
        </row>
        <row r="8002">
          <cell r="G8002" t="str">
            <v>Xã Đăk Kơ Ning</v>
          </cell>
          <cell r="I8002" t="str">
            <v>60313</v>
          </cell>
        </row>
        <row r="8003">
          <cell r="G8003" t="str">
            <v>Xã Đăk Pơ Pho</v>
          </cell>
          <cell r="I8003" t="str">
            <v>60313</v>
          </cell>
        </row>
        <row r="8004">
          <cell r="G8004" t="str">
            <v>Xã Ia Kriêng</v>
          </cell>
          <cell r="I8004" t="str">
            <v>60315</v>
          </cell>
        </row>
        <row r="8005">
          <cell r="G8005" t="str">
            <v>Thị trấn Chư Ty</v>
          </cell>
          <cell r="I8005" t="str">
            <v>60315</v>
          </cell>
        </row>
        <row r="8006">
          <cell r="G8006" t="str">
            <v>Xã Ia Kla</v>
          </cell>
          <cell r="I8006" t="str">
            <v>60315</v>
          </cell>
        </row>
        <row r="8007">
          <cell r="G8007" t="str">
            <v>Xã Ia Pnôn</v>
          </cell>
          <cell r="I8007" t="str">
            <v>60315</v>
          </cell>
        </row>
        <row r="8008">
          <cell r="G8008" t="str">
            <v>Xã Ia Dơk</v>
          </cell>
          <cell r="I8008" t="str">
            <v>60315</v>
          </cell>
        </row>
        <row r="8009">
          <cell r="G8009" t="str">
            <v>Xã Ia Krêl</v>
          </cell>
          <cell r="I8009" t="str">
            <v>60315</v>
          </cell>
        </row>
        <row r="8010">
          <cell r="G8010" t="str">
            <v>Xã Ia Din</v>
          </cell>
          <cell r="I8010" t="str">
            <v>60315</v>
          </cell>
        </row>
        <row r="8011">
          <cell r="G8011" t="str">
            <v xml:space="preserve">Xã Ia Dom </v>
          </cell>
          <cell r="I8011" t="str">
            <v>60315</v>
          </cell>
        </row>
        <row r="8012">
          <cell r="G8012" t="str">
            <v>Xã Ia Lang</v>
          </cell>
          <cell r="I8012" t="str">
            <v>60315</v>
          </cell>
        </row>
        <row r="8013">
          <cell r="G8013" t="str">
            <v>Xã Ia Nan</v>
          </cell>
          <cell r="I8013" t="str">
            <v>60315</v>
          </cell>
        </row>
        <row r="8014">
          <cell r="G8014" t="str">
            <v>Xã Ia Púch</v>
          </cell>
          <cell r="I8014" t="str">
            <v>60317</v>
          </cell>
        </row>
        <row r="8015">
          <cell r="G8015" t="str">
            <v>Xã Ia Drăng</v>
          </cell>
          <cell r="I8015" t="str">
            <v>60317</v>
          </cell>
        </row>
        <row r="8016">
          <cell r="G8016" t="str">
            <v>Xã Ia Băng</v>
          </cell>
          <cell r="I8016" t="str">
            <v>60317</v>
          </cell>
        </row>
        <row r="8017">
          <cell r="G8017" t="str">
            <v xml:space="preserve">Xã Ia O </v>
          </cell>
          <cell r="I8017" t="str">
            <v>60317</v>
          </cell>
        </row>
        <row r="8018">
          <cell r="G8018" t="str">
            <v>Xã Ia Pia</v>
          </cell>
          <cell r="I8018" t="str">
            <v>60317</v>
          </cell>
        </row>
        <row r="8019">
          <cell r="G8019" t="str">
            <v>Xã Ia Piơr</v>
          </cell>
          <cell r="I8019" t="str">
            <v>60317</v>
          </cell>
        </row>
        <row r="8020">
          <cell r="G8020" t="str">
            <v>Thị trấn Chư Prông</v>
          </cell>
          <cell r="I8020" t="str">
            <v>60317</v>
          </cell>
        </row>
        <row r="8021">
          <cell r="G8021" t="str">
            <v>Xã Bình Giáo</v>
          </cell>
          <cell r="I8021" t="str">
            <v>60317</v>
          </cell>
        </row>
        <row r="8022">
          <cell r="G8022" t="str">
            <v>Xã Thăng Hưng</v>
          </cell>
          <cell r="I8022" t="str">
            <v>60317</v>
          </cell>
        </row>
        <row r="8023">
          <cell r="G8023" t="str">
            <v>Xã Bàu Cạn</v>
          </cell>
          <cell r="I8023" t="str">
            <v>60317</v>
          </cell>
        </row>
        <row r="8024">
          <cell r="G8024" t="str">
            <v>Xã Ia Phìn</v>
          </cell>
          <cell r="I8024" t="str">
            <v>60317</v>
          </cell>
        </row>
        <row r="8025">
          <cell r="G8025" t="str">
            <v>Xã Ia Tôr</v>
          </cell>
          <cell r="I8025" t="str">
            <v>60317</v>
          </cell>
        </row>
        <row r="8026">
          <cell r="G8026" t="str">
            <v>Xã Ia Boòng</v>
          </cell>
          <cell r="I8026" t="str">
            <v>60317</v>
          </cell>
        </row>
        <row r="8027">
          <cell r="G8027" t="str">
            <v>Xã Ia Me</v>
          </cell>
          <cell r="I8027" t="str">
            <v>60317</v>
          </cell>
        </row>
        <row r="8028">
          <cell r="G8028" t="str">
            <v>Xã Ia Vê</v>
          </cell>
          <cell r="I8028" t="str">
            <v>60317</v>
          </cell>
        </row>
        <row r="8029">
          <cell r="G8029" t="str">
            <v>Xã Ia Ga</v>
          </cell>
          <cell r="I8029" t="str">
            <v>60317</v>
          </cell>
        </row>
        <row r="8030">
          <cell r="G8030" t="str">
            <v>Xã Ia Lâu</v>
          </cell>
          <cell r="I8030" t="str">
            <v>60317</v>
          </cell>
        </row>
        <row r="8031">
          <cell r="G8031" t="str">
            <v>Xã Ia Mơ</v>
          </cell>
          <cell r="I8031" t="str">
            <v>60317</v>
          </cell>
        </row>
        <row r="8032">
          <cell r="G8032" t="str">
            <v>Xã Ia Kly</v>
          </cell>
          <cell r="I8032" t="str">
            <v>60317</v>
          </cell>
        </row>
        <row r="8033">
          <cell r="G8033" t="str">
            <v>Xã Ia Bang</v>
          </cell>
          <cell r="I8033" t="str">
            <v>60317</v>
          </cell>
        </row>
        <row r="8034">
          <cell r="G8034" t="str">
            <v>Xã AL Bá</v>
          </cell>
          <cell r="I8034" t="str">
            <v>60319</v>
          </cell>
        </row>
        <row r="8035">
          <cell r="G8035" t="str">
            <v>Xã Bờ Ngoong</v>
          </cell>
          <cell r="I8035" t="str">
            <v>60319</v>
          </cell>
        </row>
        <row r="8036">
          <cell r="G8036" t="str">
            <v>Xã Ia HLốp</v>
          </cell>
          <cell r="I8036" t="str">
            <v>60319</v>
          </cell>
        </row>
        <row r="8037">
          <cell r="G8037" t="str">
            <v>Thị trấn Chư Sê</v>
          </cell>
          <cell r="I8037" t="str">
            <v>60319</v>
          </cell>
        </row>
        <row r="8038">
          <cell r="G8038" t="str">
            <v>Xã Ia Tiêm</v>
          </cell>
          <cell r="I8038" t="str">
            <v>60319</v>
          </cell>
        </row>
        <row r="8039">
          <cell r="G8039" t="str">
            <v>Xã Ia Glai</v>
          </cell>
          <cell r="I8039" t="str">
            <v>60319</v>
          </cell>
        </row>
        <row r="8040">
          <cell r="G8040" t="str">
            <v xml:space="preserve">Xã AYun </v>
          </cell>
          <cell r="I8040" t="str">
            <v>60319</v>
          </cell>
        </row>
        <row r="8041">
          <cell r="G8041" t="str">
            <v>Xã Ia Blang</v>
          </cell>
          <cell r="I8041" t="str">
            <v>60319</v>
          </cell>
        </row>
        <row r="8042">
          <cell r="G8042" t="str">
            <v>Xã Dun</v>
          </cell>
          <cell r="I8042" t="str">
            <v>60319</v>
          </cell>
        </row>
        <row r="8043">
          <cell r="G8043" t="str">
            <v>Xã H Bông</v>
          </cell>
          <cell r="I8043" t="str">
            <v>60319</v>
          </cell>
        </row>
        <row r="8044">
          <cell r="G8044" t="str">
            <v>Xã Ia Ko</v>
          </cell>
          <cell r="I8044" t="str">
            <v>60319</v>
          </cell>
        </row>
        <row r="8045">
          <cell r="G8045" t="str">
            <v>Xã Chư Pơng</v>
          </cell>
          <cell r="I8045" t="str">
            <v>60319</v>
          </cell>
        </row>
        <row r="8046">
          <cell r="G8046" t="str">
            <v>Xã Ia Pal</v>
          </cell>
          <cell r="I8046" t="str">
            <v>60319</v>
          </cell>
        </row>
        <row r="8047">
          <cell r="G8047" t="str">
            <v>Xã Kông HTok</v>
          </cell>
          <cell r="I8047" t="str">
            <v>60319</v>
          </cell>
        </row>
        <row r="8048">
          <cell r="G8048" t="str">
            <v>Xã Bar Măih</v>
          </cell>
          <cell r="I8048" t="str">
            <v>60319</v>
          </cell>
        </row>
        <row r="8049">
          <cell r="G8049" t="str">
            <v>Xã Ia KDăm</v>
          </cell>
          <cell r="I8049" t="str">
            <v>60320</v>
          </cell>
        </row>
        <row r="8050">
          <cell r="G8050" t="str">
            <v>Xã Chư Răng</v>
          </cell>
          <cell r="I8050" t="str">
            <v>60320</v>
          </cell>
        </row>
        <row r="8051">
          <cell r="G8051" t="str">
            <v>Xã Ia Tul</v>
          </cell>
          <cell r="I8051" t="str">
            <v>60320</v>
          </cell>
        </row>
        <row r="8052">
          <cell r="G8052" t="str">
            <v>Xã Ia Trok</v>
          </cell>
          <cell r="I8052" t="str">
            <v>60320</v>
          </cell>
        </row>
        <row r="8053">
          <cell r="G8053" t="str">
            <v>Xã Pờ Tó</v>
          </cell>
          <cell r="I8053" t="str">
            <v>60320</v>
          </cell>
        </row>
        <row r="8054">
          <cell r="G8054" t="str">
            <v xml:space="preserve">Xã Kim Tân  </v>
          </cell>
          <cell r="I8054" t="str">
            <v>60320</v>
          </cell>
        </row>
        <row r="8055">
          <cell r="G8055" t="str">
            <v>Xã Chư Mố</v>
          </cell>
          <cell r="I8055" t="str">
            <v>60320</v>
          </cell>
        </row>
        <row r="8056">
          <cell r="G8056" t="str">
            <v>Xã Ia Ma Rơn</v>
          </cell>
          <cell r="I8056" t="str">
            <v>60320</v>
          </cell>
        </row>
        <row r="8057">
          <cell r="G8057" t="str">
            <v>Xã Ia Broăi</v>
          </cell>
          <cell r="I8057" t="str">
            <v>60320</v>
          </cell>
        </row>
        <row r="8058">
          <cell r="G8058" t="str">
            <v>Trung tâm huyện IAPA</v>
          </cell>
          <cell r="I8058" t="str">
            <v>60320</v>
          </cell>
        </row>
        <row r="8059">
          <cell r="G8059" t="str">
            <v>Xã la Sao</v>
          </cell>
          <cell r="I8059" t="str">
            <v>60321</v>
          </cell>
        </row>
        <row r="8060">
          <cell r="G8060" t="str">
            <v>Xã Chư Băh</v>
          </cell>
          <cell r="I8060" t="str">
            <v>60321</v>
          </cell>
        </row>
        <row r="8061">
          <cell r="G8061" t="str">
            <v>Xã la RBol</v>
          </cell>
          <cell r="I8061" t="str">
            <v>60321</v>
          </cell>
        </row>
        <row r="8062">
          <cell r="G8062" t="str">
            <v>Xã Ia RTô</v>
          </cell>
          <cell r="I8062" t="str">
            <v>60321</v>
          </cell>
        </row>
        <row r="8063">
          <cell r="G8063" t="str">
            <v xml:space="preserve">Phường Đoàn Kết </v>
          </cell>
          <cell r="I8063" t="str">
            <v>60321</v>
          </cell>
        </row>
        <row r="8064">
          <cell r="G8064" t="str">
            <v>Phường Sông Bờ</v>
          </cell>
          <cell r="I8064" t="str">
            <v>60321</v>
          </cell>
        </row>
        <row r="8065">
          <cell r="G8065" t="str">
            <v>Phường Cheo Reo</v>
          </cell>
          <cell r="I8065" t="str">
            <v>60321</v>
          </cell>
        </row>
        <row r="8066">
          <cell r="G8066" t="str">
            <v>Phường Hoà Bình</v>
          </cell>
          <cell r="I8066" t="str">
            <v>60321</v>
          </cell>
        </row>
        <row r="8067">
          <cell r="G8067" t="str">
            <v>Xã Uar</v>
          </cell>
          <cell r="I8067" t="str">
            <v>60323</v>
          </cell>
        </row>
        <row r="8068">
          <cell r="G8068" t="str">
            <v>Xã Ia RSươm</v>
          </cell>
          <cell r="I8068" t="str">
            <v>60323</v>
          </cell>
        </row>
        <row r="8069">
          <cell r="G8069" t="str">
            <v>Xã Chư Drăng</v>
          </cell>
          <cell r="I8069" t="str">
            <v>60323</v>
          </cell>
        </row>
        <row r="8070">
          <cell r="G8070" t="str">
            <v>Xã Chư Ngọc</v>
          </cell>
          <cell r="I8070" t="str">
            <v>60323</v>
          </cell>
        </row>
        <row r="8071">
          <cell r="G8071" t="str">
            <v>Thị trấn Phú Túc</v>
          </cell>
          <cell r="I8071" t="str">
            <v>60323</v>
          </cell>
        </row>
        <row r="8072">
          <cell r="G8072" t="str">
            <v>Xã Ia RSai</v>
          </cell>
          <cell r="I8072" t="str">
            <v>60323</v>
          </cell>
        </row>
        <row r="8073">
          <cell r="G8073" t="str">
            <v>Xã Chư Gu</v>
          </cell>
          <cell r="I8073" t="str">
            <v>60323</v>
          </cell>
        </row>
        <row r="8074">
          <cell r="G8074" t="str">
            <v>Xã Đất Bằng</v>
          </cell>
          <cell r="I8074" t="str">
            <v>60323</v>
          </cell>
        </row>
        <row r="8075">
          <cell r="G8075" t="str">
            <v>Xã Ia Mláh</v>
          </cell>
          <cell r="I8075" t="str">
            <v>60323</v>
          </cell>
        </row>
        <row r="8076">
          <cell r="G8076" t="str">
            <v>Xã Phú Cần</v>
          </cell>
          <cell r="I8076" t="str">
            <v>60323</v>
          </cell>
        </row>
        <row r="8077">
          <cell r="G8077" t="str">
            <v>Xã Ia HDreh</v>
          </cell>
          <cell r="I8077" t="str">
            <v>60323</v>
          </cell>
        </row>
        <row r="8078">
          <cell r="G8078" t="str">
            <v>Xã Ia RMok</v>
          </cell>
          <cell r="I8078" t="str">
            <v>60323</v>
          </cell>
        </row>
        <row r="8079">
          <cell r="G8079" t="str">
            <v>Xã Chư RCăm</v>
          </cell>
          <cell r="I8079" t="str">
            <v>60323</v>
          </cell>
        </row>
        <row r="8080">
          <cell r="G8080" t="str">
            <v>Xã Krông Năng</v>
          </cell>
          <cell r="I8080" t="str">
            <v>60323</v>
          </cell>
        </row>
        <row r="8081">
          <cell r="G8081" t="str">
            <v>Xã Trang</v>
          </cell>
          <cell r="I8081" t="str">
            <v>60325</v>
          </cell>
        </row>
        <row r="8082">
          <cell r="G8082" t="str">
            <v>Xã Đăk Sơmei</v>
          </cell>
          <cell r="I8082" t="str">
            <v>60325</v>
          </cell>
        </row>
        <row r="8083">
          <cell r="G8083" t="str">
            <v>Xã Hải Yang</v>
          </cell>
          <cell r="I8083" t="str">
            <v>60325</v>
          </cell>
        </row>
        <row r="8084">
          <cell r="G8084" t="str">
            <v>Xã K- Dang</v>
          </cell>
          <cell r="I8084" t="str">
            <v>60325</v>
          </cell>
        </row>
        <row r="8085">
          <cell r="G8085" t="str">
            <v xml:space="preserve">Xã Tân Bình   </v>
          </cell>
          <cell r="I8085" t="str">
            <v>60325</v>
          </cell>
        </row>
        <row r="8086">
          <cell r="G8086" t="str">
            <v>Xã Glar</v>
          </cell>
          <cell r="I8086" t="str">
            <v>60325</v>
          </cell>
        </row>
        <row r="8087">
          <cell r="G8087" t="str">
            <v>Xã A Dơk</v>
          </cell>
          <cell r="I8087" t="str">
            <v>60325</v>
          </cell>
        </row>
        <row r="8088">
          <cell r="G8088" t="str">
            <v>Xã Ia Pết</v>
          </cell>
          <cell r="I8088" t="str">
            <v>60325</v>
          </cell>
        </row>
        <row r="8089">
          <cell r="G8089" t="str">
            <v xml:space="preserve">Xã Ia Băng </v>
          </cell>
          <cell r="I8089" t="str">
            <v>60325</v>
          </cell>
        </row>
        <row r="8090">
          <cell r="G8090" t="str">
            <v>Xã H- Neng</v>
          </cell>
          <cell r="I8090" t="str">
            <v>60325</v>
          </cell>
        </row>
        <row r="8091">
          <cell r="G8091" t="str">
            <v>Thị trấn Đăk Đoa</v>
          </cell>
          <cell r="I8091" t="str">
            <v>60325</v>
          </cell>
        </row>
        <row r="8092">
          <cell r="G8092" t="str">
            <v xml:space="preserve">Xã Hà Đông </v>
          </cell>
          <cell r="I8092" t="str">
            <v>60325</v>
          </cell>
        </row>
        <row r="8093">
          <cell r="G8093" t="str">
            <v>Xã Kon Gang</v>
          </cell>
          <cell r="I8093" t="str">
            <v>60325</v>
          </cell>
        </row>
        <row r="8094">
          <cell r="G8094" t="str">
            <v>Xã Hà Bầu</v>
          </cell>
          <cell r="I8094" t="str">
            <v>60325</v>
          </cell>
        </row>
        <row r="8095">
          <cell r="G8095" t="str">
            <v>Xã Nam Yang</v>
          </cell>
          <cell r="I8095" t="str">
            <v>60325</v>
          </cell>
        </row>
        <row r="8096">
          <cell r="G8096" t="str">
            <v>Xã Đak Krong</v>
          </cell>
          <cell r="I8096" t="str">
            <v>60325</v>
          </cell>
        </row>
        <row r="8097">
          <cell r="G8097" t="str">
            <v>Xã HNol</v>
          </cell>
          <cell r="I8097" t="str">
            <v>60325</v>
          </cell>
        </row>
        <row r="8098">
          <cell r="G8098" t="str">
            <v>Xã An Thành</v>
          </cell>
          <cell r="I8098" t="str">
            <v>60327</v>
          </cell>
        </row>
        <row r="8099">
          <cell r="G8099" t="str">
            <v xml:space="preserve">Xã Tân An     </v>
          </cell>
          <cell r="I8099" t="str">
            <v>60327</v>
          </cell>
        </row>
        <row r="8100">
          <cell r="G8100" t="str">
            <v>Xã Hà Tam</v>
          </cell>
          <cell r="I8100" t="str">
            <v>60327</v>
          </cell>
        </row>
        <row r="8101">
          <cell r="G8101" t="str">
            <v>Thị trấn Đăk Pơ</v>
          </cell>
          <cell r="I8101" t="str">
            <v>60327</v>
          </cell>
        </row>
        <row r="8102">
          <cell r="G8102" t="str">
            <v>Xã Yang Bắc</v>
          </cell>
          <cell r="I8102" t="str">
            <v>60327</v>
          </cell>
        </row>
        <row r="8103">
          <cell r="G8103" t="str">
            <v>Xã Cư An</v>
          </cell>
          <cell r="I8103" t="str">
            <v>60327</v>
          </cell>
        </row>
        <row r="8104">
          <cell r="G8104" t="str">
            <v xml:space="preserve">Xã Phú An </v>
          </cell>
          <cell r="I8104" t="str">
            <v>60327</v>
          </cell>
        </row>
        <row r="8105">
          <cell r="G8105" t="str">
            <v>Xã Ya Hội</v>
          </cell>
          <cell r="I8105" t="str">
            <v>60327</v>
          </cell>
        </row>
        <row r="8106">
          <cell r="G8106" t="str">
            <v>Thị Trấn Phú Thiện</v>
          </cell>
          <cell r="I8106" t="str">
            <v>60329</v>
          </cell>
        </row>
        <row r="8107">
          <cell r="G8107" t="str">
            <v>Xã Ia Ke</v>
          </cell>
          <cell r="I8107" t="str">
            <v>60329</v>
          </cell>
        </row>
        <row r="8108">
          <cell r="G8108" t="str">
            <v>Xã Chư A Thai</v>
          </cell>
          <cell r="I8108" t="str">
            <v>60329</v>
          </cell>
        </row>
        <row r="8109">
          <cell r="G8109" t="str">
            <v>Xã Ia Piar</v>
          </cell>
          <cell r="I8109" t="str">
            <v>60329</v>
          </cell>
        </row>
        <row r="8110">
          <cell r="G8110" t="str">
            <v>Xã Ia Peng</v>
          </cell>
          <cell r="I8110" t="str">
            <v>60329</v>
          </cell>
        </row>
        <row r="8111">
          <cell r="G8111" t="str">
            <v>Xã Ia Hiao</v>
          </cell>
          <cell r="I8111" t="str">
            <v>60329</v>
          </cell>
        </row>
        <row r="8112">
          <cell r="G8112" t="str">
            <v>Xã Ia Yeng</v>
          </cell>
          <cell r="I8112" t="str">
            <v>60329</v>
          </cell>
        </row>
        <row r="8113">
          <cell r="G8113" t="str">
            <v>Xã Ia Sol</v>
          </cell>
          <cell r="I8113" t="str">
            <v>60329</v>
          </cell>
        </row>
        <row r="8114">
          <cell r="G8114" t="str">
            <v>Xã Ayun Hạ</v>
          </cell>
          <cell r="I8114" t="str">
            <v>60329</v>
          </cell>
        </row>
        <row r="8115">
          <cell r="G8115" t="str">
            <v>Xã Chrô PơNan</v>
          </cell>
          <cell r="I8115" t="str">
            <v>60329</v>
          </cell>
        </row>
        <row r="8116">
          <cell r="G8116" t="str">
            <v>Xã Ia Le</v>
          </cell>
          <cell r="I8116" t="str">
            <v>60331</v>
          </cell>
        </row>
        <row r="8117">
          <cell r="G8117" t="str">
            <v>Xã Ia Blứ</v>
          </cell>
          <cell r="I8117" t="str">
            <v>60331</v>
          </cell>
        </row>
        <row r="8118">
          <cell r="G8118" t="str">
            <v>Xã Ia Phang</v>
          </cell>
          <cell r="I8118" t="str">
            <v>60331</v>
          </cell>
        </row>
        <row r="8119">
          <cell r="G8119" t="str">
            <v>Xã Chư Don</v>
          </cell>
          <cell r="I8119" t="str">
            <v>60331</v>
          </cell>
        </row>
        <row r="8120">
          <cell r="G8120" t="str">
            <v>Xã Ia Dreng</v>
          </cell>
          <cell r="I8120" t="str">
            <v>60331</v>
          </cell>
        </row>
        <row r="8121">
          <cell r="G8121" t="str">
            <v>Xã Ia Hla</v>
          </cell>
          <cell r="I8121" t="str">
            <v>60331</v>
          </cell>
        </row>
        <row r="8122">
          <cell r="G8122" t="str">
            <v>Xã Ia Hrú</v>
          </cell>
          <cell r="I8122" t="str">
            <v>60331</v>
          </cell>
        </row>
        <row r="8123">
          <cell r="G8123" t="str">
            <v>Xã Ia Rong</v>
          </cell>
          <cell r="I8123" t="str">
            <v>60331</v>
          </cell>
        </row>
        <row r="8124">
          <cell r="G8124" t="str">
            <v>Thị trấn Nhơn Hòa</v>
          </cell>
          <cell r="I8124" t="str">
            <v>60331</v>
          </cell>
        </row>
        <row r="8125">
          <cell r="G8125" t="str">
            <v>Phường Tân Tiến</v>
          </cell>
          <cell r="I8125" t="str">
            <v>60501</v>
          </cell>
        </row>
        <row r="8126">
          <cell r="G8126" t="str">
            <v xml:space="preserve">Phường Tân An   </v>
          </cell>
          <cell r="I8126" t="str">
            <v>60501</v>
          </cell>
        </row>
        <row r="8127">
          <cell r="G8127" t="str">
            <v>Phường Tân Lợi</v>
          </cell>
          <cell r="I8127" t="str">
            <v>60501</v>
          </cell>
        </row>
        <row r="8128">
          <cell r="G8128" t="str">
            <v>Phường Tự An</v>
          </cell>
          <cell r="I8128" t="str">
            <v>60501</v>
          </cell>
        </row>
        <row r="8129">
          <cell r="G8129" t="str">
            <v>Xã Cư êBur</v>
          </cell>
          <cell r="I8129" t="str">
            <v>60501</v>
          </cell>
        </row>
        <row r="8130">
          <cell r="G8130" t="str">
            <v xml:space="preserve">Xã Hòa Phú    </v>
          </cell>
          <cell r="I8130" t="str">
            <v>60501</v>
          </cell>
        </row>
        <row r="8131">
          <cell r="G8131" t="str">
            <v xml:space="preserve">Phường Tân Lập  </v>
          </cell>
          <cell r="I8131" t="str">
            <v>60501</v>
          </cell>
        </row>
        <row r="8132">
          <cell r="G8132" t="str">
            <v>Phường Tân Hoà</v>
          </cell>
          <cell r="I8132" t="str">
            <v>60501</v>
          </cell>
        </row>
        <row r="8133">
          <cell r="G8133" t="str">
            <v xml:space="preserve">Phường Thống Nhất    </v>
          </cell>
          <cell r="I8133" t="str">
            <v>60501</v>
          </cell>
        </row>
        <row r="8134">
          <cell r="G8134" t="str">
            <v>Phường Thành Nhất</v>
          </cell>
          <cell r="I8134" t="str">
            <v>60501</v>
          </cell>
        </row>
        <row r="8135">
          <cell r="G8135" t="str">
            <v xml:space="preserve">Phường Thắng Lợi   </v>
          </cell>
          <cell r="I8135" t="str">
            <v>60501</v>
          </cell>
        </row>
        <row r="8136">
          <cell r="G8136" t="str">
            <v xml:space="preserve">Phường Thành Công </v>
          </cell>
          <cell r="I8136" t="str">
            <v>60501</v>
          </cell>
        </row>
        <row r="8137">
          <cell r="G8137" t="str">
            <v xml:space="preserve">Phường Tân Thành   </v>
          </cell>
          <cell r="I8137" t="str">
            <v>60501</v>
          </cell>
        </row>
        <row r="8138">
          <cell r="G8138" t="str">
            <v>Phường Ea Tam</v>
          </cell>
          <cell r="I8138" t="str">
            <v>60501</v>
          </cell>
        </row>
        <row r="8139">
          <cell r="G8139" t="str">
            <v>Phường Khánh Xuân</v>
          </cell>
          <cell r="I8139" t="str">
            <v>60501</v>
          </cell>
        </row>
        <row r="8140">
          <cell r="G8140" t="str">
            <v>Xã Hòa Thuận</v>
          </cell>
          <cell r="I8140" t="str">
            <v>60501</v>
          </cell>
        </row>
        <row r="8141">
          <cell r="G8141" t="str">
            <v>Xã Ea Tu</v>
          </cell>
          <cell r="I8141" t="str">
            <v>60501</v>
          </cell>
        </row>
        <row r="8142">
          <cell r="G8142" t="str">
            <v xml:space="preserve">Xã Hòa Thắng  </v>
          </cell>
          <cell r="I8142" t="str">
            <v>60501</v>
          </cell>
        </row>
        <row r="8143">
          <cell r="G8143" t="str">
            <v>Xã Ea Kao</v>
          </cell>
          <cell r="I8143" t="str">
            <v>60501</v>
          </cell>
        </row>
        <row r="8144">
          <cell r="G8144" t="str">
            <v>Xã Hòa Khánh</v>
          </cell>
          <cell r="I8144" t="str">
            <v>60501</v>
          </cell>
        </row>
        <row r="8145">
          <cell r="G8145" t="str">
            <v>Xã Hòa Xuân</v>
          </cell>
          <cell r="I8145" t="str">
            <v>60501</v>
          </cell>
        </row>
        <row r="8146">
          <cell r="G8146" t="str">
            <v>Thị trấn Ea Drăng</v>
          </cell>
          <cell r="I8146" t="str">
            <v>60503</v>
          </cell>
        </row>
        <row r="8147">
          <cell r="G8147" t="str">
            <v>Xã Ea H-leo</v>
          </cell>
          <cell r="I8147" t="str">
            <v>60503</v>
          </cell>
        </row>
        <row r="8148">
          <cell r="G8148" t="str">
            <v>Xã Cư Mốt</v>
          </cell>
          <cell r="I8148" t="str">
            <v>60503</v>
          </cell>
        </row>
        <row r="8149">
          <cell r="G8149" t="str">
            <v>Xã Dlê Yang</v>
          </cell>
          <cell r="I8149" t="str">
            <v>60503</v>
          </cell>
        </row>
        <row r="8150">
          <cell r="G8150" t="str">
            <v>Xã Ea Sol</v>
          </cell>
          <cell r="I8150" t="str">
            <v>60503</v>
          </cell>
        </row>
        <row r="8151">
          <cell r="G8151" t="str">
            <v>Xã Ea Ral</v>
          </cell>
          <cell r="I8151" t="str">
            <v>60503</v>
          </cell>
        </row>
        <row r="8152">
          <cell r="G8152" t="str">
            <v>Xã Ea Wy</v>
          </cell>
          <cell r="I8152" t="str">
            <v>60503</v>
          </cell>
        </row>
        <row r="8153">
          <cell r="G8153" t="str">
            <v>Xã Ea Hiao</v>
          </cell>
          <cell r="I8153" t="str">
            <v>60503</v>
          </cell>
        </row>
        <row r="8154">
          <cell r="G8154" t="str">
            <v>Xã Ea Khal</v>
          </cell>
          <cell r="I8154" t="str">
            <v>60503</v>
          </cell>
        </row>
        <row r="8155">
          <cell r="G8155" t="str">
            <v>Xã Ea Nam</v>
          </cell>
          <cell r="I8155" t="str">
            <v>60503</v>
          </cell>
        </row>
        <row r="8156">
          <cell r="G8156" t="str">
            <v>Xã Ea Tir</v>
          </cell>
          <cell r="I8156" t="str">
            <v>60503</v>
          </cell>
        </row>
        <row r="8157">
          <cell r="G8157" t="str">
            <v>Xã Cư Amung</v>
          </cell>
          <cell r="I8157" t="str">
            <v>60503</v>
          </cell>
        </row>
        <row r="8158">
          <cell r="G8158" t="str">
            <v>Xã Cư KBang</v>
          </cell>
          <cell r="I8158" t="str">
            <v>60505</v>
          </cell>
        </row>
        <row r="8159">
          <cell r="G8159" t="str">
            <v>Xã Ea Rốk</v>
          </cell>
          <cell r="I8159" t="str">
            <v>60505</v>
          </cell>
        </row>
        <row r="8160">
          <cell r="G8160" t="str">
            <v>Xã Ea Bung</v>
          </cell>
          <cell r="I8160" t="str">
            <v>60505</v>
          </cell>
        </row>
        <row r="8161">
          <cell r="G8161" t="str">
            <v>Thị trấn Ea Súp</v>
          </cell>
          <cell r="I8161" t="str">
            <v>60505</v>
          </cell>
        </row>
        <row r="8162">
          <cell r="G8162" t="str">
            <v>Xã Ia Lốp</v>
          </cell>
          <cell r="I8162" t="str">
            <v>60505</v>
          </cell>
        </row>
        <row r="8163">
          <cell r="G8163" t="str">
            <v>Xã Ya Tờ Mốt</v>
          </cell>
          <cell r="I8163" t="str">
            <v>60505</v>
          </cell>
        </row>
        <row r="8164">
          <cell r="G8164" t="str">
            <v>Xã Ea Lê</v>
          </cell>
          <cell r="I8164" t="str">
            <v>60505</v>
          </cell>
        </row>
        <row r="8165">
          <cell r="G8165" t="str">
            <v>Xã Cư M-Lan</v>
          </cell>
          <cell r="I8165" t="str">
            <v>60505</v>
          </cell>
        </row>
        <row r="8166">
          <cell r="G8166" t="str">
            <v>Xã Ia Jlơi</v>
          </cell>
          <cell r="I8166" t="str">
            <v>60505</v>
          </cell>
        </row>
        <row r="8167">
          <cell r="G8167" t="str">
            <v>Xã Ia Rvê</v>
          </cell>
          <cell r="I8167" t="str">
            <v>60505</v>
          </cell>
        </row>
        <row r="8168">
          <cell r="G8168" t="str">
            <v>Thị trấn Krông Năng</v>
          </cell>
          <cell r="I8168" t="str">
            <v>60507</v>
          </cell>
        </row>
        <row r="8169">
          <cell r="G8169" t="str">
            <v>Xã Cư Klông</v>
          </cell>
          <cell r="I8169" t="str">
            <v>60507</v>
          </cell>
        </row>
        <row r="8170">
          <cell r="G8170" t="str">
            <v>Xã ĐLiê Ya</v>
          </cell>
          <cell r="I8170" t="str">
            <v>60507</v>
          </cell>
        </row>
        <row r="8171">
          <cell r="G8171" t="str">
            <v xml:space="preserve">Xã Tam Giang  </v>
          </cell>
          <cell r="I8171" t="str">
            <v>60507</v>
          </cell>
        </row>
        <row r="8172">
          <cell r="G8172" t="str">
            <v>Xã Ea Hồ</v>
          </cell>
          <cell r="I8172" t="str">
            <v>60507</v>
          </cell>
        </row>
        <row r="8173">
          <cell r="G8173" t="str">
            <v xml:space="preserve">Xã Phú Xuân    </v>
          </cell>
          <cell r="I8173" t="str">
            <v>60507</v>
          </cell>
        </row>
        <row r="8174">
          <cell r="G8174" t="str">
            <v>Xã Ea Tân</v>
          </cell>
          <cell r="I8174" t="str">
            <v>60507</v>
          </cell>
        </row>
        <row r="8175">
          <cell r="G8175" t="str">
            <v xml:space="preserve">Xã Phú Lộc    </v>
          </cell>
          <cell r="I8175" t="str">
            <v>60507</v>
          </cell>
        </row>
        <row r="8176">
          <cell r="G8176" t="str">
            <v>Xã Ea Tóh</v>
          </cell>
          <cell r="I8176" t="str">
            <v>60507</v>
          </cell>
        </row>
        <row r="8177">
          <cell r="G8177" t="str">
            <v>Xã Ea Tam</v>
          </cell>
          <cell r="I8177" t="str">
            <v>60507</v>
          </cell>
        </row>
        <row r="8178">
          <cell r="G8178" t="str">
            <v>Xã Ea Púk</v>
          </cell>
          <cell r="I8178" t="str">
            <v>60507</v>
          </cell>
        </row>
        <row r="8179">
          <cell r="G8179" t="str">
            <v>Xã Ea Đah</v>
          </cell>
          <cell r="I8179" t="str">
            <v>60507</v>
          </cell>
        </row>
        <row r="8180">
          <cell r="G8180" t="str">
            <v xml:space="preserve">Phường Đoàn Kết  </v>
          </cell>
          <cell r="I8180" t="str">
            <v>60509</v>
          </cell>
        </row>
        <row r="8181">
          <cell r="G8181" t="str">
            <v xml:space="preserve">Phường Thống Nhất     </v>
          </cell>
          <cell r="I8181" t="str">
            <v>60509</v>
          </cell>
        </row>
        <row r="8182">
          <cell r="G8182" t="str">
            <v>Xã Ea Blang</v>
          </cell>
          <cell r="I8182" t="str">
            <v>60509</v>
          </cell>
        </row>
        <row r="8183">
          <cell r="G8183" t="str">
            <v>Xã Ea Drông</v>
          </cell>
          <cell r="I8183" t="str">
            <v>60509</v>
          </cell>
        </row>
        <row r="8184">
          <cell r="G8184" t="str">
            <v>Xã Ea Siên</v>
          </cell>
          <cell r="I8184" t="str">
            <v>60509</v>
          </cell>
        </row>
        <row r="8185">
          <cell r="G8185" t="str">
            <v xml:space="preserve">Xã Bình Thuận    </v>
          </cell>
          <cell r="I8185" t="str">
            <v>60509</v>
          </cell>
        </row>
        <row r="8186">
          <cell r="G8186" t="str">
            <v>Xã Cư Bao</v>
          </cell>
          <cell r="I8186" t="str">
            <v>60509</v>
          </cell>
        </row>
        <row r="8187">
          <cell r="G8187" t="str">
            <v>Phường Bình Tân</v>
          </cell>
          <cell r="I8187" t="str">
            <v>60509</v>
          </cell>
        </row>
        <row r="8188">
          <cell r="G8188" t="str">
            <v>Phường Đạt Hiếu</v>
          </cell>
          <cell r="I8188" t="str">
            <v>60509</v>
          </cell>
        </row>
        <row r="8189">
          <cell r="G8189" t="str">
            <v>Phường An Lạc</v>
          </cell>
          <cell r="I8189" t="str">
            <v>60509</v>
          </cell>
        </row>
        <row r="8190">
          <cell r="G8190" t="str">
            <v xml:space="preserve">Phường An Bình </v>
          </cell>
          <cell r="I8190" t="str">
            <v>60509</v>
          </cell>
        </row>
        <row r="8191">
          <cell r="G8191" t="str">
            <v>Phường Thiện An</v>
          </cell>
          <cell r="I8191" t="str">
            <v>60509</v>
          </cell>
        </row>
        <row r="8192">
          <cell r="G8192" t="str">
            <v>Xã Ea Wer</v>
          </cell>
          <cell r="I8192" t="str">
            <v>60511</v>
          </cell>
        </row>
        <row r="8193">
          <cell r="G8193" t="str">
            <v>Xã Ea Bar</v>
          </cell>
          <cell r="I8193" t="str">
            <v>60511</v>
          </cell>
        </row>
        <row r="8194">
          <cell r="G8194" t="str">
            <v>Xã Krông Na</v>
          </cell>
          <cell r="I8194" t="str">
            <v>60511</v>
          </cell>
        </row>
        <row r="8195">
          <cell r="G8195" t="str">
            <v>Xã Ea Huar</v>
          </cell>
          <cell r="I8195" t="str">
            <v>60511</v>
          </cell>
        </row>
        <row r="8196">
          <cell r="G8196" t="str">
            <v>Xã Tân Hoà</v>
          </cell>
          <cell r="I8196" t="str">
            <v>60511</v>
          </cell>
        </row>
        <row r="8197">
          <cell r="G8197" t="str">
            <v>Xã Cuôr KNia</v>
          </cell>
          <cell r="I8197" t="str">
            <v>60511</v>
          </cell>
        </row>
        <row r="8198">
          <cell r="G8198" t="str">
            <v>Xã Ea Nuôl</v>
          </cell>
          <cell r="I8198" t="str">
            <v>60511</v>
          </cell>
        </row>
        <row r="8199">
          <cell r="G8199" t="str">
            <v>Thị trấn Quảng Phú</v>
          </cell>
          <cell r="I8199" t="str">
            <v>60513</v>
          </cell>
        </row>
        <row r="8200">
          <cell r="G8200" t="str">
            <v xml:space="preserve">Xã Quảng Tiến </v>
          </cell>
          <cell r="I8200" t="str">
            <v>60513</v>
          </cell>
        </row>
        <row r="8201">
          <cell r="G8201" t="str">
            <v>Xã Ea H-Đinh</v>
          </cell>
          <cell r="I8201" t="str">
            <v>60513</v>
          </cell>
        </row>
        <row r="8202">
          <cell r="G8202" t="str">
            <v>Xã Quảng Hiệp</v>
          </cell>
          <cell r="I8202" t="str">
            <v>60513</v>
          </cell>
        </row>
        <row r="8203">
          <cell r="G8203" t="str">
            <v>Xã Cư Suê</v>
          </cell>
          <cell r="I8203" t="str">
            <v>60513</v>
          </cell>
        </row>
        <row r="8204">
          <cell r="G8204" t="str">
            <v>Thị trấn Ea Pốk</v>
          </cell>
          <cell r="I8204" t="str">
            <v>60513</v>
          </cell>
        </row>
        <row r="8205">
          <cell r="G8205" t="str">
            <v>Xã Ea Kiết</v>
          </cell>
          <cell r="I8205" t="str">
            <v>60513</v>
          </cell>
        </row>
        <row r="8206">
          <cell r="G8206" t="str">
            <v>Xã Ea Tar</v>
          </cell>
          <cell r="I8206" t="str">
            <v>60513</v>
          </cell>
        </row>
        <row r="8207">
          <cell r="G8207" t="str">
            <v>Xã Cư Dliê M-nông</v>
          </cell>
          <cell r="I8207" t="str">
            <v>60513</v>
          </cell>
        </row>
        <row r="8208">
          <cell r="G8208" t="str">
            <v>Xã Ea Tul</v>
          </cell>
          <cell r="I8208" t="str">
            <v>60513</v>
          </cell>
        </row>
        <row r="8209">
          <cell r="G8209" t="str">
            <v>Xã Ea KPam</v>
          </cell>
          <cell r="I8209" t="str">
            <v>60513</v>
          </cell>
        </row>
        <row r="8210">
          <cell r="G8210" t="str">
            <v>Xã Ea M-DRóh</v>
          </cell>
          <cell r="I8210" t="str">
            <v>60513</v>
          </cell>
        </row>
        <row r="8211">
          <cell r="G8211" t="str">
            <v>Xã Cư M-gar</v>
          </cell>
          <cell r="I8211" t="str">
            <v>60513</v>
          </cell>
        </row>
        <row r="8212">
          <cell r="G8212" t="str">
            <v>Xã Ea D-Rơng</v>
          </cell>
          <cell r="I8212" t="str">
            <v>60513</v>
          </cell>
        </row>
        <row r="8213">
          <cell r="G8213" t="str">
            <v>Xã Ea M-nang</v>
          </cell>
          <cell r="I8213" t="str">
            <v>60513</v>
          </cell>
        </row>
        <row r="8214">
          <cell r="G8214" t="str">
            <v>Xã Cuor Đăng</v>
          </cell>
          <cell r="I8214" t="str">
            <v>60513</v>
          </cell>
        </row>
        <row r="8215">
          <cell r="G8215" t="str">
            <v>Xã Eakuêh</v>
          </cell>
          <cell r="I8215" t="str">
            <v>60513</v>
          </cell>
        </row>
        <row r="8216">
          <cell r="G8216" t="str">
            <v>Xã Ea Păn</v>
          </cell>
          <cell r="I8216" t="str">
            <v>60515</v>
          </cell>
        </row>
        <row r="8217">
          <cell r="G8217" t="str">
            <v>Xã Ea Tih</v>
          </cell>
          <cell r="I8217" t="str">
            <v>60515</v>
          </cell>
        </row>
        <row r="8218">
          <cell r="G8218" t="str">
            <v>Xã Cư Ni</v>
          </cell>
          <cell r="I8218" t="str">
            <v>60515</v>
          </cell>
        </row>
        <row r="8219">
          <cell r="G8219" t="str">
            <v>Xã Cư Jang</v>
          </cell>
          <cell r="I8219" t="str">
            <v>60515</v>
          </cell>
        </row>
        <row r="8220">
          <cell r="G8220" t="str">
            <v>Thị trấn Ea Kar</v>
          </cell>
          <cell r="I8220" t="str">
            <v>60515</v>
          </cell>
        </row>
        <row r="8221">
          <cell r="G8221" t="str">
            <v>Thị trấn Ea Knốp</v>
          </cell>
          <cell r="I8221" t="str">
            <v>60515</v>
          </cell>
        </row>
        <row r="8222">
          <cell r="G8222" t="str">
            <v>Xã Ea Sô</v>
          </cell>
          <cell r="I8222" t="str">
            <v>60515</v>
          </cell>
        </row>
        <row r="8223">
          <cell r="G8223" t="str">
            <v xml:space="preserve">Xã Xuân Phú     </v>
          </cell>
          <cell r="I8223" t="str">
            <v>60515</v>
          </cell>
        </row>
        <row r="8224">
          <cell r="G8224" t="str">
            <v>Xã Cư Huê</v>
          </cell>
          <cell r="I8224" t="str">
            <v>60515</v>
          </cell>
        </row>
        <row r="8225">
          <cell r="G8225" t="str">
            <v>Xã Ea Đar</v>
          </cell>
          <cell r="I8225" t="str">
            <v>60515</v>
          </cell>
        </row>
        <row r="8226">
          <cell r="G8226" t="str">
            <v>Xã Ea Kmút</v>
          </cell>
          <cell r="I8226" t="str">
            <v>60515</v>
          </cell>
        </row>
        <row r="8227">
          <cell r="G8227" t="str">
            <v>Xã Ea ô</v>
          </cell>
          <cell r="I8227" t="str">
            <v>60515</v>
          </cell>
        </row>
        <row r="8228">
          <cell r="G8228" t="str">
            <v>Xã Cư Bông</v>
          </cell>
          <cell r="I8228" t="str">
            <v>60515</v>
          </cell>
        </row>
        <row r="8229">
          <cell r="G8229" t="str">
            <v>Xã Cu ELang</v>
          </cell>
          <cell r="I8229" t="str">
            <v>60515</v>
          </cell>
        </row>
        <row r="8230">
          <cell r="G8230" t="str">
            <v>Xã Cu Prong</v>
          </cell>
          <cell r="I8230" t="str">
            <v>60515</v>
          </cell>
        </row>
        <row r="8231">
          <cell r="G8231" t="str">
            <v>Xã EaSar</v>
          </cell>
          <cell r="I8231" t="str">
            <v>60515</v>
          </cell>
        </row>
        <row r="8232">
          <cell r="G8232" t="str">
            <v>Xã Ea Riêng</v>
          </cell>
          <cell r="I8232" t="str">
            <v>60517</v>
          </cell>
        </row>
        <row r="8233">
          <cell r="G8233" t="str">
            <v>Xã Ea Pil</v>
          </cell>
          <cell r="I8233" t="str">
            <v>60517</v>
          </cell>
        </row>
        <row r="8234">
          <cell r="G8234" t="str">
            <v>Xã Ea M- Doal</v>
          </cell>
          <cell r="I8234" t="str">
            <v>60517</v>
          </cell>
        </row>
        <row r="8235">
          <cell r="G8235" t="str">
            <v>Xã KRông á</v>
          </cell>
          <cell r="I8235" t="str">
            <v>60517</v>
          </cell>
        </row>
        <row r="8236">
          <cell r="G8236" t="str">
            <v>Thị trấn M-Đrắk</v>
          </cell>
          <cell r="I8236" t="str">
            <v>60517</v>
          </cell>
        </row>
        <row r="8237">
          <cell r="G8237" t="str">
            <v>Xã Cư Prao</v>
          </cell>
          <cell r="I8237" t="str">
            <v>60517</v>
          </cell>
        </row>
        <row r="8238">
          <cell r="G8238" t="str">
            <v>Xã Ea Lai</v>
          </cell>
          <cell r="I8238" t="str">
            <v>60517</v>
          </cell>
        </row>
        <row r="8239">
          <cell r="G8239" t="str">
            <v>Xã Ea H-MLay</v>
          </cell>
          <cell r="I8239" t="str">
            <v>60517</v>
          </cell>
        </row>
        <row r="8240">
          <cell r="G8240" t="str">
            <v>Xã Krông Jing</v>
          </cell>
          <cell r="I8240" t="str">
            <v>60517</v>
          </cell>
        </row>
        <row r="8241">
          <cell r="G8241" t="str">
            <v>Xã Cư M-ta</v>
          </cell>
          <cell r="I8241" t="str">
            <v>60517</v>
          </cell>
        </row>
        <row r="8242">
          <cell r="G8242" t="str">
            <v>Xã Cư K Róa</v>
          </cell>
          <cell r="I8242" t="str">
            <v>60517</v>
          </cell>
        </row>
        <row r="8243">
          <cell r="G8243" t="str">
            <v>Xã Ea Trang</v>
          </cell>
          <cell r="I8243" t="str">
            <v>60517</v>
          </cell>
        </row>
        <row r="8244">
          <cell r="G8244" t="str">
            <v>Xã Cư Sang</v>
          </cell>
          <cell r="I8244" t="str">
            <v>60517</v>
          </cell>
        </row>
        <row r="8245">
          <cell r="G8245" t="str">
            <v>Xã Ea KNuec</v>
          </cell>
          <cell r="I8245" t="str">
            <v>60519</v>
          </cell>
        </row>
        <row r="8246">
          <cell r="G8246" t="str">
            <v>Thị trấn Phước An</v>
          </cell>
          <cell r="I8246" t="str">
            <v>60519</v>
          </cell>
        </row>
        <row r="8247">
          <cell r="G8247" t="str">
            <v>Xã Ea Phê</v>
          </cell>
          <cell r="I8247" t="str">
            <v>60519</v>
          </cell>
        </row>
        <row r="8248">
          <cell r="G8248" t="str">
            <v>Xã Ea Kuăng</v>
          </cell>
          <cell r="I8248" t="str">
            <v>60519</v>
          </cell>
        </row>
        <row r="8249">
          <cell r="G8249" t="str">
            <v xml:space="preserve">Xã Tân Tiến            </v>
          </cell>
          <cell r="I8249" t="str">
            <v>60519</v>
          </cell>
        </row>
        <row r="8250">
          <cell r="G8250" t="str">
            <v>Xã KRông Búk</v>
          </cell>
          <cell r="I8250" t="str">
            <v>60519</v>
          </cell>
        </row>
        <row r="8251">
          <cell r="G8251" t="str">
            <v>Xã Ea Kly</v>
          </cell>
          <cell r="I8251" t="str">
            <v>60519</v>
          </cell>
        </row>
        <row r="8252">
          <cell r="G8252" t="str">
            <v>Xã Ea Kênh</v>
          </cell>
          <cell r="I8252" t="str">
            <v>60519</v>
          </cell>
        </row>
        <row r="8253">
          <cell r="G8253" t="str">
            <v>Xã Ea Yông</v>
          </cell>
          <cell r="I8253" t="str">
            <v>60519</v>
          </cell>
        </row>
        <row r="8254">
          <cell r="G8254" t="str">
            <v xml:space="preserve">Xã Hòa An  </v>
          </cell>
          <cell r="I8254" t="str">
            <v>60519</v>
          </cell>
        </row>
        <row r="8255">
          <cell r="G8255" t="str">
            <v>Xã Hoà Đông</v>
          </cell>
          <cell r="I8255" t="str">
            <v>60519</v>
          </cell>
        </row>
        <row r="8256">
          <cell r="G8256" t="str">
            <v>Xã Ea Hiu</v>
          </cell>
          <cell r="I8256" t="str">
            <v>60519</v>
          </cell>
        </row>
        <row r="8257">
          <cell r="G8257" t="str">
            <v xml:space="preserve">Xã Hòa Tiến  </v>
          </cell>
          <cell r="I8257" t="str">
            <v>60519</v>
          </cell>
        </row>
        <row r="8258">
          <cell r="G8258" t="str">
            <v>Xã Vụ Bổn</v>
          </cell>
          <cell r="I8258" t="str">
            <v>60519</v>
          </cell>
        </row>
        <row r="8259">
          <cell r="G8259" t="str">
            <v>Xã Ea Uy</v>
          </cell>
          <cell r="I8259" t="str">
            <v>60519</v>
          </cell>
        </row>
        <row r="8260">
          <cell r="G8260" t="str">
            <v>Xã Ea Yiêng</v>
          </cell>
          <cell r="I8260" t="str">
            <v>60519</v>
          </cell>
        </row>
        <row r="8261">
          <cell r="G8261" t="str">
            <v>Xã Cư ê Wi</v>
          </cell>
          <cell r="I8261" t="str">
            <v>60523</v>
          </cell>
        </row>
        <row r="8262">
          <cell r="G8262" t="str">
            <v>Xã Dur KMăl</v>
          </cell>
          <cell r="I8262" t="str">
            <v>60523</v>
          </cell>
        </row>
        <row r="8263">
          <cell r="G8263" t="str">
            <v>Thị trấn Buôn Trấp</v>
          </cell>
          <cell r="I8263" t="str">
            <v>60523</v>
          </cell>
        </row>
        <row r="8264">
          <cell r="G8264" t="str">
            <v>Xã Ea Hu</v>
          </cell>
          <cell r="I8264" t="str">
            <v>60523</v>
          </cell>
        </row>
        <row r="8265">
          <cell r="G8265" t="str">
            <v>Xã Hòa Hiệp</v>
          </cell>
          <cell r="I8265" t="str">
            <v>60523</v>
          </cell>
        </row>
        <row r="8266">
          <cell r="G8266" t="str">
            <v xml:space="preserve">Xã Bình Hòa   </v>
          </cell>
          <cell r="I8266" t="str">
            <v>60523</v>
          </cell>
        </row>
        <row r="8267">
          <cell r="G8267" t="str">
            <v>Xã Ea Ktur</v>
          </cell>
          <cell r="I8267" t="str">
            <v>60523</v>
          </cell>
        </row>
        <row r="8268">
          <cell r="G8268" t="str">
            <v>Xã Ea Tiêu</v>
          </cell>
          <cell r="I8268" t="str">
            <v>60523</v>
          </cell>
        </row>
        <row r="8269">
          <cell r="G8269" t="str">
            <v>Xã Ea BHốk</v>
          </cell>
          <cell r="I8269" t="str">
            <v>60523</v>
          </cell>
        </row>
        <row r="8270">
          <cell r="G8270" t="str">
            <v>Xã Dray Sáp</v>
          </cell>
          <cell r="I8270" t="str">
            <v>60523</v>
          </cell>
        </row>
        <row r="8271">
          <cell r="G8271" t="str">
            <v>Xã Ea Na</v>
          </cell>
          <cell r="I8271" t="str">
            <v>60523</v>
          </cell>
        </row>
        <row r="8272">
          <cell r="G8272" t="str">
            <v>Xã Ea Bông</v>
          </cell>
          <cell r="I8272" t="str">
            <v>60523</v>
          </cell>
        </row>
        <row r="8273">
          <cell r="G8273" t="str">
            <v>Xã Băng A Drênh</v>
          </cell>
          <cell r="I8273" t="str">
            <v>60523</v>
          </cell>
        </row>
        <row r="8274">
          <cell r="G8274" t="str">
            <v xml:space="preserve">Xã Quảng Điền </v>
          </cell>
          <cell r="I8274" t="str">
            <v>60523</v>
          </cell>
        </row>
        <row r="8275">
          <cell r="G8275" t="str">
            <v>Xã Yang Reh</v>
          </cell>
          <cell r="I8275" t="str">
            <v>60525</v>
          </cell>
        </row>
        <row r="8276">
          <cell r="G8276" t="str">
            <v>Xã Cư KTy</v>
          </cell>
          <cell r="I8276" t="str">
            <v>60525</v>
          </cell>
        </row>
        <row r="8277">
          <cell r="G8277" t="str">
            <v>Xã Hòa Lễ</v>
          </cell>
          <cell r="I8277" t="str">
            <v>60525</v>
          </cell>
        </row>
        <row r="8278">
          <cell r="G8278" t="str">
            <v>Xã Khuê Ngọc Điền</v>
          </cell>
          <cell r="I8278" t="str">
            <v>60525</v>
          </cell>
        </row>
        <row r="8279">
          <cell r="G8279" t="str">
            <v>Thị trấn Krông Kmar</v>
          </cell>
          <cell r="I8279" t="str">
            <v>60525</v>
          </cell>
        </row>
        <row r="8280">
          <cell r="G8280" t="str">
            <v>Xã Dang Kang</v>
          </cell>
          <cell r="I8280" t="str">
            <v>60525</v>
          </cell>
        </row>
        <row r="8281">
          <cell r="G8281" t="str">
            <v xml:space="preserve">Xã Hòa Thành </v>
          </cell>
          <cell r="I8281" t="str">
            <v>60525</v>
          </cell>
        </row>
        <row r="8282">
          <cell r="G8282" t="str">
            <v>Xã Hòa Tân</v>
          </cell>
          <cell r="I8282" t="str">
            <v>60525</v>
          </cell>
        </row>
        <row r="8283">
          <cell r="G8283" t="str">
            <v xml:space="preserve">Xã Hòa Phong  </v>
          </cell>
          <cell r="I8283" t="str">
            <v>60525</v>
          </cell>
        </row>
        <row r="8284">
          <cell r="G8284" t="str">
            <v>Xã Ea Trul</v>
          </cell>
          <cell r="I8284" t="str">
            <v>60525</v>
          </cell>
        </row>
        <row r="8285">
          <cell r="G8285" t="str">
            <v>Xã Cư Pui</v>
          </cell>
          <cell r="I8285" t="str">
            <v>60525</v>
          </cell>
        </row>
        <row r="8286">
          <cell r="G8286" t="str">
            <v xml:space="preserve">Xã Hòa Sơn    </v>
          </cell>
          <cell r="I8286" t="str">
            <v>60525</v>
          </cell>
        </row>
        <row r="8287">
          <cell r="G8287" t="str">
            <v>Xã Cư Drăm</v>
          </cell>
          <cell r="I8287" t="str">
            <v>60525</v>
          </cell>
        </row>
        <row r="8288">
          <cell r="G8288" t="str">
            <v>Xã Yang Mao</v>
          </cell>
          <cell r="I8288" t="str">
            <v>60525</v>
          </cell>
        </row>
        <row r="8289">
          <cell r="G8289" t="str">
            <v>Xã Nam Ka</v>
          </cell>
          <cell r="I8289" t="str">
            <v>60531</v>
          </cell>
        </row>
        <row r="8290">
          <cell r="G8290" t="str">
            <v>Xã Bông Krang</v>
          </cell>
          <cell r="I8290" t="str">
            <v>60531</v>
          </cell>
        </row>
        <row r="8291">
          <cell r="G8291" t="str">
            <v>Xã Đắk Phơi</v>
          </cell>
          <cell r="I8291" t="str">
            <v>60531</v>
          </cell>
        </row>
        <row r="8292">
          <cell r="G8292" t="str">
            <v>Xã Ea R-Bin</v>
          </cell>
          <cell r="I8292" t="str">
            <v>60531</v>
          </cell>
        </row>
        <row r="8293">
          <cell r="G8293" t="str">
            <v>Thị trấn Liên Sơn</v>
          </cell>
          <cell r="I8293" t="str">
            <v>60531</v>
          </cell>
        </row>
        <row r="8294">
          <cell r="G8294" t="str">
            <v>Xã Yang Tao</v>
          </cell>
          <cell r="I8294" t="str">
            <v>60531</v>
          </cell>
        </row>
        <row r="8295">
          <cell r="G8295" t="str">
            <v>Xã Đắk Liêng</v>
          </cell>
          <cell r="I8295" t="str">
            <v>60531</v>
          </cell>
        </row>
        <row r="8296">
          <cell r="G8296" t="str">
            <v>Xã Buôn Triết</v>
          </cell>
          <cell r="I8296" t="str">
            <v>60531</v>
          </cell>
        </row>
        <row r="8297">
          <cell r="G8297" t="str">
            <v>Xã Buôn Tría</v>
          </cell>
          <cell r="I8297" t="str">
            <v>60531</v>
          </cell>
        </row>
        <row r="8298">
          <cell r="G8298" t="str">
            <v>Xã Đắk Nuê</v>
          </cell>
          <cell r="I8298" t="str">
            <v>60531</v>
          </cell>
        </row>
        <row r="8299">
          <cell r="G8299" t="str">
            <v>Xã Krông Nô</v>
          </cell>
          <cell r="I8299" t="str">
            <v>60531</v>
          </cell>
        </row>
        <row r="8300">
          <cell r="G8300" t="str">
            <v xml:space="preserve">Xã Hòa Hiệp </v>
          </cell>
          <cell r="I8300" t="str">
            <v>60537</v>
          </cell>
        </row>
        <row r="8301">
          <cell r="G8301" t="str">
            <v>Xã Dray Bhăng</v>
          </cell>
          <cell r="I8301" t="str">
            <v>60537</v>
          </cell>
        </row>
        <row r="8302">
          <cell r="G8302" t="str">
            <v>Xã Ea Bhốc</v>
          </cell>
          <cell r="I8302" t="str">
            <v>60537</v>
          </cell>
        </row>
        <row r="8303">
          <cell r="G8303" t="str">
            <v xml:space="preserve">Xã Ea Hu </v>
          </cell>
          <cell r="I8303" t="str">
            <v>60537</v>
          </cell>
        </row>
        <row r="8304">
          <cell r="G8304" t="str">
            <v xml:space="preserve">Xã Ea Tiêu </v>
          </cell>
          <cell r="I8304" t="str">
            <v>60537</v>
          </cell>
        </row>
        <row r="8305">
          <cell r="G8305" t="str">
            <v xml:space="preserve">Xã Ea Ktur </v>
          </cell>
          <cell r="I8305" t="str">
            <v>60537</v>
          </cell>
        </row>
        <row r="8306">
          <cell r="G8306" t="str">
            <v>Xã Ea Ning</v>
          </cell>
          <cell r="I8306" t="str">
            <v>60537</v>
          </cell>
        </row>
        <row r="8307">
          <cell r="G8307" t="str">
            <v>Xã Cư Êwi</v>
          </cell>
          <cell r="I8307" t="str">
            <v>60537</v>
          </cell>
        </row>
        <row r="8308">
          <cell r="G8308" t="str">
            <v>Xã Cư Né</v>
          </cell>
          <cell r="I8308" t="str">
            <v>60539</v>
          </cell>
        </row>
        <row r="8309">
          <cell r="G8309" t="str">
            <v>Xã Cư Pơng</v>
          </cell>
          <cell r="I8309" t="str">
            <v>60539</v>
          </cell>
        </row>
        <row r="8310">
          <cell r="G8310" t="str">
            <v>Xã Ea Sin</v>
          </cell>
          <cell r="I8310" t="str">
            <v>60539</v>
          </cell>
        </row>
        <row r="8311">
          <cell r="G8311" t="str">
            <v>Xã Cư Kpô</v>
          </cell>
          <cell r="I8311" t="str">
            <v>60539</v>
          </cell>
        </row>
        <row r="8312">
          <cell r="G8312" t="str">
            <v>Xã Ea Ngai</v>
          </cell>
          <cell r="I8312" t="str">
            <v>60539</v>
          </cell>
        </row>
        <row r="8313">
          <cell r="G8313" t="str">
            <v>Xã Pơng Đrang</v>
          </cell>
          <cell r="I8313" t="str">
            <v>60539</v>
          </cell>
        </row>
        <row r="8314">
          <cell r="G8314" t="str">
            <v xml:space="preserve">Xã Tân Lập                 </v>
          </cell>
          <cell r="I8314" t="str">
            <v>60539</v>
          </cell>
        </row>
        <row r="8315">
          <cell r="G8315" t="str">
            <v>Thị trấn Ea T-Ling</v>
          </cell>
          <cell r="I8315" t="str">
            <v>60603</v>
          </cell>
        </row>
        <row r="8316">
          <cell r="G8316" t="str">
            <v>Xã Ea Pô</v>
          </cell>
          <cell r="I8316" t="str">
            <v>60603</v>
          </cell>
        </row>
        <row r="8317">
          <cell r="G8317" t="str">
            <v>Xã Cư Knia</v>
          </cell>
          <cell r="I8317" t="str">
            <v>60603</v>
          </cell>
        </row>
        <row r="8318">
          <cell r="G8318" t="str">
            <v>Xã Đắk Wil</v>
          </cell>
          <cell r="I8318" t="str">
            <v>60603</v>
          </cell>
        </row>
        <row r="8319">
          <cell r="G8319" t="str">
            <v>Xã Nam Dong</v>
          </cell>
          <cell r="I8319" t="str">
            <v>60603</v>
          </cell>
        </row>
        <row r="8320">
          <cell r="G8320" t="str">
            <v>Xã Đắk DRông</v>
          </cell>
          <cell r="I8320" t="str">
            <v>60603</v>
          </cell>
        </row>
        <row r="8321">
          <cell r="G8321" t="str">
            <v>Xã Tâm Thắng</v>
          </cell>
          <cell r="I8321" t="str">
            <v>60603</v>
          </cell>
        </row>
        <row r="8322">
          <cell r="G8322" t="str">
            <v>Xã Trúc Sơn</v>
          </cell>
          <cell r="I8322" t="str">
            <v>60603</v>
          </cell>
        </row>
        <row r="8323">
          <cell r="G8323" t="str">
            <v>Xã Nam Đà</v>
          </cell>
          <cell r="I8323" t="str">
            <v>60605</v>
          </cell>
        </row>
        <row r="8324">
          <cell r="G8324" t="str">
            <v>Xã Đức Xuyên</v>
          </cell>
          <cell r="I8324" t="str">
            <v>60605</v>
          </cell>
        </row>
        <row r="8325">
          <cell r="G8325" t="str">
            <v>Thị trấn Đắk Mâm</v>
          </cell>
          <cell r="I8325" t="str">
            <v>60605</v>
          </cell>
        </row>
        <row r="8326">
          <cell r="G8326" t="str">
            <v>Xã Đắk Sôr</v>
          </cell>
          <cell r="I8326" t="str">
            <v>60605</v>
          </cell>
        </row>
        <row r="8327">
          <cell r="G8327" t="str">
            <v>Xã Buôn Choah</v>
          </cell>
          <cell r="I8327" t="str">
            <v>60605</v>
          </cell>
        </row>
        <row r="8328">
          <cell r="G8328" t="str">
            <v xml:space="preserve">Xã Tân Thành            </v>
          </cell>
          <cell r="I8328" t="str">
            <v>60605</v>
          </cell>
        </row>
        <row r="8329">
          <cell r="G8329" t="str">
            <v>Xã Đắk Drô</v>
          </cell>
          <cell r="I8329" t="str">
            <v>60605</v>
          </cell>
        </row>
        <row r="8330">
          <cell r="G8330" t="str">
            <v>Xã Nâm Nung</v>
          </cell>
          <cell r="I8330" t="str">
            <v>60605</v>
          </cell>
        </row>
        <row r="8331">
          <cell r="G8331" t="str">
            <v>Xã Đắk Nang</v>
          </cell>
          <cell r="I8331" t="str">
            <v>60605</v>
          </cell>
        </row>
        <row r="8332">
          <cell r="G8332" t="str">
            <v xml:space="preserve">Xã Quảng Phú     </v>
          </cell>
          <cell r="I8332" t="str">
            <v>60605</v>
          </cell>
        </row>
        <row r="8333">
          <cell r="G8333" t="str">
            <v>Xã Nâm   Đir</v>
          </cell>
          <cell r="I8333" t="str">
            <v>60605</v>
          </cell>
        </row>
        <row r="8334">
          <cell r="G8334" t="str">
            <v xml:space="preserve">Xã Nam Xuân  </v>
          </cell>
          <cell r="I8334" t="str">
            <v>60605</v>
          </cell>
        </row>
        <row r="8335">
          <cell r="G8335" t="str">
            <v>Xã Đắk Gằn</v>
          </cell>
          <cell r="I8335" t="str">
            <v>60607</v>
          </cell>
        </row>
        <row r="8336">
          <cell r="G8336" t="str">
            <v>Xã Thuận An</v>
          </cell>
          <cell r="I8336" t="str">
            <v>60607</v>
          </cell>
        </row>
        <row r="8337">
          <cell r="G8337" t="str">
            <v>Xã Đắk Lao</v>
          </cell>
          <cell r="I8337" t="str">
            <v>60607</v>
          </cell>
        </row>
        <row r="8338">
          <cell r="G8338" t="str">
            <v>Xã Đắk R-La</v>
          </cell>
          <cell r="I8338" t="str">
            <v>60607</v>
          </cell>
        </row>
        <row r="8339">
          <cell r="G8339" t="str">
            <v>Xã Đức Mạnh</v>
          </cell>
          <cell r="I8339" t="str">
            <v>60607</v>
          </cell>
        </row>
        <row r="8340">
          <cell r="G8340" t="str">
            <v>Xã Đắk N Drót</v>
          </cell>
          <cell r="I8340" t="str">
            <v>60607</v>
          </cell>
        </row>
        <row r="8341">
          <cell r="G8341" t="str">
            <v>Xã Đắk Sắk</v>
          </cell>
          <cell r="I8341" t="str">
            <v>60607</v>
          </cell>
        </row>
        <row r="8342">
          <cell r="G8342" t="str">
            <v xml:space="preserve">Xã Đức Minh </v>
          </cell>
          <cell r="I8342" t="str">
            <v>60607</v>
          </cell>
        </row>
        <row r="8343">
          <cell r="G8343" t="str">
            <v>Thị trấn Đắk Mil</v>
          </cell>
          <cell r="I8343" t="str">
            <v>60607</v>
          </cell>
        </row>
        <row r="8344">
          <cell r="G8344" t="str">
            <v xml:space="preserve">Xã Long Sơn    </v>
          </cell>
          <cell r="I8344" t="str">
            <v>60607</v>
          </cell>
        </row>
        <row r="8345">
          <cell r="G8345" t="str">
            <v>Xã Đắk Môl</v>
          </cell>
          <cell r="I8345" t="str">
            <v>60609</v>
          </cell>
        </row>
        <row r="8346">
          <cell r="G8346" t="str">
            <v>Xã Thuận Hạnh</v>
          </cell>
          <cell r="I8346" t="str">
            <v>60609</v>
          </cell>
        </row>
        <row r="8347">
          <cell r="G8347" t="str">
            <v xml:space="preserve">Xã Nam Bình </v>
          </cell>
          <cell r="I8347" t="str">
            <v>60609</v>
          </cell>
        </row>
        <row r="8348">
          <cell r="G8348" t="str">
            <v>Xã Đắk N Dung</v>
          </cell>
          <cell r="I8348" t="str">
            <v>60609</v>
          </cell>
        </row>
        <row r="8349">
          <cell r="G8349" t="str">
            <v>Xã Nâm N Jang</v>
          </cell>
          <cell r="I8349" t="str">
            <v>60609</v>
          </cell>
        </row>
        <row r="8350">
          <cell r="G8350" t="str">
            <v xml:space="preserve">Xã Trường Xuân </v>
          </cell>
          <cell r="I8350" t="str">
            <v>60609</v>
          </cell>
        </row>
        <row r="8351">
          <cell r="G8351" t="str">
            <v>Xã Thuận Hà</v>
          </cell>
          <cell r="I8351" t="str">
            <v>60609</v>
          </cell>
        </row>
        <row r="8352">
          <cell r="G8352" t="str">
            <v>Thị trấn Đức An</v>
          </cell>
          <cell r="I8352" t="str">
            <v>60609</v>
          </cell>
        </row>
        <row r="8353">
          <cell r="G8353" t="str">
            <v>Xã Đăk Hoà</v>
          </cell>
          <cell r="I8353" t="str">
            <v>60609</v>
          </cell>
        </row>
        <row r="8354">
          <cell r="G8354" t="str">
            <v>Xã Quảng Tín</v>
          </cell>
          <cell r="I8354" t="str">
            <v>60611</v>
          </cell>
        </row>
        <row r="8355">
          <cell r="G8355" t="str">
            <v>Xã Quảng Trực</v>
          </cell>
          <cell r="I8355" t="str">
            <v>60611</v>
          </cell>
        </row>
        <row r="8356">
          <cell r="G8356" t="str">
            <v xml:space="preserve">Xã Quảng Tân   </v>
          </cell>
          <cell r="I8356" t="str">
            <v>60611</v>
          </cell>
        </row>
        <row r="8357">
          <cell r="G8357" t="str">
            <v>Xã Đắk Sin</v>
          </cell>
          <cell r="I8357" t="str">
            <v>60611</v>
          </cell>
        </row>
        <row r="8358">
          <cell r="G8358" t="str">
            <v>Thị trấn Kiến Đức</v>
          </cell>
          <cell r="I8358" t="str">
            <v>60611</v>
          </cell>
        </row>
        <row r="8359">
          <cell r="G8359" t="str">
            <v>Xã Hưng Bình</v>
          </cell>
          <cell r="I8359" t="str">
            <v>60611</v>
          </cell>
        </row>
        <row r="8360">
          <cell r="G8360" t="str">
            <v xml:space="preserve">Xã Nghĩa Thắng   </v>
          </cell>
          <cell r="I8360" t="str">
            <v>60611</v>
          </cell>
        </row>
        <row r="8361">
          <cell r="G8361" t="str">
            <v>Xã Đắk Wer</v>
          </cell>
          <cell r="I8361" t="str">
            <v>60611</v>
          </cell>
        </row>
        <row r="8362">
          <cell r="G8362" t="str">
            <v>Xã Nhân Cơ</v>
          </cell>
          <cell r="I8362" t="str">
            <v>60611</v>
          </cell>
        </row>
        <row r="8363">
          <cell r="G8363" t="str">
            <v>Xã Kiến Thành</v>
          </cell>
          <cell r="I8363" t="str">
            <v>60611</v>
          </cell>
        </row>
        <row r="8364">
          <cell r="G8364" t="str">
            <v>Xã Đạo Nghĩa</v>
          </cell>
          <cell r="I8364" t="str">
            <v>60611</v>
          </cell>
        </row>
        <row r="8365">
          <cell r="G8365" t="str">
            <v>Xã Đắk Ru</v>
          </cell>
          <cell r="I8365" t="str">
            <v>60611</v>
          </cell>
        </row>
        <row r="8366">
          <cell r="G8366" t="str">
            <v xml:space="preserve">Xã Nhân Đạo  </v>
          </cell>
          <cell r="I8366" t="str">
            <v>60611</v>
          </cell>
        </row>
        <row r="8367">
          <cell r="G8367" t="str">
            <v xml:space="preserve">Xã Quảng Thành  </v>
          </cell>
          <cell r="I8367" t="str">
            <v>60613</v>
          </cell>
        </row>
        <row r="8368">
          <cell r="G8368" t="str">
            <v>Phường Nghĩa Thành</v>
          </cell>
          <cell r="I8368" t="str">
            <v>60613</v>
          </cell>
        </row>
        <row r="8369">
          <cell r="G8369" t="str">
            <v>Phường Nghĩa Đức</v>
          </cell>
          <cell r="I8369" t="str">
            <v>60613</v>
          </cell>
        </row>
        <row r="8370">
          <cell r="G8370" t="str">
            <v>Phường Nghĩa Phú</v>
          </cell>
          <cell r="I8370" t="str">
            <v>60613</v>
          </cell>
        </row>
        <row r="8371">
          <cell r="G8371" t="str">
            <v xml:space="preserve">Phường Nghĩa Tân </v>
          </cell>
          <cell r="I8371" t="str">
            <v>60613</v>
          </cell>
        </row>
        <row r="8372">
          <cell r="G8372" t="str">
            <v>Phường Nghĩa Trung</v>
          </cell>
          <cell r="I8372" t="str">
            <v>60613</v>
          </cell>
        </row>
        <row r="8373">
          <cell r="G8373" t="str">
            <v>Xã Đăk R Moan</v>
          </cell>
          <cell r="I8373" t="str">
            <v>60613</v>
          </cell>
        </row>
        <row r="8374">
          <cell r="G8374" t="str">
            <v>Xã Đắk Nia</v>
          </cell>
          <cell r="I8374" t="str">
            <v>60613</v>
          </cell>
        </row>
        <row r="8375">
          <cell r="G8375" t="str">
            <v xml:space="preserve">Xã Quảng Sơn  </v>
          </cell>
          <cell r="I8375" t="str">
            <v>60615</v>
          </cell>
        </row>
        <row r="8376">
          <cell r="G8376" t="str">
            <v>Xã Đắk Plao</v>
          </cell>
          <cell r="I8376" t="str">
            <v>60615</v>
          </cell>
        </row>
        <row r="8377">
          <cell r="G8377" t="str">
            <v>Xã Đắk Ha</v>
          </cell>
          <cell r="I8377" t="str">
            <v>60615</v>
          </cell>
        </row>
        <row r="8378">
          <cell r="G8378" t="str">
            <v>Xã Đắk R Măng</v>
          </cell>
          <cell r="I8378" t="str">
            <v>60615</v>
          </cell>
        </row>
        <row r="8379">
          <cell r="G8379" t="str">
            <v xml:space="preserve">Xã Quảng Khê  </v>
          </cell>
          <cell r="I8379" t="str">
            <v>60615</v>
          </cell>
        </row>
        <row r="8380">
          <cell r="G8380" t="str">
            <v>Xã Đắk Som</v>
          </cell>
          <cell r="I8380" t="str">
            <v>60615</v>
          </cell>
        </row>
        <row r="8381">
          <cell r="G8381" t="str">
            <v>Xã Quảng Hoà</v>
          </cell>
          <cell r="I8381" t="str">
            <v>60615</v>
          </cell>
        </row>
        <row r="8382">
          <cell r="G8382" t="str">
            <v xml:space="preserve">Xã Quảng Tân    </v>
          </cell>
          <cell r="I8382" t="str">
            <v>60617</v>
          </cell>
        </row>
        <row r="8383">
          <cell r="G8383" t="str">
            <v>Xã Đắk Búk So</v>
          </cell>
          <cell r="I8383" t="str">
            <v>60617</v>
          </cell>
        </row>
        <row r="8384">
          <cell r="G8384" t="str">
            <v>Xã Đắk R-Tíh</v>
          </cell>
          <cell r="I8384" t="str">
            <v>60617</v>
          </cell>
        </row>
        <row r="8385">
          <cell r="G8385" t="str">
            <v xml:space="preserve">Xã Quảng Trực </v>
          </cell>
          <cell r="I8385" t="str">
            <v>60617</v>
          </cell>
        </row>
        <row r="8386">
          <cell r="G8386" t="str">
            <v>Xã Đăk Ngo</v>
          </cell>
          <cell r="I8386" t="str">
            <v>60617</v>
          </cell>
        </row>
        <row r="8387">
          <cell r="G8387" t="str">
            <v xml:space="preserve">Xã Quảng Tâm </v>
          </cell>
          <cell r="I8387" t="str">
            <v>60617</v>
          </cell>
        </row>
        <row r="8388">
          <cell r="G8388" t="str">
            <v>Phường Tân Định</v>
          </cell>
          <cell r="I8388" t="str">
            <v>70101</v>
          </cell>
        </row>
        <row r="8389">
          <cell r="G8389" t="str">
            <v>Phường Đa Kao</v>
          </cell>
          <cell r="I8389" t="str">
            <v>70101</v>
          </cell>
        </row>
        <row r="8390">
          <cell r="G8390" t="str">
            <v>Phường Bến Nghé</v>
          </cell>
          <cell r="I8390" t="str">
            <v>70101</v>
          </cell>
        </row>
        <row r="8391">
          <cell r="G8391" t="str">
            <v>Phường Bến Thành</v>
          </cell>
          <cell r="I8391" t="str">
            <v>70101</v>
          </cell>
        </row>
        <row r="8392">
          <cell r="G8392" t="str">
            <v>Phường Nguyễn Thái Bình</v>
          </cell>
          <cell r="I8392" t="str">
            <v>70101</v>
          </cell>
        </row>
        <row r="8393">
          <cell r="G8393" t="str">
            <v xml:space="preserve">Phường Phạm Ngũ Lão </v>
          </cell>
          <cell r="I8393" t="str">
            <v>70101</v>
          </cell>
        </row>
        <row r="8394">
          <cell r="G8394" t="str">
            <v>Phường Cô Giang</v>
          </cell>
          <cell r="I8394" t="str">
            <v>70101</v>
          </cell>
        </row>
        <row r="8395">
          <cell r="G8395" t="str">
            <v>Phường Cầu Ông Lãnh</v>
          </cell>
          <cell r="I8395" t="str">
            <v>70101</v>
          </cell>
        </row>
        <row r="8396">
          <cell r="G8396" t="str">
            <v>Phường Nguyễn Cư Trinh</v>
          </cell>
          <cell r="I8396" t="str">
            <v>70101</v>
          </cell>
        </row>
        <row r="8397">
          <cell r="G8397" t="str">
            <v>Phường Cầu Kho</v>
          </cell>
          <cell r="I8397" t="str">
            <v>70101</v>
          </cell>
        </row>
        <row r="8398">
          <cell r="G8398" t="str">
            <v xml:space="preserve">Phường An Phú  </v>
          </cell>
          <cell r="I8398" t="str">
            <v>70103</v>
          </cell>
        </row>
        <row r="8399">
          <cell r="G8399" t="str">
            <v>Phường Thảo Điền</v>
          </cell>
          <cell r="I8399" t="str">
            <v>70103</v>
          </cell>
        </row>
        <row r="8400">
          <cell r="G8400" t="str">
            <v>Phường An Khánh</v>
          </cell>
          <cell r="I8400" t="str">
            <v>70103</v>
          </cell>
        </row>
        <row r="8401">
          <cell r="G8401" t="str">
            <v>Phường Bình Khánh</v>
          </cell>
          <cell r="I8401" t="str">
            <v>70103</v>
          </cell>
        </row>
        <row r="8402">
          <cell r="G8402" t="str">
            <v>Phường Bình An</v>
          </cell>
          <cell r="I8402" t="str">
            <v>70103</v>
          </cell>
        </row>
        <row r="8403">
          <cell r="G8403" t="str">
            <v>Phường Thủ Thiêm</v>
          </cell>
          <cell r="I8403" t="str">
            <v>70103</v>
          </cell>
        </row>
        <row r="8404">
          <cell r="G8404" t="str">
            <v>Phường An Lợi Đông</v>
          </cell>
          <cell r="I8404" t="str">
            <v>70103</v>
          </cell>
        </row>
        <row r="8405">
          <cell r="G8405" t="str">
            <v>Phường Bình Trưng Tây</v>
          </cell>
          <cell r="I8405" t="str">
            <v>70103</v>
          </cell>
        </row>
        <row r="8406">
          <cell r="G8406" t="str">
            <v>Phường Bình Trưng Đông</v>
          </cell>
          <cell r="I8406" t="str">
            <v>70103</v>
          </cell>
        </row>
        <row r="8407">
          <cell r="G8407" t="str">
            <v>Phường Cát Lái</v>
          </cell>
          <cell r="I8407" t="str">
            <v>70103</v>
          </cell>
        </row>
        <row r="8408">
          <cell r="G8408" t="str">
            <v>Phường Thạnh Mỹ Lợi</v>
          </cell>
          <cell r="I8408" t="str">
            <v>70103</v>
          </cell>
        </row>
        <row r="8409">
          <cell r="G8409" t="str">
            <v>Phường 01</v>
          </cell>
          <cell r="I8409" t="str">
            <v>70105</v>
          </cell>
        </row>
        <row r="8410">
          <cell r="G8410" t="str">
            <v>Phường 02</v>
          </cell>
          <cell r="I8410" t="str">
            <v>70105</v>
          </cell>
        </row>
        <row r="8411">
          <cell r="G8411" t="str">
            <v>Phường 03</v>
          </cell>
          <cell r="I8411" t="str">
            <v>70105</v>
          </cell>
        </row>
        <row r="8412">
          <cell r="G8412" t="str">
            <v>Phường 04</v>
          </cell>
          <cell r="I8412" t="str">
            <v>70105</v>
          </cell>
        </row>
        <row r="8413">
          <cell r="G8413" t="str">
            <v>Phuờng 05</v>
          </cell>
          <cell r="I8413" t="str">
            <v>70105</v>
          </cell>
        </row>
        <row r="8414">
          <cell r="G8414" t="str">
            <v>Phường 06</v>
          </cell>
          <cell r="I8414" t="str">
            <v>70105</v>
          </cell>
        </row>
        <row r="8415">
          <cell r="G8415" t="str">
            <v>Phường 07</v>
          </cell>
          <cell r="I8415" t="str">
            <v>70105</v>
          </cell>
        </row>
        <row r="8416">
          <cell r="G8416" t="str">
            <v>Phường 08</v>
          </cell>
          <cell r="I8416" t="str">
            <v>70105</v>
          </cell>
        </row>
        <row r="8417">
          <cell r="G8417" t="str">
            <v>Phường 09</v>
          </cell>
          <cell r="I8417" t="str">
            <v>70105</v>
          </cell>
        </row>
        <row r="8418">
          <cell r="G8418" t="str">
            <v>Phường 10</v>
          </cell>
          <cell r="I8418" t="str">
            <v>70105</v>
          </cell>
        </row>
        <row r="8419">
          <cell r="G8419" t="str">
            <v>Phường 11</v>
          </cell>
          <cell r="I8419" t="str">
            <v>70105</v>
          </cell>
        </row>
        <row r="8420">
          <cell r="G8420" t="str">
            <v>Phường 12</v>
          </cell>
          <cell r="I8420" t="str">
            <v>70105</v>
          </cell>
        </row>
        <row r="8421">
          <cell r="G8421" t="str">
            <v>Phường 13</v>
          </cell>
          <cell r="I8421" t="str">
            <v>70105</v>
          </cell>
        </row>
        <row r="8422">
          <cell r="G8422" t="str">
            <v>Phường 14</v>
          </cell>
          <cell r="I8422" t="str">
            <v>70105</v>
          </cell>
        </row>
        <row r="8423">
          <cell r="G8423" t="str">
            <v xml:space="preserve">phường 01 </v>
          </cell>
          <cell r="I8423" t="str">
            <v>70107</v>
          </cell>
        </row>
        <row r="8424">
          <cell r="G8424" t="str">
            <v xml:space="preserve">Phường 02 </v>
          </cell>
          <cell r="I8424" t="str">
            <v>70107</v>
          </cell>
        </row>
        <row r="8425">
          <cell r="G8425" t="str">
            <v xml:space="preserve">phường 03 </v>
          </cell>
          <cell r="I8425" t="str">
            <v>70107</v>
          </cell>
        </row>
        <row r="8426">
          <cell r="G8426" t="str">
            <v xml:space="preserve">phường 04 </v>
          </cell>
          <cell r="I8426" t="str">
            <v>70107</v>
          </cell>
        </row>
        <row r="8427">
          <cell r="G8427" t="str">
            <v>phường 05</v>
          </cell>
          <cell r="I8427" t="str">
            <v>70107</v>
          </cell>
        </row>
        <row r="8428">
          <cell r="G8428" t="str">
            <v xml:space="preserve">phường 06 </v>
          </cell>
          <cell r="I8428" t="str">
            <v>70107</v>
          </cell>
        </row>
        <row r="8429">
          <cell r="G8429" t="str">
            <v xml:space="preserve">phường 08 </v>
          </cell>
          <cell r="I8429" t="str">
            <v>70107</v>
          </cell>
        </row>
        <row r="8430">
          <cell r="G8430" t="str">
            <v xml:space="preserve">phường 09 </v>
          </cell>
          <cell r="I8430" t="str">
            <v>70107</v>
          </cell>
        </row>
        <row r="8431">
          <cell r="G8431" t="str">
            <v xml:space="preserve">phường 10 </v>
          </cell>
          <cell r="I8431" t="str">
            <v>70107</v>
          </cell>
        </row>
        <row r="8432">
          <cell r="G8432" t="str">
            <v xml:space="preserve">phường 12 </v>
          </cell>
          <cell r="I8432" t="str">
            <v>70107</v>
          </cell>
        </row>
        <row r="8433">
          <cell r="G8433" t="str">
            <v xml:space="preserve">phường 13 </v>
          </cell>
          <cell r="I8433" t="str">
            <v>70107</v>
          </cell>
        </row>
        <row r="8434">
          <cell r="G8434" t="str">
            <v xml:space="preserve">Phường 14 </v>
          </cell>
          <cell r="I8434" t="str">
            <v>70107</v>
          </cell>
        </row>
        <row r="8435">
          <cell r="G8435" t="str">
            <v>phường 15</v>
          </cell>
          <cell r="I8435" t="str">
            <v>70107</v>
          </cell>
        </row>
        <row r="8436">
          <cell r="G8436" t="str">
            <v>Phường 16</v>
          </cell>
          <cell r="I8436" t="str">
            <v>70107</v>
          </cell>
        </row>
        <row r="8437">
          <cell r="G8437" t="str">
            <v>phường 18</v>
          </cell>
          <cell r="I8437" t="str">
            <v>70107</v>
          </cell>
        </row>
        <row r="8438">
          <cell r="G8438" t="str">
            <v xml:space="preserve">Phường 01  </v>
          </cell>
          <cell r="I8438" t="str">
            <v>70109</v>
          </cell>
        </row>
        <row r="8439">
          <cell r="G8439" t="str">
            <v xml:space="preserve">Phường 02  </v>
          </cell>
          <cell r="I8439" t="str">
            <v>70109</v>
          </cell>
        </row>
        <row r="8440">
          <cell r="G8440" t="str">
            <v xml:space="preserve">Phường 03  </v>
          </cell>
          <cell r="I8440" t="str">
            <v>70109</v>
          </cell>
        </row>
        <row r="8441">
          <cell r="G8441" t="str">
            <v xml:space="preserve">Phường 04  </v>
          </cell>
          <cell r="I8441" t="str">
            <v>70109</v>
          </cell>
        </row>
        <row r="8442">
          <cell r="G8442" t="str">
            <v xml:space="preserve">Phường 05 </v>
          </cell>
          <cell r="I8442" t="str">
            <v>70109</v>
          </cell>
        </row>
        <row r="8443">
          <cell r="G8443" t="str">
            <v xml:space="preserve">Phường 06  </v>
          </cell>
          <cell r="I8443" t="str">
            <v>70109</v>
          </cell>
        </row>
        <row r="8444">
          <cell r="G8444" t="str">
            <v xml:space="preserve">Phường 07 </v>
          </cell>
          <cell r="I8444" t="str">
            <v>70109</v>
          </cell>
        </row>
        <row r="8445">
          <cell r="G8445" t="str">
            <v xml:space="preserve">Phường 08  </v>
          </cell>
          <cell r="I8445" t="str">
            <v>70109</v>
          </cell>
        </row>
        <row r="8446">
          <cell r="G8446" t="str">
            <v xml:space="preserve">Phường 09  </v>
          </cell>
          <cell r="I8446" t="str">
            <v>70109</v>
          </cell>
        </row>
        <row r="8447">
          <cell r="G8447" t="str">
            <v xml:space="preserve">Phường 10  </v>
          </cell>
          <cell r="I8447" t="str">
            <v>70109</v>
          </cell>
        </row>
        <row r="8448">
          <cell r="G8448" t="str">
            <v xml:space="preserve">Phường 11 </v>
          </cell>
          <cell r="I8448" t="str">
            <v>70109</v>
          </cell>
        </row>
        <row r="8449">
          <cell r="G8449" t="str">
            <v xml:space="preserve">Phường 12  </v>
          </cell>
          <cell r="I8449" t="str">
            <v>70109</v>
          </cell>
        </row>
        <row r="8450">
          <cell r="G8450" t="str">
            <v xml:space="preserve">Phường 13  </v>
          </cell>
          <cell r="I8450" t="str">
            <v>70109</v>
          </cell>
        </row>
        <row r="8451">
          <cell r="G8451" t="str">
            <v xml:space="preserve">Phường 14  </v>
          </cell>
          <cell r="I8451" t="str">
            <v>70109</v>
          </cell>
        </row>
        <row r="8452">
          <cell r="G8452" t="str">
            <v xml:space="preserve">Phường 15 </v>
          </cell>
          <cell r="I8452" t="str">
            <v>70109</v>
          </cell>
        </row>
        <row r="8453">
          <cell r="G8453" t="str">
            <v xml:space="preserve">Phường 01   </v>
          </cell>
          <cell r="I8453" t="str">
            <v>70111</v>
          </cell>
        </row>
        <row r="8454">
          <cell r="G8454" t="str">
            <v xml:space="preserve">Phường 02   </v>
          </cell>
          <cell r="I8454" t="str">
            <v>70111</v>
          </cell>
        </row>
        <row r="8455">
          <cell r="G8455" t="str">
            <v xml:space="preserve">Phường 03   </v>
          </cell>
          <cell r="I8455" t="str">
            <v>70111</v>
          </cell>
        </row>
        <row r="8456">
          <cell r="G8456" t="str">
            <v xml:space="preserve">Phường 04   </v>
          </cell>
          <cell r="I8456" t="str">
            <v>70111</v>
          </cell>
        </row>
        <row r="8457">
          <cell r="G8457" t="str">
            <v xml:space="preserve">Phường 05  </v>
          </cell>
          <cell r="I8457" t="str">
            <v>70111</v>
          </cell>
        </row>
        <row r="8458">
          <cell r="G8458" t="str">
            <v xml:space="preserve">Phường 06   </v>
          </cell>
          <cell r="I8458" t="str">
            <v>70111</v>
          </cell>
        </row>
        <row r="8459">
          <cell r="G8459" t="str">
            <v xml:space="preserve">Phường 07  </v>
          </cell>
          <cell r="I8459" t="str">
            <v>70111</v>
          </cell>
        </row>
        <row r="8460">
          <cell r="G8460" t="str">
            <v xml:space="preserve">Phường 08   </v>
          </cell>
          <cell r="I8460" t="str">
            <v>70111</v>
          </cell>
        </row>
        <row r="8461">
          <cell r="G8461" t="str">
            <v xml:space="preserve">Phường 09   </v>
          </cell>
          <cell r="I8461" t="str">
            <v>70111</v>
          </cell>
        </row>
        <row r="8462">
          <cell r="G8462" t="str">
            <v xml:space="preserve">Phường 10   </v>
          </cell>
          <cell r="I8462" t="str">
            <v>70111</v>
          </cell>
        </row>
        <row r="8463">
          <cell r="G8463" t="str">
            <v xml:space="preserve">Phường 11  </v>
          </cell>
          <cell r="I8463" t="str">
            <v>70111</v>
          </cell>
        </row>
        <row r="8464">
          <cell r="G8464" t="str">
            <v xml:space="preserve">Phường 12   </v>
          </cell>
          <cell r="I8464" t="str">
            <v>70111</v>
          </cell>
        </row>
        <row r="8465">
          <cell r="G8465" t="str">
            <v xml:space="preserve">Phường 13   </v>
          </cell>
          <cell r="I8465" t="str">
            <v>70111</v>
          </cell>
        </row>
        <row r="8466">
          <cell r="G8466" t="str">
            <v xml:space="preserve">Phường 14   </v>
          </cell>
          <cell r="I8466" t="str">
            <v>70111</v>
          </cell>
        </row>
        <row r="8467">
          <cell r="G8467" t="str">
            <v>Phường Phú Mỹ</v>
          </cell>
          <cell r="I8467" t="str">
            <v>70113</v>
          </cell>
        </row>
        <row r="8468">
          <cell r="G8468" t="str">
            <v xml:space="preserve">Phường Phú Thuận </v>
          </cell>
          <cell r="I8468" t="str">
            <v>70113</v>
          </cell>
        </row>
        <row r="8469">
          <cell r="G8469" t="str">
            <v>Phường Tân Phú</v>
          </cell>
          <cell r="I8469" t="str">
            <v>70113</v>
          </cell>
        </row>
        <row r="8470">
          <cell r="G8470" t="str">
            <v>Phường Tân Thuận Đông</v>
          </cell>
          <cell r="I8470" t="str">
            <v>70113</v>
          </cell>
        </row>
        <row r="8471">
          <cell r="G8471" t="str">
            <v xml:space="preserve">Phường Bình Thuận </v>
          </cell>
          <cell r="I8471" t="str">
            <v>70113</v>
          </cell>
        </row>
        <row r="8472">
          <cell r="G8472" t="str">
            <v>Phường Tân Thuận Tây</v>
          </cell>
          <cell r="I8472" t="str">
            <v>70113</v>
          </cell>
        </row>
        <row r="8473">
          <cell r="G8473" t="str">
            <v>Phường Tân Kiểng</v>
          </cell>
          <cell r="I8473" t="str">
            <v>70113</v>
          </cell>
        </row>
        <row r="8474">
          <cell r="G8474" t="str">
            <v>Phường Tân Quy</v>
          </cell>
          <cell r="I8474" t="str">
            <v>70113</v>
          </cell>
        </row>
        <row r="8475">
          <cell r="G8475" t="str">
            <v>Phường Tân Hưng</v>
          </cell>
          <cell r="I8475" t="str">
            <v>70113</v>
          </cell>
        </row>
        <row r="8476">
          <cell r="G8476" t="str">
            <v xml:space="preserve">Phường Tân Phong </v>
          </cell>
          <cell r="I8476" t="str">
            <v>70113</v>
          </cell>
        </row>
        <row r="8477">
          <cell r="G8477" t="str">
            <v xml:space="preserve">Phường 1   </v>
          </cell>
          <cell r="I8477" t="str">
            <v>70115</v>
          </cell>
        </row>
        <row r="8478">
          <cell r="G8478" t="str">
            <v xml:space="preserve">Phường 2   </v>
          </cell>
          <cell r="I8478" t="str">
            <v>70115</v>
          </cell>
        </row>
        <row r="8479">
          <cell r="G8479" t="str">
            <v xml:space="preserve">Phường 3   </v>
          </cell>
          <cell r="I8479" t="str">
            <v>70115</v>
          </cell>
        </row>
        <row r="8480">
          <cell r="G8480" t="str">
            <v xml:space="preserve">Phường 4  </v>
          </cell>
          <cell r="I8480" t="str">
            <v>70115</v>
          </cell>
        </row>
        <row r="8481">
          <cell r="G8481" t="str">
            <v xml:space="preserve">Phường 5  </v>
          </cell>
          <cell r="I8481" t="str">
            <v>70115</v>
          </cell>
        </row>
        <row r="8482">
          <cell r="G8482" t="str">
            <v xml:space="preserve">Phường 6 </v>
          </cell>
          <cell r="I8482" t="str">
            <v>70115</v>
          </cell>
        </row>
        <row r="8483">
          <cell r="G8483" t="str">
            <v xml:space="preserve">Phường 7 </v>
          </cell>
          <cell r="I8483" t="str">
            <v>70115</v>
          </cell>
        </row>
        <row r="8484">
          <cell r="G8484" t="str">
            <v xml:space="preserve">Phường 8 </v>
          </cell>
          <cell r="I8484" t="str">
            <v>70115</v>
          </cell>
        </row>
        <row r="8485">
          <cell r="G8485" t="str">
            <v xml:space="preserve">Phường 9 </v>
          </cell>
          <cell r="I8485" t="str">
            <v>70115</v>
          </cell>
        </row>
        <row r="8486">
          <cell r="G8486" t="str">
            <v xml:space="preserve">Phường 10    </v>
          </cell>
          <cell r="I8486" t="str">
            <v>70115</v>
          </cell>
        </row>
        <row r="8487">
          <cell r="G8487" t="str">
            <v xml:space="preserve">Phường 11   </v>
          </cell>
          <cell r="I8487" t="str">
            <v>70115</v>
          </cell>
        </row>
        <row r="8488">
          <cell r="G8488" t="str">
            <v xml:space="preserve">Phường 12    </v>
          </cell>
          <cell r="I8488" t="str">
            <v>70115</v>
          </cell>
        </row>
        <row r="8489">
          <cell r="G8489" t="str">
            <v xml:space="preserve">Phường 13    </v>
          </cell>
          <cell r="I8489" t="str">
            <v>70115</v>
          </cell>
        </row>
        <row r="8490">
          <cell r="G8490" t="str">
            <v xml:space="preserve">Phường 14    </v>
          </cell>
          <cell r="I8490" t="str">
            <v>70115</v>
          </cell>
        </row>
        <row r="8491">
          <cell r="G8491" t="str">
            <v xml:space="preserve">Phường 15  </v>
          </cell>
          <cell r="I8491" t="str">
            <v>70115</v>
          </cell>
        </row>
        <row r="8492">
          <cell r="G8492" t="str">
            <v xml:space="preserve">Phường 16 </v>
          </cell>
          <cell r="I8492" t="str">
            <v>70115</v>
          </cell>
        </row>
        <row r="8493">
          <cell r="G8493" t="str">
            <v>Phường Phước Long A</v>
          </cell>
          <cell r="I8493" t="str">
            <v>70117</v>
          </cell>
        </row>
        <row r="8494">
          <cell r="G8494" t="str">
            <v>Phường Phước Long B</v>
          </cell>
          <cell r="I8494" t="str">
            <v>70117</v>
          </cell>
        </row>
        <row r="8495">
          <cell r="G8495" t="str">
            <v>Phường Tăng Nhơn Phú A</v>
          </cell>
          <cell r="I8495" t="str">
            <v>70117</v>
          </cell>
        </row>
        <row r="8496">
          <cell r="G8496" t="str">
            <v>Phường Tăng Nhơn Phú B</v>
          </cell>
          <cell r="I8496" t="str">
            <v>70117</v>
          </cell>
        </row>
        <row r="8497">
          <cell r="G8497" t="str">
            <v>Phường Long Trường</v>
          </cell>
          <cell r="I8497" t="str">
            <v>70117</v>
          </cell>
        </row>
        <row r="8498">
          <cell r="G8498" t="str">
            <v>Phường Trường Thạnh</v>
          </cell>
          <cell r="I8498" t="str">
            <v>70117</v>
          </cell>
        </row>
        <row r="8499">
          <cell r="G8499" t="str">
            <v>Phường Phước Bình</v>
          </cell>
          <cell r="I8499" t="str">
            <v>70117</v>
          </cell>
        </row>
        <row r="8500">
          <cell r="G8500" t="str">
            <v xml:space="preserve">Phường Tân Phú </v>
          </cell>
          <cell r="I8500" t="str">
            <v>70117</v>
          </cell>
        </row>
        <row r="8501">
          <cell r="G8501" t="str">
            <v>Phường Hiệp Phú</v>
          </cell>
          <cell r="I8501" t="str">
            <v>70117</v>
          </cell>
        </row>
        <row r="8502">
          <cell r="G8502" t="str">
            <v>Phường Long Thạnh Mỹ</v>
          </cell>
          <cell r="I8502" t="str">
            <v>70117</v>
          </cell>
        </row>
        <row r="8503">
          <cell r="G8503" t="str">
            <v>Phường Long Bình</v>
          </cell>
          <cell r="I8503" t="str">
            <v>70117</v>
          </cell>
        </row>
        <row r="8504">
          <cell r="G8504" t="str">
            <v>Phường Long Phước</v>
          </cell>
          <cell r="I8504" t="str">
            <v>70117</v>
          </cell>
        </row>
        <row r="8505">
          <cell r="G8505" t="str">
            <v>Phường Phú Hữu</v>
          </cell>
          <cell r="I8505" t="str">
            <v>70117</v>
          </cell>
        </row>
        <row r="8506">
          <cell r="G8506" t="str">
            <v xml:space="preserve">Phường 01    </v>
          </cell>
          <cell r="I8506" t="str">
            <v>70119</v>
          </cell>
        </row>
        <row r="8507">
          <cell r="G8507" t="str">
            <v xml:space="preserve">Phường 02    </v>
          </cell>
          <cell r="I8507" t="str">
            <v>70119</v>
          </cell>
        </row>
        <row r="8508">
          <cell r="G8508" t="str">
            <v xml:space="preserve">Phường 03    </v>
          </cell>
          <cell r="I8508" t="str">
            <v>70119</v>
          </cell>
        </row>
        <row r="8509">
          <cell r="G8509" t="str">
            <v xml:space="preserve">Phường 04    </v>
          </cell>
          <cell r="I8509" t="str">
            <v>70119</v>
          </cell>
        </row>
        <row r="8510">
          <cell r="G8510" t="str">
            <v xml:space="preserve">Phường 05   </v>
          </cell>
          <cell r="I8510" t="str">
            <v>70119</v>
          </cell>
        </row>
        <row r="8511">
          <cell r="G8511" t="str">
            <v xml:space="preserve">Phường 06    </v>
          </cell>
          <cell r="I8511" t="str">
            <v>70119</v>
          </cell>
        </row>
        <row r="8512">
          <cell r="G8512" t="str">
            <v xml:space="preserve">Phường 07   </v>
          </cell>
          <cell r="I8512" t="str">
            <v>70119</v>
          </cell>
        </row>
        <row r="8513">
          <cell r="G8513" t="str">
            <v xml:space="preserve">Phường 08    </v>
          </cell>
          <cell r="I8513" t="str">
            <v>70119</v>
          </cell>
        </row>
        <row r="8514">
          <cell r="G8514" t="str">
            <v xml:space="preserve">Phường 09    </v>
          </cell>
          <cell r="I8514" t="str">
            <v>70119</v>
          </cell>
        </row>
        <row r="8515">
          <cell r="G8515" t="str">
            <v xml:space="preserve">Phường 10     </v>
          </cell>
          <cell r="I8515" t="str">
            <v>70119</v>
          </cell>
        </row>
        <row r="8516">
          <cell r="G8516" t="str">
            <v xml:space="preserve">Phường 11    </v>
          </cell>
          <cell r="I8516" t="str">
            <v>70119</v>
          </cell>
        </row>
        <row r="8517">
          <cell r="G8517" t="str">
            <v xml:space="preserve">Phường 12     </v>
          </cell>
          <cell r="I8517" t="str">
            <v>70119</v>
          </cell>
        </row>
        <row r="8518">
          <cell r="G8518" t="str">
            <v xml:space="preserve">Phường 13     </v>
          </cell>
          <cell r="I8518" t="str">
            <v>70119</v>
          </cell>
        </row>
        <row r="8519">
          <cell r="G8519" t="str">
            <v xml:space="preserve">Phường 14     </v>
          </cell>
          <cell r="I8519" t="str">
            <v>70119</v>
          </cell>
        </row>
        <row r="8520">
          <cell r="G8520" t="str">
            <v xml:space="preserve">Phường 15   </v>
          </cell>
          <cell r="I8520" t="str">
            <v>70119</v>
          </cell>
        </row>
        <row r="8521">
          <cell r="G8521" t="str">
            <v xml:space="preserve">Phường 1    </v>
          </cell>
          <cell r="I8521" t="str">
            <v>70121</v>
          </cell>
        </row>
        <row r="8522">
          <cell r="G8522" t="str">
            <v xml:space="preserve">Phường 2    </v>
          </cell>
          <cell r="I8522" t="str">
            <v>70121</v>
          </cell>
        </row>
        <row r="8523">
          <cell r="G8523" t="str">
            <v xml:space="preserve">Phường 3    </v>
          </cell>
          <cell r="I8523" t="str">
            <v>70121</v>
          </cell>
        </row>
        <row r="8524">
          <cell r="G8524" t="str">
            <v xml:space="preserve">Phường 4   </v>
          </cell>
          <cell r="I8524" t="str">
            <v>70121</v>
          </cell>
        </row>
        <row r="8525">
          <cell r="G8525" t="str">
            <v xml:space="preserve">Phường 5   </v>
          </cell>
          <cell r="I8525" t="str">
            <v>70121</v>
          </cell>
        </row>
        <row r="8526">
          <cell r="G8526" t="str">
            <v xml:space="preserve">Phường 6  </v>
          </cell>
          <cell r="I8526" t="str">
            <v>70121</v>
          </cell>
        </row>
        <row r="8527">
          <cell r="G8527" t="str">
            <v xml:space="preserve">Phường 7  </v>
          </cell>
          <cell r="I8527" t="str">
            <v>70121</v>
          </cell>
        </row>
        <row r="8528">
          <cell r="G8528" t="str">
            <v xml:space="preserve">Phường 8  </v>
          </cell>
          <cell r="I8528" t="str">
            <v>70121</v>
          </cell>
        </row>
        <row r="8529">
          <cell r="G8529" t="str">
            <v xml:space="preserve">Phường 9  </v>
          </cell>
          <cell r="I8529" t="str">
            <v>70121</v>
          </cell>
        </row>
        <row r="8530">
          <cell r="G8530" t="str">
            <v xml:space="preserve">Phường 10      </v>
          </cell>
          <cell r="I8530" t="str">
            <v>70121</v>
          </cell>
        </row>
        <row r="8531">
          <cell r="G8531" t="str">
            <v xml:space="preserve">Phường 11     </v>
          </cell>
          <cell r="I8531" t="str">
            <v>70121</v>
          </cell>
        </row>
        <row r="8532">
          <cell r="G8532" t="str">
            <v xml:space="preserve">Phường 12      </v>
          </cell>
          <cell r="I8532" t="str">
            <v>70121</v>
          </cell>
        </row>
        <row r="8533">
          <cell r="G8533" t="str">
            <v xml:space="preserve">Phường 13      </v>
          </cell>
          <cell r="I8533" t="str">
            <v>70121</v>
          </cell>
        </row>
        <row r="8534">
          <cell r="G8534" t="str">
            <v xml:space="preserve">Phường 14      </v>
          </cell>
          <cell r="I8534" t="str">
            <v>70121</v>
          </cell>
        </row>
        <row r="8535">
          <cell r="G8535" t="str">
            <v xml:space="preserve">Phường 15    </v>
          </cell>
          <cell r="I8535" t="str">
            <v>70121</v>
          </cell>
        </row>
        <row r="8536">
          <cell r="G8536" t="str">
            <v xml:space="preserve">Phường 16  </v>
          </cell>
          <cell r="I8536" t="str">
            <v>70121</v>
          </cell>
        </row>
        <row r="8537">
          <cell r="G8537" t="str">
            <v>phường Tân Thới Nhất</v>
          </cell>
          <cell r="I8537" t="str">
            <v>70123</v>
          </cell>
        </row>
        <row r="8538">
          <cell r="G8538" t="str">
            <v>phường Đông Hưng Thuận</v>
          </cell>
          <cell r="I8538" t="str">
            <v>70123</v>
          </cell>
        </row>
        <row r="8539">
          <cell r="G8539" t="str">
            <v>phường An Phú Đông</v>
          </cell>
          <cell r="I8539" t="str">
            <v>70123</v>
          </cell>
        </row>
        <row r="8540">
          <cell r="G8540" t="str">
            <v>phường Trung Mỹ Tây</v>
          </cell>
          <cell r="I8540" t="str">
            <v>70123</v>
          </cell>
        </row>
        <row r="8541">
          <cell r="G8541" t="str">
            <v>phường Tân Chánh Hiệp</v>
          </cell>
          <cell r="I8541" t="str">
            <v>70123</v>
          </cell>
        </row>
        <row r="8542">
          <cell r="G8542" t="str">
            <v>phường Thạnh Lộc</v>
          </cell>
          <cell r="I8542" t="str">
            <v>70123</v>
          </cell>
        </row>
        <row r="8543">
          <cell r="G8543" t="str">
            <v>phường Thạnh Xuân</v>
          </cell>
          <cell r="I8543" t="str">
            <v>70123</v>
          </cell>
        </row>
        <row r="8544">
          <cell r="G8544" t="str">
            <v>phường Hiệp Thành</v>
          </cell>
          <cell r="I8544" t="str">
            <v>70123</v>
          </cell>
        </row>
        <row r="8545">
          <cell r="G8545" t="str">
            <v>phường Thới An</v>
          </cell>
          <cell r="I8545" t="str">
            <v>70123</v>
          </cell>
        </row>
        <row r="8546">
          <cell r="G8546" t="str">
            <v>phường Tân Thới Hiệp</v>
          </cell>
          <cell r="I8546" t="str">
            <v>70123</v>
          </cell>
        </row>
        <row r="8547">
          <cell r="G8547" t="str">
            <v>Phường Tân Hưng Thuận</v>
          </cell>
          <cell r="I8547" t="str">
            <v>70123</v>
          </cell>
        </row>
        <row r="8548">
          <cell r="G8548" t="str">
            <v xml:space="preserve">Phường 1     </v>
          </cell>
          <cell r="I8548" t="str">
            <v>70125</v>
          </cell>
        </row>
        <row r="8549">
          <cell r="G8549" t="str">
            <v xml:space="preserve">Phường 3     </v>
          </cell>
          <cell r="I8549" t="str">
            <v>70125</v>
          </cell>
        </row>
        <row r="8550">
          <cell r="G8550" t="str">
            <v xml:space="preserve">Phường 4    </v>
          </cell>
          <cell r="I8550" t="str">
            <v>70125</v>
          </cell>
        </row>
        <row r="8551">
          <cell r="G8551" t="str">
            <v xml:space="preserve">Phường 5    </v>
          </cell>
          <cell r="I8551" t="str">
            <v>70125</v>
          </cell>
        </row>
        <row r="8552">
          <cell r="G8552" t="str">
            <v xml:space="preserve">Phường 7   </v>
          </cell>
          <cell r="I8552" t="str">
            <v>70125</v>
          </cell>
        </row>
        <row r="8553">
          <cell r="G8553" t="str">
            <v xml:space="preserve">Phường 10       </v>
          </cell>
          <cell r="I8553" t="str">
            <v>70125</v>
          </cell>
        </row>
        <row r="8554">
          <cell r="G8554" t="str">
            <v xml:space="preserve">Phường 11      </v>
          </cell>
          <cell r="I8554" t="str">
            <v>70125</v>
          </cell>
        </row>
        <row r="8555">
          <cell r="G8555" t="str">
            <v xml:space="preserve">Phường 12       </v>
          </cell>
          <cell r="I8555" t="str">
            <v>70125</v>
          </cell>
        </row>
        <row r="8556">
          <cell r="G8556" t="str">
            <v xml:space="preserve">Phường 13       </v>
          </cell>
          <cell r="I8556" t="str">
            <v>70125</v>
          </cell>
        </row>
        <row r="8557">
          <cell r="G8557" t="str">
            <v xml:space="preserve">Phường 15     </v>
          </cell>
          <cell r="I8557" t="str">
            <v>70125</v>
          </cell>
        </row>
        <row r="8558">
          <cell r="G8558" t="str">
            <v xml:space="preserve">Phường 16   </v>
          </cell>
          <cell r="I8558" t="str">
            <v>70125</v>
          </cell>
        </row>
        <row r="8559">
          <cell r="G8559" t="str">
            <v>Phường 17</v>
          </cell>
          <cell r="I8559" t="str">
            <v>70125</v>
          </cell>
        </row>
        <row r="8560">
          <cell r="G8560" t="str">
            <v xml:space="preserve">Phường 14       </v>
          </cell>
          <cell r="I8560" t="str">
            <v>70125</v>
          </cell>
        </row>
        <row r="8561">
          <cell r="G8561" t="str">
            <v xml:space="preserve">Phường 8   </v>
          </cell>
          <cell r="I8561" t="str">
            <v>70125</v>
          </cell>
        </row>
        <row r="8562">
          <cell r="G8562" t="str">
            <v xml:space="preserve">Phường 9   </v>
          </cell>
          <cell r="I8562" t="str">
            <v>70125</v>
          </cell>
        </row>
        <row r="8563">
          <cell r="G8563" t="str">
            <v xml:space="preserve">Phường 6   </v>
          </cell>
          <cell r="I8563" t="str">
            <v>70125</v>
          </cell>
        </row>
        <row r="8564">
          <cell r="G8564" t="str">
            <v xml:space="preserve">Phường 1      </v>
          </cell>
          <cell r="I8564" t="str">
            <v>70127</v>
          </cell>
        </row>
        <row r="8565">
          <cell r="G8565" t="str">
            <v xml:space="preserve">Phường 2     </v>
          </cell>
          <cell r="I8565" t="str">
            <v>70127</v>
          </cell>
        </row>
        <row r="8566">
          <cell r="G8566" t="str">
            <v xml:space="preserve">Phường 3      </v>
          </cell>
          <cell r="I8566" t="str">
            <v>70127</v>
          </cell>
        </row>
        <row r="8567">
          <cell r="G8567" t="str">
            <v xml:space="preserve">Phường 4     </v>
          </cell>
          <cell r="I8567" t="str">
            <v>70127</v>
          </cell>
        </row>
        <row r="8568">
          <cell r="G8568" t="str">
            <v xml:space="preserve">Phường 5     </v>
          </cell>
          <cell r="I8568" t="str">
            <v>70127</v>
          </cell>
        </row>
        <row r="8569">
          <cell r="G8569" t="str">
            <v xml:space="preserve">Phường 6    </v>
          </cell>
          <cell r="I8569" t="str">
            <v>70127</v>
          </cell>
        </row>
        <row r="8570">
          <cell r="G8570" t="str">
            <v xml:space="preserve">Phường 7    </v>
          </cell>
          <cell r="I8570" t="str">
            <v>70127</v>
          </cell>
        </row>
        <row r="8571">
          <cell r="G8571" t="str">
            <v xml:space="preserve">Phường 8    </v>
          </cell>
          <cell r="I8571" t="str">
            <v>70127</v>
          </cell>
        </row>
        <row r="8572">
          <cell r="G8572" t="str">
            <v xml:space="preserve">Phường 9    </v>
          </cell>
          <cell r="I8572" t="str">
            <v>70127</v>
          </cell>
        </row>
        <row r="8573">
          <cell r="G8573" t="str">
            <v xml:space="preserve">Phường 10        </v>
          </cell>
          <cell r="I8573" t="str">
            <v>70127</v>
          </cell>
        </row>
        <row r="8574">
          <cell r="G8574" t="str">
            <v xml:space="preserve">Phường 11       </v>
          </cell>
          <cell r="I8574" t="str">
            <v>70127</v>
          </cell>
        </row>
        <row r="8575">
          <cell r="G8575" t="str">
            <v xml:space="preserve">Phường 12        </v>
          </cell>
          <cell r="I8575" t="str">
            <v>70127</v>
          </cell>
        </row>
        <row r="8576">
          <cell r="G8576" t="str">
            <v xml:space="preserve">Phường 13        </v>
          </cell>
          <cell r="I8576" t="str">
            <v>70127</v>
          </cell>
        </row>
        <row r="8577">
          <cell r="G8577" t="str">
            <v xml:space="preserve">Phường 14        </v>
          </cell>
          <cell r="I8577" t="str">
            <v>70127</v>
          </cell>
        </row>
        <row r="8578">
          <cell r="G8578" t="str">
            <v xml:space="preserve">Phường 15      </v>
          </cell>
          <cell r="I8578" t="str">
            <v>70127</v>
          </cell>
        </row>
        <row r="8579">
          <cell r="G8579" t="str">
            <v>Phường Tân Sơn Nhì</v>
          </cell>
          <cell r="I8579" t="str">
            <v>70128</v>
          </cell>
        </row>
        <row r="8580">
          <cell r="G8580" t="str">
            <v>Phường Tây Thạnh</v>
          </cell>
          <cell r="I8580" t="str">
            <v>70128</v>
          </cell>
        </row>
        <row r="8581">
          <cell r="G8581" t="str">
            <v>Phường Sơn Kỳ</v>
          </cell>
          <cell r="I8581" t="str">
            <v>70128</v>
          </cell>
        </row>
        <row r="8582">
          <cell r="G8582" t="str">
            <v>Phường Tân Quý</v>
          </cell>
          <cell r="I8582" t="str">
            <v>70128</v>
          </cell>
        </row>
        <row r="8583">
          <cell r="G8583" t="str">
            <v xml:space="preserve">Phường Tân Thành    </v>
          </cell>
          <cell r="I8583" t="str">
            <v>70128</v>
          </cell>
        </row>
        <row r="8584">
          <cell r="G8584" t="str">
            <v>Phường Phú Thọ Hoà</v>
          </cell>
          <cell r="I8584" t="str">
            <v>70128</v>
          </cell>
        </row>
        <row r="8585">
          <cell r="G8585" t="str">
            <v xml:space="preserve">Phường Phú Thạnh </v>
          </cell>
          <cell r="I8585" t="str">
            <v>70128</v>
          </cell>
        </row>
        <row r="8586">
          <cell r="G8586" t="str">
            <v>Phường Phú Trung</v>
          </cell>
          <cell r="I8586" t="str">
            <v>70128</v>
          </cell>
        </row>
        <row r="8587">
          <cell r="G8587" t="str">
            <v>Phường Hoà Thạnh</v>
          </cell>
          <cell r="I8587" t="str">
            <v>70128</v>
          </cell>
        </row>
        <row r="8588">
          <cell r="G8588" t="str">
            <v>Phường Hiệp Tân</v>
          </cell>
          <cell r="I8588" t="str">
            <v>70128</v>
          </cell>
        </row>
        <row r="8589">
          <cell r="G8589" t="str">
            <v>Phường Tân Thới Hoà</v>
          </cell>
          <cell r="I8589" t="str">
            <v>70128</v>
          </cell>
        </row>
        <row r="8590">
          <cell r="G8590" t="str">
            <v xml:space="preserve">Phường 1       </v>
          </cell>
          <cell r="I8590" t="str">
            <v>70129</v>
          </cell>
        </row>
        <row r="8591">
          <cell r="G8591" t="str">
            <v xml:space="preserve">Phường 2      </v>
          </cell>
          <cell r="I8591" t="str">
            <v>70129</v>
          </cell>
        </row>
        <row r="8592">
          <cell r="G8592" t="str">
            <v xml:space="preserve">Phường 3       </v>
          </cell>
          <cell r="I8592" t="str">
            <v>70129</v>
          </cell>
        </row>
        <row r="8593">
          <cell r="G8593" t="str">
            <v xml:space="preserve">Phường 5      </v>
          </cell>
          <cell r="I8593" t="str">
            <v>70129</v>
          </cell>
        </row>
        <row r="8594">
          <cell r="G8594" t="str">
            <v xml:space="preserve">Phường 6     </v>
          </cell>
          <cell r="I8594" t="str">
            <v>70129</v>
          </cell>
        </row>
        <row r="8595">
          <cell r="G8595" t="str">
            <v xml:space="preserve">Phường 7     </v>
          </cell>
          <cell r="I8595" t="str">
            <v>70129</v>
          </cell>
        </row>
        <row r="8596">
          <cell r="G8596" t="str">
            <v xml:space="preserve">Phường 11        </v>
          </cell>
          <cell r="I8596" t="str">
            <v>70129</v>
          </cell>
        </row>
        <row r="8597">
          <cell r="G8597" t="str">
            <v xml:space="preserve">Phường 12         </v>
          </cell>
          <cell r="I8597" t="str">
            <v>70129</v>
          </cell>
        </row>
        <row r="8598">
          <cell r="G8598" t="str">
            <v xml:space="preserve">Phường 13         </v>
          </cell>
          <cell r="I8598" t="str">
            <v>70129</v>
          </cell>
        </row>
        <row r="8599">
          <cell r="G8599" t="str">
            <v xml:space="preserve">Phường 14         </v>
          </cell>
          <cell r="I8599" t="str">
            <v>70129</v>
          </cell>
        </row>
        <row r="8600">
          <cell r="G8600" t="str">
            <v xml:space="preserve">Phường 15       </v>
          </cell>
          <cell r="I8600" t="str">
            <v>70129</v>
          </cell>
        </row>
        <row r="8601">
          <cell r="G8601" t="str">
            <v xml:space="preserve">Phường 17 </v>
          </cell>
          <cell r="I8601" t="str">
            <v>70129</v>
          </cell>
        </row>
        <row r="8602">
          <cell r="G8602" t="str">
            <v>Phường 19</v>
          </cell>
          <cell r="I8602" t="str">
            <v>70129</v>
          </cell>
        </row>
        <row r="8603">
          <cell r="G8603" t="str">
            <v>Phường 21</v>
          </cell>
          <cell r="I8603" t="str">
            <v>70129</v>
          </cell>
        </row>
        <row r="8604">
          <cell r="G8604" t="str">
            <v>Phường 22</v>
          </cell>
          <cell r="I8604" t="str">
            <v>70129</v>
          </cell>
        </row>
        <row r="8605">
          <cell r="G8605" t="str">
            <v>Phường 24</v>
          </cell>
          <cell r="I8605" t="str">
            <v>70129</v>
          </cell>
        </row>
        <row r="8606">
          <cell r="G8606" t="str">
            <v>Phường 25</v>
          </cell>
          <cell r="I8606" t="str">
            <v>70129</v>
          </cell>
        </row>
        <row r="8607">
          <cell r="G8607" t="str">
            <v>Phường 26</v>
          </cell>
          <cell r="I8607" t="str">
            <v>70129</v>
          </cell>
        </row>
        <row r="8608">
          <cell r="G8608" t="str">
            <v>Phường 27</v>
          </cell>
          <cell r="I8608" t="str">
            <v>70129</v>
          </cell>
        </row>
        <row r="8609">
          <cell r="G8609" t="str">
            <v>Phường 28</v>
          </cell>
          <cell r="I8609" t="str">
            <v>70129</v>
          </cell>
        </row>
        <row r="8610">
          <cell r="G8610" t="str">
            <v xml:space="preserve">Phường 09     </v>
          </cell>
          <cell r="I8610" t="str">
            <v>70131</v>
          </cell>
        </row>
        <row r="8611">
          <cell r="G8611" t="str">
            <v xml:space="preserve">Phường 03     </v>
          </cell>
          <cell r="I8611" t="str">
            <v>70131</v>
          </cell>
        </row>
        <row r="8612">
          <cell r="G8612" t="str">
            <v xml:space="preserve">Phường 15        </v>
          </cell>
          <cell r="I8612" t="str">
            <v>70131</v>
          </cell>
        </row>
        <row r="8613">
          <cell r="G8613" t="str">
            <v xml:space="preserve">Phường 17  </v>
          </cell>
          <cell r="I8613" t="str">
            <v>70131</v>
          </cell>
        </row>
        <row r="8614">
          <cell r="G8614" t="str">
            <v xml:space="preserve">Phường 13          </v>
          </cell>
          <cell r="I8614" t="str">
            <v>70131</v>
          </cell>
        </row>
        <row r="8615">
          <cell r="G8615" t="str">
            <v xml:space="preserve">Phường 12          </v>
          </cell>
          <cell r="I8615" t="str">
            <v>70131</v>
          </cell>
        </row>
        <row r="8616">
          <cell r="G8616" t="str">
            <v xml:space="preserve">Phường 04     </v>
          </cell>
          <cell r="I8616" t="str">
            <v>70131</v>
          </cell>
        </row>
        <row r="8617">
          <cell r="G8617" t="str">
            <v xml:space="preserve">Phường 05    </v>
          </cell>
          <cell r="I8617" t="str">
            <v>70131</v>
          </cell>
        </row>
        <row r="8618">
          <cell r="G8618" t="str">
            <v xml:space="preserve">Phường 07    </v>
          </cell>
          <cell r="I8618" t="str">
            <v>70131</v>
          </cell>
        </row>
        <row r="8619">
          <cell r="G8619" t="str">
            <v xml:space="preserve">Phường 01     </v>
          </cell>
          <cell r="I8619" t="str">
            <v>70131</v>
          </cell>
        </row>
        <row r="8620">
          <cell r="G8620" t="str">
            <v xml:space="preserve">Phường 02     </v>
          </cell>
          <cell r="I8620" t="str">
            <v>70131</v>
          </cell>
        </row>
        <row r="8621">
          <cell r="G8621" t="str">
            <v xml:space="preserve">Phường 08     </v>
          </cell>
          <cell r="I8621" t="str">
            <v>70131</v>
          </cell>
        </row>
        <row r="8622">
          <cell r="G8622" t="str">
            <v xml:space="preserve">Phường 10         </v>
          </cell>
          <cell r="I8622" t="str">
            <v>70131</v>
          </cell>
        </row>
        <row r="8623">
          <cell r="G8623" t="str">
            <v xml:space="preserve">Phường 11         </v>
          </cell>
          <cell r="I8623" t="str">
            <v>70131</v>
          </cell>
        </row>
        <row r="8624">
          <cell r="G8624" t="str">
            <v xml:space="preserve">Phường 14          </v>
          </cell>
          <cell r="I8624" t="str">
            <v>70131</v>
          </cell>
        </row>
        <row r="8625">
          <cell r="G8625" t="str">
            <v>Phường Linh Đông</v>
          </cell>
          <cell r="I8625" t="str">
            <v>70133</v>
          </cell>
        </row>
        <row r="8626">
          <cell r="G8626" t="str">
            <v>Phường Hiệp Bình Chánh</v>
          </cell>
          <cell r="I8626" t="str">
            <v>70133</v>
          </cell>
        </row>
        <row r="8627">
          <cell r="G8627" t="str">
            <v>Phường Hiệp Bình Phước</v>
          </cell>
          <cell r="I8627" t="str">
            <v>70133</v>
          </cell>
        </row>
        <row r="8628">
          <cell r="G8628" t="str">
            <v>Phường Tam Phú</v>
          </cell>
          <cell r="I8628" t="str">
            <v>70133</v>
          </cell>
        </row>
        <row r="8629">
          <cell r="G8629" t="str">
            <v>Phường Linh Xuân</v>
          </cell>
          <cell r="I8629" t="str">
            <v>70133</v>
          </cell>
        </row>
        <row r="8630">
          <cell r="G8630" t="str">
            <v>Phường Linh Chiểu</v>
          </cell>
          <cell r="I8630" t="str">
            <v>70133</v>
          </cell>
        </row>
        <row r="8631">
          <cell r="G8631" t="str">
            <v>Phường Trường Thọ</v>
          </cell>
          <cell r="I8631" t="str">
            <v>70133</v>
          </cell>
        </row>
        <row r="8632">
          <cell r="G8632" t="str">
            <v>Phường Bình Chiểu</v>
          </cell>
          <cell r="I8632" t="str">
            <v>70133</v>
          </cell>
        </row>
        <row r="8633">
          <cell r="G8633" t="str">
            <v>Phường Linh Tây</v>
          </cell>
          <cell r="I8633" t="str">
            <v>70133</v>
          </cell>
        </row>
        <row r="8634">
          <cell r="G8634" t="str">
            <v>Phường Bình Thọ</v>
          </cell>
          <cell r="I8634" t="str">
            <v>70133</v>
          </cell>
        </row>
        <row r="8635">
          <cell r="G8635" t="str">
            <v>Phường Tam Bình</v>
          </cell>
          <cell r="I8635" t="str">
            <v>70133</v>
          </cell>
        </row>
        <row r="8636">
          <cell r="G8636" t="str">
            <v>Phường Linh Trung</v>
          </cell>
          <cell r="I8636" t="str">
            <v>70133</v>
          </cell>
        </row>
        <row r="8637">
          <cell r="G8637" t="str">
            <v>Phường Bình Hưng Hòa</v>
          </cell>
          <cell r="I8637" t="str">
            <v>70134</v>
          </cell>
        </row>
        <row r="8638">
          <cell r="G8638" t="str">
            <v>Phường Bình Hưng Hòa A</v>
          </cell>
          <cell r="I8638" t="str">
            <v>70134</v>
          </cell>
        </row>
        <row r="8639">
          <cell r="G8639" t="str">
            <v>Phường Bình Hưng Hòa B</v>
          </cell>
          <cell r="I8639" t="str">
            <v>70134</v>
          </cell>
        </row>
        <row r="8640">
          <cell r="G8640" t="str">
            <v>Phường Bình Trị Đông</v>
          </cell>
          <cell r="I8640" t="str">
            <v>70134</v>
          </cell>
        </row>
        <row r="8641">
          <cell r="G8641" t="str">
            <v>Phường Bình Trị Đông A</v>
          </cell>
          <cell r="I8641" t="str">
            <v>70134</v>
          </cell>
        </row>
        <row r="8642">
          <cell r="G8642" t="str">
            <v>Phường Bình Trị Đông B</v>
          </cell>
          <cell r="I8642" t="str">
            <v>70134</v>
          </cell>
        </row>
        <row r="8643">
          <cell r="G8643" t="str">
            <v>Phường Tân Tạo</v>
          </cell>
          <cell r="I8643" t="str">
            <v>70134</v>
          </cell>
        </row>
        <row r="8644">
          <cell r="G8644" t="str">
            <v>Phường Tân Tạo A</v>
          </cell>
          <cell r="I8644" t="str">
            <v>70134</v>
          </cell>
        </row>
        <row r="8645">
          <cell r="G8645" t="str">
            <v xml:space="preserve">Phường An Lạc </v>
          </cell>
          <cell r="I8645" t="str">
            <v>70134</v>
          </cell>
        </row>
        <row r="8646">
          <cell r="G8646" t="str">
            <v>Phường An Lạc A</v>
          </cell>
          <cell r="I8646" t="str">
            <v>70134</v>
          </cell>
        </row>
        <row r="8647">
          <cell r="G8647" t="str">
            <v>Thị Trấn Củ Chi</v>
          </cell>
          <cell r="I8647" t="str">
            <v>70135</v>
          </cell>
        </row>
        <row r="8648">
          <cell r="G8648" t="str">
            <v>Xã Phú Hòa Đông</v>
          </cell>
          <cell r="I8648" t="str">
            <v>70135</v>
          </cell>
        </row>
        <row r="8649">
          <cell r="G8649" t="str">
            <v>Xã Tân Thạnh Đông</v>
          </cell>
          <cell r="I8649" t="str">
            <v>70135</v>
          </cell>
        </row>
        <row r="8650">
          <cell r="G8650" t="str">
            <v>Xã Tân Thạnh Tây</v>
          </cell>
          <cell r="I8650" t="str">
            <v>70135</v>
          </cell>
        </row>
        <row r="8651">
          <cell r="G8651" t="str">
            <v xml:space="preserve">Xã Trung An </v>
          </cell>
          <cell r="I8651" t="str">
            <v>70135</v>
          </cell>
        </row>
        <row r="8652">
          <cell r="G8652" t="str">
            <v>Xã Phước Vĩnh An</v>
          </cell>
          <cell r="I8652" t="str">
            <v>70135</v>
          </cell>
        </row>
        <row r="8653">
          <cell r="G8653" t="str">
            <v xml:space="preserve">Xã Hoà Phú </v>
          </cell>
          <cell r="I8653" t="str">
            <v>70135</v>
          </cell>
        </row>
        <row r="8654">
          <cell r="G8654" t="str">
            <v>Xã Tân An Hội</v>
          </cell>
          <cell r="I8654" t="str">
            <v>70135</v>
          </cell>
        </row>
        <row r="8655">
          <cell r="G8655" t="str">
            <v>Xã Tân Thông Hội</v>
          </cell>
          <cell r="I8655" t="str">
            <v>70135</v>
          </cell>
        </row>
        <row r="8656">
          <cell r="G8656" t="str">
            <v>Xã Tân Phú Trung</v>
          </cell>
          <cell r="I8656" t="str">
            <v>70135</v>
          </cell>
        </row>
        <row r="8657">
          <cell r="G8657" t="str">
            <v>Xã Thái Mỹ</v>
          </cell>
          <cell r="I8657" t="str">
            <v>70135</v>
          </cell>
        </row>
        <row r="8658">
          <cell r="G8658" t="str">
            <v>Xã Phước Thạnh</v>
          </cell>
          <cell r="I8658" t="str">
            <v>70135</v>
          </cell>
        </row>
        <row r="8659">
          <cell r="G8659" t="str">
            <v>Xã An Nhơn Tây</v>
          </cell>
          <cell r="I8659" t="str">
            <v>70135</v>
          </cell>
        </row>
        <row r="8660">
          <cell r="G8660" t="str">
            <v>Xã Trung Lập Thượng</v>
          </cell>
          <cell r="I8660" t="str">
            <v>70135</v>
          </cell>
        </row>
        <row r="8661">
          <cell r="G8661" t="str">
            <v>Xã Phú Mỹ Hưng</v>
          </cell>
          <cell r="I8661" t="str">
            <v>70135</v>
          </cell>
        </row>
        <row r="8662">
          <cell r="G8662" t="str">
            <v xml:space="preserve">Xã An Phú    </v>
          </cell>
          <cell r="I8662" t="str">
            <v>70135</v>
          </cell>
        </row>
        <row r="8663">
          <cell r="G8663" t="str">
            <v>Xã Nhuận Đức</v>
          </cell>
          <cell r="I8663" t="str">
            <v>70135</v>
          </cell>
        </row>
        <row r="8664">
          <cell r="G8664" t="str">
            <v>Xã Phạm Văn Cội</v>
          </cell>
          <cell r="I8664" t="str">
            <v>70135</v>
          </cell>
        </row>
        <row r="8665">
          <cell r="G8665" t="str">
            <v xml:space="preserve">Xã Bình Mỹ </v>
          </cell>
          <cell r="I8665" t="str">
            <v>70135</v>
          </cell>
        </row>
        <row r="8666">
          <cell r="G8666" t="str">
            <v xml:space="preserve">Xã Phước Hiệp  </v>
          </cell>
          <cell r="I8666" t="str">
            <v>70135</v>
          </cell>
        </row>
        <row r="8667">
          <cell r="G8667" t="str">
            <v>Xã Trung Lập Hạ</v>
          </cell>
          <cell r="I8667" t="str">
            <v>70135</v>
          </cell>
        </row>
        <row r="8668">
          <cell r="G8668" t="str">
            <v>Thị Trấn Hóc Môn</v>
          </cell>
          <cell r="I8668" t="str">
            <v>70137</v>
          </cell>
        </row>
        <row r="8669">
          <cell r="G8669" t="str">
            <v>Xã Tân Thới Nhì</v>
          </cell>
          <cell r="I8669" t="str">
            <v>70137</v>
          </cell>
        </row>
        <row r="8670">
          <cell r="G8670" t="str">
            <v xml:space="preserve">Xã Tân Hiệp  </v>
          </cell>
          <cell r="I8670" t="str">
            <v>70137</v>
          </cell>
        </row>
        <row r="8671">
          <cell r="G8671" t="str">
            <v>Xã Thới Tam Thôn</v>
          </cell>
          <cell r="I8671" t="str">
            <v>70137</v>
          </cell>
        </row>
        <row r="8672">
          <cell r="G8672" t="str">
            <v>Xã Đông Thạnh</v>
          </cell>
          <cell r="I8672" t="str">
            <v>70137</v>
          </cell>
        </row>
        <row r="8673">
          <cell r="G8673" t="str">
            <v>Xã Nhị Bình</v>
          </cell>
          <cell r="I8673" t="str">
            <v>70137</v>
          </cell>
        </row>
        <row r="8674">
          <cell r="G8674" t="str">
            <v>Xã Xuân Thới Sơn</v>
          </cell>
          <cell r="I8674" t="str">
            <v>70137</v>
          </cell>
        </row>
        <row r="8675">
          <cell r="G8675" t="str">
            <v xml:space="preserve">Xã Tân Xuân  </v>
          </cell>
          <cell r="I8675" t="str">
            <v>70137</v>
          </cell>
        </row>
        <row r="8676">
          <cell r="G8676" t="str">
            <v>Xã Xuân Thới Thượng</v>
          </cell>
          <cell r="I8676" t="str">
            <v>70137</v>
          </cell>
        </row>
        <row r="8677">
          <cell r="G8677" t="str">
            <v>Xã Bà Điểm</v>
          </cell>
          <cell r="I8677" t="str">
            <v>70137</v>
          </cell>
        </row>
        <row r="8678">
          <cell r="G8678" t="str">
            <v>Xã Trung Chánh</v>
          </cell>
          <cell r="I8678" t="str">
            <v>70137</v>
          </cell>
        </row>
        <row r="8679">
          <cell r="G8679" t="str">
            <v>Xã Xuân T Đông</v>
          </cell>
          <cell r="I8679" t="str">
            <v>70137</v>
          </cell>
        </row>
        <row r="8680">
          <cell r="G8680" t="str">
            <v>Xã Bình Hưng</v>
          </cell>
          <cell r="I8680" t="str">
            <v>70139</v>
          </cell>
        </row>
        <row r="8681">
          <cell r="G8681" t="str">
            <v xml:space="preserve">Xã Phong Phú  </v>
          </cell>
          <cell r="I8681" t="str">
            <v>70139</v>
          </cell>
        </row>
        <row r="8682">
          <cell r="G8682" t="str">
            <v>Xã Đa Phước</v>
          </cell>
          <cell r="I8682" t="str">
            <v>70139</v>
          </cell>
        </row>
        <row r="8683">
          <cell r="G8683" t="str">
            <v>Xã Qui Đức</v>
          </cell>
          <cell r="I8683" t="str">
            <v>70139</v>
          </cell>
        </row>
        <row r="8684">
          <cell r="G8684" t="str">
            <v xml:space="preserve">Xã Hưng Long    </v>
          </cell>
          <cell r="I8684" t="str">
            <v>70139</v>
          </cell>
        </row>
        <row r="8685">
          <cell r="G8685" t="str">
            <v>Xã Tân Quý Tây</v>
          </cell>
          <cell r="I8685" t="str">
            <v>70139</v>
          </cell>
        </row>
        <row r="8686">
          <cell r="G8686" t="str">
            <v xml:space="preserve">Xã Bình Chánh  </v>
          </cell>
          <cell r="I8686" t="str">
            <v>70139</v>
          </cell>
        </row>
        <row r="8687">
          <cell r="G8687" t="str">
            <v>Xã Vĩnh Lộc A</v>
          </cell>
          <cell r="I8687" t="str">
            <v>70139</v>
          </cell>
        </row>
        <row r="8688">
          <cell r="G8688" t="str">
            <v>Xã Vĩnh Lộc B</v>
          </cell>
          <cell r="I8688" t="str">
            <v>70139</v>
          </cell>
        </row>
        <row r="8689">
          <cell r="G8689" t="str">
            <v>Xã Phạm Văn Hai</v>
          </cell>
          <cell r="I8689" t="str">
            <v>70139</v>
          </cell>
        </row>
        <row r="8690">
          <cell r="G8690" t="str">
            <v>Xã Lê Minh Xuân</v>
          </cell>
          <cell r="I8690" t="str">
            <v>70139</v>
          </cell>
        </row>
        <row r="8691">
          <cell r="G8691" t="str">
            <v>Xã Bình Lợi</v>
          </cell>
          <cell r="I8691" t="str">
            <v>70139</v>
          </cell>
        </row>
        <row r="8692">
          <cell r="G8692" t="str">
            <v>Xã Tân Nhựt</v>
          </cell>
          <cell r="I8692" t="str">
            <v>70139</v>
          </cell>
        </row>
        <row r="8693">
          <cell r="G8693" t="str">
            <v>Thị Trấn Tân Túc</v>
          </cell>
          <cell r="I8693" t="str">
            <v>70139</v>
          </cell>
        </row>
        <row r="8694">
          <cell r="G8694" t="str">
            <v>Xã Tân Kiên</v>
          </cell>
          <cell r="I8694" t="str">
            <v>70139</v>
          </cell>
        </row>
        <row r="8695">
          <cell r="G8695" t="str">
            <v>Xã An Phú Tây</v>
          </cell>
          <cell r="I8695" t="str">
            <v>70139</v>
          </cell>
        </row>
        <row r="8696">
          <cell r="G8696" t="str">
            <v>Thị Trấn Nhà Bè</v>
          </cell>
          <cell r="I8696" t="str">
            <v>70141</v>
          </cell>
        </row>
        <row r="8697">
          <cell r="G8697" t="str">
            <v xml:space="preserve">Xã Phú Xuân     </v>
          </cell>
          <cell r="I8697" t="str">
            <v>70141</v>
          </cell>
        </row>
        <row r="8698">
          <cell r="G8698" t="str">
            <v>Xã Phước Kiển</v>
          </cell>
          <cell r="I8698" t="str">
            <v>70141</v>
          </cell>
        </row>
        <row r="8699">
          <cell r="G8699" t="str">
            <v xml:space="preserve">Xã Phước Lộc  </v>
          </cell>
          <cell r="I8699" t="str">
            <v>70141</v>
          </cell>
        </row>
        <row r="8700">
          <cell r="G8700" t="str">
            <v>Xã Nhơn Đức</v>
          </cell>
          <cell r="I8700" t="str">
            <v>70141</v>
          </cell>
        </row>
        <row r="8701">
          <cell r="G8701" t="str">
            <v>Xã Long Thới</v>
          </cell>
          <cell r="I8701" t="str">
            <v>70141</v>
          </cell>
        </row>
        <row r="8702">
          <cell r="G8702" t="str">
            <v>Xã Hiệp Phước</v>
          </cell>
          <cell r="I8702" t="str">
            <v>70141</v>
          </cell>
        </row>
        <row r="8703">
          <cell r="G8703" t="str">
            <v>Thị Trấn Cần Thạnh</v>
          </cell>
          <cell r="I8703" t="str">
            <v>70143</v>
          </cell>
        </row>
        <row r="8704">
          <cell r="G8704" t="str">
            <v>Xã Long Hoà</v>
          </cell>
          <cell r="I8704" t="str">
            <v>70143</v>
          </cell>
        </row>
        <row r="8705">
          <cell r="G8705" t="str">
            <v>Xã Thạnh An</v>
          </cell>
          <cell r="I8705" t="str">
            <v>70143</v>
          </cell>
        </row>
        <row r="8706">
          <cell r="G8706" t="str">
            <v>Xã Tam Thôn Hiệp</v>
          </cell>
          <cell r="I8706" t="str">
            <v>70143</v>
          </cell>
        </row>
        <row r="8707">
          <cell r="G8707" t="str">
            <v>Xã Bình Khánh</v>
          </cell>
          <cell r="I8707" t="str">
            <v>70143</v>
          </cell>
        </row>
        <row r="8708">
          <cell r="G8708" t="str">
            <v>Xã An Thới Đông</v>
          </cell>
          <cell r="I8708" t="str">
            <v>70143</v>
          </cell>
        </row>
        <row r="8709">
          <cell r="G8709" t="str">
            <v>Xã Lý Nhơn</v>
          </cell>
          <cell r="I8709" t="str">
            <v>70143</v>
          </cell>
        </row>
        <row r="8710">
          <cell r="G8710" t="str">
            <v xml:space="preserve">Phường 2       </v>
          </cell>
          <cell r="I8710" t="str">
            <v>70301</v>
          </cell>
        </row>
        <row r="8711">
          <cell r="G8711" t="str">
            <v xml:space="preserve">Phường 6      </v>
          </cell>
          <cell r="I8711" t="str">
            <v>70301</v>
          </cell>
        </row>
        <row r="8712">
          <cell r="G8712" t="str">
            <v xml:space="preserve">Phường 11          </v>
          </cell>
          <cell r="I8712" t="str">
            <v>70301</v>
          </cell>
        </row>
        <row r="8713">
          <cell r="G8713" t="str">
            <v>Xã Tà Nung</v>
          </cell>
          <cell r="I8713" t="str">
            <v>70301</v>
          </cell>
        </row>
        <row r="8714">
          <cell r="G8714" t="str">
            <v xml:space="preserve">Phường 9     </v>
          </cell>
          <cell r="I8714" t="str">
            <v>70301</v>
          </cell>
        </row>
        <row r="8715">
          <cell r="G8715" t="str">
            <v xml:space="preserve">Phường 7      </v>
          </cell>
          <cell r="I8715" t="str">
            <v>70301</v>
          </cell>
        </row>
        <row r="8716">
          <cell r="G8716" t="str">
            <v xml:space="preserve">Phường 8     </v>
          </cell>
          <cell r="I8716" t="str">
            <v>70301</v>
          </cell>
        </row>
        <row r="8717">
          <cell r="G8717" t="str">
            <v xml:space="preserve">Phường 12           </v>
          </cell>
          <cell r="I8717" t="str">
            <v>70301</v>
          </cell>
        </row>
        <row r="8718">
          <cell r="G8718" t="str">
            <v xml:space="preserve">Phường 1        </v>
          </cell>
          <cell r="I8718" t="str">
            <v>70301</v>
          </cell>
        </row>
        <row r="8719">
          <cell r="G8719" t="str">
            <v xml:space="preserve">Phường 5       </v>
          </cell>
          <cell r="I8719" t="str">
            <v>70301</v>
          </cell>
        </row>
        <row r="8720">
          <cell r="G8720" t="str">
            <v xml:space="preserve">Phường 4      </v>
          </cell>
          <cell r="I8720" t="str">
            <v>70301</v>
          </cell>
        </row>
        <row r="8721">
          <cell r="G8721" t="str">
            <v xml:space="preserve">Phường 10          </v>
          </cell>
          <cell r="I8721" t="str">
            <v>70301</v>
          </cell>
        </row>
        <row r="8722">
          <cell r="G8722" t="str">
            <v xml:space="preserve">Phường 3        </v>
          </cell>
          <cell r="I8722" t="str">
            <v>70301</v>
          </cell>
        </row>
        <row r="8723">
          <cell r="G8723" t="str">
            <v xml:space="preserve">Xã Xuân Thọ  </v>
          </cell>
          <cell r="I8723" t="str">
            <v>70301</v>
          </cell>
        </row>
        <row r="8724">
          <cell r="G8724" t="str">
            <v xml:space="preserve">Xã Xuân Trường   </v>
          </cell>
          <cell r="I8724" t="str">
            <v>70301</v>
          </cell>
        </row>
        <row r="8725">
          <cell r="G8725" t="str">
            <v>Xã Trạm Hành</v>
          </cell>
          <cell r="I8725" t="str">
            <v>70301</v>
          </cell>
        </row>
        <row r="8726">
          <cell r="G8726" t="str">
            <v>Phường Lộc Phát</v>
          </cell>
          <cell r="I8726" t="str">
            <v>70303</v>
          </cell>
        </row>
        <row r="8727">
          <cell r="G8727" t="str">
            <v xml:space="preserve">Phường 2        </v>
          </cell>
          <cell r="I8727" t="str">
            <v>70303</v>
          </cell>
        </row>
        <row r="8728">
          <cell r="G8728" t="str">
            <v>Xã Đạm Bri</v>
          </cell>
          <cell r="I8728" t="str">
            <v>70303</v>
          </cell>
        </row>
        <row r="8729">
          <cell r="G8729" t="str">
            <v>Xã Lộc Châu</v>
          </cell>
          <cell r="I8729" t="str">
            <v>70303</v>
          </cell>
        </row>
        <row r="8730">
          <cell r="G8730" t="str">
            <v>Phường Lộc Tiến</v>
          </cell>
          <cell r="I8730" t="str">
            <v>70303</v>
          </cell>
        </row>
        <row r="8731">
          <cell r="G8731" t="str">
            <v xml:space="preserve">Phường 1         </v>
          </cell>
          <cell r="I8731" t="str">
            <v>70303</v>
          </cell>
        </row>
        <row r="8732">
          <cell r="G8732" t="str">
            <v>Phường B-lao</v>
          </cell>
          <cell r="I8732" t="str">
            <v>70303</v>
          </cell>
        </row>
        <row r="8733">
          <cell r="G8733" t="str">
            <v>Phường Lộc Sơn</v>
          </cell>
          <cell r="I8733" t="str">
            <v>70303</v>
          </cell>
        </row>
        <row r="8734">
          <cell r="G8734" t="str">
            <v>Xã Lộc Thanh</v>
          </cell>
          <cell r="I8734" t="str">
            <v>70303</v>
          </cell>
        </row>
        <row r="8735">
          <cell r="G8735" t="str">
            <v>Xã Lộc Nga</v>
          </cell>
          <cell r="I8735" t="str">
            <v>70303</v>
          </cell>
        </row>
        <row r="8736">
          <cell r="G8736" t="str">
            <v>Xã Đại Lào</v>
          </cell>
          <cell r="I8736" t="str">
            <v>70303</v>
          </cell>
        </row>
        <row r="8737">
          <cell r="G8737" t="str">
            <v>Xã Đạ Chais</v>
          </cell>
          <cell r="I8737" t="str">
            <v>70305</v>
          </cell>
        </row>
        <row r="8738">
          <cell r="G8738" t="str">
            <v>Xã Lát</v>
          </cell>
          <cell r="I8738" t="str">
            <v>70305</v>
          </cell>
        </row>
        <row r="8739">
          <cell r="G8739" t="str">
            <v>Thị trấn Lạc Dương</v>
          </cell>
          <cell r="I8739" t="str">
            <v>70305</v>
          </cell>
        </row>
        <row r="8740">
          <cell r="G8740" t="str">
            <v>Xã Đạ Nhim</v>
          </cell>
          <cell r="I8740" t="str">
            <v>70305</v>
          </cell>
        </row>
        <row r="8741">
          <cell r="G8741" t="str">
            <v>Xã Đưng KNớ</v>
          </cell>
          <cell r="I8741" t="str">
            <v>70305</v>
          </cell>
        </row>
        <row r="8742">
          <cell r="G8742" t="str">
            <v>Xã Đạ Sar</v>
          </cell>
          <cell r="I8742" t="str">
            <v>70305</v>
          </cell>
        </row>
        <row r="8743">
          <cell r="G8743" t="str">
            <v>Xã Đạ Ròn</v>
          </cell>
          <cell r="I8743" t="str">
            <v>70307</v>
          </cell>
        </row>
        <row r="8744">
          <cell r="G8744" t="str">
            <v xml:space="preserve">Thị trấn Thạnh Mỹ </v>
          </cell>
          <cell r="I8744" t="str">
            <v>70307</v>
          </cell>
        </row>
        <row r="8745">
          <cell r="G8745" t="str">
            <v>Xã Ka Đô</v>
          </cell>
          <cell r="I8745" t="str">
            <v>70307</v>
          </cell>
        </row>
        <row r="8746">
          <cell r="G8746" t="str">
            <v>Xã Pró</v>
          </cell>
          <cell r="I8746" t="str">
            <v>70307</v>
          </cell>
        </row>
        <row r="8747">
          <cell r="G8747" t="str">
            <v>Thị trấn D-Ran</v>
          </cell>
          <cell r="I8747" t="str">
            <v>70307</v>
          </cell>
        </row>
        <row r="8748">
          <cell r="G8748" t="str">
            <v>Xã Lạc Xuân</v>
          </cell>
          <cell r="I8748" t="str">
            <v>70307</v>
          </cell>
        </row>
        <row r="8749">
          <cell r="G8749" t="str">
            <v>Xã Lạc Lâm</v>
          </cell>
          <cell r="I8749" t="str">
            <v>70307</v>
          </cell>
        </row>
        <row r="8750">
          <cell r="G8750" t="str">
            <v>Xã Quảng Lập</v>
          </cell>
          <cell r="I8750" t="str">
            <v>70307</v>
          </cell>
        </row>
        <row r="8751">
          <cell r="G8751" t="str">
            <v>Xã Ka Đơn</v>
          </cell>
          <cell r="I8751" t="str">
            <v>70307</v>
          </cell>
        </row>
        <row r="8752">
          <cell r="G8752" t="str">
            <v>Xã Tu Tra</v>
          </cell>
          <cell r="I8752" t="str">
            <v>70307</v>
          </cell>
        </row>
        <row r="8753">
          <cell r="G8753" t="str">
            <v>Xã N-Thol Hạ</v>
          </cell>
          <cell r="I8753" t="str">
            <v>70309</v>
          </cell>
        </row>
        <row r="8754">
          <cell r="G8754" t="str">
            <v xml:space="preserve">Xã Liên Hiệp   </v>
          </cell>
          <cell r="I8754" t="str">
            <v>70309</v>
          </cell>
        </row>
        <row r="8755">
          <cell r="G8755" t="str">
            <v>Xã Hiệp Thạnh</v>
          </cell>
          <cell r="I8755" t="str">
            <v>70309</v>
          </cell>
        </row>
        <row r="8756">
          <cell r="G8756" t="str">
            <v xml:space="preserve">Xã Bình Thạnh </v>
          </cell>
          <cell r="I8756" t="str">
            <v>70309</v>
          </cell>
        </row>
        <row r="8757">
          <cell r="G8757" t="str">
            <v xml:space="preserve">Xã Tân Hội </v>
          </cell>
          <cell r="I8757" t="str">
            <v>70309</v>
          </cell>
        </row>
        <row r="8758">
          <cell r="G8758" t="str">
            <v xml:space="preserve">Xã Tân Thành             </v>
          </cell>
          <cell r="I8758" t="str">
            <v>70309</v>
          </cell>
        </row>
        <row r="8759">
          <cell r="G8759" t="str">
            <v>Xã Phú Hội</v>
          </cell>
          <cell r="I8759" t="str">
            <v>70309</v>
          </cell>
        </row>
        <row r="8760">
          <cell r="G8760" t="str">
            <v>Xã Ninh Gia</v>
          </cell>
          <cell r="I8760" t="str">
            <v>70309</v>
          </cell>
        </row>
        <row r="8761">
          <cell r="G8761" t="str">
            <v>Xã Tà Năng</v>
          </cell>
          <cell r="I8761" t="str">
            <v>70309</v>
          </cell>
        </row>
        <row r="8762">
          <cell r="G8762" t="str">
            <v>Xã Tà Hine</v>
          </cell>
          <cell r="I8762" t="str">
            <v>70309</v>
          </cell>
        </row>
        <row r="8763">
          <cell r="G8763" t="str">
            <v>Xã Đà Loan</v>
          </cell>
          <cell r="I8763" t="str">
            <v>70309</v>
          </cell>
        </row>
        <row r="8764">
          <cell r="G8764" t="str">
            <v>Xã Ninh Loan</v>
          </cell>
          <cell r="I8764" t="str">
            <v>70309</v>
          </cell>
        </row>
        <row r="8765">
          <cell r="G8765" t="str">
            <v>Thị trấn Liên Nghĩa</v>
          </cell>
          <cell r="I8765" t="str">
            <v>70309</v>
          </cell>
        </row>
        <row r="8766">
          <cell r="G8766" t="str">
            <v xml:space="preserve">Xã Hiệp An </v>
          </cell>
          <cell r="I8766" t="str">
            <v>70309</v>
          </cell>
        </row>
        <row r="8767">
          <cell r="G8767" t="str">
            <v>Xã Đa Quyn</v>
          </cell>
          <cell r="I8767" t="str">
            <v>70309</v>
          </cell>
        </row>
        <row r="8768">
          <cell r="G8768" t="str">
            <v xml:space="preserve">Xã Đông Thanh </v>
          </cell>
          <cell r="I8768" t="str">
            <v>70311</v>
          </cell>
        </row>
        <row r="8769">
          <cell r="G8769" t="str">
            <v xml:space="preserve">Xã Phú Sơn      </v>
          </cell>
          <cell r="I8769" t="str">
            <v>70311</v>
          </cell>
        </row>
        <row r="8770">
          <cell r="G8770" t="str">
            <v>Xã Đạ Đờn</v>
          </cell>
          <cell r="I8770" t="str">
            <v>70311</v>
          </cell>
        </row>
        <row r="8771">
          <cell r="G8771" t="str">
            <v xml:space="preserve">Xã Tân Thanh  </v>
          </cell>
          <cell r="I8771" t="str">
            <v>70311</v>
          </cell>
        </row>
        <row r="8772">
          <cell r="G8772" t="str">
            <v xml:space="preserve">Xã Liên Hà  </v>
          </cell>
          <cell r="I8772" t="str">
            <v>70311</v>
          </cell>
        </row>
        <row r="8773">
          <cell r="G8773" t="str">
            <v>Thị trấn Nam Ban</v>
          </cell>
          <cell r="I8773" t="str">
            <v>70311</v>
          </cell>
        </row>
        <row r="8774">
          <cell r="G8774" t="str">
            <v>Thị trấn Đinh Văn</v>
          </cell>
          <cell r="I8774" t="str">
            <v>70311</v>
          </cell>
        </row>
        <row r="8775">
          <cell r="G8775" t="str">
            <v>Xã Phi Tô</v>
          </cell>
          <cell r="I8775" t="str">
            <v>70311</v>
          </cell>
        </row>
        <row r="8776">
          <cell r="G8776" t="str">
            <v xml:space="preserve">Xã Mê Linh  </v>
          </cell>
          <cell r="I8776" t="str">
            <v>70311</v>
          </cell>
        </row>
        <row r="8777">
          <cell r="G8777" t="str">
            <v xml:space="preserve">Xã Phúc Thọ </v>
          </cell>
          <cell r="I8777" t="str">
            <v>70311</v>
          </cell>
        </row>
        <row r="8778">
          <cell r="G8778" t="str">
            <v xml:space="preserve">Xã Gia Lâm </v>
          </cell>
          <cell r="I8778" t="str">
            <v>70311</v>
          </cell>
        </row>
        <row r="8779">
          <cell r="G8779" t="str">
            <v xml:space="preserve">Xã Tân Văn </v>
          </cell>
          <cell r="I8779" t="str">
            <v>70311</v>
          </cell>
        </row>
        <row r="8780">
          <cell r="G8780" t="str">
            <v xml:space="preserve">Xã Hoài Đức </v>
          </cell>
          <cell r="I8780" t="str">
            <v>70311</v>
          </cell>
        </row>
        <row r="8781">
          <cell r="G8781" t="str">
            <v>Xã Tân Hà</v>
          </cell>
          <cell r="I8781" t="str">
            <v>70311</v>
          </cell>
        </row>
        <row r="8782">
          <cell r="G8782" t="str">
            <v xml:space="preserve">Xã Đan Phượng </v>
          </cell>
          <cell r="I8782" t="str">
            <v>70311</v>
          </cell>
        </row>
        <row r="8783">
          <cell r="G8783" t="str">
            <v xml:space="preserve">Xã Nam Hà </v>
          </cell>
          <cell r="I8783" t="str">
            <v>70311</v>
          </cell>
        </row>
        <row r="8784">
          <cell r="G8784" t="str">
            <v>Xã Lộc Phú</v>
          </cell>
          <cell r="I8784" t="str">
            <v>70313</v>
          </cell>
        </row>
        <row r="8785">
          <cell r="G8785" t="str">
            <v>Thị trấn Lộc Thắng</v>
          </cell>
          <cell r="I8785" t="str">
            <v>70313</v>
          </cell>
        </row>
        <row r="8786">
          <cell r="G8786" t="str">
            <v>Xã Lộc Bắc</v>
          </cell>
          <cell r="I8786" t="str">
            <v>70313</v>
          </cell>
        </row>
        <row r="8787">
          <cell r="G8787" t="str">
            <v xml:space="preserve">Xã Lộc Tân </v>
          </cell>
          <cell r="I8787" t="str">
            <v>70313</v>
          </cell>
        </row>
        <row r="8788">
          <cell r="G8788" t="str">
            <v>Xã Lộc Thành</v>
          </cell>
          <cell r="I8788" t="str">
            <v>70313</v>
          </cell>
        </row>
        <row r="8789">
          <cell r="G8789" t="str">
            <v>Xã Lộc Bảo</v>
          </cell>
          <cell r="I8789" t="str">
            <v>70313</v>
          </cell>
        </row>
        <row r="8790">
          <cell r="G8790" t="str">
            <v>Xã Lộc Lâm</v>
          </cell>
          <cell r="I8790" t="str">
            <v>70313</v>
          </cell>
        </row>
        <row r="8791">
          <cell r="G8791" t="str">
            <v>Xã B- Lá</v>
          </cell>
          <cell r="I8791" t="str">
            <v>70313</v>
          </cell>
        </row>
        <row r="8792">
          <cell r="G8792" t="str">
            <v>Xã Lộc Ngãi</v>
          </cell>
          <cell r="I8792" t="str">
            <v>70313</v>
          </cell>
        </row>
        <row r="8793">
          <cell r="G8793" t="str">
            <v>Xã Lộc Quảng</v>
          </cell>
          <cell r="I8793" t="str">
            <v>70313</v>
          </cell>
        </row>
        <row r="8794">
          <cell r="G8794" t="str">
            <v>Xã Lộc Đức</v>
          </cell>
          <cell r="I8794" t="str">
            <v>70313</v>
          </cell>
        </row>
        <row r="8795">
          <cell r="G8795" t="str">
            <v xml:space="preserve">Xã Lộc An  </v>
          </cell>
          <cell r="I8795" t="str">
            <v>70313</v>
          </cell>
        </row>
        <row r="8796">
          <cell r="G8796" t="str">
            <v>Xã Tân Lạc</v>
          </cell>
          <cell r="I8796" t="str">
            <v>70313</v>
          </cell>
        </row>
        <row r="8797">
          <cell r="G8797" t="str">
            <v>Xã Lộc Nam</v>
          </cell>
          <cell r="I8797" t="str">
            <v>70313</v>
          </cell>
        </row>
        <row r="8798">
          <cell r="G8798" t="str">
            <v>Thị trấn Di Linh</v>
          </cell>
          <cell r="I8798" t="str">
            <v>70315</v>
          </cell>
        </row>
        <row r="8799">
          <cell r="G8799" t="str">
            <v>Xã Đinh Trang Hòa</v>
          </cell>
          <cell r="I8799" t="str">
            <v>70315</v>
          </cell>
        </row>
        <row r="8800">
          <cell r="G8800" t="str">
            <v>Xã Đinh Trang Thượng</v>
          </cell>
          <cell r="I8800" t="str">
            <v>70315</v>
          </cell>
        </row>
        <row r="8801">
          <cell r="G8801" t="str">
            <v>Xã Đinh Lạc</v>
          </cell>
          <cell r="I8801" t="str">
            <v>70315</v>
          </cell>
        </row>
        <row r="8802">
          <cell r="G8802" t="str">
            <v>Xã Gung Ré</v>
          </cell>
          <cell r="I8802" t="str">
            <v>70315</v>
          </cell>
        </row>
        <row r="8803">
          <cell r="G8803" t="str">
            <v xml:space="preserve">Xã Hòa Nam </v>
          </cell>
          <cell r="I8803" t="str">
            <v>70315</v>
          </cell>
        </row>
        <row r="8804">
          <cell r="G8804" t="str">
            <v xml:space="preserve">Xã Tân Thượng </v>
          </cell>
          <cell r="I8804" t="str">
            <v>70315</v>
          </cell>
        </row>
        <row r="8805">
          <cell r="G8805" t="str">
            <v xml:space="preserve">Xã Tân Châu </v>
          </cell>
          <cell r="I8805" t="str">
            <v>70315</v>
          </cell>
        </row>
        <row r="8806">
          <cell r="G8806" t="str">
            <v>Xã Tân Nghĩa</v>
          </cell>
          <cell r="I8806" t="str">
            <v>70315</v>
          </cell>
        </row>
        <row r="8807">
          <cell r="G8807" t="str">
            <v>Xã Gia Hiệp</v>
          </cell>
          <cell r="I8807" t="str">
            <v>70315</v>
          </cell>
        </row>
        <row r="8808">
          <cell r="G8808" t="str">
            <v>Xã Tam Bố</v>
          </cell>
          <cell r="I8808" t="str">
            <v>70315</v>
          </cell>
        </row>
        <row r="8809">
          <cell r="G8809" t="str">
            <v>Xã Liên Đầm</v>
          </cell>
          <cell r="I8809" t="str">
            <v>70315</v>
          </cell>
        </row>
        <row r="8810">
          <cell r="G8810" t="str">
            <v>Xã Bảo Thuận</v>
          </cell>
          <cell r="I8810" t="str">
            <v>70315</v>
          </cell>
        </row>
        <row r="8811">
          <cell r="G8811" t="str">
            <v>Xã Hòa Ninh</v>
          </cell>
          <cell r="I8811" t="str">
            <v>70315</v>
          </cell>
        </row>
        <row r="8812">
          <cell r="G8812" t="str">
            <v>Xã Hòa Trung</v>
          </cell>
          <cell r="I8812" t="str">
            <v>70315</v>
          </cell>
        </row>
        <row r="8813">
          <cell r="G8813" t="str">
            <v>Xã Hòa Bắc</v>
          </cell>
          <cell r="I8813" t="str">
            <v>70315</v>
          </cell>
        </row>
        <row r="8814">
          <cell r="G8814" t="str">
            <v>Xã Sơn Điền</v>
          </cell>
          <cell r="I8814" t="str">
            <v>70315</v>
          </cell>
        </row>
        <row r="8815">
          <cell r="G8815" t="str">
            <v>Xã Gia Bắc</v>
          </cell>
          <cell r="I8815" t="str">
            <v>70315</v>
          </cell>
        </row>
        <row r="8816">
          <cell r="G8816" t="str">
            <v>Xã Tân Lâm</v>
          </cell>
          <cell r="I8816" t="str">
            <v>70315</v>
          </cell>
        </row>
        <row r="8817">
          <cell r="G8817" t="str">
            <v>Thị trấn Ma Đa Guôi</v>
          </cell>
          <cell r="I8817" t="str">
            <v>70317</v>
          </cell>
        </row>
        <row r="8818">
          <cell r="G8818" t="str">
            <v>Xã Đạ M-ri</v>
          </cell>
          <cell r="I8818" t="str">
            <v>70317</v>
          </cell>
        </row>
        <row r="8819">
          <cell r="G8819" t="str">
            <v>Xã Đạ Ploa</v>
          </cell>
          <cell r="I8819" t="str">
            <v>70317</v>
          </cell>
        </row>
        <row r="8820">
          <cell r="G8820" t="str">
            <v xml:space="preserve">Xã Phước Lộc   </v>
          </cell>
          <cell r="I8820" t="str">
            <v>70317</v>
          </cell>
        </row>
        <row r="8821">
          <cell r="G8821" t="str">
            <v>Thị trấn Đạ M-ri</v>
          </cell>
          <cell r="I8821" t="str">
            <v>70317</v>
          </cell>
        </row>
        <row r="8822">
          <cell r="G8822" t="str">
            <v xml:space="preserve">Xã Hà Lâm </v>
          </cell>
          <cell r="I8822" t="str">
            <v>70317</v>
          </cell>
        </row>
        <row r="8823">
          <cell r="G8823" t="str">
            <v>Xã Đạ Tồn</v>
          </cell>
          <cell r="I8823" t="str">
            <v>70317</v>
          </cell>
        </row>
        <row r="8824">
          <cell r="G8824" t="str">
            <v>Xã Đạ Oai</v>
          </cell>
          <cell r="I8824" t="str">
            <v>70317</v>
          </cell>
        </row>
        <row r="8825">
          <cell r="G8825" t="str">
            <v>Xã Ma Đa Guôi</v>
          </cell>
          <cell r="I8825" t="str">
            <v>70317</v>
          </cell>
        </row>
        <row r="8826">
          <cell r="G8826" t="str">
            <v xml:space="preserve">Xã Đoàn Kết      </v>
          </cell>
          <cell r="I8826" t="str">
            <v>70317</v>
          </cell>
        </row>
        <row r="8827">
          <cell r="G8827" t="str">
            <v>Xã Đạ Lây</v>
          </cell>
          <cell r="I8827" t="str">
            <v>70319</v>
          </cell>
        </row>
        <row r="8828">
          <cell r="G8828" t="str">
            <v xml:space="preserve">Xã Mỹ Đức  </v>
          </cell>
          <cell r="I8828" t="str">
            <v>70319</v>
          </cell>
        </row>
        <row r="8829">
          <cell r="G8829" t="str">
            <v>Xã Triệu Hải</v>
          </cell>
          <cell r="I8829" t="str">
            <v>70319</v>
          </cell>
        </row>
        <row r="8830">
          <cell r="G8830" t="str">
            <v>Thị trấn Đạ Tẻh</v>
          </cell>
          <cell r="I8830" t="str">
            <v>70319</v>
          </cell>
        </row>
        <row r="8831">
          <cell r="G8831" t="str">
            <v>Xã An Nhơn</v>
          </cell>
          <cell r="I8831" t="str">
            <v>70319</v>
          </cell>
        </row>
        <row r="8832">
          <cell r="G8832" t="str">
            <v>Xã Quốc Oai</v>
          </cell>
          <cell r="I8832" t="str">
            <v>70319</v>
          </cell>
        </row>
        <row r="8833">
          <cell r="G8833" t="str">
            <v>Xã Quảng Trị</v>
          </cell>
          <cell r="I8833" t="str">
            <v>70319</v>
          </cell>
        </row>
        <row r="8834">
          <cell r="G8834" t="str">
            <v xml:space="preserve">Xã Hương Lâm   </v>
          </cell>
          <cell r="I8834" t="str">
            <v>70319</v>
          </cell>
        </row>
        <row r="8835">
          <cell r="G8835" t="str">
            <v xml:space="preserve">Xã Hà Đông  </v>
          </cell>
          <cell r="I8835" t="str">
            <v>70319</v>
          </cell>
        </row>
        <row r="8836">
          <cell r="G8836" t="str">
            <v>Xã Đạ Kho</v>
          </cell>
          <cell r="I8836" t="str">
            <v>70319</v>
          </cell>
        </row>
        <row r="8837">
          <cell r="G8837" t="str">
            <v>Xã Đạ Pal</v>
          </cell>
          <cell r="I8837" t="str">
            <v>70319</v>
          </cell>
        </row>
        <row r="8838">
          <cell r="G8838" t="str">
            <v>Xã Tư Nghĩa</v>
          </cell>
          <cell r="I8838" t="str">
            <v>70321</v>
          </cell>
        </row>
        <row r="8839">
          <cell r="G8839" t="str">
            <v>Thị trấn Cát Tiên</v>
          </cell>
          <cell r="I8839" t="str">
            <v>70321</v>
          </cell>
        </row>
        <row r="8840">
          <cell r="G8840" t="str">
            <v>Xã Mỹ Lâm</v>
          </cell>
          <cell r="I8840" t="str">
            <v>70321</v>
          </cell>
        </row>
        <row r="8841">
          <cell r="G8841" t="str">
            <v>Xã Đức Phổ</v>
          </cell>
          <cell r="I8841" t="str">
            <v>70321</v>
          </cell>
        </row>
        <row r="8842">
          <cell r="G8842" t="str">
            <v>Xã Tiên Hoàng</v>
          </cell>
          <cell r="I8842" t="str">
            <v>70321</v>
          </cell>
        </row>
        <row r="8843">
          <cell r="G8843" t="str">
            <v>Xã Phước Cát 2</v>
          </cell>
          <cell r="I8843" t="str">
            <v>70321</v>
          </cell>
        </row>
        <row r="8844">
          <cell r="G8844" t="str">
            <v>Xã Gia Viễn</v>
          </cell>
          <cell r="I8844" t="str">
            <v>70321</v>
          </cell>
        </row>
        <row r="8845">
          <cell r="G8845" t="str">
            <v>Xã Nam Ninh</v>
          </cell>
          <cell r="I8845" t="str">
            <v>70321</v>
          </cell>
        </row>
        <row r="8846">
          <cell r="G8846" t="str">
            <v>Xã Phước Cát 1</v>
          </cell>
          <cell r="I8846" t="str">
            <v>70321</v>
          </cell>
        </row>
        <row r="8847">
          <cell r="G8847" t="str">
            <v>Xã Quảng Ngãi</v>
          </cell>
          <cell r="I8847" t="str">
            <v>70321</v>
          </cell>
        </row>
        <row r="8848">
          <cell r="G8848" t="str">
            <v>Xã Đồng Nai Thượng</v>
          </cell>
          <cell r="I8848" t="str">
            <v>70321</v>
          </cell>
        </row>
        <row r="8849">
          <cell r="G8849" t="str">
            <v>Xã Đạ Long</v>
          </cell>
          <cell r="I8849" t="str">
            <v>70323</v>
          </cell>
        </row>
        <row r="8850">
          <cell r="G8850" t="str">
            <v>Xã Rô Men</v>
          </cell>
          <cell r="I8850" t="str">
            <v>70323</v>
          </cell>
        </row>
        <row r="8851">
          <cell r="G8851" t="str">
            <v>Xã Đạ Tông</v>
          </cell>
          <cell r="I8851" t="str">
            <v>70323</v>
          </cell>
        </row>
        <row r="8852">
          <cell r="G8852" t="str">
            <v>Xã Đạ M Rong</v>
          </cell>
          <cell r="I8852" t="str">
            <v>70323</v>
          </cell>
        </row>
        <row r="8853">
          <cell r="G8853" t="str">
            <v>Xã Liêng Srônh</v>
          </cell>
          <cell r="I8853" t="str">
            <v>70323</v>
          </cell>
        </row>
        <row r="8854">
          <cell r="G8854" t="str">
            <v>Xã Đạ RSal</v>
          </cell>
          <cell r="I8854" t="str">
            <v>70323</v>
          </cell>
        </row>
        <row r="8855">
          <cell r="G8855" t="str">
            <v>Xã Phi Liêng</v>
          </cell>
          <cell r="I8855" t="str">
            <v>70323</v>
          </cell>
        </row>
        <row r="8856">
          <cell r="G8856" t="str">
            <v>Xã Đạ K Nàng</v>
          </cell>
          <cell r="I8856" t="str">
            <v>70323</v>
          </cell>
        </row>
        <row r="8857">
          <cell r="G8857" t="str">
            <v>Xã Thành Hải</v>
          </cell>
          <cell r="I8857" t="str">
            <v>70501</v>
          </cell>
        </row>
        <row r="8858">
          <cell r="G8858" t="str">
            <v>Phường Bảo An</v>
          </cell>
          <cell r="I8858" t="str">
            <v>70501</v>
          </cell>
        </row>
        <row r="8859">
          <cell r="G8859" t="str">
            <v>Phường Tấn Tài</v>
          </cell>
          <cell r="I8859" t="str">
            <v>70501</v>
          </cell>
        </row>
        <row r="8860">
          <cell r="G8860" t="str">
            <v xml:space="preserve">Phường Đông Hải  </v>
          </cell>
          <cell r="I8860" t="str">
            <v>70501</v>
          </cell>
        </row>
        <row r="8861">
          <cell r="G8861" t="str">
            <v>Phường Đô Vinh</v>
          </cell>
          <cell r="I8861" t="str">
            <v>70501</v>
          </cell>
        </row>
        <row r="8862">
          <cell r="G8862" t="str">
            <v xml:space="preserve">Phường Phước Mỹ </v>
          </cell>
          <cell r="I8862" t="str">
            <v>70501</v>
          </cell>
        </row>
        <row r="8863">
          <cell r="G8863" t="str">
            <v>Phường Phủ Hà</v>
          </cell>
          <cell r="I8863" t="str">
            <v>70501</v>
          </cell>
        </row>
        <row r="8864">
          <cell r="G8864" t="str">
            <v xml:space="preserve">Phường Thanh Sơn </v>
          </cell>
          <cell r="I8864" t="str">
            <v>70501</v>
          </cell>
        </row>
        <row r="8865">
          <cell r="G8865" t="str">
            <v>Phường Mỹ Hương</v>
          </cell>
          <cell r="I8865" t="str">
            <v>70501</v>
          </cell>
        </row>
        <row r="8866">
          <cell r="G8866" t="str">
            <v>Phường Kinh Dinh</v>
          </cell>
          <cell r="I8866" t="str">
            <v>70501</v>
          </cell>
        </row>
        <row r="8867">
          <cell r="G8867" t="str">
            <v>Phường Đạo Long</v>
          </cell>
          <cell r="I8867" t="str">
            <v>70501</v>
          </cell>
        </row>
        <row r="8868">
          <cell r="G8868" t="str">
            <v>Phường Đài Sơn</v>
          </cell>
          <cell r="I8868" t="str">
            <v>70501</v>
          </cell>
        </row>
        <row r="8869">
          <cell r="G8869" t="str">
            <v>Phường Mỹ Đông</v>
          </cell>
          <cell r="I8869" t="str">
            <v>70501</v>
          </cell>
        </row>
        <row r="8870">
          <cell r="G8870" t="str">
            <v>Phường Văn Hải</v>
          </cell>
          <cell r="I8870" t="str">
            <v>70501</v>
          </cell>
        </row>
        <row r="8871">
          <cell r="G8871" t="str">
            <v>Phường Mỹ Hải</v>
          </cell>
          <cell r="I8871" t="str">
            <v>70501</v>
          </cell>
        </row>
        <row r="8872">
          <cell r="G8872" t="str">
            <v>Phường Mỹ Bình</v>
          </cell>
          <cell r="I8872" t="str">
            <v>70501</v>
          </cell>
        </row>
        <row r="8873">
          <cell r="G8873" t="str">
            <v xml:space="preserve">Xã Hòa Sơn     </v>
          </cell>
          <cell r="I8873" t="str">
            <v>70503</v>
          </cell>
        </row>
        <row r="8874">
          <cell r="G8874" t="str">
            <v>Thị trấn Tân Sơn</v>
          </cell>
          <cell r="I8874" t="str">
            <v>70503</v>
          </cell>
        </row>
        <row r="8875">
          <cell r="G8875" t="str">
            <v xml:space="preserve">Xã Lâm Sơn  </v>
          </cell>
          <cell r="I8875" t="str">
            <v>70503</v>
          </cell>
        </row>
        <row r="8876">
          <cell r="G8876" t="str">
            <v xml:space="preserve">Xã Lương Sơn   </v>
          </cell>
          <cell r="I8876" t="str">
            <v>70503</v>
          </cell>
        </row>
        <row r="8877">
          <cell r="G8877" t="str">
            <v xml:space="preserve">Xã Quảng Sơn   </v>
          </cell>
          <cell r="I8877" t="str">
            <v>70503</v>
          </cell>
        </row>
        <row r="8878">
          <cell r="G8878" t="str">
            <v xml:space="preserve">Xã Mỹ Sơn </v>
          </cell>
          <cell r="I8878" t="str">
            <v>70503</v>
          </cell>
        </row>
        <row r="8879">
          <cell r="G8879" t="str">
            <v>Xã Ma Nới</v>
          </cell>
          <cell r="I8879" t="str">
            <v>70503</v>
          </cell>
        </row>
        <row r="8880">
          <cell r="G8880" t="str">
            <v>Xã Nhơn Sơn</v>
          </cell>
          <cell r="I8880" t="str">
            <v>70503</v>
          </cell>
        </row>
        <row r="8881">
          <cell r="G8881" t="str">
            <v>Xã Tân Hải</v>
          </cell>
          <cell r="I8881" t="str">
            <v>70505</v>
          </cell>
        </row>
        <row r="8882">
          <cell r="G8882" t="str">
            <v>Xã Hộ Hải</v>
          </cell>
          <cell r="I8882" t="str">
            <v>70505</v>
          </cell>
        </row>
        <row r="8883">
          <cell r="G8883" t="str">
            <v>Thị trấn Khánh Hải</v>
          </cell>
          <cell r="I8883" t="str">
            <v>70505</v>
          </cell>
        </row>
        <row r="8884">
          <cell r="G8884" t="str">
            <v>Xã Vĩnh Hải</v>
          </cell>
          <cell r="I8884" t="str">
            <v>70505</v>
          </cell>
        </row>
        <row r="8885">
          <cell r="G8885" t="str">
            <v>Xã Phương Hải</v>
          </cell>
          <cell r="I8885" t="str">
            <v>70505</v>
          </cell>
        </row>
        <row r="8886">
          <cell r="G8886" t="str">
            <v xml:space="preserve">Xã Xuân Hải  </v>
          </cell>
          <cell r="I8886" t="str">
            <v>70505</v>
          </cell>
        </row>
        <row r="8887">
          <cell r="G8887" t="str">
            <v>Xã Tri Hải</v>
          </cell>
          <cell r="I8887" t="str">
            <v>70505</v>
          </cell>
        </row>
        <row r="8888">
          <cell r="G8888" t="str">
            <v xml:space="preserve">Xã Nhơn Hải </v>
          </cell>
          <cell r="I8888" t="str">
            <v>70505</v>
          </cell>
        </row>
        <row r="8889">
          <cell r="G8889" t="str">
            <v xml:space="preserve">Xã Thanh Hải   </v>
          </cell>
          <cell r="I8889" t="str">
            <v>70505</v>
          </cell>
        </row>
        <row r="8890">
          <cell r="G8890" t="str">
            <v xml:space="preserve">Xã An Hải  </v>
          </cell>
          <cell r="I8890" t="str">
            <v>70507</v>
          </cell>
        </row>
        <row r="8891">
          <cell r="G8891" t="str">
            <v>Xã Phước Vinh</v>
          </cell>
          <cell r="I8891" t="str">
            <v>70507</v>
          </cell>
        </row>
        <row r="8892">
          <cell r="G8892" t="str">
            <v xml:space="preserve">Xã Phước Thuận </v>
          </cell>
          <cell r="I8892" t="str">
            <v>70507</v>
          </cell>
        </row>
        <row r="8893">
          <cell r="G8893" t="str">
            <v>Xã Phước Hải</v>
          </cell>
          <cell r="I8893" t="str">
            <v>70507</v>
          </cell>
        </row>
        <row r="8894">
          <cell r="G8894" t="str">
            <v>Xã Phước Minh</v>
          </cell>
          <cell r="I8894" t="str">
            <v>70507</v>
          </cell>
        </row>
        <row r="8895">
          <cell r="G8895" t="str">
            <v>Thị trấn Phước Dân</v>
          </cell>
          <cell r="I8895" t="str">
            <v>70507</v>
          </cell>
        </row>
        <row r="8896">
          <cell r="G8896" t="str">
            <v xml:space="preserve">Xã Phước Sơn </v>
          </cell>
          <cell r="I8896" t="str">
            <v>70507</v>
          </cell>
        </row>
        <row r="8897">
          <cell r="G8897" t="str">
            <v>Xã Phước Thái</v>
          </cell>
          <cell r="I8897" t="str">
            <v>70507</v>
          </cell>
        </row>
        <row r="8898">
          <cell r="G8898" t="str">
            <v>Xã Phước Hậu</v>
          </cell>
          <cell r="I8898" t="str">
            <v>70507</v>
          </cell>
        </row>
        <row r="8899">
          <cell r="G8899" t="str">
            <v>Xã Phước Hà</v>
          </cell>
          <cell r="I8899" t="str">
            <v>70507</v>
          </cell>
        </row>
        <row r="8900">
          <cell r="G8900" t="str">
            <v>Xã Phước Hữu</v>
          </cell>
          <cell r="I8900" t="str">
            <v>70507</v>
          </cell>
        </row>
        <row r="8901">
          <cell r="G8901" t="str">
            <v>Xã Phước Nam</v>
          </cell>
          <cell r="I8901" t="str">
            <v>70507</v>
          </cell>
        </row>
        <row r="8902">
          <cell r="G8902" t="str">
            <v>Xã Nhị Hà</v>
          </cell>
          <cell r="I8902" t="str">
            <v>70507</v>
          </cell>
        </row>
        <row r="8903">
          <cell r="G8903" t="str">
            <v>Xã Phước Dinh</v>
          </cell>
          <cell r="I8903" t="str">
            <v>70507</v>
          </cell>
        </row>
        <row r="8904">
          <cell r="G8904" t="str">
            <v>Xã Phước Diêm</v>
          </cell>
          <cell r="I8904" t="str">
            <v>70507</v>
          </cell>
        </row>
        <row r="8905">
          <cell r="G8905" t="str">
            <v>Xã Phước Bình</v>
          </cell>
          <cell r="I8905" t="str">
            <v>70509</v>
          </cell>
        </row>
        <row r="8906">
          <cell r="G8906" t="str">
            <v xml:space="preserve">Xã Phước Thắng </v>
          </cell>
          <cell r="I8906" t="str">
            <v>70509</v>
          </cell>
        </row>
        <row r="8907">
          <cell r="G8907" t="str">
            <v>Xã Phước Trung</v>
          </cell>
          <cell r="I8907" t="str">
            <v>70509</v>
          </cell>
        </row>
        <row r="8908">
          <cell r="G8908" t="str">
            <v xml:space="preserve">Xã Phước Hòa </v>
          </cell>
          <cell r="I8908" t="str">
            <v>70509</v>
          </cell>
        </row>
        <row r="8909">
          <cell r="G8909" t="str">
            <v xml:space="preserve">Xã Phước Tân </v>
          </cell>
          <cell r="I8909" t="str">
            <v>70509</v>
          </cell>
        </row>
        <row r="8910">
          <cell r="G8910" t="str">
            <v>Xã Phước Tiến</v>
          </cell>
          <cell r="I8910" t="str">
            <v>70509</v>
          </cell>
        </row>
        <row r="8911">
          <cell r="G8911" t="str">
            <v xml:space="preserve">Xã Phước Thành  </v>
          </cell>
          <cell r="I8911" t="str">
            <v>70509</v>
          </cell>
        </row>
        <row r="8912">
          <cell r="G8912" t="str">
            <v>Xã Phước Đại</v>
          </cell>
          <cell r="I8912" t="str">
            <v>70509</v>
          </cell>
        </row>
        <row r="8913">
          <cell r="G8913" t="str">
            <v>Xã Phước Chính</v>
          </cell>
          <cell r="I8913" t="str">
            <v>70509</v>
          </cell>
        </row>
        <row r="8914">
          <cell r="G8914" t="str">
            <v>Xã Lợi Hải</v>
          </cell>
          <cell r="I8914" t="str">
            <v>70511</v>
          </cell>
        </row>
        <row r="8915">
          <cell r="G8915" t="str">
            <v>Xã Công Hải</v>
          </cell>
          <cell r="I8915" t="str">
            <v>70511</v>
          </cell>
        </row>
        <row r="8916">
          <cell r="G8916" t="str">
            <v>Xã Phước Chiến</v>
          </cell>
          <cell r="I8916" t="str">
            <v>70511</v>
          </cell>
        </row>
        <row r="8917">
          <cell r="G8917" t="str">
            <v>Xã Phước Kháng</v>
          </cell>
          <cell r="I8917" t="str">
            <v>70511</v>
          </cell>
        </row>
        <row r="8918">
          <cell r="G8918" t="str">
            <v xml:space="preserve">Xã Bắc Sơn            </v>
          </cell>
          <cell r="I8918" t="str">
            <v>70511</v>
          </cell>
        </row>
        <row r="8919">
          <cell r="G8919" t="str">
            <v xml:space="preserve">Xã Bắc Phong  </v>
          </cell>
          <cell r="I8919" t="str">
            <v>70511</v>
          </cell>
        </row>
        <row r="8920">
          <cell r="G8920" t="str">
            <v>Xã Cà Ná</v>
          </cell>
          <cell r="I8920" t="str">
            <v>70513</v>
          </cell>
        </row>
        <row r="8921">
          <cell r="G8921" t="str">
            <v xml:space="preserve">Xã Phước Diêm </v>
          </cell>
          <cell r="I8921" t="str">
            <v>70513</v>
          </cell>
        </row>
        <row r="8922">
          <cell r="G8922" t="str">
            <v xml:space="preserve">Xã Phước Ninh </v>
          </cell>
          <cell r="I8922" t="str">
            <v>70513</v>
          </cell>
        </row>
        <row r="8923">
          <cell r="G8923" t="str">
            <v xml:space="preserve">Xã Phước Nam </v>
          </cell>
          <cell r="I8923" t="str">
            <v>70513</v>
          </cell>
        </row>
        <row r="8924">
          <cell r="G8924" t="str">
            <v xml:space="preserve">Xã Phước Minh </v>
          </cell>
          <cell r="I8924" t="str">
            <v>70513</v>
          </cell>
        </row>
        <row r="8925">
          <cell r="G8925" t="str">
            <v xml:space="preserve">Xã Phước Dinh </v>
          </cell>
          <cell r="I8925" t="str">
            <v>70513</v>
          </cell>
        </row>
        <row r="8926">
          <cell r="G8926" t="str">
            <v xml:space="preserve">Xã Nhị Hà </v>
          </cell>
          <cell r="I8926" t="str">
            <v>70513</v>
          </cell>
        </row>
        <row r="8927">
          <cell r="G8927" t="str">
            <v xml:space="preserve">Xã Phước Hà </v>
          </cell>
          <cell r="I8927" t="str">
            <v>70513</v>
          </cell>
        </row>
        <row r="8928">
          <cell r="G8928" t="str">
            <v>Xã Tân Phước</v>
          </cell>
          <cell r="I8928" t="str">
            <v>70701</v>
          </cell>
        </row>
        <row r="8929">
          <cell r="G8929" t="str">
            <v xml:space="preserve">Xã Đồng Tâm      </v>
          </cell>
          <cell r="I8929" t="str">
            <v>70701</v>
          </cell>
        </row>
        <row r="8930">
          <cell r="G8930" t="str">
            <v xml:space="preserve">Xã Tân Lập                  </v>
          </cell>
          <cell r="I8930" t="str">
            <v>70701</v>
          </cell>
        </row>
        <row r="8931">
          <cell r="G8931" t="str">
            <v xml:space="preserve">Xã Tân Tiến             </v>
          </cell>
          <cell r="I8931" t="str">
            <v>70701</v>
          </cell>
        </row>
        <row r="8932">
          <cell r="G8932" t="str">
            <v>Thị trấn Tân Phú</v>
          </cell>
          <cell r="I8932" t="str">
            <v>70701</v>
          </cell>
        </row>
        <row r="8933">
          <cell r="G8933" t="str">
            <v>Xã Thuận Lợi</v>
          </cell>
          <cell r="I8933" t="str">
            <v>70701</v>
          </cell>
        </row>
        <row r="8934">
          <cell r="G8934" t="str">
            <v xml:space="preserve">Xã Tân Hưng      </v>
          </cell>
          <cell r="I8934" t="str">
            <v>70701</v>
          </cell>
        </row>
        <row r="8935">
          <cell r="G8935" t="str">
            <v xml:space="preserve">Xã Tân lợi </v>
          </cell>
          <cell r="I8935" t="str">
            <v>70701</v>
          </cell>
        </row>
        <row r="8936">
          <cell r="G8936" t="str">
            <v xml:space="preserve">Xã Tân Hoà </v>
          </cell>
          <cell r="I8936" t="str">
            <v>70701</v>
          </cell>
        </row>
        <row r="8937">
          <cell r="G8937" t="str">
            <v>Xã Thuận Phú</v>
          </cell>
          <cell r="I8937" t="str">
            <v>70701</v>
          </cell>
        </row>
        <row r="8938">
          <cell r="G8938" t="str">
            <v xml:space="preserve">Xã Đồng Tiến        </v>
          </cell>
          <cell r="I8938" t="str">
            <v>70701</v>
          </cell>
        </row>
        <row r="8939">
          <cell r="G8939" t="str">
            <v xml:space="preserve">Phường Phước Bình </v>
          </cell>
          <cell r="I8939" t="str">
            <v>70703</v>
          </cell>
        </row>
        <row r="8940">
          <cell r="G8940" t="str">
            <v>Phường Thác Mơ</v>
          </cell>
          <cell r="I8940" t="str">
            <v>70703</v>
          </cell>
        </row>
        <row r="8941">
          <cell r="G8941" t="str">
            <v>Phường Sơn Giang</v>
          </cell>
          <cell r="I8941" t="str">
            <v>70703</v>
          </cell>
        </row>
        <row r="8942">
          <cell r="G8942" t="str">
            <v>Xã Phước Tín</v>
          </cell>
          <cell r="I8942" t="str">
            <v>70703</v>
          </cell>
        </row>
        <row r="8943">
          <cell r="G8943" t="str">
            <v>Phường Long Thuỷ</v>
          </cell>
          <cell r="I8943" t="str">
            <v>70703</v>
          </cell>
        </row>
        <row r="8944">
          <cell r="G8944" t="str">
            <v xml:space="preserve">Phường Long Phước </v>
          </cell>
          <cell r="I8944" t="str">
            <v>70703</v>
          </cell>
        </row>
        <row r="8945">
          <cell r="G8945" t="str">
            <v>Xã Long Giang</v>
          </cell>
          <cell r="I8945" t="str">
            <v>70703</v>
          </cell>
        </row>
        <row r="8946">
          <cell r="G8946" t="str">
            <v xml:space="preserve">Xã Lộc Điền </v>
          </cell>
          <cell r="I8946" t="str">
            <v>70705</v>
          </cell>
        </row>
        <row r="8947">
          <cell r="G8947" t="str">
            <v>Xã Lộc Tấn</v>
          </cell>
          <cell r="I8947" t="str">
            <v>70705</v>
          </cell>
        </row>
        <row r="8948">
          <cell r="G8948" t="str">
            <v>Xã Lộc Hiệp</v>
          </cell>
          <cell r="I8948" t="str">
            <v>70705</v>
          </cell>
        </row>
        <row r="8949">
          <cell r="G8949" t="str">
            <v>Xã Lộc Thiện</v>
          </cell>
          <cell r="I8949" t="str">
            <v>70705</v>
          </cell>
        </row>
        <row r="8950">
          <cell r="G8950" t="str">
            <v>Xã Lộc Thuận</v>
          </cell>
          <cell r="I8950" t="str">
            <v>70705</v>
          </cell>
        </row>
        <row r="8951">
          <cell r="G8951" t="str">
            <v>Xã Lộc Quang</v>
          </cell>
          <cell r="I8951" t="str">
            <v>70705</v>
          </cell>
        </row>
        <row r="8952">
          <cell r="G8952" t="str">
            <v xml:space="preserve">Xã Lộc Thành </v>
          </cell>
          <cell r="I8952" t="str">
            <v>70705</v>
          </cell>
        </row>
        <row r="8953">
          <cell r="G8953" t="str">
            <v>Xã Lộc Thái</v>
          </cell>
          <cell r="I8953" t="str">
            <v>70705</v>
          </cell>
        </row>
        <row r="8954">
          <cell r="G8954" t="str">
            <v>Xã Lộc Hưng</v>
          </cell>
          <cell r="I8954" t="str">
            <v>70705</v>
          </cell>
        </row>
        <row r="8955">
          <cell r="G8955" t="str">
            <v>Xã Lộc Khánh</v>
          </cell>
          <cell r="I8955" t="str">
            <v>70705</v>
          </cell>
        </row>
        <row r="8956">
          <cell r="G8956" t="str">
            <v>Thị trấn Lộc Ninh</v>
          </cell>
          <cell r="I8956" t="str">
            <v>70705</v>
          </cell>
        </row>
        <row r="8957">
          <cell r="G8957" t="str">
            <v xml:space="preserve">Xã Lộc Hòa </v>
          </cell>
          <cell r="I8957" t="str">
            <v>70705</v>
          </cell>
        </row>
        <row r="8958">
          <cell r="G8958" t="str">
            <v xml:space="preserve">Xã Lộc An   </v>
          </cell>
          <cell r="I8958" t="str">
            <v>70705</v>
          </cell>
        </row>
        <row r="8959">
          <cell r="G8959" t="str">
            <v xml:space="preserve">Xã Lộc Thịnh </v>
          </cell>
          <cell r="I8959" t="str">
            <v>70705</v>
          </cell>
        </row>
        <row r="8960">
          <cell r="G8960" t="str">
            <v>Xã Lộc Thạnh</v>
          </cell>
          <cell r="I8960" t="str">
            <v>70705</v>
          </cell>
        </row>
        <row r="8961">
          <cell r="G8961" t="str">
            <v xml:space="preserve">Xã Lộc Phú </v>
          </cell>
          <cell r="I8961" t="str">
            <v>70705</v>
          </cell>
        </row>
        <row r="8962">
          <cell r="G8962" t="str">
            <v>Xã Hưng Phước</v>
          </cell>
          <cell r="I8962" t="str">
            <v>70706</v>
          </cell>
        </row>
        <row r="8963">
          <cell r="G8963" t="str">
            <v xml:space="preserve">Xã Tân Tiến              </v>
          </cell>
          <cell r="I8963" t="str">
            <v>70706</v>
          </cell>
        </row>
        <row r="8964">
          <cell r="G8964" t="str">
            <v>Xã Thiện Hưng</v>
          </cell>
          <cell r="I8964" t="str">
            <v>70706</v>
          </cell>
        </row>
        <row r="8965">
          <cell r="G8965" t="str">
            <v xml:space="preserve">Xã Thanh Hòa </v>
          </cell>
          <cell r="I8965" t="str">
            <v>70706</v>
          </cell>
        </row>
        <row r="8966">
          <cell r="G8966" t="str">
            <v xml:space="preserve">Xã Tân Thành              </v>
          </cell>
          <cell r="I8966" t="str">
            <v>70706</v>
          </cell>
        </row>
        <row r="8967">
          <cell r="G8967" t="str">
            <v>Xã Phước Thiện</v>
          </cell>
          <cell r="I8967" t="str">
            <v>70706</v>
          </cell>
        </row>
        <row r="8968">
          <cell r="G8968" t="str">
            <v>TT Thanh Bình</v>
          </cell>
          <cell r="I8968" t="str">
            <v>70706</v>
          </cell>
        </row>
        <row r="8969">
          <cell r="G8969" t="str">
            <v xml:space="preserve">Xã Minh Hưng </v>
          </cell>
          <cell r="I8969" t="str">
            <v>70707</v>
          </cell>
        </row>
        <row r="8970">
          <cell r="G8970" t="str">
            <v>Xã Bom Bo</v>
          </cell>
          <cell r="I8970" t="str">
            <v>70707</v>
          </cell>
        </row>
        <row r="8971">
          <cell r="G8971" t="str">
            <v>Xã Đồng Nai</v>
          </cell>
          <cell r="I8971" t="str">
            <v>70707</v>
          </cell>
        </row>
        <row r="8972">
          <cell r="G8972" t="str">
            <v>Xã Đăng Hà</v>
          </cell>
          <cell r="I8972" t="str">
            <v>70707</v>
          </cell>
        </row>
        <row r="8973">
          <cell r="G8973" t="str">
            <v>Thị trấn Đức Phong</v>
          </cell>
          <cell r="I8973" t="str">
            <v>70707</v>
          </cell>
        </row>
        <row r="8974">
          <cell r="G8974" t="str">
            <v>Xã Đắk Nhau</v>
          </cell>
          <cell r="I8974" t="str">
            <v>70707</v>
          </cell>
        </row>
        <row r="8975">
          <cell r="G8975" t="str">
            <v>Xã Đường 10</v>
          </cell>
          <cell r="I8975" t="str">
            <v>70707</v>
          </cell>
        </row>
        <row r="8976">
          <cell r="G8976" t="str">
            <v xml:space="preserve">Xã Thọ Sơn  </v>
          </cell>
          <cell r="I8976" t="str">
            <v>70707</v>
          </cell>
        </row>
        <row r="8977">
          <cell r="G8977" t="str">
            <v xml:space="preserve">Xã Đoàn Kết       </v>
          </cell>
          <cell r="I8977" t="str">
            <v>70707</v>
          </cell>
        </row>
        <row r="8978">
          <cell r="G8978" t="str">
            <v>Xã Đức Liễu</v>
          </cell>
          <cell r="I8978" t="str">
            <v>70707</v>
          </cell>
        </row>
        <row r="8979">
          <cell r="G8979" t="str">
            <v xml:space="preserve">Xã Thống Nhất     </v>
          </cell>
          <cell r="I8979" t="str">
            <v>70707</v>
          </cell>
        </row>
        <row r="8980">
          <cell r="G8980" t="str">
            <v xml:space="preserve">Xã Nghĩa Trung    </v>
          </cell>
          <cell r="I8980" t="str">
            <v>70707</v>
          </cell>
        </row>
        <row r="8981">
          <cell r="G8981" t="str">
            <v xml:space="preserve">Xã Phước Sơn  </v>
          </cell>
          <cell r="I8981" t="str">
            <v>70707</v>
          </cell>
        </row>
        <row r="8982">
          <cell r="G8982" t="str">
            <v xml:space="preserve">Xã Phú Sơn       </v>
          </cell>
          <cell r="I8982" t="str">
            <v>70707</v>
          </cell>
        </row>
        <row r="8983">
          <cell r="G8983" t="str">
            <v xml:space="preserve">Xã Bình Minh        </v>
          </cell>
          <cell r="I8983" t="str">
            <v>70707</v>
          </cell>
        </row>
        <row r="8984">
          <cell r="G8984" t="str">
            <v xml:space="preserve">Xã Nghĩa Bình   </v>
          </cell>
          <cell r="I8984" t="str">
            <v>70707</v>
          </cell>
        </row>
        <row r="8985">
          <cell r="G8985" t="str">
            <v xml:space="preserve">Xã Thanh Phú </v>
          </cell>
          <cell r="I8985" t="str">
            <v>70709</v>
          </cell>
        </row>
        <row r="8986">
          <cell r="G8986" t="str">
            <v xml:space="preserve">Xã Thanh Lương    </v>
          </cell>
          <cell r="I8986" t="str">
            <v>70709</v>
          </cell>
        </row>
        <row r="8987">
          <cell r="G8987" t="str">
            <v>Phường An Lộc</v>
          </cell>
          <cell r="I8987" t="str">
            <v>70709</v>
          </cell>
        </row>
        <row r="8988">
          <cell r="G8988" t="str">
            <v>Phường Hưng Chiến</v>
          </cell>
          <cell r="I8988" t="str">
            <v>70709</v>
          </cell>
        </row>
        <row r="8989">
          <cell r="G8989" t="str">
            <v xml:space="preserve">Phường Phú Thịnh </v>
          </cell>
          <cell r="I8989" t="str">
            <v>70709</v>
          </cell>
        </row>
        <row r="8990">
          <cell r="G8990" t="str">
            <v>Phường Phú Đức</v>
          </cell>
          <cell r="I8990" t="str">
            <v>70709</v>
          </cell>
        </row>
        <row r="8991">
          <cell r="G8991" t="str">
            <v xml:space="preserve">Xã Minh Long </v>
          </cell>
          <cell r="I8991" t="str">
            <v>70710</v>
          </cell>
        </row>
        <row r="8992">
          <cell r="G8992" t="str">
            <v xml:space="preserve">Xã Quang Minh      </v>
          </cell>
          <cell r="I8992" t="str">
            <v>70710</v>
          </cell>
        </row>
        <row r="8993">
          <cell r="G8993" t="str">
            <v>Xã Nha Bích</v>
          </cell>
          <cell r="I8993" t="str">
            <v>70710</v>
          </cell>
        </row>
        <row r="8994">
          <cell r="G8994" t="str">
            <v>Thị trấn Chơn Thành</v>
          </cell>
          <cell r="I8994" t="str">
            <v>70710</v>
          </cell>
        </row>
        <row r="8995">
          <cell r="G8995" t="str">
            <v xml:space="preserve">Xã Minh Lập </v>
          </cell>
          <cell r="I8995" t="str">
            <v>70710</v>
          </cell>
        </row>
        <row r="8996">
          <cell r="G8996" t="str">
            <v xml:space="preserve">Xã Minh Hưng  </v>
          </cell>
          <cell r="I8996" t="str">
            <v>70710</v>
          </cell>
        </row>
        <row r="8997">
          <cell r="G8997" t="str">
            <v xml:space="preserve">Xã Minh Thành </v>
          </cell>
          <cell r="I8997" t="str">
            <v>70710</v>
          </cell>
        </row>
        <row r="8998">
          <cell r="G8998" t="str">
            <v>Xã Minh Thắng</v>
          </cell>
          <cell r="I8998" t="str">
            <v>70710</v>
          </cell>
        </row>
        <row r="8999">
          <cell r="G8999" t="str">
            <v xml:space="preserve">Xã Thành Tâm </v>
          </cell>
          <cell r="I8999" t="str">
            <v>70710</v>
          </cell>
        </row>
        <row r="9000">
          <cell r="G9000" t="str">
            <v xml:space="preserve">Phường Tân Phú  </v>
          </cell>
          <cell r="I9000" t="str">
            <v>70711</v>
          </cell>
        </row>
        <row r="9001">
          <cell r="G9001" t="str">
            <v xml:space="preserve">Xã Tân Thành               </v>
          </cell>
          <cell r="I9001" t="str">
            <v>70711</v>
          </cell>
        </row>
        <row r="9002">
          <cell r="G9002" t="str">
            <v>Phường Tân Đồng</v>
          </cell>
          <cell r="I9002" t="str">
            <v>70711</v>
          </cell>
        </row>
        <row r="9003">
          <cell r="G9003" t="str">
            <v xml:space="preserve">Phường Tân Bình  </v>
          </cell>
          <cell r="I9003" t="str">
            <v>70711</v>
          </cell>
        </row>
        <row r="9004">
          <cell r="G9004" t="str">
            <v>Phường Tân Xuân</v>
          </cell>
          <cell r="I9004" t="str">
            <v>70711</v>
          </cell>
        </row>
        <row r="9005">
          <cell r="G9005" t="str">
            <v xml:space="preserve">Xã Tiến Thành </v>
          </cell>
          <cell r="I9005" t="str">
            <v>70711</v>
          </cell>
        </row>
        <row r="9006">
          <cell r="G9006" t="str">
            <v>Xã Tiến Hưng</v>
          </cell>
          <cell r="I9006" t="str">
            <v>70711</v>
          </cell>
        </row>
        <row r="9007">
          <cell r="G9007" t="str">
            <v>Phường Tân Thiện</v>
          </cell>
          <cell r="I9007" t="str">
            <v>70711</v>
          </cell>
        </row>
        <row r="9008">
          <cell r="G9008" t="str">
            <v xml:space="preserve">Xã Tân Hưng       </v>
          </cell>
          <cell r="I9008" t="str">
            <v>70713</v>
          </cell>
        </row>
        <row r="9009">
          <cell r="G9009" t="str">
            <v>Xã Tân Khai</v>
          </cell>
          <cell r="I9009" t="str">
            <v>70713</v>
          </cell>
        </row>
        <row r="9010">
          <cell r="G9010" t="str">
            <v xml:space="preserve">Xã Thanh An    </v>
          </cell>
          <cell r="I9010" t="str">
            <v>70713</v>
          </cell>
        </row>
        <row r="9011">
          <cell r="G9011" t="str">
            <v>Xã An Khương</v>
          </cell>
          <cell r="I9011" t="str">
            <v>70713</v>
          </cell>
        </row>
        <row r="9012">
          <cell r="G9012" t="str">
            <v xml:space="preserve">Xã An Phú     </v>
          </cell>
          <cell r="I9012" t="str">
            <v>70713</v>
          </cell>
        </row>
        <row r="9013">
          <cell r="G9013" t="str">
            <v xml:space="preserve">Xã Tân Lợi  </v>
          </cell>
          <cell r="I9013" t="str">
            <v>70713</v>
          </cell>
        </row>
        <row r="9014">
          <cell r="G9014" t="str">
            <v xml:space="preserve">Xã Minh Đức     </v>
          </cell>
          <cell r="I9014" t="str">
            <v>70713</v>
          </cell>
        </row>
        <row r="9015">
          <cell r="G9015" t="str">
            <v xml:space="preserve">Xã Phước An </v>
          </cell>
          <cell r="I9015" t="str">
            <v>70713</v>
          </cell>
        </row>
        <row r="9016">
          <cell r="G9016" t="str">
            <v xml:space="preserve">Xã Thanh Bình    </v>
          </cell>
          <cell r="I9016" t="str">
            <v>70713</v>
          </cell>
        </row>
        <row r="9017">
          <cell r="G9017" t="str">
            <v>Xã Đồng Nơ</v>
          </cell>
          <cell r="I9017" t="str">
            <v>70713</v>
          </cell>
        </row>
        <row r="9018">
          <cell r="G9018" t="str">
            <v xml:space="preserve">Xã Minh Tâm </v>
          </cell>
          <cell r="I9018" t="str">
            <v>70713</v>
          </cell>
        </row>
        <row r="9019">
          <cell r="G9019" t="str">
            <v xml:space="preserve">Xã Tân Hiệp   </v>
          </cell>
          <cell r="I9019" t="str">
            <v>70713</v>
          </cell>
        </row>
        <row r="9020">
          <cell r="G9020" t="str">
            <v>Xã Tân Quan</v>
          </cell>
          <cell r="I9020" t="str">
            <v>70713</v>
          </cell>
        </row>
        <row r="9021">
          <cell r="G9021" t="str">
            <v>Xã Đăk Ơ</v>
          </cell>
          <cell r="I9021" t="str">
            <v>70715</v>
          </cell>
        </row>
        <row r="9022">
          <cell r="G9022" t="str">
            <v>Xã Long Hà</v>
          </cell>
          <cell r="I9022" t="str">
            <v>70715</v>
          </cell>
        </row>
        <row r="9023">
          <cell r="G9023" t="str">
            <v>Xã Bình Thắng</v>
          </cell>
          <cell r="I9023" t="str">
            <v>70715</v>
          </cell>
        </row>
        <row r="9024">
          <cell r="G9024" t="str">
            <v xml:space="preserve">Xã Long Hưng </v>
          </cell>
          <cell r="I9024" t="str">
            <v>70715</v>
          </cell>
        </row>
        <row r="9025">
          <cell r="G9025" t="str">
            <v>Xã Long Tân</v>
          </cell>
          <cell r="I9025" t="str">
            <v>70715</v>
          </cell>
        </row>
        <row r="9026">
          <cell r="G9026" t="str">
            <v>Xã Bù Gia Mập</v>
          </cell>
          <cell r="I9026" t="str">
            <v>70715</v>
          </cell>
        </row>
        <row r="9027">
          <cell r="G9027" t="str">
            <v xml:space="preserve">Xã Đức Hạnh </v>
          </cell>
          <cell r="I9027" t="str">
            <v>70715</v>
          </cell>
        </row>
        <row r="9028">
          <cell r="G9028" t="str">
            <v>Xã Đa Kia</v>
          </cell>
          <cell r="I9028" t="str">
            <v>70715</v>
          </cell>
        </row>
        <row r="9029">
          <cell r="G9029" t="str">
            <v>Xã Long Bình</v>
          </cell>
          <cell r="I9029" t="str">
            <v>70715</v>
          </cell>
        </row>
        <row r="9030">
          <cell r="G9030" t="str">
            <v xml:space="preserve">Xã Bình Sơn      </v>
          </cell>
          <cell r="I9030" t="str">
            <v>70715</v>
          </cell>
        </row>
        <row r="9031">
          <cell r="G9031" t="str">
            <v xml:space="preserve">Xã Phước Tân  </v>
          </cell>
          <cell r="I9031" t="str">
            <v>70715</v>
          </cell>
        </row>
        <row r="9032">
          <cell r="G9032" t="str">
            <v>Xã Bù Nho</v>
          </cell>
          <cell r="I9032" t="str">
            <v>70715</v>
          </cell>
        </row>
        <row r="9033">
          <cell r="G9033" t="str">
            <v>Xã Phú Trung</v>
          </cell>
          <cell r="I9033" t="str">
            <v>70715</v>
          </cell>
        </row>
        <row r="9034">
          <cell r="G9034" t="str">
            <v>Xã Phú Riềng</v>
          </cell>
          <cell r="I9034" t="str">
            <v>70715</v>
          </cell>
        </row>
        <row r="9035">
          <cell r="G9035" t="str">
            <v xml:space="preserve">Xã Phú Nghĩa </v>
          </cell>
          <cell r="I9035" t="str">
            <v>70715</v>
          </cell>
        </row>
        <row r="9036">
          <cell r="G9036" t="str">
            <v xml:space="preserve">Xã Bình Tân  </v>
          </cell>
          <cell r="I9036" t="str">
            <v>70715</v>
          </cell>
        </row>
        <row r="9037">
          <cell r="G9037" t="str">
            <v xml:space="preserve">Xã Phước Minh  </v>
          </cell>
          <cell r="I9037" t="str">
            <v>70715</v>
          </cell>
        </row>
        <row r="9038">
          <cell r="G9038" t="str">
            <v>Xã Phú Văn</v>
          </cell>
          <cell r="I9038" t="str">
            <v>70715</v>
          </cell>
        </row>
        <row r="9039">
          <cell r="G9039" t="str">
            <v xml:space="preserve">Xã Bình Tân   </v>
          </cell>
          <cell r="I9039" t="str">
            <v>70716</v>
          </cell>
        </row>
        <row r="9040">
          <cell r="G9040" t="str">
            <v xml:space="preserve">Xã Bình Sơn       </v>
          </cell>
          <cell r="I9040" t="str">
            <v>70716</v>
          </cell>
        </row>
        <row r="9041">
          <cell r="G9041" t="str">
            <v xml:space="preserve">Xã Bù Nho </v>
          </cell>
          <cell r="I9041" t="str">
            <v>70716</v>
          </cell>
        </row>
        <row r="9042">
          <cell r="G9042" t="str">
            <v xml:space="preserve">Xã Long Bình </v>
          </cell>
          <cell r="I9042" t="str">
            <v>70716</v>
          </cell>
        </row>
        <row r="9043">
          <cell r="G9043" t="str">
            <v xml:space="preserve">Xã Long Hà </v>
          </cell>
          <cell r="I9043" t="str">
            <v>70716</v>
          </cell>
        </row>
        <row r="9044">
          <cell r="G9044" t="str">
            <v xml:space="preserve">Xã Long Hưng  </v>
          </cell>
          <cell r="I9044" t="str">
            <v>70716</v>
          </cell>
        </row>
        <row r="9045">
          <cell r="G9045" t="str">
            <v xml:space="preserve">Xã Long Tân </v>
          </cell>
          <cell r="I9045" t="str">
            <v>70716</v>
          </cell>
        </row>
        <row r="9046">
          <cell r="G9046" t="str">
            <v xml:space="preserve">Xã Phước Tân   </v>
          </cell>
          <cell r="I9046" t="str">
            <v>70716</v>
          </cell>
        </row>
        <row r="9047">
          <cell r="G9047" t="str">
            <v xml:space="preserve">Xã Phú Trung </v>
          </cell>
          <cell r="I9047" t="str">
            <v>70716</v>
          </cell>
        </row>
        <row r="9048">
          <cell r="G9048" t="str">
            <v xml:space="preserve">Xã Phú Riềng </v>
          </cell>
          <cell r="I9048" t="str">
            <v>70716</v>
          </cell>
        </row>
        <row r="9049">
          <cell r="G9049" t="str">
            <v xml:space="preserve">Phường 3         </v>
          </cell>
          <cell r="I9049" t="str">
            <v>70901</v>
          </cell>
        </row>
        <row r="9050">
          <cell r="G9050" t="str">
            <v>Xã Thạnh Tân</v>
          </cell>
          <cell r="I9050" t="str">
            <v>70901</v>
          </cell>
        </row>
        <row r="9051">
          <cell r="G9051" t="str">
            <v>Phường Ninh Thạnh</v>
          </cell>
          <cell r="I9051" t="str">
            <v>70901</v>
          </cell>
        </row>
        <row r="9052">
          <cell r="G9052" t="str">
            <v xml:space="preserve">Phường 1          </v>
          </cell>
          <cell r="I9052" t="str">
            <v>70901</v>
          </cell>
        </row>
        <row r="9053">
          <cell r="G9053" t="str">
            <v xml:space="preserve">Phường 4       </v>
          </cell>
          <cell r="I9053" t="str">
            <v>70901</v>
          </cell>
        </row>
        <row r="9054">
          <cell r="G9054" t="str">
            <v>Phường Hiệp Ninh</v>
          </cell>
          <cell r="I9054" t="str">
            <v>70901</v>
          </cell>
        </row>
        <row r="9055">
          <cell r="G9055" t="str">
            <v xml:space="preserve">Phường 2         </v>
          </cell>
          <cell r="I9055" t="str">
            <v>70901</v>
          </cell>
        </row>
        <row r="9056">
          <cell r="G9056" t="str">
            <v xml:space="preserve">Xã Tân Bình    </v>
          </cell>
          <cell r="I9056" t="str">
            <v>70901</v>
          </cell>
        </row>
        <row r="9057">
          <cell r="G9057" t="str">
            <v xml:space="preserve">Xã Bình Minh         </v>
          </cell>
          <cell r="I9057" t="str">
            <v>70901</v>
          </cell>
        </row>
        <row r="9058">
          <cell r="G9058" t="str">
            <v xml:space="preserve">Phường Ninh Sơn </v>
          </cell>
          <cell r="I9058" t="str">
            <v>70901</v>
          </cell>
        </row>
        <row r="9059">
          <cell r="G9059" t="str">
            <v>Xã Thạnh Bắc</v>
          </cell>
          <cell r="I9059" t="str">
            <v>70903</v>
          </cell>
        </row>
        <row r="9060">
          <cell r="G9060" t="str">
            <v xml:space="preserve">Xã Tân Bình     </v>
          </cell>
          <cell r="I9060" t="str">
            <v>70903</v>
          </cell>
        </row>
        <row r="9061">
          <cell r="G9061" t="str">
            <v xml:space="preserve">Xã Tân Phong      </v>
          </cell>
          <cell r="I9061" t="str">
            <v>70903</v>
          </cell>
        </row>
        <row r="9062">
          <cell r="G9062" t="str">
            <v>Thị trấn Tân Biên</v>
          </cell>
          <cell r="I9062" t="str">
            <v>70903</v>
          </cell>
        </row>
        <row r="9063">
          <cell r="G9063" t="str">
            <v xml:space="preserve">Xã Tân Lập                   </v>
          </cell>
          <cell r="I9063" t="str">
            <v>70903</v>
          </cell>
        </row>
        <row r="9064">
          <cell r="G9064" t="str">
            <v>Xã Thạnh Bình</v>
          </cell>
          <cell r="I9064" t="str">
            <v>70903</v>
          </cell>
        </row>
        <row r="9065">
          <cell r="G9065" t="str">
            <v>Xã Thạnh Tây</v>
          </cell>
          <cell r="I9065" t="str">
            <v>70903</v>
          </cell>
        </row>
        <row r="9066">
          <cell r="G9066" t="str">
            <v xml:space="preserve">Xã Hòa Hiệp  </v>
          </cell>
          <cell r="I9066" t="str">
            <v>70903</v>
          </cell>
        </row>
        <row r="9067">
          <cell r="G9067" t="str">
            <v>Xã Mỏ Công</v>
          </cell>
          <cell r="I9067" t="str">
            <v>70903</v>
          </cell>
        </row>
        <row r="9068">
          <cell r="G9068" t="str">
            <v>Xã Trà Vong</v>
          </cell>
          <cell r="I9068" t="str">
            <v>70903</v>
          </cell>
        </row>
        <row r="9069">
          <cell r="G9069" t="str">
            <v xml:space="preserve">Xã Tân Hoà  </v>
          </cell>
          <cell r="I9069" t="str">
            <v>70905</v>
          </cell>
        </row>
        <row r="9070">
          <cell r="G9070" t="str">
            <v xml:space="preserve">Xã Tân Hà </v>
          </cell>
          <cell r="I9070" t="str">
            <v>70905</v>
          </cell>
        </row>
        <row r="9071">
          <cell r="G9071" t="str">
            <v>Xã Suối Ngô</v>
          </cell>
          <cell r="I9071" t="str">
            <v>70905</v>
          </cell>
        </row>
        <row r="9072">
          <cell r="G9072" t="str">
            <v>Xã Thạnh Đông</v>
          </cell>
          <cell r="I9072" t="str">
            <v>70905</v>
          </cell>
        </row>
        <row r="9073">
          <cell r="G9073" t="str">
            <v>Thị trấn Tân Châu</v>
          </cell>
          <cell r="I9073" t="str">
            <v>70905</v>
          </cell>
        </row>
        <row r="9074">
          <cell r="G9074" t="str">
            <v>Xã Tân Đông</v>
          </cell>
          <cell r="I9074" t="str">
            <v>70905</v>
          </cell>
        </row>
        <row r="9075">
          <cell r="G9075" t="str">
            <v xml:space="preserve">Xã Tân Hội  </v>
          </cell>
          <cell r="I9075" t="str">
            <v>70905</v>
          </cell>
        </row>
        <row r="9076">
          <cell r="G9076" t="str">
            <v>Xã Suối Dây</v>
          </cell>
          <cell r="I9076" t="str">
            <v>70905</v>
          </cell>
        </row>
        <row r="9077">
          <cell r="G9077" t="str">
            <v xml:space="preserve">Xã Tân Hiệp    </v>
          </cell>
          <cell r="I9077" t="str">
            <v>70905</v>
          </cell>
        </row>
        <row r="9078">
          <cell r="G9078" t="str">
            <v xml:space="preserve">Xã Tân Thành                </v>
          </cell>
          <cell r="I9078" t="str">
            <v>70905</v>
          </cell>
        </row>
        <row r="9079">
          <cell r="G9079" t="str">
            <v xml:space="preserve">Xã Tân Phú    </v>
          </cell>
          <cell r="I9079" t="str">
            <v>70905</v>
          </cell>
        </row>
        <row r="9080">
          <cell r="G9080" t="str">
            <v xml:space="preserve">Xã Tân Hưng        </v>
          </cell>
          <cell r="I9080" t="str">
            <v>70905</v>
          </cell>
        </row>
        <row r="9081">
          <cell r="G9081" t="str">
            <v>Xã Bàu Năng</v>
          </cell>
          <cell r="I9081" t="str">
            <v>70907</v>
          </cell>
        </row>
        <row r="9082">
          <cell r="G9082" t="str">
            <v>Xã Suối Đá</v>
          </cell>
          <cell r="I9082" t="str">
            <v>70907</v>
          </cell>
        </row>
        <row r="9083">
          <cell r="G9083" t="str">
            <v xml:space="preserve">Xã Phước Minh   </v>
          </cell>
          <cell r="I9083" t="str">
            <v>70907</v>
          </cell>
        </row>
        <row r="9084">
          <cell r="G9084" t="str">
            <v>Xã Bến Củi</v>
          </cell>
          <cell r="I9084" t="str">
            <v>70907</v>
          </cell>
        </row>
        <row r="9085">
          <cell r="G9085" t="str">
            <v>TT. Dương Minh Châu</v>
          </cell>
          <cell r="I9085" t="str">
            <v>70907</v>
          </cell>
        </row>
        <row r="9086">
          <cell r="G9086" t="str">
            <v>Xã Phan</v>
          </cell>
          <cell r="I9086" t="str">
            <v>70907</v>
          </cell>
        </row>
        <row r="9087">
          <cell r="G9087" t="str">
            <v xml:space="preserve">Xã Phước Ninh  </v>
          </cell>
          <cell r="I9087" t="str">
            <v>70907</v>
          </cell>
        </row>
        <row r="9088">
          <cell r="G9088" t="str">
            <v>Xã Chà Là</v>
          </cell>
          <cell r="I9088" t="str">
            <v>70907</v>
          </cell>
        </row>
        <row r="9089">
          <cell r="G9089" t="str">
            <v>Xã Cầu Khởi</v>
          </cell>
          <cell r="I9089" t="str">
            <v>70907</v>
          </cell>
        </row>
        <row r="9090">
          <cell r="G9090" t="str">
            <v xml:space="preserve">Xã Lộc Ninh </v>
          </cell>
          <cell r="I9090" t="str">
            <v>70907</v>
          </cell>
        </row>
        <row r="9091">
          <cell r="G9091" t="str">
            <v>Xã Truông Mít</v>
          </cell>
          <cell r="I9091" t="str">
            <v>70907</v>
          </cell>
        </row>
        <row r="9092">
          <cell r="G9092" t="str">
            <v>Xã Đồng Khởi</v>
          </cell>
          <cell r="I9092" t="str">
            <v>70909</v>
          </cell>
        </row>
        <row r="9093">
          <cell r="G9093" t="str">
            <v xml:space="preserve">Xã Thành Long  </v>
          </cell>
          <cell r="I9093" t="str">
            <v>70909</v>
          </cell>
        </row>
        <row r="9094">
          <cell r="G9094" t="str">
            <v>Xã Ninh Điền</v>
          </cell>
          <cell r="I9094" t="str">
            <v>70909</v>
          </cell>
        </row>
        <row r="9095">
          <cell r="G9095" t="str">
            <v xml:space="preserve">Xã Phước Vinh </v>
          </cell>
          <cell r="I9095" t="str">
            <v>70909</v>
          </cell>
        </row>
        <row r="9096">
          <cell r="G9096" t="str">
            <v xml:space="preserve">Xã Thái Bình  </v>
          </cell>
          <cell r="I9096" t="str">
            <v>70909</v>
          </cell>
        </row>
        <row r="9097">
          <cell r="G9097" t="str">
            <v>Xã An Cơ</v>
          </cell>
          <cell r="I9097" t="str">
            <v>70909</v>
          </cell>
        </row>
        <row r="9098">
          <cell r="G9098" t="str">
            <v>Xã Biên Giới</v>
          </cell>
          <cell r="I9098" t="str">
            <v>70909</v>
          </cell>
        </row>
        <row r="9099">
          <cell r="G9099" t="str">
            <v>Xã Hòa Thạnh</v>
          </cell>
          <cell r="I9099" t="str">
            <v>70909</v>
          </cell>
        </row>
        <row r="9100">
          <cell r="G9100" t="str">
            <v>Xã Trí Bình</v>
          </cell>
          <cell r="I9100" t="str">
            <v>70909</v>
          </cell>
        </row>
        <row r="9101">
          <cell r="G9101" t="str">
            <v xml:space="preserve">Xã Hòa Hội </v>
          </cell>
          <cell r="I9101" t="str">
            <v>70909</v>
          </cell>
        </row>
        <row r="9102">
          <cell r="G9102" t="str">
            <v xml:space="preserve">Xã An Bình      </v>
          </cell>
          <cell r="I9102" t="str">
            <v>70909</v>
          </cell>
        </row>
        <row r="9103">
          <cell r="G9103" t="str">
            <v>Xã Thanh Điền</v>
          </cell>
          <cell r="I9103" t="str">
            <v>70909</v>
          </cell>
        </row>
        <row r="9104">
          <cell r="G9104" t="str">
            <v>Xã Long Vĩnh</v>
          </cell>
          <cell r="I9104" t="str">
            <v>70909</v>
          </cell>
        </row>
        <row r="9105">
          <cell r="G9105" t="str">
            <v>Xã Hảo Đước</v>
          </cell>
          <cell r="I9105" t="str">
            <v>70909</v>
          </cell>
        </row>
        <row r="9106">
          <cell r="G9106" t="str">
            <v>Thị trấn Châu Thành</v>
          </cell>
          <cell r="I9106" t="str">
            <v>70909</v>
          </cell>
        </row>
        <row r="9107">
          <cell r="G9107" t="str">
            <v>Xã Long Thành Bắc</v>
          </cell>
          <cell r="I9107" t="str">
            <v>70911</v>
          </cell>
        </row>
        <row r="9108">
          <cell r="G9108" t="str">
            <v>Xã Trường Tây</v>
          </cell>
          <cell r="I9108" t="str">
            <v>70911</v>
          </cell>
        </row>
        <row r="9109">
          <cell r="G9109" t="str">
            <v>Thị trấn Hòa Thành</v>
          </cell>
          <cell r="I9109" t="str">
            <v>70911</v>
          </cell>
        </row>
        <row r="9110">
          <cell r="G9110" t="str">
            <v>Xã Hiệp Tân</v>
          </cell>
          <cell r="I9110" t="str">
            <v>70911</v>
          </cell>
        </row>
        <row r="9111">
          <cell r="G9111" t="str">
            <v>Xã Trường Hòa</v>
          </cell>
          <cell r="I9111" t="str">
            <v>70911</v>
          </cell>
        </row>
        <row r="9112">
          <cell r="G9112" t="str">
            <v>Xã Trường Đông</v>
          </cell>
          <cell r="I9112" t="str">
            <v>70911</v>
          </cell>
        </row>
        <row r="9113">
          <cell r="G9113" t="str">
            <v>Xã Long Thành Trung</v>
          </cell>
          <cell r="I9113" t="str">
            <v>70911</v>
          </cell>
        </row>
        <row r="9114">
          <cell r="G9114" t="str">
            <v>Xã Long Thành Nam</v>
          </cell>
          <cell r="I9114" t="str">
            <v>70911</v>
          </cell>
        </row>
        <row r="9115">
          <cell r="G9115" t="str">
            <v>Xã Tiên Thuận</v>
          </cell>
          <cell r="I9115" t="str">
            <v>70913</v>
          </cell>
        </row>
        <row r="9116">
          <cell r="G9116" t="str">
            <v>Xã Long Phước</v>
          </cell>
          <cell r="I9116" t="str">
            <v>70913</v>
          </cell>
        </row>
        <row r="9117">
          <cell r="G9117" t="str">
            <v>Xã Lợi Thuận</v>
          </cell>
          <cell r="I9117" t="str">
            <v>70913</v>
          </cell>
        </row>
        <row r="9118">
          <cell r="G9118" t="str">
            <v>Thị trấn Bến Cầu</v>
          </cell>
          <cell r="I9118" t="str">
            <v>70913</v>
          </cell>
        </row>
        <row r="9119">
          <cell r="G9119" t="str">
            <v>Xã Long Chữ</v>
          </cell>
          <cell r="I9119" t="str">
            <v>70913</v>
          </cell>
        </row>
        <row r="9120">
          <cell r="G9120" t="str">
            <v xml:space="preserve">Xã Long Giang </v>
          </cell>
          <cell r="I9120" t="str">
            <v>70913</v>
          </cell>
        </row>
        <row r="9121">
          <cell r="G9121" t="str">
            <v xml:space="preserve">Xã Long Khánh </v>
          </cell>
          <cell r="I9121" t="str">
            <v>70913</v>
          </cell>
        </row>
        <row r="9122">
          <cell r="G9122" t="str">
            <v>Xã Long Thuận</v>
          </cell>
          <cell r="I9122" t="str">
            <v>70913</v>
          </cell>
        </row>
        <row r="9123">
          <cell r="G9123" t="str">
            <v>Xã An Thạnh</v>
          </cell>
          <cell r="I9123" t="str">
            <v>70913</v>
          </cell>
        </row>
        <row r="9124">
          <cell r="G9124" t="str">
            <v>Xã Thạnh Đức</v>
          </cell>
          <cell r="I9124" t="str">
            <v>70915</v>
          </cell>
        </row>
        <row r="9125">
          <cell r="G9125" t="str">
            <v xml:space="preserve">Xã Cẩm Giang </v>
          </cell>
          <cell r="I9125" t="str">
            <v>70915</v>
          </cell>
        </row>
        <row r="9126">
          <cell r="G9126" t="str">
            <v>Xã Phước Đông</v>
          </cell>
          <cell r="I9126" t="str">
            <v>70915</v>
          </cell>
        </row>
        <row r="9127">
          <cell r="G9127" t="str">
            <v>Thị trấn Gò Dầu</v>
          </cell>
          <cell r="I9127" t="str">
            <v>70915</v>
          </cell>
        </row>
        <row r="9128">
          <cell r="G9128" t="str">
            <v xml:space="preserve">Xã Hiệp Thạnh </v>
          </cell>
          <cell r="I9128" t="str">
            <v>70915</v>
          </cell>
        </row>
        <row r="9129">
          <cell r="G9129" t="str">
            <v>Xã Bàu Đồn</v>
          </cell>
          <cell r="I9129" t="str">
            <v>70915</v>
          </cell>
        </row>
        <row r="9130">
          <cell r="G9130" t="str">
            <v xml:space="preserve">Xã Phước Thạnh </v>
          </cell>
          <cell r="I9130" t="str">
            <v>70915</v>
          </cell>
        </row>
        <row r="9131">
          <cell r="G9131" t="str">
            <v>Xã Phước Trạch</v>
          </cell>
          <cell r="I9131" t="str">
            <v>70915</v>
          </cell>
        </row>
        <row r="9132">
          <cell r="G9132" t="str">
            <v>Xã Thanh Phước</v>
          </cell>
          <cell r="I9132" t="str">
            <v>70915</v>
          </cell>
        </row>
        <row r="9133">
          <cell r="G9133" t="str">
            <v xml:space="preserve">Xã Bình Thạnh  </v>
          </cell>
          <cell r="I9133" t="str">
            <v>70917</v>
          </cell>
        </row>
        <row r="9134">
          <cell r="G9134" t="str">
            <v>Xã Đôn Thuận</v>
          </cell>
          <cell r="I9134" t="str">
            <v>70917</v>
          </cell>
        </row>
        <row r="9135">
          <cell r="G9135" t="str">
            <v>Xã Gia Bình</v>
          </cell>
          <cell r="I9135" t="str">
            <v>70917</v>
          </cell>
        </row>
        <row r="9136">
          <cell r="G9136" t="str">
            <v xml:space="preserve">Xã An Hòa    </v>
          </cell>
          <cell r="I9136" t="str">
            <v>70917</v>
          </cell>
        </row>
        <row r="9137">
          <cell r="G9137" t="str">
            <v>Thị trấn Trảng Bàng</v>
          </cell>
          <cell r="I9137" t="str">
            <v>70917</v>
          </cell>
        </row>
        <row r="9138">
          <cell r="G9138" t="str">
            <v>Xã Hưng Thuận</v>
          </cell>
          <cell r="I9138" t="str">
            <v>70917</v>
          </cell>
        </row>
        <row r="9139">
          <cell r="G9139" t="str">
            <v xml:space="preserve">Xã Lộc Hưng </v>
          </cell>
          <cell r="I9139" t="str">
            <v>70917</v>
          </cell>
        </row>
        <row r="9140">
          <cell r="G9140" t="str">
            <v xml:space="preserve">Xã Gia Lộc </v>
          </cell>
          <cell r="I9140" t="str">
            <v>70917</v>
          </cell>
        </row>
        <row r="9141">
          <cell r="G9141" t="str">
            <v>Xã Phước Lưu</v>
          </cell>
          <cell r="I9141" t="str">
            <v>70917</v>
          </cell>
        </row>
        <row r="9142">
          <cell r="G9142" t="str">
            <v>Xã An Tịnh</v>
          </cell>
          <cell r="I9142" t="str">
            <v>70917</v>
          </cell>
        </row>
        <row r="9143">
          <cell r="G9143" t="str">
            <v>Xã Phước Chỉ</v>
          </cell>
          <cell r="I9143" t="str">
            <v>70917</v>
          </cell>
        </row>
        <row r="9144">
          <cell r="G9144" t="str">
            <v xml:space="preserve">Phường Hiệp Thành </v>
          </cell>
          <cell r="I9144" t="str">
            <v>71101</v>
          </cell>
        </row>
        <row r="9145">
          <cell r="G9145" t="str">
            <v>Phường Chánh Mỹ</v>
          </cell>
          <cell r="I9145" t="str">
            <v>71101</v>
          </cell>
        </row>
        <row r="9146">
          <cell r="G9146" t="str">
            <v xml:space="preserve">Phường Phú Mỹ </v>
          </cell>
          <cell r="I9146" t="str">
            <v>71101</v>
          </cell>
        </row>
        <row r="9147">
          <cell r="G9147" t="str">
            <v xml:space="preserve">Phường Phú Hòa </v>
          </cell>
          <cell r="I9147" t="str">
            <v>71101</v>
          </cell>
        </row>
        <row r="9148">
          <cell r="G9148" t="str">
            <v>Phường Phú Lợi</v>
          </cell>
          <cell r="I9148" t="str">
            <v>71101</v>
          </cell>
        </row>
        <row r="9149">
          <cell r="G9149" t="str">
            <v>Phường Phú Cường</v>
          </cell>
          <cell r="I9149" t="str">
            <v>71101</v>
          </cell>
        </row>
        <row r="9150">
          <cell r="G9150" t="str">
            <v>Phường Phú Thọ</v>
          </cell>
          <cell r="I9150" t="str">
            <v>71101</v>
          </cell>
        </row>
        <row r="9151">
          <cell r="G9151" t="str">
            <v>Phường Chánh Nghĩa</v>
          </cell>
          <cell r="I9151" t="str">
            <v>71101</v>
          </cell>
        </row>
        <row r="9152">
          <cell r="G9152" t="str">
            <v>Phường Định Hòa</v>
          </cell>
          <cell r="I9152" t="str">
            <v>71101</v>
          </cell>
        </row>
        <row r="9153">
          <cell r="G9153" t="str">
            <v xml:space="preserve">Phường Tân An    </v>
          </cell>
          <cell r="I9153" t="str">
            <v>71101</v>
          </cell>
        </row>
        <row r="9154">
          <cell r="G9154" t="str">
            <v>Phường Hiệp An</v>
          </cell>
          <cell r="I9154" t="str">
            <v>71101</v>
          </cell>
        </row>
        <row r="9155">
          <cell r="G9155" t="str">
            <v>Phường Tương Bình Hiệp</v>
          </cell>
          <cell r="I9155" t="str">
            <v>71101</v>
          </cell>
        </row>
        <row r="9156">
          <cell r="G9156" t="str">
            <v>Phường Hoà Phú</v>
          </cell>
          <cell r="I9156" t="str">
            <v>71101</v>
          </cell>
        </row>
        <row r="9157">
          <cell r="G9157" t="str">
            <v>Phường Phú Tân</v>
          </cell>
          <cell r="I9157" t="str">
            <v>71101</v>
          </cell>
        </row>
        <row r="9158">
          <cell r="G9158" t="str">
            <v>Phường Thới Hòa</v>
          </cell>
          <cell r="I9158" t="str">
            <v>71103</v>
          </cell>
        </row>
        <row r="9159">
          <cell r="G9159" t="str">
            <v xml:space="preserve">Xã Phú An  </v>
          </cell>
          <cell r="I9159" t="str">
            <v>71103</v>
          </cell>
        </row>
        <row r="9160">
          <cell r="G9160" t="str">
            <v>Phường Mỹ Phước</v>
          </cell>
          <cell r="I9160" t="str">
            <v>71103</v>
          </cell>
        </row>
        <row r="9161">
          <cell r="G9161" t="str">
            <v>Phường Chánh Phú Hòa</v>
          </cell>
          <cell r="I9161" t="str">
            <v>71103</v>
          </cell>
        </row>
        <row r="9162">
          <cell r="G9162" t="str">
            <v>Xã An Điền</v>
          </cell>
          <cell r="I9162" t="str">
            <v>71103</v>
          </cell>
        </row>
        <row r="9163">
          <cell r="G9163" t="str">
            <v>Xã An Tây</v>
          </cell>
          <cell r="I9163" t="str">
            <v>71103</v>
          </cell>
        </row>
        <row r="9164">
          <cell r="G9164" t="str">
            <v>Phường Hòa Lợi</v>
          </cell>
          <cell r="I9164" t="str">
            <v>71103</v>
          </cell>
        </row>
        <row r="9165">
          <cell r="G9165" t="str">
            <v xml:space="preserve">Phường Tân Định </v>
          </cell>
          <cell r="I9165" t="str">
            <v>71103</v>
          </cell>
        </row>
        <row r="9166">
          <cell r="G9166" t="str">
            <v>Phường Tân Phước Khánh</v>
          </cell>
          <cell r="I9166" t="str">
            <v>71105</v>
          </cell>
        </row>
        <row r="9167">
          <cell r="G9167" t="str">
            <v>Xã Phú Chánh</v>
          </cell>
          <cell r="I9167" t="str">
            <v>71105</v>
          </cell>
        </row>
        <row r="9168">
          <cell r="G9168" t="str">
            <v>Phường Thạnh Phước</v>
          </cell>
          <cell r="I9168" t="str">
            <v>71105</v>
          </cell>
        </row>
        <row r="9169">
          <cell r="G9169" t="str">
            <v xml:space="preserve">Xã Vĩnh Tân  </v>
          </cell>
          <cell r="I9169" t="str">
            <v>71105</v>
          </cell>
        </row>
        <row r="9170">
          <cell r="G9170" t="str">
            <v>Xã Hội Nghĩa</v>
          </cell>
          <cell r="I9170" t="str">
            <v>71105</v>
          </cell>
        </row>
        <row r="9171">
          <cell r="G9171" t="str">
            <v>Phường Khánh Bình</v>
          </cell>
          <cell r="I9171" t="str">
            <v>71105</v>
          </cell>
        </row>
        <row r="9172">
          <cell r="G9172" t="str">
            <v xml:space="preserve">Xã Bạch Đằng    </v>
          </cell>
          <cell r="I9172" t="str">
            <v>71105</v>
          </cell>
        </row>
        <row r="9173">
          <cell r="G9173" t="str">
            <v>Xã Tân Vĩnh Hiệp</v>
          </cell>
          <cell r="I9173" t="str">
            <v>71105</v>
          </cell>
        </row>
        <row r="9174">
          <cell r="G9174" t="str">
            <v>Phường Thái Hòa</v>
          </cell>
          <cell r="I9174" t="str">
            <v>71105</v>
          </cell>
        </row>
        <row r="9175">
          <cell r="G9175" t="str">
            <v>Phường Uyên Hưng</v>
          </cell>
          <cell r="I9175" t="str">
            <v>71105</v>
          </cell>
        </row>
        <row r="9176">
          <cell r="G9176" t="str">
            <v>Xã Thạnh Hội</v>
          </cell>
          <cell r="I9176" t="str">
            <v>71105</v>
          </cell>
        </row>
        <row r="9177">
          <cell r="G9177" t="str">
            <v>Phường Tân Hiệp</v>
          </cell>
          <cell r="I9177" t="str">
            <v>71105</v>
          </cell>
        </row>
        <row r="9178">
          <cell r="G9178" t="str">
            <v>Phường An Thạnh</v>
          </cell>
          <cell r="I9178" t="str">
            <v>71107</v>
          </cell>
        </row>
        <row r="9179">
          <cell r="G9179" t="str">
            <v>Phường Hưng Định</v>
          </cell>
          <cell r="I9179" t="str">
            <v>71107</v>
          </cell>
        </row>
        <row r="9180">
          <cell r="G9180" t="str">
            <v>Phường Vĩnh Phú</v>
          </cell>
          <cell r="I9180" t="str">
            <v>71107</v>
          </cell>
        </row>
        <row r="9181">
          <cell r="G9181" t="str">
            <v>Phường Lái Thiêu</v>
          </cell>
          <cell r="I9181" t="str">
            <v>71107</v>
          </cell>
        </row>
        <row r="9182">
          <cell r="G9182" t="str">
            <v>Phường Bình Chuẩn</v>
          </cell>
          <cell r="I9182" t="str">
            <v>71107</v>
          </cell>
        </row>
        <row r="9183">
          <cell r="G9183" t="str">
            <v>Phường Thuận Giao</v>
          </cell>
          <cell r="I9183" t="str">
            <v>71107</v>
          </cell>
        </row>
        <row r="9184">
          <cell r="G9184" t="str">
            <v xml:space="preserve">Phường An Phú   </v>
          </cell>
          <cell r="I9184" t="str">
            <v>71107</v>
          </cell>
        </row>
        <row r="9185">
          <cell r="G9185" t="str">
            <v xml:space="preserve">Xã An Sơn  </v>
          </cell>
          <cell r="I9185" t="str">
            <v>71107</v>
          </cell>
        </row>
        <row r="9186">
          <cell r="G9186" t="str">
            <v>Phường Bình Nhâm</v>
          </cell>
          <cell r="I9186" t="str">
            <v>71107</v>
          </cell>
        </row>
        <row r="9187">
          <cell r="G9187" t="str">
            <v>Phường Bình Hòa</v>
          </cell>
          <cell r="I9187" t="str">
            <v>71107</v>
          </cell>
        </row>
        <row r="9188">
          <cell r="G9188" t="str">
            <v xml:space="preserve">Phường An Bình  </v>
          </cell>
          <cell r="I9188" t="str">
            <v>71109</v>
          </cell>
        </row>
        <row r="9189">
          <cell r="G9189" t="str">
            <v>Phường Tân Đông Hiệp</v>
          </cell>
          <cell r="I9189" t="str">
            <v>71109</v>
          </cell>
        </row>
        <row r="9190">
          <cell r="G9190" t="str">
            <v>Phường Dĩ An</v>
          </cell>
          <cell r="I9190" t="str">
            <v>71109</v>
          </cell>
        </row>
        <row r="9191">
          <cell r="G9191" t="str">
            <v xml:space="preserve">Phường Tân Bình   </v>
          </cell>
          <cell r="I9191" t="str">
            <v>71109</v>
          </cell>
        </row>
        <row r="9192">
          <cell r="G9192" t="str">
            <v xml:space="preserve">Phường Bình An </v>
          </cell>
          <cell r="I9192" t="str">
            <v>71109</v>
          </cell>
        </row>
        <row r="9193">
          <cell r="G9193" t="str">
            <v>Phường Bình Thắng</v>
          </cell>
          <cell r="I9193" t="str">
            <v>71109</v>
          </cell>
        </row>
        <row r="9194">
          <cell r="G9194" t="str">
            <v>Phường Đông Hòa</v>
          </cell>
          <cell r="I9194" t="str">
            <v>71109</v>
          </cell>
        </row>
        <row r="9195">
          <cell r="G9195" t="str">
            <v>Xã An Linh</v>
          </cell>
          <cell r="I9195" t="str">
            <v>71111</v>
          </cell>
        </row>
        <row r="9196">
          <cell r="G9196" t="str">
            <v>Xã An Long</v>
          </cell>
          <cell r="I9196" t="str">
            <v>71111</v>
          </cell>
        </row>
        <row r="9197">
          <cell r="G9197" t="str">
            <v xml:space="preserve">Xã Tân Long    </v>
          </cell>
          <cell r="I9197" t="str">
            <v>71111</v>
          </cell>
        </row>
        <row r="9198">
          <cell r="G9198" t="str">
            <v>Thị trấn Phước Vĩnh</v>
          </cell>
          <cell r="I9198" t="str">
            <v>71111</v>
          </cell>
        </row>
        <row r="9199">
          <cell r="G9199" t="str">
            <v>Xã Phước Sang</v>
          </cell>
          <cell r="I9199" t="str">
            <v>71111</v>
          </cell>
        </row>
        <row r="9200">
          <cell r="G9200" t="str">
            <v xml:space="preserve">Xã An Bình       </v>
          </cell>
          <cell r="I9200" t="str">
            <v>71111</v>
          </cell>
        </row>
        <row r="9201">
          <cell r="G9201" t="str">
            <v xml:space="preserve">Xã Tân Hiệp     </v>
          </cell>
          <cell r="I9201" t="str">
            <v>71111</v>
          </cell>
        </row>
        <row r="9202">
          <cell r="G9202" t="str">
            <v>Xã Tam Lập</v>
          </cell>
          <cell r="I9202" t="str">
            <v>71111</v>
          </cell>
        </row>
        <row r="9203">
          <cell r="G9203" t="str">
            <v>Xã Vĩnh Hoà</v>
          </cell>
          <cell r="I9203" t="str">
            <v>71111</v>
          </cell>
        </row>
        <row r="9204">
          <cell r="G9204" t="str">
            <v xml:space="preserve">Xã Phước Hoà </v>
          </cell>
          <cell r="I9204" t="str">
            <v>71111</v>
          </cell>
        </row>
        <row r="9205">
          <cell r="G9205" t="str">
            <v xml:space="preserve">Xã An Thái  </v>
          </cell>
          <cell r="I9205" t="str">
            <v>71111</v>
          </cell>
        </row>
        <row r="9206">
          <cell r="G9206" t="str">
            <v>Xã Minh Thạnh</v>
          </cell>
          <cell r="I9206" t="str">
            <v>71113</v>
          </cell>
        </row>
        <row r="9207">
          <cell r="G9207" t="str">
            <v xml:space="preserve">Xã Minh Tân            </v>
          </cell>
          <cell r="I9207" t="str">
            <v>71113</v>
          </cell>
        </row>
        <row r="9208">
          <cell r="G9208" t="str">
            <v>Xã Định Hiệp</v>
          </cell>
          <cell r="I9208" t="str">
            <v>71113</v>
          </cell>
        </row>
        <row r="9209">
          <cell r="G9209" t="str">
            <v>Xã Thanh Tuyền</v>
          </cell>
          <cell r="I9209" t="str">
            <v>71113</v>
          </cell>
        </row>
        <row r="9210">
          <cell r="G9210" t="str">
            <v>Thị trấn Dầu Tiếng</v>
          </cell>
          <cell r="I9210" t="str">
            <v>71113</v>
          </cell>
        </row>
        <row r="9211">
          <cell r="G9211" t="str">
            <v>Xã Minh Hoà</v>
          </cell>
          <cell r="I9211" t="str">
            <v>71113</v>
          </cell>
        </row>
        <row r="9212">
          <cell r="G9212" t="str">
            <v>Xã Định An</v>
          </cell>
          <cell r="I9212" t="str">
            <v>71113</v>
          </cell>
        </row>
        <row r="9213">
          <cell r="G9213" t="str">
            <v xml:space="preserve">Xã Long Hoà </v>
          </cell>
          <cell r="I9213" t="str">
            <v>71113</v>
          </cell>
        </row>
        <row r="9214">
          <cell r="G9214" t="str">
            <v xml:space="preserve">Xã Định Thành </v>
          </cell>
          <cell r="I9214" t="str">
            <v>71113</v>
          </cell>
        </row>
        <row r="9215">
          <cell r="G9215" t="str">
            <v xml:space="preserve">Xã An Lập </v>
          </cell>
          <cell r="I9215" t="str">
            <v>71113</v>
          </cell>
        </row>
        <row r="9216">
          <cell r="G9216" t="str">
            <v xml:space="preserve">Xã Long Tân  </v>
          </cell>
          <cell r="I9216" t="str">
            <v>71113</v>
          </cell>
        </row>
        <row r="9217">
          <cell r="G9217" t="str">
            <v xml:space="preserve">Xã Thanh An     </v>
          </cell>
          <cell r="I9217" t="str">
            <v>71113</v>
          </cell>
        </row>
        <row r="9218">
          <cell r="G9218" t="str">
            <v>Thị trấn Bàu Bàng</v>
          </cell>
          <cell r="I9218" t="str">
            <v>71115</v>
          </cell>
        </row>
        <row r="9219">
          <cell r="G9219" t="str">
            <v>Xã Long Nguyên</v>
          </cell>
          <cell r="I9219" t="str">
            <v>71115</v>
          </cell>
        </row>
        <row r="9220">
          <cell r="G9220" t="str">
            <v>Xã Lai Hưng</v>
          </cell>
          <cell r="I9220" t="str">
            <v>71115</v>
          </cell>
        </row>
        <row r="9221">
          <cell r="G9221" t="str">
            <v>Xã Trừ Văn Thố</v>
          </cell>
          <cell r="I9221" t="str">
            <v>71115</v>
          </cell>
        </row>
        <row r="9222">
          <cell r="G9222" t="str">
            <v>Xã Cây Trường II</v>
          </cell>
          <cell r="I9222" t="str">
            <v>71115</v>
          </cell>
        </row>
        <row r="9223">
          <cell r="G9223" t="str">
            <v xml:space="preserve">Xã Tân Hưng         </v>
          </cell>
          <cell r="I9223" t="str">
            <v>71115</v>
          </cell>
        </row>
        <row r="9224">
          <cell r="G9224" t="str">
            <v>Xã Hưng Hoà</v>
          </cell>
          <cell r="I9224" t="str">
            <v>71115</v>
          </cell>
        </row>
        <row r="9225">
          <cell r="G9225" t="str">
            <v>Xã Lai Uyên</v>
          </cell>
          <cell r="I9225" t="str">
            <v>71115</v>
          </cell>
        </row>
        <row r="9226">
          <cell r="G9226" t="str">
            <v>Thị trấn Tân Lợi</v>
          </cell>
          <cell r="I9226" t="str">
            <v>71117</v>
          </cell>
        </row>
        <row r="9227">
          <cell r="G9227" t="str">
            <v xml:space="preserve">Xã Tân Bình      </v>
          </cell>
          <cell r="I9227" t="str">
            <v>71117</v>
          </cell>
        </row>
        <row r="9228">
          <cell r="G9228" t="str">
            <v xml:space="preserve">Xã Bình Mỹ  </v>
          </cell>
          <cell r="I9228" t="str">
            <v>71117</v>
          </cell>
        </row>
        <row r="9229">
          <cell r="G9229" t="str">
            <v xml:space="preserve">Xã Tân Lập                    </v>
          </cell>
          <cell r="I9229" t="str">
            <v>71117</v>
          </cell>
        </row>
        <row r="9230">
          <cell r="G9230" t="str">
            <v>Xã Tân Định</v>
          </cell>
          <cell r="I9230" t="str">
            <v>71117</v>
          </cell>
        </row>
        <row r="9231">
          <cell r="G9231" t="str">
            <v>Xã Lac An</v>
          </cell>
          <cell r="I9231" t="str">
            <v>71117</v>
          </cell>
        </row>
        <row r="9232">
          <cell r="G9232" t="str">
            <v>Xã Hiếu Liêm</v>
          </cell>
          <cell r="I9232" t="str">
            <v>71117</v>
          </cell>
        </row>
        <row r="9233">
          <cell r="G9233" t="str">
            <v>Xã Đất Cuốc</v>
          </cell>
          <cell r="I9233" t="str">
            <v>71117</v>
          </cell>
        </row>
        <row r="9234">
          <cell r="G9234" t="str">
            <v>Xã Thường Tân</v>
          </cell>
          <cell r="I9234" t="str">
            <v>71117</v>
          </cell>
        </row>
        <row r="9235">
          <cell r="G9235" t="str">
            <v xml:space="preserve">Xã Tân Mỹ    </v>
          </cell>
          <cell r="I9235" t="str">
            <v>71117</v>
          </cell>
        </row>
        <row r="9236">
          <cell r="G9236" t="str">
            <v xml:space="preserve">Xã Tân Thành                 </v>
          </cell>
          <cell r="I9236" t="str">
            <v>71117</v>
          </cell>
        </row>
        <row r="9237">
          <cell r="G9237" t="str">
            <v xml:space="preserve">Phường Long Bình </v>
          </cell>
          <cell r="I9237" t="str">
            <v>71301</v>
          </cell>
        </row>
        <row r="9238">
          <cell r="G9238" t="str">
            <v>Phường Tân Vạn</v>
          </cell>
          <cell r="I9238" t="str">
            <v>71301</v>
          </cell>
        </row>
        <row r="9239">
          <cell r="G9239" t="str">
            <v xml:space="preserve">Phường Tân Phong  </v>
          </cell>
          <cell r="I9239" t="str">
            <v>71301</v>
          </cell>
        </row>
        <row r="9240">
          <cell r="G9240" t="str">
            <v>Phường Bửu Long</v>
          </cell>
          <cell r="I9240" t="str">
            <v>71301</v>
          </cell>
        </row>
        <row r="9241">
          <cell r="G9241" t="str">
            <v xml:space="preserve">Phường Quang Vinh </v>
          </cell>
          <cell r="I9241" t="str">
            <v>71301</v>
          </cell>
        </row>
        <row r="9242">
          <cell r="G9242" t="str">
            <v>Phường Hòa Bình</v>
          </cell>
          <cell r="I9242" t="str">
            <v>71301</v>
          </cell>
        </row>
        <row r="9243">
          <cell r="G9243" t="str">
            <v xml:space="preserve">Phường An Bình   </v>
          </cell>
          <cell r="I9243" t="str">
            <v>71301</v>
          </cell>
        </row>
        <row r="9244">
          <cell r="G9244" t="str">
            <v>Xã Tân Hạnh</v>
          </cell>
          <cell r="I9244" t="str">
            <v>71301</v>
          </cell>
        </row>
        <row r="9245">
          <cell r="G9245" t="str">
            <v>Phường Trảng Dài</v>
          </cell>
          <cell r="I9245" t="str">
            <v>71301</v>
          </cell>
        </row>
        <row r="9246">
          <cell r="G9246" t="str">
            <v>Phường Tân Biên</v>
          </cell>
          <cell r="I9246" t="str">
            <v>71301</v>
          </cell>
        </row>
        <row r="9247">
          <cell r="G9247" t="str">
            <v>Phường Hố Nai</v>
          </cell>
          <cell r="I9247" t="str">
            <v>71301</v>
          </cell>
        </row>
        <row r="9248">
          <cell r="G9248" t="str">
            <v xml:space="preserve">Phường Tân Hòa </v>
          </cell>
          <cell r="I9248" t="str">
            <v>71301</v>
          </cell>
        </row>
        <row r="9249">
          <cell r="G9249" t="str">
            <v xml:space="preserve">Phường Tân Hiệp </v>
          </cell>
          <cell r="I9249" t="str">
            <v>71301</v>
          </cell>
        </row>
        <row r="9250">
          <cell r="G9250" t="str">
            <v xml:space="preserve">Phường Tân Tiến </v>
          </cell>
          <cell r="I9250" t="str">
            <v>71301</v>
          </cell>
        </row>
        <row r="9251">
          <cell r="G9251" t="str">
            <v>Phường Tam Hiệp</v>
          </cell>
          <cell r="I9251" t="str">
            <v>71301</v>
          </cell>
        </row>
        <row r="9252">
          <cell r="G9252" t="str">
            <v xml:space="preserve">Phường Tân Mai </v>
          </cell>
          <cell r="I9252" t="str">
            <v>71301</v>
          </cell>
        </row>
        <row r="9253">
          <cell r="G9253" t="str">
            <v xml:space="preserve">Phường Thống Nhất      </v>
          </cell>
          <cell r="I9253" t="str">
            <v>71301</v>
          </cell>
        </row>
        <row r="9254">
          <cell r="G9254" t="str">
            <v>Phường Trung Dũng</v>
          </cell>
          <cell r="I9254" t="str">
            <v>71301</v>
          </cell>
        </row>
        <row r="9255">
          <cell r="G9255" t="str">
            <v>Phường Tam Hòa</v>
          </cell>
          <cell r="I9255" t="str">
            <v>71301</v>
          </cell>
        </row>
        <row r="9256">
          <cell r="G9256" t="str">
            <v xml:space="preserve">Phường Quyết Thắng   </v>
          </cell>
          <cell r="I9256" t="str">
            <v>71301</v>
          </cell>
        </row>
        <row r="9257">
          <cell r="G9257" t="str">
            <v xml:space="preserve">Phường Thanh Bình    </v>
          </cell>
          <cell r="I9257" t="str">
            <v>71301</v>
          </cell>
        </row>
        <row r="9258">
          <cell r="G9258" t="str">
            <v>Phường Bình Đa</v>
          </cell>
          <cell r="I9258" t="str">
            <v>71301</v>
          </cell>
        </row>
        <row r="9259">
          <cell r="G9259" t="str">
            <v>Phường Bửu Hòa</v>
          </cell>
          <cell r="I9259" t="str">
            <v>71301</v>
          </cell>
        </row>
        <row r="9260">
          <cell r="G9260" t="str">
            <v>Phường Long Bình Tân</v>
          </cell>
          <cell r="I9260" t="str">
            <v>71301</v>
          </cell>
        </row>
        <row r="9261">
          <cell r="G9261" t="str">
            <v xml:space="preserve">Xã Hiệp Hòa    </v>
          </cell>
          <cell r="I9261" t="str">
            <v>71301</v>
          </cell>
        </row>
        <row r="9262">
          <cell r="G9262" t="str">
            <v>Xã Hóa An</v>
          </cell>
          <cell r="I9262" t="str">
            <v>71301</v>
          </cell>
        </row>
        <row r="9263">
          <cell r="G9263" t="str">
            <v xml:space="preserve">Xã An Hòa     </v>
          </cell>
          <cell r="I9263" t="str">
            <v>71301</v>
          </cell>
        </row>
        <row r="9264">
          <cell r="G9264" t="str">
            <v xml:space="preserve">Xã Long Hưng   </v>
          </cell>
          <cell r="I9264" t="str">
            <v>71301</v>
          </cell>
        </row>
        <row r="9265">
          <cell r="G9265" t="str">
            <v xml:space="preserve">Xã Phước Tân    </v>
          </cell>
          <cell r="I9265" t="str">
            <v>71301</v>
          </cell>
        </row>
        <row r="9266">
          <cell r="G9266" t="str">
            <v xml:space="preserve">Xã Tam Phước </v>
          </cell>
          <cell r="I9266" t="str">
            <v>71301</v>
          </cell>
        </row>
        <row r="9267">
          <cell r="G9267" t="str">
            <v>Xã Suối Tre</v>
          </cell>
          <cell r="I9267" t="str">
            <v>71302</v>
          </cell>
        </row>
        <row r="9268">
          <cell r="G9268" t="str">
            <v>Phường Xuân Thanh</v>
          </cell>
          <cell r="I9268" t="str">
            <v>71302</v>
          </cell>
        </row>
        <row r="9269">
          <cell r="G9269" t="str">
            <v xml:space="preserve">Xã Bình Lộc </v>
          </cell>
          <cell r="I9269" t="str">
            <v>71302</v>
          </cell>
        </row>
        <row r="9270">
          <cell r="G9270" t="str">
            <v xml:space="preserve">Xã Xuân Lập </v>
          </cell>
          <cell r="I9270" t="str">
            <v>71302</v>
          </cell>
        </row>
        <row r="9271">
          <cell r="G9271" t="str">
            <v>Xã Hàng Gòn</v>
          </cell>
          <cell r="I9271" t="str">
            <v>71302</v>
          </cell>
        </row>
        <row r="9272">
          <cell r="G9272" t="str">
            <v>Phường Xuân Trung</v>
          </cell>
          <cell r="I9272" t="str">
            <v>71302</v>
          </cell>
        </row>
        <row r="9273">
          <cell r="G9273" t="str">
            <v>Phường Xuân Bình</v>
          </cell>
          <cell r="I9273" t="str">
            <v>71302</v>
          </cell>
        </row>
        <row r="9274">
          <cell r="G9274" t="str">
            <v>Phường Xuân An</v>
          </cell>
          <cell r="I9274" t="str">
            <v>71302</v>
          </cell>
        </row>
        <row r="9275">
          <cell r="G9275" t="str">
            <v xml:space="preserve">Phường Xuân Hoà </v>
          </cell>
          <cell r="I9275" t="str">
            <v>71302</v>
          </cell>
        </row>
        <row r="9276">
          <cell r="G9276" t="str">
            <v xml:space="preserve">Phường Phú Bình </v>
          </cell>
          <cell r="I9276" t="str">
            <v>71302</v>
          </cell>
        </row>
        <row r="9277">
          <cell r="G9277" t="str">
            <v>Xã Bảo Quang</v>
          </cell>
          <cell r="I9277" t="str">
            <v>71302</v>
          </cell>
        </row>
        <row r="9278">
          <cell r="G9278" t="str">
            <v>Xã Bảo Vinh</v>
          </cell>
          <cell r="I9278" t="str">
            <v>71302</v>
          </cell>
        </row>
        <row r="9279">
          <cell r="G9279" t="str">
            <v>Xã Bàu Sen</v>
          </cell>
          <cell r="I9279" t="str">
            <v>71302</v>
          </cell>
        </row>
        <row r="9280">
          <cell r="G9280" t="str">
            <v>Xã Bàu Trâm</v>
          </cell>
          <cell r="I9280" t="str">
            <v>71302</v>
          </cell>
        </row>
        <row r="9281">
          <cell r="G9281" t="str">
            <v xml:space="preserve">Xã Xuân Tân   </v>
          </cell>
          <cell r="I9281" t="str">
            <v>71302</v>
          </cell>
        </row>
        <row r="9282">
          <cell r="G9282" t="str">
            <v>Xã Tà Lài</v>
          </cell>
          <cell r="I9282" t="str">
            <v>71303</v>
          </cell>
        </row>
        <row r="9283">
          <cell r="G9283" t="str">
            <v>Xã Trà Cổ</v>
          </cell>
          <cell r="I9283" t="str">
            <v>71303</v>
          </cell>
        </row>
        <row r="9284">
          <cell r="G9284" t="str">
            <v xml:space="preserve">Xã Phú An   </v>
          </cell>
          <cell r="I9284" t="str">
            <v>71303</v>
          </cell>
        </row>
        <row r="9285">
          <cell r="G9285" t="str">
            <v>Xã Phú Lập</v>
          </cell>
          <cell r="I9285" t="str">
            <v>71303</v>
          </cell>
        </row>
        <row r="9286">
          <cell r="G9286" t="str">
            <v xml:space="preserve">Xã Phú Trung  </v>
          </cell>
          <cell r="I9286" t="str">
            <v>71303</v>
          </cell>
        </row>
        <row r="9287">
          <cell r="G9287" t="str">
            <v xml:space="preserve">Xã Phú Bình </v>
          </cell>
          <cell r="I9287" t="str">
            <v>71303</v>
          </cell>
        </row>
        <row r="9288">
          <cell r="G9288" t="str">
            <v xml:space="preserve">Thị trấn Tân Phú </v>
          </cell>
          <cell r="I9288" t="str">
            <v>71303</v>
          </cell>
        </row>
        <row r="9289">
          <cell r="G9289" t="str">
            <v>Xã Dak Lua</v>
          </cell>
          <cell r="I9289" t="str">
            <v>71303</v>
          </cell>
        </row>
        <row r="9290">
          <cell r="G9290" t="str">
            <v>Xã Nam Cát Tiên</v>
          </cell>
          <cell r="I9290" t="str">
            <v>71303</v>
          </cell>
        </row>
        <row r="9291">
          <cell r="G9291" t="str">
            <v>Xã Núi Tượng</v>
          </cell>
          <cell r="I9291" t="str">
            <v>71303</v>
          </cell>
        </row>
        <row r="9292">
          <cell r="G9292" t="str">
            <v xml:space="preserve">Xã Phú Sơn        </v>
          </cell>
          <cell r="I9292" t="str">
            <v>71303</v>
          </cell>
        </row>
        <row r="9293">
          <cell r="G9293" t="str">
            <v xml:space="preserve">Xã Phú Thịnh     </v>
          </cell>
          <cell r="I9293" t="str">
            <v>71303</v>
          </cell>
        </row>
        <row r="9294">
          <cell r="G9294" t="str">
            <v xml:space="preserve">Xã Thanh Sơn        </v>
          </cell>
          <cell r="I9294" t="str">
            <v>71303</v>
          </cell>
        </row>
        <row r="9295">
          <cell r="G9295" t="str">
            <v xml:space="preserve">Xã Phú Xuân      </v>
          </cell>
          <cell r="I9295" t="str">
            <v>71303</v>
          </cell>
        </row>
        <row r="9296">
          <cell r="G9296" t="str">
            <v xml:space="preserve">Xã Phú Lộc     </v>
          </cell>
          <cell r="I9296" t="str">
            <v>71303</v>
          </cell>
        </row>
        <row r="9297">
          <cell r="G9297" t="str">
            <v xml:space="preserve">Xã Phú Lâm   </v>
          </cell>
          <cell r="I9297" t="str">
            <v>71303</v>
          </cell>
        </row>
        <row r="9298">
          <cell r="G9298" t="str">
            <v xml:space="preserve">Xã Phú Thanh  </v>
          </cell>
          <cell r="I9298" t="str">
            <v>71303</v>
          </cell>
        </row>
        <row r="9299">
          <cell r="G9299" t="str">
            <v xml:space="preserve">Xã Phú Điền </v>
          </cell>
          <cell r="I9299" t="str">
            <v>71303</v>
          </cell>
        </row>
        <row r="9300">
          <cell r="G9300" t="str">
            <v>Xã Phú Ngọc</v>
          </cell>
          <cell r="I9300" t="str">
            <v>71305</v>
          </cell>
        </row>
        <row r="9301">
          <cell r="G9301" t="str">
            <v>Xã Ngọc Định</v>
          </cell>
          <cell r="I9301" t="str">
            <v>71305</v>
          </cell>
        </row>
        <row r="9302">
          <cell r="G9302" t="str">
            <v xml:space="preserve">Xã Phú Cường     </v>
          </cell>
          <cell r="I9302" t="str">
            <v>71305</v>
          </cell>
        </row>
        <row r="9303">
          <cell r="G9303" t="str">
            <v>Thị trấn Định Quán</v>
          </cell>
          <cell r="I9303" t="str">
            <v>71305</v>
          </cell>
        </row>
        <row r="9304">
          <cell r="G9304" t="str">
            <v xml:space="preserve">Xã Thanh Sơn         </v>
          </cell>
          <cell r="I9304" t="str">
            <v>71305</v>
          </cell>
        </row>
        <row r="9305">
          <cell r="G9305" t="str">
            <v>Xã Phú Tân</v>
          </cell>
          <cell r="I9305" t="str">
            <v>71305</v>
          </cell>
        </row>
        <row r="9306">
          <cell r="G9306" t="str">
            <v xml:space="preserve">Xã Phú Vinh  </v>
          </cell>
          <cell r="I9306" t="str">
            <v>71305</v>
          </cell>
        </row>
        <row r="9307">
          <cell r="G9307" t="str">
            <v>Xã Phú Lợi</v>
          </cell>
          <cell r="I9307" t="str">
            <v>71305</v>
          </cell>
        </row>
        <row r="9308">
          <cell r="G9308" t="str">
            <v xml:space="preserve">Xã Phú Hòa </v>
          </cell>
          <cell r="I9308" t="str">
            <v>71305</v>
          </cell>
        </row>
        <row r="9309">
          <cell r="G9309" t="str">
            <v>Xã La Ngà</v>
          </cell>
          <cell r="I9309" t="str">
            <v>71305</v>
          </cell>
        </row>
        <row r="9310">
          <cell r="G9310" t="str">
            <v>Xã Gia Canh</v>
          </cell>
          <cell r="I9310" t="str">
            <v>71305</v>
          </cell>
        </row>
        <row r="9311">
          <cell r="G9311" t="str">
            <v>Xã Túc Trưng</v>
          </cell>
          <cell r="I9311" t="str">
            <v>71305</v>
          </cell>
        </row>
        <row r="9312">
          <cell r="G9312" t="str">
            <v xml:space="preserve">Xã Phú Túc </v>
          </cell>
          <cell r="I9312" t="str">
            <v>71305</v>
          </cell>
        </row>
        <row r="9313">
          <cell r="G9313" t="str">
            <v>Xã Suối Nho</v>
          </cell>
          <cell r="I9313" t="str">
            <v>71305</v>
          </cell>
        </row>
        <row r="9314">
          <cell r="G9314" t="str">
            <v xml:space="preserve">Xã Hiếu Liêm </v>
          </cell>
          <cell r="I9314" t="str">
            <v>71307</v>
          </cell>
        </row>
        <row r="9315">
          <cell r="G9315" t="str">
            <v>Thị trấn Vĩnh An</v>
          </cell>
          <cell r="I9315" t="str">
            <v>71307</v>
          </cell>
        </row>
        <row r="9316">
          <cell r="G9316" t="str">
            <v xml:space="preserve">Xã Vĩnh Tân   </v>
          </cell>
          <cell r="I9316" t="str">
            <v>71307</v>
          </cell>
        </row>
        <row r="9317">
          <cell r="G9317" t="str">
            <v>Xã Thiện Tân</v>
          </cell>
          <cell r="I9317" t="str">
            <v>71307</v>
          </cell>
        </row>
        <row r="9318">
          <cell r="G9318" t="str">
            <v xml:space="preserve">Xã Tân Bình       </v>
          </cell>
          <cell r="I9318" t="str">
            <v>71307</v>
          </cell>
        </row>
        <row r="9319">
          <cell r="G9319" t="str">
            <v xml:space="preserve">Xã Bình Hòa    </v>
          </cell>
          <cell r="I9319" t="str">
            <v>71307</v>
          </cell>
        </row>
        <row r="9320">
          <cell r="G9320" t="str">
            <v>Xã Mã Đà</v>
          </cell>
          <cell r="I9320" t="str">
            <v>71307</v>
          </cell>
        </row>
        <row r="9321">
          <cell r="G9321" t="str">
            <v>Xã Thạnh Phú</v>
          </cell>
          <cell r="I9321" t="str">
            <v>71307</v>
          </cell>
        </row>
        <row r="9322">
          <cell r="G9322" t="str">
            <v>Xã Phú Lý</v>
          </cell>
          <cell r="I9322" t="str">
            <v>71307</v>
          </cell>
        </row>
        <row r="9323">
          <cell r="G9323" t="str">
            <v>Xã Trị An</v>
          </cell>
          <cell r="I9323" t="str">
            <v>71307</v>
          </cell>
        </row>
        <row r="9324">
          <cell r="G9324" t="str">
            <v xml:space="preserve">Xã Tân An      </v>
          </cell>
          <cell r="I9324" t="str">
            <v>71307</v>
          </cell>
        </row>
        <row r="9325">
          <cell r="G9325" t="str">
            <v xml:space="preserve">Xã Bình Lợi </v>
          </cell>
          <cell r="I9325" t="str">
            <v>71307</v>
          </cell>
        </row>
        <row r="9326">
          <cell r="G9326" t="str">
            <v xml:space="preserve">Xã Bắc Sơn             </v>
          </cell>
          <cell r="I9326" t="str">
            <v>71308</v>
          </cell>
        </row>
        <row r="9327">
          <cell r="G9327" t="str">
            <v>Thị trấn Trảng Bom</v>
          </cell>
          <cell r="I9327" t="str">
            <v>71308</v>
          </cell>
        </row>
        <row r="9328">
          <cell r="G9328" t="str">
            <v>Xã Sông Trầu</v>
          </cell>
          <cell r="I9328" t="str">
            <v>71308</v>
          </cell>
        </row>
        <row r="9329">
          <cell r="G9329" t="str">
            <v>Xã Tây Hoà</v>
          </cell>
          <cell r="I9329" t="str">
            <v>71308</v>
          </cell>
        </row>
        <row r="9330">
          <cell r="G9330" t="str">
            <v xml:space="preserve">Xã Hưng Thịnh    </v>
          </cell>
          <cell r="I9330" t="str">
            <v>71308</v>
          </cell>
        </row>
        <row r="9331">
          <cell r="G9331" t="str">
            <v xml:space="preserve">Xã Thanh Bình     </v>
          </cell>
          <cell r="I9331" t="str">
            <v>71308</v>
          </cell>
        </row>
        <row r="9332">
          <cell r="G9332" t="str">
            <v>Xã Cây Gáo</v>
          </cell>
          <cell r="I9332" t="str">
            <v>71308</v>
          </cell>
        </row>
        <row r="9333">
          <cell r="G9333" t="str">
            <v>Xã Bàu Hàm</v>
          </cell>
          <cell r="I9333" t="str">
            <v>71308</v>
          </cell>
        </row>
        <row r="9334">
          <cell r="G9334" t="str">
            <v>Xã Sông Thao</v>
          </cell>
          <cell r="I9334" t="str">
            <v>71308</v>
          </cell>
        </row>
        <row r="9335">
          <cell r="G9335" t="str">
            <v>Xã Đông Hoà</v>
          </cell>
          <cell r="I9335" t="str">
            <v>71308</v>
          </cell>
        </row>
        <row r="9336">
          <cell r="G9336" t="str">
            <v>Xã Hố Nai 3</v>
          </cell>
          <cell r="I9336" t="str">
            <v>71308</v>
          </cell>
        </row>
        <row r="9337">
          <cell r="G9337" t="str">
            <v xml:space="preserve">Xã Bình Minh          </v>
          </cell>
          <cell r="I9337" t="str">
            <v>71308</v>
          </cell>
        </row>
        <row r="9338">
          <cell r="G9338" t="str">
            <v xml:space="preserve">Xã Trung Hoà </v>
          </cell>
          <cell r="I9338" t="str">
            <v>71308</v>
          </cell>
        </row>
        <row r="9339">
          <cell r="G9339" t="str">
            <v>Xã Đồi 61</v>
          </cell>
          <cell r="I9339" t="str">
            <v>71308</v>
          </cell>
        </row>
        <row r="9340">
          <cell r="G9340" t="str">
            <v xml:space="preserve">Xã Quảng Tiến  </v>
          </cell>
          <cell r="I9340" t="str">
            <v>71308</v>
          </cell>
        </row>
        <row r="9341">
          <cell r="G9341" t="str">
            <v>Xã Giang Điền</v>
          </cell>
          <cell r="I9341" t="str">
            <v>71308</v>
          </cell>
        </row>
        <row r="9342">
          <cell r="G9342" t="str">
            <v>Xã An Viễn</v>
          </cell>
          <cell r="I9342" t="str">
            <v>71308</v>
          </cell>
        </row>
        <row r="9343">
          <cell r="G9343" t="str">
            <v>Xã Gia Tân 2</v>
          </cell>
          <cell r="I9343" t="str">
            <v>71309</v>
          </cell>
        </row>
        <row r="9344">
          <cell r="G9344" t="str">
            <v>Xã Gia Tân 1</v>
          </cell>
          <cell r="I9344" t="str">
            <v>71309</v>
          </cell>
        </row>
        <row r="9345">
          <cell r="G9345" t="str">
            <v xml:space="preserve">Xã Quang Trung           </v>
          </cell>
          <cell r="I9345" t="str">
            <v>71309</v>
          </cell>
        </row>
        <row r="9346">
          <cell r="G9346" t="str">
            <v xml:space="preserve">Xã Xuân Thiện </v>
          </cell>
          <cell r="I9346" t="str">
            <v>71309</v>
          </cell>
        </row>
        <row r="9347">
          <cell r="G9347" t="str">
            <v>Xã Gia Tân 3</v>
          </cell>
          <cell r="I9347" t="str">
            <v>71309</v>
          </cell>
        </row>
        <row r="9348">
          <cell r="G9348" t="str">
            <v>Xã Gia Kiệm</v>
          </cell>
          <cell r="I9348" t="str">
            <v>71309</v>
          </cell>
        </row>
        <row r="9349">
          <cell r="G9349" t="str">
            <v>Xã Bàu Hàm 2</v>
          </cell>
          <cell r="I9349" t="str">
            <v>71309</v>
          </cell>
        </row>
        <row r="9350">
          <cell r="G9350" t="str">
            <v xml:space="preserve">Xã Hưng Lộc  </v>
          </cell>
          <cell r="I9350" t="str">
            <v>71309</v>
          </cell>
        </row>
        <row r="9351">
          <cell r="G9351" t="str">
            <v>Xã Lộ 25</v>
          </cell>
          <cell r="I9351" t="str">
            <v>71309</v>
          </cell>
        </row>
        <row r="9352">
          <cell r="G9352" t="str">
            <v>Xã Xuân Thạnh</v>
          </cell>
          <cell r="I9352" t="str">
            <v>71309</v>
          </cell>
        </row>
        <row r="9353">
          <cell r="G9353" t="str">
            <v>Xã Xuân Đường</v>
          </cell>
          <cell r="I9353" t="str">
            <v>71311</v>
          </cell>
        </row>
        <row r="9354">
          <cell r="G9354" t="str">
            <v xml:space="preserve">Xã Nhân Nghĩa  </v>
          </cell>
          <cell r="I9354" t="str">
            <v>71311</v>
          </cell>
        </row>
        <row r="9355">
          <cell r="G9355" t="str">
            <v>Xã Thừa Đức</v>
          </cell>
          <cell r="I9355" t="str">
            <v>71311</v>
          </cell>
        </row>
        <row r="9356">
          <cell r="G9356" t="str">
            <v>Xã Xuân Đông</v>
          </cell>
          <cell r="I9356" t="str">
            <v>71311</v>
          </cell>
        </row>
        <row r="9357">
          <cell r="G9357" t="str">
            <v>Xã Sông Nhạn</v>
          </cell>
          <cell r="I9357" t="str">
            <v>71311</v>
          </cell>
        </row>
        <row r="9358">
          <cell r="G9358" t="str">
            <v>Xã Xuân Quế</v>
          </cell>
          <cell r="I9358" t="str">
            <v>71311</v>
          </cell>
        </row>
        <row r="9359">
          <cell r="G9359" t="str">
            <v>Xã Long Giao</v>
          </cell>
          <cell r="I9359" t="str">
            <v>71311</v>
          </cell>
        </row>
        <row r="9360">
          <cell r="G9360" t="str">
            <v xml:space="preserve">Xã Xuân Mỹ </v>
          </cell>
          <cell r="I9360" t="str">
            <v>71311</v>
          </cell>
        </row>
        <row r="9361">
          <cell r="G9361" t="str">
            <v>Xã Bảo Bình</v>
          </cell>
          <cell r="I9361" t="str">
            <v>71311</v>
          </cell>
        </row>
        <row r="9362">
          <cell r="G9362" t="str">
            <v>Xã Xuân Bảo</v>
          </cell>
          <cell r="I9362" t="str">
            <v>71311</v>
          </cell>
        </row>
        <row r="9363">
          <cell r="G9363" t="str">
            <v>Xã Xuân Tây</v>
          </cell>
          <cell r="I9363" t="str">
            <v>71311</v>
          </cell>
        </row>
        <row r="9364">
          <cell r="G9364" t="str">
            <v>Xã Sông Ray</v>
          </cell>
          <cell r="I9364" t="str">
            <v>71311</v>
          </cell>
        </row>
        <row r="9365">
          <cell r="G9365" t="str">
            <v>Xã Lâm San</v>
          </cell>
          <cell r="I9365" t="str">
            <v>71311</v>
          </cell>
        </row>
        <row r="9366">
          <cell r="G9366" t="str">
            <v>Xã Xuân Tâm</v>
          </cell>
          <cell r="I9366" t="str">
            <v>71313</v>
          </cell>
        </row>
        <row r="9367">
          <cell r="G9367" t="str">
            <v xml:space="preserve">Xã Xuân Bắc </v>
          </cell>
          <cell r="I9367" t="str">
            <v>71313</v>
          </cell>
        </row>
        <row r="9368">
          <cell r="G9368" t="str">
            <v xml:space="preserve">Xã Xuân Trường    </v>
          </cell>
          <cell r="I9368" t="str">
            <v>71313</v>
          </cell>
        </row>
        <row r="9369">
          <cell r="G9369" t="str">
            <v xml:space="preserve">Xã Suối Cát </v>
          </cell>
          <cell r="I9369" t="str">
            <v>71313</v>
          </cell>
        </row>
        <row r="9370">
          <cell r="G9370" t="str">
            <v>Xã Bảo Hoà</v>
          </cell>
          <cell r="I9370" t="str">
            <v>71313</v>
          </cell>
        </row>
        <row r="9371">
          <cell r="G9371" t="str">
            <v>Thị trấn Gia Ray</v>
          </cell>
          <cell r="I9371" t="str">
            <v>71313</v>
          </cell>
        </row>
        <row r="9372">
          <cell r="G9372" t="str">
            <v>Xã Suối Cao</v>
          </cell>
          <cell r="I9372" t="str">
            <v>71313</v>
          </cell>
        </row>
        <row r="9373">
          <cell r="G9373" t="str">
            <v xml:space="preserve">Xã Xuân Thành    </v>
          </cell>
          <cell r="I9373" t="str">
            <v>71313</v>
          </cell>
        </row>
        <row r="9374">
          <cell r="G9374" t="str">
            <v xml:space="preserve">Xã Xuân Thọ   </v>
          </cell>
          <cell r="I9374" t="str">
            <v>71313</v>
          </cell>
        </row>
        <row r="9375">
          <cell r="G9375" t="str">
            <v xml:space="preserve">Xã Xuân Hòa      </v>
          </cell>
          <cell r="I9375" t="str">
            <v>71313</v>
          </cell>
        </row>
        <row r="9376">
          <cell r="G9376" t="str">
            <v xml:space="preserve">Xã Xuân Hưng </v>
          </cell>
          <cell r="I9376" t="str">
            <v>71313</v>
          </cell>
        </row>
        <row r="9377">
          <cell r="G9377" t="str">
            <v>Xã Xuân Hiệp</v>
          </cell>
          <cell r="I9377" t="str">
            <v>71313</v>
          </cell>
        </row>
        <row r="9378">
          <cell r="G9378" t="str">
            <v xml:space="preserve">Xã Xuân Phú      </v>
          </cell>
          <cell r="I9378" t="str">
            <v>71313</v>
          </cell>
        </row>
        <row r="9379">
          <cell r="G9379" t="str">
            <v>Xã Xuân Định</v>
          </cell>
          <cell r="I9379" t="str">
            <v>71313</v>
          </cell>
        </row>
        <row r="9380">
          <cell r="G9380" t="str">
            <v>Xã Lang Minh</v>
          </cell>
          <cell r="I9380" t="str">
            <v>71313</v>
          </cell>
        </row>
        <row r="9381">
          <cell r="G9381" t="str">
            <v xml:space="preserve">Xã Long Phước </v>
          </cell>
          <cell r="I9381" t="str">
            <v>71315</v>
          </cell>
        </row>
        <row r="9382">
          <cell r="G9382" t="str">
            <v>Xã An Phước</v>
          </cell>
          <cell r="I9382" t="str">
            <v>71315</v>
          </cell>
        </row>
        <row r="9383">
          <cell r="G9383" t="str">
            <v xml:space="preserve">Xã Bình Sơn        </v>
          </cell>
          <cell r="I9383" t="str">
            <v>71315</v>
          </cell>
        </row>
        <row r="9384">
          <cell r="G9384" t="str">
            <v>Xã Long An</v>
          </cell>
          <cell r="I9384" t="str">
            <v>71315</v>
          </cell>
        </row>
        <row r="9385">
          <cell r="G9385" t="str">
            <v xml:space="preserve">Xã Phước Bình </v>
          </cell>
          <cell r="I9385" t="str">
            <v>71315</v>
          </cell>
        </row>
        <row r="9386">
          <cell r="G9386" t="str">
            <v>Thị trấn Long Thành</v>
          </cell>
          <cell r="I9386" t="str">
            <v>71315</v>
          </cell>
        </row>
        <row r="9387">
          <cell r="G9387" t="str">
            <v xml:space="preserve">Xã Bình An  </v>
          </cell>
          <cell r="I9387" t="str">
            <v>71315</v>
          </cell>
        </row>
        <row r="9388">
          <cell r="G9388" t="str">
            <v>Xã Long Đức</v>
          </cell>
          <cell r="I9388" t="str">
            <v>71315</v>
          </cell>
        </row>
        <row r="9389">
          <cell r="G9389" t="str">
            <v xml:space="preserve">Xã Lộc An    </v>
          </cell>
          <cell r="I9389" t="str">
            <v>71315</v>
          </cell>
        </row>
        <row r="9390">
          <cell r="G9390" t="str">
            <v xml:space="preserve">Xã Tam An </v>
          </cell>
          <cell r="I9390" t="str">
            <v>71315</v>
          </cell>
        </row>
        <row r="9391">
          <cell r="G9391" t="str">
            <v>Xã Cẩm Đường</v>
          </cell>
          <cell r="I9391" t="str">
            <v>71315</v>
          </cell>
        </row>
        <row r="9392">
          <cell r="G9392" t="str">
            <v>Xã Suối Trầu</v>
          </cell>
          <cell r="I9392" t="str">
            <v>71315</v>
          </cell>
        </row>
        <row r="9393">
          <cell r="G9393" t="str">
            <v xml:space="preserve">Xã Bàu Cạn </v>
          </cell>
          <cell r="I9393" t="str">
            <v>71315</v>
          </cell>
        </row>
        <row r="9394">
          <cell r="G9394" t="str">
            <v xml:space="preserve">Xã Tân Hiệp      </v>
          </cell>
          <cell r="I9394" t="str">
            <v>71315</v>
          </cell>
        </row>
        <row r="9395">
          <cell r="G9395" t="str">
            <v xml:space="preserve">Xã Phước Thái </v>
          </cell>
          <cell r="I9395" t="str">
            <v>71315</v>
          </cell>
        </row>
        <row r="9396">
          <cell r="G9396" t="str">
            <v xml:space="preserve">Xã Phú Hội </v>
          </cell>
          <cell r="I9396" t="str">
            <v>71317</v>
          </cell>
        </row>
        <row r="9397">
          <cell r="G9397" t="str">
            <v>Xã Đại Phước</v>
          </cell>
          <cell r="I9397" t="str">
            <v>71317</v>
          </cell>
        </row>
        <row r="9398">
          <cell r="G9398" t="str">
            <v>Xã Phú Thạnh</v>
          </cell>
          <cell r="I9398" t="str">
            <v>71317</v>
          </cell>
        </row>
        <row r="9399">
          <cell r="G9399" t="str">
            <v>Xã Phước Khánh</v>
          </cell>
          <cell r="I9399" t="str">
            <v>71317</v>
          </cell>
        </row>
        <row r="9400">
          <cell r="G9400" t="str">
            <v>Xã Phước Thiền</v>
          </cell>
          <cell r="I9400" t="str">
            <v>71317</v>
          </cell>
        </row>
        <row r="9401">
          <cell r="G9401" t="str">
            <v xml:space="preserve">Xã Long Tân   </v>
          </cell>
          <cell r="I9401" t="str">
            <v>71317</v>
          </cell>
        </row>
        <row r="9402">
          <cell r="G9402" t="str">
            <v xml:space="preserve">Xã Hiệp Phước </v>
          </cell>
          <cell r="I9402" t="str">
            <v>71317</v>
          </cell>
        </row>
        <row r="9403">
          <cell r="G9403" t="str">
            <v>Xã Phú Hữu</v>
          </cell>
          <cell r="I9403" t="str">
            <v>71317</v>
          </cell>
        </row>
        <row r="9404">
          <cell r="G9404" t="str">
            <v xml:space="preserve">Xã Phú Đông </v>
          </cell>
          <cell r="I9404" t="str">
            <v>71317</v>
          </cell>
        </row>
        <row r="9405">
          <cell r="G9405" t="str">
            <v>Xã Long Thọ</v>
          </cell>
          <cell r="I9405" t="str">
            <v>71317</v>
          </cell>
        </row>
        <row r="9406">
          <cell r="G9406" t="str">
            <v>Xã Vĩnh Thanh</v>
          </cell>
          <cell r="I9406" t="str">
            <v>71317</v>
          </cell>
        </row>
        <row r="9407">
          <cell r="G9407" t="str">
            <v xml:space="preserve">Xã Phước An  </v>
          </cell>
          <cell r="I9407" t="str">
            <v>71317</v>
          </cell>
        </row>
        <row r="9408">
          <cell r="G9408" t="str">
            <v>Phường Phú Tài</v>
          </cell>
          <cell r="I9408" t="str">
            <v>71501</v>
          </cell>
        </row>
        <row r="9409">
          <cell r="G9409" t="str">
            <v xml:space="preserve">Xã Tiến Thành  </v>
          </cell>
          <cell r="I9409" t="str">
            <v>71501</v>
          </cell>
        </row>
        <row r="9410">
          <cell r="G9410" t="str">
            <v>Phường Phú Hài</v>
          </cell>
          <cell r="I9410" t="str">
            <v>71501</v>
          </cell>
        </row>
        <row r="9411">
          <cell r="G9411" t="str">
            <v xml:space="preserve">Phường Xuân An </v>
          </cell>
          <cell r="I9411" t="str">
            <v>71501</v>
          </cell>
        </row>
        <row r="9412">
          <cell r="G9412" t="str">
            <v>Phường Lạc Đạo</v>
          </cell>
          <cell r="I9412" t="str">
            <v>71501</v>
          </cell>
        </row>
        <row r="9413">
          <cell r="G9413" t="str">
            <v>Xã Thiện Nghiệp</v>
          </cell>
          <cell r="I9413" t="str">
            <v>71501</v>
          </cell>
        </row>
        <row r="9414">
          <cell r="G9414" t="str">
            <v>Phường Mũi Né</v>
          </cell>
          <cell r="I9414" t="str">
            <v>71501</v>
          </cell>
        </row>
        <row r="9415">
          <cell r="G9415" t="str">
            <v>Phường Hàm Tiến</v>
          </cell>
          <cell r="I9415" t="str">
            <v>71501</v>
          </cell>
        </row>
        <row r="9416">
          <cell r="G9416" t="str">
            <v>Phường Phú Thủy</v>
          </cell>
          <cell r="I9416" t="str">
            <v>71501</v>
          </cell>
        </row>
        <row r="9417">
          <cell r="G9417" t="str">
            <v>Phường Phú Trinh</v>
          </cell>
          <cell r="I9417" t="str">
            <v>71501</v>
          </cell>
        </row>
        <row r="9418">
          <cell r="G9418" t="str">
            <v>Phường Thanh Hải</v>
          </cell>
          <cell r="I9418" t="str">
            <v>71501</v>
          </cell>
        </row>
        <row r="9419">
          <cell r="G9419" t="str">
            <v>Phường Bình Hưng</v>
          </cell>
          <cell r="I9419" t="str">
            <v>71501</v>
          </cell>
        </row>
        <row r="9420">
          <cell r="G9420" t="str">
            <v>Phường Đức Nghĩa</v>
          </cell>
          <cell r="I9420" t="str">
            <v>71501</v>
          </cell>
        </row>
        <row r="9421">
          <cell r="G9421" t="str">
            <v xml:space="preserve">Phường Đức Thắng </v>
          </cell>
          <cell r="I9421" t="str">
            <v>71501</v>
          </cell>
        </row>
        <row r="9422">
          <cell r="G9422" t="str">
            <v>Phường Hưng Long</v>
          </cell>
          <cell r="I9422" t="str">
            <v>71501</v>
          </cell>
        </row>
        <row r="9423">
          <cell r="G9423" t="str">
            <v>Phường Đức Long</v>
          </cell>
          <cell r="I9423" t="str">
            <v>71501</v>
          </cell>
        </row>
        <row r="9424">
          <cell r="G9424" t="str">
            <v>Xã Phong Nẫm</v>
          </cell>
          <cell r="I9424" t="str">
            <v>71501</v>
          </cell>
        </row>
        <row r="9425">
          <cell r="G9425" t="str">
            <v>Xã Tiến Lợi</v>
          </cell>
          <cell r="I9425" t="str">
            <v>71501</v>
          </cell>
        </row>
        <row r="9426">
          <cell r="G9426" t="str">
            <v xml:space="preserve">Xã Phong Phú   </v>
          </cell>
          <cell r="I9426" t="str">
            <v>71503</v>
          </cell>
        </row>
        <row r="9427">
          <cell r="G9427" t="str">
            <v>Thị trấn Phan Rí Cửa</v>
          </cell>
          <cell r="I9427" t="str">
            <v>71503</v>
          </cell>
        </row>
        <row r="9428">
          <cell r="G9428" t="str">
            <v xml:space="preserve">Xã Phú Lạc  </v>
          </cell>
          <cell r="I9428" t="str">
            <v>71503</v>
          </cell>
        </row>
        <row r="9429">
          <cell r="G9429" t="str">
            <v>Xã Chí Công</v>
          </cell>
          <cell r="I9429" t="str">
            <v>71503</v>
          </cell>
        </row>
        <row r="9430">
          <cell r="G9430" t="str">
            <v>Thị trấn Liên Hương</v>
          </cell>
          <cell r="I9430" t="str">
            <v>71503</v>
          </cell>
        </row>
        <row r="9431">
          <cell r="G9431" t="str">
            <v>Xã Phan Dũng</v>
          </cell>
          <cell r="I9431" t="str">
            <v>71503</v>
          </cell>
        </row>
        <row r="9432">
          <cell r="G9432" t="str">
            <v xml:space="preserve">Xã Vĩnh Hảo  </v>
          </cell>
          <cell r="I9432" t="str">
            <v>71503</v>
          </cell>
        </row>
        <row r="9433">
          <cell r="G9433" t="str">
            <v xml:space="preserve">Xã Vĩnh Tân    </v>
          </cell>
          <cell r="I9433" t="str">
            <v>71503</v>
          </cell>
        </row>
        <row r="9434">
          <cell r="G9434" t="str">
            <v>Xã Phước Thể</v>
          </cell>
          <cell r="I9434" t="str">
            <v>71503</v>
          </cell>
        </row>
        <row r="9435">
          <cell r="G9435" t="str">
            <v>Xã Hòa Minh</v>
          </cell>
          <cell r="I9435" t="str">
            <v>71503</v>
          </cell>
        </row>
        <row r="9436">
          <cell r="G9436" t="str">
            <v xml:space="preserve">Xã Bình Thạnh   </v>
          </cell>
          <cell r="I9436" t="str">
            <v>71503</v>
          </cell>
        </row>
        <row r="9437">
          <cell r="G9437" t="str">
            <v xml:space="preserve">Xã Hoà Phú  </v>
          </cell>
          <cell r="I9437" t="str">
            <v>71503</v>
          </cell>
        </row>
        <row r="9438">
          <cell r="G9438" t="str">
            <v xml:space="preserve">Xã Bình An   </v>
          </cell>
          <cell r="I9438" t="str">
            <v>71505</v>
          </cell>
        </row>
        <row r="9439">
          <cell r="G9439" t="str">
            <v>Xã Phan Rí Thành</v>
          </cell>
          <cell r="I9439" t="str">
            <v>71505</v>
          </cell>
        </row>
        <row r="9440">
          <cell r="G9440" t="str">
            <v>Xã Phan Sơn</v>
          </cell>
          <cell r="I9440" t="str">
            <v>71505</v>
          </cell>
        </row>
        <row r="9441">
          <cell r="G9441" t="str">
            <v xml:space="preserve">Xã Hải Ninh   </v>
          </cell>
          <cell r="I9441" t="str">
            <v>71505</v>
          </cell>
        </row>
        <row r="9442">
          <cell r="G9442" t="str">
            <v xml:space="preserve">Thị trấn Lương Sơn </v>
          </cell>
          <cell r="I9442" t="str">
            <v>71505</v>
          </cell>
        </row>
        <row r="9443">
          <cell r="G9443" t="str">
            <v>Xã Phan Hiệp</v>
          </cell>
          <cell r="I9443" t="str">
            <v>71505</v>
          </cell>
        </row>
        <row r="9444">
          <cell r="G9444" t="str">
            <v xml:space="preserve">Xã Hồng Phong        </v>
          </cell>
          <cell r="I9444" t="str">
            <v>71505</v>
          </cell>
        </row>
        <row r="9445">
          <cell r="G9445" t="str">
            <v>Thị trấn Chợ Lầu</v>
          </cell>
          <cell r="I9445" t="str">
            <v>71505</v>
          </cell>
        </row>
        <row r="9446">
          <cell r="G9446" t="str">
            <v>Xã Phan Lâm</v>
          </cell>
          <cell r="I9446" t="str">
            <v>71505</v>
          </cell>
        </row>
        <row r="9447">
          <cell r="G9447" t="str">
            <v>Xã Phan Điền</v>
          </cell>
          <cell r="I9447" t="str">
            <v>71505</v>
          </cell>
        </row>
        <row r="9448">
          <cell r="G9448" t="str">
            <v>Xã Sông Lũy</v>
          </cell>
          <cell r="I9448" t="str">
            <v>71505</v>
          </cell>
        </row>
        <row r="9449">
          <cell r="G9449" t="str">
            <v>Xã Phan Tiến</v>
          </cell>
          <cell r="I9449" t="str">
            <v>71505</v>
          </cell>
        </row>
        <row r="9450">
          <cell r="G9450" t="str">
            <v>Xã Sông Bình</v>
          </cell>
          <cell r="I9450" t="str">
            <v>71505</v>
          </cell>
        </row>
        <row r="9451">
          <cell r="G9451" t="str">
            <v>Xã Phan Hòa</v>
          </cell>
          <cell r="I9451" t="str">
            <v>71505</v>
          </cell>
        </row>
        <row r="9452">
          <cell r="G9452" t="str">
            <v xml:space="preserve">Xã Phan Thanh   </v>
          </cell>
          <cell r="I9452" t="str">
            <v>71505</v>
          </cell>
        </row>
        <row r="9453">
          <cell r="G9453" t="str">
            <v xml:space="preserve">Xã Hồng Thái         </v>
          </cell>
          <cell r="I9453" t="str">
            <v>71505</v>
          </cell>
        </row>
        <row r="9454">
          <cell r="G9454" t="str">
            <v xml:space="preserve">Xã Bình Tân    </v>
          </cell>
          <cell r="I9454" t="str">
            <v>71505</v>
          </cell>
        </row>
        <row r="9455">
          <cell r="G9455" t="str">
            <v xml:space="preserve">Xã Hòa Thắng   </v>
          </cell>
          <cell r="I9455" t="str">
            <v>71505</v>
          </cell>
        </row>
        <row r="9456">
          <cell r="G9456" t="str">
            <v>Xã Hàm Thắng</v>
          </cell>
          <cell r="I9456" t="str">
            <v>71507</v>
          </cell>
        </row>
        <row r="9457">
          <cell r="G9457" t="str">
            <v xml:space="preserve">Xã Đông Tiến  </v>
          </cell>
          <cell r="I9457" t="str">
            <v>71507</v>
          </cell>
        </row>
        <row r="9458">
          <cell r="G9458" t="str">
            <v>Xã Hồng Liêm</v>
          </cell>
          <cell r="I9458" t="str">
            <v>71507</v>
          </cell>
        </row>
        <row r="9459">
          <cell r="G9459" t="str">
            <v>Xã Thuận Minh</v>
          </cell>
          <cell r="I9459" t="str">
            <v>71507</v>
          </cell>
        </row>
        <row r="9460">
          <cell r="G9460" t="str">
            <v xml:space="preserve">Xã Hồng Sơn  </v>
          </cell>
          <cell r="I9460" t="str">
            <v>71507</v>
          </cell>
        </row>
        <row r="9461">
          <cell r="G9461" t="str">
            <v>Xã Hàm Trí</v>
          </cell>
          <cell r="I9461" t="str">
            <v>71507</v>
          </cell>
        </row>
        <row r="9462">
          <cell r="G9462" t="str">
            <v>Xã Hàm Đức</v>
          </cell>
          <cell r="I9462" t="str">
            <v>71507</v>
          </cell>
        </row>
        <row r="9463">
          <cell r="G9463" t="str">
            <v>Xã Hàm Liêm</v>
          </cell>
          <cell r="I9463" t="str">
            <v>71507</v>
          </cell>
        </row>
        <row r="9464">
          <cell r="G9464" t="str">
            <v>Xã Hàm Chính</v>
          </cell>
          <cell r="I9464" t="str">
            <v>71507</v>
          </cell>
        </row>
        <row r="9465">
          <cell r="G9465" t="str">
            <v>Xã Hàm Hiệp</v>
          </cell>
          <cell r="I9465" t="str">
            <v>71507</v>
          </cell>
        </row>
        <row r="9466">
          <cell r="G9466" t="str">
            <v>Xã Đa Mi</v>
          </cell>
          <cell r="I9466" t="str">
            <v>71507</v>
          </cell>
        </row>
        <row r="9467">
          <cell r="G9467" t="str">
            <v>Thị trấn Ma Lâm</v>
          </cell>
          <cell r="I9467" t="str">
            <v>71507</v>
          </cell>
        </row>
        <row r="9468">
          <cell r="G9468" t="str">
            <v>Thị trấn Phú Long</v>
          </cell>
          <cell r="I9468" t="str">
            <v>71507</v>
          </cell>
        </row>
        <row r="9469">
          <cell r="G9469" t="str">
            <v>Xã La Dạ</v>
          </cell>
          <cell r="I9469" t="str">
            <v>71507</v>
          </cell>
        </row>
        <row r="9470">
          <cell r="G9470" t="str">
            <v>Xã Thuận Hòa</v>
          </cell>
          <cell r="I9470" t="str">
            <v>71507</v>
          </cell>
        </row>
        <row r="9471">
          <cell r="G9471" t="str">
            <v xml:space="preserve">Xã Đông Giang </v>
          </cell>
          <cell r="I9471" t="str">
            <v>71507</v>
          </cell>
        </row>
        <row r="9472">
          <cell r="G9472" t="str">
            <v>Xã Hàm Phú</v>
          </cell>
          <cell r="I9472" t="str">
            <v>71507</v>
          </cell>
        </row>
        <row r="9473">
          <cell r="G9473" t="str">
            <v>Xã Hàm Minh</v>
          </cell>
          <cell r="I9473" t="str">
            <v>71509</v>
          </cell>
        </row>
        <row r="9474">
          <cell r="G9474" t="str">
            <v>Xã Hàm Cần</v>
          </cell>
          <cell r="I9474" t="str">
            <v>71509</v>
          </cell>
        </row>
        <row r="9475">
          <cell r="G9475" t="str">
            <v>Xã Hàm Cường</v>
          </cell>
          <cell r="I9475" t="str">
            <v>71509</v>
          </cell>
        </row>
        <row r="9476">
          <cell r="G9476" t="str">
            <v>Xã Thuận Quí</v>
          </cell>
          <cell r="I9476" t="str">
            <v>71509</v>
          </cell>
        </row>
        <row r="9477">
          <cell r="G9477" t="str">
            <v>Thị trấn Thuận Nam</v>
          </cell>
          <cell r="I9477" t="str">
            <v>71509</v>
          </cell>
        </row>
        <row r="9478">
          <cell r="G9478" t="str">
            <v>Xã Mỹ Thạnh</v>
          </cell>
          <cell r="I9478" t="str">
            <v>71509</v>
          </cell>
        </row>
        <row r="9479">
          <cell r="G9479" t="str">
            <v>Xã Mương Mán</v>
          </cell>
          <cell r="I9479" t="str">
            <v>71509</v>
          </cell>
        </row>
        <row r="9480">
          <cell r="G9480" t="str">
            <v>Xã Hàm Thạnh</v>
          </cell>
          <cell r="I9480" t="str">
            <v>71509</v>
          </cell>
        </row>
        <row r="9481">
          <cell r="G9481" t="str">
            <v>Xã Hàm Kiệm</v>
          </cell>
          <cell r="I9481" t="str">
            <v>71509</v>
          </cell>
        </row>
        <row r="9482">
          <cell r="G9482" t="str">
            <v>Xã Hàm Mỹ</v>
          </cell>
          <cell r="I9482" t="str">
            <v>71509</v>
          </cell>
        </row>
        <row r="9483">
          <cell r="G9483" t="str">
            <v xml:space="preserve">Xã Tân Lập                     </v>
          </cell>
          <cell r="I9483" t="str">
            <v>71509</v>
          </cell>
        </row>
        <row r="9484">
          <cell r="G9484" t="str">
            <v>Xã Tân Thuận</v>
          </cell>
          <cell r="I9484" t="str">
            <v>71509</v>
          </cell>
        </row>
        <row r="9485">
          <cell r="G9485" t="str">
            <v xml:space="preserve">Xã Tân Thành                  </v>
          </cell>
          <cell r="I9485" t="str">
            <v>71509</v>
          </cell>
        </row>
        <row r="9486">
          <cell r="G9486" t="str">
            <v xml:space="preserve">Xã Đức Phú </v>
          </cell>
          <cell r="I9486" t="str">
            <v>71511</v>
          </cell>
        </row>
        <row r="9487">
          <cell r="G9487" t="str">
            <v>Xã Bắc Ruộng</v>
          </cell>
          <cell r="I9487" t="str">
            <v>71511</v>
          </cell>
        </row>
        <row r="9488">
          <cell r="G9488" t="str">
            <v>Xã Huy Khiêm</v>
          </cell>
          <cell r="I9488" t="str">
            <v>71511</v>
          </cell>
        </row>
        <row r="9489">
          <cell r="G9489" t="str">
            <v>Xã Gia An</v>
          </cell>
          <cell r="I9489" t="str">
            <v>71511</v>
          </cell>
        </row>
        <row r="9490">
          <cell r="G9490" t="str">
            <v xml:space="preserve">Xã Đức Thuận </v>
          </cell>
          <cell r="I9490" t="str">
            <v>71511</v>
          </cell>
        </row>
        <row r="9491">
          <cell r="G9491" t="str">
            <v>Thị trấn Lạc Tánh</v>
          </cell>
          <cell r="I9491" t="str">
            <v>71511</v>
          </cell>
        </row>
        <row r="9492">
          <cell r="G9492" t="str">
            <v>Xã Măng Tố</v>
          </cell>
          <cell r="I9492" t="str">
            <v>71511</v>
          </cell>
        </row>
        <row r="9493">
          <cell r="G9493" t="str">
            <v>Xã Nghị Đức</v>
          </cell>
          <cell r="I9493" t="str">
            <v>71511</v>
          </cell>
        </row>
        <row r="9494">
          <cell r="G9494" t="str">
            <v>Xã La Ngâu</v>
          </cell>
          <cell r="I9494" t="str">
            <v>71511</v>
          </cell>
        </row>
        <row r="9495">
          <cell r="G9495" t="str">
            <v xml:space="preserve">Xã Đức Tân </v>
          </cell>
          <cell r="I9495" t="str">
            <v>71511</v>
          </cell>
        </row>
        <row r="9496">
          <cell r="G9496" t="str">
            <v>Xã Đồng Kho</v>
          </cell>
          <cell r="I9496" t="str">
            <v>71511</v>
          </cell>
        </row>
        <row r="9497">
          <cell r="G9497" t="str">
            <v>Xã Đức Bình</v>
          </cell>
          <cell r="I9497" t="str">
            <v>71511</v>
          </cell>
        </row>
        <row r="9498">
          <cell r="G9498" t="str">
            <v>Xã Gia Huynh</v>
          </cell>
          <cell r="I9498" t="str">
            <v>71511</v>
          </cell>
        </row>
        <row r="9499">
          <cell r="G9499" t="str">
            <v>Xã Suối Kiết</v>
          </cell>
          <cell r="I9499" t="str">
            <v>71511</v>
          </cell>
        </row>
        <row r="9500">
          <cell r="G9500" t="str">
            <v xml:space="preserve">Xã Tân Tiến               </v>
          </cell>
          <cell r="I9500" t="str">
            <v>71513</v>
          </cell>
        </row>
        <row r="9501">
          <cell r="G9501" t="str">
            <v>Phường Phước Hội</v>
          </cell>
          <cell r="I9501" t="str">
            <v>71513</v>
          </cell>
        </row>
        <row r="9502">
          <cell r="G9502" t="str">
            <v>Phường Phước Lộc</v>
          </cell>
          <cell r="I9502" t="str">
            <v>71513</v>
          </cell>
        </row>
        <row r="9503">
          <cell r="G9503" t="str">
            <v xml:space="preserve">Phường Tân Thiện </v>
          </cell>
          <cell r="I9503" t="str">
            <v>71513</v>
          </cell>
        </row>
        <row r="9504">
          <cell r="G9504" t="str">
            <v xml:space="preserve">Phường Tân An     </v>
          </cell>
          <cell r="I9504" t="str">
            <v>71513</v>
          </cell>
        </row>
        <row r="9505">
          <cell r="G9505" t="str">
            <v xml:space="preserve">Phường Bình Tân </v>
          </cell>
          <cell r="I9505" t="str">
            <v>71513</v>
          </cell>
        </row>
        <row r="9506">
          <cell r="G9506" t="str">
            <v xml:space="preserve">Xã Tân Hải </v>
          </cell>
          <cell r="I9506" t="str">
            <v>71513</v>
          </cell>
        </row>
        <row r="9507">
          <cell r="G9507" t="str">
            <v xml:space="preserve">Xã Tân Bình        </v>
          </cell>
          <cell r="I9507" t="str">
            <v>71513</v>
          </cell>
        </row>
        <row r="9508">
          <cell r="G9508" t="str">
            <v xml:space="preserve">Xã Tân Phước </v>
          </cell>
          <cell r="I9508" t="str">
            <v>71513</v>
          </cell>
        </row>
        <row r="9509">
          <cell r="G9509" t="str">
            <v xml:space="preserve">Xã Tân Phúc   </v>
          </cell>
          <cell r="I9509" t="str">
            <v>71514</v>
          </cell>
        </row>
        <row r="9510">
          <cell r="G9510" t="str">
            <v xml:space="preserve">Xã Tân Đức  </v>
          </cell>
          <cell r="I9510" t="str">
            <v>71514</v>
          </cell>
        </row>
        <row r="9511">
          <cell r="G9511" t="str">
            <v xml:space="preserve">Xã Sơn Mỹ </v>
          </cell>
          <cell r="I9511" t="str">
            <v>71514</v>
          </cell>
        </row>
        <row r="9512">
          <cell r="G9512" t="str">
            <v>Thị trấn Tân Minh</v>
          </cell>
          <cell r="I9512" t="str">
            <v>71514</v>
          </cell>
        </row>
        <row r="9513">
          <cell r="G9513" t="str">
            <v>Thị Trấn Tân Nghĩa</v>
          </cell>
          <cell r="I9513" t="str">
            <v>71514</v>
          </cell>
        </row>
        <row r="9514">
          <cell r="G9514" t="str">
            <v>Xã Sông Phan</v>
          </cell>
          <cell r="I9514" t="str">
            <v>71514</v>
          </cell>
        </row>
        <row r="9515">
          <cell r="G9515" t="str">
            <v xml:space="preserve">Xã Tân Thắng </v>
          </cell>
          <cell r="I9515" t="str">
            <v>71514</v>
          </cell>
        </row>
        <row r="9516">
          <cell r="G9516" t="str">
            <v xml:space="preserve">Xã Tân Hà  </v>
          </cell>
          <cell r="I9516" t="str">
            <v>71514</v>
          </cell>
        </row>
        <row r="9517">
          <cell r="G9517" t="str">
            <v xml:space="preserve">Xã Tân Xuân   </v>
          </cell>
          <cell r="I9517" t="str">
            <v>71514</v>
          </cell>
        </row>
        <row r="9518">
          <cell r="G9518" t="str">
            <v>Xã Thắng Hải</v>
          </cell>
          <cell r="I9518" t="str">
            <v>71514</v>
          </cell>
        </row>
        <row r="9519">
          <cell r="G9519" t="str">
            <v xml:space="preserve">Xã Nam Chính  </v>
          </cell>
          <cell r="I9519" t="str">
            <v>71515</v>
          </cell>
        </row>
        <row r="9520">
          <cell r="G9520" t="str">
            <v>Xã Đa Kai</v>
          </cell>
          <cell r="I9520" t="str">
            <v>71515</v>
          </cell>
        </row>
        <row r="9521">
          <cell r="G9521" t="str">
            <v xml:space="preserve">Xã Đức Chính </v>
          </cell>
          <cell r="I9521" t="str">
            <v>71515</v>
          </cell>
        </row>
        <row r="9522">
          <cell r="G9522" t="str">
            <v xml:space="preserve">Xã Tân Hà   </v>
          </cell>
          <cell r="I9522" t="str">
            <v>71515</v>
          </cell>
        </row>
        <row r="9523">
          <cell r="G9523" t="str">
            <v>Thị trấn Võ Xu</v>
          </cell>
          <cell r="I9523" t="str">
            <v>71515</v>
          </cell>
        </row>
        <row r="9524">
          <cell r="G9524" t="str">
            <v>Thị trấn Đức Tài</v>
          </cell>
          <cell r="I9524" t="str">
            <v>71515</v>
          </cell>
        </row>
        <row r="9525">
          <cell r="G9525" t="str">
            <v>Xã Sùng Nhơn</v>
          </cell>
          <cell r="I9525" t="str">
            <v>71515</v>
          </cell>
        </row>
        <row r="9526">
          <cell r="G9526" t="str">
            <v>Xã Mê Pu</v>
          </cell>
          <cell r="I9526" t="str">
            <v>71515</v>
          </cell>
        </row>
        <row r="9527">
          <cell r="G9527" t="str">
            <v xml:space="preserve">Xã Đức Hạnh  </v>
          </cell>
          <cell r="I9527" t="str">
            <v>71515</v>
          </cell>
        </row>
        <row r="9528">
          <cell r="G9528" t="str">
            <v>Xã Đức Tín</v>
          </cell>
          <cell r="I9528" t="str">
            <v>71515</v>
          </cell>
        </row>
        <row r="9529">
          <cell r="G9529" t="str">
            <v>Xã Vũ Hoà</v>
          </cell>
          <cell r="I9529" t="str">
            <v>71515</v>
          </cell>
        </row>
        <row r="9530">
          <cell r="G9530" t="str">
            <v xml:space="preserve">Xã Đông Hà  </v>
          </cell>
          <cell r="I9530" t="str">
            <v>71515</v>
          </cell>
        </row>
        <row r="9531">
          <cell r="G9531" t="str">
            <v xml:space="preserve">Xã Trà Tân  </v>
          </cell>
          <cell r="I9531" t="str">
            <v>71515</v>
          </cell>
        </row>
        <row r="9532">
          <cell r="G9532" t="str">
            <v xml:space="preserve">Xã Tam Thanh    </v>
          </cell>
          <cell r="I9532" t="str">
            <v>71517</v>
          </cell>
        </row>
        <row r="9533">
          <cell r="G9533" t="str">
            <v>Xã Ngũ Phụng</v>
          </cell>
          <cell r="I9533" t="str">
            <v>71517</v>
          </cell>
        </row>
        <row r="9534">
          <cell r="G9534" t="str">
            <v>Xã Long Hải</v>
          </cell>
          <cell r="I9534" t="str">
            <v>71517</v>
          </cell>
        </row>
        <row r="9535">
          <cell r="G9535" t="str">
            <v xml:space="preserve">Phường 1           </v>
          </cell>
          <cell r="I9535" t="str">
            <v>71701</v>
          </cell>
        </row>
        <row r="9536">
          <cell r="G9536" t="str">
            <v>Phường Nguyễn An Ninh</v>
          </cell>
          <cell r="I9536" t="str">
            <v>71701</v>
          </cell>
        </row>
        <row r="9537">
          <cell r="G9537" t="str">
            <v xml:space="preserve">Phường 10           </v>
          </cell>
          <cell r="I9537" t="str">
            <v>71701</v>
          </cell>
        </row>
        <row r="9538">
          <cell r="G9538" t="str">
            <v xml:space="preserve">Xã Long Sơn     </v>
          </cell>
          <cell r="I9538" t="str">
            <v>71701</v>
          </cell>
        </row>
        <row r="9539">
          <cell r="G9539" t="str">
            <v>Phường Thắng Tam</v>
          </cell>
          <cell r="I9539" t="str">
            <v>71701</v>
          </cell>
        </row>
        <row r="9540">
          <cell r="G9540" t="str">
            <v xml:space="preserve">Phường 2          </v>
          </cell>
          <cell r="I9540" t="str">
            <v>71701</v>
          </cell>
        </row>
        <row r="9541">
          <cell r="G9541" t="str">
            <v xml:space="preserve">Phường 3          </v>
          </cell>
          <cell r="I9541" t="str">
            <v>71701</v>
          </cell>
        </row>
        <row r="9542">
          <cell r="G9542" t="str">
            <v xml:space="preserve">Phường 4        </v>
          </cell>
          <cell r="I9542" t="str">
            <v>71701</v>
          </cell>
        </row>
        <row r="9543">
          <cell r="G9543" t="str">
            <v xml:space="preserve">Phường 5        </v>
          </cell>
          <cell r="I9543" t="str">
            <v>71701</v>
          </cell>
        </row>
        <row r="9544">
          <cell r="G9544" t="str">
            <v>Phường Thắng Nhì</v>
          </cell>
          <cell r="I9544" t="str">
            <v>71701</v>
          </cell>
        </row>
        <row r="9545">
          <cell r="G9545" t="str">
            <v xml:space="preserve">Phường 7       </v>
          </cell>
          <cell r="I9545" t="str">
            <v>71701</v>
          </cell>
        </row>
        <row r="9546">
          <cell r="G9546" t="str">
            <v xml:space="preserve">Phường 8      </v>
          </cell>
          <cell r="I9546" t="str">
            <v>71701</v>
          </cell>
        </row>
        <row r="9547">
          <cell r="G9547" t="str">
            <v xml:space="preserve">Phường 9      </v>
          </cell>
          <cell r="I9547" t="str">
            <v>71701</v>
          </cell>
        </row>
        <row r="9548">
          <cell r="G9548" t="str">
            <v>Phường Thắng Nhất</v>
          </cell>
          <cell r="I9548" t="str">
            <v>71701</v>
          </cell>
        </row>
        <row r="9549">
          <cell r="G9549" t="str">
            <v>Phường Rạch Dừa</v>
          </cell>
          <cell r="I9549" t="str">
            <v>71701</v>
          </cell>
        </row>
        <row r="9550">
          <cell r="G9550" t="str">
            <v xml:space="preserve">Phường 11           </v>
          </cell>
          <cell r="I9550" t="str">
            <v>71701</v>
          </cell>
        </row>
        <row r="9551">
          <cell r="G9551" t="str">
            <v xml:space="preserve">Phường 12            </v>
          </cell>
          <cell r="I9551" t="str">
            <v>71701</v>
          </cell>
        </row>
        <row r="9552">
          <cell r="G9552" t="str">
            <v>Phường Phước Hiệp</v>
          </cell>
          <cell r="I9552" t="str">
            <v>71703</v>
          </cell>
        </row>
        <row r="9553">
          <cell r="G9553" t="str">
            <v>Phường Long Toàn</v>
          </cell>
          <cell r="I9553" t="str">
            <v>71703</v>
          </cell>
        </row>
        <row r="9554">
          <cell r="G9554" t="str">
            <v>Phường Phước Hưng</v>
          </cell>
          <cell r="I9554" t="str">
            <v>71703</v>
          </cell>
        </row>
        <row r="9555">
          <cell r="G9555" t="str">
            <v>Phường Phước Nguyên</v>
          </cell>
          <cell r="I9555" t="str">
            <v>71703</v>
          </cell>
        </row>
        <row r="9556">
          <cell r="G9556" t="str">
            <v>Phường Long Tâm</v>
          </cell>
          <cell r="I9556" t="str">
            <v>71703</v>
          </cell>
        </row>
        <row r="9557">
          <cell r="G9557" t="str">
            <v>Phường Phước Trung</v>
          </cell>
          <cell r="I9557" t="str">
            <v>71703</v>
          </cell>
        </row>
        <row r="9558">
          <cell r="G9558" t="str">
            <v>Phường Long Hương</v>
          </cell>
          <cell r="I9558" t="str">
            <v>71703</v>
          </cell>
        </row>
        <row r="9559">
          <cell r="G9559" t="str">
            <v>Phường Kim Dinh</v>
          </cell>
          <cell r="I9559" t="str">
            <v>71703</v>
          </cell>
        </row>
        <row r="9560">
          <cell r="G9560" t="str">
            <v xml:space="preserve">Xã Tân Hưng          </v>
          </cell>
          <cell r="I9560" t="str">
            <v>71703</v>
          </cell>
        </row>
        <row r="9561">
          <cell r="G9561" t="str">
            <v xml:space="preserve">Xã Long Phước  </v>
          </cell>
          <cell r="I9561" t="str">
            <v>71703</v>
          </cell>
        </row>
        <row r="9562">
          <cell r="G9562" t="str">
            <v>Xã Hoà Long</v>
          </cell>
          <cell r="I9562" t="str">
            <v>71703</v>
          </cell>
        </row>
        <row r="9563">
          <cell r="G9563" t="str">
            <v>Xã Bàu Chinh</v>
          </cell>
          <cell r="I9563" t="str">
            <v>71705</v>
          </cell>
        </row>
        <row r="9564">
          <cell r="G9564" t="str">
            <v xml:space="preserve">Xã Bình Trung    </v>
          </cell>
          <cell r="I9564" t="str">
            <v>71705</v>
          </cell>
        </row>
        <row r="9565">
          <cell r="G9565" t="str">
            <v>Thị trấn Ngãi Giao</v>
          </cell>
          <cell r="I9565" t="str">
            <v>71705</v>
          </cell>
        </row>
        <row r="9566">
          <cell r="G9566" t="str">
            <v xml:space="preserve">Xã Sơn Bình   </v>
          </cell>
          <cell r="I9566" t="str">
            <v>71705</v>
          </cell>
        </row>
        <row r="9567">
          <cell r="G9567" t="str">
            <v>Xã Láng Lớn</v>
          </cell>
          <cell r="I9567" t="str">
            <v>71705</v>
          </cell>
        </row>
        <row r="9568">
          <cell r="G9568" t="str">
            <v>Xã Đá Bạc</v>
          </cell>
          <cell r="I9568" t="str">
            <v>71705</v>
          </cell>
        </row>
        <row r="9569">
          <cell r="G9569" t="str">
            <v>Xã Bình Ba</v>
          </cell>
          <cell r="I9569" t="str">
            <v>71705</v>
          </cell>
        </row>
        <row r="9570">
          <cell r="G9570" t="str">
            <v>Xã Suối Nghệ</v>
          </cell>
          <cell r="I9570" t="str">
            <v>71705</v>
          </cell>
        </row>
        <row r="9571">
          <cell r="G9571" t="str">
            <v xml:space="preserve">Xã Xuân Sơn     </v>
          </cell>
          <cell r="I9571" t="str">
            <v>71705</v>
          </cell>
        </row>
        <row r="9572">
          <cell r="G9572" t="str">
            <v>Xã Bình Giã</v>
          </cell>
          <cell r="I9572" t="str">
            <v>71705</v>
          </cell>
        </row>
        <row r="9573">
          <cell r="G9573" t="str">
            <v>Xã Xà Bang</v>
          </cell>
          <cell r="I9573" t="str">
            <v>71705</v>
          </cell>
        </row>
        <row r="9574">
          <cell r="G9574" t="str">
            <v>Xã Cù Bị</v>
          </cell>
          <cell r="I9574" t="str">
            <v>71705</v>
          </cell>
        </row>
        <row r="9575">
          <cell r="G9575" t="str">
            <v xml:space="preserve">Xã Quảng Thành   </v>
          </cell>
          <cell r="I9575" t="str">
            <v>71705</v>
          </cell>
        </row>
        <row r="9576">
          <cell r="G9576" t="str">
            <v xml:space="preserve">Xã Kim Long </v>
          </cell>
          <cell r="I9576" t="str">
            <v>71705</v>
          </cell>
        </row>
        <row r="9577">
          <cell r="G9577" t="str">
            <v>Xã Suối Rao</v>
          </cell>
          <cell r="I9577" t="str">
            <v>71705</v>
          </cell>
        </row>
        <row r="9578">
          <cell r="G9578" t="str">
            <v xml:space="preserve">Xã Nghĩa Thành </v>
          </cell>
          <cell r="I9578" t="str">
            <v>71705</v>
          </cell>
        </row>
        <row r="9579">
          <cell r="G9579" t="str">
            <v>Xã Xuyên Mộc</v>
          </cell>
          <cell r="I9579" t="str">
            <v>71707</v>
          </cell>
        </row>
        <row r="9580">
          <cell r="G9580" t="str">
            <v xml:space="preserve">Xã Phước Tân     </v>
          </cell>
          <cell r="I9580" t="str">
            <v>71707</v>
          </cell>
        </row>
        <row r="9581">
          <cell r="G9581" t="str">
            <v xml:space="preserve">Xã Hòa Bình            </v>
          </cell>
          <cell r="I9581" t="str">
            <v>71707</v>
          </cell>
        </row>
        <row r="9582">
          <cell r="G9582" t="str">
            <v>Xã Bưng Riềng</v>
          </cell>
          <cell r="I9582" t="str">
            <v>71707</v>
          </cell>
        </row>
        <row r="9583">
          <cell r="G9583" t="str">
            <v>Thị trấn Phước Bửu</v>
          </cell>
          <cell r="I9583" t="str">
            <v>71707</v>
          </cell>
        </row>
        <row r="9584">
          <cell r="G9584" t="str">
            <v xml:space="preserve">Xã Phước Thuận  </v>
          </cell>
          <cell r="I9584" t="str">
            <v>71707</v>
          </cell>
        </row>
        <row r="9585">
          <cell r="G9585" t="str">
            <v>Xã Bông Trang</v>
          </cell>
          <cell r="I9585" t="str">
            <v>71707</v>
          </cell>
        </row>
        <row r="9586">
          <cell r="G9586" t="str">
            <v xml:space="preserve">Xã Tân Lâm </v>
          </cell>
          <cell r="I9586" t="str">
            <v>71707</v>
          </cell>
        </row>
        <row r="9587">
          <cell r="G9587" t="str">
            <v>Xã Bàu Lâm</v>
          </cell>
          <cell r="I9587" t="str">
            <v>71707</v>
          </cell>
        </row>
        <row r="9588">
          <cell r="G9588" t="str">
            <v>Xã Hòa Hưng</v>
          </cell>
          <cell r="I9588" t="str">
            <v>71707</v>
          </cell>
        </row>
        <row r="9589">
          <cell r="G9589" t="str">
            <v xml:space="preserve">Xã Hòa Hiệp   </v>
          </cell>
          <cell r="I9589" t="str">
            <v>71707</v>
          </cell>
        </row>
        <row r="9590">
          <cell r="G9590" t="str">
            <v xml:space="preserve">Xã Hòa Hội  </v>
          </cell>
          <cell r="I9590" t="str">
            <v>71707</v>
          </cell>
        </row>
        <row r="9591">
          <cell r="G9591" t="str">
            <v xml:space="preserve">Xã Bình Châu </v>
          </cell>
          <cell r="I9591" t="str">
            <v>71707</v>
          </cell>
        </row>
        <row r="9592">
          <cell r="G9592" t="str">
            <v>Thị trấn Phú Mỹ</v>
          </cell>
          <cell r="I9592" t="str">
            <v>71709</v>
          </cell>
        </row>
        <row r="9593">
          <cell r="G9593" t="str">
            <v>Xã Sông Xoài</v>
          </cell>
          <cell r="I9593" t="str">
            <v>71709</v>
          </cell>
        </row>
        <row r="9594">
          <cell r="G9594" t="str">
            <v xml:space="preserve">Xã Tân Hải  </v>
          </cell>
          <cell r="I9594" t="str">
            <v>71709</v>
          </cell>
        </row>
        <row r="9595">
          <cell r="G9595" t="str">
            <v xml:space="preserve">Xã Tân Hoà   </v>
          </cell>
          <cell r="I9595" t="str">
            <v>71709</v>
          </cell>
        </row>
        <row r="9596">
          <cell r="G9596" t="str">
            <v xml:space="preserve">Xã Phước Hoà  </v>
          </cell>
          <cell r="I9596" t="str">
            <v>71709</v>
          </cell>
        </row>
        <row r="9597">
          <cell r="G9597" t="str">
            <v xml:space="preserve">Xã Tân Phước  </v>
          </cell>
          <cell r="I9597" t="str">
            <v>71709</v>
          </cell>
        </row>
        <row r="9598">
          <cell r="G9598" t="str">
            <v>Xã Mỹ Xuân</v>
          </cell>
          <cell r="I9598" t="str">
            <v>71709</v>
          </cell>
        </row>
        <row r="9599">
          <cell r="G9599" t="str">
            <v>Xã Hắc Dịch</v>
          </cell>
          <cell r="I9599" t="str">
            <v>71709</v>
          </cell>
        </row>
        <row r="9600">
          <cell r="G9600" t="str">
            <v>Xã Châu Pha</v>
          </cell>
          <cell r="I9600" t="str">
            <v>71709</v>
          </cell>
        </row>
        <row r="9601">
          <cell r="G9601" t="str">
            <v>Xã Tóc Tiên</v>
          </cell>
          <cell r="I9601" t="str">
            <v>71709</v>
          </cell>
        </row>
        <row r="9602">
          <cell r="G9602" t="str">
            <v>Thị trấn Long Hải</v>
          </cell>
          <cell r="I9602" t="str">
            <v>71711</v>
          </cell>
        </row>
        <row r="9603">
          <cell r="G9603" t="str">
            <v>Xã An Ngãi</v>
          </cell>
          <cell r="I9603" t="str">
            <v>71711</v>
          </cell>
        </row>
        <row r="9604">
          <cell r="G9604" t="str">
            <v>Xã Phước Tỉnh</v>
          </cell>
          <cell r="I9604" t="str">
            <v>71711</v>
          </cell>
        </row>
        <row r="9605">
          <cell r="G9605" t="str">
            <v>Thị trấn Long Điền</v>
          </cell>
          <cell r="I9605" t="str">
            <v>71711</v>
          </cell>
        </row>
        <row r="9606">
          <cell r="G9606" t="str">
            <v xml:space="preserve">Xã Tam Phước  </v>
          </cell>
          <cell r="I9606" t="str">
            <v>71711</v>
          </cell>
        </row>
        <row r="9607">
          <cell r="G9607" t="str">
            <v>Xã An Nhứt</v>
          </cell>
          <cell r="I9607" t="str">
            <v>71711</v>
          </cell>
        </row>
        <row r="9608">
          <cell r="G9608" t="str">
            <v xml:space="preserve">Xã Phước Hưng </v>
          </cell>
          <cell r="I9608" t="str">
            <v>71711</v>
          </cell>
        </row>
        <row r="9609">
          <cell r="G9609" t="str">
            <v>Xã Long Mỹ</v>
          </cell>
          <cell r="I9609" t="str">
            <v>71712</v>
          </cell>
        </row>
        <row r="9610">
          <cell r="G9610" t="str">
            <v>Xã Láng Dài</v>
          </cell>
          <cell r="I9610" t="str">
            <v>71712</v>
          </cell>
        </row>
        <row r="9611">
          <cell r="G9611" t="str">
            <v>Thị trấn Đất Đỏ</v>
          </cell>
          <cell r="I9611" t="str">
            <v>71712</v>
          </cell>
        </row>
        <row r="9612">
          <cell r="G9612" t="str">
            <v>Xã Phước Long Thọ</v>
          </cell>
          <cell r="I9612" t="str">
            <v>71712</v>
          </cell>
        </row>
        <row r="9613">
          <cell r="G9613" t="str">
            <v>Xã Phước Hội</v>
          </cell>
          <cell r="I9613" t="str">
            <v>71712</v>
          </cell>
        </row>
        <row r="9614">
          <cell r="G9614" t="str">
            <v>Thị Trấn Phước Hải</v>
          </cell>
          <cell r="I9614" t="str">
            <v>71712</v>
          </cell>
        </row>
        <row r="9615">
          <cell r="G9615" t="str">
            <v xml:space="preserve">Xã Long Tân    </v>
          </cell>
          <cell r="I9615" t="str">
            <v>71712</v>
          </cell>
        </row>
        <row r="9616">
          <cell r="G9616" t="str">
            <v xml:space="preserve">Xã Lộc An     </v>
          </cell>
          <cell r="I9616" t="str">
            <v>71712</v>
          </cell>
        </row>
        <row r="9617">
          <cell r="G9617" t="str">
            <v>Thị trấn Côn Đảo</v>
          </cell>
          <cell r="I9617" t="str">
            <v>71713</v>
          </cell>
        </row>
        <row r="9618">
          <cell r="G9618" t="str">
            <v>Xã Hướng Thọ Phú</v>
          </cell>
          <cell r="I9618" t="str">
            <v>80101</v>
          </cell>
        </row>
        <row r="9619">
          <cell r="G9619" t="str">
            <v xml:space="preserve">Phường 3           </v>
          </cell>
          <cell r="I9619" t="str">
            <v>80101</v>
          </cell>
        </row>
        <row r="9620">
          <cell r="G9620" t="str">
            <v>Xã Nhơn Thạnh Trung</v>
          </cell>
          <cell r="I9620" t="str">
            <v>80101</v>
          </cell>
        </row>
        <row r="9621">
          <cell r="G9621" t="str">
            <v xml:space="preserve">Phường 5         </v>
          </cell>
          <cell r="I9621" t="str">
            <v>80101</v>
          </cell>
        </row>
        <row r="9622">
          <cell r="G9622" t="str">
            <v>Xã An Vĩnh Ngãi</v>
          </cell>
          <cell r="I9622" t="str">
            <v>80101</v>
          </cell>
        </row>
        <row r="9623">
          <cell r="G9623" t="str">
            <v xml:space="preserve">Phường 2           </v>
          </cell>
          <cell r="I9623" t="str">
            <v>80101</v>
          </cell>
        </row>
        <row r="9624">
          <cell r="G9624" t="str">
            <v xml:space="preserve">Phường 4         </v>
          </cell>
          <cell r="I9624" t="str">
            <v>80101</v>
          </cell>
        </row>
        <row r="9625">
          <cell r="G9625" t="str">
            <v xml:space="preserve">Phường 1            </v>
          </cell>
          <cell r="I9625" t="str">
            <v>80101</v>
          </cell>
        </row>
        <row r="9626">
          <cell r="G9626" t="str">
            <v xml:space="preserve">Phường 7        </v>
          </cell>
          <cell r="I9626" t="str">
            <v>80101</v>
          </cell>
        </row>
        <row r="9627">
          <cell r="G9627" t="str">
            <v xml:space="preserve">Phường 6       </v>
          </cell>
          <cell r="I9627" t="str">
            <v>80101</v>
          </cell>
        </row>
        <row r="9628">
          <cell r="G9628" t="str">
            <v>Xã Lợi Bình Nhơn</v>
          </cell>
          <cell r="I9628" t="str">
            <v>80101</v>
          </cell>
        </row>
        <row r="9629">
          <cell r="G9629" t="str">
            <v>Xã Bình Tâm</v>
          </cell>
          <cell r="I9629" t="str">
            <v>80101</v>
          </cell>
        </row>
        <row r="9630">
          <cell r="G9630" t="str">
            <v>Phường Khánh Hậu</v>
          </cell>
          <cell r="I9630" t="str">
            <v>80101</v>
          </cell>
        </row>
        <row r="9631">
          <cell r="G9631" t="str">
            <v>Phường Tân Khánh</v>
          </cell>
          <cell r="I9631" t="str">
            <v>80101</v>
          </cell>
        </row>
        <row r="9632">
          <cell r="G9632" t="str">
            <v xml:space="preserve">Xã Vĩnh Thạnh </v>
          </cell>
          <cell r="I9632" t="str">
            <v>80103</v>
          </cell>
        </row>
        <row r="9633">
          <cell r="G9633" t="str">
            <v>Thị trấn Tân Hưng</v>
          </cell>
          <cell r="I9633" t="str">
            <v>80103</v>
          </cell>
        </row>
        <row r="9634">
          <cell r="G9634" t="str">
            <v>Xã Hưng Hà</v>
          </cell>
          <cell r="I9634" t="str">
            <v>80103</v>
          </cell>
        </row>
        <row r="9635">
          <cell r="G9635" t="str">
            <v>Xã Hưng Điền B</v>
          </cell>
          <cell r="I9635" t="str">
            <v>80103</v>
          </cell>
        </row>
        <row r="9636">
          <cell r="G9636" t="str">
            <v>Xã Hưng Điền</v>
          </cell>
          <cell r="I9636" t="str">
            <v>80103</v>
          </cell>
        </row>
        <row r="9637">
          <cell r="G9637" t="str">
            <v>Xã Thạnh Hưng</v>
          </cell>
          <cell r="I9637" t="str">
            <v>80103</v>
          </cell>
        </row>
        <row r="9638">
          <cell r="G9638" t="str">
            <v>Xã Hưng Thạnh</v>
          </cell>
          <cell r="I9638" t="str">
            <v>80103</v>
          </cell>
        </row>
        <row r="9639">
          <cell r="G9639" t="str">
            <v>Xã Vĩnh Châu B</v>
          </cell>
          <cell r="I9639" t="str">
            <v>80103</v>
          </cell>
        </row>
        <row r="9640">
          <cell r="G9640" t="str">
            <v xml:space="preserve">Xã Vĩnh Lợi </v>
          </cell>
          <cell r="I9640" t="str">
            <v>80103</v>
          </cell>
        </row>
        <row r="9641">
          <cell r="G9641" t="str">
            <v>Xã Vĩnh Đại</v>
          </cell>
          <cell r="I9641" t="str">
            <v>80103</v>
          </cell>
        </row>
        <row r="9642">
          <cell r="G9642" t="str">
            <v>Xã Vĩnh Châu A</v>
          </cell>
          <cell r="I9642" t="str">
            <v>80103</v>
          </cell>
        </row>
        <row r="9643">
          <cell r="G9643" t="str">
            <v>Xã Vĩnh Bửu</v>
          </cell>
          <cell r="I9643" t="str">
            <v>80103</v>
          </cell>
        </row>
        <row r="9644">
          <cell r="G9644" t="str">
            <v>Xã Vĩnh Trị</v>
          </cell>
          <cell r="I9644" t="str">
            <v>80105</v>
          </cell>
        </row>
        <row r="9645">
          <cell r="G9645" t="str">
            <v>Thị trấn Vĩnh Hưng</v>
          </cell>
          <cell r="I9645" t="str">
            <v>80105</v>
          </cell>
        </row>
        <row r="9646">
          <cell r="G9646" t="str">
            <v>Xã Thái Bình Trung</v>
          </cell>
          <cell r="I9646" t="str">
            <v>80105</v>
          </cell>
        </row>
        <row r="9647">
          <cell r="G9647" t="str">
            <v>Xã Hưng Điền A</v>
          </cell>
          <cell r="I9647" t="str">
            <v>80105</v>
          </cell>
        </row>
        <row r="9648">
          <cell r="G9648" t="str">
            <v>Xã Khánh Hưng</v>
          </cell>
          <cell r="I9648" t="str">
            <v>80105</v>
          </cell>
        </row>
        <row r="9649">
          <cell r="G9649" t="str">
            <v>Xã Thái Trị</v>
          </cell>
          <cell r="I9649" t="str">
            <v>80105</v>
          </cell>
        </row>
        <row r="9650">
          <cell r="G9650" t="str">
            <v>Xã Vĩnh Bình</v>
          </cell>
          <cell r="I9650" t="str">
            <v>80105</v>
          </cell>
        </row>
        <row r="9651">
          <cell r="G9651" t="str">
            <v xml:space="preserve">Xã Vĩnh Thuận </v>
          </cell>
          <cell r="I9651" t="str">
            <v>80105</v>
          </cell>
        </row>
        <row r="9652">
          <cell r="G9652" t="str">
            <v>Xã Tuyên Bình</v>
          </cell>
          <cell r="I9652" t="str">
            <v>80105</v>
          </cell>
        </row>
        <row r="9653">
          <cell r="G9653" t="str">
            <v>Xã Tuyên Bình Tây</v>
          </cell>
          <cell r="I9653" t="str">
            <v>80105</v>
          </cell>
        </row>
        <row r="9654">
          <cell r="G9654" t="str">
            <v>Xã Bình Hòa Đông</v>
          </cell>
          <cell r="I9654" t="str">
            <v>80107</v>
          </cell>
        </row>
        <row r="9655">
          <cell r="G9655" t="str">
            <v xml:space="preserve">Xã Tân Thành                   </v>
          </cell>
          <cell r="I9655" t="str">
            <v>80107</v>
          </cell>
        </row>
        <row r="9656">
          <cell r="G9656" t="str">
            <v>Xã Bình Hòa Tây</v>
          </cell>
          <cell r="I9656" t="str">
            <v>80107</v>
          </cell>
        </row>
        <row r="9657">
          <cell r="G9657" t="str">
            <v xml:space="preserve">Xã Bình Thạnh    </v>
          </cell>
          <cell r="I9657" t="str">
            <v>80107</v>
          </cell>
        </row>
        <row r="9658">
          <cell r="G9658" t="str">
            <v>Xã Bình Hòa Trung</v>
          </cell>
          <cell r="I9658" t="str">
            <v>80107</v>
          </cell>
        </row>
        <row r="9659">
          <cell r="G9659" t="str">
            <v>Xã Bình Phong Thạnh</v>
          </cell>
          <cell r="I9659" t="str">
            <v>80107</v>
          </cell>
        </row>
        <row r="9660">
          <cell r="G9660" t="str">
            <v xml:space="preserve">Xã Tân Lập                      </v>
          </cell>
          <cell r="I9660" t="str">
            <v>80107</v>
          </cell>
        </row>
        <row r="9661">
          <cell r="G9661" t="str">
            <v>Xã Nhơn Hoà</v>
          </cell>
          <cell r="I9661" t="str">
            <v>80109</v>
          </cell>
        </row>
        <row r="9662">
          <cell r="G9662" t="str">
            <v>Xã Nhơn Hòa Lập</v>
          </cell>
          <cell r="I9662" t="str">
            <v>80109</v>
          </cell>
        </row>
        <row r="9663">
          <cell r="G9663" t="str">
            <v xml:space="preserve">Xã Tân Thành                    </v>
          </cell>
          <cell r="I9663" t="str">
            <v>80109</v>
          </cell>
        </row>
        <row r="9664">
          <cell r="G9664" t="str">
            <v xml:space="preserve">Xã Tân Hòa     </v>
          </cell>
          <cell r="I9664" t="str">
            <v>80109</v>
          </cell>
        </row>
        <row r="9665">
          <cell r="G9665" t="str">
            <v>Thị trấn Tân Thạnh</v>
          </cell>
          <cell r="I9665" t="str">
            <v>80109</v>
          </cell>
        </row>
        <row r="9666">
          <cell r="G9666" t="str">
            <v>Xã Bắc Hòa</v>
          </cell>
          <cell r="I9666" t="str">
            <v>80109</v>
          </cell>
        </row>
        <row r="9667">
          <cell r="G9667" t="str">
            <v>Xã Hậu Thạnh Tây</v>
          </cell>
          <cell r="I9667" t="str">
            <v>80109</v>
          </cell>
        </row>
        <row r="9668">
          <cell r="G9668" t="str">
            <v xml:space="preserve">Xã Tân Lập                       </v>
          </cell>
          <cell r="I9668" t="str">
            <v>80109</v>
          </cell>
        </row>
        <row r="9669">
          <cell r="G9669" t="str">
            <v>Xã Hậu Thạnh Đông</v>
          </cell>
          <cell r="I9669" t="str">
            <v>80109</v>
          </cell>
        </row>
        <row r="9670">
          <cell r="G9670" t="str">
            <v>Xã Kiến Bình</v>
          </cell>
          <cell r="I9670" t="str">
            <v>80109</v>
          </cell>
        </row>
        <row r="9671">
          <cell r="G9671" t="str">
            <v xml:space="preserve">Xã Tân Bình         </v>
          </cell>
          <cell r="I9671" t="str">
            <v>80109</v>
          </cell>
        </row>
        <row r="9672">
          <cell r="G9672" t="str">
            <v xml:space="preserve">Xã Tân Ninh  </v>
          </cell>
          <cell r="I9672" t="str">
            <v>80109</v>
          </cell>
        </row>
        <row r="9673">
          <cell r="G9673" t="str">
            <v>Xã Nhơn Ninh</v>
          </cell>
          <cell r="I9673" t="str">
            <v>80109</v>
          </cell>
        </row>
        <row r="9674">
          <cell r="G9674" t="str">
            <v xml:space="preserve">Xã Thạnh Phú </v>
          </cell>
          <cell r="I9674" t="str">
            <v>80111</v>
          </cell>
        </row>
        <row r="9675">
          <cell r="G9675" t="str">
            <v>Xã Thạnh Phước</v>
          </cell>
          <cell r="I9675" t="str">
            <v>80111</v>
          </cell>
        </row>
        <row r="9676">
          <cell r="G9676" t="str">
            <v>Xã Thủy Tây</v>
          </cell>
          <cell r="I9676" t="str">
            <v>80111</v>
          </cell>
        </row>
        <row r="9677">
          <cell r="G9677" t="str">
            <v>Thị trấn Thạnh Hóa</v>
          </cell>
          <cell r="I9677" t="str">
            <v>80111</v>
          </cell>
        </row>
        <row r="9678">
          <cell r="G9678" t="str">
            <v xml:space="preserve">Xã Tân Hiệp       </v>
          </cell>
          <cell r="I9678" t="str">
            <v>80111</v>
          </cell>
        </row>
        <row r="9679">
          <cell r="G9679" t="str">
            <v>Xã Thuận Bình</v>
          </cell>
          <cell r="I9679" t="str">
            <v>80111</v>
          </cell>
        </row>
        <row r="9680">
          <cell r="G9680" t="str">
            <v>Xã Thuận Nghĩa Hòa</v>
          </cell>
          <cell r="I9680" t="str">
            <v>80111</v>
          </cell>
        </row>
        <row r="9681">
          <cell r="G9681" t="str">
            <v>Xã Thủy Đông</v>
          </cell>
          <cell r="I9681" t="str">
            <v>80111</v>
          </cell>
        </row>
        <row r="9682">
          <cell r="G9682" t="str">
            <v>Xã Tân Tây</v>
          </cell>
          <cell r="I9682" t="str">
            <v>80111</v>
          </cell>
        </row>
        <row r="9683">
          <cell r="G9683" t="str">
            <v xml:space="preserve">Xã Tân Đông </v>
          </cell>
          <cell r="I9683" t="str">
            <v>80111</v>
          </cell>
        </row>
        <row r="9684">
          <cell r="G9684" t="str">
            <v xml:space="preserve">Xã Thạnh An </v>
          </cell>
          <cell r="I9684" t="str">
            <v>80111</v>
          </cell>
        </row>
        <row r="9685">
          <cell r="G9685" t="str">
            <v>Xã Mỹ Thạnh Tây</v>
          </cell>
          <cell r="I9685" t="str">
            <v>80113</v>
          </cell>
        </row>
        <row r="9686">
          <cell r="G9686" t="str">
            <v>Thị trấn Đông Thành</v>
          </cell>
          <cell r="I9686" t="str">
            <v>80113</v>
          </cell>
        </row>
        <row r="9687">
          <cell r="G9687" t="str">
            <v>Xã Mỹ Thạnh Đông</v>
          </cell>
          <cell r="I9687" t="str">
            <v>80113</v>
          </cell>
        </row>
        <row r="9688">
          <cell r="G9688" t="str">
            <v>Xã Bình Hòa Nam</v>
          </cell>
          <cell r="I9688" t="str">
            <v>80113</v>
          </cell>
        </row>
        <row r="9689">
          <cell r="G9689" t="str">
            <v>Xã Mỹ Quý Đông</v>
          </cell>
          <cell r="I9689" t="str">
            <v>80113</v>
          </cell>
        </row>
        <row r="9690">
          <cell r="G9690" t="str">
            <v>Xã Mỹ Thạnh Bắc</v>
          </cell>
          <cell r="I9690" t="str">
            <v>80113</v>
          </cell>
        </row>
        <row r="9691">
          <cell r="G9691" t="str">
            <v>Xã Mỹ Quý Tây</v>
          </cell>
          <cell r="I9691" t="str">
            <v>80113</v>
          </cell>
        </row>
        <row r="9692">
          <cell r="G9692" t="str">
            <v xml:space="preserve">Xã Bình Thành   </v>
          </cell>
          <cell r="I9692" t="str">
            <v>80113</v>
          </cell>
        </row>
        <row r="9693">
          <cell r="G9693" t="str">
            <v>Xã Bình Hòa Bắc</v>
          </cell>
          <cell r="I9693" t="str">
            <v>80113</v>
          </cell>
        </row>
        <row r="9694">
          <cell r="G9694" t="str">
            <v>Xã Bình Hòa Hưng</v>
          </cell>
          <cell r="I9694" t="str">
            <v>80113</v>
          </cell>
        </row>
        <row r="9695">
          <cell r="G9695" t="str">
            <v>Xã Mỹ Bình</v>
          </cell>
          <cell r="I9695" t="str">
            <v>80113</v>
          </cell>
        </row>
        <row r="9696">
          <cell r="G9696" t="str">
            <v xml:space="preserve">Xã Tân Mỹ     </v>
          </cell>
          <cell r="I9696" t="str">
            <v>80115</v>
          </cell>
        </row>
        <row r="9697">
          <cell r="G9697" t="str">
            <v>Xã Đức Hòa Hạ</v>
          </cell>
          <cell r="I9697" t="str">
            <v>80115</v>
          </cell>
        </row>
        <row r="9698">
          <cell r="G9698" t="str">
            <v>Thị trấn Đức Hòa</v>
          </cell>
          <cell r="I9698" t="str">
            <v>80115</v>
          </cell>
        </row>
        <row r="9699">
          <cell r="G9699" t="str">
            <v xml:space="preserve">Xã Hiệp Hòa     </v>
          </cell>
          <cell r="I9699" t="str">
            <v>80115</v>
          </cell>
        </row>
        <row r="9700">
          <cell r="G9700" t="str">
            <v>Xã Mỹ Hạnh Bắc</v>
          </cell>
          <cell r="I9700" t="str">
            <v>80115</v>
          </cell>
        </row>
        <row r="9701">
          <cell r="G9701" t="str">
            <v>Xã Mỹ Hạnh Nam</v>
          </cell>
          <cell r="I9701" t="str">
            <v>80115</v>
          </cell>
        </row>
        <row r="9702">
          <cell r="G9702" t="str">
            <v>Xã Hựu Thạnh</v>
          </cell>
          <cell r="I9702" t="str">
            <v>80115</v>
          </cell>
        </row>
        <row r="9703">
          <cell r="G9703" t="str">
            <v>Thị trấn Hậu Nghĩa</v>
          </cell>
          <cell r="I9703" t="str">
            <v>80115</v>
          </cell>
        </row>
        <row r="9704">
          <cell r="G9704" t="str">
            <v>Thị trấn Hiệp Hòa</v>
          </cell>
          <cell r="I9704" t="str">
            <v>80115</v>
          </cell>
        </row>
        <row r="9705">
          <cell r="G9705" t="str">
            <v>Xã Lộc Giang</v>
          </cell>
          <cell r="I9705" t="str">
            <v>80115</v>
          </cell>
        </row>
        <row r="9706">
          <cell r="G9706" t="str">
            <v xml:space="preserve">Xã An Ninh Đông </v>
          </cell>
          <cell r="I9706" t="str">
            <v>80115</v>
          </cell>
        </row>
        <row r="9707">
          <cell r="G9707" t="str">
            <v xml:space="preserve">Xã An Ninh Tây </v>
          </cell>
          <cell r="I9707" t="str">
            <v>80115</v>
          </cell>
        </row>
        <row r="9708">
          <cell r="G9708" t="str">
            <v>Xã Đức Lập Thượng</v>
          </cell>
          <cell r="I9708" t="str">
            <v>80115</v>
          </cell>
        </row>
        <row r="9709">
          <cell r="G9709" t="str">
            <v>Xã Đức Lập Hạ</v>
          </cell>
          <cell r="I9709" t="str">
            <v>80115</v>
          </cell>
        </row>
        <row r="9710">
          <cell r="G9710" t="str">
            <v xml:space="preserve">Xã Tân Phú     </v>
          </cell>
          <cell r="I9710" t="str">
            <v>80115</v>
          </cell>
        </row>
        <row r="9711">
          <cell r="G9711" t="str">
            <v>Xã Đức Hòa Thượng</v>
          </cell>
          <cell r="I9711" t="str">
            <v>80115</v>
          </cell>
        </row>
        <row r="9712">
          <cell r="G9712" t="str">
            <v>Xã Hòa Khánh Tây</v>
          </cell>
          <cell r="I9712" t="str">
            <v>80115</v>
          </cell>
        </row>
        <row r="9713">
          <cell r="G9713" t="str">
            <v>Xã Hòa Khánh Đông</v>
          </cell>
          <cell r="I9713" t="str">
            <v>80115</v>
          </cell>
        </row>
        <row r="9714">
          <cell r="G9714" t="str">
            <v>Xã Hòa Khánh Nam</v>
          </cell>
          <cell r="I9714" t="str">
            <v>80115</v>
          </cell>
        </row>
        <row r="9715">
          <cell r="G9715" t="str">
            <v>Xã Đức Hòa Đông</v>
          </cell>
          <cell r="I9715" t="str">
            <v>80115</v>
          </cell>
        </row>
        <row r="9716">
          <cell r="G9716" t="str">
            <v xml:space="preserve">Xã Thanh Phú  </v>
          </cell>
          <cell r="I9716" t="str">
            <v>80117</v>
          </cell>
        </row>
        <row r="9717">
          <cell r="G9717" t="str">
            <v>Xã Thạnh Hòa</v>
          </cell>
          <cell r="I9717" t="str">
            <v>80117</v>
          </cell>
        </row>
        <row r="9718">
          <cell r="G9718" t="str">
            <v xml:space="preserve">Xã An Thạnh </v>
          </cell>
          <cell r="I9718" t="str">
            <v>80117</v>
          </cell>
        </row>
        <row r="9719">
          <cell r="G9719" t="str">
            <v xml:space="preserve">Xã Long Hiệp </v>
          </cell>
          <cell r="I9719" t="str">
            <v>80117</v>
          </cell>
        </row>
        <row r="9720">
          <cell r="G9720" t="str">
            <v>Thị trấn Bến Lức</v>
          </cell>
          <cell r="I9720" t="str">
            <v>80117</v>
          </cell>
        </row>
        <row r="9721">
          <cell r="G9721" t="str">
            <v>Xã Thạnh Lợi</v>
          </cell>
          <cell r="I9721" t="str">
            <v>80117</v>
          </cell>
        </row>
        <row r="9722">
          <cell r="G9722" t="str">
            <v>Xã Lương Bình</v>
          </cell>
          <cell r="I9722" t="str">
            <v>80117</v>
          </cell>
        </row>
        <row r="9723">
          <cell r="G9723" t="str">
            <v>Xã Lương Hòa</v>
          </cell>
          <cell r="I9723" t="str">
            <v>80117</v>
          </cell>
        </row>
        <row r="9724">
          <cell r="G9724" t="str">
            <v xml:space="preserve">Xã Tân Hòa      </v>
          </cell>
          <cell r="I9724" t="str">
            <v>80117</v>
          </cell>
        </row>
        <row r="9725">
          <cell r="G9725" t="str">
            <v>Xã Tân Bửu</v>
          </cell>
          <cell r="I9725" t="str">
            <v>80117</v>
          </cell>
        </row>
        <row r="9726">
          <cell r="G9726" t="str">
            <v>Xã Bình Đức</v>
          </cell>
          <cell r="I9726" t="str">
            <v>80117</v>
          </cell>
        </row>
        <row r="9727">
          <cell r="G9727" t="str">
            <v xml:space="preserve">Xã Mỹ Yên </v>
          </cell>
          <cell r="I9727" t="str">
            <v>80117</v>
          </cell>
        </row>
        <row r="9728">
          <cell r="G9728" t="str">
            <v xml:space="preserve">Xã Thạnh Đức </v>
          </cell>
          <cell r="I9728" t="str">
            <v>80117</v>
          </cell>
        </row>
        <row r="9729">
          <cell r="G9729" t="str">
            <v>Xã Phước Lợi</v>
          </cell>
          <cell r="I9729" t="str">
            <v>80117</v>
          </cell>
        </row>
        <row r="9730">
          <cell r="G9730" t="str">
            <v>Xã Nhựt Chánh</v>
          </cell>
          <cell r="I9730" t="str">
            <v>80117</v>
          </cell>
        </row>
        <row r="9731">
          <cell r="G9731" t="str">
            <v xml:space="preserve">Xã Mỹ Thạnh </v>
          </cell>
          <cell r="I9731" t="str">
            <v>80119</v>
          </cell>
        </row>
        <row r="9732">
          <cell r="G9732" t="str">
            <v xml:space="preserve">Xã Tân Lập                        </v>
          </cell>
          <cell r="I9732" t="str">
            <v>80119</v>
          </cell>
        </row>
        <row r="9733">
          <cell r="G9733" t="str">
            <v>Thị trấn Thủ Thừa</v>
          </cell>
          <cell r="I9733" t="str">
            <v>80119</v>
          </cell>
        </row>
        <row r="9734">
          <cell r="G9734" t="str">
            <v xml:space="preserve">Xã Tân Thành                     </v>
          </cell>
          <cell r="I9734" t="str">
            <v>80119</v>
          </cell>
        </row>
        <row r="9735">
          <cell r="G9735" t="str">
            <v xml:space="preserve">Xã Long Thuận </v>
          </cell>
          <cell r="I9735" t="str">
            <v>80119</v>
          </cell>
        </row>
        <row r="9736">
          <cell r="G9736" t="str">
            <v>Xã Mỹ Lạc</v>
          </cell>
          <cell r="I9736" t="str">
            <v>80119</v>
          </cell>
        </row>
        <row r="9737">
          <cell r="G9737" t="str">
            <v xml:space="preserve">Xã Bình An    </v>
          </cell>
          <cell r="I9737" t="str">
            <v>80119</v>
          </cell>
        </row>
        <row r="9738">
          <cell r="G9738" t="str">
            <v>Xã Nhị Thành</v>
          </cell>
          <cell r="I9738" t="str">
            <v>80119</v>
          </cell>
        </row>
        <row r="9739">
          <cell r="G9739" t="str">
            <v xml:space="preserve">Xã Mỹ An  </v>
          </cell>
          <cell r="I9739" t="str">
            <v>80119</v>
          </cell>
        </row>
        <row r="9740">
          <cell r="G9740" t="str">
            <v xml:space="preserve">Xã Bình Thạnh     </v>
          </cell>
          <cell r="I9740" t="str">
            <v>80119</v>
          </cell>
        </row>
        <row r="9741">
          <cell r="G9741" t="str">
            <v>Xã Mỹ Phú</v>
          </cell>
          <cell r="I9741" t="str">
            <v>80119</v>
          </cell>
        </row>
        <row r="9742">
          <cell r="G9742" t="str">
            <v xml:space="preserve">Xã Long Thành </v>
          </cell>
          <cell r="I9742" t="str">
            <v>80119</v>
          </cell>
        </row>
        <row r="9743">
          <cell r="G9743" t="str">
            <v>Xã Long Thạnh</v>
          </cell>
          <cell r="I9743" t="str">
            <v>80119</v>
          </cell>
        </row>
        <row r="9744">
          <cell r="G9744" t="str">
            <v>Xã Phước Tân Hưng</v>
          </cell>
          <cell r="I9744" t="str">
            <v>80121</v>
          </cell>
        </row>
        <row r="9745">
          <cell r="G9745" t="str">
            <v>Thị trấn Tầm Vu</v>
          </cell>
          <cell r="I9745" t="str">
            <v>80121</v>
          </cell>
        </row>
        <row r="9746">
          <cell r="G9746" t="str">
            <v>Xã Vĩnh Công</v>
          </cell>
          <cell r="I9746" t="str">
            <v>80121</v>
          </cell>
        </row>
        <row r="9747">
          <cell r="G9747" t="str">
            <v>Xã Thanh Phú Long</v>
          </cell>
          <cell r="I9747" t="str">
            <v>80121</v>
          </cell>
        </row>
        <row r="9748">
          <cell r="G9748" t="str">
            <v>Xã Bình Quới</v>
          </cell>
          <cell r="I9748" t="str">
            <v>80121</v>
          </cell>
        </row>
        <row r="9749">
          <cell r="G9749" t="str">
            <v xml:space="preserve">Xã Hòa Phú     </v>
          </cell>
          <cell r="I9749" t="str">
            <v>80121</v>
          </cell>
        </row>
        <row r="9750">
          <cell r="G9750" t="str">
            <v>Xã Phú Ngãi Trị</v>
          </cell>
          <cell r="I9750" t="str">
            <v>80121</v>
          </cell>
        </row>
        <row r="9751">
          <cell r="G9751" t="str">
            <v>Xã Thuận Mỹ</v>
          </cell>
          <cell r="I9751" t="str">
            <v>80121</v>
          </cell>
        </row>
        <row r="9752">
          <cell r="G9752" t="str">
            <v xml:space="preserve">Xã Hiệp Thạnh  </v>
          </cell>
          <cell r="I9752" t="str">
            <v>80121</v>
          </cell>
        </row>
        <row r="9753">
          <cell r="G9753" t="str">
            <v>Xã Dương Xuân Hội</v>
          </cell>
          <cell r="I9753" t="str">
            <v>80121</v>
          </cell>
        </row>
        <row r="9754">
          <cell r="G9754" t="str">
            <v>Xã An Lục Long</v>
          </cell>
          <cell r="I9754" t="str">
            <v>80121</v>
          </cell>
        </row>
        <row r="9755">
          <cell r="G9755" t="str">
            <v>Xã Long Trì</v>
          </cell>
          <cell r="I9755" t="str">
            <v>80121</v>
          </cell>
        </row>
        <row r="9756">
          <cell r="G9756" t="str">
            <v>Xã Thanh Vĩnh Đông</v>
          </cell>
          <cell r="I9756" t="str">
            <v>80121</v>
          </cell>
        </row>
        <row r="9757">
          <cell r="G9757" t="str">
            <v>Xã An Nhựt Tân</v>
          </cell>
          <cell r="I9757" t="str">
            <v>80123</v>
          </cell>
        </row>
        <row r="9758">
          <cell r="G9758" t="str">
            <v>Xã Quê Mỹ Thạnh</v>
          </cell>
          <cell r="I9758" t="str">
            <v>80123</v>
          </cell>
        </row>
        <row r="9759">
          <cell r="G9759" t="str">
            <v xml:space="preserve">Xã Bình Lãng  </v>
          </cell>
          <cell r="I9759" t="str">
            <v>80123</v>
          </cell>
        </row>
        <row r="9760">
          <cell r="G9760" t="str">
            <v>Thị trấn Tân Trụ</v>
          </cell>
          <cell r="I9760" t="str">
            <v>80123</v>
          </cell>
        </row>
        <row r="9761">
          <cell r="G9761" t="str">
            <v xml:space="preserve">Xã Mỹ Bình </v>
          </cell>
          <cell r="I9761" t="str">
            <v>80123</v>
          </cell>
        </row>
        <row r="9762">
          <cell r="G9762" t="str">
            <v>Xã Lạc Tấn</v>
          </cell>
          <cell r="I9762" t="str">
            <v>80123</v>
          </cell>
        </row>
        <row r="9763">
          <cell r="G9763" t="str">
            <v>Xã Bình Trinh Đông</v>
          </cell>
          <cell r="I9763" t="str">
            <v>80123</v>
          </cell>
        </row>
        <row r="9764">
          <cell r="G9764" t="str">
            <v>Xã Tân Phước Tây</v>
          </cell>
          <cell r="I9764" t="str">
            <v>80123</v>
          </cell>
        </row>
        <row r="9765">
          <cell r="G9765" t="str">
            <v>Xã Bình Tịnh</v>
          </cell>
          <cell r="I9765" t="str">
            <v>80123</v>
          </cell>
        </row>
        <row r="9766">
          <cell r="G9766" t="str">
            <v xml:space="preserve">Xã Đức Tân  </v>
          </cell>
          <cell r="I9766" t="str">
            <v>80123</v>
          </cell>
        </row>
        <row r="9767">
          <cell r="G9767" t="str">
            <v>Xã Nhựt Ninh</v>
          </cell>
          <cell r="I9767" t="str">
            <v>80123</v>
          </cell>
        </row>
        <row r="9768">
          <cell r="G9768" t="str">
            <v>Xã Phước Vân</v>
          </cell>
          <cell r="I9768" t="str">
            <v>80125</v>
          </cell>
        </row>
        <row r="9769">
          <cell r="G9769" t="str">
            <v>Xã Tân Chánh</v>
          </cell>
          <cell r="I9769" t="str">
            <v>80125</v>
          </cell>
        </row>
        <row r="9770">
          <cell r="G9770" t="str">
            <v>Thị trấn Cần Đước</v>
          </cell>
          <cell r="I9770" t="str">
            <v>80125</v>
          </cell>
        </row>
        <row r="9771">
          <cell r="G9771" t="str">
            <v>Xã Long Hòa</v>
          </cell>
          <cell r="I9771" t="str">
            <v>80125</v>
          </cell>
        </row>
        <row r="9772">
          <cell r="G9772" t="str">
            <v>Xã Mỹ Lệ</v>
          </cell>
          <cell r="I9772" t="str">
            <v>80125</v>
          </cell>
        </row>
        <row r="9773">
          <cell r="G9773" t="str">
            <v>Xã Long Hựu Đông</v>
          </cell>
          <cell r="I9773" t="str">
            <v>80125</v>
          </cell>
        </row>
        <row r="9774">
          <cell r="G9774" t="str">
            <v>Xã Long Trạch</v>
          </cell>
          <cell r="I9774" t="str">
            <v>80125</v>
          </cell>
        </row>
        <row r="9775">
          <cell r="G9775" t="str">
            <v>Xã Long Khê</v>
          </cell>
          <cell r="I9775" t="str">
            <v>80125</v>
          </cell>
        </row>
        <row r="9776">
          <cell r="G9776" t="str">
            <v>Xã Long Định</v>
          </cell>
          <cell r="I9776" t="str">
            <v>80125</v>
          </cell>
        </row>
        <row r="9777">
          <cell r="G9777" t="str">
            <v>Xã Long Cang</v>
          </cell>
          <cell r="I9777" t="str">
            <v>80125</v>
          </cell>
        </row>
        <row r="9778">
          <cell r="G9778" t="str">
            <v xml:space="preserve">Xã Long Sơn      </v>
          </cell>
          <cell r="I9778" t="str">
            <v>80125</v>
          </cell>
        </row>
        <row r="9779">
          <cell r="G9779" t="str">
            <v xml:space="preserve">Xã Tân Trạch </v>
          </cell>
          <cell r="I9779" t="str">
            <v>80125</v>
          </cell>
        </row>
        <row r="9780">
          <cell r="G9780" t="str">
            <v>Xã Tân Lân</v>
          </cell>
          <cell r="I9780" t="str">
            <v>80125</v>
          </cell>
        </row>
        <row r="9781">
          <cell r="G9781" t="str">
            <v>Xã Phước Tuy</v>
          </cell>
          <cell r="I9781" t="str">
            <v>80125</v>
          </cell>
        </row>
        <row r="9782">
          <cell r="G9782" t="str">
            <v>Xã Tân ân</v>
          </cell>
          <cell r="I9782" t="str">
            <v>80125</v>
          </cell>
        </row>
        <row r="9783">
          <cell r="G9783" t="str">
            <v xml:space="preserve">Xã Phước Đông </v>
          </cell>
          <cell r="I9783" t="str">
            <v>80125</v>
          </cell>
        </row>
        <row r="9784">
          <cell r="G9784" t="str">
            <v>Xã Long Hựu Tây</v>
          </cell>
          <cell r="I9784" t="str">
            <v>80125</v>
          </cell>
        </row>
        <row r="9785">
          <cell r="G9785" t="str">
            <v>Xã Phước Vĩnh Tây</v>
          </cell>
          <cell r="I9785" t="str">
            <v>80127</v>
          </cell>
        </row>
        <row r="9786">
          <cell r="G9786" t="str">
            <v>Thị trấn Cần Giuộc</v>
          </cell>
          <cell r="I9786" t="str">
            <v>80127</v>
          </cell>
        </row>
        <row r="9787">
          <cell r="G9787" t="str">
            <v xml:space="preserve">Xã Tân Kim </v>
          </cell>
          <cell r="I9787" t="str">
            <v>80127</v>
          </cell>
        </row>
        <row r="9788">
          <cell r="G9788" t="str">
            <v>Xã Phước Lâm</v>
          </cell>
          <cell r="I9788" t="str">
            <v>80127</v>
          </cell>
        </row>
        <row r="9789">
          <cell r="G9789" t="str">
            <v>Xã Phước Vĩnh Đông</v>
          </cell>
          <cell r="I9789" t="str">
            <v>80127</v>
          </cell>
        </row>
        <row r="9790">
          <cell r="G9790" t="str">
            <v>Xã Phước Lý</v>
          </cell>
          <cell r="I9790" t="str">
            <v>80127</v>
          </cell>
        </row>
        <row r="9791">
          <cell r="G9791" t="str">
            <v>Xã Long Thượng</v>
          </cell>
          <cell r="I9791" t="str">
            <v>80127</v>
          </cell>
        </row>
        <row r="9792">
          <cell r="G9792" t="str">
            <v>Xã Long Hậu</v>
          </cell>
          <cell r="I9792" t="str">
            <v>80127</v>
          </cell>
        </row>
        <row r="9793">
          <cell r="G9793" t="str">
            <v>Xã Phứơc Hậu</v>
          </cell>
          <cell r="I9793" t="str">
            <v>80127</v>
          </cell>
        </row>
        <row r="9794">
          <cell r="G9794" t="str">
            <v xml:space="preserve">Xã Mỹ Lộc    </v>
          </cell>
          <cell r="I9794" t="str">
            <v>80127</v>
          </cell>
        </row>
        <row r="9795">
          <cell r="G9795" t="str">
            <v>Xã Phước Lại</v>
          </cell>
          <cell r="I9795" t="str">
            <v>80127</v>
          </cell>
        </row>
        <row r="9796">
          <cell r="G9796" t="str">
            <v>Xã Trường Bình</v>
          </cell>
          <cell r="I9796" t="str">
            <v>80127</v>
          </cell>
        </row>
        <row r="9797">
          <cell r="G9797" t="str">
            <v xml:space="preserve">Xã Thuận Thành </v>
          </cell>
          <cell r="I9797" t="str">
            <v>80127</v>
          </cell>
        </row>
        <row r="9798">
          <cell r="G9798" t="str">
            <v xml:space="preserve">Xã Long An </v>
          </cell>
          <cell r="I9798" t="str">
            <v>80127</v>
          </cell>
        </row>
        <row r="9799">
          <cell r="G9799" t="str">
            <v>Xã Long Phụng</v>
          </cell>
          <cell r="I9799" t="str">
            <v>80127</v>
          </cell>
        </row>
        <row r="9800">
          <cell r="G9800" t="str">
            <v xml:space="preserve">Xã Đông Thạnh </v>
          </cell>
          <cell r="I9800" t="str">
            <v>80127</v>
          </cell>
        </row>
        <row r="9801">
          <cell r="G9801" t="str">
            <v>Xã Tân Tập</v>
          </cell>
          <cell r="I9801" t="str">
            <v>80127</v>
          </cell>
        </row>
        <row r="9802">
          <cell r="G9802" t="str">
            <v xml:space="preserve">Phường 1             </v>
          </cell>
          <cell r="I9802" t="str">
            <v>80129</v>
          </cell>
        </row>
        <row r="9803">
          <cell r="G9803" t="str">
            <v xml:space="preserve">Phường 2            </v>
          </cell>
          <cell r="I9803" t="str">
            <v>80129</v>
          </cell>
        </row>
        <row r="9804">
          <cell r="G9804" t="str">
            <v xml:space="preserve">Phường 3            </v>
          </cell>
          <cell r="I9804" t="str">
            <v>80129</v>
          </cell>
        </row>
        <row r="9805">
          <cell r="G9805" t="str">
            <v>Xã Tuyên Thạnh</v>
          </cell>
          <cell r="I9805" t="str">
            <v>80129</v>
          </cell>
        </row>
        <row r="9806">
          <cell r="G9806" t="str">
            <v xml:space="preserve">Xã Thạnh Hưng </v>
          </cell>
          <cell r="I9806" t="str">
            <v>80129</v>
          </cell>
        </row>
        <row r="9807">
          <cell r="G9807" t="str">
            <v xml:space="preserve">Xã Bình Hiệp </v>
          </cell>
          <cell r="I9807" t="str">
            <v>80129</v>
          </cell>
        </row>
        <row r="9808">
          <cell r="G9808" t="str">
            <v xml:space="preserve">Xã Bình Tân     </v>
          </cell>
          <cell r="I9808" t="str">
            <v>80129</v>
          </cell>
        </row>
        <row r="9809">
          <cell r="G9809" t="str">
            <v>Xã Thạnh Trị</v>
          </cell>
          <cell r="I9809" t="str">
            <v>80129</v>
          </cell>
        </row>
        <row r="9810">
          <cell r="G9810" t="str">
            <v xml:space="preserve">Phường 6        </v>
          </cell>
          <cell r="I9810" t="str">
            <v>80301</v>
          </cell>
        </row>
        <row r="9811">
          <cell r="G9811" t="str">
            <v xml:space="preserve">Phường 1              </v>
          </cell>
          <cell r="I9811" t="str">
            <v>80301</v>
          </cell>
        </row>
        <row r="9812">
          <cell r="G9812" t="str">
            <v xml:space="preserve">Phường 3             </v>
          </cell>
          <cell r="I9812" t="str">
            <v>80301</v>
          </cell>
        </row>
        <row r="9813">
          <cell r="G9813" t="str">
            <v>Xã Mỹ Trà</v>
          </cell>
          <cell r="I9813" t="str">
            <v>80301</v>
          </cell>
        </row>
        <row r="9814">
          <cell r="G9814" t="str">
            <v>Xã Tân Thuận Đông</v>
          </cell>
          <cell r="I9814" t="str">
            <v>80301</v>
          </cell>
        </row>
        <row r="9815">
          <cell r="G9815" t="str">
            <v xml:space="preserve">Phường 11            </v>
          </cell>
          <cell r="I9815" t="str">
            <v>80301</v>
          </cell>
        </row>
        <row r="9816">
          <cell r="G9816" t="str">
            <v xml:space="preserve">Phường 2             </v>
          </cell>
          <cell r="I9816" t="str">
            <v>80301</v>
          </cell>
        </row>
        <row r="9817">
          <cell r="G9817" t="str">
            <v xml:space="preserve">Phường 4          </v>
          </cell>
          <cell r="I9817" t="str">
            <v>80301</v>
          </cell>
        </row>
        <row r="9818">
          <cell r="G9818" t="str">
            <v>Xã Mỹ Ngãi</v>
          </cell>
          <cell r="I9818" t="str">
            <v>80301</v>
          </cell>
        </row>
        <row r="9819">
          <cell r="G9819" t="str">
            <v xml:space="preserve">Xã Mỹ Tân  </v>
          </cell>
          <cell r="I9819" t="str">
            <v>80301</v>
          </cell>
        </row>
        <row r="9820">
          <cell r="G9820" t="str">
            <v>Xã Tân Thuận Tây</v>
          </cell>
          <cell r="I9820" t="str">
            <v>80301</v>
          </cell>
        </row>
        <row r="9821">
          <cell r="G9821" t="str">
            <v xml:space="preserve">Xã Hòa An   </v>
          </cell>
          <cell r="I9821" t="str">
            <v>80301</v>
          </cell>
        </row>
        <row r="9822">
          <cell r="G9822" t="str">
            <v>Xã Tịnh Thới</v>
          </cell>
          <cell r="I9822" t="str">
            <v>80301</v>
          </cell>
        </row>
        <row r="9823">
          <cell r="G9823" t="str">
            <v>Phường Mỹ Phú</v>
          </cell>
          <cell r="I9823" t="str">
            <v>80301</v>
          </cell>
        </row>
        <row r="9824">
          <cell r="G9824" t="str">
            <v xml:space="preserve">Phường Hoà Thuận </v>
          </cell>
          <cell r="I9824" t="str">
            <v>80301</v>
          </cell>
        </row>
        <row r="9825">
          <cell r="G9825" t="str">
            <v>Phường Tân Quy Đông</v>
          </cell>
          <cell r="I9825" t="str">
            <v>80303</v>
          </cell>
        </row>
        <row r="9826">
          <cell r="G9826" t="str">
            <v xml:space="preserve">Phường 4           </v>
          </cell>
          <cell r="I9826" t="str">
            <v>80303</v>
          </cell>
        </row>
        <row r="9827">
          <cell r="G9827" t="str">
            <v>Xã Tân Khánh Đông</v>
          </cell>
          <cell r="I9827" t="str">
            <v>80303</v>
          </cell>
        </row>
        <row r="9828">
          <cell r="G9828" t="str">
            <v>Xã Tân Quy Tây</v>
          </cell>
          <cell r="I9828" t="str">
            <v>80303</v>
          </cell>
        </row>
        <row r="9829">
          <cell r="G9829" t="str">
            <v>Xã Tân Phú Đông</v>
          </cell>
          <cell r="I9829" t="str">
            <v>80303</v>
          </cell>
        </row>
        <row r="9830">
          <cell r="G9830" t="str">
            <v xml:space="preserve">Phường 2              </v>
          </cell>
          <cell r="I9830" t="str">
            <v>80303</v>
          </cell>
        </row>
        <row r="9831">
          <cell r="G9831" t="str">
            <v xml:space="preserve">Phường 3              </v>
          </cell>
          <cell r="I9831" t="str">
            <v>80303</v>
          </cell>
        </row>
        <row r="9832">
          <cell r="G9832" t="str">
            <v xml:space="preserve">Phường 1               </v>
          </cell>
          <cell r="I9832" t="str">
            <v>80303</v>
          </cell>
        </row>
        <row r="9833">
          <cell r="G9833" t="str">
            <v xml:space="preserve">Phường An Hòa </v>
          </cell>
          <cell r="I9833" t="str">
            <v>80303</v>
          </cell>
        </row>
        <row r="9834">
          <cell r="G9834" t="str">
            <v>Xã Tân Công Chí</v>
          </cell>
          <cell r="I9834" t="str">
            <v>80305</v>
          </cell>
        </row>
        <row r="9835">
          <cell r="G9835" t="str">
            <v xml:space="preserve">Xã An Phước </v>
          </cell>
          <cell r="I9835" t="str">
            <v>80305</v>
          </cell>
        </row>
        <row r="9836">
          <cell r="G9836" t="str">
            <v>Thị trấn Sa Rài</v>
          </cell>
          <cell r="I9836" t="str">
            <v>80305</v>
          </cell>
        </row>
        <row r="9837">
          <cell r="G9837" t="str">
            <v>Xã Tân Hộ Cơ</v>
          </cell>
          <cell r="I9837" t="str">
            <v>80305</v>
          </cell>
        </row>
        <row r="9838">
          <cell r="G9838" t="str">
            <v>Xã Thông Bình</v>
          </cell>
          <cell r="I9838" t="str">
            <v>80305</v>
          </cell>
        </row>
        <row r="9839">
          <cell r="G9839" t="str">
            <v xml:space="preserve">Xã Bình Phú    </v>
          </cell>
          <cell r="I9839" t="str">
            <v>80305</v>
          </cell>
        </row>
        <row r="9840">
          <cell r="G9840" t="str">
            <v>Xã Tân Thành A</v>
          </cell>
          <cell r="I9840" t="str">
            <v>80305</v>
          </cell>
        </row>
        <row r="9841">
          <cell r="G9841" t="str">
            <v>Xã Tân Thành B</v>
          </cell>
          <cell r="I9841" t="str">
            <v>80305</v>
          </cell>
        </row>
        <row r="9842">
          <cell r="G9842" t="str">
            <v xml:space="preserve">Xã Tân Phước   </v>
          </cell>
          <cell r="I9842" t="str">
            <v>80305</v>
          </cell>
        </row>
        <row r="9843">
          <cell r="G9843" t="str">
            <v>Xã Thường Thới Hậu A</v>
          </cell>
          <cell r="I9843" t="str">
            <v>80307</v>
          </cell>
        </row>
        <row r="9844">
          <cell r="G9844" t="str">
            <v>Xã Thường Lạc</v>
          </cell>
          <cell r="I9844" t="str">
            <v>80307</v>
          </cell>
        </row>
        <row r="9845">
          <cell r="G9845" t="str">
            <v>Xã Thường Phước 1</v>
          </cell>
          <cell r="I9845" t="str">
            <v>80307</v>
          </cell>
        </row>
        <row r="9846">
          <cell r="G9846" t="str">
            <v>Xã Thường Thới Hậu B</v>
          </cell>
          <cell r="I9846" t="str">
            <v>80307</v>
          </cell>
        </row>
        <row r="9847">
          <cell r="G9847" t="str">
            <v>Xã Thường Thới Tiền</v>
          </cell>
          <cell r="I9847" t="str">
            <v>80307</v>
          </cell>
        </row>
        <row r="9848">
          <cell r="G9848" t="str">
            <v>Xã Thường Phước 2</v>
          </cell>
          <cell r="I9848" t="str">
            <v>80307</v>
          </cell>
        </row>
        <row r="9849">
          <cell r="G9849" t="str">
            <v>Xã Long Khánh A</v>
          </cell>
          <cell r="I9849" t="str">
            <v>80307</v>
          </cell>
        </row>
        <row r="9850">
          <cell r="G9850" t="str">
            <v>Xã Long Khánh B</v>
          </cell>
          <cell r="I9850" t="str">
            <v>80307</v>
          </cell>
        </row>
        <row r="9851">
          <cell r="G9851" t="str">
            <v xml:space="preserve">Xã Long Thuận  </v>
          </cell>
          <cell r="I9851" t="str">
            <v>80307</v>
          </cell>
        </row>
        <row r="9852">
          <cell r="G9852" t="str">
            <v>Xã Phú Thuận B</v>
          </cell>
          <cell r="I9852" t="str">
            <v>80307</v>
          </cell>
        </row>
        <row r="9853">
          <cell r="G9853" t="str">
            <v>Xã Phú Thuận A</v>
          </cell>
          <cell r="I9853" t="str">
            <v>80307</v>
          </cell>
        </row>
        <row r="9854">
          <cell r="G9854" t="str">
            <v xml:space="preserve">Xã An Long </v>
          </cell>
          <cell r="I9854" t="str">
            <v>80309</v>
          </cell>
        </row>
        <row r="9855">
          <cell r="G9855" t="str">
            <v>Thị trấn Tràm Chim</v>
          </cell>
          <cell r="I9855" t="str">
            <v>80309</v>
          </cell>
        </row>
        <row r="9856">
          <cell r="G9856" t="str">
            <v>Xã Phú Thành B</v>
          </cell>
          <cell r="I9856" t="str">
            <v>80309</v>
          </cell>
        </row>
        <row r="9857">
          <cell r="G9857" t="str">
            <v>Xã Phú Ninh</v>
          </cell>
          <cell r="I9857" t="str">
            <v>80309</v>
          </cell>
        </row>
        <row r="9858">
          <cell r="G9858" t="str">
            <v xml:space="preserve">Xã Hoà Bình  </v>
          </cell>
          <cell r="I9858" t="str">
            <v>80309</v>
          </cell>
        </row>
        <row r="9859">
          <cell r="G9859" t="str">
            <v>Xã Tân Công Sính</v>
          </cell>
          <cell r="I9859" t="str">
            <v>80309</v>
          </cell>
        </row>
        <row r="9860">
          <cell r="G9860" t="str">
            <v>Xã Phú Hiệp</v>
          </cell>
          <cell r="I9860" t="str">
            <v>80309</v>
          </cell>
        </row>
        <row r="9861">
          <cell r="G9861" t="str">
            <v>Xã Phú Đức</v>
          </cell>
          <cell r="I9861" t="str">
            <v>80309</v>
          </cell>
        </row>
        <row r="9862">
          <cell r="G9862" t="str">
            <v xml:space="preserve">Xã An Hòa      </v>
          </cell>
          <cell r="I9862" t="str">
            <v>80309</v>
          </cell>
        </row>
        <row r="9863">
          <cell r="G9863" t="str">
            <v xml:space="preserve">Xã Phú Cường      </v>
          </cell>
          <cell r="I9863" t="str">
            <v>80309</v>
          </cell>
        </row>
        <row r="9864">
          <cell r="G9864" t="str">
            <v xml:space="preserve">Xã Phú Thọ </v>
          </cell>
          <cell r="I9864" t="str">
            <v>80309</v>
          </cell>
        </row>
        <row r="9865">
          <cell r="G9865" t="str">
            <v>Xã Phú Thành A</v>
          </cell>
          <cell r="I9865" t="str">
            <v>80309</v>
          </cell>
        </row>
        <row r="9866">
          <cell r="G9866" t="str">
            <v xml:space="preserve">Xã Bình Thành    </v>
          </cell>
          <cell r="I9866" t="str">
            <v>80311</v>
          </cell>
        </row>
        <row r="9867">
          <cell r="G9867" t="str">
            <v>Xã Tân Quới</v>
          </cell>
          <cell r="I9867" t="str">
            <v>80311</v>
          </cell>
        </row>
        <row r="9868">
          <cell r="G9868" t="str">
            <v xml:space="preserve">Xã Tân Mỹ      </v>
          </cell>
          <cell r="I9868" t="str">
            <v>80311</v>
          </cell>
        </row>
        <row r="9869">
          <cell r="G9869" t="str">
            <v xml:space="preserve">Xã Tân Bình          </v>
          </cell>
          <cell r="I9869" t="str">
            <v>80311</v>
          </cell>
        </row>
        <row r="9870">
          <cell r="G9870" t="str">
            <v xml:space="preserve">Xã Tân Long     </v>
          </cell>
          <cell r="I9870" t="str">
            <v>80311</v>
          </cell>
        </row>
        <row r="9871">
          <cell r="G9871" t="str">
            <v>Thị trấn Thanh Bình</v>
          </cell>
          <cell r="I9871" t="str">
            <v>80311</v>
          </cell>
        </row>
        <row r="9872">
          <cell r="G9872" t="str">
            <v xml:space="preserve">Xã Tân Hòa       </v>
          </cell>
          <cell r="I9872" t="str">
            <v>80311</v>
          </cell>
        </row>
        <row r="9873">
          <cell r="G9873" t="str">
            <v>Xã An Phong</v>
          </cell>
          <cell r="I9873" t="str">
            <v>80311</v>
          </cell>
        </row>
        <row r="9874">
          <cell r="G9874" t="str">
            <v xml:space="preserve">Xã Phú Lợi </v>
          </cell>
          <cell r="I9874" t="str">
            <v>80311</v>
          </cell>
        </row>
        <row r="9875">
          <cell r="G9875" t="str">
            <v>Xã Bình Tấn</v>
          </cell>
          <cell r="I9875" t="str">
            <v>80311</v>
          </cell>
        </row>
        <row r="9876">
          <cell r="G9876" t="str">
            <v>Xã Tân Huề</v>
          </cell>
          <cell r="I9876" t="str">
            <v>80311</v>
          </cell>
        </row>
        <row r="9877">
          <cell r="G9877" t="str">
            <v>Xã Tân Thạnh</v>
          </cell>
          <cell r="I9877" t="str">
            <v>80311</v>
          </cell>
        </row>
        <row r="9878">
          <cell r="G9878" t="str">
            <v xml:space="preserve">Xã Tân Phú      </v>
          </cell>
          <cell r="I9878" t="str">
            <v>80311</v>
          </cell>
        </row>
        <row r="9879">
          <cell r="G9879" t="str">
            <v>Xã Mỹ Quý</v>
          </cell>
          <cell r="I9879" t="str">
            <v>80313</v>
          </cell>
        </row>
        <row r="9880">
          <cell r="G9880" t="str">
            <v xml:space="preserve">Xã Mỹ Hòa  </v>
          </cell>
          <cell r="I9880" t="str">
            <v>80313</v>
          </cell>
        </row>
        <row r="9881">
          <cell r="G9881" t="str">
            <v xml:space="preserve">Xã Mỹ An   </v>
          </cell>
          <cell r="I9881" t="str">
            <v>80313</v>
          </cell>
        </row>
        <row r="9882">
          <cell r="G9882" t="str">
            <v xml:space="preserve">Xã Thanh Mỹ  </v>
          </cell>
          <cell r="I9882" t="str">
            <v>80313</v>
          </cell>
        </row>
        <row r="9883">
          <cell r="G9883" t="str">
            <v xml:space="preserve">Xã Thạnh Lợi </v>
          </cell>
          <cell r="I9883" t="str">
            <v>80313</v>
          </cell>
        </row>
        <row r="9884">
          <cell r="G9884" t="str">
            <v>Thị trấn Mỹ An</v>
          </cell>
          <cell r="I9884" t="str">
            <v>80313</v>
          </cell>
        </row>
        <row r="9885">
          <cell r="G9885" t="str">
            <v xml:space="preserve">Xã Hưng Thạnh </v>
          </cell>
          <cell r="I9885" t="str">
            <v>80313</v>
          </cell>
        </row>
        <row r="9886">
          <cell r="G9886" t="str">
            <v xml:space="preserve">Xã Trường Xuân  </v>
          </cell>
          <cell r="I9886" t="str">
            <v>80313</v>
          </cell>
        </row>
        <row r="9887">
          <cell r="G9887" t="str">
            <v>Xã Tân Kiều</v>
          </cell>
          <cell r="I9887" t="str">
            <v>80313</v>
          </cell>
        </row>
        <row r="9888">
          <cell r="G9888" t="str">
            <v>Xã Mỹ Đông</v>
          </cell>
          <cell r="I9888" t="str">
            <v>80313</v>
          </cell>
        </row>
        <row r="9889">
          <cell r="G9889" t="str">
            <v>Xã Đốc Binh Kiều</v>
          </cell>
          <cell r="I9889" t="str">
            <v>80313</v>
          </cell>
        </row>
        <row r="9890">
          <cell r="G9890" t="str">
            <v xml:space="preserve">Xã Phú Điền  </v>
          </cell>
          <cell r="I9890" t="str">
            <v>80313</v>
          </cell>
        </row>
        <row r="9891">
          <cell r="G9891" t="str">
            <v>Xã Láng Biển</v>
          </cell>
          <cell r="I9891" t="str">
            <v>80313</v>
          </cell>
        </row>
        <row r="9892">
          <cell r="G9892" t="str">
            <v xml:space="preserve">Xã Tân Nghĩa </v>
          </cell>
          <cell r="I9892" t="str">
            <v>80315</v>
          </cell>
        </row>
        <row r="9893">
          <cell r="G9893" t="str">
            <v xml:space="preserve">Xã Bình Thạnh      </v>
          </cell>
          <cell r="I9893" t="str">
            <v>80315</v>
          </cell>
        </row>
        <row r="9894">
          <cell r="G9894" t="str">
            <v xml:space="preserve">Xã Ba Sao </v>
          </cell>
          <cell r="I9894" t="str">
            <v>80315</v>
          </cell>
        </row>
        <row r="9895">
          <cell r="G9895" t="str">
            <v>Xã Nhị Mỹ</v>
          </cell>
          <cell r="I9895" t="str">
            <v>80315</v>
          </cell>
        </row>
        <row r="9896">
          <cell r="G9896" t="str">
            <v xml:space="preserve">Xã An Bình        </v>
          </cell>
          <cell r="I9896" t="str">
            <v>80315</v>
          </cell>
        </row>
        <row r="9897">
          <cell r="G9897" t="str">
            <v>Xã Bình Hàng Trung</v>
          </cell>
          <cell r="I9897" t="str">
            <v>80315</v>
          </cell>
        </row>
        <row r="9898">
          <cell r="G9898" t="str">
            <v>Thị trấn Mỹ Thọ</v>
          </cell>
          <cell r="I9898" t="str">
            <v>80315</v>
          </cell>
        </row>
        <row r="9899">
          <cell r="G9899" t="str">
            <v>Xã Gáo Giồng</v>
          </cell>
          <cell r="I9899" t="str">
            <v>80315</v>
          </cell>
        </row>
        <row r="9900">
          <cell r="G9900" t="str">
            <v xml:space="preserve">Xã Phương Thịnh </v>
          </cell>
          <cell r="I9900" t="str">
            <v>80315</v>
          </cell>
        </row>
        <row r="9901">
          <cell r="G9901" t="str">
            <v xml:space="preserve">Xã Phong Mỹ </v>
          </cell>
          <cell r="I9901" t="str">
            <v>80315</v>
          </cell>
        </row>
        <row r="9902">
          <cell r="G9902" t="str">
            <v>Xã Phương Trà</v>
          </cell>
          <cell r="I9902" t="str">
            <v>80315</v>
          </cell>
        </row>
        <row r="9903">
          <cell r="G9903" t="str">
            <v xml:space="preserve">Xã Mỹ Thọ  </v>
          </cell>
          <cell r="I9903" t="str">
            <v>80315</v>
          </cell>
        </row>
        <row r="9904">
          <cell r="G9904" t="str">
            <v>Xã Tân Hội Trung</v>
          </cell>
          <cell r="I9904" t="str">
            <v>80315</v>
          </cell>
        </row>
        <row r="9905">
          <cell r="G9905" t="str">
            <v>Xã Mỹ Hội</v>
          </cell>
          <cell r="I9905" t="str">
            <v>80315</v>
          </cell>
        </row>
        <row r="9906">
          <cell r="G9906" t="str">
            <v xml:space="preserve">Xã Mỹ Hiệp </v>
          </cell>
          <cell r="I9906" t="str">
            <v>80315</v>
          </cell>
        </row>
        <row r="9907">
          <cell r="G9907" t="str">
            <v>Xã Mỹ Long</v>
          </cell>
          <cell r="I9907" t="str">
            <v>80315</v>
          </cell>
        </row>
        <row r="9908">
          <cell r="G9908" t="str">
            <v>Xã Mỹ Xương</v>
          </cell>
          <cell r="I9908" t="str">
            <v>80315</v>
          </cell>
        </row>
        <row r="9909">
          <cell r="G9909" t="str">
            <v>Xã Bình Hàng Tây</v>
          </cell>
          <cell r="I9909" t="str">
            <v>80315</v>
          </cell>
        </row>
        <row r="9910">
          <cell r="G9910" t="str">
            <v>Xã Định Yên</v>
          </cell>
          <cell r="I9910" t="str">
            <v>80317</v>
          </cell>
        </row>
        <row r="9911">
          <cell r="G9911" t="str">
            <v>Xã Mỹ An Hưng B</v>
          </cell>
          <cell r="I9911" t="str">
            <v>80317</v>
          </cell>
        </row>
        <row r="9912">
          <cell r="G9912" t="str">
            <v>Xã Long Hưng B</v>
          </cell>
          <cell r="I9912" t="str">
            <v>80317</v>
          </cell>
        </row>
        <row r="9913">
          <cell r="G9913" t="str">
            <v>Xã Bình Thạnh Trung</v>
          </cell>
          <cell r="I9913" t="str">
            <v>80317</v>
          </cell>
        </row>
        <row r="9914">
          <cell r="G9914" t="str">
            <v>Thị trấn Lấp Vò</v>
          </cell>
          <cell r="I9914" t="str">
            <v>80317</v>
          </cell>
        </row>
        <row r="9915">
          <cell r="G9915" t="str">
            <v>Xã Mỹ An Hưng A</v>
          </cell>
          <cell r="I9915" t="str">
            <v>80317</v>
          </cell>
        </row>
        <row r="9916">
          <cell r="G9916" t="str">
            <v xml:space="preserve">Xã Tân Mỹ       </v>
          </cell>
          <cell r="I9916" t="str">
            <v>80317</v>
          </cell>
        </row>
        <row r="9917">
          <cell r="G9917" t="str">
            <v>Xã Tân Khánh Trung</v>
          </cell>
          <cell r="I9917" t="str">
            <v>80317</v>
          </cell>
        </row>
        <row r="9918">
          <cell r="G9918" t="str">
            <v>Xã Long Hưng A</v>
          </cell>
          <cell r="I9918" t="str">
            <v>80317</v>
          </cell>
        </row>
        <row r="9919">
          <cell r="G9919" t="str">
            <v xml:space="preserve">Xã Vĩnh Thạnh  </v>
          </cell>
          <cell r="I9919" t="str">
            <v>80317</v>
          </cell>
        </row>
        <row r="9920">
          <cell r="G9920" t="str">
            <v xml:space="preserve">Xã Bình Thành     </v>
          </cell>
          <cell r="I9920" t="str">
            <v>80317</v>
          </cell>
        </row>
        <row r="9921">
          <cell r="G9921" t="str">
            <v xml:space="preserve">Xã Định An </v>
          </cell>
          <cell r="I9921" t="str">
            <v>80317</v>
          </cell>
        </row>
        <row r="9922">
          <cell r="G9922" t="str">
            <v>Xã Hội An Đông</v>
          </cell>
          <cell r="I9922" t="str">
            <v>80317</v>
          </cell>
        </row>
        <row r="9923">
          <cell r="G9923" t="str">
            <v xml:space="preserve">Xã Phong Hòa </v>
          </cell>
          <cell r="I9923" t="str">
            <v>80319</v>
          </cell>
        </row>
        <row r="9924">
          <cell r="G9924" t="str">
            <v xml:space="preserve">Xã Định Hòa </v>
          </cell>
          <cell r="I9924" t="str">
            <v>80319</v>
          </cell>
        </row>
        <row r="9925">
          <cell r="G9925" t="str">
            <v xml:space="preserve">Xã Tân Hòa        </v>
          </cell>
          <cell r="I9925" t="str">
            <v>80319</v>
          </cell>
        </row>
        <row r="9926">
          <cell r="G9926" t="str">
            <v xml:space="preserve">Xã Long Hậu </v>
          </cell>
          <cell r="I9926" t="str">
            <v>80319</v>
          </cell>
        </row>
        <row r="9927">
          <cell r="G9927" t="str">
            <v>Xã Long Thắng</v>
          </cell>
          <cell r="I9927" t="str">
            <v>80319</v>
          </cell>
        </row>
        <row r="9928">
          <cell r="G9928" t="str">
            <v>Thị trấn Lai Vung</v>
          </cell>
          <cell r="I9928" t="str">
            <v>80319</v>
          </cell>
        </row>
        <row r="9929">
          <cell r="G9929" t="str">
            <v xml:space="preserve">Xã Tân Dương   </v>
          </cell>
          <cell r="I9929" t="str">
            <v>80319</v>
          </cell>
        </row>
        <row r="9930">
          <cell r="G9930" t="str">
            <v xml:space="preserve">Xã Hòa Thành  </v>
          </cell>
          <cell r="I9930" t="str">
            <v>80319</v>
          </cell>
        </row>
        <row r="9931">
          <cell r="G9931" t="str">
            <v xml:space="preserve">Xã Tân Phước    </v>
          </cell>
          <cell r="I9931" t="str">
            <v>80319</v>
          </cell>
        </row>
        <row r="9932">
          <cell r="G9932" t="str">
            <v xml:space="preserve">Xã Hòa Long </v>
          </cell>
          <cell r="I9932" t="str">
            <v>80319</v>
          </cell>
        </row>
        <row r="9933">
          <cell r="G9933" t="str">
            <v xml:space="preserve">Xã Tân Thành                      </v>
          </cell>
          <cell r="I9933" t="str">
            <v>80319</v>
          </cell>
        </row>
        <row r="9934">
          <cell r="G9934" t="str">
            <v>Xã Vĩnh Thới</v>
          </cell>
          <cell r="I9934" t="str">
            <v>80319</v>
          </cell>
        </row>
        <row r="9935">
          <cell r="G9935" t="str">
            <v>Xã Phú Hựu</v>
          </cell>
          <cell r="I9935" t="str">
            <v>80321</v>
          </cell>
        </row>
        <row r="9936">
          <cell r="G9936" t="str">
            <v xml:space="preserve">Xã An Khánh  </v>
          </cell>
          <cell r="I9936" t="str">
            <v>80321</v>
          </cell>
        </row>
        <row r="9937">
          <cell r="G9937" t="str">
            <v>Thị trấn Cái Tàu Hạ</v>
          </cell>
          <cell r="I9937" t="str">
            <v>80321</v>
          </cell>
        </row>
        <row r="9938">
          <cell r="G9938" t="str">
            <v xml:space="preserve">Xã An Hiệp  </v>
          </cell>
          <cell r="I9938" t="str">
            <v>80321</v>
          </cell>
        </row>
        <row r="9939">
          <cell r="G9939" t="str">
            <v xml:space="preserve">Xã An Nhơn </v>
          </cell>
          <cell r="I9939" t="str">
            <v>80321</v>
          </cell>
        </row>
        <row r="9940">
          <cell r="G9940" t="str">
            <v>Xã Tân Nhuận Đông</v>
          </cell>
          <cell r="I9940" t="str">
            <v>80321</v>
          </cell>
        </row>
        <row r="9941">
          <cell r="G9941" t="str">
            <v xml:space="preserve">Xã Tân Bình           </v>
          </cell>
          <cell r="I9941" t="str">
            <v>80321</v>
          </cell>
        </row>
        <row r="9942">
          <cell r="G9942" t="str">
            <v xml:space="preserve">Xã Tân Phú Trung </v>
          </cell>
          <cell r="I9942" t="str">
            <v>80321</v>
          </cell>
        </row>
        <row r="9943">
          <cell r="G9943" t="str">
            <v xml:space="preserve">Xã Phú Long </v>
          </cell>
          <cell r="I9943" t="str">
            <v>80321</v>
          </cell>
        </row>
        <row r="9944">
          <cell r="G9944" t="str">
            <v>Xã An Phú Thuận</v>
          </cell>
          <cell r="I9944" t="str">
            <v>80321</v>
          </cell>
        </row>
        <row r="9945">
          <cell r="G9945" t="str">
            <v xml:space="preserve">Xã Tân Phú       </v>
          </cell>
          <cell r="I9945" t="str">
            <v>80321</v>
          </cell>
        </row>
        <row r="9946">
          <cell r="G9946" t="str">
            <v xml:space="preserve">Xã Hòa Tân </v>
          </cell>
          <cell r="I9946" t="str">
            <v>80321</v>
          </cell>
        </row>
        <row r="9947">
          <cell r="G9947" t="str">
            <v xml:space="preserve">Phường An Thạnh </v>
          </cell>
          <cell r="I9947" t="str">
            <v>80323</v>
          </cell>
        </row>
        <row r="9948">
          <cell r="G9948" t="str">
            <v xml:space="preserve">Phường An Lạc  </v>
          </cell>
          <cell r="I9948" t="str">
            <v>80323</v>
          </cell>
        </row>
        <row r="9949">
          <cell r="G9949" t="str">
            <v xml:space="preserve">Phường An Lộc </v>
          </cell>
          <cell r="I9949" t="str">
            <v>80323</v>
          </cell>
        </row>
        <row r="9950">
          <cell r="G9950" t="str">
            <v>Xã An Bình A</v>
          </cell>
          <cell r="I9950" t="str">
            <v>80323</v>
          </cell>
        </row>
        <row r="9951">
          <cell r="G9951" t="str">
            <v>Xã An Bình B</v>
          </cell>
          <cell r="I9951" t="str">
            <v>80323</v>
          </cell>
        </row>
        <row r="9952">
          <cell r="G9952" t="str">
            <v xml:space="preserve">Xã Bình Thạnh       </v>
          </cell>
          <cell r="I9952" t="str">
            <v>80323</v>
          </cell>
        </row>
        <row r="9953">
          <cell r="G9953" t="str">
            <v xml:space="preserve">Xã Tân Hội   </v>
          </cell>
          <cell r="I9953" t="str">
            <v>80323</v>
          </cell>
        </row>
        <row r="9954">
          <cell r="G9954" t="str">
            <v>Phường Mỹ Thạnh</v>
          </cell>
          <cell r="I9954" t="str">
            <v>80501</v>
          </cell>
        </row>
        <row r="9955">
          <cell r="G9955" t="str">
            <v xml:space="preserve">Phường Mỹ Bình </v>
          </cell>
          <cell r="I9955" t="str">
            <v>80501</v>
          </cell>
        </row>
        <row r="9956">
          <cell r="G9956" t="str">
            <v xml:space="preserve">Phường Bình Khánh </v>
          </cell>
          <cell r="I9956" t="str">
            <v>80501</v>
          </cell>
        </row>
        <row r="9957">
          <cell r="G9957" t="str">
            <v>Phường Mỹ Hòa</v>
          </cell>
          <cell r="I9957" t="str">
            <v>80501</v>
          </cell>
        </row>
        <row r="9958">
          <cell r="G9958" t="str">
            <v>Phường Mỹ Long</v>
          </cell>
          <cell r="I9958" t="str">
            <v>80501</v>
          </cell>
        </row>
        <row r="9959">
          <cell r="G9959" t="str">
            <v>Phường Mỹ Xuyên</v>
          </cell>
          <cell r="I9959" t="str">
            <v>80501</v>
          </cell>
        </row>
        <row r="9960">
          <cell r="G9960" t="str">
            <v>Phường Bình Đức</v>
          </cell>
          <cell r="I9960" t="str">
            <v>80501</v>
          </cell>
        </row>
        <row r="9961">
          <cell r="G9961" t="str">
            <v xml:space="preserve">Phường Mỹ Phước </v>
          </cell>
          <cell r="I9961" t="str">
            <v>80501</v>
          </cell>
        </row>
        <row r="9962">
          <cell r="G9962" t="str">
            <v>Phường Mỹ Quý</v>
          </cell>
          <cell r="I9962" t="str">
            <v>80501</v>
          </cell>
        </row>
        <row r="9963">
          <cell r="G9963" t="str">
            <v>Phường Mỹ Thới</v>
          </cell>
          <cell r="I9963" t="str">
            <v>80501</v>
          </cell>
        </row>
        <row r="9964">
          <cell r="G9964" t="str">
            <v>Xã Mỹ Khánh</v>
          </cell>
          <cell r="I9964" t="str">
            <v>80501</v>
          </cell>
        </row>
        <row r="9965">
          <cell r="G9965" t="str">
            <v>Xã Mỹ Hoà Hưng</v>
          </cell>
          <cell r="I9965" t="str">
            <v>80501</v>
          </cell>
        </row>
        <row r="9966">
          <cell r="G9966" t="str">
            <v>Phường Đông Xuyên</v>
          </cell>
          <cell r="I9966" t="str">
            <v>80501</v>
          </cell>
        </row>
        <row r="9967">
          <cell r="G9967" t="str">
            <v>Phường Châu Phú A</v>
          </cell>
          <cell r="I9967" t="str">
            <v>80503</v>
          </cell>
        </row>
        <row r="9968">
          <cell r="G9968" t="str">
            <v>Xã Vĩnh Tế</v>
          </cell>
          <cell r="I9968" t="str">
            <v>80503</v>
          </cell>
        </row>
        <row r="9969">
          <cell r="G9969" t="str">
            <v>Phường Châu Phú B</v>
          </cell>
          <cell r="I9969" t="str">
            <v>80503</v>
          </cell>
        </row>
        <row r="9970">
          <cell r="G9970" t="str">
            <v>Phường Vĩnh Mỹ</v>
          </cell>
          <cell r="I9970" t="str">
            <v>80503</v>
          </cell>
        </row>
        <row r="9971">
          <cell r="G9971" t="str">
            <v>Phường Núi Sam</v>
          </cell>
          <cell r="I9971" t="str">
            <v>80503</v>
          </cell>
        </row>
        <row r="9972">
          <cell r="G9972" t="str">
            <v>Phường Vĩnh Ngươn</v>
          </cell>
          <cell r="I9972" t="str">
            <v>80503</v>
          </cell>
        </row>
        <row r="9973">
          <cell r="G9973" t="str">
            <v>Xã Vĩnh Châu</v>
          </cell>
          <cell r="I9973" t="str">
            <v>80503</v>
          </cell>
        </row>
        <row r="9974">
          <cell r="G9974" t="str">
            <v>Xã Quốc Thái</v>
          </cell>
          <cell r="I9974" t="str">
            <v>80505</v>
          </cell>
        </row>
        <row r="9975">
          <cell r="G9975" t="str">
            <v xml:space="preserve">Xã Khánh Bình </v>
          </cell>
          <cell r="I9975" t="str">
            <v>80505</v>
          </cell>
        </row>
        <row r="9976">
          <cell r="G9976" t="str">
            <v xml:space="preserve">Xã Phú Hội  </v>
          </cell>
          <cell r="I9976" t="str">
            <v>80505</v>
          </cell>
        </row>
        <row r="9977">
          <cell r="G9977" t="str">
            <v xml:space="preserve">Xã Vĩnh Trường </v>
          </cell>
          <cell r="I9977" t="str">
            <v>80505</v>
          </cell>
        </row>
        <row r="9978">
          <cell r="G9978" t="str">
            <v>Thị trấn An Phú</v>
          </cell>
          <cell r="I9978" t="str">
            <v>80505</v>
          </cell>
        </row>
        <row r="9979">
          <cell r="G9979" t="str">
            <v xml:space="preserve">Xã Khánh An </v>
          </cell>
          <cell r="I9979" t="str">
            <v>80505</v>
          </cell>
        </row>
        <row r="9980">
          <cell r="G9980" t="str">
            <v xml:space="preserve">Xã Nhơn Hội </v>
          </cell>
          <cell r="I9980" t="str">
            <v>80505</v>
          </cell>
        </row>
        <row r="9981">
          <cell r="G9981" t="str">
            <v xml:space="preserve">Xã Phú Hữu </v>
          </cell>
          <cell r="I9981" t="str">
            <v>80505</v>
          </cell>
        </row>
        <row r="9982">
          <cell r="G9982" t="str">
            <v xml:space="preserve">Xã Phước Hưng  </v>
          </cell>
          <cell r="I9982" t="str">
            <v>80505</v>
          </cell>
        </row>
        <row r="9983">
          <cell r="G9983" t="str">
            <v xml:space="preserve">Xã Vĩnh Lộc </v>
          </cell>
          <cell r="I9983" t="str">
            <v>80505</v>
          </cell>
        </row>
        <row r="9984">
          <cell r="G9984" t="str">
            <v>Xã Vĩnh Hậu</v>
          </cell>
          <cell r="I9984" t="str">
            <v>80505</v>
          </cell>
        </row>
        <row r="9985">
          <cell r="G9985" t="str">
            <v>Xã Vĩnh Hội Đông</v>
          </cell>
          <cell r="I9985" t="str">
            <v>80505</v>
          </cell>
        </row>
        <row r="9986">
          <cell r="G9986" t="str">
            <v xml:space="preserve">Xã Đa Phước </v>
          </cell>
          <cell r="I9986" t="str">
            <v>80505</v>
          </cell>
        </row>
        <row r="9987">
          <cell r="G9987" t="str">
            <v>Thị trấn Long Bình</v>
          </cell>
          <cell r="I9987" t="str">
            <v>80505</v>
          </cell>
        </row>
        <row r="9988">
          <cell r="G9988" t="str">
            <v>Xã Vĩnh Xương</v>
          </cell>
          <cell r="I9988" t="str">
            <v>80507</v>
          </cell>
        </row>
        <row r="9989">
          <cell r="G9989" t="str">
            <v xml:space="preserve">Xã Phú Lộc      </v>
          </cell>
          <cell r="I9989" t="str">
            <v>80507</v>
          </cell>
        </row>
        <row r="9990">
          <cell r="G9990" t="str">
            <v xml:space="preserve">Xã Long An  </v>
          </cell>
          <cell r="I9990" t="str">
            <v>80507</v>
          </cell>
        </row>
        <row r="9991">
          <cell r="G9991" t="str">
            <v>Xã Lê Chánh</v>
          </cell>
          <cell r="I9991" t="str">
            <v>80507</v>
          </cell>
        </row>
        <row r="9992">
          <cell r="G9992" t="str">
            <v xml:space="preserve">Xã Vĩnh Hòa    </v>
          </cell>
          <cell r="I9992" t="str">
            <v>80507</v>
          </cell>
        </row>
        <row r="9993">
          <cell r="G9993" t="str">
            <v xml:space="preserve">Xã Tân An       </v>
          </cell>
          <cell r="I9993" t="str">
            <v>80507</v>
          </cell>
        </row>
        <row r="9994">
          <cell r="G9994" t="str">
            <v>Phường Long Phú</v>
          </cell>
          <cell r="I9994" t="str">
            <v>80507</v>
          </cell>
        </row>
        <row r="9995">
          <cell r="G9995" t="str">
            <v xml:space="preserve">Xã Châu Phong  </v>
          </cell>
          <cell r="I9995" t="str">
            <v>80507</v>
          </cell>
        </row>
        <row r="9996">
          <cell r="G9996" t="str">
            <v>Xã Phú Vĩnh</v>
          </cell>
          <cell r="I9996" t="str">
            <v>80507</v>
          </cell>
        </row>
        <row r="9997">
          <cell r="G9997" t="str">
            <v xml:space="preserve">Xã Tân Thạnh </v>
          </cell>
          <cell r="I9997" t="str">
            <v>80507</v>
          </cell>
        </row>
        <row r="9998">
          <cell r="G9998" t="str">
            <v>Phường Long Châu</v>
          </cell>
          <cell r="I9998" t="str">
            <v>80507</v>
          </cell>
        </row>
        <row r="9999">
          <cell r="G9999" t="str">
            <v>Phường Long Hưng</v>
          </cell>
          <cell r="I9999" t="str">
            <v>80507</v>
          </cell>
        </row>
        <row r="10000">
          <cell r="G10000" t="str">
            <v>Phường Long Thạnh</v>
          </cell>
          <cell r="I10000" t="str">
            <v>80507</v>
          </cell>
        </row>
        <row r="10001">
          <cell r="G10001" t="str">
            <v>Phương Long Sơn</v>
          </cell>
          <cell r="I10001" t="str">
            <v>80507</v>
          </cell>
        </row>
        <row r="10002">
          <cell r="G10002" t="str">
            <v xml:space="preserve">Xã Phú Long  </v>
          </cell>
          <cell r="I10002" t="str">
            <v>80509</v>
          </cell>
        </row>
        <row r="10003">
          <cell r="G10003" t="str">
            <v>Xã Bình Thạnh Đông</v>
          </cell>
          <cell r="I10003" t="str">
            <v>80509</v>
          </cell>
        </row>
        <row r="10004">
          <cell r="G10004" t="str">
            <v xml:space="preserve">Xã Long Hoà  </v>
          </cell>
          <cell r="I10004" t="str">
            <v>80509</v>
          </cell>
        </row>
        <row r="10005">
          <cell r="G10005" t="str">
            <v xml:space="preserve">Xã Phú Hiệp </v>
          </cell>
          <cell r="I10005" t="str">
            <v>80509</v>
          </cell>
        </row>
        <row r="10006">
          <cell r="G10006" t="str">
            <v xml:space="preserve">Xã Phú An    </v>
          </cell>
          <cell r="I10006" t="str">
            <v>80509</v>
          </cell>
        </row>
        <row r="10007">
          <cell r="G10007" t="str">
            <v xml:space="preserve">Xã Phú Thọ  </v>
          </cell>
          <cell r="I10007" t="str">
            <v>80509</v>
          </cell>
        </row>
        <row r="10008">
          <cell r="G10008" t="str">
            <v xml:space="preserve">Xã Tân Trung </v>
          </cell>
          <cell r="I10008" t="str">
            <v>80509</v>
          </cell>
        </row>
        <row r="10009">
          <cell r="G10009" t="str">
            <v xml:space="preserve">Thị trấn Phú Mỹ </v>
          </cell>
          <cell r="I10009" t="str">
            <v>80509</v>
          </cell>
        </row>
        <row r="10010">
          <cell r="G10010" t="str">
            <v>Thị trấn Chợ Vàm</v>
          </cell>
          <cell r="I10010" t="str">
            <v>80509</v>
          </cell>
        </row>
        <row r="10011">
          <cell r="G10011" t="str">
            <v xml:space="preserve">Xã Long Sơn       </v>
          </cell>
          <cell r="I10011" t="str">
            <v>80509</v>
          </cell>
        </row>
        <row r="10012">
          <cell r="G10012" t="str">
            <v xml:space="preserve">Xã Phú Lâm    </v>
          </cell>
          <cell r="I10012" t="str">
            <v>80509</v>
          </cell>
        </row>
        <row r="10013">
          <cell r="G10013" t="str">
            <v xml:space="preserve">Xã Phú Thạnh </v>
          </cell>
          <cell r="I10013" t="str">
            <v>80509</v>
          </cell>
        </row>
        <row r="10014">
          <cell r="G10014" t="str">
            <v>Xã Hoà Lạc</v>
          </cell>
          <cell r="I10014" t="str">
            <v>80509</v>
          </cell>
        </row>
        <row r="10015">
          <cell r="G10015" t="str">
            <v xml:space="preserve">Xã Phú Thành  </v>
          </cell>
          <cell r="I10015" t="str">
            <v>80509</v>
          </cell>
        </row>
        <row r="10016">
          <cell r="G10016" t="str">
            <v xml:space="preserve">Xã Phú Xuân       </v>
          </cell>
          <cell r="I10016" t="str">
            <v>80509</v>
          </cell>
        </row>
        <row r="10017">
          <cell r="G10017" t="str">
            <v>Xã Hiệp Xương</v>
          </cell>
          <cell r="I10017" t="str">
            <v>80509</v>
          </cell>
        </row>
        <row r="10018">
          <cell r="G10018" t="str">
            <v xml:space="preserve">Xã Phú Bình  </v>
          </cell>
          <cell r="I10018" t="str">
            <v>80509</v>
          </cell>
        </row>
        <row r="10019">
          <cell r="G10019" t="str">
            <v>Xã Phú Hưng</v>
          </cell>
          <cell r="I10019" t="str">
            <v>80509</v>
          </cell>
        </row>
        <row r="10020">
          <cell r="G10020" t="str">
            <v xml:space="preserve">Xã Tân Hòa         </v>
          </cell>
          <cell r="I10020" t="str">
            <v>80509</v>
          </cell>
        </row>
        <row r="10021">
          <cell r="G10021" t="str">
            <v>Xã Đào Hữu Cảnh</v>
          </cell>
          <cell r="I10021" t="str">
            <v>80511</v>
          </cell>
        </row>
        <row r="10022">
          <cell r="G10022" t="str">
            <v xml:space="preserve">Xã Mỹ Phú </v>
          </cell>
          <cell r="I10022" t="str">
            <v>80511</v>
          </cell>
        </row>
        <row r="10023">
          <cell r="G10023" t="str">
            <v>Xã Thạnh Mỹ Tây</v>
          </cell>
          <cell r="I10023" t="str">
            <v>80511</v>
          </cell>
        </row>
        <row r="10024">
          <cell r="G10024" t="str">
            <v xml:space="preserve">Xã Bình Phú     </v>
          </cell>
          <cell r="I10024" t="str">
            <v>80511</v>
          </cell>
        </row>
        <row r="10025">
          <cell r="G10025" t="str">
            <v>Thị trấn Cái Dầu</v>
          </cell>
          <cell r="I10025" t="str">
            <v>80511</v>
          </cell>
        </row>
        <row r="10026">
          <cell r="G10026" t="str">
            <v xml:space="preserve">Xã Khánh Hòa </v>
          </cell>
          <cell r="I10026" t="str">
            <v>80511</v>
          </cell>
        </row>
        <row r="10027">
          <cell r="G10027" t="str">
            <v xml:space="preserve">Xã Mỹ Đức   </v>
          </cell>
          <cell r="I10027" t="str">
            <v>80511</v>
          </cell>
        </row>
        <row r="10028">
          <cell r="G10028" t="str">
            <v>Xã ô Long Vỹ</v>
          </cell>
          <cell r="I10028" t="str">
            <v>80511</v>
          </cell>
        </row>
        <row r="10029">
          <cell r="G10029" t="str">
            <v>Xã Vĩnh Thạnh Trung</v>
          </cell>
          <cell r="I10029" t="str">
            <v>80511</v>
          </cell>
        </row>
        <row r="10030">
          <cell r="G10030" t="str">
            <v xml:space="preserve">Xã Bình Long   </v>
          </cell>
          <cell r="I10030" t="str">
            <v>80511</v>
          </cell>
        </row>
        <row r="10031">
          <cell r="G10031" t="str">
            <v xml:space="preserve">Xã Bình Mỹ   </v>
          </cell>
          <cell r="I10031" t="str">
            <v>80511</v>
          </cell>
        </row>
        <row r="10032">
          <cell r="G10032" t="str">
            <v>Xã Bình Thủy</v>
          </cell>
          <cell r="I10032" t="str">
            <v>80511</v>
          </cell>
        </row>
        <row r="10033">
          <cell r="G10033" t="str">
            <v xml:space="preserve">Xã Bình Chánh   </v>
          </cell>
          <cell r="I10033" t="str">
            <v>80511</v>
          </cell>
        </row>
        <row r="10034">
          <cell r="G10034" t="str">
            <v>Xã Núi Voi</v>
          </cell>
          <cell r="I10034" t="str">
            <v>80513</v>
          </cell>
        </row>
        <row r="10035">
          <cell r="G10035" t="str">
            <v>Xã Thới Sơn</v>
          </cell>
          <cell r="I10035" t="str">
            <v>80513</v>
          </cell>
        </row>
        <row r="10036">
          <cell r="G10036" t="str">
            <v xml:space="preserve">Xã An Nông </v>
          </cell>
          <cell r="I10036" t="str">
            <v>80513</v>
          </cell>
        </row>
        <row r="10037">
          <cell r="G10037" t="str">
            <v>Xã An Hảo</v>
          </cell>
          <cell r="I10037" t="str">
            <v>80513</v>
          </cell>
        </row>
        <row r="10038">
          <cell r="G10038" t="str">
            <v xml:space="preserve">Xã Tân Lập                         </v>
          </cell>
          <cell r="I10038" t="str">
            <v>80513</v>
          </cell>
        </row>
        <row r="10039">
          <cell r="G10039" t="str">
            <v xml:space="preserve">Xã Tân Lợi   </v>
          </cell>
          <cell r="I10039" t="str">
            <v>80513</v>
          </cell>
        </row>
        <row r="10040">
          <cell r="G10040" t="str">
            <v>Thị trấn Nhà Bàng</v>
          </cell>
          <cell r="I10040" t="str">
            <v>80513</v>
          </cell>
        </row>
        <row r="10041">
          <cell r="G10041" t="str">
            <v xml:space="preserve">Thị trấn Chi Lăng </v>
          </cell>
          <cell r="I10041" t="str">
            <v>80513</v>
          </cell>
        </row>
        <row r="10042">
          <cell r="G10042" t="str">
            <v>Xã Nhơn Hưng</v>
          </cell>
          <cell r="I10042" t="str">
            <v>80513</v>
          </cell>
        </row>
        <row r="10043">
          <cell r="G10043" t="str">
            <v xml:space="preserve">Xã An Phú      </v>
          </cell>
          <cell r="I10043" t="str">
            <v>80513</v>
          </cell>
        </row>
        <row r="10044">
          <cell r="G10044" t="str">
            <v>Thị trấn Tịnh Biên</v>
          </cell>
          <cell r="I10044" t="str">
            <v>80513</v>
          </cell>
        </row>
        <row r="10045">
          <cell r="G10045" t="str">
            <v>Xã Văn Giáo</v>
          </cell>
          <cell r="I10045" t="str">
            <v>80513</v>
          </cell>
        </row>
        <row r="10046">
          <cell r="G10046" t="str">
            <v xml:space="preserve">Xã An Cư </v>
          </cell>
          <cell r="I10046" t="str">
            <v>80513</v>
          </cell>
        </row>
        <row r="10047">
          <cell r="G10047" t="str">
            <v xml:space="preserve">Xã Vĩnh Trung   </v>
          </cell>
          <cell r="I10047" t="str">
            <v>80513</v>
          </cell>
        </row>
        <row r="10048">
          <cell r="G10048" t="str">
            <v>Xã Vĩnh Phước</v>
          </cell>
          <cell r="I10048" t="str">
            <v>80515</v>
          </cell>
        </row>
        <row r="10049">
          <cell r="G10049" t="str">
            <v>Xã Châu Lăng</v>
          </cell>
          <cell r="I10049" t="str">
            <v>80515</v>
          </cell>
        </row>
        <row r="10050">
          <cell r="G10050" t="str">
            <v>Xã Núi Tô</v>
          </cell>
          <cell r="I10050" t="str">
            <v>80515</v>
          </cell>
        </row>
        <row r="10051">
          <cell r="G10051" t="str">
            <v>Xã ô Lâm</v>
          </cell>
          <cell r="I10051" t="str">
            <v>80515</v>
          </cell>
        </row>
        <row r="10052">
          <cell r="G10052" t="str">
            <v>Thị trấn Tri Tôn</v>
          </cell>
          <cell r="I10052" t="str">
            <v>80515</v>
          </cell>
        </row>
        <row r="10053">
          <cell r="G10053" t="str">
            <v>Thị trấn Ba Chúc</v>
          </cell>
          <cell r="I10053" t="str">
            <v>80515</v>
          </cell>
        </row>
        <row r="10054">
          <cell r="G10054" t="str">
            <v>Xã Lạc Quới</v>
          </cell>
          <cell r="I10054" t="str">
            <v>80515</v>
          </cell>
        </row>
        <row r="10055">
          <cell r="G10055" t="str">
            <v>Xã Lê Trì</v>
          </cell>
          <cell r="I10055" t="str">
            <v>80515</v>
          </cell>
        </row>
        <row r="10056">
          <cell r="G10056" t="str">
            <v>Xã Vĩnh Gia</v>
          </cell>
          <cell r="I10056" t="str">
            <v>80515</v>
          </cell>
        </row>
        <row r="10057">
          <cell r="G10057" t="str">
            <v>Xã Lương Phi</v>
          </cell>
          <cell r="I10057" t="str">
            <v>80515</v>
          </cell>
        </row>
        <row r="10058">
          <cell r="G10058" t="str">
            <v>Xã Lương An Trà</v>
          </cell>
          <cell r="I10058" t="str">
            <v>80515</v>
          </cell>
        </row>
        <row r="10059">
          <cell r="G10059" t="str">
            <v>Xã Tà Đảnh</v>
          </cell>
          <cell r="I10059" t="str">
            <v>80515</v>
          </cell>
        </row>
        <row r="10060">
          <cell r="G10060" t="str">
            <v>Xã An Tức</v>
          </cell>
          <cell r="I10060" t="str">
            <v>80515</v>
          </cell>
        </row>
        <row r="10061">
          <cell r="G10061" t="str">
            <v>Xã Cô Tô</v>
          </cell>
          <cell r="I10061" t="str">
            <v>80515</v>
          </cell>
        </row>
        <row r="10062">
          <cell r="G10062" t="str">
            <v>Xã Tân Tuyến</v>
          </cell>
          <cell r="I10062" t="str">
            <v>80515</v>
          </cell>
        </row>
        <row r="10063">
          <cell r="G10063" t="str">
            <v>Xã Kiến An</v>
          </cell>
          <cell r="I10063" t="str">
            <v>80517</v>
          </cell>
        </row>
        <row r="10064">
          <cell r="G10064" t="str">
            <v>Xã An Thạnh Trung</v>
          </cell>
          <cell r="I10064" t="str">
            <v>80517</v>
          </cell>
        </row>
        <row r="10065">
          <cell r="G10065" t="str">
            <v>Xã Mỹ Hội Đông</v>
          </cell>
          <cell r="I10065" t="str">
            <v>80517</v>
          </cell>
        </row>
        <row r="10066">
          <cell r="G10066" t="str">
            <v xml:space="preserve">Xã Kiến Thành </v>
          </cell>
          <cell r="I10066" t="str">
            <v>80517</v>
          </cell>
        </row>
        <row r="10067">
          <cell r="G10067" t="str">
            <v xml:space="preserve">Xã Long Giang  </v>
          </cell>
          <cell r="I10067" t="str">
            <v>80517</v>
          </cell>
        </row>
        <row r="10068">
          <cell r="G10068" t="str">
            <v>Xã Hội An</v>
          </cell>
          <cell r="I10068" t="str">
            <v>80517</v>
          </cell>
        </row>
        <row r="10069">
          <cell r="G10069" t="str">
            <v xml:space="preserve">Thị trấn Chợ Mới </v>
          </cell>
          <cell r="I10069" t="str">
            <v>80517</v>
          </cell>
        </row>
        <row r="10070">
          <cell r="G10070" t="str">
            <v>Thị trấn Mỹ Luông</v>
          </cell>
          <cell r="I10070" t="str">
            <v>80517</v>
          </cell>
        </row>
        <row r="10071">
          <cell r="G10071" t="str">
            <v>Xã Long Điền A</v>
          </cell>
          <cell r="I10071" t="str">
            <v>80517</v>
          </cell>
        </row>
        <row r="10072">
          <cell r="G10072" t="str">
            <v>Xã Tấn Mỹ</v>
          </cell>
          <cell r="I10072" t="str">
            <v>80517</v>
          </cell>
        </row>
        <row r="10073">
          <cell r="G10073" t="str">
            <v>Xã Long Điền B</v>
          </cell>
          <cell r="I10073" t="str">
            <v>80517</v>
          </cell>
        </row>
        <row r="10074">
          <cell r="G10074" t="str">
            <v xml:space="preserve">Xã Mỹ Hiệp  </v>
          </cell>
          <cell r="I10074" t="str">
            <v>80517</v>
          </cell>
        </row>
        <row r="10075">
          <cell r="G10075" t="str">
            <v xml:space="preserve">Xã Mỹ An    </v>
          </cell>
          <cell r="I10075" t="str">
            <v>80517</v>
          </cell>
        </row>
        <row r="10076">
          <cell r="G10076" t="str">
            <v xml:space="preserve">Xã Nhơn Mỹ </v>
          </cell>
          <cell r="I10076" t="str">
            <v>80517</v>
          </cell>
        </row>
        <row r="10077">
          <cell r="G10077" t="str">
            <v>Xã Long Kiến</v>
          </cell>
          <cell r="I10077" t="str">
            <v>80517</v>
          </cell>
        </row>
        <row r="10078">
          <cell r="G10078" t="str">
            <v>Xã Bình Phước Xuân</v>
          </cell>
          <cell r="I10078" t="str">
            <v>80517</v>
          </cell>
        </row>
        <row r="10079">
          <cell r="G10079" t="str">
            <v xml:space="preserve">Xã Hòa Bình             </v>
          </cell>
          <cell r="I10079" t="str">
            <v>80517</v>
          </cell>
        </row>
        <row r="10080">
          <cell r="G10080" t="str">
            <v xml:space="preserve">Xã Hòa An    </v>
          </cell>
          <cell r="I10080" t="str">
            <v>80517</v>
          </cell>
        </row>
        <row r="10081">
          <cell r="G10081" t="str">
            <v>Xã Vĩnh Nhuận</v>
          </cell>
          <cell r="I10081" t="str">
            <v>80519</v>
          </cell>
        </row>
        <row r="10082">
          <cell r="G10082" t="str">
            <v xml:space="preserve">Xã An Hòa       </v>
          </cell>
          <cell r="I10082" t="str">
            <v>80519</v>
          </cell>
        </row>
        <row r="10083">
          <cell r="G10083" t="str">
            <v xml:space="preserve">Xã Bình Thạnh        </v>
          </cell>
          <cell r="I10083" t="str">
            <v>80519</v>
          </cell>
        </row>
        <row r="10084">
          <cell r="G10084" t="str">
            <v>Xã Hòa Bình Thạnh</v>
          </cell>
          <cell r="I10084" t="str">
            <v>80519</v>
          </cell>
        </row>
        <row r="10085">
          <cell r="G10085" t="str">
            <v xml:space="preserve">Thị trấn An Châu </v>
          </cell>
          <cell r="I10085" t="str">
            <v>80519</v>
          </cell>
        </row>
        <row r="10086">
          <cell r="G10086" t="str">
            <v>Xã Cần Đăng</v>
          </cell>
          <cell r="I10086" t="str">
            <v>80519</v>
          </cell>
        </row>
        <row r="10087">
          <cell r="G10087" t="str">
            <v>Xã Vĩnh Hanh</v>
          </cell>
          <cell r="I10087" t="str">
            <v>80519</v>
          </cell>
        </row>
        <row r="10088">
          <cell r="G10088" t="str">
            <v xml:space="preserve">Xã Vĩnh Bình </v>
          </cell>
          <cell r="I10088" t="str">
            <v>80519</v>
          </cell>
        </row>
        <row r="10089">
          <cell r="G10089" t="str">
            <v xml:space="preserve">Xã Bình Hòa     </v>
          </cell>
          <cell r="I10089" t="str">
            <v>80519</v>
          </cell>
        </row>
        <row r="10090">
          <cell r="G10090" t="str">
            <v xml:space="preserve">Xã Vĩnh An   </v>
          </cell>
          <cell r="I10090" t="str">
            <v>80519</v>
          </cell>
        </row>
        <row r="10091">
          <cell r="G10091" t="str">
            <v xml:space="preserve">Xã Vĩnh Lợi  </v>
          </cell>
          <cell r="I10091" t="str">
            <v>80519</v>
          </cell>
        </row>
        <row r="10092">
          <cell r="G10092" t="str">
            <v xml:space="preserve">Xã Tân Phú        </v>
          </cell>
          <cell r="I10092" t="str">
            <v>80519</v>
          </cell>
        </row>
        <row r="10093">
          <cell r="G10093" t="str">
            <v xml:space="preserve">Xã Vĩnh Thành   </v>
          </cell>
          <cell r="I10093" t="str">
            <v>80519</v>
          </cell>
        </row>
        <row r="10094">
          <cell r="G10094" t="str">
            <v>Xã Định Mỹ</v>
          </cell>
          <cell r="I10094" t="str">
            <v>80521</v>
          </cell>
        </row>
        <row r="10095">
          <cell r="G10095" t="str">
            <v>Thị trấn Núi Sập</v>
          </cell>
          <cell r="I10095" t="str">
            <v>80521</v>
          </cell>
        </row>
        <row r="10096">
          <cell r="G10096" t="str">
            <v>Xã Vĩnh Trạch</v>
          </cell>
          <cell r="I10096" t="str">
            <v>80521</v>
          </cell>
        </row>
        <row r="10097">
          <cell r="G10097" t="str">
            <v xml:space="preserve">Xã Định Thành  </v>
          </cell>
          <cell r="I10097" t="str">
            <v>80521</v>
          </cell>
        </row>
        <row r="10098">
          <cell r="G10098" t="str">
            <v>Xã Thoại Giang</v>
          </cell>
          <cell r="I10098" t="str">
            <v>80521</v>
          </cell>
        </row>
        <row r="10099">
          <cell r="G10099" t="str">
            <v>Thị trấn Phú Hoà</v>
          </cell>
          <cell r="I10099" t="str">
            <v>80521</v>
          </cell>
        </row>
        <row r="10100">
          <cell r="G10100" t="str">
            <v>Thị trấn óc Eo</v>
          </cell>
          <cell r="I10100" t="str">
            <v>80521</v>
          </cell>
        </row>
        <row r="10101">
          <cell r="G10101" t="str">
            <v xml:space="preserve">Xã Tây Phú </v>
          </cell>
          <cell r="I10101" t="str">
            <v>80521</v>
          </cell>
        </row>
        <row r="10102">
          <cell r="G10102" t="str">
            <v xml:space="preserve">Xã Vĩnh Phú </v>
          </cell>
          <cell r="I10102" t="str">
            <v>80521</v>
          </cell>
        </row>
        <row r="10103">
          <cell r="G10103" t="str">
            <v xml:space="preserve">Xã Phú Thuận </v>
          </cell>
          <cell r="I10103" t="str">
            <v>80521</v>
          </cell>
        </row>
        <row r="10104">
          <cell r="G10104" t="str">
            <v>Xã Vĩnh Chánh</v>
          </cell>
          <cell r="I10104" t="str">
            <v>80521</v>
          </cell>
        </row>
        <row r="10105">
          <cell r="G10105" t="str">
            <v>Xã Mỹ Phú Đông</v>
          </cell>
          <cell r="I10105" t="str">
            <v>80521</v>
          </cell>
        </row>
        <row r="10106">
          <cell r="G10106" t="str">
            <v>Xã Vọng Đông</v>
          </cell>
          <cell r="I10106" t="str">
            <v>80521</v>
          </cell>
        </row>
        <row r="10107">
          <cell r="G10107" t="str">
            <v>Xã Vĩnh Khánh</v>
          </cell>
          <cell r="I10107" t="str">
            <v>80521</v>
          </cell>
        </row>
        <row r="10108">
          <cell r="G10108" t="str">
            <v xml:space="preserve">Xã Bình Thành      </v>
          </cell>
          <cell r="I10108" t="str">
            <v>80521</v>
          </cell>
        </row>
        <row r="10109">
          <cell r="G10109" t="str">
            <v>Xã Vọng Thê</v>
          </cell>
          <cell r="I10109" t="str">
            <v>80521</v>
          </cell>
        </row>
        <row r="10110">
          <cell r="G10110" t="str">
            <v xml:space="preserve">Xã An Bình         </v>
          </cell>
          <cell r="I10110" t="str">
            <v>80521</v>
          </cell>
        </row>
        <row r="10111">
          <cell r="G10111" t="str">
            <v xml:space="preserve">Xã Mỹ Phong </v>
          </cell>
          <cell r="I10111" t="str">
            <v>80701</v>
          </cell>
        </row>
        <row r="10112">
          <cell r="G10112" t="str">
            <v xml:space="preserve">Phường 3               </v>
          </cell>
          <cell r="I10112" t="str">
            <v>80701</v>
          </cell>
        </row>
        <row r="10113">
          <cell r="G10113" t="str">
            <v xml:space="preserve">Phường 8       </v>
          </cell>
          <cell r="I10113" t="str">
            <v>80701</v>
          </cell>
        </row>
        <row r="10114">
          <cell r="G10114" t="str">
            <v xml:space="preserve">Phường Tân Long </v>
          </cell>
          <cell r="I10114" t="str">
            <v>80701</v>
          </cell>
        </row>
        <row r="10115">
          <cell r="G10115" t="str">
            <v>Xã Tân Mỹ Chánh</v>
          </cell>
          <cell r="I10115" t="str">
            <v>80701</v>
          </cell>
        </row>
        <row r="10116">
          <cell r="G10116" t="str">
            <v xml:space="preserve">Phường 5          </v>
          </cell>
          <cell r="I10116" t="str">
            <v>80701</v>
          </cell>
        </row>
        <row r="10117">
          <cell r="G10117" t="str">
            <v xml:space="preserve">Phường 4            </v>
          </cell>
          <cell r="I10117" t="str">
            <v>80701</v>
          </cell>
        </row>
        <row r="10118">
          <cell r="G10118" t="str">
            <v xml:space="preserve">Phường 7         </v>
          </cell>
          <cell r="I10118" t="str">
            <v>80701</v>
          </cell>
        </row>
        <row r="10119">
          <cell r="G10119" t="str">
            <v xml:space="preserve">Phường 1                </v>
          </cell>
          <cell r="I10119" t="str">
            <v>80701</v>
          </cell>
        </row>
        <row r="10120">
          <cell r="G10120" t="str">
            <v xml:space="preserve">Phường 2               </v>
          </cell>
          <cell r="I10120" t="str">
            <v>80701</v>
          </cell>
        </row>
        <row r="10121">
          <cell r="G10121" t="str">
            <v xml:space="preserve">Phường 6         </v>
          </cell>
          <cell r="I10121" t="str">
            <v>80701</v>
          </cell>
        </row>
        <row r="10122">
          <cell r="G10122" t="str">
            <v xml:space="preserve">Phường 9       </v>
          </cell>
          <cell r="I10122" t="str">
            <v>80701</v>
          </cell>
        </row>
        <row r="10123">
          <cell r="G10123" t="str">
            <v xml:space="preserve">Phường 10            </v>
          </cell>
          <cell r="I10123" t="str">
            <v>80701</v>
          </cell>
        </row>
        <row r="10124">
          <cell r="G10124" t="str">
            <v>Xã Đạo Thạnh</v>
          </cell>
          <cell r="I10124" t="str">
            <v>80701</v>
          </cell>
        </row>
        <row r="10125">
          <cell r="G10125" t="str">
            <v xml:space="preserve">Xã Trung An  </v>
          </cell>
          <cell r="I10125" t="str">
            <v>80701</v>
          </cell>
        </row>
        <row r="10126">
          <cell r="G10126" t="str">
            <v xml:space="preserve">Xã Phước Thạnh  </v>
          </cell>
          <cell r="I10126" t="str">
            <v>80701</v>
          </cell>
        </row>
        <row r="10127">
          <cell r="G10127" t="str">
            <v xml:space="preserve">Xã Thới Sơn </v>
          </cell>
          <cell r="I10127" t="str">
            <v>80701</v>
          </cell>
        </row>
        <row r="10128">
          <cell r="G10128" t="str">
            <v xml:space="preserve">Phường 1                 </v>
          </cell>
          <cell r="I10128" t="str">
            <v>80703</v>
          </cell>
        </row>
        <row r="10129">
          <cell r="G10129" t="str">
            <v>Xã Long Chánh</v>
          </cell>
          <cell r="I10129" t="str">
            <v>80703</v>
          </cell>
        </row>
        <row r="10130">
          <cell r="G10130" t="str">
            <v xml:space="preserve">Phường 3                </v>
          </cell>
          <cell r="I10130" t="str">
            <v>80703</v>
          </cell>
        </row>
        <row r="10131">
          <cell r="G10131" t="str">
            <v xml:space="preserve">Phường 2                </v>
          </cell>
          <cell r="I10131" t="str">
            <v>80703</v>
          </cell>
        </row>
        <row r="10132">
          <cell r="G10132" t="str">
            <v xml:space="preserve">Phường 4             </v>
          </cell>
          <cell r="I10132" t="str">
            <v>80703</v>
          </cell>
        </row>
        <row r="10133">
          <cell r="G10133" t="str">
            <v xml:space="preserve">Phường 5           </v>
          </cell>
          <cell r="I10133" t="str">
            <v>80703</v>
          </cell>
        </row>
        <row r="10134">
          <cell r="G10134" t="str">
            <v xml:space="preserve">Xã Long Hưng    </v>
          </cell>
          <cell r="I10134" t="str">
            <v>80703</v>
          </cell>
        </row>
        <row r="10135">
          <cell r="G10135" t="str">
            <v xml:space="preserve">Xã Long Thuận   </v>
          </cell>
          <cell r="I10135" t="str">
            <v>80703</v>
          </cell>
        </row>
        <row r="10136">
          <cell r="G10136" t="str">
            <v xml:space="preserve">Xã Long Hòa </v>
          </cell>
          <cell r="I10136" t="str">
            <v>80703</v>
          </cell>
        </row>
        <row r="10137">
          <cell r="G10137" t="str">
            <v xml:space="preserve">Xã Bình Đông </v>
          </cell>
          <cell r="I10137" t="str">
            <v>80703</v>
          </cell>
        </row>
        <row r="10138">
          <cell r="G10138" t="str">
            <v>Xã Bình Xuân</v>
          </cell>
          <cell r="I10138" t="str">
            <v>80703</v>
          </cell>
        </row>
        <row r="10139">
          <cell r="G10139" t="str">
            <v xml:space="preserve">Xã Tân Trung  </v>
          </cell>
          <cell r="I10139" t="str">
            <v>80703</v>
          </cell>
        </row>
        <row r="10140">
          <cell r="G10140" t="str">
            <v>Xã Tân Lập 1</v>
          </cell>
          <cell r="I10140" t="str">
            <v>80705</v>
          </cell>
        </row>
        <row r="10141">
          <cell r="G10141" t="str">
            <v>Xã Tân Hòa Đông</v>
          </cell>
          <cell r="I10141" t="str">
            <v>80705</v>
          </cell>
        </row>
        <row r="10142">
          <cell r="G10142" t="str">
            <v>Xã Mỹ Phước</v>
          </cell>
          <cell r="I10142" t="str">
            <v>80705</v>
          </cell>
        </row>
        <row r="10143">
          <cell r="G10143" t="str">
            <v xml:space="preserve">Xã Thạnh Tân </v>
          </cell>
          <cell r="I10143" t="str">
            <v>80705</v>
          </cell>
        </row>
        <row r="10144">
          <cell r="G10144" t="str">
            <v>Xã Tân Hòa Thành</v>
          </cell>
          <cell r="I10144" t="str">
            <v>80705</v>
          </cell>
        </row>
        <row r="10145">
          <cell r="G10145" t="str">
            <v>Xã Tân Hòa Tây</v>
          </cell>
          <cell r="I10145" t="str">
            <v>80705</v>
          </cell>
        </row>
        <row r="10146">
          <cell r="G10146" t="str">
            <v>Xã Tân Lập 2</v>
          </cell>
          <cell r="I10146" t="str">
            <v>80705</v>
          </cell>
        </row>
        <row r="10147">
          <cell r="G10147" t="str">
            <v>Xã Phước Lập</v>
          </cell>
          <cell r="I10147" t="str">
            <v>80705</v>
          </cell>
        </row>
        <row r="10148">
          <cell r="G10148" t="str">
            <v>Thị trấn Mỹ Phước</v>
          </cell>
          <cell r="I10148" t="str">
            <v>80705</v>
          </cell>
        </row>
        <row r="10149">
          <cell r="G10149" t="str">
            <v>Xã Thạnh Mỹ</v>
          </cell>
          <cell r="I10149" t="str">
            <v>80705</v>
          </cell>
        </row>
        <row r="10150">
          <cell r="G10150" t="str">
            <v>Xã Thạnh Hoà</v>
          </cell>
          <cell r="I10150" t="str">
            <v>80705</v>
          </cell>
        </row>
        <row r="10151">
          <cell r="G10151" t="str">
            <v xml:space="preserve">Xã Phú Mỹ   </v>
          </cell>
          <cell r="I10151" t="str">
            <v>80705</v>
          </cell>
        </row>
        <row r="10152">
          <cell r="G10152" t="str">
            <v xml:space="preserve">Xã Hưng Thạnh  </v>
          </cell>
          <cell r="I10152" t="str">
            <v>80705</v>
          </cell>
        </row>
        <row r="10153">
          <cell r="G10153" t="str">
            <v xml:space="preserve">Xã Tân Hương      </v>
          </cell>
          <cell r="I10153" t="str">
            <v>80707</v>
          </cell>
        </row>
        <row r="10154">
          <cell r="G10154" t="str">
            <v xml:space="preserve">Xã Long An   </v>
          </cell>
          <cell r="I10154" t="str">
            <v>80707</v>
          </cell>
        </row>
        <row r="10155">
          <cell r="G10155" t="str">
            <v>Xã Tân Hội Đông</v>
          </cell>
          <cell r="I10155" t="str">
            <v>80707</v>
          </cell>
        </row>
        <row r="10156">
          <cell r="G10156" t="str">
            <v xml:space="preserve">Xã Tam Hiệp    </v>
          </cell>
          <cell r="I10156" t="str">
            <v>80707</v>
          </cell>
        </row>
        <row r="10157">
          <cell r="G10157" t="str">
            <v xml:space="preserve">Xã Đông Hòa  </v>
          </cell>
          <cell r="I10157" t="str">
            <v>80707</v>
          </cell>
        </row>
        <row r="10158">
          <cell r="G10158" t="str">
            <v xml:space="preserve">Xã Long Hưng     </v>
          </cell>
          <cell r="I10158" t="str">
            <v>80707</v>
          </cell>
        </row>
        <row r="10159">
          <cell r="G10159" t="str">
            <v>Xã Bàn Long</v>
          </cell>
          <cell r="I10159" t="str">
            <v>80707</v>
          </cell>
        </row>
        <row r="10160">
          <cell r="G10160" t="str">
            <v>Xã Song Thuận</v>
          </cell>
          <cell r="I10160" t="str">
            <v>80707</v>
          </cell>
        </row>
        <row r="10161">
          <cell r="G10161" t="str">
            <v>Thị trấn Tân Hiệp</v>
          </cell>
          <cell r="I10161" t="str">
            <v>80707</v>
          </cell>
        </row>
        <row r="10162">
          <cell r="G10162" t="str">
            <v>Xã Tân Lý Đông</v>
          </cell>
          <cell r="I10162" t="str">
            <v>80707</v>
          </cell>
        </row>
        <row r="10163">
          <cell r="G10163" t="str">
            <v>Xã Tân Lý Tây</v>
          </cell>
          <cell r="I10163" t="str">
            <v>80707</v>
          </cell>
        </row>
        <row r="10164">
          <cell r="G10164" t="str">
            <v>Xã Thân Cửu Nghĩa</v>
          </cell>
          <cell r="I10164" t="str">
            <v>80707</v>
          </cell>
        </row>
        <row r="10165">
          <cell r="G10165" t="str">
            <v>Xã Điềm Hy</v>
          </cell>
          <cell r="I10165" t="str">
            <v>80707</v>
          </cell>
        </row>
        <row r="10166">
          <cell r="G10166" t="str">
            <v xml:space="preserve">Xã Nhị Bình </v>
          </cell>
          <cell r="I10166" t="str">
            <v>80707</v>
          </cell>
        </row>
        <row r="10167">
          <cell r="G10167" t="str">
            <v>Xã Dưỡng Điềm</v>
          </cell>
          <cell r="I10167" t="str">
            <v>80707</v>
          </cell>
        </row>
        <row r="10168">
          <cell r="G10168" t="str">
            <v xml:space="preserve">Xã Long Định </v>
          </cell>
          <cell r="I10168" t="str">
            <v>80707</v>
          </cell>
        </row>
        <row r="10169">
          <cell r="G10169" t="str">
            <v>Xã Hữu Đạo</v>
          </cell>
          <cell r="I10169" t="str">
            <v>80707</v>
          </cell>
        </row>
        <row r="10170">
          <cell r="G10170" t="str">
            <v>Xã Bình Trưng</v>
          </cell>
          <cell r="I10170" t="str">
            <v>80707</v>
          </cell>
        </row>
        <row r="10171">
          <cell r="G10171" t="str">
            <v xml:space="preserve">Xã Phước Thạnh   </v>
          </cell>
          <cell r="I10171" t="str">
            <v>80707</v>
          </cell>
        </row>
        <row r="10172">
          <cell r="G10172" t="str">
            <v xml:space="preserve">Xã Thạnh Phú  </v>
          </cell>
          <cell r="I10172" t="str">
            <v>80707</v>
          </cell>
        </row>
        <row r="10173">
          <cell r="G10173" t="str">
            <v xml:space="preserve">Xã Vĩnh Kim  </v>
          </cell>
          <cell r="I10173" t="str">
            <v>80707</v>
          </cell>
        </row>
        <row r="10174">
          <cell r="G10174" t="str">
            <v xml:space="preserve">Xã Bình Đức </v>
          </cell>
          <cell r="I10174" t="str">
            <v>80707</v>
          </cell>
        </row>
        <row r="10175">
          <cell r="G10175" t="str">
            <v xml:space="preserve">Xã Kim Sơn      </v>
          </cell>
          <cell r="I10175" t="str">
            <v>80707</v>
          </cell>
        </row>
        <row r="10176">
          <cell r="G10176" t="str">
            <v xml:space="preserve">Xã Phú Phong </v>
          </cell>
          <cell r="I10176" t="str">
            <v>80707</v>
          </cell>
        </row>
        <row r="10177">
          <cell r="G10177" t="str">
            <v xml:space="preserve">Xã Thới Sơn  </v>
          </cell>
          <cell r="I10177" t="str">
            <v>80707</v>
          </cell>
        </row>
        <row r="10178">
          <cell r="G10178" t="str">
            <v xml:space="preserve">Xã Phú An     </v>
          </cell>
          <cell r="I10178" t="str">
            <v>80709</v>
          </cell>
        </row>
        <row r="10179">
          <cell r="G10179" t="str">
            <v>Xã Thạnh Lộc</v>
          </cell>
          <cell r="I10179" t="str">
            <v>80709</v>
          </cell>
        </row>
        <row r="10180">
          <cell r="G10180" t="str">
            <v xml:space="preserve">Xã Phú Nhuận   </v>
          </cell>
          <cell r="I10180" t="str">
            <v>80709</v>
          </cell>
        </row>
        <row r="10181">
          <cell r="G10181" t="str">
            <v>Xã Hiệp Đức</v>
          </cell>
          <cell r="I10181" t="str">
            <v>80709</v>
          </cell>
        </row>
        <row r="10182">
          <cell r="G10182" t="str">
            <v xml:space="preserve">Xã Tân Phong       </v>
          </cell>
          <cell r="I10182" t="str">
            <v>80709</v>
          </cell>
        </row>
        <row r="10183">
          <cell r="G10183" t="str">
            <v>Xã Mỹ Thành Bắc</v>
          </cell>
          <cell r="I10183" t="str">
            <v>80709</v>
          </cell>
        </row>
        <row r="10184">
          <cell r="G10184" t="str">
            <v xml:space="preserve">Xã Phú Cường       </v>
          </cell>
          <cell r="I10184" t="str">
            <v>80709</v>
          </cell>
        </row>
        <row r="10185">
          <cell r="G10185" t="str">
            <v>Xã Mỹ Thành Nam</v>
          </cell>
          <cell r="I10185" t="str">
            <v>80709</v>
          </cell>
        </row>
        <row r="10186">
          <cell r="G10186" t="str">
            <v xml:space="preserve">Xã Bình Phú      </v>
          </cell>
          <cell r="I10186" t="str">
            <v>80709</v>
          </cell>
        </row>
        <row r="10187">
          <cell r="G10187" t="str">
            <v xml:space="preserve">Xã Cẩm Sơn    </v>
          </cell>
          <cell r="I10187" t="str">
            <v>80709</v>
          </cell>
        </row>
        <row r="10188">
          <cell r="G10188" t="str">
            <v xml:space="preserve">Xã Mỹ Long </v>
          </cell>
          <cell r="I10188" t="str">
            <v>80709</v>
          </cell>
        </row>
        <row r="10189">
          <cell r="G10189" t="str">
            <v>Xã Long Tiên</v>
          </cell>
          <cell r="I10189" t="str">
            <v>80709</v>
          </cell>
        </row>
        <row r="10190">
          <cell r="G10190" t="str">
            <v>Xã Long Trung</v>
          </cell>
          <cell r="I10190" t="str">
            <v>80709</v>
          </cell>
        </row>
        <row r="10191">
          <cell r="G10191" t="str">
            <v>Xã Hội Xuân</v>
          </cell>
          <cell r="I10191" t="str">
            <v>80709</v>
          </cell>
        </row>
        <row r="10192">
          <cell r="G10192" t="str">
            <v>Xã Tam Bình</v>
          </cell>
          <cell r="I10192" t="str">
            <v>80709</v>
          </cell>
        </row>
        <row r="10193">
          <cell r="G10193" t="str">
            <v xml:space="preserve">Xã Ngũ Hiệp </v>
          </cell>
          <cell r="I10193" t="str">
            <v>80709</v>
          </cell>
        </row>
        <row r="10194">
          <cell r="G10194" t="str">
            <v>Thị trấn Chợ Gạo</v>
          </cell>
          <cell r="I10194" t="str">
            <v>80711</v>
          </cell>
        </row>
        <row r="10195">
          <cell r="G10195" t="str">
            <v>Xã Long Bình Điền</v>
          </cell>
          <cell r="I10195" t="str">
            <v>80711</v>
          </cell>
        </row>
        <row r="10196">
          <cell r="G10196" t="str">
            <v xml:space="preserve">Xã Trung Hòa    </v>
          </cell>
          <cell r="I10196" t="str">
            <v>80711</v>
          </cell>
        </row>
        <row r="10197">
          <cell r="G10197" t="str">
            <v>Xã Phú Kiết</v>
          </cell>
          <cell r="I10197" t="str">
            <v>80711</v>
          </cell>
        </row>
        <row r="10198">
          <cell r="G10198" t="str">
            <v>Xã Quơn Long</v>
          </cell>
          <cell r="I10198" t="str">
            <v>80711</v>
          </cell>
        </row>
        <row r="10199">
          <cell r="G10199" t="str">
            <v>Xã Song Bình</v>
          </cell>
          <cell r="I10199" t="str">
            <v>80711</v>
          </cell>
        </row>
        <row r="10200">
          <cell r="G10200" t="str">
            <v xml:space="preserve">Xã Xuân Đông </v>
          </cell>
          <cell r="I10200" t="str">
            <v>80711</v>
          </cell>
        </row>
        <row r="10201">
          <cell r="G10201" t="str">
            <v>Xã Hòa Tịnh</v>
          </cell>
          <cell r="I10201" t="str">
            <v>80711</v>
          </cell>
        </row>
        <row r="10202">
          <cell r="G10202" t="str">
            <v>Xã Mỹ Tịnh An</v>
          </cell>
          <cell r="I10202" t="str">
            <v>80711</v>
          </cell>
        </row>
        <row r="10203">
          <cell r="G10203" t="str">
            <v>Xã Tân Bình Thạnh</v>
          </cell>
          <cell r="I10203" t="str">
            <v>80711</v>
          </cell>
        </row>
        <row r="10204">
          <cell r="G10204" t="str">
            <v>Xã Lương Hòa Lạc</v>
          </cell>
          <cell r="I10204" t="str">
            <v>80711</v>
          </cell>
        </row>
        <row r="10205">
          <cell r="G10205" t="str">
            <v xml:space="preserve">Xã Thanh Bình      </v>
          </cell>
          <cell r="I10205" t="str">
            <v>80711</v>
          </cell>
        </row>
        <row r="10206">
          <cell r="G10206" t="str">
            <v>Xã Bình Phục Nhứt</v>
          </cell>
          <cell r="I10206" t="str">
            <v>80711</v>
          </cell>
        </row>
        <row r="10207">
          <cell r="G10207" t="str">
            <v>Xã Đăng Hưng Phước</v>
          </cell>
          <cell r="I10207" t="str">
            <v>80711</v>
          </cell>
        </row>
        <row r="10208">
          <cell r="G10208" t="str">
            <v>Xã Tân Thuận Bình</v>
          </cell>
          <cell r="I10208" t="str">
            <v>80711</v>
          </cell>
        </row>
        <row r="10209">
          <cell r="G10209" t="str">
            <v>Xã Bình Phan</v>
          </cell>
          <cell r="I10209" t="str">
            <v>80711</v>
          </cell>
        </row>
        <row r="10210">
          <cell r="G10210" t="str">
            <v>Xã An Thạnh Thủy</v>
          </cell>
          <cell r="I10210" t="str">
            <v>80711</v>
          </cell>
        </row>
        <row r="10211">
          <cell r="G10211" t="str">
            <v>Xã Hòa Định</v>
          </cell>
          <cell r="I10211" t="str">
            <v>80711</v>
          </cell>
        </row>
        <row r="10212">
          <cell r="G10212" t="str">
            <v>Xã Bình Ninh</v>
          </cell>
          <cell r="I10212" t="str">
            <v>80711</v>
          </cell>
        </row>
        <row r="10213">
          <cell r="G10213" t="str">
            <v>Xã Đông Hòa Hiệp</v>
          </cell>
          <cell r="I10213" t="str">
            <v>80713</v>
          </cell>
        </row>
        <row r="10214">
          <cell r="G10214" t="str">
            <v xml:space="preserve">Xã Mỹ Tân   </v>
          </cell>
          <cell r="I10214" t="str">
            <v>80713</v>
          </cell>
        </row>
        <row r="10215">
          <cell r="G10215" t="str">
            <v>Xã Mỹ Lợi B</v>
          </cell>
          <cell r="I10215" t="str">
            <v>80713</v>
          </cell>
        </row>
        <row r="10216">
          <cell r="G10216" t="str">
            <v xml:space="preserve">Xã Hậu Thành </v>
          </cell>
          <cell r="I10216" t="str">
            <v>80713</v>
          </cell>
        </row>
        <row r="10217">
          <cell r="G10217" t="str">
            <v>Xã Mỹ Đức Đông</v>
          </cell>
          <cell r="I10217" t="str">
            <v>80713</v>
          </cell>
        </row>
        <row r="10218">
          <cell r="G10218" t="str">
            <v xml:space="preserve">Xã Tân Hưng           </v>
          </cell>
          <cell r="I10218" t="str">
            <v>80713</v>
          </cell>
        </row>
        <row r="10219">
          <cell r="G10219" t="str">
            <v>Xã An Hữu</v>
          </cell>
          <cell r="I10219" t="str">
            <v>80713</v>
          </cell>
        </row>
        <row r="10220">
          <cell r="G10220" t="str">
            <v>Thị trấn Cái Bè</v>
          </cell>
          <cell r="I10220" t="str">
            <v>80713</v>
          </cell>
        </row>
        <row r="10221">
          <cell r="G10221" t="str">
            <v>Xã Hậu Mỹ Bắc B</v>
          </cell>
          <cell r="I10221" t="str">
            <v>80713</v>
          </cell>
        </row>
        <row r="10222">
          <cell r="G10222" t="str">
            <v>Xã Hậu Mỹ Bắc A</v>
          </cell>
          <cell r="I10222" t="str">
            <v>80713</v>
          </cell>
        </row>
        <row r="10223">
          <cell r="G10223" t="str">
            <v xml:space="preserve">Xã Mỹ Trung </v>
          </cell>
          <cell r="I10223" t="str">
            <v>80713</v>
          </cell>
        </row>
        <row r="10224">
          <cell r="G10224" t="str">
            <v>Xã Hậu Mỹ Trinh</v>
          </cell>
          <cell r="I10224" t="str">
            <v>80713</v>
          </cell>
        </row>
        <row r="10225">
          <cell r="G10225" t="str">
            <v>Xã Hậu Mỹ Phú</v>
          </cell>
          <cell r="I10225" t="str">
            <v>80713</v>
          </cell>
        </row>
        <row r="10226">
          <cell r="G10226" t="str">
            <v>Xã Thiện Trung</v>
          </cell>
          <cell r="I10226" t="str">
            <v>80713</v>
          </cell>
        </row>
        <row r="10227">
          <cell r="G10227" t="str">
            <v xml:space="preserve">Xã Mỹ Hội </v>
          </cell>
          <cell r="I10227" t="str">
            <v>80713</v>
          </cell>
        </row>
        <row r="10228">
          <cell r="G10228" t="str">
            <v xml:space="preserve">Xã An Cư  </v>
          </cell>
          <cell r="I10228" t="str">
            <v>80713</v>
          </cell>
        </row>
        <row r="10229">
          <cell r="G10229" t="str">
            <v>Xã Mỹ Lợi A</v>
          </cell>
          <cell r="I10229" t="str">
            <v>80713</v>
          </cell>
        </row>
        <row r="10230">
          <cell r="G10230" t="str">
            <v xml:space="preserve">Xã Hòa Khánh </v>
          </cell>
          <cell r="I10230" t="str">
            <v>80713</v>
          </cell>
        </row>
        <row r="10231">
          <cell r="G10231" t="str">
            <v>Xã Thiện Trí</v>
          </cell>
          <cell r="I10231" t="str">
            <v>80713</v>
          </cell>
        </row>
        <row r="10232">
          <cell r="G10232" t="str">
            <v>Xã Mỹ Đức Tây</v>
          </cell>
          <cell r="I10232" t="str">
            <v>80713</v>
          </cell>
        </row>
        <row r="10233">
          <cell r="G10233" t="str">
            <v>Xã An Thái Đông</v>
          </cell>
          <cell r="I10233" t="str">
            <v>80713</v>
          </cell>
        </row>
        <row r="10234">
          <cell r="G10234" t="str">
            <v xml:space="preserve">Xã Mỹ Lương  </v>
          </cell>
          <cell r="I10234" t="str">
            <v>80713</v>
          </cell>
        </row>
        <row r="10235">
          <cell r="G10235" t="str">
            <v xml:space="preserve">Xã Tân Thanh   </v>
          </cell>
          <cell r="I10235" t="str">
            <v>80713</v>
          </cell>
        </row>
        <row r="10236">
          <cell r="G10236" t="str">
            <v>Xã An Thái Trung</v>
          </cell>
          <cell r="I10236" t="str">
            <v>80713</v>
          </cell>
        </row>
        <row r="10237">
          <cell r="G10237" t="str">
            <v xml:space="preserve">Xã Hòa Hưng </v>
          </cell>
          <cell r="I10237" t="str">
            <v>80713</v>
          </cell>
        </row>
        <row r="10238">
          <cell r="G10238" t="str">
            <v xml:space="preserve">Xã Long Vĩnh </v>
          </cell>
          <cell r="I10238" t="str">
            <v>80715</v>
          </cell>
        </row>
        <row r="10239">
          <cell r="G10239" t="str">
            <v>Xã Bình Nhì</v>
          </cell>
          <cell r="I10239" t="str">
            <v>80715</v>
          </cell>
        </row>
        <row r="10240">
          <cell r="G10240" t="str">
            <v xml:space="preserve">Xã Đồng Sơn    </v>
          </cell>
          <cell r="I10240" t="str">
            <v>80715</v>
          </cell>
        </row>
        <row r="10241">
          <cell r="G10241" t="str">
            <v>Xã Thạnh Nhựt</v>
          </cell>
          <cell r="I10241" t="str">
            <v>80715</v>
          </cell>
        </row>
        <row r="10242">
          <cell r="G10242" t="str">
            <v xml:space="preserve">Xã Bình Tân      </v>
          </cell>
          <cell r="I10242" t="str">
            <v>80715</v>
          </cell>
        </row>
        <row r="10243">
          <cell r="G10243" t="str">
            <v>Xã Vĩnh Hựu</v>
          </cell>
          <cell r="I10243" t="str">
            <v>80715</v>
          </cell>
        </row>
        <row r="10244">
          <cell r="G10244" t="str">
            <v xml:space="preserve">Xã Long Bình  </v>
          </cell>
          <cell r="I10244" t="str">
            <v>80715</v>
          </cell>
        </row>
        <row r="10245">
          <cell r="G10245" t="str">
            <v>Thị trấn Vĩnh Bình</v>
          </cell>
          <cell r="I10245" t="str">
            <v>80715</v>
          </cell>
        </row>
        <row r="10246">
          <cell r="G10246" t="str">
            <v xml:space="preserve">Xã Bình Phú       </v>
          </cell>
          <cell r="I10246" t="str">
            <v>80715</v>
          </cell>
        </row>
        <row r="10247">
          <cell r="G10247" t="str">
            <v>Xã Đồng Thạnh</v>
          </cell>
          <cell r="I10247" t="str">
            <v>80715</v>
          </cell>
        </row>
        <row r="10248">
          <cell r="G10248" t="str">
            <v xml:space="preserve">Xã Thành Công    </v>
          </cell>
          <cell r="I10248" t="str">
            <v>80715</v>
          </cell>
        </row>
        <row r="10249">
          <cell r="G10249" t="str">
            <v>Xã Yên Luông</v>
          </cell>
          <cell r="I10249" t="str">
            <v>80715</v>
          </cell>
        </row>
        <row r="10250">
          <cell r="G10250" t="str">
            <v xml:space="preserve">Xã Thạnh Trị </v>
          </cell>
          <cell r="I10250" t="str">
            <v>80715</v>
          </cell>
        </row>
        <row r="10251">
          <cell r="G10251" t="str">
            <v>Xã Tăng Hoà</v>
          </cell>
          <cell r="I10251" t="str">
            <v>80717</v>
          </cell>
        </row>
        <row r="10252">
          <cell r="G10252" t="str">
            <v>Xã Bình Nghị</v>
          </cell>
          <cell r="I10252" t="str">
            <v>80717</v>
          </cell>
        </row>
        <row r="10253">
          <cell r="G10253" t="str">
            <v xml:space="preserve">Xã Tân Phước     </v>
          </cell>
          <cell r="I10253" t="str">
            <v>80717</v>
          </cell>
        </row>
        <row r="10254">
          <cell r="G10254" t="str">
            <v xml:space="preserve">Xã Tân Tây </v>
          </cell>
          <cell r="I10254" t="str">
            <v>80717</v>
          </cell>
        </row>
        <row r="10255">
          <cell r="G10255" t="str">
            <v xml:space="preserve">Xã Tân Đông  </v>
          </cell>
          <cell r="I10255" t="str">
            <v>80717</v>
          </cell>
        </row>
        <row r="10256">
          <cell r="G10256" t="str">
            <v xml:space="preserve">Xã Phước Trung </v>
          </cell>
          <cell r="I10256" t="str">
            <v>80717</v>
          </cell>
        </row>
        <row r="10257">
          <cell r="G10257" t="str">
            <v>Thị trấn Tân Hòa</v>
          </cell>
          <cell r="I10257" t="str">
            <v>80717</v>
          </cell>
        </row>
        <row r="10258">
          <cell r="G10258" t="str">
            <v>Xã Gia Thuận</v>
          </cell>
          <cell r="I10258" t="str">
            <v>80717</v>
          </cell>
        </row>
        <row r="10259">
          <cell r="G10259" t="str">
            <v>Thị trấn Vàm Láng</v>
          </cell>
          <cell r="I10259" t="str">
            <v>80717</v>
          </cell>
        </row>
        <row r="10260">
          <cell r="G10260" t="str">
            <v>Xã Kiểng Phước</v>
          </cell>
          <cell r="I10260" t="str">
            <v>80717</v>
          </cell>
        </row>
        <row r="10261">
          <cell r="G10261" t="str">
            <v>Xã Bình ân</v>
          </cell>
          <cell r="I10261" t="str">
            <v>80717</v>
          </cell>
        </row>
        <row r="10262">
          <cell r="G10262" t="str">
            <v>Xã Tân Điền</v>
          </cell>
          <cell r="I10262" t="str">
            <v>80717</v>
          </cell>
        </row>
        <row r="10263">
          <cell r="G10263" t="str">
            <v xml:space="preserve">Xã Tân Thành                       </v>
          </cell>
          <cell r="I10263" t="str">
            <v>80717</v>
          </cell>
        </row>
        <row r="10264">
          <cell r="G10264" t="str">
            <v xml:space="preserve">Xã Phú Đông  </v>
          </cell>
          <cell r="I10264" t="str">
            <v>80719</v>
          </cell>
        </row>
        <row r="10265">
          <cell r="G10265" t="str">
            <v xml:space="preserve">Xã Phú Thạnh  </v>
          </cell>
          <cell r="I10265" t="str">
            <v>80719</v>
          </cell>
        </row>
        <row r="10266">
          <cell r="G10266" t="str">
            <v xml:space="preserve">Xã Tân Phú         </v>
          </cell>
          <cell r="I10266" t="str">
            <v>80719</v>
          </cell>
        </row>
        <row r="10267">
          <cell r="G10267" t="str">
            <v xml:space="preserve">Xã Phú Tân </v>
          </cell>
          <cell r="I10267" t="str">
            <v>80719</v>
          </cell>
        </row>
        <row r="10268">
          <cell r="G10268" t="str">
            <v xml:space="preserve">Xã Tân Thạnh  </v>
          </cell>
          <cell r="I10268" t="str">
            <v>80719</v>
          </cell>
        </row>
        <row r="10269">
          <cell r="G10269" t="str">
            <v>Xã Tân Thới</v>
          </cell>
          <cell r="I10269" t="str">
            <v>80719</v>
          </cell>
        </row>
        <row r="10270">
          <cell r="G10270" t="str">
            <v xml:space="preserve">Phường 1                  </v>
          </cell>
          <cell r="I10270" t="str">
            <v>80721</v>
          </cell>
        </row>
        <row r="10271">
          <cell r="G10271" t="str">
            <v xml:space="preserve">Phường 2                 </v>
          </cell>
          <cell r="I10271" t="str">
            <v>80721</v>
          </cell>
        </row>
        <row r="10272">
          <cell r="G10272" t="str">
            <v xml:space="preserve">Phường 3                 </v>
          </cell>
          <cell r="I10272" t="str">
            <v>80721</v>
          </cell>
        </row>
        <row r="10273">
          <cell r="G10273" t="str">
            <v xml:space="preserve">Phường 4              </v>
          </cell>
          <cell r="I10273" t="str">
            <v>80721</v>
          </cell>
        </row>
        <row r="10274">
          <cell r="G10274" t="str">
            <v xml:space="preserve">Phường 5            </v>
          </cell>
          <cell r="I10274" t="str">
            <v>80721</v>
          </cell>
        </row>
        <row r="10275">
          <cell r="G10275" t="str">
            <v>Phường Nhị Mỹ</v>
          </cell>
          <cell r="I10275" t="str">
            <v>80721</v>
          </cell>
        </row>
        <row r="10276">
          <cell r="G10276" t="str">
            <v xml:space="preserve">Xã Tân Bình            </v>
          </cell>
          <cell r="I10276" t="str">
            <v>80721</v>
          </cell>
        </row>
        <row r="10277">
          <cell r="G10277" t="str">
            <v>Xã Mỹ Phước Tây</v>
          </cell>
          <cell r="I10277" t="str">
            <v>80721</v>
          </cell>
        </row>
        <row r="10278">
          <cell r="G10278" t="str">
            <v>Xã Mỹ Hạnh Đông</v>
          </cell>
          <cell r="I10278" t="str">
            <v>80721</v>
          </cell>
        </row>
        <row r="10279">
          <cell r="G10279" t="str">
            <v>Xã Mỹ Hạnh Trung</v>
          </cell>
          <cell r="I10279" t="str">
            <v>80721</v>
          </cell>
        </row>
        <row r="10280">
          <cell r="G10280" t="str">
            <v xml:space="preserve">Xã Tân Phú          </v>
          </cell>
          <cell r="I10280" t="str">
            <v>80721</v>
          </cell>
        </row>
        <row r="10281">
          <cell r="G10281" t="str">
            <v xml:space="preserve">Xã Tân Hội    </v>
          </cell>
          <cell r="I10281" t="str">
            <v>80721</v>
          </cell>
        </row>
        <row r="10282">
          <cell r="G10282" t="str">
            <v>Xã Nhị Quý</v>
          </cell>
          <cell r="I10282" t="str">
            <v>80721</v>
          </cell>
        </row>
        <row r="10283">
          <cell r="G10283" t="str">
            <v xml:space="preserve">Xã Thanh Hoà </v>
          </cell>
          <cell r="I10283" t="str">
            <v>80721</v>
          </cell>
        </row>
        <row r="10284">
          <cell r="G10284" t="str">
            <v>Xã Phú Quý</v>
          </cell>
          <cell r="I10284" t="str">
            <v>80721</v>
          </cell>
        </row>
        <row r="10285">
          <cell r="G10285" t="str">
            <v xml:space="preserve">Xã Long Khánh  </v>
          </cell>
          <cell r="I10285" t="str">
            <v>80721</v>
          </cell>
        </row>
        <row r="10286">
          <cell r="G10286" t="str">
            <v>Xã Trường An</v>
          </cell>
          <cell r="I10286" t="str">
            <v>80901</v>
          </cell>
        </row>
        <row r="10287">
          <cell r="G10287" t="str">
            <v xml:space="preserve">Phường 5             </v>
          </cell>
          <cell r="I10287" t="str">
            <v>80901</v>
          </cell>
        </row>
        <row r="10288">
          <cell r="G10288" t="str">
            <v xml:space="preserve">Phường 4               </v>
          </cell>
          <cell r="I10288" t="str">
            <v>80901</v>
          </cell>
        </row>
        <row r="10289">
          <cell r="G10289" t="str">
            <v xml:space="preserve">Xã Tân Hòa          </v>
          </cell>
          <cell r="I10289" t="str">
            <v>80901</v>
          </cell>
        </row>
        <row r="10290">
          <cell r="G10290" t="str">
            <v xml:space="preserve">Phường 9        </v>
          </cell>
          <cell r="I10290" t="str">
            <v>80901</v>
          </cell>
        </row>
        <row r="10291">
          <cell r="G10291" t="str">
            <v xml:space="preserve">Phường 1                   </v>
          </cell>
          <cell r="I10291" t="str">
            <v>80901</v>
          </cell>
        </row>
        <row r="10292">
          <cell r="G10292" t="str">
            <v xml:space="preserve">Phường 2                  </v>
          </cell>
          <cell r="I10292" t="str">
            <v>80901</v>
          </cell>
        </row>
        <row r="10293">
          <cell r="G10293" t="str">
            <v xml:space="preserve">Phường 3                  </v>
          </cell>
          <cell r="I10293" t="str">
            <v>80901</v>
          </cell>
        </row>
        <row r="10294">
          <cell r="G10294" t="str">
            <v xml:space="preserve">Phường 8        </v>
          </cell>
          <cell r="I10294" t="str">
            <v>80901</v>
          </cell>
        </row>
        <row r="10295">
          <cell r="G10295" t="str">
            <v>Xã Tân Ngãi</v>
          </cell>
          <cell r="I10295" t="str">
            <v>80901</v>
          </cell>
        </row>
        <row r="10296">
          <cell r="G10296" t="str">
            <v xml:space="preserve">Xã Tân Hội     </v>
          </cell>
          <cell r="I10296" t="str">
            <v>80901</v>
          </cell>
        </row>
        <row r="10297">
          <cell r="G10297" t="str">
            <v xml:space="preserve">Xã Long An    </v>
          </cell>
          <cell r="I10297" t="str">
            <v>80903</v>
          </cell>
        </row>
        <row r="10298">
          <cell r="G10298" t="str">
            <v>Xã Phú Quới</v>
          </cell>
          <cell r="I10298" t="str">
            <v>80903</v>
          </cell>
        </row>
        <row r="10299">
          <cell r="G10299" t="str">
            <v>Thị trấn Long Hồ</v>
          </cell>
          <cell r="I10299" t="str">
            <v>80903</v>
          </cell>
        </row>
        <row r="10300">
          <cell r="G10300" t="str">
            <v xml:space="preserve">Xã Thanh Đức  </v>
          </cell>
          <cell r="I10300" t="str">
            <v>80903</v>
          </cell>
        </row>
        <row r="10301">
          <cell r="G10301" t="str">
            <v xml:space="preserve">Xã Phú Đức </v>
          </cell>
          <cell r="I10301" t="str">
            <v>80903</v>
          </cell>
        </row>
        <row r="10302">
          <cell r="G10302" t="str">
            <v>Xã Thạnh Quới</v>
          </cell>
          <cell r="I10302" t="str">
            <v>80903</v>
          </cell>
        </row>
        <row r="10303">
          <cell r="G10303" t="str">
            <v xml:space="preserve">Xã Hòa Phú      </v>
          </cell>
          <cell r="I10303" t="str">
            <v>80903</v>
          </cell>
        </row>
        <row r="10304">
          <cell r="G10304" t="str">
            <v xml:space="preserve">Xã Đồng Phú  </v>
          </cell>
          <cell r="I10304" t="str">
            <v>80903</v>
          </cell>
        </row>
        <row r="10305">
          <cell r="G10305" t="str">
            <v>Xã Bình Hòa Phước</v>
          </cell>
          <cell r="I10305" t="str">
            <v>80903</v>
          </cell>
        </row>
        <row r="10306">
          <cell r="G10306" t="str">
            <v xml:space="preserve">Xã Hòa Ninh </v>
          </cell>
          <cell r="I10306" t="str">
            <v>80903</v>
          </cell>
        </row>
        <row r="10307">
          <cell r="G10307" t="str">
            <v xml:space="preserve">Xã An Bình          </v>
          </cell>
          <cell r="I10307" t="str">
            <v>80903</v>
          </cell>
        </row>
        <row r="10308">
          <cell r="G10308" t="str">
            <v xml:space="preserve">Xã Tân Hạnh </v>
          </cell>
          <cell r="I10308" t="str">
            <v>80903</v>
          </cell>
        </row>
        <row r="10309">
          <cell r="G10309" t="str">
            <v xml:space="preserve">Xã Phước Hậu </v>
          </cell>
          <cell r="I10309" t="str">
            <v>80903</v>
          </cell>
        </row>
        <row r="10310">
          <cell r="G10310" t="str">
            <v xml:space="preserve">Xã Long Phước   </v>
          </cell>
          <cell r="I10310" t="str">
            <v>80903</v>
          </cell>
        </row>
        <row r="10311">
          <cell r="G10311" t="str">
            <v xml:space="preserve">Xã Lộc Hòa  </v>
          </cell>
          <cell r="I10311" t="str">
            <v>80903</v>
          </cell>
        </row>
        <row r="10312">
          <cell r="G10312" t="str">
            <v xml:space="preserve">Xã Mỹ Phước </v>
          </cell>
          <cell r="I10312" t="str">
            <v>80905</v>
          </cell>
        </row>
        <row r="10313">
          <cell r="G10313" t="str">
            <v xml:space="preserve">Xã Bình Phước </v>
          </cell>
          <cell r="I10313" t="str">
            <v>80905</v>
          </cell>
        </row>
        <row r="10314">
          <cell r="G10314" t="str">
            <v>Xã Tân Long Hội</v>
          </cell>
          <cell r="I10314" t="str">
            <v>80905</v>
          </cell>
        </row>
        <row r="10315">
          <cell r="G10315" t="str">
            <v>Thị trấn Cái Nhum</v>
          </cell>
          <cell r="I10315" t="str">
            <v>80905</v>
          </cell>
        </row>
        <row r="10316">
          <cell r="G10316" t="str">
            <v xml:space="preserve">Xã Mỹ An     </v>
          </cell>
          <cell r="I10316" t="str">
            <v>80905</v>
          </cell>
        </row>
        <row r="10317">
          <cell r="G10317" t="str">
            <v xml:space="preserve">Xã An Phước  </v>
          </cell>
          <cell r="I10317" t="str">
            <v>80905</v>
          </cell>
        </row>
        <row r="10318">
          <cell r="G10318" t="str">
            <v>Xã Nhơn Phú</v>
          </cell>
          <cell r="I10318" t="str">
            <v>80905</v>
          </cell>
        </row>
        <row r="10319">
          <cell r="G10319" t="str">
            <v xml:space="preserve">Xã Long Mỹ </v>
          </cell>
          <cell r="I10319" t="str">
            <v>80905</v>
          </cell>
        </row>
        <row r="10320">
          <cell r="G10320" t="str">
            <v xml:space="preserve">Xã Hòa Tịnh </v>
          </cell>
          <cell r="I10320" t="str">
            <v>80905</v>
          </cell>
        </row>
        <row r="10321">
          <cell r="G10321" t="str">
            <v>Xã Chánh Hội</v>
          </cell>
          <cell r="I10321" t="str">
            <v>80905</v>
          </cell>
        </row>
        <row r="10322">
          <cell r="G10322" t="str">
            <v>Xã Chánh An</v>
          </cell>
          <cell r="I10322" t="str">
            <v>80905</v>
          </cell>
        </row>
        <row r="10323">
          <cell r="G10323" t="str">
            <v xml:space="preserve">Xã Tân An Hội </v>
          </cell>
          <cell r="I10323" t="str">
            <v>80905</v>
          </cell>
        </row>
        <row r="10324">
          <cell r="G10324" t="str">
            <v xml:space="preserve">Xã Tân Long      </v>
          </cell>
          <cell r="I10324" t="str">
            <v>80905</v>
          </cell>
        </row>
        <row r="10325">
          <cell r="G10325" t="str">
            <v>Phường Cái Vồn</v>
          </cell>
          <cell r="I10325" t="str">
            <v>80907</v>
          </cell>
        </row>
        <row r="10326">
          <cell r="G10326" t="str">
            <v xml:space="preserve">Xã Đông Thạnh  </v>
          </cell>
          <cell r="I10326" t="str">
            <v>80907</v>
          </cell>
        </row>
        <row r="10327">
          <cell r="G10327" t="str">
            <v xml:space="preserve">Xã Thuận An </v>
          </cell>
          <cell r="I10327" t="str">
            <v>80907</v>
          </cell>
        </row>
        <row r="10328">
          <cell r="G10328" t="str">
            <v>Xã Đông Bình</v>
          </cell>
          <cell r="I10328" t="str">
            <v>80907</v>
          </cell>
        </row>
        <row r="10329">
          <cell r="G10329" t="str">
            <v xml:space="preserve">Xã Mỹ Hòa   </v>
          </cell>
          <cell r="I10329" t="str">
            <v>80907</v>
          </cell>
        </row>
        <row r="10330">
          <cell r="G10330" t="str">
            <v xml:space="preserve">Xã Đông Thành  </v>
          </cell>
          <cell r="I10330" t="str">
            <v>80907</v>
          </cell>
        </row>
        <row r="10331">
          <cell r="G10331" t="str">
            <v>Phường Đông Thuận</v>
          </cell>
          <cell r="I10331" t="str">
            <v>80907</v>
          </cell>
        </row>
        <row r="10332">
          <cell r="G10332" t="str">
            <v>Phường Thành Phước</v>
          </cell>
          <cell r="I10332" t="str">
            <v>80907</v>
          </cell>
        </row>
        <row r="10333">
          <cell r="G10333" t="str">
            <v>Xã Tân Lược</v>
          </cell>
          <cell r="I10333" t="str">
            <v>80908</v>
          </cell>
        </row>
        <row r="10334">
          <cell r="G10334" t="str">
            <v>Xã Tân An Thạnh</v>
          </cell>
          <cell r="I10334" t="str">
            <v>80908</v>
          </cell>
        </row>
        <row r="10335">
          <cell r="G10335" t="str">
            <v xml:space="preserve">Xã Tân Hưng            </v>
          </cell>
          <cell r="I10335" t="str">
            <v>80908</v>
          </cell>
        </row>
        <row r="10336">
          <cell r="G10336" t="str">
            <v xml:space="preserve">Xã Tân Quới </v>
          </cell>
          <cell r="I10336" t="str">
            <v>80908</v>
          </cell>
        </row>
        <row r="10337">
          <cell r="G10337" t="str">
            <v xml:space="preserve">Xã Tân Bình             </v>
          </cell>
          <cell r="I10337" t="str">
            <v>80908</v>
          </cell>
        </row>
        <row r="10338">
          <cell r="G10338" t="str">
            <v xml:space="preserve">Xã Tân Thành                        </v>
          </cell>
          <cell r="I10338" t="str">
            <v>80908</v>
          </cell>
        </row>
        <row r="10339">
          <cell r="G10339" t="str">
            <v xml:space="preserve">Xã Thành Lợi </v>
          </cell>
          <cell r="I10339" t="str">
            <v>80908</v>
          </cell>
        </row>
        <row r="10340">
          <cell r="G10340" t="str">
            <v>Xã Thành Đông</v>
          </cell>
          <cell r="I10340" t="str">
            <v>80908</v>
          </cell>
        </row>
        <row r="10341">
          <cell r="G10341" t="str">
            <v>Xã Thành Trung</v>
          </cell>
          <cell r="I10341" t="str">
            <v>80908</v>
          </cell>
        </row>
        <row r="10342">
          <cell r="G10342" t="str">
            <v xml:space="preserve">Xã Mỹ Thuận  </v>
          </cell>
          <cell r="I10342" t="str">
            <v>80908</v>
          </cell>
        </row>
        <row r="10343">
          <cell r="G10343" t="str">
            <v>Xã Nguyễn Văn Thảnh</v>
          </cell>
          <cell r="I10343" t="str">
            <v>80908</v>
          </cell>
        </row>
        <row r="10344">
          <cell r="G10344" t="str">
            <v xml:space="preserve">Xã Hòa Thạnh </v>
          </cell>
          <cell r="I10344" t="str">
            <v>80909</v>
          </cell>
        </row>
        <row r="10345">
          <cell r="G10345" t="str">
            <v xml:space="preserve">Xã Bình Ninh </v>
          </cell>
          <cell r="I10345" t="str">
            <v>80909</v>
          </cell>
        </row>
        <row r="10346">
          <cell r="G10346" t="str">
            <v>Thị trấn Tam Bình</v>
          </cell>
          <cell r="I10346" t="str">
            <v>80909</v>
          </cell>
        </row>
        <row r="10347">
          <cell r="G10347" t="str">
            <v>Xã Hoà Lộc</v>
          </cell>
          <cell r="I10347" t="str">
            <v>80909</v>
          </cell>
        </row>
        <row r="10348">
          <cell r="G10348" t="str">
            <v xml:space="preserve">Xã Hòa Hiệp    </v>
          </cell>
          <cell r="I10348" t="str">
            <v>80909</v>
          </cell>
        </row>
        <row r="10349">
          <cell r="G10349" t="str">
            <v>Xã Mỹ Thạnh Trung</v>
          </cell>
          <cell r="I10349" t="str">
            <v>80909</v>
          </cell>
        </row>
        <row r="10350">
          <cell r="G10350" t="str">
            <v xml:space="preserve">Xã Tân Lộc </v>
          </cell>
          <cell r="I10350" t="str">
            <v>80909</v>
          </cell>
        </row>
        <row r="10351">
          <cell r="G10351" t="str">
            <v xml:space="preserve">Xã Phú Thịnh      </v>
          </cell>
          <cell r="I10351" t="str">
            <v>80909</v>
          </cell>
        </row>
        <row r="10352">
          <cell r="G10352" t="str">
            <v>Xã Hậu Lộc</v>
          </cell>
          <cell r="I10352" t="str">
            <v>80909</v>
          </cell>
        </row>
        <row r="10353">
          <cell r="G10353" t="str">
            <v xml:space="preserve">Xã Phú Lộc       </v>
          </cell>
          <cell r="I10353" t="str">
            <v>80909</v>
          </cell>
        </row>
        <row r="10354">
          <cell r="G10354" t="str">
            <v>Xã Song Phú</v>
          </cell>
          <cell r="I10354" t="str">
            <v>80909</v>
          </cell>
        </row>
        <row r="10355">
          <cell r="G10355" t="str">
            <v xml:space="preserve">Xã Mỹ Lộc     </v>
          </cell>
          <cell r="I10355" t="str">
            <v>80909</v>
          </cell>
        </row>
        <row r="10356">
          <cell r="G10356" t="str">
            <v xml:space="preserve">Xã Tân Phú           </v>
          </cell>
          <cell r="I10356" t="str">
            <v>80909</v>
          </cell>
        </row>
        <row r="10357">
          <cell r="G10357" t="str">
            <v>Xã Long Phú</v>
          </cell>
          <cell r="I10357" t="str">
            <v>80909</v>
          </cell>
        </row>
        <row r="10358">
          <cell r="G10358" t="str">
            <v>Xã Tường Lộc</v>
          </cell>
          <cell r="I10358" t="str">
            <v>80909</v>
          </cell>
        </row>
        <row r="10359">
          <cell r="G10359" t="str">
            <v>Xã Loan Mỹ</v>
          </cell>
          <cell r="I10359" t="str">
            <v>80909</v>
          </cell>
        </row>
        <row r="10360">
          <cell r="G10360" t="str">
            <v>Xã Ngãi Tứ</v>
          </cell>
          <cell r="I10360" t="str">
            <v>80909</v>
          </cell>
        </row>
        <row r="10361">
          <cell r="G10361" t="str">
            <v xml:space="preserve">Xã Tân Mỹ        </v>
          </cell>
          <cell r="I10361" t="str">
            <v>80911</v>
          </cell>
        </row>
        <row r="10362">
          <cell r="G10362" t="str">
            <v>Thị trấn Trà ôn</v>
          </cell>
          <cell r="I10362" t="str">
            <v>80911</v>
          </cell>
        </row>
        <row r="10363">
          <cell r="G10363" t="str">
            <v>Xã Thới Hòa</v>
          </cell>
          <cell r="I10363" t="str">
            <v>80911</v>
          </cell>
        </row>
        <row r="10364">
          <cell r="G10364" t="str">
            <v>Xã Vĩnh Xuân</v>
          </cell>
          <cell r="I10364" t="str">
            <v>80911</v>
          </cell>
        </row>
        <row r="10365">
          <cell r="G10365" t="str">
            <v>Xã Lục Sỹ Thành</v>
          </cell>
          <cell r="I10365" t="str">
            <v>80911</v>
          </cell>
        </row>
        <row r="10366">
          <cell r="G10366" t="str">
            <v xml:space="preserve">Xã Xuân Hiệp </v>
          </cell>
          <cell r="I10366" t="str">
            <v>80911</v>
          </cell>
        </row>
        <row r="10367">
          <cell r="G10367" t="str">
            <v>Xã Nhơn Bình</v>
          </cell>
          <cell r="I10367" t="str">
            <v>80911</v>
          </cell>
        </row>
        <row r="10368">
          <cell r="G10368" t="str">
            <v xml:space="preserve">Xã Hòa Bình              </v>
          </cell>
          <cell r="I10368" t="str">
            <v>80911</v>
          </cell>
        </row>
        <row r="10369">
          <cell r="G10369" t="str">
            <v>Xã Trà Côn</v>
          </cell>
          <cell r="I10369" t="str">
            <v>80911</v>
          </cell>
        </row>
        <row r="10370">
          <cell r="G10370" t="str">
            <v>Xã Hựu Thành</v>
          </cell>
          <cell r="I10370" t="str">
            <v>80911</v>
          </cell>
        </row>
        <row r="10371">
          <cell r="G10371" t="str">
            <v>Xã Thuận Thới</v>
          </cell>
          <cell r="I10371" t="str">
            <v>80911</v>
          </cell>
        </row>
        <row r="10372">
          <cell r="G10372" t="str">
            <v xml:space="preserve">Xã Phú Thành   </v>
          </cell>
          <cell r="I10372" t="str">
            <v>80911</v>
          </cell>
        </row>
        <row r="10373">
          <cell r="G10373" t="str">
            <v>Xã Thiện Mỹ</v>
          </cell>
          <cell r="I10373" t="str">
            <v>80911</v>
          </cell>
        </row>
        <row r="10374">
          <cell r="G10374" t="str">
            <v>Xã Tích Thiện</v>
          </cell>
          <cell r="I10374" t="str">
            <v>80911</v>
          </cell>
        </row>
        <row r="10375">
          <cell r="G10375" t="str">
            <v>Thị trấn Vũng Liêm</v>
          </cell>
          <cell r="I10375" t="str">
            <v>80913</v>
          </cell>
        </row>
        <row r="10376">
          <cell r="G10376" t="str">
            <v>Xã Trung Ngãi</v>
          </cell>
          <cell r="I10376" t="str">
            <v>80913</v>
          </cell>
        </row>
        <row r="10377">
          <cell r="G10377" t="str">
            <v xml:space="preserve">Xã Trung Chánh </v>
          </cell>
          <cell r="I10377" t="str">
            <v>80913</v>
          </cell>
        </row>
        <row r="10378">
          <cell r="G10378" t="str">
            <v>Xã Trung Hiệp</v>
          </cell>
          <cell r="I10378" t="str">
            <v>80913</v>
          </cell>
        </row>
        <row r="10379">
          <cell r="G10379" t="str">
            <v>Xã Trung Hiếu</v>
          </cell>
          <cell r="I10379" t="str">
            <v>80913</v>
          </cell>
        </row>
        <row r="10380">
          <cell r="G10380" t="str">
            <v xml:space="preserve">Xã Trung An   </v>
          </cell>
          <cell r="I10380" t="str">
            <v>80913</v>
          </cell>
        </row>
        <row r="10381">
          <cell r="G10381" t="str">
            <v>Xã Tân Quới Trung</v>
          </cell>
          <cell r="I10381" t="str">
            <v>80913</v>
          </cell>
        </row>
        <row r="10382">
          <cell r="G10382" t="str">
            <v>Xã Quới Thiện</v>
          </cell>
          <cell r="I10382" t="str">
            <v>80913</v>
          </cell>
        </row>
        <row r="10383">
          <cell r="G10383" t="str">
            <v>Xã Quới An</v>
          </cell>
          <cell r="I10383" t="str">
            <v>80913</v>
          </cell>
        </row>
        <row r="10384">
          <cell r="G10384" t="str">
            <v>Xã Tân An Luông</v>
          </cell>
          <cell r="I10384" t="str">
            <v>80913</v>
          </cell>
        </row>
        <row r="10385">
          <cell r="G10385" t="str">
            <v xml:space="preserve">Xã Thanh Bình       </v>
          </cell>
          <cell r="I10385" t="str">
            <v>80913</v>
          </cell>
        </row>
        <row r="10386">
          <cell r="G10386" t="str">
            <v>Xã Trung Thành Tây</v>
          </cell>
          <cell r="I10386" t="str">
            <v>80913</v>
          </cell>
        </row>
        <row r="10387">
          <cell r="G10387" t="str">
            <v>Xã Hiếu Phụng</v>
          </cell>
          <cell r="I10387" t="str">
            <v>80913</v>
          </cell>
        </row>
        <row r="10388">
          <cell r="G10388" t="str">
            <v>Xã Trung Thành Đông</v>
          </cell>
          <cell r="I10388" t="str">
            <v>80913</v>
          </cell>
        </row>
        <row r="10389">
          <cell r="G10389" t="str">
            <v xml:space="preserve">Xã Trung Thành        </v>
          </cell>
          <cell r="I10389" t="str">
            <v>80913</v>
          </cell>
        </row>
        <row r="10390">
          <cell r="G10390" t="str">
            <v>Xã Hiếu Thuận</v>
          </cell>
          <cell r="I10390" t="str">
            <v>80913</v>
          </cell>
        </row>
        <row r="10391">
          <cell r="G10391" t="str">
            <v xml:space="preserve">Xã Trung Nghĩa   </v>
          </cell>
          <cell r="I10391" t="str">
            <v>80913</v>
          </cell>
        </row>
        <row r="10392">
          <cell r="G10392" t="str">
            <v>Xã Hiếu Nhơn</v>
          </cell>
          <cell r="I10392" t="str">
            <v>80913</v>
          </cell>
        </row>
        <row r="10393">
          <cell r="G10393" t="str">
            <v>Xã Hiếu Thành</v>
          </cell>
          <cell r="I10393" t="str">
            <v>80913</v>
          </cell>
        </row>
        <row r="10394">
          <cell r="G10394" t="str">
            <v>Xã Hiếu Nghĩa</v>
          </cell>
          <cell r="I10394" t="str">
            <v>80913</v>
          </cell>
        </row>
        <row r="10395">
          <cell r="G10395" t="str">
            <v xml:space="preserve">Xã Phú Hưng </v>
          </cell>
          <cell r="I10395" t="str">
            <v>81101</v>
          </cell>
        </row>
        <row r="10396">
          <cell r="G10396" t="str">
            <v xml:space="preserve">Phường 8         </v>
          </cell>
          <cell r="I10396" t="str">
            <v>81101</v>
          </cell>
        </row>
        <row r="10397">
          <cell r="G10397" t="str">
            <v xml:space="preserve">Phường 1                    </v>
          </cell>
          <cell r="I10397" t="str">
            <v>81101</v>
          </cell>
        </row>
        <row r="10398">
          <cell r="G10398" t="str">
            <v xml:space="preserve">Phường 7          </v>
          </cell>
          <cell r="I10398" t="str">
            <v>81101</v>
          </cell>
        </row>
        <row r="10399">
          <cell r="G10399" t="str">
            <v>Xã Mỹ Thạnh An</v>
          </cell>
          <cell r="I10399" t="str">
            <v>81101</v>
          </cell>
        </row>
        <row r="10400">
          <cell r="G10400" t="str">
            <v>Phường Phú Khương</v>
          </cell>
          <cell r="I10400" t="str">
            <v>81101</v>
          </cell>
        </row>
        <row r="10401">
          <cell r="G10401" t="str">
            <v xml:space="preserve">Phường 6          </v>
          </cell>
          <cell r="I10401" t="str">
            <v>81101</v>
          </cell>
        </row>
        <row r="10402">
          <cell r="G10402" t="str">
            <v xml:space="preserve">Phường 4                </v>
          </cell>
          <cell r="I10402" t="str">
            <v>81101</v>
          </cell>
        </row>
        <row r="10403">
          <cell r="G10403" t="str">
            <v xml:space="preserve">Phường 5              </v>
          </cell>
          <cell r="I10403" t="str">
            <v>81101</v>
          </cell>
        </row>
        <row r="10404">
          <cell r="G10404" t="str">
            <v xml:space="preserve">Phường 3                   </v>
          </cell>
          <cell r="I10404" t="str">
            <v>81101</v>
          </cell>
        </row>
        <row r="10405">
          <cell r="G10405" t="str">
            <v xml:space="preserve">Phường 2                   </v>
          </cell>
          <cell r="I10405" t="str">
            <v>81101</v>
          </cell>
        </row>
        <row r="10406">
          <cell r="G10406" t="str">
            <v xml:space="preserve">Xã Sơn Đông  </v>
          </cell>
          <cell r="I10406" t="str">
            <v>81101</v>
          </cell>
        </row>
        <row r="10407">
          <cell r="G10407" t="str">
            <v xml:space="preserve">Xã Bình Phú        </v>
          </cell>
          <cell r="I10407" t="str">
            <v>81101</v>
          </cell>
        </row>
        <row r="10408">
          <cell r="G10408" t="str">
            <v>Xã Nhơn Thạnh</v>
          </cell>
          <cell r="I10408" t="str">
            <v>81101</v>
          </cell>
        </row>
        <row r="10409">
          <cell r="G10409" t="str">
            <v xml:space="preserve">Xã Phú Nhuận    </v>
          </cell>
          <cell r="I10409" t="str">
            <v>81101</v>
          </cell>
        </row>
        <row r="10410">
          <cell r="G10410" t="str">
            <v xml:space="preserve">Phường Phú Tân </v>
          </cell>
          <cell r="I10410" t="str">
            <v>81101</v>
          </cell>
        </row>
        <row r="10411">
          <cell r="G10411" t="str">
            <v xml:space="preserve">Xã Mỹ Thành     </v>
          </cell>
          <cell r="I10411" t="str">
            <v>81101</v>
          </cell>
        </row>
        <row r="10412">
          <cell r="G10412" t="str">
            <v xml:space="preserve">Xã Phú Đức  </v>
          </cell>
          <cell r="I10412" t="str">
            <v>81103</v>
          </cell>
        </row>
        <row r="10413">
          <cell r="G10413" t="str">
            <v xml:space="preserve">Xã An Hiệp   </v>
          </cell>
          <cell r="I10413" t="str">
            <v>81103</v>
          </cell>
        </row>
        <row r="10414">
          <cell r="G10414" t="str">
            <v>Xã Tân Thạch</v>
          </cell>
          <cell r="I10414" t="str">
            <v>81103</v>
          </cell>
        </row>
        <row r="10415">
          <cell r="G10415" t="str">
            <v>Xã Giao Hòa</v>
          </cell>
          <cell r="I10415" t="str">
            <v>81103</v>
          </cell>
        </row>
        <row r="10416">
          <cell r="G10416" t="str">
            <v xml:space="preserve">Xã An Phước   </v>
          </cell>
          <cell r="I10416" t="str">
            <v>81103</v>
          </cell>
        </row>
        <row r="10417">
          <cell r="G10417" t="str">
            <v xml:space="preserve">Xã Tân Phú            </v>
          </cell>
          <cell r="I10417" t="str">
            <v>81103</v>
          </cell>
        </row>
        <row r="10418">
          <cell r="G10418" t="str">
            <v>Xã Tiên Long</v>
          </cell>
          <cell r="I10418" t="str">
            <v>81103</v>
          </cell>
        </row>
        <row r="10419">
          <cell r="G10419" t="str">
            <v xml:space="preserve">Xã Sơn Hòa </v>
          </cell>
          <cell r="I10419" t="str">
            <v>81103</v>
          </cell>
        </row>
        <row r="10420">
          <cell r="G10420" t="str">
            <v xml:space="preserve">Thị trấn Châu Thành </v>
          </cell>
          <cell r="I10420" t="str">
            <v>81103</v>
          </cell>
        </row>
        <row r="10421">
          <cell r="G10421" t="str">
            <v>Xã Qưới Sơn</v>
          </cell>
          <cell r="I10421" t="str">
            <v>81103</v>
          </cell>
        </row>
        <row r="10422">
          <cell r="G10422" t="str">
            <v xml:space="preserve">Xã An Khánh   </v>
          </cell>
          <cell r="I10422" t="str">
            <v>81103</v>
          </cell>
        </row>
        <row r="10423">
          <cell r="G10423" t="str">
            <v xml:space="preserve">Xã Giao Long </v>
          </cell>
          <cell r="I10423" t="str">
            <v>81103</v>
          </cell>
        </row>
        <row r="10424">
          <cell r="G10424" t="str">
            <v xml:space="preserve">Xã Phú Túc  </v>
          </cell>
          <cell r="I10424" t="str">
            <v>81103</v>
          </cell>
        </row>
        <row r="10425">
          <cell r="G10425" t="str">
            <v>Xã Phú An Hòa</v>
          </cell>
          <cell r="I10425" t="str">
            <v>81103</v>
          </cell>
        </row>
        <row r="10426">
          <cell r="G10426" t="str">
            <v xml:space="preserve">Xã Tam Phước   </v>
          </cell>
          <cell r="I10426" t="str">
            <v>81103</v>
          </cell>
        </row>
        <row r="10427">
          <cell r="G10427" t="str">
            <v>Xã Thành Triệu</v>
          </cell>
          <cell r="I10427" t="str">
            <v>81103</v>
          </cell>
        </row>
        <row r="10428">
          <cell r="G10428" t="str">
            <v>Xã Tường Đa</v>
          </cell>
          <cell r="I10428" t="str">
            <v>81103</v>
          </cell>
        </row>
        <row r="10429">
          <cell r="G10429" t="str">
            <v>Xã Quới Thành</v>
          </cell>
          <cell r="I10429" t="str">
            <v>81103</v>
          </cell>
        </row>
        <row r="10430">
          <cell r="G10430" t="str">
            <v xml:space="preserve">Xã Phước Thạnh    </v>
          </cell>
          <cell r="I10430" t="str">
            <v>81103</v>
          </cell>
        </row>
        <row r="10431">
          <cell r="G10431" t="str">
            <v>Xã An Hóa</v>
          </cell>
          <cell r="I10431" t="str">
            <v>81103</v>
          </cell>
        </row>
        <row r="10432">
          <cell r="G10432" t="str">
            <v>Xã Hữu Định</v>
          </cell>
          <cell r="I10432" t="str">
            <v>81103</v>
          </cell>
        </row>
        <row r="10433">
          <cell r="G10433" t="str">
            <v>Xã Tiên Thủy</v>
          </cell>
          <cell r="I10433" t="str">
            <v>81103</v>
          </cell>
        </row>
        <row r="10434">
          <cell r="G10434" t="str">
            <v>Xã Tân Thiềng</v>
          </cell>
          <cell r="I10434" t="str">
            <v>81105</v>
          </cell>
        </row>
        <row r="10435">
          <cell r="G10435" t="str">
            <v>Xã Phú Phụng</v>
          </cell>
          <cell r="I10435" t="str">
            <v>81105</v>
          </cell>
        </row>
        <row r="10436">
          <cell r="G10436" t="str">
            <v xml:space="preserve">Xã Long Thới </v>
          </cell>
          <cell r="I10436" t="str">
            <v>81105</v>
          </cell>
        </row>
        <row r="10437">
          <cell r="G10437" t="str">
            <v xml:space="preserve">Xã Vĩnh Hòa     </v>
          </cell>
          <cell r="I10437" t="str">
            <v>81105</v>
          </cell>
        </row>
        <row r="10438">
          <cell r="G10438" t="str">
            <v>Thị trấn Chợ Lách</v>
          </cell>
          <cell r="I10438" t="str">
            <v>81105</v>
          </cell>
        </row>
        <row r="10439">
          <cell r="G10439" t="str">
            <v xml:space="preserve">Xã Sơn Định </v>
          </cell>
          <cell r="I10439" t="str">
            <v>81105</v>
          </cell>
        </row>
        <row r="10440">
          <cell r="G10440" t="str">
            <v xml:space="preserve">Xã Vĩnh Bình  </v>
          </cell>
          <cell r="I10440" t="str">
            <v>81105</v>
          </cell>
        </row>
        <row r="10441">
          <cell r="G10441" t="str">
            <v>Xã Hòa Nghĩa</v>
          </cell>
          <cell r="I10441" t="str">
            <v>81105</v>
          </cell>
        </row>
        <row r="10442">
          <cell r="G10442" t="str">
            <v xml:space="preserve">Xã Phú Sơn         </v>
          </cell>
          <cell r="I10442" t="str">
            <v>81105</v>
          </cell>
        </row>
        <row r="10443">
          <cell r="G10443" t="str">
            <v xml:space="preserve">Xã Vĩnh Thành    </v>
          </cell>
          <cell r="I10443" t="str">
            <v>81105</v>
          </cell>
        </row>
        <row r="10444">
          <cell r="G10444" t="str">
            <v>Xã Hưng Khánh Trung B</v>
          </cell>
          <cell r="I10444" t="str">
            <v>81105</v>
          </cell>
        </row>
        <row r="10445">
          <cell r="G10445" t="str">
            <v>Xã An Thới</v>
          </cell>
          <cell r="I10445" t="str">
            <v>81107</v>
          </cell>
        </row>
        <row r="10446">
          <cell r="G10446" t="str">
            <v>Xã Bình Khánh Đông</v>
          </cell>
          <cell r="I10446" t="str">
            <v>81107</v>
          </cell>
        </row>
        <row r="10447">
          <cell r="G10447" t="str">
            <v>Xã Thành Thới B</v>
          </cell>
          <cell r="I10447" t="str">
            <v>81107</v>
          </cell>
        </row>
        <row r="10448">
          <cell r="G10448" t="str">
            <v xml:space="preserve">Xã Minh Đức      </v>
          </cell>
          <cell r="I10448" t="str">
            <v>81107</v>
          </cell>
        </row>
        <row r="10449">
          <cell r="G10449" t="str">
            <v>Thị trấn Mỏ Cày</v>
          </cell>
          <cell r="I10449" t="str">
            <v>81107</v>
          </cell>
        </row>
        <row r="10450">
          <cell r="G10450" t="str">
            <v>Xã Định Thủy</v>
          </cell>
          <cell r="I10450" t="str">
            <v>81107</v>
          </cell>
        </row>
        <row r="10451">
          <cell r="G10451" t="str">
            <v>Xã Đa Phước Hội</v>
          </cell>
          <cell r="I10451" t="str">
            <v>81107</v>
          </cell>
        </row>
        <row r="10452">
          <cell r="G10452" t="str">
            <v xml:space="preserve">Xã Phước Hiệp   </v>
          </cell>
          <cell r="I10452" t="str">
            <v>81107</v>
          </cell>
        </row>
        <row r="10453">
          <cell r="G10453" t="str">
            <v xml:space="preserve">Xã An Thạnh  </v>
          </cell>
          <cell r="I10453" t="str">
            <v>81107</v>
          </cell>
        </row>
        <row r="10454">
          <cell r="G10454" t="str">
            <v>Xã Bình Khánh Tây</v>
          </cell>
          <cell r="I10454" t="str">
            <v>81107</v>
          </cell>
        </row>
        <row r="10455">
          <cell r="G10455" t="str">
            <v xml:space="preserve">Xã An Định </v>
          </cell>
          <cell r="I10455" t="str">
            <v>81107</v>
          </cell>
        </row>
        <row r="10456">
          <cell r="G10456" t="str">
            <v xml:space="preserve">Xã Tân Trung   </v>
          </cell>
          <cell r="I10456" t="str">
            <v>81107</v>
          </cell>
        </row>
        <row r="10457">
          <cell r="G10457" t="str">
            <v>Xã Thành Thới A</v>
          </cell>
          <cell r="I10457" t="str">
            <v>81107</v>
          </cell>
        </row>
        <row r="10458">
          <cell r="G10458" t="str">
            <v>Xã Ngãi Đăng</v>
          </cell>
          <cell r="I10458" t="str">
            <v>81107</v>
          </cell>
        </row>
        <row r="10459">
          <cell r="G10459" t="str">
            <v xml:space="preserve">Xã Cẩm Sơn     </v>
          </cell>
          <cell r="I10459" t="str">
            <v>81107</v>
          </cell>
        </row>
        <row r="10460">
          <cell r="G10460" t="str">
            <v>Xã Hương Mỹ</v>
          </cell>
          <cell r="I10460" t="str">
            <v>81107</v>
          </cell>
        </row>
        <row r="10461">
          <cell r="G10461" t="str">
            <v xml:space="preserve">Xã Tân Hội      </v>
          </cell>
          <cell r="I10461" t="str">
            <v>81107</v>
          </cell>
        </row>
        <row r="10462">
          <cell r="G10462" t="str">
            <v xml:space="preserve">Xã Thanh Tân   </v>
          </cell>
          <cell r="I10462" t="str">
            <v>81108</v>
          </cell>
        </row>
        <row r="10463">
          <cell r="G10463" t="str">
            <v>Xã Thạnh Ngãi</v>
          </cell>
          <cell r="I10463" t="str">
            <v>81108</v>
          </cell>
        </row>
        <row r="10464">
          <cell r="G10464" t="str">
            <v>Xã Tân Phú Tây</v>
          </cell>
          <cell r="I10464" t="str">
            <v>81108</v>
          </cell>
        </row>
        <row r="10465">
          <cell r="G10465" t="str">
            <v>Xã Tân Thành Bình</v>
          </cell>
          <cell r="I10465" t="str">
            <v>81108</v>
          </cell>
        </row>
        <row r="10466">
          <cell r="G10466" t="str">
            <v xml:space="preserve">Xã Thành An  </v>
          </cell>
          <cell r="I10466" t="str">
            <v>81108</v>
          </cell>
        </row>
        <row r="10467">
          <cell r="G10467" t="str">
            <v>Xã Phước Mỹ Trung</v>
          </cell>
          <cell r="I10467" t="str">
            <v>81108</v>
          </cell>
        </row>
        <row r="10468">
          <cell r="G10468" t="str">
            <v>Xã Tân Thanh Tây</v>
          </cell>
          <cell r="I10468" t="str">
            <v>81108</v>
          </cell>
        </row>
        <row r="10469">
          <cell r="G10469" t="str">
            <v xml:space="preserve">Xã Tân Bình              </v>
          </cell>
          <cell r="I10469" t="str">
            <v>81108</v>
          </cell>
        </row>
        <row r="10470">
          <cell r="G10470" t="str">
            <v>Xã Nhuận Phú Tân</v>
          </cell>
          <cell r="I10470" t="str">
            <v>81108</v>
          </cell>
        </row>
        <row r="10471">
          <cell r="G10471" t="str">
            <v xml:space="preserve">Xã Hòa Lộc </v>
          </cell>
          <cell r="I10471" t="str">
            <v>81108</v>
          </cell>
        </row>
        <row r="10472">
          <cell r="G10472" t="str">
            <v>Xã Khánh Thạnh Tân</v>
          </cell>
          <cell r="I10472" t="str">
            <v>81108</v>
          </cell>
        </row>
        <row r="10473">
          <cell r="G10473" t="str">
            <v>Xã Hưng Khánh Trung A</v>
          </cell>
          <cell r="I10473" t="str">
            <v>81108</v>
          </cell>
        </row>
        <row r="10474">
          <cell r="G10474" t="str">
            <v xml:space="preserve">Xã Phú Mỹ    </v>
          </cell>
          <cell r="I10474" t="str">
            <v>81108</v>
          </cell>
        </row>
        <row r="10475">
          <cell r="G10475" t="str">
            <v xml:space="preserve">Xã Lương Phú </v>
          </cell>
          <cell r="I10475" t="str">
            <v>81109</v>
          </cell>
        </row>
        <row r="10476">
          <cell r="G10476" t="str">
            <v>Xã Tân Lợi Thạnh</v>
          </cell>
          <cell r="I10476" t="str">
            <v>81109</v>
          </cell>
        </row>
        <row r="10477">
          <cell r="G10477" t="str">
            <v>Xã Bình Hoà</v>
          </cell>
          <cell r="I10477" t="str">
            <v>81109</v>
          </cell>
        </row>
        <row r="10478">
          <cell r="G10478" t="str">
            <v>Xã Tân Hào</v>
          </cell>
          <cell r="I10478" t="str">
            <v>81109</v>
          </cell>
        </row>
        <row r="10479">
          <cell r="G10479" t="str">
            <v>Xã Thạnh Phú Đông</v>
          </cell>
          <cell r="I10479" t="str">
            <v>81109</v>
          </cell>
        </row>
        <row r="10480">
          <cell r="G10480" t="str">
            <v xml:space="preserve">Xã Phong Nẫm </v>
          </cell>
          <cell r="I10480" t="str">
            <v>81109</v>
          </cell>
        </row>
        <row r="10481">
          <cell r="G10481" t="str">
            <v xml:space="preserve">Xã Phong Mỹ  </v>
          </cell>
          <cell r="I10481" t="str">
            <v>81109</v>
          </cell>
        </row>
        <row r="10482">
          <cell r="G10482" t="str">
            <v xml:space="preserve">Xã Mỹ Thạnh  </v>
          </cell>
          <cell r="I10482" t="str">
            <v>81109</v>
          </cell>
        </row>
        <row r="10483">
          <cell r="G10483" t="str">
            <v>Xã Châu Hòa</v>
          </cell>
          <cell r="I10483" t="str">
            <v>81109</v>
          </cell>
        </row>
        <row r="10484">
          <cell r="G10484" t="str">
            <v xml:space="preserve">Xã Lương Hòa </v>
          </cell>
          <cell r="I10484" t="str">
            <v>81109</v>
          </cell>
        </row>
        <row r="10485">
          <cell r="G10485" t="str">
            <v>Xã Lương Quới</v>
          </cell>
          <cell r="I10485" t="str">
            <v>81109</v>
          </cell>
        </row>
        <row r="10486">
          <cell r="G10486" t="str">
            <v xml:space="preserve">Xã Châu Bình </v>
          </cell>
          <cell r="I10486" t="str">
            <v>81109</v>
          </cell>
        </row>
        <row r="10487">
          <cell r="G10487" t="str">
            <v>Xã Thuận Điền</v>
          </cell>
          <cell r="I10487" t="str">
            <v>81109</v>
          </cell>
        </row>
        <row r="10488">
          <cell r="G10488" t="str">
            <v xml:space="preserve">Xã Sơn Phú   </v>
          </cell>
          <cell r="I10488" t="str">
            <v>81109</v>
          </cell>
        </row>
        <row r="10489">
          <cell r="G10489" t="str">
            <v>Xã Phước Long</v>
          </cell>
          <cell r="I10489" t="str">
            <v>81109</v>
          </cell>
        </row>
        <row r="10490">
          <cell r="G10490" t="str">
            <v>Xã Hưng Phong</v>
          </cell>
          <cell r="I10490" t="str">
            <v>81109</v>
          </cell>
        </row>
        <row r="10491">
          <cell r="G10491" t="str">
            <v xml:space="preserve">Xã Long Mỹ  </v>
          </cell>
          <cell r="I10491" t="str">
            <v>81109</v>
          </cell>
        </row>
        <row r="10492">
          <cell r="G10492" t="str">
            <v xml:space="preserve">Xã Bình Thành       </v>
          </cell>
          <cell r="I10492" t="str">
            <v>81109</v>
          </cell>
        </row>
        <row r="10493">
          <cell r="G10493" t="str">
            <v xml:space="preserve">Xã Tân Thanh    </v>
          </cell>
          <cell r="I10493" t="str">
            <v>81109</v>
          </cell>
        </row>
        <row r="10494">
          <cell r="G10494" t="str">
            <v>Xã Hưng Nhượng</v>
          </cell>
          <cell r="I10494" t="str">
            <v>81109</v>
          </cell>
        </row>
        <row r="10495">
          <cell r="G10495" t="str">
            <v>Xã Hưng Lễ</v>
          </cell>
          <cell r="I10495" t="str">
            <v>81109</v>
          </cell>
        </row>
        <row r="10496">
          <cell r="G10496" t="str">
            <v>Thị trấn Giồng Trôm</v>
          </cell>
          <cell r="I10496" t="str">
            <v>81109</v>
          </cell>
        </row>
        <row r="10497">
          <cell r="G10497" t="str">
            <v xml:space="preserve">Xã Lộc Thuận </v>
          </cell>
          <cell r="I10497" t="str">
            <v>81111</v>
          </cell>
        </row>
        <row r="10498">
          <cell r="G10498" t="str">
            <v>Xã Vang Quới Tây</v>
          </cell>
          <cell r="I10498" t="str">
            <v>81111</v>
          </cell>
        </row>
        <row r="10499">
          <cell r="G10499" t="str">
            <v xml:space="preserve">Xã Định Trung </v>
          </cell>
          <cell r="I10499" t="str">
            <v>81111</v>
          </cell>
        </row>
        <row r="10500">
          <cell r="G10500" t="str">
            <v xml:space="preserve">Xã Bình Thắng </v>
          </cell>
          <cell r="I10500" t="str">
            <v>81111</v>
          </cell>
        </row>
        <row r="10501">
          <cell r="G10501" t="str">
            <v xml:space="preserve">Xã Thạnh Phước </v>
          </cell>
          <cell r="I10501" t="str">
            <v>81111</v>
          </cell>
        </row>
        <row r="10502">
          <cell r="G10502" t="str">
            <v xml:space="preserve">Xã Tam Hiệp     </v>
          </cell>
          <cell r="I10502" t="str">
            <v>81111</v>
          </cell>
        </row>
        <row r="10503">
          <cell r="G10503" t="str">
            <v>Thị trấn Bình Đại</v>
          </cell>
          <cell r="I10503" t="str">
            <v>81111</v>
          </cell>
        </row>
        <row r="10504">
          <cell r="G10504" t="str">
            <v xml:space="preserve">Xã Long Định  </v>
          </cell>
          <cell r="I10504" t="str">
            <v>81111</v>
          </cell>
        </row>
        <row r="10505">
          <cell r="G10505" t="str">
            <v xml:space="preserve">Xã Long Hòa  </v>
          </cell>
          <cell r="I10505" t="str">
            <v>81111</v>
          </cell>
        </row>
        <row r="10506">
          <cell r="G10506" t="str">
            <v xml:space="preserve">Xã Phú Thuận  </v>
          </cell>
          <cell r="I10506" t="str">
            <v>81111</v>
          </cell>
        </row>
        <row r="10507">
          <cell r="G10507" t="str">
            <v>Xã Vang Quới Đông</v>
          </cell>
          <cell r="I10507" t="str">
            <v>81111</v>
          </cell>
        </row>
        <row r="10508">
          <cell r="G10508" t="str">
            <v>Xã Châu Hưng</v>
          </cell>
          <cell r="I10508" t="str">
            <v>81111</v>
          </cell>
        </row>
        <row r="10509">
          <cell r="G10509" t="str">
            <v>Xã Phú Vang</v>
          </cell>
          <cell r="I10509" t="str">
            <v>81111</v>
          </cell>
        </row>
        <row r="10510">
          <cell r="G10510" t="str">
            <v>Xã Thới Lai</v>
          </cell>
          <cell r="I10510" t="str">
            <v>81111</v>
          </cell>
        </row>
        <row r="10511">
          <cell r="G10511" t="str">
            <v xml:space="preserve">Xã Bình Thới </v>
          </cell>
          <cell r="I10511" t="str">
            <v>81111</v>
          </cell>
        </row>
        <row r="10512">
          <cell r="G10512" t="str">
            <v xml:space="preserve">Xã Phú Long   </v>
          </cell>
          <cell r="I10512" t="str">
            <v>81111</v>
          </cell>
        </row>
        <row r="10513">
          <cell r="G10513" t="str">
            <v xml:space="preserve">Xã Thạnh Trị  </v>
          </cell>
          <cell r="I10513" t="str">
            <v>81111</v>
          </cell>
        </row>
        <row r="10514">
          <cell r="G10514" t="str">
            <v>Xã Đại Hòa Lộc</v>
          </cell>
          <cell r="I10514" t="str">
            <v>81111</v>
          </cell>
        </row>
        <row r="10515">
          <cell r="G10515" t="str">
            <v xml:space="preserve">Xã Thừa Đức </v>
          </cell>
          <cell r="I10515" t="str">
            <v>81111</v>
          </cell>
        </row>
        <row r="10516">
          <cell r="G10516" t="str">
            <v>Xã Thới Thuận</v>
          </cell>
          <cell r="I10516" t="str">
            <v>81111</v>
          </cell>
        </row>
        <row r="10517">
          <cell r="G10517" t="str">
            <v xml:space="preserve">Xã Tân Mỹ         </v>
          </cell>
          <cell r="I10517" t="str">
            <v>81113</v>
          </cell>
        </row>
        <row r="10518">
          <cell r="G10518" t="str">
            <v>Xã Phú Lễ</v>
          </cell>
          <cell r="I10518" t="str">
            <v>81113</v>
          </cell>
        </row>
        <row r="10519">
          <cell r="G10519" t="str">
            <v xml:space="preserve">Xã An Thủy </v>
          </cell>
          <cell r="I10519" t="str">
            <v>81113</v>
          </cell>
        </row>
        <row r="10520">
          <cell r="G10520" t="str">
            <v xml:space="preserve">Xã Mỹ Hòa    </v>
          </cell>
          <cell r="I10520" t="str">
            <v>81113</v>
          </cell>
        </row>
        <row r="10521">
          <cell r="G10521" t="str">
            <v>Xã An Phú Trung</v>
          </cell>
          <cell r="I10521" t="str">
            <v>81113</v>
          </cell>
        </row>
        <row r="10522">
          <cell r="G10522" t="str">
            <v>Xã Phú Ngãi</v>
          </cell>
          <cell r="I10522" t="str">
            <v>81113</v>
          </cell>
        </row>
        <row r="10523">
          <cell r="G10523" t="str">
            <v xml:space="preserve">Xã Bảo Thuận </v>
          </cell>
          <cell r="I10523" t="str">
            <v>81113</v>
          </cell>
        </row>
        <row r="10524">
          <cell r="G10524" t="str">
            <v xml:space="preserve">Xã Vĩnh Hòa      </v>
          </cell>
          <cell r="I10524" t="str">
            <v>81113</v>
          </cell>
        </row>
        <row r="10525">
          <cell r="G10525" t="str">
            <v>Xã An Hòa Tây</v>
          </cell>
          <cell r="I10525" t="str">
            <v>81113</v>
          </cell>
        </row>
        <row r="10526">
          <cell r="G10526" t="str">
            <v>Thị trấn Ba Tri</v>
          </cell>
          <cell r="I10526" t="str">
            <v>81113</v>
          </cell>
        </row>
        <row r="10527">
          <cell r="G10527" t="str">
            <v xml:space="preserve">Xã Tân Xuân    </v>
          </cell>
          <cell r="I10527" t="str">
            <v>81113</v>
          </cell>
        </row>
        <row r="10528">
          <cell r="G10528" t="str">
            <v xml:space="preserve">Xã Mỹ Chánh </v>
          </cell>
          <cell r="I10528" t="str">
            <v>81113</v>
          </cell>
        </row>
        <row r="10529">
          <cell r="G10529" t="str">
            <v>Xã Bảo Thạnh</v>
          </cell>
          <cell r="I10529" t="str">
            <v>81113</v>
          </cell>
        </row>
        <row r="10530">
          <cell r="G10530" t="str">
            <v xml:space="preserve">Xã Mỹ Thạnh   </v>
          </cell>
          <cell r="I10530" t="str">
            <v>81113</v>
          </cell>
        </row>
        <row r="10531">
          <cell r="G10531" t="str">
            <v>Xã Mỹ Nhơn</v>
          </cell>
          <cell r="I10531" t="str">
            <v>81113</v>
          </cell>
        </row>
        <row r="10532">
          <cell r="G10532" t="str">
            <v xml:space="preserve">Xã Phước Tuy </v>
          </cell>
          <cell r="I10532" t="str">
            <v>81113</v>
          </cell>
        </row>
        <row r="10533">
          <cell r="G10533" t="str">
            <v>Xã An Ngãi Trung</v>
          </cell>
          <cell r="I10533" t="str">
            <v>81113</v>
          </cell>
        </row>
        <row r="10534">
          <cell r="G10534" t="str">
            <v>Xã An Bình Tây</v>
          </cell>
          <cell r="I10534" t="str">
            <v>81113</v>
          </cell>
        </row>
        <row r="10535">
          <cell r="G10535" t="str">
            <v xml:space="preserve">Xã Tân Hưng             </v>
          </cell>
          <cell r="I10535" t="str">
            <v>81113</v>
          </cell>
        </row>
        <row r="10536">
          <cell r="G10536" t="str">
            <v>Xã An Ngãi Tây</v>
          </cell>
          <cell r="I10536" t="str">
            <v>81113</v>
          </cell>
        </row>
        <row r="10537">
          <cell r="G10537" t="str">
            <v xml:space="preserve">Xã An Hiệp    </v>
          </cell>
          <cell r="I10537" t="str">
            <v>81113</v>
          </cell>
        </row>
        <row r="10538">
          <cell r="G10538" t="str">
            <v xml:space="preserve">Xã Tân Thủy </v>
          </cell>
          <cell r="I10538" t="str">
            <v>81113</v>
          </cell>
        </row>
        <row r="10539">
          <cell r="G10539" t="str">
            <v xml:space="preserve">Xã Vĩnh An    </v>
          </cell>
          <cell r="I10539" t="str">
            <v>81113</v>
          </cell>
        </row>
        <row r="10540">
          <cell r="G10540" t="str">
            <v xml:space="preserve">Xã An Đức </v>
          </cell>
          <cell r="I10540" t="str">
            <v>81113</v>
          </cell>
        </row>
        <row r="10541">
          <cell r="G10541" t="str">
            <v>Xã An Thuận</v>
          </cell>
          <cell r="I10541" t="str">
            <v>81115</v>
          </cell>
        </row>
        <row r="10542">
          <cell r="G10542" t="str">
            <v>Xã Đại Điền</v>
          </cell>
          <cell r="I10542" t="str">
            <v>81115</v>
          </cell>
        </row>
        <row r="10543">
          <cell r="G10543" t="str">
            <v xml:space="preserve">Xã An Thạnh   </v>
          </cell>
          <cell r="I10543" t="str">
            <v>81115</v>
          </cell>
        </row>
        <row r="10544">
          <cell r="G10544" t="str">
            <v xml:space="preserve">Xã Bình Thạnh         </v>
          </cell>
          <cell r="I10544" t="str">
            <v>81115</v>
          </cell>
        </row>
        <row r="10545">
          <cell r="G10545" t="str">
            <v xml:space="preserve">Xã An Nhơn  </v>
          </cell>
          <cell r="I10545" t="str">
            <v>81115</v>
          </cell>
        </row>
        <row r="10546">
          <cell r="G10546" t="str">
            <v>Thị trấn Thạnh Phú</v>
          </cell>
          <cell r="I10546" t="str">
            <v>81115</v>
          </cell>
        </row>
        <row r="10547">
          <cell r="G10547" t="str">
            <v>Xã Phú Khánh</v>
          </cell>
          <cell r="I10547" t="str">
            <v>81115</v>
          </cell>
        </row>
        <row r="10548">
          <cell r="G10548" t="str">
            <v>Xã Quới Điền</v>
          </cell>
          <cell r="I10548" t="str">
            <v>81115</v>
          </cell>
        </row>
        <row r="10549">
          <cell r="G10549" t="str">
            <v xml:space="preserve">Xã Tân Phong        </v>
          </cell>
          <cell r="I10549" t="str">
            <v>81115</v>
          </cell>
        </row>
        <row r="10550">
          <cell r="G10550" t="str">
            <v xml:space="preserve">Xã Mỹ Hưng   </v>
          </cell>
          <cell r="I10550" t="str">
            <v>81115</v>
          </cell>
        </row>
        <row r="10551">
          <cell r="G10551" t="str">
            <v>Xã Thới Thạnh</v>
          </cell>
          <cell r="I10551" t="str">
            <v>81115</v>
          </cell>
        </row>
        <row r="10552">
          <cell r="G10552" t="str">
            <v>Xã Hòa Lợi</v>
          </cell>
          <cell r="I10552" t="str">
            <v>81115</v>
          </cell>
        </row>
        <row r="10553">
          <cell r="G10553" t="str">
            <v xml:space="preserve">Xã An Điền </v>
          </cell>
          <cell r="I10553" t="str">
            <v>81115</v>
          </cell>
        </row>
        <row r="10554">
          <cell r="G10554" t="str">
            <v>Xã An Quy</v>
          </cell>
          <cell r="I10554" t="str">
            <v>81115</v>
          </cell>
        </row>
        <row r="10555">
          <cell r="G10555" t="str">
            <v>Xã Thạnh Hải</v>
          </cell>
          <cell r="I10555" t="str">
            <v>81115</v>
          </cell>
        </row>
        <row r="10556">
          <cell r="G10556" t="str">
            <v>Xã Giao Thạnh</v>
          </cell>
          <cell r="I10556" t="str">
            <v>81115</v>
          </cell>
        </row>
        <row r="10557">
          <cell r="G10557" t="str">
            <v>Xã Thạnh Phong</v>
          </cell>
          <cell r="I10557" t="str">
            <v>81115</v>
          </cell>
        </row>
        <row r="10558">
          <cell r="G10558" t="str">
            <v xml:space="preserve">Xã Mỹ An      </v>
          </cell>
          <cell r="I10558" t="str">
            <v>81115</v>
          </cell>
        </row>
        <row r="10559">
          <cell r="G10559" t="str">
            <v>Phường Vĩnh Lạc</v>
          </cell>
          <cell r="I10559" t="str">
            <v>81301</v>
          </cell>
        </row>
        <row r="10560">
          <cell r="G10560" t="str">
            <v>Phường Vĩnh Quang</v>
          </cell>
          <cell r="I10560" t="str">
            <v>81301</v>
          </cell>
        </row>
        <row r="10561">
          <cell r="G10561" t="str">
            <v xml:space="preserve">Phường An Bình    </v>
          </cell>
          <cell r="I10561" t="str">
            <v>81301</v>
          </cell>
        </row>
        <row r="10562">
          <cell r="G10562" t="str">
            <v>Xã Phi Thông</v>
          </cell>
          <cell r="I10562" t="str">
            <v>81301</v>
          </cell>
        </row>
        <row r="10563">
          <cell r="G10563" t="str">
            <v>Phường Vĩnh Thanh Vân</v>
          </cell>
          <cell r="I10563" t="str">
            <v>81301</v>
          </cell>
        </row>
        <row r="10564">
          <cell r="G10564" t="str">
            <v>Phường Vĩnh Thanh</v>
          </cell>
          <cell r="I10564" t="str">
            <v>81301</v>
          </cell>
        </row>
        <row r="10565">
          <cell r="G10565" t="str">
            <v>Phường Vĩnh Hiệp</v>
          </cell>
          <cell r="I10565" t="str">
            <v>81301</v>
          </cell>
        </row>
        <row r="10566">
          <cell r="G10566" t="str">
            <v>Phường Vĩnh Bảo</v>
          </cell>
          <cell r="I10566" t="str">
            <v>81301</v>
          </cell>
        </row>
        <row r="10567">
          <cell r="G10567" t="str">
            <v xml:space="preserve">Phường An Hòa  </v>
          </cell>
          <cell r="I10567" t="str">
            <v>81301</v>
          </cell>
        </row>
        <row r="10568">
          <cell r="G10568" t="str">
            <v>Phường Rạch Sỏi</v>
          </cell>
          <cell r="I10568" t="str">
            <v>81301</v>
          </cell>
        </row>
        <row r="10569">
          <cell r="G10569" t="str">
            <v>Phường Vĩnh Lợi</v>
          </cell>
          <cell r="I10569" t="str">
            <v>81301</v>
          </cell>
        </row>
        <row r="10570">
          <cell r="G10570" t="str">
            <v>Phường Vĩnh Thông</v>
          </cell>
          <cell r="I10570" t="str">
            <v>81301</v>
          </cell>
        </row>
        <row r="10571">
          <cell r="G10571" t="str">
            <v xml:space="preserve">Xã Bình An     </v>
          </cell>
          <cell r="I10571" t="str">
            <v>81303</v>
          </cell>
        </row>
        <row r="10572">
          <cell r="G10572" t="str">
            <v>Xã Kiên Bình</v>
          </cell>
          <cell r="I10572" t="str">
            <v>81303</v>
          </cell>
        </row>
        <row r="10573">
          <cell r="G10573" t="str">
            <v>Xã Hoà Điền</v>
          </cell>
          <cell r="I10573" t="str">
            <v>81303</v>
          </cell>
        </row>
        <row r="10574">
          <cell r="G10574" t="str">
            <v xml:space="preserve">Xã Sơn Hải    </v>
          </cell>
          <cell r="I10574" t="str">
            <v>81303</v>
          </cell>
        </row>
        <row r="10575">
          <cell r="G10575" t="str">
            <v>Thị trấn Kiên Lương</v>
          </cell>
          <cell r="I10575" t="str">
            <v>81303</v>
          </cell>
        </row>
        <row r="10576">
          <cell r="G10576" t="str">
            <v xml:space="preserve">Xã Vĩnh Phú  </v>
          </cell>
          <cell r="I10576" t="str">
            <v>81303</v>
          </cell>
        </row>
        <row r="10577">
          <cell r="G10577" t="str">
            <v>Xã Vĩnh Điều</v>
          </cell>
          <cell r="I10577" t="str">
            <v>81303</v>
          </cell>
        </row>
        <row r="10578">
          <cell r="G10578" t="str">
            <v>Xã Tân Khánh Hòa</v>
          </cell>
          <cell r="I10578" t="str">
            <v>81303</v>
          </cell>
        </row>
        <row r="10579">
          <cell r="G10579" t="str">
            <v xml:space="preserve">Xã Phú Lợi  </v>
          </cell>
          <cell r="I10579" t="str">
            <v>81303</v>
          </cell>
        </row>
        <row r="10580">
          <cell r="G10580" t="str">
            <v xml:space="preserve">Xã Phú Mỹ     </v>
          </cell>
          <cell r="I10580" t="str">
            <v>81303</v>
          </cell>
        </row>
        <row r="10581">
          <cell r="G10581" t="str">
            <v xml:space="preserve">Xã Dương Hòa </v>
          </cell>
          <cell r="I10581" t="str">
            <v>81303</v>
          </cell>
        </row>
        <row r="10582">
          <cell r="G10582" t="str">
            <v>Xã Hòn Nghệ</v>
          </cell>
          <cell r="I10582" t="str">
            <v>81303</v>
          </cell>
        </row>
        <row r="10583">
          <cell r="G10583" t="str">
            <v xml:space="preserve">Xã Bình Trị  </v>
          </cell>
          <cell r="I10583" t="str">
            <v>81303</v>
          </cell>
        </row>
        <row r="10584">
          <cell r="G10584" t="str">
            <v xml:space="preserve">Xã Phú Lợi   </v>
          </cell>
          <cell r="I10584" t="str">
            <v>81304</v>
          </cell>
        </row>
        <row r="10585">
          <cell r="G10585" t="str">
            <v xml:space="preserve">Xã Phú Mỹ      </v>
          </cell>
          <cell r="I10585" t="str">
            <v>81304</v>
          </cell>
        </row>
        <row r="10586">
          <cell r="G10586" t="str">
            <v>Xã Tân Khánh Hoà</v>
          </cell>
          <cell r="I10586" t="str">
            <v>81304</v>
          </cell>
        </row>
        <row r="10587">
          <cell r="G10587" t="str">
            <v xml:space="preserve">Xã Vĩnh Điều </v>
          </cell>
          <cell r="I10587" t="str">
            <v>81304</v>
          </cell>
        </row>
        <row r="10588">
          <cell r="G10588" t="str">
            <v xml:space="preserve">Xã Vĩnh Phú   </v>
          </cell>
          <cell r="I10588" t="str">
            <v>81304</v>
          </cell>
        </row>
        <row r="10589">
          <cell r="G10589" t="str">
            <v>Xã Lình Huỳnh</v>
          </cell>
          <cell r="I10589" t="str">
            <v>81305</v>
          </cell>
        </row>
        <row r="10590">
          <cell r="G10590" t="str">
            <v xml:space="preserve">Xã Bình Sơn         </v>
          </cell>
          <cell r="I10590" t="str">
            <v>81305</v>
          </cell>
        </row>
        <row r="10591">
          <cell r="G10591" t="str">
            <v xml:space="preserve">Xã Bình Giang </v>
          </cell>
          <cell r="I10591" t="str">
            <v>81305</v>
          </cell>
        </row>
        <row r="10592">
          <cell r="G10592" t="str">
            <v xml:space="preserve">Xã Mỹ Thái </v>
          </cell>
          <cell r="I10592" t="str">
            <v>81305</v>
          </cell>
        </row>
        <row r="10593">
          <cell r="G10593" t="str">
            <v>Xã Nam Thái Sơn</v>
          </cell>
          <cell r="I10593" t="str">
            <v>81305</v>
          </cell>
        </row>
        <row r="10594">
          <cell r="G10594" t="str">
            <v>Xã Mỹ Hiệp Sơn</v>
          </cell>
          <cell r="I10594" t="str">
            <v>81305</v>
          </cell>
        </row>
        <row r="10595">
          <cell r="G10595" t="str">
            <v>Xã Sơn Kiên</v>
          </cell>
          <cell r="I10595" t="str">
            <v>81305</v>
          </cell>
        </row>
        <row r="10596">
          <cell r="G10596" t="str">
            <v xml:space="preserve">Xã Mỹ Thuận   </v>
          </cell>
          <cell r="I10596" t="str">
            <v>81305</v>
          </cell>
        </row>
        <row r="10597">
          <cell r="G10597" t="str">
            <v>Xã Thổ Sơn</v>
          </cell>
          <cell r="I10597" t="str">
            <v>81305</v>
          </cell>
        </row>
        <row r="10598">
          <cell r="G10598" t="str">
            <v xml:space="preserve">Xã Mỹ Lâm </v>
          </cell>
          <cell r="I10598" t="str">
            <v>81305</v>
          </cell>
        </row>
        <row r="10599">
          <cell r="G10599" t="str">
            <v xml:space="preserve">Xã Mỹ Phước  </v>
          </cell>
          <cell r="I10599" t="str">
            <v>81305</v>
          </cell>
        </row>
        <row r="10600">
          <cell r="G10600" t="str">
            <v xml:space="preserve">Thị trấn Sóc Sơn </v>
          </cell>
          <cell r="I10600" t="str">
            <v>81305</v>
          </cell>
        </row>
        <row r="10601">
          <cell r="G10601" t="str">
            <v>Thị trấn Hòn Đất</v>
          </cell>
          <cell r="I10601" t="str">
            <v>81305</v>
          </cell>
        </row>
        <row r="10602">
          <cell r="G10602" t="str">
            <v xml:space="preserve">Xã Sơn Bình    </v>
          </cell>
          <cell r="I10602" t="str">
            <v>81305</v>
          </cell>
        </row>
        <row r="10603">
          <cell r="G10603" t="str">
            <v>Xã Tân Hiệp B</v>
          </cell>
          <cell r="I10603" t="str">
            <v>81307</v>
          </cell>
        </row>
        <row r="10604">
          <cell r="G10604" t="str">
            <v xml:space="preserve">Xã Tân Thành                         </v>
          </cell>
          <cell r="I10604" t="str">
            <v>81307</v>
          </cell>
        </row>
        <row r="10605">
          <cell r="G10605" t="str">
            <v>Xã Tân Hiệp A</v>
          </cell>
          <cell r="I10605" t="str">
            <v>81307</v>
          </cell>
        </row>
        <row r="10606">
          <cell r="G10606" t="str">
            <v xml:space="preserve">Thị trấn Tân Hiệp </v>
          </cell>
          <cell r="I10606" t="str">
            <v>81307</v>
          </cell>
        </row>
        <row r="10607">
          <cell r="G10607" t="str">
            <v xml:space="preserve">Xã Tân Hội       </v>
          </cell>
          <cell r="I10607" t="str">
            <v>81307</v>
          </cell>
        </row>
        <row r="10608">
          <cell r="G10608" t="str">
            <v>Xã Thạnh Đông B</v>
          </cell>
          <cell r="I10608" t="str">
            <v>81307</v>
          </cell>
        </row>
        <row r="10609">
          <cell r="G10609" t="str">
            <v xml:space="preserve">Xã Thạnh Đông </v>
          </cell>
          <cell r="I10609" t="str">
            <v>81307</v>
          </cell>
        </row>
        <row r="10610">
          <cell r="G10610" t="str">
            <v xml:space="preserve">Xã Tân An        </v>
          </cell>
          <cell r="I10610" t="str">
            <v>81307</v>
          </cell>
        </row>
        <row r="10611">
          <cell r="G10611" t="str">
            <v>Xã Thạnh Đông A</v>
          </cell>
          <cell r="I10611" t="str">
            <v>81307</v>
          </cell>
        </row>
        <row r="10612">
          <cell r="G10612" t="str">
            <v xml:space="preserve">Xã Thạnh Trị   </v>
          </cell>
          <cell r="I10612" t="str">
            <v>81307</v>
          </cell>
        </row>
        <row r="10613">
          <cell r="G10613" t="str">
            <v xml:space="preserve">Xã Tân Hoà    </v>
          </cell>
          <cell r="I10613" t="str">
            <v>81307</v>
          </cell>
        </row>
        <row r="10614">
          <cell r="G10614" t="str">
            <v>Xã Giục Tượng</v>
          </cell>
          <cell r="I10614" t="str">
            <v>81309</v>
          </cell>
        </row>
        <row r="10615">
          <cell r="G10615" t="str">
            <v>Thị trấn Minh Lương</v>
          </cell>
          <cell r="I10615" t="str">
            <v>81309</v>
          </cell>
        </row>
        <row r="10616">
          <cell r="G10616" t="str">
            <v xml:space="preserve">Xã Minh Hòa    </v>
          </cell>
          <cell r="I10616" t="str">
            <v>81309</v>
          </cell>
        </row>
        <row r="10617">
          <cell r="G10617" t="str">
            <v>Xã Mong Thọ A</v>
          </cell>
          <cell r="I10617" t="str">
            <v>81309</v>
          </cell>
        </row>
        <row r="10618">
          <cell r="G10618" t="str">
            <v>Xã Mong Thọ B</v>
          </cell>
          <cell r="I10618" t="str">
            <v>81309</v>
          </cell>
        </row>
        <row r="10619">
          <cell r="G10619" t="str">
            <v>Xã Mong Thọ</v>
          </cell>
          <cell r="I10619" t="str">
            <v>81309</v>
          </cell>
        </row>
        <row r="10620">
          <cell r="G10620" t="str">
            <v>Xã Vĩnh Hòa Hiệp</v>
          </cell>
          <cell r="I10620" t="str">
            <v>81309</v>
          </cell>
        </row>
        <row r="10621">
          <cell r="G10621" t="str">
            <v>Xã Vĩnh Hòa Phú</v>
          </cell>
          <cell r="I10621" t="str">
            <v>81309</v>
          </cell>
        </row>
        <row r="10622">
          <cell r="G10622" t="str">
            <v xml:space="preserve">Xã Bình An      </v>
          </cell>
          <cell r="I10622" t="str">
            <v>81309</v>
          </cell>
        </row>
        <row r="10623">
          <cell r="G10623" t="str">
            <v xml:space="preserve">Xã Thạnh Lộc </v>
          </cell>
          <cell r="I10623" t="str">
            <v>81309</v>
          </cell>
        </row>
        <row r="10624">
          <cell r="G10624" t="str">
            <v>Xã Bàn Tân Định</v>
          </cell>
          <cell r="I10624" t="str">
            <v>81311</v>
          </cell>
        </row>
        <row r="10625">
          <cell r="G10625" t="str">
            <v xml:space="preserve">Xã Ngọc Hòa </v>
          </cell>
          <cell r="I10625" t="str">
            <v>81311</v>
          </cell>
        </row>
        <row r="10626">
          <cell r="G10626" t="str">
            <v xml:space="preserve">Xã Long Thạnh </v>
          </cell>
          <cell r="I10626" t="str">
            <v>81311</v>
          </cell>
        </row>
        <row r="10627">
          <cell r="G10627" t="str">
            <v xml:space="preserve">Xã Thạnh Hưng  </v>
          </cell>
          <cell r="I10627" t="str">
            <v>81311</v>
          </cell>
        </row>
        <row r="10628">
          <cell r="G10628" t="str">
            <v>Xã Bàn Thạch</v>
          </cell>
          <cell r="I10628" t="str">
            <v>81311</v>
          </cell>
        </row>
        <row r="10629">
          <cell r="G10629" t="str">
            <v>Xã Ngọc Thuận</v>
          </cell>
          <cell r="I10629" t="str">
            <v>81311</v>
          </cell>
        </row>
        <row r="10630">
          <cell r="G10630" t="str">
            <v>Thị trấn Giồng Riềng</v>
          </cell>
          <cell r="I10630" t="str">
            <v>81311</v>
          </cell>
        </row>
        <row r="10631">
          <cell r="G10631" t="str">
            <v xml:space="preserve">Xã Thạnh Phước  </v>
          </cell>
          <cell r="I10631" t="str">
            <v>81311</v>
          </cell>
        </row>
        <row r="10632">
          <cell r="G10632" t="str">
            <v xml:space="preserve">Xã Thạnh Lộc  </v>
          </cell>
          <cell r="I10632" t="str">
            <v>81311</v>
          </cell>
        </row>
        <row r="10633">
          <cell r="G10633" t="str">
            <v xml:space="preserve">Xã Thạnh Hòa </v>
          </cell>
          <cell r="I10633" t="str">
            <v>81311</v>
          </cell>
        </row>
        <row r="10634">
          <cell r="G10634" t="str">
            <v>Xã Ngọc Thành</v>
          </cell>
          <cell r="I10634" t="str">
            <v>81311</v>
          </cell>
        </row>
        <row r="10635">
          <cell r="G10635" t="str">
            <v>Xã Ngọc Chúc</v>
          </cell>
          <cell r="I10635" t="str">
            <v>81311</v>
          </cell>
        </row>
        <row r="10636">
          <cell r="G10636" t="str">
            <v xml:space="preserve">Xã Hòa Hưng  </v>
          </cell>
          <cell r="I10636" t="str">
            <v>81311</v>
          </cell>
        </row>
        <row r="10637">
          <cell r="G10637" t="str">
            <v>Xã Hoà Lợi</v>
          </cell>
          <cell r="I10637" t="str">
            <v>81311</v>
          </cell>
        </row>
        <row r="10638">
          <cell r="G10638" t="str">
            <v>Xã Hoà An</v>
          </cell>
          <cell r="I10638" t="str">
            <v>81311</v>
          </cell>
        </row>
        <row r="10639">
          <cell r="G10639" t="str">
            <v xml:space="preserve">Xã Vĩnh Thạnh   </v>
          </cell>
          <cell r="I10639" t="str">
            <v>81311</v>
          </cell>
        </row>
        <row r="10640">
          <cell r="G10640" t="str">
            <v xml:space="preserve">Xã Vĩnh Phú    </v>
          </cell>
          <cell r="I10640" t="str">
            <v>81311</v>
          </cell>
        </row>
        <row r="10641">
          <cell r="G10641" t="str">
            <v xml:space="preserve">Xã Hòa Thuận </v>
          </cell>
          <cell r="I10641" t="str">
            <v>81311</v>
          </cell>
        </row>
        <row r="10642">
          <cell r="G10642" t="str">
            <v xml:space="preserve">Xã Thạnh Bình </v>
          </cell>
          <cell r="I10642" t="str">
            <v>81311</v>
          </cell>
        </row>
        <row r="10643">
          <cell r="G10643" t="str">
            <v>Xã Vĩnh Phước A</v>
          </cell>
          <cell r="I10643" t="str">
            <v>81313</v>
          </cell>
        </row>
        <row r="10644">
          <cell r="G10644" t="str">
            <v>Xã Vĩnh Hòa Hưng Bắc</v>
          </cell>
          <cell r="I10644" t="str">
            <v>81313</v>
          </cell>
        </row>
        <row r="10645">
          <cell r="G10645" t="str">
            <v>Xã Vĩnh Hòa Hưng Nam</v>
          </cell>
          <cell r="I10645" t="str">
            <v>81313</v>
          </cell>
        </row>
        <row r="10646">
          <cell r="G10646" t="str">
            <v>Thị trấn Gò Quao</v>
          </cell>
          <cell r="I10646" t="str">
            <v>81313</v>
          </cell>
        </row>
        <row r="10647">
          <cell r="G10647" t="str">
            <v xml:space="preserve">Xã Định Hòa  </v>
          </cell>
          <cell r="I10647" t="str">
            <v>81313</v>
          </cell>
        </row>
        <row r="10648">
          <cell r="G10648" t="str">
            <v>Xã Thới Quản</v>
          </cell>
          <cell r="I10648" t="str">
            <v>81313</v>
          </cell>
        </row>
        <row r="10649">
          <cell r="G10649" t="str">
            <v xml:space="preserve">Xã Định An  </v>
          </cell>
          <cell r="I10649" t="str">
            <v>81313</v>
          </cell>
        </row>
        <row r="10650">
          <cell r="G10650" t="str">
            <v>Xã Thủy Liễu</v>
          </cell>
          <cell r="I10650" t="str">
            <v>81313</v>
          </cell>
        </row>
        <row r="10651">
          <cell r="G10651" t="str">
            <v>Xã Vĩnh Phước B</v>
          </cell>
          <cell r="I10651" t="str">
            <v>81313</v>
          </cell>
        </row>
        <row r="10652">
          <cell r="G10652" t="str">
            <v xml:space="preserve">Xã Vĩnh Tuy </v>
          </cell>
          <cell r="I10652" t="str">
            <v>81313</v>
          </cell>
        </row>
        <row r="10653">
          <cell r="G10653" t="str">
            <v>Xã Vĩnh Thắng</v>
          </cell>
          <cell r="I10653" t="str">
            <v>81313</v>
          </cell>
        </row>
        <row r="10654">
          <cell r="G10654" t="str">
            <v>Xã Đông Thái</v>
          </cell>
          <cell r="I10654" t="str">
            <v>81315</v>
          </cell>
        </row>
        <row r="10655">
          <cell r="G10655" t="str">
            <v>Thị trấn Thứ Ba</v>
          </cell>
          <cell r="I10655" t="str">
            <v>81315</v>
          </cell>
        </row>
        <row r="10656">
          <cell r="G10656" t="str">
            <v>Xã Hưng Yên</v>
          </cell>
          <cell r="I10656" t="str">
            <v>81315</v>
          </cell>
        </row>
        <row r="10657">
          <cell r="G10657" t="str">
            <v xml:space="preserve">Xã Đông Yên  </v>
          </cell>
          <cell r="I10657" t="str">
            <v>81315</v>
          </cell>
        </row>
        <row r="10658">
          <cell r="G10658" t="str">
            <v>Xã Tây Yên</v>
          </cell>
          <cell r="I10658" t="str">
            <v>81315</v>
          </cell>
        </row>
        <row r="10659">
          <cell r="G10659" t="str">
            <v>Xã Tây Yên A</v>
          </cell>
          <cell r="I10659" t="str">
            <v>81315</v>
          </cell>
        </row>
        <row r="10660">
          <cell r="G10660" t="str">
            <v>Xã Nam Yên</v>
          </cell>
          <cell r="I10660" t="str">
            <v>81315</v>
          </cell>
        </row>
        <row r="10661">
          <cell r="G10661" t="str">
            <v xml:space="preserve">Xã Nam Thái  </v>
          </cell>
          <cell r="I10661" t="str">
            <v>81315</v>
          </cell>
        </row>
        <row r="10662">
          <cell r="G10662" t="str">
            <v>Xã Nam Thái A</v>
          </cell>
          <cell r="I10662" t="str">
            <v>81315</v>
          </cell>
        </row>
        <row r="10663">
          <cell r="G10663" t="str">
            <v>Xã Đông Hưng B</v>
          </cell>
          <cell r="I10663" t="str">
            <v>81317</v>
          </cell>
        </row>
        <row r="10664">
          <cell r="G10664" t="str">
            <v xml:space="preserve">Xã Thuận Hoà </v>
          </cell>
          <cell r="I10664" t="str">
            <v>81317</v>
          </cell>
        </row>
        <row r="10665">
          <cell r="G10665" t="str">
            <v xml:space="preserve">Xã Đông Hưng   </v>
          </cell>
          <cell r="I10665" t="str">
            <v>81317</v>
          </cell>
        </row>
        <row r="10666">
          <cell r="G10666" t="str">
            <v>Xã Vân Khánh Đông</v>
          </cell>
          <cell r="I10666" t="str">
            <v>81317</v>
          </cell>
        </row>
        <row r="10667">
          <cell r="G10667" t="str">
            <v>Thị trấn Thứ Mười Một</v>
          </cell>
          <cell r="I10667" t="str">
            <v>81317</v>
          </cell>
        </row>
        <row r="10668">
          <cell r="G10668" t="str">
            <v xml:space="preserve">Xã Đông Hòa   </v>
          </cell>
          <cell r="I10668" t="str">
            <v>81317</v>
          </cell>
        </row>
        <row r="10669">
          <cell r="G10669" t="str">
            <v xml:space="preserve">Xã Đông Thạnh   </v>
          </cell>
          <cell r="I10669" t="str">
            <v>81317</v>
          </cell>
        </row>
        <row r="10670">
          <cell r="G10670" t="str">
            <v xml:space="preserve">Xã Tân Thạnh   </v>
          </cell>
          <cell r="I10670" t="str">
            <v>81317</v>
          </cell>
        </row>
        <row r="10671">
          <cell r="G10671" t="str">
            <v>Xã Đông Hưng A</v>
          </cell>
          <cell r="I10671" t="str">
            <v>81317</v>
          </cell>
        </row>
        <row r="10672">
          <cell r="G10672" t="str">
            <v>Xã Vân Khánh</v>
          </cell>
          <cell r="I10672" t="str">
            <v>81317</v>
          </cell>
        </row>
        <row r="10673">
          <cell r="G10673" t="str">
            <v>Xã Vân Khánh Tây</v>
          </cell>
          <cell r="I10673" t="str">
            <v>81317</v>
          </cell>
        </row>
        <row r="10674">
          <cell r="G10674" t="str">
            <v>Xã Vĩnh Bình Bắc</v>
          </cell>
          <cell r="I10674" t="str">
            <v>81319</v>
          </cell>
        </row>
        <row r="10675">
          <cell r="G10675" t="str">
            <v xml:space="preserve">Xã Tân Thuận </v>
          </cell>
          <cell r="I10675" t="str">
            <v>81319</v>
          </cell>
        </row>
        <row r="10676">
          <cell r="G10676" t="str">
            <v>Thị trấn Vĩnh Thuận</v>
          </cell>
          <cell r="I10676" t="str">
            <v>81319</v>
          </cell>
        </row>
        <row r="10677">
          <cell r="G10677" t="str">
            <v>Xã Vĩnh Bình Nam</v>
          </cell>
          <cell r="I10677" t="str">
            <v>81319</v>
          </cell>
        </row>
        <row r="10678">
          <cell r="G10678" t="str">
            <v xml:space="preserve">Xã Vĩnh Thuận  </v>
          </cell>
          <cell r="I10678" t="str">
            <v>81319</v>
          </cell>
        </row>
        <row r="10679">
          <cell r="G10679" t="str">
            <v xml:space="preserve">Xã Vĩnh Phong  </v>
          </cell>
          <cell r="I10679" t="str">
            <v>81319</v>
          </cell>
        </row>
        <row r="10680">
          <cell r="G10680" t="str">
            <v xml:space="preserve">Xã Bình Minh           </v>
          </cell>
          <cell r="I10680" t="str">
            <v>81319</v>
          </cell>
        </row>
        <row r="10681">
          <cell r="G10681" t="str">
            <v>Xã Phong Đông</v>
          </cell>
          <cell r="I10681" t="str">
            <v>81319</v>
          </cell>
        </row>
        <row r="10682">
          <cell r="G10682" t="str">
            <v>Thị trấn Dương Đông</v>
          </cell>
          <cell r="I10682" t="str">
            <v>81321</v>
          </cell>
        </row>
        <row r="10683">
          <cell r="G10683" t="str">
            <v>Xã Cửa Cạn</v>
          </cell>
          <cell r="I10683" t="str">
            <v>81321</v>
          </cell>
        </row>
        <row r="10684">
          <cell r="G10684" t="str">
            <v>Xã Dương Tơ</v>
          </cell>
          <cell r="I10684" t="str">
            <v>81321</v>
          </cell>
        </row>
        <row r="10685">
          <cell r="G10685" t="str">
            <v>Thị trấn An Thới</v>
          </cell>
          <cell r="I10685" t="str">
            <v>81321</v>
          </cell>
        </row>
        <row r="10686">
          <cell r="G10686" t="str">
            <v>Xã Gành Dầu</v>
          </cell>
          <cell r="I10686" t="str">
            <v>81321</v>
          </cell>
        </row>
        <row r="10687">
          <cell r="G10687" t="str">
            <v>Xã Cửa Dương</v>
          </cell>
          <cell r="I10687" t="str">
            <v>81321</v>
          </cell>
        </row>
        <row r="10688">
          <cell r="G10688" t="str">
            <v xml:space="preserve">Xã Hàm Ninh </v>
          </cell>
          <cell r="I10688" t="str">
            <v>81321</v>
          </cell>
        </row>
        <row r="10689">
          <cell r="G10689" t="str">
            <v>Xã Hòn Thơm</v>
          </cell>
          <cell r="I10689" t="str">
            <v>81321</v>
          </cell>
        </row>
        <row r="10690">
          <cell r="G10690" t="str">
            <v>Xã Bãi Thơm</v>
          </cell>
          <cell r="I10690" t="str">
            <v>81321</v>
          </cell>
        </row>
        <row r="10691">
          <cell r="G10691" t="str">
            <v>Xã Thổ Châu</v>
          </cell>
          <cell r="I10691" t="str">
            <v>81321</v>
          </cell>
        </row>
        <row r="10692">
          <cell r="G10692" t="str">
            <v>Xã Nam Du</v>
          </cell>
          <cell r="I10692" t="str">
            <v>81323</v>
          </cell>
        </row>
        <row r="10693">
          <cell r="G10693" t="str">
            <v>Xã Hòn Tre</v>
          </cell>
          <cell r="I10693" t="str">
            <v>81323</v>
          </cell>
        </row>
        <row r="10694">
          <cell r="G10694" t="str">
            <v>Xã Lại Sơn</v>
          </cell>
          <cell r="I10694" t="str">
            <v>81323</v>
          </cell>
        </row>
        <row r="10695">
          <cell r="G10695" t="str">
            <v xml:space="preserve">Xã An Sơn   </v>
          </cell>
          <cell r="I10695" t="str">
            <v>81323</v>
          </cell>
        </row>
        <row r="10696">
          <cell r="G10696" t="str">
            <v xml:space="preserve">Xã Tiên Hải </v>
          </cell>
          <cell r="I10696" t="str">
            <v>81325</v>
          </cell>
        </row>
        <row r="10697">
          <cell r="G10697" t="str">
            <v>Phường Pháo Đài</v>
          </cell>
          <cell r="I10697" t="str">
            <v>81325</v>
          </cell>
        </row>
        <row r="10698">
          <cell r="G10698" t="str">
            <v>Phường Tô Châu</v>
          </cell>
          <cell r="I10698" t="str">
            <v>81325</v>
          </cell>
        </row>
        <row r="10699">
          <cell r="G10699" t="str">
            <v>Phường Đông Hồ</v>
          </cell>
          <cell r="I10699" t="str">
            <v>81325</v>
          </cell>
        </row>
        <row r="10700">
          <cell r="G10700" t="str">
            <v>Phường Bình San</v>
          </cell>
          <cell r="I10700" t="str">
            <v>81325</v>
          </cell>
        </row>
        <row r="10701">
          <cell r="G10701" t="str">
            <v xml:space="preserve">Xã Mỹ Đức    </v>
          </cell>
          <cell r="I10701" t="str">
            <v>81325</v>
          </cell>
        </row>
        <row r="10702">
          <cell r="G10702" t="str">
            <v>Xã Thuận Yên</v>
          </cell>
          <cell r="I10702" t="str">
            <v>81325</v>
          </cell>
        </row>
        <row r="10703">
          <cell r="G10703" t="str">
            <v>Xã Thạnh Yên</v>
          </cell>
          <cell r="I10703" t="str">
            <v>81327</v>
          </cell>
        </row>
        <row r="10704">
          <cell r="G10704" t="str">
            <v>Xã Thạnh Yên A</v>
          </cell>
          <cell r="I10704" t="str">
            <v>81327</v>
          </cell>
        </row>
        <row r="10705">
          <cell r="G10705" t="str">
            <v>Xã An Minh Bắc</v>
          </cell>
          <cell r="I10705" t="str">
            <v>81327</v>
          </cell>
        </row>
        <row r="10706">
          <cell r="G10706" t="str">
            <v xml:space="preserve">Xã Vĩnh Hòa       </v>
          </cell>
          <cell r="I10706" t="str">
            <v>81327</v>
          </cell>
        </row>
        <row r="10707">
          <cell r="G10707" t="str">
            <v>Xã Hoà Chánh</v>
          </cell>
          <cell r="I10707" t="str">
            <v>81327</v>
          </cell>
        </row>
        <row r="10708">
          <cell r="G10708" t="str">
            <v xml:space="preserve">Xã Minh Thuận </v>
          </cell>
          <cell r="I10708" t="str">
            <v>81327</v>
          </cell>
        </row>
        <row r="10709">
          <cell r="G10709" t="str">
            <v>Phường Tân Lộc</v>
          </cell>
          <cell r="I10709" t="str">
            <v>81503</v>
          </cell>
        </row>
        <row r="10710">
          <cell r="G10710" t="str">
            <v>Phường Thốt Nốt</v>
          </cell>
          <cell r="I10710" t="str">
            <v>81503</v>
          </cell>
        </row>
        <row r="10711">
          <cell r="G10711" t="str">
            <v>Phường Thuận An</v>
          </cell>
          <cell r="I10711" t="str">
            <v>81503</v>
          </cell>
        </row>
        <row r="10712">
          <cell r="G10712" t="str">
            <v>Phường Trung Nhứt</v>
          </cell>
          <cell r="I10712" t="str">
            <v>81503</v>
          </cell>
        </row>
        <row r="10713">
          <cell r="G10713" t="str">
            <v>Phường Trung Kiên</v>
          </cell>
          <cell r="I10713" t="str">
            <v>81503</v>
          </cell>
        </row>
        <row r="10714">
          <cell r="G10714" t="str">
            <v>Phường Thuận Hưng</v>
          </cell>
          <cell r="I10714" t="str">
            <v>81503</v>
          </cell>
        </row>
        <row r="10715">
          <cell r="G10715" t="str">
            <v xml:space="preserve">Phường Tân Hưng </v>
          </cell>
          <cell r="I10715" t="str">
            <v>81503</v>
          </cell>
        </row>
        <row r="10716">
          <cell r="G10716" t="str">
            <v>Phường Thạnh Hòa</v>
          </cell>
          <cell r="I10716" t="str">
            <v>81503</v>
          </cell>
        </row>
        <row r="10717">
          <cell r="G10717" t="str">
            <v>Phường Thới Thuận</v>
          </cell>
          <cell r="I10717" t="str">
            <v>81503</v>
          </cell>
        </row>
        <row r="10718">
          <cell r="G10718" t="str">
            <v>Phường Phước Thới</v>
          </cell>
          <cell r="I10718" t="str">
            <v>81505</v>
          </cell>
        </row>
        <row r="10719">
          <cell r="G10719" t="str">
            <v xml:space="preserve">Phường Thới An </v>
          </cell>
          <cell r="I10719" t="str">
            <v>81505</v>
          </cell>
        </row>
        <row r="10720">
          <cell r="G10720" t="str">
            <v>Phường Châu Văn Liêm</v>
          </cell>
          <cell r="I10720" t="str">
            <v>81505</v>
          </cell>
        </row>
        <row r="10721">
          <cell r="G10721" t="str">
            <v>Phường Thới Long</v>
          </cell>
          <cell r="I10721" t="str">
            <v>81505</v>
          </cell>
        </row>
        <row r="10722">
          <cell r="G10722" t="str">
            <v>Phường Trường Lạc</v>
          </cell>
          <cell r="I10722" t="str">
            <v>81505</v>
          </cell>
        </row>
        <row r="10723">
          <cell r="G10723" t="str">
            <v>Phường Thới  Hoà</v>
          </cell>
          <cell r="I10723" t="str">
            <v>81505</v>
          </cell>
        </row>
        <row r="10724">
          <cell r="G10724" t="str">
            <v xml:space="preserve">Phường Long Hưng </v>
          </cell>
          <cell r="I10724" t="str">
            <v>81505</v>
          </cell>
        </row>
        <row r="10725">
          <cell r="G10725" t="str">
            <v>Phường An Cư</v>
          </cell>
          <cell r="I10725" t="str">
            <v>81519</v>
          </cell>
        </row>
        <row r="10726">
          <cell r="G10726" t="str">
            <v>Phường Hưng Lợi</v>
          </cell>
          <cell r="I10726" t="str">
            <v>81519</v>
          </cell>
        </row>
        <row r="10727">
          <cell r="G10727" t="str">
            <v>Phường Cái Khế</v>
          </cell>
          <cell r="I10727" t="str">
            <v>81519</v>
          </cell>
        </row>
        <row r="10728">
          <cell r="G10728" t="str">
            <v xml:space="preserve">Phường An Hòa   </v>
          </cell>
          <cell r="I10728" t="str">
            <v>81519</v>
          </cell>
        </row>
        <row r="10729">
          <cell r="G10729" t="str">
            <v>Phường Thới Bình</v>
          </cell>
          <cell r="I10729" t="str">
            <v>81519</v>
          </cell>
        </row>
        <row r="10730">
          <cell r="G10730" t="str">
            <v>Phường An Nghiệp</v>
          </cell>
          <cell r="I10730" t="str">
            <v>81519</v>
          </cell>
        </row>
        <row r="10731">
          <cell r="G10731" t="str">
            <v>Phường An Hội</v>
          </cell>
          <cell r="I10731" t="str">
            <v>81519</v>
          </cell>
        </row>
        <row r="10732">
          <cell r="G10732" t="str">
            <v xml:space="preserve">Phường Tân An      </v>
          </cell>
          <cell r="I10732" t="str">
            <v>81519</v>
          </cell>
        </row>
        <row r="10733">
          <cell r="G10733" t="str">
            <v xml:space="preserve">Phường An Lạc   </v>
          </cell>
          <cell r="I10733" t="str">
            <v>81519</v>
          </cell>
        </row>
        <row r="10734">
          <cell r="G10734" t="str">
            <v xml:space="preserve">Phường An Phú    </v>
          </cell>
          <cell r="I10734" t="str">
            <v>81519</v>
          </cell>
        </row>
        <row r="10735">
          <cell r="G10735" t="str">
            <v>Phường Xuân Khánh</v>
          </cell>
          <cell r="I10735" t="str">
            <v>81519</v>
          </cell>
        </row>
        <row r="10736">
          <cell r="G10736" t="str">
            <v xml:space="preserve">Phường An Bình     </v>
          </cell>
          <cell r="I10736" t="str">
            <v>81519</v>
          </cell>
        </row>
        <row r="10737">
          <cell r="G10737" t="str">
            <v xml:space="preserve">Phường An Khánh </v>
          </cell>
          <cell r="I10737" t="str">
            <v>81519</v>
          </cell>
        </row>
        <row r="10738">
          <cell r="G10738" t="str">
            <v>Phường Trà Nóc</v>
          </cell>
          <cell r="I10738" t="str">
            <v>81521</v>
          </cell>
        </row>
        <row r="10739">
          <cell r="G10739" t="str">
            <v>Phường Bình Thủy</v>
          </cell>
          <cell r="I10739" t="str">
            <v>81521</v>
          </cell>
        </row>
        <row r="10740">
          <cell r="G10740" t="str">
            <v>Phường Thới An Đông</v>
          </cell>
          <cell r="I10740" t="str">
            <v>81521</v>
          </cell>
        </row>
        <row r="10741">
          <cell r="G10741" t="str">
            <v>Phường An Thới</v>
          </cell>
          <cell r="I10741" t="str">
            <v>81521</v>
          </cell>
        </row>
        <row r="10742">
          <cell r="G10742" t="str">
            <v>Phường Long Hòa</v>
          </cell>
          <cell r="I10742" t="str">
            <v>81521</v>
          </cell>
        </row>
        <row r="10743">
          <cell r="G10743" t="str">
            <v>Phường Long Tuyền</v>
          </cell>
          <cell r="I10743" t="str">
            <v>81521</v>
          </cell>
        </row>
        <row r="10744">
          <cell r="G10744" t="str">
            <v>Phường Bùi Hữu Nghĩa</v>
          </cell>
          <cell r="I10744" t="str">
            <v>81521</v>
          </cell>
        </row>
        <row r="10745">
          <cell r="G10745" t="str">
            <v>Phường Trà An</v>
          </cell>
          <cell r="I10745" t="str">
            <v>81521</v>
          </cell>
        </row>
        <row r="10746">
          <cell r="G10746" t="str">
            <v xml:space="preserve">Phường Tân Phú   </v>
          </cell>
          <cell r="I10746" t="str">
            <v>81523</v>
          </cell>
        </row>
        <row r="10747">
          <cell r="G10747" t="str">
            <v>Phường Lê Bình</v>
          </cell>
          <cell r="I10747" t="str">
            <v>81523</v>
          </cell>
        </row>
        <row r="10748">
          <cell r="G10748" t="str">
            <v>Phường Thường Thạnh</v>
          </cell>
          <cell r="I10748" t="str">
            <v>81523</v>
          </cell>
        </row>
        <row r="10749">
          <cell r="G10749" t="str">
            <v>Phường Hưng Phú</v>
          </cell>
          <cell r="I10749" t="str">
            <v>81523</v>
          </cell>
        </row>
        <row r="10750">
          <cell r="G10750" t="str">
            <v>Phường Hưng Thạnh</v>
          </cell>
          <cell r="I10750" t="str">
            <v>81523</v>
          </cell>
        </row>
        <row r="10751">
          <cell r="G10751" t="str">
            <v>Phường Ba Láng</v>
          </cell>
          <cell r="I10751" t="str">
            <v>81523</v>
          </cell>
        </row>
        <row r="10752">
          <cell r="G10752" t="str">
            <v>Phường Phú Thứ</v>
          </cell>
          <cell r="I10752" t="str">
            <v>81523</v>
          </cell>
        </row>
        <row r="10753">
          <cell r="G10753" t="str">
            <v xml:space="preserve">Xã Thạnh An  </v>
          </cell>
          <cell r="I10753" t="str">
            <v>81525</v>
          </cell>
        </row>
        <row r="10754">
          <cell r="G10754" t="str">
            <v xml:space="preserve">Xã Thạnh Mỹ </v>
          </cell>
          <cell r="I10754" t="str">
            <v>81525</v>
          </cell>
        </row>
        <row r="10755">
          <cell r="G10755" t="str">
            <v>Xã Thạnh Qưới</v>
          </cell>
          <cell r="I10755" t="str">
            <v>81525</v>
          </cell>
        </row>
        <row r="10756">
          <cell r="G10756" t="str">
            <v>Thị trấn Thạnh An</v>
          </cell>
          <cell r="I10756" t="str">
            <v>81525</v>
          </cell>
        </row>
        <row r="10757">
          <cell r="G10757" t="str">
            <v>Xã Vĩnh Trinh</v>
          </cell>
          <cell r="I10757" t="str">
            <v>81525</v>
          </cell>
        </row>
        <row r="10758">
          <cell r="G10758" t="str">
            <v>Xã Thạnh Thắng</v>
          </cell>
          <cell r="I10758" t="str">
            <v>81525</v>
          </cell>
        </row>
        <row r="10759">
          <cell r="G10759" t="str">
            <v xml:space="preserve">Xã Thạnh Lộc   </v>
          </cell>
          <cell r="I10759" t="str">
            <v>81525</v>
          </cell>
        </row>
        <row r="10760">
          <cell r="G10760" t="str">
            <v xml:space="preserve">Thị Trấn Vĩnh Thạnh </v>
          </cell>
          <cell r="I10760" t="str">
            <v>81525</v>
          </cell>
        </row>
        <row r="10761">
          <cell r="G10761" t="str">
            <v>Xã Thạnh Tiến</v>
          </cell>
          <cell r="I10761" t="str">
            <v>81525</v>
          </cell>
        </row>
        <row r="10762">
          <cell r="G10762" t="str">
            <v xml:space="preserve">Xã Thạnh Lợi  </v>
          </cell>
          <cell r="I10762" t="str">
            <v>81525</v>
          </cell>
        </row>
        <row r="10763">
          <cell r="G10763" t="str">
            <v xml:space="preserve">Xã Vĩnh Bình   </v>
          </cell>
          <cell r="I10763" t="str">
            <v>81525</v>
          </cell>
        </row>
        <row r="10764">
          <cell r="G10764" t="str">
            <v>Xã Thới Đông</v>
          </cell>
          <cell r="I10764" t="str">
            <v>81527</v>
          </cell>
        </row>
        <row r="10765">
          <cell r="G10765" t="str">
            <v>Xã Đông Hiệp</v>
          </cell>
          <cell r="I10765" t="str">
            <v>81527</v>
          </cell>
        </row>
        <row r="10766">
          <cell r="G10766" t="str">
            <v>Thị trấn Cờ Đỏ</v>
          </cell>
          <cell r="I10766" t="str">
            <v>81527</v>
          </cell>
        </row>
        <row r="10767">
          <cell r="G10767" t="str">
            <v>Xã Thới Hưng</v>
          </cell>
          <cell r="I10767" t="str">
            <v>81527</v>
          </cell>
        </row>
        <row r="10768">
          <cell r="G10768" t="str">
            <v>Xã Đông Thắng</v>
          </cell>
          <cell r="I10768" t="str">
            <v>81527</v>
          </cell>
        </row>
        <row r="10769">
          <cell r="G10769" t="str">
            <v>Xã Thới Xuân</v>
          </cell>
          <cell r="I10769" t="str">
            <v>81527</v>
          </cell>
        </row>
        <row r="10770">
          <cell r="G10770" t="str">
            <v>Xã Trung Thạnh</v>
          </cell>
          <cell r="I10770" t="str">
            <v>81527</v>
          </cell>
        </row>
        <row r="10771">
          <cell r="G10771" t="str">
            <v xml:space="preserve">Xã Trung An    </v>
          </cell>
          <cell r="I10771" t="str">
            <v>81527</v>
          </cell>
        </row>
        <row r="10772">
          <cell r="G10772" t="str">
            <v xml:space="preserve">Xã Trung Hưng </v>
          </cell>
          <cell r="I10772" t="str">
            <v>81527</v>
          </cell>
        </row>
        <row r="10773">
          <cell r="G10773" t="str">
            <v xml:space="preserve">Xã Thạnh Phú   </v>
          </cell>
          <cell r="I10773" t="str">
            <v>81527</v>
          </cell>
        </row>
        <row r="10774">
          <cell r="G10774" t="str">
            <v xml:space="preserve">Xã Mỹ Khánh </v>
          </cell>
          <cell r="I10774" t="str">
            <v>81529</v>
          </cell>
        </row>
        <row r="10775">
          <cell r="G10775" t="str">
            <v>Xã Trường Long</v>
          </cell>
          <cell r="I10775" t="str">
            <v>81529</v>
          </cell>
        </row>
        <row r="10776">
          <cell r="G10776" t="str">
            <v>Xã Nhơn ái</v>
          </cell>
          <cell r="I10776" t="str">
            <v>81529</v>
          </cell>
        </row>
        <row r="10777">
          <cell r="G10777" t="str">
            <v xml:space="preserve">Xã Giai Xuân </v>
          </cell>
          <cell r="I10777" t="str">
            <v>81529</v>
          </cell>
        </row>
        <row r="10778">
          <cell r="G10778" t="str">
            <v xml:space="preserve">Xã Tân Thới </v>
          </cell>
          <cell r="I10778" t="str">
            <v>81529</v>
          </cell>
        </row>
        <row r="10779">
          <cell r="G10779" t="str">
            <v>Xã Nhơn Nghĩa</v>
          </cell>
          <cell r="I10779" t="str">
            <v>81529</v>
          </cell>
        </row>
        <row r="10780">
          <cell r="G10780" t="str">
            <v xml:space="preserve">Thị Trấn Phong Điền </v>
          </cell>
          <cell r="I10780" t="str">
            <v>81529</v>
          </cell>
        </row>
        <row r="10781">
          <cell r="G10781" t="str">
            <v>Thị Trấn Thới Lai</v>
          </cell>
          <cell r="I10781" t="str">
            <v>81531</v>
          </cell>
        </row>
        <row r="10782">
          <cell r="G10782" t="str">
            <v xml:space="preserve">Xã Trường Xuân   </v>
          </cell>
          <cell r="I10782" t="str">
            <v>81531</v>
          </cell>
        </row>
        <row r="10783">
          <cell r="G10783" t="str">
            <v>Xã Trường Xuân A</v>
          </cell>
          <cell r="I10783" t="str">
            <v>81531</v>
          </cell>
        </row>
        <row r="10784">
          <cell r="G10784" t="str">
            <v>Xã Trường Xuân B</v>
          </cell>
          <cell r="I10784" t="str">
            <v>81531</v>
          </cell>
        </row>
        <row r="10785">
          <cell r="G10785" t="str">
            <v xml:space="preserve">Xã Thới Thạnh </v>
          </cell>
          <cell r="I10785" t="str">
            <v>81531</v>
          </cell>
        </row>
        <row r="10786">
          <cell r="G10786" t="str">
            <v xml:space="preserve">Xã Tân Thạnh    </v>
          </cell>
          <cell r="I10786" t="str">
            <v>81531</v>
          </cell>
        </row>
        <row r="10787">
          <cell r="G10787" t="str">
            <v>Xã Định Môn</v>
          </cell>
          <cell r="I10787" t="str">
            <v>81531</v>
          </cell>
        </row>
        <row r="10788">
          <cell r="G10788" t="str">
            <v xml:space="preserve">Xã Trường Thành  </v>
          </cell>
          <cell r="I10788" t="str">
            <v>81531</v>
          </cell>
        </row>
        <row r="10789">
          <cell r="G10789" t="str">
            <v>Xã Trường Thắng</v>
          </cell>
          <cell r="I10789" t="str">
            <v>81531</v>
          </cell>
        </row>
        <row r="10790">
          <cell r="G10790" t="str">
            <v>Xã Thới Tân</v>
          </cell>
          <cell r="I10790" t="str">
            <v>81531</v>
          </cell>
        </row>
        <row r="10791">
          <cell r="G10791" t="str">
            <v xml:space="preserve">Xã Đông Bình </v>
          </cell>
          <cell r="I10791" t="str">
            <v>81531</v>
          </cell>
        </row>
        <row r="10792">
          <cell r="G10792" t="str">
            <v>Xã Đông Thuận</v>
          </cell>
          <cell r="I10792" t="str">
            <v>81531</v>
          </cell>
        </row>
        <row r="10793">
          <cell r="G10793" t="str">
            <v xml:space="preserve">Xã Xuân Thắng  </v>
          </cell>
          <cell r="I10793" t="str">
            <v>81531</v>
          </cell>
        </row>
        <row r="10794">
          <cell r="G10794" t="str">
            <v>Phường I</v>
          </cell>
          <cell r="I10794" t="str">
            <v>81601</v>
          </cell>
        </row>
        <row r="10795">
          <cell r="G10795" t="str">
            <v>Phường VII</v>
          </cell>
          <cell r="I10795" t="str">
            <v>81601</v>
          </cell>
        </row>
        <row r="10796">
          <cell r="G10796" t="str">
            <v>Xã Hoả Tiến</v>
          </cell>
          <cell r="I10796" t="str">
            <v>81601</v>
          </cell>
        </row>
        <row r="10797">
          <cell r="G10797" t="str">
            <v>Phường III</v>
          </cell>
          <cell r="I10797" t="str">
            <v>81601</v>
          </cell>
        </row>
        <row r="10798">
          <cell r="G10798" t="str">
            <v>Phường IV</v>
          </cell>
          <cell r="I10798" t="str">
            <v>81601</v>
          </cell>
        </row>
        <row r="10799">
          <cell r="G10799" t="str">
            <v>Phường V</v>
          </cell>
          <cell r="I10799" t="str">
            <v>81601</v>
          </cell>
        </row>
        <row r="10800">
          <cell r="G10800" t="str">
            <v>Xã Vị Tân</v>
          </cell>
          <cell r="I10800" t="str">
            <v>81601</v>
          </cell>
        </row>
        <row r="10801">
          <cell r="G10801" t="str">
            <v>Xã Hoả Lựu</v>
          </cell>
          <cell r="I10801" t="str">
            <v>81601</v>
          </cell>
        </row>
        <row r="10802">
          <cell r="G10802" t="str">
            <v xml:space="preserve">Xã Tân Tiến                </v>
          </cell>
          <cell r="I10802" t="str">
            <v>81601</v>
          </cell>
        </row>
        <row r="10803">
          <cell r="G10803" t="str">
            <v>Xã Trường Long Tây</v>
          </cell>
          <cell r="I10803" t="str">
            <v>81603</v>
          </cell>
        </row>
        <row r="10804">
          <cell r="G10804" t="str">
            <v>Xã Trường Long A</v>
          </cell>
          <cell r="I10804" t="str">
            <v>81603</v>
          </cell>
        </row>
        <row r="10805">
          <cell r="G10805" t="str">
            <v>Thị trấn Một Ngàn</v>
          </cell>
          <cell r="I10805" t="str">
            <v>81603</v>
          </cell>
        </row>
        <row r="10806">
          <cell r="G10806" t="str">
            <v xml:space="preserve">Xã Tân Hòa           </v>
          </cell>
          <cell r="I10806" t="str">
            <v>81603</v>
          </cell>
        </row>
        <row r="10807">
          <cell r="G10807" t="str">
            <v>Xã Nhơn nghĩa A</v>
          </cell>
          <cell r="I10807" t="str">
            <v>81603</v>
          </cell>
        </row>
        <row r="10808">
          <cell r="G10808" t="str">
            <v>Xã Thạnh Xuân</v>
          </cell>
          <cell r="I10808" t="str">
            <v>81603</v>
          </cell>
        </row>
        <row r="10809">
          <cell r="G10809" t="str">
            <v>Xã Tân Phú Thạnh</v>
          </cell>
          <cell r="I10809" t="str">
            <v>81603</v>
          </cell>
        </row>
        <row r="10810">
          <cell r="G10810" t="str">
            <v>Thị Trấn Rạch Gòi</v>
          </cell>
          <cell r="I10810" t="str">
            <v>81603</v>
          </cell>
        </row>
        <row r="10811">
          <cell r="G10811" t="str">
            <v>Thị Trấn Cái Tắc</v>
          </cell>
          <cell r="I10811" t="str">
            <v>81603</v>
          </cell>
        </row>
        <row r="10812">
          <cell r="G10812" t="str">
            <v>Thị trấn Bảy Ngàn</v>
          </cell>
          <cell r="I10812" t="str">
            <v>81603</v>
          </cell>
        </row>
        <row r="10813">
          <cell r="G10813" t="str">
            <v>Xã Đông Phước A</v>
          </cell>
          <cell r="I10813" t="str">
            <v>81605</v>
          </cell>
        </row>
        <row r="10814">
          <cell r="G10814" t="str">
            <v>Thị trấn Ngã sáu</v>
          </cell>
          <cell r="I10814" t="str">
            <v>81605</v>
          </cell>
        </row>
        <row r="10815">
          <cell r="G10815" t="str">
            <v xml:space="preserve">Xã Phú Hữu  </v>
          </cell>
          <cell r="I10815" t="str">
            <v>81605</v>
          </cell>
        </row>
        <row r="10816">
          <cell r="G10816" t="str">
            <v>Xã Đông Phước</v>
          </cell>
          <cell r="I10816" t="str">
            <v>81605</v>
          </cell>
        </row>
        <row r="10817">
          <cell r="G10817" t="str">
            <v xml:space="preserve">Xã Đông Thạnh    </v>
          </cell>
          <cell r="I10817" t="str">
            <v>81605</v>
          </cell>
        </row>
        <row r="10818">
          <cell r="G10818" t="str">
            <v xml:space="preserve">Xã Phú An      </v>
          </cell>
          <cell r="I10818" t="str">
            <v>81605</v>
          </cell>
        </row>
        <row r="10819">
          <cell r="G10819" t="str">
            <v xml:space="preserve">Xã Đông Phú  </v>
          </cell>
          <cell r="I10819" t="str">
            <v>81605</v>
          </cell>
        </row>
        <row r="10820">
          <cell r="G10820" t="str">
            <v>Thị trấn Mái Dầm</v>
          </cell>
          <cell r="I10820" t="str">
            <v>81605</v>
          </cell>
        </row>
        <row r="10821">
          <cell r="G10821" t="str">
            <v xml:space="preserve">Xã Phú Tân  </v>
          </cell>
          <cell r="I10821" t="str">
            <v>81605</v>
          </cell>
        </row>
        <row r="10822">
          <cell r="G10822" t="str">
            <v xml:space="preserve">Phường Hiệp Thành  </v>
          </cell>
          <cell r="I10822" t="str">
            <v>81607</v>
          </cell>
        </row>
        <row r="10823">
          <cell r="G10823" t="str">
            <v>Phường Ngã Bảy</v>
          </cell>
          <cell r="I10823" t="str">
            <v>81607</v>
          </cell>
        </row>
        <row r="10824">
          <cell r="G10824" t="str">
            <v>Phường Lái Hiếu</v>
          </cell>
          <cell r="I10824" t="str">
            <v>81607</v>
          </cell>
        </row>
        <row r="10825">
          <cell r="G10825" t="str">
            <v>Xã Hiệp Lợi</v>
          </cell>
          <cell r="I10825" t="str">
            <v>81607</v>
          </cell>
        </row>
        <row r="10826">
          <cell r="G10826" t="str">
            <v xml:space="preserve">Xã Đại Thành    </v>
          </cell>
          <cell r="I10826" t="str">
            <v>81607</v>
          </cell>
        </row>
        <row r="10827">
          <cell r="G10827" t="str">
            <v xml:space="preserve">Xã Tân Thành                          </v>
          </cell>
          <cell r="I10827" t="str">
            <v>81607</v>
          </cell>
        </row>
        <row r="10828">
          <cell r="G10828" t="str">
            <v>Thị trấn Cây Dương</v>
          </cell>
          <cell r="I10828" t="str">
            <v>81608</v>
          </cell>
        </row>
        <row r="10829">
          <cell r="G10829" t="str">
            <v>Thị trấn Kinh Cùng</v>
          </cell>
          <cell r="I10829" t="str">
            <v>81608</v>
          </cell>
        </row>
        <row r="10830">
          <cell r="G10830" t="str">
            <v xml:space="preserve">Xã Hoà An </v>
          </cell>
          <cell r="I10830" t="str">
            <v>81608</v>
          </cell>
        </row>
        <row r="10831">
          <cell r="G10831" t="str">
            <v xml:space="preserve">Xã Tân Bình               </v>
          </cell>
          <cell r="I10831" t="str">
            <v>81608</v>
          </cell>
        </row>
        <row r="10832">
          <cell r="G10832" t="str">
            <v xml:space="preserve">Xã Bình Thành        </v>
          </cell>
          <cell r="I10832" t="str">
            <v>81608</v>
          </cell>
        </row>
        <row r="10833">
          <cell r="G10833" t="str">
            <v xml:space="preserve">Xã Thạnh Hoà </v>
          </cell>
          <cell r="I10833" t="str">
            <v>81608</v>
          </cell>
        </row>
        <row r="10834">
          <cell r="G10834" t="str">
            <v xml:space="preserve">Xã Tân Long       </v>
          </cell>
          <cell r="I10834" t="str">
            <v>81608</v>
          </cell>
        </row>
        <row r="10835">
          <cell r="G10835" t="str">
            <v xml:space="preserve">Xã Long Thạnh  </v>
          </cell>
          <cell r="I10835" t="str">
            <v>81608</v>
          </cell>
        </row>
        <row r="10836">
          <cell r="G10836" t="str">
            <v>Xã Phụng Hiệp</v>
          </cell>
          <cell r="I10836" t="str">
            <v>81608</v>
          </cell>
        </row>
        <row r="10837">
          <cell r="G10837" t="str">
            <v>Xã Phương Bình</v>
          </cell>
          <cell r="I10837" t="str">
            <v>81608</v>
          </cell>
        </row>
        <row r="10838">
          <cell r="G10838" t="str">
            <v>Xã Hoà Mỹ</v>
          </cell>
          <cell r="I10838" t="str">
            <v>81608</v>
          </cell>
        </row>
        <row r="10839">
          <cell r="G10839" t="str">
            <v>Xã Tân Phước Hưng</v>
          </cell>
          <cell r="I10839" t="str">
            <v>81608</v>
          </cell>
        </row>
        <row r="10840">
          <cell r="G10840" t="str">
            <v>Xã Phương Phú</v>
          </cell>
          <cell r="I10840" t="str">
            <v>81608</v>
          </cell>
        </row>
        <row r="10841">
          <cell r="G10841" t="str">
            <v>Xã Hiệp Hưng</v>
          </cell>
          <cell r="I10841" t="str">
            <v>81608</v>
          </cell>
        </row>
        <row r="10842">
          <cell r="G10842" t="str">
            <v>Thị trấn Búng Tàu</v>
          </cell>
          <cell r="I10842" t="str">
            <v>81608</v>
          </cell>
        </row>
        <row r="10843">
          <cell r="G10843" t="str">
            <v>Xã Vị Thanh</v>
          </cell>
          <cell r="I10843" t="str">
            <v>81609</v>
          </cell>
        </row>
        <row r="10844">
          <cell r="G10844" t="str">
            <v>Xã Vị Thắng</v>
          </cell>
          <cell r="I10844" t="str">
            <v>81609</v>
          </cell>
        </row>
        <row r="10845">
          <cell r="G10845" t="str">
            <v>Xã Vị Đông</v>
          </cell>
          <cell r="I10845" t="str">
            <v>81609</v>
          </cell>
        </row>
        <row r="10846">
          <cell r="G10846" t="str">
            <v>Thị trấn Nàng Mau</v>
          </cell>
          <cell r="I10846" t="str">
            <v>81609</v>
          </cell>
        </row>
        <row r="10847">
          <cell r="G10847" t="str">
            <v>Xã Vị Trung</v>
          </cell>
          <cell r="I10847" t="str">
            <v>81609</v>
          </cell>
        </row>
        <row r="10848">
          <cell r="G10848" t="str">
            <v>Xã Vị Thuỷ</v>
          </cell>
          <cell r="I10848" t="str">
            <v>81609</v>
          </cell>
        </row>
        <row r="10849">
          <cell r="G10849" t="str">
            <v>Xã Vĩnh Thuận Tây</v>
          </cell>
          <cell r="I10849" t="str">
            <v>81609</v>
          </cell>
        </row>
        <row r="10850">
          <cell r="G10850" t="str">
            <v xml:space="preserve">Xã Vĩnh Trung    </v>
          </cell>
          <cell r="I10850" t="str">
            <v>81609</v>
          </cell>
        </row>
        <row r="10851">
          <cell r="G10851" t="str">
            <v>Xã Vĩnh Tường</v>
          </cell>
          <cell r="I10851" t="str">
            <v>81609</v>
          </cell>
        </row>
        <row r="10852">
          <cell r="G10852" t="str">
            <v>Xã Vị Bình</v>
          </cell>
          <cell r="I10852" t="str">
            <v>81609</v>
          </cell>
        </row>
        <row r="10853">
          <cell r="G10853" t="str">
            <v xml:space="preserve">Xã Thuận Hòa </v>
          </cell>
          <cell r="I10853" t="str">
            <v>81611</v>
          </cell>
        </row>
        <row r="10854">
          <cell r="G10854" t="str">
            <v>Xã Vĩnh Thuận Đông</v>
          </cell>
          <cell r="I10854" t="str">
            <v>81611</v>
          </cell>
        </row>
        <row r="10855">
          <cell r="G10855" t="str">
            <v>Xã Thuận Hưng</v>
          </cell>
          <cell r="I10855" t="str">
            <v>81611</v>
          </cell>
        </row>
        <row r="10856">
          <cell r="G10856" t="str">
            <v>Xã Vĩnh Viễn</v>
          </cell>
          <cell r="I10856" t="str">
            <v>81611</v>
          </cell>
        </row>
        <row r="10857">
          <cell r="G10857" t="str">
            <v>Xã Lương Tâm</v>
          </cell>
          <cell r="I10857" t="str">
            <v>81611</v>
          </cell>
        </row>
        <row r="10858">
          <cell r="G10858" t="str">
            <v>Xã Xà Phiên</v>
          </cell>
          <cell r="I10858" t="str">
            <v>81611</v>
          </cell>
        </row>
        <row r="10859">
          <cell r="G10859" t="str">
            <v>Xã Lương Nghĩa</v>
          </cell>
          <cell r="I10859" t="str">
            <v>81611</v>
          </cell>
        </row>
        <row r="10860">
          <cell r="G10860" t="str">
            <v>Xã Vĩnh Viễn A</v>
          </cell>
          <cell r="I10860" t="str">
            <v>81611</v>
          </cell>
        </row>
        <row r="10861">
          <cell r="G10861" t="str">
            <v>Phường Bình Thạnh</v>
          </cell>
          <cell r="I10861" t="str">
            <v>81612</v>
          </cell>
        </row>
        <row r="10862">
          <cell r="G10862" t="str">
            <v xml:space="preserve">Phường Thuận An </v>
          </cell>
          <cell r="I10862" t="str">
            <v>81612</v>
          </cell>
        </row>
        <row r="10863">
          <cell r="G10863" t="str">
            <v>Phường Trà Lồng</v>
          </cell>
          <cell r="I10863" t="str">
            <v>81612</v>
          </cell>
        </row>
        <row r="10864">
          <cell r="G10864" t="str">
            <v>Phường Vĩnh Tường</v>
          </cell>
          <cell r="I10864" t="str">
            <v>81612</v>
          </cell>
        </row>
        <row r="10865">
          <cell r="G10865" t="str">
            <v xml:space="preserve">Xã Long Bình   </v>
          </cell>
          <cell r="I10865" t="str">
            <v>81612</v>
          </cell>
        </row>
        <row r="10866">
          <cell r="G10866" t="str">
            <v xml:space="preserve">Xã Long Phú </v>
          </cell>
          <cell r="I10866" t="str">
            <v>81612</v>
          </cell>
        </row>
        <row r="10867">
          <cell r="G10867" t="str">
            <v>Xã Long Trị</v>
          </cell>
          <cell r="I10867" t="str">
            <v>81612</v>
          </cell>
        </row>
        <row r="10868">
          <cell r="G10868" t="str">
            <v>Xã Long Trị A</v>
          </cell>
          <cell r="I10868" t="str">
            <v>81612</v>
          </cell>
        </row>
        <row r="10869">
          <cell r="G10869" t="str">
            <v xml:space="preserve">Xã Tân Phú             </v>
          </cell>
          <cell r="I10869" t="str">
            <v>81612</v>
          </cell>
        </row>
        <row r="10870">
          <cell r="G10870" t="str">
            <v xml:space="preserve">Xã Long Đức </v>
          </cell>
          <cell r="I10870" t="str">
            <v>81701</v>
          </cell>
        </row>
        <row r="10871">
          <cell r="G10871" t="str">
            <v xml:space="preserve">Phường 2                    </v>
          </cell>
          <cell r="I10871" t="str">
            <v>81701</v>
          </cell>
        </row>
        <row r="10872">
          <cell r="G10872" t="str">
            <v xml:space="preserve">Phường 7           </v>
          </cell>
          <cell r="I10872" t="str">
            <v>81701</v>
          </cell>
        </row>
        <row r="10873">
          <cell r="G10873" t="str">
            <v xml:space="preserve">Phường 4                 </v>
          </cell>
          <cell r="I10873" t="str">
            <v>81701</v>
          </cell>
        </row>
        <row r="10874">
          <cell r="G10874" t="str">
            <v xml:space="preserve">Phường 1                     </v>
          </cell>
          <cell r="I10874" t="str">
            <v>81701</v>
          </cell>
        </row>
        <row r="10875">
          <cell r="G10875" t="str">
            <v xml:space="preserve">Phường 3                    </v>
          </cell>
          <cell r="I10875" t="str">
            <v>81701</v>
          </cell>
        </row>
        <row r="10876">
          <cell r="G10876" t="str">
            <v xml:space="preserve">Phường 5               </v>
          </cell>
          <cell r="I10876" t="str">
            <v>81701</v>
          </cell>
        </row>
        <row r="10877">
          <cell r="G10877" t="str">
            <v xml:space="preserve">Phường 6           </v>
          </cell>
          <cell r="I10877" t="str">
            <v>81701</v>
          </cell>
        </row>
        <row r="10878">
          <cell r="G10878" t="str">
            <v xml:space="preserve">Phường 8          </v>
          </cell>
          <cell r="I10878" t="str">
            <v>81701</v>
          </cell>
        </row>
        <row r="10879">
          <cell r="G10879" t="str">
            <v xml:space="preserve">Phường 9         </v>
          </cell>
          <cell r="I10879" t="str">
            <v>81701</v>
          </cell>
        </row>
        <row r="10880">
          <cell r="G10880" t="str">
            <v xml:space="preserve">Xã Tân An         </v>
          </cell>
          <cell r="I10880" t="str">
            <v>81703</v>
          </cell>
        </row>
        <row r="10881">
          <cell r="G10881" t="str">
            <v>Thị trấn Càng Long</v>
          </cell>
          <cell r="I10881" t="str">
            <v>81703</v>
          </cell>
        </row>
        <row r="10882">
          <cell r="G10882" t="str">
            <v>Xã Đại Phúc</v>
          </cell>
          <cell r="I10882" t="str">
            <v>81703</v>
          </cell>
        </row>
        <row r="10883">
          <cell r="G10883" t="str">
            <v>Xã An Trường</v>
          </cell>
          <cell r="I10883" t="str">
            <v>81703</v>
          </cell>
        </row>
        <row r="10884">
          <cell r="G10884" t="str">
            <v xml:space="preserve">Xã Tân Bình                </v>
          </cell>
          <cell r="I10884" t="str">
            <v>81703</v>
          </cell>
        </row>
        <row r="10885">
          <cell r="G10885" t="str">
            <v>Xã Huyền Hội</v>
          </cell>
          <cell r="I10885" t="str">
            <v>81703</v>
          </cell>
        </row>
        <row r="10886">
          <cell r="G10886" t="str">
            <v>Xã Phương Thạnh</v>
          </cell>
          <cell r="I10886" t="str">
            <v>81703</v>
          </cell>
        </row>
        <row r="10887">
          <cell r="G10887" t="str">
            <v>Xã Đức Mỹ</v>
          </cell>
          <cell r="I10887" t="str">
            <v>81703</v>
          </cell>
        </row>
        <row r="10888">
          <cell r="G10888" t="str">
            <v>Xã Nhị Long</v>
          </cell>
          <cell r="I10888" t="str">
            <v>81703</v>
          </cell>
        </row>
        <row r="10889">
          <cell r="G10889" t="str">
            <v>Xã Nhị Long Phú</v>
          </cell>
          <cell r="I10889" t="str">
            <v>81703</v>
          </cell>
        </row>
        <row r="10890">
          <cell r="G10890" t="str">
            <v xml:space="preserve">Xã Đại Phước </v>
          </cell>
          <cell r="I10890" t="str">
            <v>81703</v>
          </cell>
        </row>
        <row r="10891">
          <cell r="G10891" t="str">
            <v>Xã Mỹ Cẩm</v>
          </cell>
          <cell r="I10891" t="str">
            <v>81703</v>
          </cell>
        </row>
        <row r="10892">
          <cell r="G10892" t="str">
            <v>Xã An Trường A</v>
          </cell>
          <cell r="I10892" t="str">
            <v>81703</v>
          </cell>
        </row>
        <row r="10893">
          <cell r="G10893" t="str">
            <v xml:space="preserve">Xã Bình Phú         </v>
          </cell>
          <cell r="I10893" t="str">
            <v>81703</v>
          </cell>
        </row>
        <row r="10894">
          <cell r="G10894" t="str">
            <v xml:space="preserve">Xã Long Hòa   </v>
          </cell>
          <cell r="I10894" t="str">
            <v>81705</v>
          </cell>
        </row>
        <row r="10895">
          <cell r="G10895" t="str">
            <v xml:space="preserve">Xã Hưng Mỹ </v>
          </cell>
          <cell r="I10895" t="str">
            <v>81705</v>
          </cell>
        </row>
        <row r="10896">
          <cell r="G10896" t="str">
            <v>Xã Lương Hoà A</v>
          </cell>
          <cell r="I10896" t="str">
            <v>81705</v>
          </cell>
        </row>
        <row r="10897">
          <cell r="G10897" t="str">
            <v>Xã Phước Hảo</v>
          </cell>
          <cell r="I10897" t="str">
            <v>81705</v>
          </cell>
        </row>
        <row r="10898">
          <cell r="G10898" t="str">
            <v xml:space="preserve">Thị trấn Châu Thành  </v>
          </cell>
          <cell r="I10898" t="str">
            <v>81705</v>
          </cell>
        </row>
        <row r="10899">
          <cell r="G10899" t="str">
            <v xml:space="preserve">Xã Hòa Thuận  </v>
          </cell>
          <cell r="I10899" t="str">
            <v>81705</v>
          </cell>
        </row>
        <row r="10900">
          <cell r="G10900" t="str">
            <v>Xã Nguyệt Hóa</v>
          </cell>
          <cell r="I10900" t="str">
            <v>81705</v>
          </cell>
        </row>
        <row r="10901">
          <cell r="G10901" t="str">
            <v xml:space="preserve">Xã Hòa Minh </v>
          </cell>
          <cell r="I10901" t="str">
            <v>81705</v>
          </cell>
        </row>
        <row r="10902">
          <cell r="G10902" t="str">
            <v xml:space="preserve">Xã Lương Hòa  </v>
          </cell>
          <cell r="I10902" t="str">
            <v>81705</v>
          </cell>
        </row>
        <row r="10903">
          <cell r="G10903" t="str">
            <v xml:space="preserve">Xã Hòa Lợi </v>
          </cell>
          <cell r="I10903" t="str">
            <v>81705</v>
          </cell>
        </row>
        <row r="10904">
          <cell r="G10904" t="str">
            <v xml:space="preserve">Xã Đa Lộc   </v>
          </cell>
          <cell r="I10904" t="str">
            <v>81705</v>
          </cell>
        </row>
        <row r="10905">
          <cell r="G10905" t="str">
            <v xml:space="preserve">Xã Song Lộc </v>
          </cell>
          <cell r="I10905" t="str">
            <v>81705</v>
          </cell>
        </row>
        <row r="10906">
          <cell r="G10906" t="str">
            <v xml:space="preserve">Xã Mỹ Chánh  </v>
          </cell>
          <cell r="I10906" t="str">
            <v>81705</v>
          </cell>
        </row>
        <row r="10907">
          <cell r="G10907" t="str">
            <v xml:space="preserve">Xã Thanh Mỹ   </v>
          </cell>
          <cell r="I10907" t="str">
            <v>81705</v>
          </cell>
        </row>
        <row r="10908">
          <cell r="G10908" t="str">
            <v>Xã Phong Thạnh</v>
          </cell>
          <cell r="I10908" t="str">
            <v>81707</v>
          </cell>
        </row>
        <row r="10909">
          <cell r="G10909" t="str">
            <v>Xã Châu Điền</v>
          </cell>
          <cell r="I10909" t="str">
            <v>81707</v>
          </cell>
        </row>
        <row r="10910">
          <cell r="G10910" t="str">
            <v xml:space="preserve">Xã Phong Phú    </v>
          </cell>
          <cell r="I10910" t="str">
            <v>81707</v>
          </cell>
        </row>
        <row r="10911">
          <cell r="G10911" t="str">
            <v>Thị trấn Cầu Kè</v>
          </cell>
          <cell r="I10911" t="str">
            <v>81707</v>
          </cell>
        </row>
        <row r="10912">
          <cell r="G10912" t="str">
            <v xml:space="preserve">Xã Thạnh Phú    </v>
          </cell>
          <cell r="I10912" t="str">
            <v>81707</v>
          </cell>
        </row>
        <row r="10913">
          <cell r="G10913" t="str">
            <v>Xã Thông Hòa</v>
          </cell>
          <cell r="I10913" t="str">
            <v>81707</v>
          </cell>
        </row>
        <row r="10914">
          <cell r="G10914" t="str">
            <v>Xã Tam Ngãi</v>
          </cell>
          <cell r="I10914" t="str">
            <v>81707</v>
          </cell>
        </row>
        <row r="10915">
          <cell r="G10915" t="str">
            <v>Xã Hòa ân</v>
          </cell>
          <cell r="I10915" t="str">
            <v>81707</v>
          </cell>
        </row>
        <row r="10916">
          <cell r="G10916" t="str">
            <v>Xã An Phú Tân</v>
          </cell>
          <cell r="I10916" t="str">
            <v>81707</v>
          </cell>
        </row>
        <row r="10917">
          <cell r="G10917" t="str">
            <v>Xã Hoà Tân</v>
          </cell>
          <cell r="I10917" t="str">
            <v>81707</v>
          </cell>
        </row>
        <row r="10918">
          <cell r="G10918" t="str">
            <v>Xã Ninh Thới</v>
          </cell>
          <cell r="I10918" t="str">
            <v>81707</v>
          </cell>
        </row>
        <row r="10919">
          <cell r="G10919" t="str">
            <v>Xã Tân Hùng</v>
          </cell>
          <cell r="I10919" t="str">
            <v>81709</v>
          </cell>
        </row>
        <row r="10920">
          <cell r="G10920" t="str">
            <v>Xã Hiếu Trung</v>
          </cell>
          <cell r="I10920" t="str">
            <v>81709</v>
          </cell>
        </row>
        <row r="10921">
          <cell r="G10921" t="str">
            <v xml:space="preserve">Xã Long Thới  </v>
          </cell>
          <cell r="I10921" t="str">
            <v>81709</v>
          </cell>
        </row>
        <row r="10922">
          <cell r="G10922" t="str">
            <v>Xã Hùng Hòa</v>
          </cell>
          <cell r="I10922" t="str">
            <v>81709</v>
          </cell>
        </row>
        <row r="10923">
          <cell r="G10923" t="str">
            <v>Thị trấn Tiểu Cần</v>
          </cell>
          <cell r="I10923" t="str">
            <v>81709</v>
          </cell>
        </row>
        <row r="10924">
          <cell r="G10924" t="str">
            <v>Thị trấn Cầu Quan</v>
          </cell>
          <cell r="I10924" t="str">
            <v>81709</v>
          </cell>
        </row>
        <row r="10925">
          <cell r="G10925" t="str">
            <v>Xã Hiếu Tử</v>
          </cell>
          <cell r="I10925" t="str">
            <v>81709</v>
          </cell>
        </row>
        <row r="10926">
          <cell r="G10926" t="str">
            <v>Xã Tập Ngãi</v>
          </cell>
          <cell r="I10926" t="str">
            <v>81709</v>
          </cell>
        </row>
        <row r="10927">
          <cell r="G10927" t="str">
            <v xml:space="preserve">Xã Phú Cần </v>
          </cell>
          <cell r="I10927" t="str">
            <v>81709</v>
          </cell>
        </row>
        <row r="10928">
          <cell r="G10928" t="str">
            <v>Xã Ngãi Hùng</v>
          </cell>
          <cell r="I10928" t="str">
            <v>81709</v>
          </cell>
        </row>
        <row r="10929">
          <cell r="G10929" t="str">
            <v xml:space="preserve">Xã Tân Hòa            </v>
          </cell>
          <cell r="I10929" t="str">
            <v>81709</v>
          </cell>
        </row>
        <row r="10930">
          <cell r="G10930" t="str">
            <v>Xã Mỹ Long Nam</v>
          </cell>
          <cell r="I10930" t="str">
            <v>81711</v>
          </cell>
        </row>
        <row r="10931">
          <cell r="G10931" t="str">
            <v>Thị trấn Mỹ Long</v>
          </cell>
          <cell r="I10931" t="str">
            <v>81711</v>
          </cell>
        </row>
        <row r="10932">
          <cell r="G10932" t="str">
            <v xml:space="preserve">Xã Mỹ Hòa     </v>
          </cell>
          <cell r="I10932" t="str">
            <v>81711</v>
          </cell>
        </row>
        <row r="10933">
          <cell r="G10933" t="str">
            <v xml:space="preserve">Xã Thuận Hòa  </v>
          </cell>
          <cell r="I10933" t="str">
            <v>81711</v>
          </cell>
        </row>
        <row r="10934">
          <cell r="G10934" t="str">
            <v>Xã Hiệp Mỹ Tây</v>
          </cell>
          <cell r="I10934" t="str">
            <v>81711</v>
          </cell>
        </row>
        <row r="10935">
          <cell r="G10935" t="str">
            <v>Thị trấn Cầu Ngang</v>
          </cell>
          <cell r="I10935" t="str">
            <v>81711</v>
          </cell>
        </row>
        <row r="10936">
          <cell r="G10936" t="str">
            <v xml:space="preserve">Xã Vĩnh Kim   </v>
          </cell>
          <cell r="I10936" t="str">
            <v>81711</v>
          </cell>
        </row>
        <row r="10937">
          <cell r="G10937" t="str">
            <v>Xã Kim Hòa</v>
          </cell>
          <cell r="I10937" t="str">
            <v>81711</v>
          </cell>
        </row>
        <row r="10938">
          <cell r="G10938" t="str">
            <v>Xã Mỹ Long Bắc</v>
          </cell>
          <cell r="I10938" t="str">
            <v>81711</v>
          </cell>
        </row>
        <row r="10939">
          <cell r="G10939" t="str">
            <v xml:space="preserve">Xã Hiệp Hòa      </v>
          </cell>
          <cell r="I10939" t="str">
            <v>81711</v>
          </cell>
        </row>
        <row r="10940">
          <cell r="G10940" t="str">
            <v xml:space="preserve">Xã Trường Thọ </v>
          </cell>
          <cell r="I10940" t="str">
            <v>81711</v>
          </cell>
        </row>
        <row r="10941">
          <cell r="G10941" t="str">
            <v>Xã Nhị Trường</v>
          </cell>
          <cell r="I10941" t="str">
            <v>81711</v>
          </cell>
        </row>
        <row r="10942">
          <cell r="G10942" t="str">
            <v xml:space="preserve">Xã Long Sơn        </v>
          </cell>
          <cell r="I10942" t="str">
            <v>81711</v>
          </cell>
        </row>
        <row r="10943">
          <cell r="G10943" t="str">
            <v>Xã Hiệp Mỹ Đông</v>
          </cell>
          <cell r="I10943" t="str">
            <v>81711</v>
          </cell>
        </row>
        <row r="10944">
          <cell r="G10944" t="str">
            <v>Xã Thạnh Hòa Sơn</v>
          </cell>
          <cell r="I10944" t="str">
            <v>81711</v>
          </cell>
        </row>
        <row r="10945">
          <cell r="G10945" t="str">
            <v>Xã Hiệp Mỹ</v>
          </cell>
          <cell r="I10945" t="str">
            <v>81711</v>
          </cell>
        </row>
        <row r="10946">
          <cell r="G10946" t="str">
            <v>Xã An Quảng Hữu</v>
          </cell>
          <cell r="I10946" t="str">
            <v>81713</v>
          </cell>
        </row>
        <row r="10947">
          <cell r="G10947" t="str">
            <v>Xã Tập Sơn</v>
          </cell>
          <cell r="I10947" t="str">
            <v>81713</v>
          </cell>
        </row>
        <row r="10948">
          <cell r="G10948" t="str">
            <v xml:space="preserve">Xã Long Hiệp  </v>
          </cell>
          <cell r="I10948" t="str">
            <v>81713</v>
          </cell>
        </row>
        <row r="10949">
          <cell r="G10949" t="str">
            <v xml:space="preserve">Xã Thanh Sơn          </v>
          </cell>
          <cell r="I10949" t="str">
            <v>81713</v>
          </cell>
        </row>
        <row r="10950">
          <cell r="G10950" t="str">
            <v>Thị trấn Trà Cú</v>
          </cell>
          <cell r="I10950" t="str">
            <v>81713</v>
          </cell>
        </row>
        <row r="10951">
          <cell r="G10951" t="str">
            <v xml:space="preserve">Xã Phước Hưng   </v>
          </cell>
          <cell r="I10951" t="str">
            <v>81713</v>
          </cell>
        </row>
        <row r="10952">
          <cell r="G10952" t="str">
            <v xml:space="preserve">Xã Tân Sơn         </v>
          </cell>
          <cell r="I10952" t="str">
            <v>81713</v>
          </cell>
        </row>
        <row r="10953">
          <cell r="G10953" t="str">
            <v xml:space="preserve">Xã Tân Hiệp        </v>
          </cell>
          <cell r="I10953" t="str">
            <v>81713</v>
          </cell>
        </row>
        <row r="10954">
          <cell r="G10954" t="str">
            <v>Xã Ngãi Xuyên</v>
          </cell>
          <cell r="I10954" t="str">
            <v>81713</v>
          </cell>
        </row>
        <row r="10955">
          <cell r="G10955" t="str">
            <v>Xã Ngọc Biên</v>
          </cell>
          <cell r="I10955" t="str">
            <v>81713</v>
          </cell>
        </row>
        <row r="10956">
          <cell r="G10956" t="str">
            <v>Xã Lưu Nghiệp Anh</v>
          </cell>
          <cell r="I10956" t="str">
            <v>81713</v>
          </cell>
        </row>
        <row r="10957">
          <cell r="G10957" t="str">
            <v xml:space="preserve">Xã Kim Sơn       </v>
          </cell>
          <cell r="I10957" t="str">
            <v>81713</v>
          </cell>
        </row>
        <row r="10958">
          <cell r="G10958" t="str">
            <v>Xã Hàm Giang</v>
          </cell>
          <cell r="I10958" t="str">
            <v>81713</v>
          </cell>
        </row>
        <row r="10959">
          <cell r="G10959" t="str">
            <v xml:space="preserve">Xã Đại An    </v>
          </cell>
          <cell r="I10959" t="str">
            <v>81713</v>
          </cell>
        </row>
        <row r="10960">
          <cell r="G10960" t="str">
            <v xml:space="preserve">Xã Định An   </v>
          </cell>
          <cell r="I10960" t="str">
            <v>81713</v>
          </cell>
        </row>
        <row r="10961">
          <cell r="G10961" t="str">
            <v>Xã Hàm Tân</v>
          </cell>
          <cell r="I10961" t="str">
            <v>81713</v>
          </cell>
        </row>
        <row r="10962">
          <cell r="G10962" t="str">
            <v>Thị trấn Định An</v>
          </cell>
          <cell r="I10962" t="str">
            <v>81713</v>
          </cell>
        </row>
        <row r="10963">
          <cell r="G10963" t="str">
            <v xml:space="preserve">Xã Đông Hải   </v>
          </cell>
          <cell r="I10963" t="str">
            <v>81715</v>
          </cell>
        </row>
        <row r="10964">
          <cell r="G10964" t="str">
            <v>Xã Ngũ Lạc</v>
          </cell>
          <cell r="I10964" t="str">
            <v>81715</v>
          </cell>
        </row>
        <row r="10965">
          <cell r="G10965" t="str">
            <v xml:space="preserve">Xã Long Khánh   </v>
          </cell>
          <cell r="I10965" t="str">
            <v>81715</v>
          </cell>
        </row>
        <row r="10966">
          <cell r="G10966" t="str">
            <v xml:space="preserve">Xã Long Vĩnh  </v>
          </cell>
          <cell r="I10966" t="str">
            <v>81715</v>
          </cell>
        </row>
        <row r="10967">
          <cell r="G10967" t="str">
            <v xml:space="preserve">Thị Trấn Long Thành </v>
          </cell>
          <cell r="I10967" t="str">
            <v>81715</v>
          </cell>
        </row>
        <row r="10968">
          <cell r="G10968" t="str">
            <v>Xã Đôn Châu</v>
          </cell>
          <cell r="I10968" t="str">
            <v>81715</v>
          </cell>
        </row>
        <row r="10969">
          <cell r="G10969" t="str">
            <v>Xã Đôn Xuân</v>
          </cell>
          <cell r="I10969" t="str">
            <v>81715</v>
          </cell>
        </row>
        <row r="10970">
          <cell r="G10970" t="str">
            <v xml:space="preserve">Phường 1                      </v>
          </cell>
          <cell r="I10970" t="str">
            <v>81716</v>
          </cell>
        </row>
        <row r="10971">
          <cell r="G10971" t="str">
            <v xml:space="preserve">Phường 2                     </v>
          </cell>
          <cell r="I10971" t="str">
            <v>81716</v>
          </cell>
        </row>
        <row r="10972">
          <cell r="G10972" t="str">
            <v>Xã Long Toàn</v>
          </cell>
          <cell r="I10972" t="str">
            <v>81716</v>
          </cell>
        </row>
        <row r="10973">
          <cell r="G10973" t="str">
            <v>Xã Long Hữu</v>
          </cell>
          <cell r="I10973" t="str">
            <v>81716</v>
          </cell>
        </row>
        <row r="10974">
          <cell r="G10974" t="str">
            <v>Xã Trường Long Hòa</v>
          </cell>
          <cell r="I10974" t="str">
            <v>81716</v>
          </cell>
        </row>
        <row r="10975">
          <cell r="G10975" t="str">
            <v xml:space="preserve">Xã Hiệp Thạnh   </v>
          </cell>
          <cell r="I10975" t="str">
            <v>81716</v>
          </cell>
        </row>
        <row r="10976">
          <cell r="G10976" t="str">
            <v>Xã Dân Thành</v>
          </cell>
          <cell r="I10976" t="str">
            <v>81716</v>
          </cell>
        </row>
        <row r="10977">
          <cell r="G10977" t="str">
            <v xml:space="preserve">Phường 2                      </v>
          </cell>
          <cell r="I10977" t="str">
            <v>81901</v>
          </cell>
        </row>
        <row r="10978">
          <cell r="G10978" t="str">
            <v xml:space="preserve">Phường 7            </v>
          </cell>
          <cell r="I10978" t="str">
            <v>81901</v>
          </cell>
        </row>
        <row r="10979">
          <cell r="G10979" t="str">
            <v xml:space="preserve">Phường 1                       </v>
          </cell>
          <cell r="I10979" t="str">
            <v>81901</v>
          </cell>
        </row>
        <row r="10980">
          <cell r="G10980" t="str">
            <v xml:space="preserve">Phường 9          </v>
          </cell>
          <cell r="I10980" t="str">
            <v>81901</v>
          </cell>
        </row>
        <row r="10981">
          <cell r="G10981" t="str">
            <v xml:space="preserve">Phường 5                </v>
          </cell>
          <cell r="I10981" t="str">
            <v>81901</v>
          </cell>
        </row>
        <row r="10982">
          <cell r="G10982" t="str">
            <v xml:space="preserve">Phường 8           </v>
          </cell>
          <cell r="I10982" t="str">
            <v>81901</v>
          </cell>
        </row>
        <row r="10983">
          <cell r="G10983" t="str">
            <v xml:space="preserve">Phường 6            </v>
          </cell>
          <cell r="I10983" t="str">
            <v>81901</v>
          </cell>
        </row>
        <row r="10984">
          <cell r="G10984" t="str">
            <v xml:space="preserve">Phường 4                  </v>
          </cell>
          <cell r="I10984" t="str">
            <v>81901</v>
          </cell>
        </row>
        <row r="10985">
          <cell r="G10985" t="str">
            <v xml:space="preserve">Phường 3                     </v>
          </cell>
          <cell r="I10985" t="str">
            <v>81901</v>
          </cell>
        </row>
        <row r="10986">
          <cell r="G10986" t="str">
            <v xml:space="preserve">Phường 10             </v>
          </cell>
          <cell r="I10986" t="str">
            <v>81901</v>
          </cell>
        </row>
        <row r="10987">
          <cell r="G10987" t="str">
            <v>Xã Trinh Phú</v>
          </cell>
          <cell r="I10987" t="str">
            <v>81903</v>
          </cell>
        </row>
        <row r="10988">
          <cell r="G10988" t="str">
            <v xml:space="preserve">Xã Xuân Hòa       </v>
          </cell>
          <cell r="I10988" t="str">
            <v>81903</v>
          </cell>
        </row>
        <row r="10989">
          <cell r="G10989" t="str">
            <v>Xã Ba Trinh</v>
          </cell>
          <cell r="I10989" t="str">
            <v>81903</v>
          </cell>
        </row>
        <row r="10990">
          <cell r="G10990" t="str">
            <v>Xã Kế An</v>
          </cell>
          <cell r="I10990" t="str">
            <v>81903</v>
          </cell>
        </row>
        <row r="10991">
          <cell r="G10991" t="str">
            <v>Thị trấn Kế Sách</v>
          </cell>
          <cell r="I10991" t="str">
            <v>81903</v>
          </cell>
        </row>
        <row r="10992">
          <cell r="G10992" t="str">
            <v>Thị Trấn An Lạc Thôn</v>
          </cell>
          <cell r="I10992" t="str">
            <v>81903</v>
          </cell>
        </row>
        <row r="10993">
          <cell r="G10993" t="str">
            <v xml:space="preserve">Xã Phong Nẫm  </v>
          </cell>
          <cell r="I10993" t="str">
            <v>81903</v>
          </cell>
        </row>
        <row r="10994">
          <cell r="G10994" t="str">
            <v>Xã An Lạc Tây</v>
          </cell>
          <cell r="I10994" t="str">
            <v>81903</v>
          </cell>
        </row>
        <row r="10995">
          <cell r="G10995" t="str">
            <v>Xã Thới An Hội</v>
          </cell>
          <cell r="I10995" t="str">
            <v>81903</v>
          </cell>
        </row>
        <row r="10996">
          <cell r="G10996" t="str">
            <v xml:space="preserve">Xã Nhơn Mỹ  </v>
          </cell>
          <cell r="I10996" t="str">
            <v>81903</v>
          </cell>
        </row>
        <row r="10997">
          <cell r="G10997" t="str">
            <v>Xã Kế Thành</v>
          </cell>
          <cell r="I10997" t="str">
            <v>81903</v>
          </cell>
        </row>
        <row r="10998">
          <cell r="G10998" t="str">
            <v>Xã Đại Hải</v>
          </cell>
          <cell r="I10998" t="str">
            <v>81903</v>
          </cell>
        </row>
        <row r="10999">
          <cell r="G10999" t="str">
            <v xml:space="preserve">Xã An Mỹ    </v>
          </cell>
          <cell r="I10999" t="str">
            <v>81903</v>
          </cell>
        </row>
        <row r="11000">
          <cell r="G11000" t="str">
            <v xml:space="preserve">Xã Tân Hưng              </v>
          </cell>
          <cell r="I11000" t="str">
            <v>81905</v>
          </cell>
        </row>
        <row r="11001">
          <cell r="G11001" t="str">
            <v>Thị Trấn Đại Ngãi</v>
          </cell>
          <cell r="I11001" t="str">
            <v>81905</v>
          </cell>
        </row>
        <row r="11002">
          <cell r="G11002" t="str">
            <v>Xã Trường Khánh</v>
          </cell>
          <cell r="I11002" t="str">
            <v>81905</v>
          </cell>
        </row>
        <row r="11003">
          <cell r="G11003" t="str">
            <v xml:space="preserve">Xã Long Phú  </v>
          </cell>
          <cell r="I11003" t="str">
            <v>81905</v>
          </cell>
        </row>
        <row r="11004">
          <cell r="G11004" t="str">
            <v>Thị trấn Long Phú</v>
          </cell>
          <cell r="I11004" t="str">
            <v>81905</v>
          </cell>
        </row>
        <row r="11005">
          <cell r="G11005" t="str">
            <v>Xã Song Phụng</v>
          </cell>
          <cell r="I11005" t="str">
            <v>81905</v>
          </cell>
        </row>
        <row r="11006">
          <cell r="G11006" t="str">
            <v>Xã Hậu Thạnh</v>
          </cell>
          <cell r="I11006" t="str">
            <v>81905</v>
          </cell>
        </row>
        <row r="11007">
          <cell r="G11007" t="str">
            <v xml:space="preserve">Xã Long Đức  </v>
          </cell>
          <cell r="I11007" t="str">
            <v>81905</v>
          </cell>
        </row>
        <row r="11008">
          <cell r="G11008" t="str">
            <v xml:space="preserve">Xã Phú Hữu   </v>
          </cell>
          <cell r="I11008" t="str">
            <v>81905</v>
          </cell>
        </row>
        <row r="11009">
          <cell r="G11009" t="str">
            <v>Xã Châu Khánh</v>
          </cell>
          <cell r="I11009" t="str">
            <v>81905</v>
          </cell>
        </row>
        <row r="11010">
          <cell r="G11010" t="str">
            <v xml:space="preserve">Xã Tân Thạnh     </v>
          </cell>
          <cell r="I11010" t="str">
            <v>81905</v>
          </cell>
        </row>
        <row r="11011">
          <cell r="G11011" t="str">
            <v>Thị trấn Cù Lao Dung</v>
          </cell>
          <cell r="I11011" t="str">
            <v>81906</v>
          </cell>
        </row>
        <row r="11012">
          <cell r="G11012" t="str">
            <v>Xã An Thạnh 1</v>
          </cell>
          <cell r="I11012" t="str">
            <v>81906</v>
          </cell>
        </row>
        <row r="11013">
          <cell r="G11013" t="str">
            <v>Xã An Thạnh 2</v>
          </cell>
          <cell r="I11013" t="str">
            <v>81906</v>
          </cell>
        </row>
        <row r="11014">
          <cell r="G11014" t="str">
            <v>Xã An Thạnh Tây</v>
          </cell>
          <cell r="I11014" t="str">
            <v>81906</v>
          </cell>
        </row>
        <row r="11015">
          <cell r="G11015" t="str">
            <v>Xã An Thạnh Đông</v>
          </cell>
          <cell r="I11015" t="str">
            <v>81906</v>
          </cell>
        </row>
        <row r="11016">
          <cell r="G11016" t="str">
            <v>Xã Đại ân 1</v>
          </cell>
          <cell r="I11016" t="str">
            <v>81906</v>
          </cell>
        </row>
        <row r="11017">
          <cell r="G11017" t="str">
            <v>Xã An Thạnh 3</v>
          </cell>
          <cell r="I11017" t="str">
            <v>81906</v>
          </cell>
        </row>
        <row r="11018">
          <cell r="G11018" t="str">
            <v>Xã An Thạnh Nam</v>
          </cell>
          <cell r="I11018" t="str">
            <v>81906</v>
          </cell>
        </row>
        <row r="11019">
          <cell r="G11019" t="str">
            <v xml:space="preserve">Xã Long Hưng      </v>
          </cell>
          <cell r="I11019" t="str">
            <v>81907</v>
          </cell>
        </row>
        <row r="11020">
          <cell r="G11020" t="str">
            <v>TT.Huỳnh Hữu Nghĩa</v>
          </cell>
          <cell r="I11020" t="str">
            <v>81907</v>
          </cell>
        </row>
        <row r="11021">
          <cell r="G11021" t="str">
            <v xml:space="preserve">Xã Thuận Hưng </v>
          </cell>
          <cell r="I11021" t="str">
            <v>81907</v>
          </cell>
        </row>
        <row r="11022">
          <cell r="G11022" t="str">
            <v xml:space="preserve">Xã Hưng Phú </v>
          </cell>
          <cell r="I11022" t="str">
            <v>81907</v>
          </cell>
        </row>
        <row r="11023">
          <cell r="G11023" t="str">
            <v xml:space="preserve">Xã Mỹ Hương </v>
          </cell>
          <cell r="I11023" t="str">
            <v>81907</v>
          </cell>
        </row>
        <row r="11024">
          <cell r="G11024" t="str">
            <v>Xã Mỹ Tú</v>
          </cell>
          <cell r="I11024" t="str">
            <v>81907</v>
          </cell>
        </row>
        <row r="11025">
          <cell r="G11025" t="str">
            <v xml:space="preserve">Xã Mỹ Phước   </v>
          </cell>
          <cell r="I11025" t="str">
            <v>81907</v>
          </cell>
        </row>
        <row r="11026">
          <cell r="G11026" t="str">
            <v xml:space="preserve">Xã Mỹ Thuận    </v>
          </cell>
          <cell r="I11026" t="str">
            <v>81907</v>
          </cell>
        </row>
        <row r="11027">
          <cell r="G11027" t="str">
            <v xml:space="preserve">Xã Phú Mỹ       </v>
          </cell>
          <cell r="I11027" t="str">
            <v>81907</v>
          </cell>
        </row>
        <row r="11028">
          <cell r="G11028" t="str">
            <v>Xã Tham Đôn</v>
          </cell>
          <cell r="I11028" t="str">
            <v>81909</v>
          </cell>
        </row>
        <row r="11029">
          <cell r="G11029" t="str">
            <v>Xã Gia Hòa 1</v>
          </cell>
          <cell r="I11029" t="str">
            <v>81909</v>
          </cell>
        </row>
        <row r="11030">
          <cell r="G11030" t="str">
            <v>Xã Đại Tâm</v>
          </cell>
          <cell r="I11030" t="str">
            <v>81909</v>
          </cell>
        </row>
        <row r="11031">
          <cell r="G11031" t="str">
            <v>Xã Gia Hòa 2</v>
          </cell>
          <cell r="I11031" t="str">
            <v>81909</v>
          </cell>
        </row>
        <row r="11032">
          <cell r="G11032" t="str">
            <v xml:space="preserve">Xã Thạnh Phú     </v>
          </cell>
          <cell r="I11032" t="str">
            <v>81909</v>
          </cell>
        </row>
        <row r="11033">
          <cell r="G11033" t="str">
            <v>Xã Ngọc Đông</v>
          </cell>
          <cell r="I11033" t="str">
            <v>81909</v>
          </cell>
        </row>
        <row r="11034">
          <cell r="G11034" t="str">
            <v xml:space="preserve">Xã Thạnh Quới </v>
          </cell>
          <cell r="I11034" t="str">
            <v>81909</v>
          </cell>
        </row>
        <row r="11035">
          <cell r="G11035" t="str">
            <v>Xã Hòa Tú 1</v>
          </cell>
          <cell r="I11035" t="str">
            <v>81909</v>
          </cell>
        </row>
        <row r="11036">
          <cell r="G11036" t="str">
            <v>Xã Ngọc Tố</v>
          </cell>
          <cell r="I11036" t="str">
            <v>81909</v>
          </cell>
        </row>
        <row r="11037">
          <cell r="G11037" t="str">
            <v>Xã Hòa Tú II</v>
          </cell>
          <cell r="I11037" t="str">
            <v>81909</v>
          </cell>
        </row>
        <row r="11038">
          <cell r="G11038" t="str">
            <v>Thị trấn Mỹ Xuyên</v>
          </cell>
          <cell r="I11038" t="str">
            <v>81909</v>
          </cell>
        </row>
        <row r="11039">
          <cell r="G11039" t="str">
            <v xml:space="preserve">Thị trấn Phú Lộc </v>
          </cell>
          <cell r="I11039" t="str">
            <v>81911</v>
          </cell>
        </row>
        <row r="11040">
          <cell r="G11040" t="str">
            <v xml:space="preserve">Xã Thạnh Trị    </v>
          </cell>
          <cell r="I11040" t="str">
            <v>81911</v>
          </cell>
        </row>
        <row r="11041">
          <cell r="G11041" t="str">
            <v xml:space="preserve">Xã Thạnh Tân  </v>
          </cell>
          <cell r="I11041" t="str">
            <v>81911</v>
          </cell>
        </row>
        <row r="11042">
          <cell r="G11042" t="str">
            <v>Xã Lâm Tân</v>
          </cell>
          <cell r="I11042" t="str">
            <v>81911</v>
          </cell>
        </row>
        <row r="11043">
          <cell r="G11043" t="str">
            <v>Xã Lâm Kiết</v>
          </cell>
          <cell r="I11043" t="str">
            <v>81911</v>
          </cell>
        </row>
        <row r="11044">
          <cell r="G11044" t="str">
            <v>Xã Tuân Tức</v>
          </cell>
          <cell r="I11044" t="str">
            <v>81911</v>
          </cell>
        </row>
        <row r="11045">
          <cell r="G11045" t="str">
            <v xml:space="preserve">Xã Vĩnh Thành     </v>
          </cell>
          <cell r="I11045" t="str">
            <v>81911</v>
          </cell>
        </row>
        <row r="11046">
          <cell r="G11046" t="str">
            <v xml:space="preserve">Xã Vĩnh Lợi   </v>
          </cell>
          <cell r="I11046" t="str">
            <v>81911</v>
          </cell>
        </row>
        <row r="11047">
          <cell r="G11047" t="str">
            <v xml:space="preserve">Xã Châu Hưng </v>
          </cell>
          <cell r="I11047" t="str">
            <v>81911</v>
          </cell>
        </row>
        <row r="11048">
          <cell r="G11048" t="str">
            <v>Thị trấn Hưng Lợi</v>
          </cell>
          <cell r="I11048" t="str">
            <v>81911</v>
          </cell>
        </row>
        <row r="11049">
          <cell r="G11049" t="str">
            <v>Xã Vĩnh Quới</v>
          </cell>
          <cell r="I11049" t="str">
            <v>81912</v>
          </cell>
        </row>
        <row r="11050">
          <cell r="G11050" t="str">
            <v xml:space="preserve">Xã Mỹ Bình  </v>
          </cell>
          <cell r="I11050" t="str">
            <v>81912</v>
          </cell>
        </row>
        <row r="11051">
          <cell r="G11051" t="str">
            <v xml:space="preserve">Xã Tân Long        </v>
          </cell>
          <cell r="I11051" t="str">
            <v>81912</v>
          </cell>
        </row>
        <row r="11052">
          <cell r="G11052" t="str">
            <v xml:space="preserve">Xã Long Bình    </v>
          </cell>
          <cell r="I11052" t="str">
            <v>81912</v>
          </cell>
        </row>
        <row r="11053">
          <cell r="G11053" t="str">
            <v>Xã Mỹ Quới</v>
          </cell>
          <cell r="I11053" t="str">
            <v>81912</v>
          </cell>
        </row>
        <row r="11054">
          <cell r="G11054" t="str">
            <v xml:space="preserve">Phường 1                        </v>
          </cell>
          <cell r="I11054" t="str">
            <v>81912</v>
          </cell>
        </row>
        <row r="11055">
          <cell r="G11055" t="str">
            <v xml:space="preserve">Phường 2                       </v>
          </cell>
          <cell r="I11055" t="str">
            <v>81912</v>
          </cell>
        </row>
        <row r="11056">
          <cell r="G11056" t="str">
            <v xml:space="preserve">Phường 3                      </v>
          </cell>
          <cell r="I11056" t="str">
            <v>81912</v>
          </cell>
        </row>
        <row r="11057">
          <cell r="G11057" t="str">
            <v>Xã Lạc Hòa</v>
          </cell>
          <cell r="I11057" t="str">
            <v>81913</v>
          </cell>
        </row>
        <row r="11058">
          <cell r="G11058" t="str">
            <v>Xã Hòa Đông</v>
          </cell>
          <cell r="I11058" t="str">
            <v>81913</v>
          </cell>
        </row>
        <row r="11059">
          <cell r="G11059" t="str">
            <v xml:space="preserve">Xã Vĩnh Hải </v>
          </cell>
          <cell r="I11059" t="str">
            <v>81913</v>
          </cell>
        </row>
        <row r="11060">
          <cell r="G11060" t="str">
            <v xml:space="preserve">Xã Vĩnh Tân     </v>
          </cell>
          <cell r="I11060" t="str">
            <v>81913</v>
          </cell>
        </row>
        <row r="11061">
          <cell r="G11061" t="str">
            <v>Phường Khánh Hòa</v>
          </cell>
          <cell r="I11061" t="str">
            <v>81913</v>
          </cell>
        </row>
        <row r="11062">
          <cell r="G11062" t="str">
            <v xml:space="preserve">Xã Vĩnh Hiệp  </v>
          </cell>
          <cell r="I11062" t="str">
            <v>81913</v>
          </cell>
        </row>
        <row r="11063">
          <cell r="G11063" t="str">
            <v xml:space="preserve">Phường Vĩnh Phước </v>
          </cell>
          <cell r="I11063" t="str">
            <v>81913</v>
          </cell>
        </row>
        <row r="11064">
          <cell r="G11064" t="str">
            <v>Xã Lai Hòa</v>
          </cell>
          <cell r="I11064" t="str">
            <v>81913</v>
          </cell>
        </row>
        <row r="11065">
          <cell r="G11065" t="str">
            <v xml:space="preserve">Phường 1                         </v>
          </cell>
          <cell r="I11065" t="str">
            <v>81913</v>
          </cell>
        </row>
        <row r="11066">
          <cell r="G11066" t="str">
            <v xml:space="preserve">Phường 2                        </v>
          </cell>
          <cell r="I11066" t="str">
            <v>81913</v>
          </cell>
        </row>
        <row r="11067">
          <cell r="G11067" t="str">
            <v xml:space="preserve">Thị trấn Châu Thành   </v>
          </cell>
          <cell r="I11067" t="str">
            <v>81915</v>
          </cell>
        </row>
        <row r="11068">
          <cell r="G11068" t="str">
            <v>Xã Hồ Đắc Kiện</v>
          </cell>
          <cell r="I11068" t="str">
            <v>81915</v>
          </cell>
        </row>
        <row r="11069">
          <cell r="G11069" t="str">
            <v xml:space="preserve">Xã An Ninh    </v>
          </cell>
          <cell r="I11069" t="str">
            <v>81915</v>
          </cell>
        </row>
        <row r="11070">
          <cell r="G11070" t="str">
            <v xml:space="preserve">Xã An Hiệp     </v>
          </cell>
          <cell r="I11070" t="str">
            <v>81915</v>
          </cell>
        </row>
        <row r="11071">
          <cell r="G11071" t="str">
            <v xml:space="preserve">Xã Phú Tân   </v>
          </cell>
          <cell r="I11071" t="str">
            <v>81915</v>
          </cell>
        </row>
        <row r="11072">
          <cell r="G11072" t="str">
            <v>Xã Phú Tâm</v>
          </cell>
          <cell r="I11072" t="str">
            <v>81915</v>
          </cell>
        </row>
        <row r="11073">
          <cell r="G11073" t="str">
            <v xml:space="preserve">Xã Thiện Mỹ </v>
          </cell>
          <cell r="I11073" t="str">
            <v>81915</v>
          </cell>
        </row>
        <row r="11074">
          <cell r="G11074" t="str">
            <v xml:space="preserve">Xã Thuận Hòa   </v>
          </cell>
          <cell r="I11074" t="str">
            <v>81915</v>
          </cell>
        </row>
        <row r="11075">
          <cell r="G11075" t="str">
            <v>Xã Lịch Hội Thượng</v>
          </cell>
          <cell r="I11075" t="str">
            <v>81917</v>
          </cell>
        </row>
        <row r="11076">
          <cell r="G11076" t="str">
            <v>Xã Trung Bình</v>
          </cell>
          <cell r="I11076" t="str">
            <v>81917</v>
          </cell>
        </row>
        <row r="11077">
          <cell r="G11077" t="str">
            <v>Xã Đại Ân 2</v>
          </cell>
          <cell r="I11077" t="str">
            <v>81917</v>
          </cell>
        </row>
        <row r="11078">
          <cell r="G11078" t="str">
            <v>Xã Liêu Tú</v>
          </cell>
          <cell r="I11078" t="str">
            <v>81917</v>
          </cell>
        </row>
        <row r="11079">
          <cell r="G11079" t="str">
            <v>Xã Thạnh Thới An</v>
          </cell>
          <cell r="I11079" t="str">
            <v>81917</v>
          </cell>
        </row>
        <row r="11080">
          <cell r="G11080" t="str">
            <v>Xã Thạnh Thới Thuận</v>
          </cell>
          <cell r="I11080" t="str">
            <v>81917</v>
          </cell>
        </row>
        <row r="11081">
          <cell r="G11081" t="str">
            <v>Xã Tài Văn</v>
          </cell>
          <cell r="I11081" t="str">
            <v>81917</v>
          </cell>
        </row>
        <row r="11082">
          <cell r="G11082" t="str">
            <v xml:space="preserve">Xã Viên An </v>
          </cell>
          <cell r="I11082" t="str">
            <v>81917</v>
          </cell>
        </row>
        <row r="11083">
          <cell r="G11083" t="str">
            <v>Xã Viên Bình</v>
          </cell>
          <cell r="I11083" t="str">
            <v>81917</v>
          </cell>
        </row>
        <row r="11084">
          <cell r="G11084" t="str">
            <v>Thị Trấn Lịch Hội Thượng</v>
          </cell>
          <cell r="I11084" t="str">
            <v>81917</v>
          </cell>
        </row>
        <row r="11085">
          <cell r="G11085" t="str">
            <v>Thị trấn Trần Đề</v>
          </cell>
          <cell r="I11085" t="str">
            <v>81917</v>
          </cell>
        </row>
        <row r="11086">
          <cell r="G11086" t="str">
            <v xml:space="preserve">Phường 2                         </v>
          </cell>
          <cell r="I11086" t="str">
            <v>82101</v>
          </cell>
        </row>
        <row r="11087">
          <cell r="G11087" t="str">
            <v xml:space="preserve">Phường 1                          </v>
          </cell>
          <cell r="I11087" t="str">
            <v>82101</v>
          </cell>
        </row>
        <row r="11088">
          <cell r="G11088" t="str">
            <v xml:space="preserve">Xã Vĩnh Trạch </v>
          </cell>
          <cell r="I11088" t="str">
            <v>82101</v>
          </cell>
        </row>
        <row r="11089">
          <cell r="G11089" t="str">
            <v xml:space="preserve">Phường 3                       </v>
          </cell>
          <cell r="I11089" t="str">
            <v>82101</v>
          </cell>
        </row>
        <row r="11090">
          <cell r="G11090" t="str">
            <v xml:space="preserve">Phường 5                 </v>
          </cell>
          <cell r="I11090" t="str">
            <v>82101</v>
          </cell>
        </row>
        <row r="11091">
          <cell r="G11091" t="str">
            <v xml:space="preserve">Phường 7             </v>
          </cell>
          <cell r="I11091" t="str">
            <v>82101</v>
          </cell>
        </row>
        <row r="11092">
          <cell r="G11092" t="str">
            <v xml:space="preserve">Phường 8            </v>
          </cell>
          <cell r="I11092" t="str">
            <v>82101</v>
          </cell>
        </row>
        <row r="11093">
          <cell r="G11093" t="str">
            <v>Phường Nhà Mát</v>
          </cell>
          <cell r="I11093" t="str">
            <v>82101</v>
          </cell>
        </row>
        <row r="11094">
          <cell r="G11094" t="str">
            <v>Xã Vĩnh Trạch Đông</v>
          </cell>
          <cell r="I11094" t="str">
            <v>82101</v>
          </cell>
        </row>
        <row r="11095">
          <cell r="G11095" t="str">
            <v>Xã Hiệp Thành</v>
          </cell>
          <cell r="I11095" t="str">
            <v>82101</v>
          </cell>
        </row>
        <row r="11096">
          <cell r="G11096" t="str">
            <v>Xã Ninh Quới A</v>
          </cell>
          <cell r="I11096" t="str">
            <v>82103</v>
          </cell>
        </row>
        <row r="11097">
          <cell r="G11097" t="str">
            <v>Xã Ninh Quới</v>
          </cell>
          <cell r="I11097" t="str">
            <v>82103</v>
          </cell>
        </row>
        <row r="11098">
          <cell r="G11098" t="str">
            <v xml:space="preserve">Xã Vĩnh Lộc  </v>
          </cell>
          <cell r="I11098" t="str">
            <v>82103</v>
          </cell>
        </row>
        <row r="11099">
          <cell r="G11099" t="str">
            <v>Thị trấn Ngan Dừa</v>
          </cell>
          <cell r="I11099" t="str">
            <v>82103</v>
          </cell>
        </row>
        <row r="11100">
          <cell r="G11100" t="str">
            <v xml:space="preserve">Xã Ninh Hòa  </v>
          </cell>
          <cell r="I11100" t="str">
            <v>82103</v>
          </cell>
        </row>
        <row r="11101">
          <cell r="G11101" t="str">
            <v xml:space="preserve">Xã Lộc Ninh  </v>
          </cell>
          <cell r="I11101" t="str">
            <v>82103</v>
          </cell>
        </row>
        <row r="11102">
          <cell r="G11102" t="str">
            <v xml:space="preserve">Xã Vĩnh Lộc A </v>
          </cell>
          <cell r="I11102" t="str">
            <v>82103</v>
          </cell>
        </row>
        <row r="11103">
          <cell r="G11103" t="str">
            <v>Xã Ninh Thạnh Lợi</v>
          </cell>
          <cell r="I11103" t="str">
            <v>82103</v>
          </cell>
        </row>
        <row r="11104">
          <cell r="G11104" t="str">
            <v>Xã Ninh Thạnh Lợi A</v>
          </cell>
          <cell r="I11104" t="str">
            <v>82103</v>
          </cell>
        </row>
        <row r="11105">
          <cell r="G11105" t="str">
            <v>Xã Châu Hưng A</v>
          </cell>
          <cell r="I11105" t="str">
            <v>82105</v>
          </cell>
        </row>
        <row r="11106">
          <cell r="G11106" t="str">
            <v xml:space="preserve">Xã Long Thạnh   </v>
          </cell>
          <cell r="I11106" t="str">
            <v>82105</v>
          </cell>
        </row>
        <row r="11107">
          <cell r="G11107" t="str">
            <v xml:space="preserve">Xã Vĩnh Hưng </v>
          </cell>
          <cell r="I11107" t="str">
            <v>82105</v>
          </cell>
        </row>
        <row r="11108">
          <cell r="G11108" t="str">
            <v>Xã Vĩnh Hưng A</v>
          </cell>
          <cell r="I11108" t="str">
            <v>82105</v>
          </cell>
        </row>
        <row r="11109">
          <cell r="G11109" t="str">
            <v>Thị trấn Châu Hưng</v>
          </cell>
          <cell r="I11109" t="str">
            <v>82105</v>
          </cell>
        </row>
        <row r="11110">
          <cell r="G11110" t="str">
            <v>Xã Hưng Thành</v>
          </cell>
          <cell r="I11110" t="str">
            <v>82105</v>
          </cell>
        </row>
        <row r="11111">
          <cell r="G11111" t="str">
            <v>Xã Hưng Hội</v>
          </cell>
          <cell r="I11111" t="str">
            <v>82105</v>
          </cell>
        </row>
        <row r="11112">
          <cell r="G11112" t="str">
            <v>Xã Châu Thới</v>
          </cell>
          <cell r="I11112" t="str">
            <v>82105</v>
          </cell>
        </row>
        <row r="11113">
          <cell r="G11113" t="str">
            <v xml:space="preserve">Thị trấn Hòa Bình </v>
          </cell>
          <cell r="I11113" t="str">
            <v>82106</v>
          </cell>
        </row>
        <row r="11114">
          <cell r="G11114" t="str">
            <v>Xã Minh Diệu</v>
          </cell>
          <cell r="I11114" t="str">
            <v>82106</v>
          </cell>
        </row>
        <row r="11115">
          <cell r="G11115" t="str">
            <v xml:space="preserve">Xã Vĩnh Bình    </v>
          </cell>
          <cell r="I11115" t="str">
            <v>82106</v>
          </cell>
        </row>
        <row r="11116">
          <cell r="G11116" t="str">
            <v>Xã Vĩnh Mỹ B</v>
          </cell>
          <cell r="I11116" t="str">
            <v>82106</v>
          </cell>
        </row>
        <row r="11117">
          <cell r="G11117" t="str">
            <v xml:space="preserve">Xã Vĩnh Hậu </v>
          </cell>
          <cell r="I11117" t="str">
            <v>82106</v>
          </cell>
        </row>
        <row r="11118">
          <cell r="G11118" t="str">
            <v>Xã Vĩnh Mỹ A</v>
          </cell>
          <cell r="I11118" t="str">
            <v>82106</v>
          </cell>
        </row>
        <row r="11119">
          <cell r="G11119" t="str">
            <v xml:space="preserve">Xã Vĩnh Thịnh   </v>
          </cell>
          <cell r="I11119" t="str">
            <v>82106</v>
          </cell>
        </row>
        <row r="11120">
          <cell r="G11120" t="str">
            <v>Xã Vĩnh Hậu A</v>
          </cell>
          <cell r="I11120" t="str">
            <v>82106</v>
          </cell>
        </row>
        <row r="11121">
          <cell r="G11121" t="str">
            <v xml:space="preserve">Xã Tân Phong         </v>
          </cell>
          <cell r="I11121" t="str">
            <v>82107</v>
          </cell>
        </row>
        <row r="11122">
          <cell r="G11122" t="str">
            <v>Phường Láng Tròn</v>
          </cell>
          <cell r="I11122" t="str">
            <v>82107</v>
          </cell>
        </row>
        <row r="11123">
          <cell r="G11123" t="str">
            <v>Xã Phong Thạnh Tây</v>
          </cell>
          <cell r="I11123" t="str">
            <v>82107</v>
          </cell>
        </row>
        <row r="11124">
          <cell r="G11124" t="str">
            <v xml:space="preserve">Phường 1                           </v>
          </cell>
          <cell r="I11124" t="str">
            <v>82107</v>
          </cell>
        </row>
        <row r="11125">
          <cell r="G11125" t="str">
            <v>Phường Hộ Phòng</v>
          </cell>
          <cell r="I11125" t="str">
            <v>82107</v>
          </cell>
        </row>
        <row r="11126">
          <cell r="G11126" t="str">
            <v>Xã Phong Thạnh Đông</v>
          </cell>
          <cell r="I11126" t="str">
            <v>82107</v>
          </cell>
        </row>
        <row r="11127">
          <cell r="G11127" t="str">
            <v>Xã Phong Tân</v>
          </cell>
          <cell r="I11127" t="str">
            <v>82107</v>
          </cell>
        </row>
        <row r="11128">
          <cell r="G11128" t="str">
            <v xml:space="preserve">Xã Phong Thạnh </v>
          </cell>
          <cell r="I11128" t="str">
            <v>82107</v>
          </cell>
        </row>
        <row r="11129">
          <cell r="G11129" t="str">
            <v>Xã Phong Thạnh A</v>
          </cell>
          <cell r="I11129" t="str">
            <v>82107</v>
          </cell>
        </row>
        <row r="11130">
          <cell r="G11130" t="str">
            <v xml:space="preserve">Xã Tân Thạnh      </v>
          </cell>
          <cell r="I11130" t="str">
            <v>82107</v>
          </cell>
        </row>
        <row r="11131">
          <cell r="G11131" t="str">
            <v>Xã Phong Thạnh Tây B</v>
          </cell>
          <cell r="I11131" t="str">
            <v>82109</v>
          </cell>
        </row>
        <row r="11132">
          <cell r="G11132" t="str">
            <v>Xã Vĩnh Phú Đông</v>
          </cell>
          <cell r="I11132" t="str">
            <v>82109</v>
          </cell>
        </row>
        <row r="11133">
          <cell r="G11133" t="str">
            <v>Xã Phong Thạnh Tây A</v>
          </cell>
          <cell r="I11133" t="str">
            <v>82109</v>
          </cell>
        </row>
        <row r="11134">
          <cell r="G11134" t="str">
            <v>Thị trấn Phước Long</v>
          </cell>
          <cell r="I11134" t="str">
            <v>82109</v>
          </cell>
        </row>
        <row r="11135">
          <cell r="G11135" t="str">
            <v>Xã Vĩnh Phú Tây</v>
          </cell>
          <cell r="I11135" t="str">
            <v>82109</v>
          </cell>
        </row>
        <row r="11136">
          <cell r="G11136" t="str">
            <v xml:space="preserve">Xã Phước Long </v>
          </cell>
          <cell r="I11136" t="str">
            <v>82109</v>
          </cell>
        </row>
        <row r="11137">
          <cell r="G11137" t="str">
            <v xml:space="preserve">Xã Hưng Phú  </v>
          </cell>
          <cell r="I11137" t="str">
            <v>82109</v>
          </cell>
        </row>
        <row r="11138">
          <cell r="G11138" t="str">
            <v xml:space="preserve">Xã Vĩnh Thanh </v>
          </cell>
          <cell r="I11138" t="str">
            <v>82109</v>
          </cell>
        </row>
        <row r="11139">
          <cell r="G11139" t="str">
            <v>Xã An Phúc</v>
          </cell>
          <cell r="I11139" t="str">
            <v>82111</v>
          </cell>
        </row>
        <row r="11140">
          <cell r="G11140" t="str">
            <v>Xã Long Điền</v>
          </cell>
          <cell r="I11140" t="str">
            <v>82111</v>
          </cell>
        </row>
        <row r="11141">
          <cell r="G11141" t="str">
            <v xml:space="preserve">Xã Định Thành   </v>
          </cell>
          <cell r="I11141" t="str">
            <v>82111</v>
          </cell>
        </row>
        <row r="11142">
          <cell r="G11142" t="str">
            <v>Thị trấn Gành Hào</v>
          </cell>
          <cell r="I11142" t="str">
            <v>82111</v>
          </cell>
        </row>
        <row r="11143">
          <cell r="G11143" t="str">
            <v>Xã Long Điền Đông</v>
          </cell>
          <cell r="I11143" t="str">
            <v>82111</v>
          </cell>
        </row>
        <row r="11144">
          <cell r="G11144" t="str">
            <v>Xã Long Điền Đông A</v>
          </cell>
          <cell r="I11144" t="str">
            <v>82111</v>
          </cell>
        </row>
        <row r="11145">
          <cell r="G11145" t="str">
            <v>Xã Long Điền Tây</v>
          </cell>
          <cell r="I11145" t="str">
            <v>82111</v>
          </cell>
        </row>
        <row r="11146">
          <cell r="G11146" t="str">
            <v>Xã An Trạch</v>
          </cell>
          <cell r="I11146" t="str">
            <v>82111</v>
          </cell>
        </row>
        <row r="11147">
          <cell r="G11147" t="str">
            <v>Xã Định Thành A</v>
          </cell>
          <cell r="I11147" t="str">
            <v>82111</v>
          </cell>
        </row>
        <row r="11148">
          <cell r="G11148" t="str">
            <v>Xã An Trạch A</v>
          </cell>
          <cell r="I11148" t="str">
            <v>82111</v>
          </cell>
        </row>
        <row r="11149">
          <cell r="G11149" t="str">
            <v xml:space="preserve">Xã Điền Hải </v>
          </cell>
          <cell r="I11149" t="str">
            <v>82111</v>
          </cell>
        </row>
        <row r="11150">
          <cell r="G11150" t="str">
            <v xml:space="preserve">Phường 5                  </v>
          </cell>
          <cell r="I11150" t="str">
            <v>82301</v>
          </cell>
        </row>
        <row r="11151">
          <cell r="G11151" t="str">
            <v>Xã Lý Văn Lâm</v>
          </cell>
          <cell r="I11151" t="str">
            <v>82301</v>
          </cell>
        </row>
        <row r="11152">
          <cell r="G11152" t="str">
            <v xml:space="preserve">Phường 9           </v>
          </cell>
          <cell r="I11152" t="str">
            <v>82301</v>
          </cell>
        </row>
        <row r="11153">
          <cell r="G11153" t="str">
            <v xml:space="preserve">Phường 4                   </v>
          </cell>
          <cell r="I11153" t="str">
            <v>82301</v>
          </cell>
        </row>
        <row r="11154">
          <cell r="G11154" t="str">
            <v xml:space="preserve">Phường 1                            </v>
          </cell>
          <cell r="I11154" t="str">
            <v>82301</v>
          </cell>
        </row>
        <row r="11155">
          <cell r="G11155" t="str">
            <v xml:space="preserve">Phường 2                          </v>
          </cell>
          <cell r="I11155" t="str">
            <v>82301</v>
          </cell>
        </row>
        <row r="11156">
          <cell r="G11156" t="str">
            <v xml:space="preserve">Phường 8             </v>
          </cell>
          <cell r="I11156" t="str">
            <v>82301</v>
          </cell>
        </row>
        <row r="11157">
          <cell r="G11157" t="str">
            <v xml:space="preserve">Phường 6             </v>
          </cell>
          <cell r="I11157" t="str">
            <v>82301</v>
          </cell>
        </row>
        <row r="11158">
          <cell r="G11158" t="str">
            <v xml:space="preserve">Phường 7              </v>
          </cell>
          <cell r="I11158" t="str">
            <v>82301</v>
          </cell>
        </row>
        <row r="11159">
          <cell r="G11159" t="str">
            <v>Xã An Xuyên</v>
          </cell>
          <cell r="I11159" t="str">
            <v>82301</v>
          </cell>
        </row>
        <row r="11160">
          <cell r="G11160" t="str">
            <v xml:space="preserve">Xã Tân Thành                           </v>
          </cell>
          <cell r="I11160" t="str">
            <v>82301</v>
          </cell>
        </row>
        <row r="11161">
          <cell r="G11161" t="str">
            <v>Xã Tắc Vân</v>
          </cell>
          <cell r="I11161" t="str">
            <v>82301</v>
          </cell>
        </row>
        <row r="11162">
          <cell r="G11162" t="str">
            <v xml:space="preserve">Xã Định Bình </v>
          </cell>
          <cell r="I11162" t="str">
            <v>82301</v>
          </cell>
        </row>
        <row r="11163">
          <cell r="G11163" t="str">
            <v xml:space="preserve">Xã Hòa Thành   </v>
          </cell>
          <cell r="I11163" t="str">
            <v>82301</v>
          </cell>
        </row>
        <row r="11164">
          <cell r="G11164" t="str">
            <v xml:space="preserve">Xã Hòa Tân  </v>
          </cell>
          <cell r="I11164" t="str">
            <v>82301</v>
          </cell>
        </row>
        <row r="11165">
          <cell r="G11165" t="str">
            <v>Phường Tân Xuyên</v>
          </cell>
          <cell r="I11165" t="str">
            <v>82301</v>
          </cell>
        </row>
        <row r="11166">
          <cell r="G11166" t="str">
            <v xml:space="preserve">Phường Tân Thành     </v>
          </cell>
          <cell r="I11166" t="str">
            <v>82301</v>
          </cell>
        </row>
        <row r="11167">
          <cell r="G11167" t="str">
            <v xml:space="preserve">Xã Tân Lộc  </v>
          </cell>
          <cell r="I11167" t="str">
            <v>82303</v>
          </cell>
        </row>
        <row r="11168">
          <cell r="G11168" t="str">
            <v>Thị trấn Thới Bình</v>
          </cell>
          <cell r="I11168" t="str">
            <v>82303</v>
          </cell>
        </row>
        <row r="11169">
          <cell r="G11169" t="str">
            <v>Xã Biển Bạch</v>
          </cell>
          <cell r="I11169" t="str">
            <v>82303</v>
          </cell>
        </row>
        <row r="11170">
          <cell r="G11170" t="str">
            <v>Xã Trí Phải</v>
          </cell>
          <cell r="I11170" t="str">
            <v>82303</v>
          </cell>
        </row>
        <row r="11171">
          <cell r="G11171" t="str">
            <v>Xã Biển Bạch Đông</v>
          </cell>
          <cell r="I11171" t="str">
            <v>82303</v>
          </cell>
        </row>
        <row r="11172">
          <cell r="G11172" t="str">
            <v>Xã Thới Bình</v>
          </cell>
          <cell r="I11172" t="str">
            <v>82303</v>
          </cell>
        </row>
        <row r="11173">
          <cell r="G11173" t="str">
            <v xml:space="preserve">Xã Tân Phú              </v>
          </cell>
          <cell r="I11173" t="str">
            <v>82303</v>
          </cell>
        </row>
        <row r="11174">
          <cell r="G11174" t="str">
            <v>Xã Tân Lộc Bắc</v>
          </cell>
          <cell r="I11174" t="str">
            <v>82303</v>
          </cell>
        </row>
        <row r="11175">
          <cell r="G11175" t="str">
            <v>Xã Tân Lộc Đông</v>
          </cell>
          <cell r="I11175" t="str">
            <v>82303</v>
          </cell>
        </row>
        <row r="11176">
          <cell r="G11176" t="str">
            <v>Xã Hồ Thị Kỷ</v>
          </cell>
          <cell r="I11176" t="str">
            <v>82303</v>
          </cell>
        </row>
        <row r="11177">
          <cell r="G11177" t="str">
            <v>Xã Trí Lực</v>
          </cell>
          <cell r="I11177" t="str">
            <v>82303</v>
          </cell>
        </row>
        <row r="11178">
          <cell r="G11178" t="str">
            <v>Xã Tân Bằng</v>
          </cell>
          <cell r="I11178" t="str">
            <v>82303</v>
          </cell>
        </row>
        <row r="11179">
          <cell r="G11179" t="str">
            <v xml:space="preserve">Xã Khánh An  </v>
          </cell>
          <cell r="I11179" t="str">
            <v>82305</v>
          </cell>
        </row>
        <row r="11180">
          <cell r="G11180" t="str">
            <v>Thị trấn U Minh</v>
          </cell>
          <cell r="I11180" t="str">
            <v>82305</v>
          </cell>
        </row>
        <row r="11181">
          <cell r="G11181" t="str">
            <v xml:space="preserve">Xã Khánh Hòa  </v>
          </cell>
          <cell r="I11181" t="str">
            <v>82305</v>
          </cell>
        </row>
        <row r="11182">
          <cell r="G11182" t="str">
            <v>Xã Khánh Tiến</v>
          </cell>
          <cell r="I11182" t="str">
            <v>82305</v>
          </cell>
        </row>
        <row r="11183">
          <cell r="G11183" t="str">
            <v>Xã Nguyễn Phích</v>
          </cell>
          <cell r="I11183" t="str">
            <v>82305</v>
          </cell>
        </row>
        <row r="11184">
          <cell r="G11184" t="str">
            <v>Xã Khánh Lâm</v>
          </cell>
          <cell r="I11184" t="str">
            <v>82305</v>
          </cell>
        </row>
        <row r="11185">
          <cell r="G11185" t="str">
            <v xml:space="preserve">Xã Khánh Hội </v>
          </cell>
          <cell r="I11185" t="str">
            <v>82305</v>
          </cell>
        </row>
        <row r="11186">
          <cell r="G11186" t="str">
            <v>Xã Khánh Thuận</v>
          </cell>
          <cell r="I11186" t="str">
            <v>82305</v>
          </cell>
        </row>
        <row r="11187">
          <cell r="G11187" t="str">
            <v xml:space="preserve">Xã Khánh Hưng </v>
          </cell>
          <cell r="I11187" t="str">
            <v>82307</v>
          </cell>
        </row>
        <row r="11188">
          <cell r="G11188" t="str">
            <v>Thị trấn Trần Văn Thời</v>
          </cell>
          <cell r="I11188" t="str">
            <v>82307</v>
          </cell>
        </row>
        <row r="11189">
          <cell r="G11189" t="str">
            <v>Thị trấn Sông Đốc</v>
          </cell>
          <cell r="I11189" t="str">
            <v>82307</v>
          </cell>
        </row>
        <row r="11190">
          <cell r="G11190" t="str">
            <v>Xã Khánh Bình Tây Bắc</v>
          </cell>
          <cell r="I11190" t="str">
            <v>82307</v>
          </cell>
        </row>
        <row r="11191">
          <cell r="G11191" t="str">
            <v>Xã Khánh Bình Tây</v>
          </cell>
          <cell r="I11191" t="str">
            <v>82307</v>
          </cell>
        </row>
        <row r="11192">
          <cell r="G11192" t="str">
            <v>Xã Trần Hợi</v>
          </cell>
          <cell r="I11192" t="str">
            <v>82307</v>
          </cell>
        </row>
        <row r="11193">
          <cell r="G11193" t="str">
            <v xml:space="preserve">Xã Khánh Bình  </v>
          </cell>
          <cell r="I11193" t="str">
            <v>82307</v>
          </cell>
        </row>
        <row r="11194">
          <cell r="G11194" t="str">
            <v>Xã Khánh Bình Đông</v>
          </cell>
          <cell r="I11194" t="str">
            <v>82307</v>
          </cell>
        </row>
        <row r="11195">
          <cell r="G11195" t="str">
            <v xml:space="preserve">Xã Khánh Hải </v>
          </cell>
          <cell r="I11195" t="str">
            <v>82307</v>
          </cell>
        </row>
        <row r="11196">
          <cell r="G11196" t="str">
            <v>Xã Lợi An</v>
          </cell>
          <cell r="I11196" t="str">
            <v>82307</v>
          </cell>
        </row>
        <row r="11197">
          <cell r="G11197" t="str">
            <v>Xã Phong Lạc</v>
          </cell>
          <cell r="I11197" t="str">
            <v>82307</v>
          </cell>
        </row>
        <row r="11198">
          <cell r="G11198" t="str">
            <v>Xã Phong Điền</v>
          </cell>
          <cell r="I11198" t="str">
            <v>82307</v>
          </cell>
        </row>
        <row r="11199">
          <cell r="G11199" t="str">
            <v xml:space="preserve">Xã Khánh Lộc </v>
          </cell>
          <cell r="I11199" t="str">
            <v>82307</v>
          </cell>
        </row>
        <row r="11200">
          <cell r="G11200" t="str">
            <v xml:space="preserve">Xã Phú Tân    </v>
          </cell>
          <cell r="I11200" t="str">
            <v>82308</v>
          </cell>
        </row>
        <row r="11201">
          <cell r="G11201" t="str">
            <v>Xã Việt Thắng</v>
          </cell>
          <cell r="I11201" t="str">
            <v>82308</v>
          </cell>
        </row>
        <row r="11202">
          <cell r="G11202" t="str">
            <v>Thị trấn Cái Đôi Vàm</v>
          </cell>
          <cell r="I11202" t="str">
            <v>82308</v>
          </cell>
        </row>
        <row r="11203">
          <cell r="G11203" t="str">
            <v xml:space="preserve">Xã Phú Mỹ        </v>
          </cell>
          <cell r="I11203" t="str">
            <v>82308</v>
          </cell>
        </row>
        <row r="11204">
          <cell r="G11204" t="str">
            <v xml:space="preserve">Xã Tân Hải   </v>
          </cell>
          <cell r="I11204" t="str">
            <v>82308</v>
          </cell>
        </row>
        <row r="11205">
          <cell r="G11205" t="str">
            <v>Xã Tân Hưng Tây</v>
          </cell>
          <cell r="I11205" t="str">
            <v>82308</v>
          </cell>
        </row>
        <row r="11206">
          <cell r="G11206" t="str">
            <v>Xã Nguyễn Việt Khái</v>
          </cell>
          <cell r="I11206" t="str">
            <v>82308</v>
          </cell>
        </row>
        <row r="11207">
          <cell r="G11207" t="str">
            <v>xã Rạch Chèo</v>
          </cell>
          <cell r="I11207" t="str">
            <v>82308</v>
          </cell>
        </row>
        <row r="11208">
          <cell r="G11208" t="str">
            <v xml:space="preserve">xã Phú Thuận   </v>
          </cell>
          <cell r="I11208" t="str">
            <v>82308</v>
          </cell>
        </row>
        <row r="11209">
          <cell r="G11209" t="str">
            <v>Xã Đông Thới</v>
          </cell>
          <cell r="I11209" t="str">
            <v>82309</v>
          </cell>
        </row>
        <row r="11210">
          <cell r="G11210" t="str">
            <v xml:space="preserve">Xã Tân Hưng               </v>
          </cell>
          <cell r="I11210" t="str">
            <v>82309</v>
          </cell>
        </row>
        <row r="11211">
          <cell r="G11211" t="str">
            <v>Xã Trần Thới</v>
          </cell>
          <cell r="I11211" t="str">
            <v>82309</v>
          </cell>
        </row>
        <row r="11212">
          <cell r="G11212" t="str">
            <v>Thị trấn Cái Nước</v>
          </cell>
          <cell r="I11212" t="str">
            <v>82309</v>
          </cell>
        </row>
        <row r="11213">
          <cell r="G11213" t="str">
            <v>Xã Lương Thế Trân</v>
          </cell>
          <cell r="I11213" t="str">
            <v>82309</v>
          </cell>
        </row>
        <row r="11214">
          <cell r="G11214" t="str">
            <v xml:space="preserve">Xã Phú Hưng  </v>
          </cell>
          <cell r="I11214" t="str">
            <v>82309</v>
          </cell>
        </row>
        <row r="11215">
          <cell r="G11215" t="str">
            <v xml:space="preserve">Xã Hưng Mỹ  </v>
          </cell>
          <cell r="I11215" t="str">
            <v>82309</v>
          </cell>
        </row>
        <row r="11216">
          <cell r="G11216" t="str">
            <v>Xã Tân Hưng Đông</v>
          </cell>
          <cell r="I11216" t="str">
            <v>82309</v>
          </cell>
        </row>
        <row r="11217">
          <cell r="G11217" t="str">
            <v xml:space="preserve">Xã Thạnh Phú      </v>
          </cell>
          <cell r="I11217" t="str">
            <v>82309</v>
          </cell>
        </row>
        <row r="11218">
          <cell r="G11218" t="str">
            <v xml:space="preserve">Xã Hoà Mỹ </v>
          </cell>
          <cell r="I11218" t="str">
            <v>82309</v>
          </cell>
        </row>
        <row r="11219">
          <cell r="G11219" t="str">
            <v xml:space="preserve">Xã Đông Hưng    </v>
          </cell>
          <cell r="I11219" t="str">
            <v>82309</v>
          </cell>
        </row>
        <row r="11220">
          <cell r="G11220" t="str">
            <v>Xã Quách Phẩm Bắc</v>
          </cell>
          <cell r="I11220" t="str">
            <v>82311</v>
          </cell>
        </row>
        <row r="11221">
          <cell r="G11221" t="str">
            <v>Xã Trần Phán</v>
          </cell>
          <cell r="I11221" t="str">
            <v>82311</v>
          </cell>
        </row>
        <row r="11222">
          <cell r="G11222" t="str">
            <v>Xã Tân Duyệt</v>
          </cell>
          <cell r="I11222" t="str">
            <v>82311</v>
          </cell>
        </row>
        <row r="11223">
          <cell r="G11223" t="str">
            <v xml:space="preserve">Xã Thanh Tùng  </v>
          </cell>
          <cell r="I11223" t="str">
            <v>82311</v>
          </cell>
        </row>
        <row r="11224">
          <cell r="G11224" t="str">
            <v>Thị trấn Đầm Dơi</v>
          </cell>
          <cell r="I11224" t="str">
            <v>82311</v>
          </cell>
        </row>
        <row r="11225">
          <cell r="G11225" t="str">
            <v>Xã Tạ An Khương</v>
          </cell>
          <cell r="I11225" t="str">
            <v>82311</v>
          </cell>
        </row>
        <row r="11226">
          <cell r="G11226" t="str">
            <v>Xã Tạ An Khương Đông</v>
          </cell>
          <cell r="I11226" t="str">
            <v>82311</v>
          </cell>
        </row>
        <row r="11227">
          <cell r="G11227" t="str">
            <v xml:space="preserve">Xã Tân Đức   </v>
          </cell>
          <cell r="I11227" t="str">
            <v>82311</v>
          </cell>
        </row>
        <row r="11228">
          <cell r="G11228" t="str">
            <v xml:space="preserve">Xã Tân Thuận  </v>
          </cell>
          <cell r="I11228" t="str">
            <v>82311</v>
          </cell>
        </row>
        <row r="11229">
          <cell r="G11229" t="str">
            <v>Xã Tạ An Khương Nam</v>
          </cell>
          <cell r="I11229" t="str">
            <v>82311</v>
          </cell>
        </row>
        <row r="11230">
          <cell r="G11230" t="str">
            <v xml:space="preserve">Xã Tân Tiến                 </v>
          </cell>
          <cell r="I11230" t="str">
            <v>82311</v>
          </cell>
        </row>
      </sheetData>
      <sheetData sheetId="2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</row>
      </sheetData>
      <sheetData sheetId="2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mplate Payroll"/>
      <sheetName val="PC cơm "/>
      <sheetName val="TimeTB 2"/>
      <sheetName val=" TimeTB 1"/>
      <sheetName val="OT "/>
      <sheetName val="NS"/>
      <sheetName val="Incentive"/>
      <sheetName val="Others"/>
      <sheetName val="Benefit tính thuế"/>
    </sheetNames>
    <sheetDataSet>
      <sheetData sheetId="0">
        <row r="6">
          <cell r="B6" t="str">
            <v>SLA2500111</v>
          </cell>
          <cell r="D6" t="str">
            <v>Nguyễn Thị Hà</v>
          </cell>
          <cell r="E6" t="str">
            <v>27/07/2015</v>
          </cell>
          <cell r="F6" t="str">
            <v>PVT - Store Manager</v>
          </cell>
          <cell r="G6" t="str">
            <v>Store Management</v>
          </cell>
          <cell r="H6" t="str">
            <v>Manager</v>
          </cell>
          <cell r="I6" t="str">
            <v>Store Manager - Emart Phan Van Tri</v>
          </cell>
          <cell r="J6">
            <v>47000000</v>
          </cell>
        </row>
        <row r="7">
          <cell r="G7">
            <v>1</v>
          </cell>
          <cell r="J7">
            <v>31000000</v>
          </cell>
        </row>
        <row r="8">
          <cell r="B8" t="str">
            <v>PHI2500112</v>
          </cell>
          <cell r="D8" t="str">
            <v>Phùng Mạnh Hà</v>
          </cell>
          <cell r="E8" t="str">
            <v>19/12/2022</v>
          </cell>
          <cell r="F8" t="str">
            <v>PVT - Cooperate Function</v>
          </cell>
          <cell r="G8" t="str">
            <v>Cooperate Function</v>
          </cell>
          <cell r="H8" t="str">
            <v>Manager</v>
          </cell>
          <cell r="I8" t="str">
            <v>Corporate Function Manager</v>
          </cell>
          <cell r="J8">
            <v>31000000</v>
          </cell>
        </row>
        <row r="9">
          <cell r="G9">
            <v>2</v>
          </cell>
          <cell r="J9">
            <v>16500000</v>
          </cell>
        </row>
        <row r="10">
          <cell r="B10" t="str">
            <v>PVT2500114</v>
          </cell>
          <cell r="D10" t="str">
            <v>Nguyễn Đức Khánh</v>
          </cell>
          <cell r="E10">
            <v>44562</v>
          </cell>
          <cell r="F10" t="str">
            <v xml:space="preserve">PVT - Cashier </v>
          </cell>
          <cell r="G10" t="str">
            <v>Cashier</v>
          </cell>
          <cell r="H10" t="str">
            <v>Staff</v>
          </cell>
          <cell r="I10" t="str">
            <v>Cashier Staff</v>
          </cell>
          <cell r="J10">
            <v>8000000</v>
          </cell>
        </row>
        <row r="11">
          <cell r="B11" t="str">
            <v>PVT2500115</v>
          </cell>
          <cell r="D11" t="str">
            <v>Nguyễn Sơn Tùng</v>
          </cell>
          <cell r="E11">
            <v>45740</v>
          </cell>
          <cell r="F11" t="str">
            <v xml:space="preserve">PVT - Cashier </v>
          </cell>
          <cell r="G11" t="str">
            <v>Cashier</v>
          </cell>
          <cell r="H11" t="str">
            <v>Staff</v>
          </cell>
          <cell r="I11" t="str">
            <v>Cashier Staff</v>
          </cell>
          <cell r="J11">
            <v>8500000</v>
          </cell>
        </row>
        <row r="12">
          <cell r="G12">
            <v>1</v>
          </cell>
          <cell r="J12">
            <v>7056000</v>
          </cell>
        </row>
        <row r="13">
          <cell r="B13" t="str">
            <v>PVT2500116</v>
          </cell>
          <cell r="D13" t="str">
            <v>Nguyễn Quang Cường</v>
          </cell>
          <cell r="E13" t="str">
            <v>12/10/2016</v>
          </cell>
          <cell r="F13" t="str">
            <v xml:space="preserve">PVT - Quality Assurance </v>
          </cell>
          <cell r="G13" t="str">
            <v xml:space="preserve">Quality Assurance </v>
          </cell>
          <cell r="H13" t="str">
            <v>Assistant</v>
          </cell>
          <cell r="I13" t="str">
            <v>QA Assistant</v>
          </cell>
          <cell r="J13">
            <v>7056000</v>
          </cell>
        </row>
        <row r="14">
          <cell r="G14">
            <v>1</v>
          </cell>
          <cell r="J14">
            <v>6841000</v>
          </cell>
        </row>
        <row r="15">
          <cell r="B15" t="str">
            <v>PVT2500117</v>
          </cell>
          <cell r="D15" t="str">
            <v>Phạm Đức Kiên</v>
          </cell>
          <cell r="E15" t="str">
            <v>22/06/2022</v>
          </cell>
          <cell r="F15" t="str">
            <v>PVT - Security</v>
          </cell>
          <cell r="G15" t="str">
            <v>Security</v>
          </cell>
          <cell r="H15" t="str">
            <v>Staff</v>
          </cell>
          <cell r="I15" t="str">
            <v>Security Staff</v>
          </cell>
          <cell r="J15">
            <v>6841000</v>
          </cell>
        </row>
        <row r="16">
          <cell r="G16">
            <v>2</v>
          </cell>
          <cell r="J16">
            <v>21448000</v>
          </cell>
        </row>
        <row r="17">
          <cell r="B17" t="str">
            <v>PVT2500113</v>
          </cell>
          <cell r="D17" t="str">
            <v>Nguyễn Văn Quân</v>
          </cell>
          <cell r="E17" t="str">
            <v>24/10/2022</v>
          </cell>
          <cell r="F17" t="str">
            <v>PVT - Operation</v>
          </cell>
          <cell r="G17" t="str">
            <v>PP. Center</v>
          </cell>
          <cell r="H17" t="str">
            <v>Staff</v>
          </cell>
          <cell r="I17" t="str">
            <v>Shipper Staff</v>
          </cell>
          <cell r="J17">
            <v>10448000</v>
          </cell>
        </row>
        <row r="18">
          <cell r="B18" t="str">
            <v>PVT2500118</v>
          </cell>
          <cell r="D18" t="str">
            <v>Ngô Văn Tuấn</v>
          </cell>
          <cell r="E18">
            <v>45738</v>
          </cell>
          <cell r="F18" t="str">
            <v>PVT - Operation</v>
          </cell>
          <cell r="G18" t="str">
            <v>PP. Center</v>
          </cell>
          <cell r="H18" t="str">
            <v>Staff</v>
          </cell>
          <cell r="I18" t="str">
            <v>Shipper Staff</v>
          </cell>
          <cell r="J18">
            <v>11000000</v>
          </cell>
        </row>
      </sheetData>
      <sheetData sheetId="1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 t="str">
            <v>Store Management</v>
          </cell>
          <cell r="F7">
            <v>25</v>
          </cell>
          <cell r="G7">
            <v>0</v>
          </cell>
          <cell r="H7">
            <v>0</v>
          </cell>
          <cell r="I7">
            <v>1000000</v>
          </cell>
          <cell r="J7">
            <v>0</v>
          </cell>
          <cell r="K7">
            <v>0</v>
          </cell>
          <cell r="L7">
            <v>1000000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 t="str">
            <v>Cooperate Function</v>
          </cell>
          <cell r="F8">
            <v>26</v>
          </cell>
          <cell r="G8">
            <v>0</v>
          </cell>
          <cell r="H8">
            <v>1</v>
          </cell>
          <cell r="I8">
            <v>1040000</v>
          </cell>
          <cell r="J8">
            <v>0</v>
          </cell>
          <cell r="K8">
            <v>80000</v>
          </cell>
          <cell r="L8">
            <v>1120000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 t="str">
            <v>PP. Center</v>
          </cell>
          <cell r="F9">
            <v>24</v>
          </cell>
          <cell r="G9">
            <v>0</v>
          </cell>
          <cell r="H9">
            <v>0</v>
          </cell>
          <cell r="I9">
            <v>960000</v>
          </cell>
          <cell r="J9">
            <v>0</v>
          </cell>
          <cell r="K9">
            <v>0</v>
          </cell>
          <cell r="L9">
            <v>960000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 t="str">
            <v xml:space="preserve">Hr/Admin </v>
          </cell>
          <cell r="F10">
            <v>16</v>
          </cell>
          <cell r="G10">
            <v>0</v>
          </cell>
          <cell r="H10">
            <v>1</v>
          </cell>
          <cell r="I10">
            <v>640000</v>
          </cell>
          <cell r="J10">
            <v>0</v>
          </cell>
          <cell r="K10">
            <v>80000</v>
          </cell>
          <cell r="L10">
            <v>720000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 t="str">
            <v xml:space="preserve">Hr/Admin </v>
          </cell>
          <cell r="F11">
            <v>26</v>
          </cell>
          <cell r="G11">
            <v>0</v>
          </cell>
          <cell r="H11">
            <v>1</v>
          </cell>
          <cell r="I11">
            <v>1040000</v>
          </cell>
          <cell r="J11">
            <v>0</v>
          </cell>
          <cell r="K11">
            <v>80000</v>
          </cell>
          <cell r="L11">
            <v>1120000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 t="str">
            <v>Cashier</v>
          </cell>
          <cell r="F12">
            <v>26</v>
          </cell>
          <cell r="G12">
            <v>0</v>
          </cell>
          <cell r="H12">
            <v>1</v>
          </cell>
          <cell r="I12">
            <v>1040000</v>
          </cell>
          <cell r="J12">
            <v>0</v>
          </cell>
          <cell r="K12">
            <v>80000</v>
          </cell>
          <cell r="L12">
            <v>1120000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 t="str">
            <v>Cashier</v>
          </cell>
          <cell r="F13">
            <v>24</v>
          </cell>
          <cell r="G13">
            <v>0</v>
          </cell>
          <cell r="H13">
            <v>0</v>
          </cell>
          <cell r="I13">
            <v>960000</v>
          </cell>
          <cell r="J13">
            <v>0</v>
          </cell>
          <cell r="K13">
            <v>0</v>
          </cell>
          <cell r="L13">
            <v>960000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 t="str">
            <v>PP. Center</v>
          </cell>
          <cell r="F14">
            <v>26</v>
          </cell>
          <cell r="G14">
            <v>0</v>
          </cell>
          <cell r="H14">
            <v>1</v>
          </cell>
          <cell r="I14">
            <v>1040000</v>
          </cell>
          <cell r="J14">
            <v>0</v>
          </cell>
          <cell r="K14">
            <v>80000</v>
          </cell>
          <cell r="L14">
            <v>1120000</v>
          </cell>
        </row>
        <row r="15">
          <cell r="F15">
            <v>193</v>
          </cell>
          <cell r="G15">
            <v>0</v>
          </cell>
          <cell r="H15">
            <v>5</v>
          </cell>
          <cell r="I15">
            <v>7720000</v>
          </cell>
          <cell r="J15">
            <v>0</v>
          </cell>
          <cell r="K15">
            <v>400000</v>
          </cell>
          <cell r="L15">
            <v>8120000</v>
          </cell>
        </row>
      </sheetData>
      <sheetData sheetId="2"/>
      <sheetData sheetId="3"/>
      <sheetData sheetId="4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>
            <v>47000000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>
            <v>31000000</v>
          </cell>
          <cell r="F8">
            <v>0</v>
          </cell>
          <cell r="G8">
            <v>6</v>
          </cell>
          <cell r="H8">
            <v>0</v>
          </cell>
          <cell r="I8">
            <v>0</v>
          </cell>
          <cell r="J8">
            <v>6</v>
          </cell>
          <cell r="K8">
            <v>2</v>
          </cell>
          <cell r="L8">
            <v>0</v>
          </cell>
          <cell r="M8">
            <v>1922596</v>
          </cell>
          <cell r="N8">
            <v>0</v>
          </cell>
          <cell r="O8">
            <v>0</v>
          </cell>
          <cell r="P8">
            <v>2682692</v>
          </cell>
          <cell r="Q8">
            <v>1222115</v>
          </cell>
          <cell r="R8">
            <v>5827403</v>
          </cell>
          <cell r="S8">
            <v>2086538</v>
          </cell>
          <cell r="T8">
            <v>3740865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>
            <v>10448000</v>
          </cell>
          <cell r="F9">
            <v>0.5</v>
          </cell>
          <cell r="G9">
            <v>2.5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37673</v>
          </cell>
          <cell r="M9">
            <v>269990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307663</v>
          </cell>
          <cell r="S9">
            <v>150692</v>
          </cell>
          <cell r="T9">
            <v>156971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>
            <v>8000000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7</v>
          </cell>
          <cell r="K10">
            <v>1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807692</v>
          </cell>
          <cell r="Q10">
            <v>157692</v>
          </cell>
          <cell r="R10">
            <v>965384</v>
          </cell>
          <cell r="S10">
            <v>307692</v>
          </cell>
          <cell r="T10">
            <v>657692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>
            <v>8500000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8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980769</v>
          </cell>
          <cell r="Q11">
            <v>0</v>
          </cell>
          <cell r="R11">
            <v>980769</v>
          </cell>
          <cell r="S11">
            <v>980769</v>
          </cell>
          <cell r="T11">
            <v>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>
            <v>7056000</v>
          </cell>
          <cell r="F12">
            <v>1</v>
          </cell>
          <cell r="G12">
            <v>9</v>
          </cell>
          <cell r="H12">
            <v>0</v>
          </cell>
          <cell r="I12">
            <v>0</v>
          </cell>
          <cell r="J12">
            <v>6</v>
          </cell>
          <cell r="K12">
            <v>2</v>
          </cell>
          <cell r="L12">
            <v>50885</v>
          </cell>
          <cell r="M12">
            <v>656412</v>
          </cell>
          <cell r="N12">
            <v>0</v>
          </cell>
          <cell r="O12">
            <v>0</v>
          </cell>
          <cell r="P12">
            <v>610615</v>
          </cell>
          <cell r="Q12">
            <v>278169</v>
          </cell>
          <cell r="R12">
            <v>1596081</v>
          </cell>
          <cell r="S12">
            <v>610615</v>
          </cell>
          <cell r="T12">
            <v>985466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>
            <v>6841000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>
            <v>11000000</v>
          </cell>
          <cell r="F14">
            <v>1</v>
          </cell>
          <cell r="G14">
            <v>9</v>
          </cell>
          <cell r="H14">
            <v>0</v>
          </cell>
          <cell r="I14">
            <v>0</v>
          </cell>
          <cell r="J14">
            <v>6</v>
          </cell>
          <cell r="K14">
            <v>2</v>
          </cell>
          <cell r="L14">
            <v>79327</v>
          </cell>
          <cell r="M14">
            <v>1023317</v>
          </cell>
          <cell r="N14">
            <v>0</v>
          </cell>
          <cell r="O14">
            <v>0</v>
          </cell>
          <cell r="P14">
            <v>951923</v>
          </cell>
          <cell r="Q14">
            <v>433654</v>
          </cell>
          <cell r="R14">
            <v>2488221</v>
          </cell>
          <cell r="S14">
            <v>2488221</v>
          </cell>
          <cell r="T14">
            <v>0</v>
          </cell>
        </row>
      </sheetData>
      <sheetData sheetId="5">
        <row r="9">
          <cell r="B9" t="str">
            <v>SLA2500111</v>
          </cell>
          <cell r="C9" t="str">
            <v>Nguyen Van A</v>
          </cell>
          <cell r="D9">
            <v>43466</v>
          </cell>
          <cell r="E9">
            <v>47000000</v>
          </cell>
          <cell r="F9">
            <v>2</v>
          </cell>
          <cell r="G9">
            <v>135577</v>
          </cell>
          <cell r="H9">
            <v>0</v>
          </cell>
          <cell r="I9">
            <v>135577</v>
          </cell>
        </row>
        <row r="10">
          <cell r="B10" t="str">
            <v>PHI2500112</v>
          </cell>
          <cell r="C10" t="str">
            <v>Nguyen Van B</v>
          </cell>
          <cell r="D10">
            <v>43831</v>
          </cell>
          <cell r="E10">
            <v>31000000</v>
          </cell>
          <cell r="F10">
            <v>3</v>
          </cell>
          <cell r="G10">
            <v>134135</v>
          </cell>
          <cell r="H10">
            <v>0</v>
          </cell>
          <cell r="I10">
            <v>134135</v>
          </cell>
        </row>
        <row r="11">
          <cell r="B11" t="str">
            <v>PVT2500113</v>
          </cell>
          <cell r="C11" t="str">
            <v>Nguyễn Đức Khánh</v>
          </cell>
          <cell r="D11">
            <v>44197</v>
          </cell>
          <cell r="E11">
            <v>10448000</v>
          </cell>
          <cell r="F11">
            <v>4</v>
          </cell>
          <cell r="G11">
            <v>60277</v>
          </cell>
          <cell r="H11">
            <v>0</v>
          </cell>
          <cell r="I11">
            <v>60277</v>
          </cell>
        </row>
        <row r="12">
          <cell r="B12" t="str">
            <v>PVT2500114</v>
          </cell>
          <cell r="C12" t="str">
            <v>Nguyễn Sơn Tùng</v>
          </cell>
          <cell r="D12">
            <v>44562</v>
          </cell>
          <cell r="E12">
            <v>8000000</v>
          </cell>
          <cell r="F12">
            <v>1.5</v>
          </cell>
          <cell r="G12">
            <v>17308</v>
          </cell>
          <cell r="H12">
            <v>0</v>
          </cell>
          <cell r="I12">
            <v>17308</v>
          </cell>
        </row>
        <row r="13">
          <cell r="B13" t="str">
            <v>PVT2500115</v>
          </cell>
          <cell r="C13" t="str">
            <v>Nguyễn Quang Cường</v>
          </cell>
          <cell r="D13">
            <v>45740</v>
          </cell>
          <cell r="E13">
            <v>8500000</v>
          </cell>
          <cell r="F13">
            <v>0.5</v>
          </cell>
          <cell r="G13">
            <v>6130</v>
          </cell>
          <cell r="H13">
            <v>6130</v>
          </cell>
        </row>
        <row r="14">
          <cell r="B14" t="str">
            <v>PVT2500116</v>
          </cell>
          <cell r="C14" t="str">
            <v>Phạm Đức Kiên</v>
          </cell>
          <cell r="D14">
            <v>44927</v>
          </cell>
          <cell r="E14">
            <v>7056000</v>
          </cell>
          <cell r="F14">
            <v>1</v>
          </cell>
          <cell r="G14">
            <v>10177</v>
          </cell>
          <cell r="H14">
            <v>0</v>
          </cell>
          <cell r="I14">
            <v>10177</v>
          </cell>
        </row>
        <row r="15">
          <cell r="B15" t="str">
            <v>PVT2500117</v>
          </cell>
          <cell r="C15" t="str">
            <v>Nguyễn Văn Quân</v>
          </cell>
          <cell r="D15">
            <v>45292</v>
          </cell>
          <cell r="E15">
            <v>6841000</v>
          </cell>
          <cell r="F15">
            <v>5</v>
          </cell>
          <cell r="G15">
            <v>49334</v>
          </cell>
          <cell r="H15">
            <v>0</v>
          </cell>
          <cell r="I15">
            <v>49334</v>
          </cell>
        </row>
        <row r="16">
          <cell r="B16" t="str">
            <v>PVT2500118</v>
          </cell>
          <cell r="C16" t="str">
            <v>Ngô Văn Tuấn</v>
          </cell>
          <cell r="D16">
            <v>45738</v>
          </cell>
          <cell r="E16">
            <v>11000000</v>
          </cell>
          <cell r="F16">
            <v>6</v>
          </cell>
          <cell r="G16">
            <v>95192</v>
          </cell>
          <cell r="H16">
            <v>95192</v>
          </cell>
        </row>
      </sheetData>
      <sheetData sheetId="6">
        <row r="9">
          <cell r="B9" t="str">
            <v>PVT2500116</v>
          </cell>
          <cell r="C9" t="str">
            <v>Phạm Đức Kiên</v>
          </cell>
          <cell r="G9" t="str">
            <v>Cashier</v>
          </cell>
          <cell r="H9">
            <v>2000000</v>
          </cell>
        </row>
        <row r="10">
          <cell r="B10" t="str">
            <v>PVT2500117</v>
          </cell>
          <cell r="C10" t="str">
            <v>Nguyễn Văn Quân</v>
          </cell>
          <cell r="G10" t="str">
            <v>Cashier</v>
          </cell>
          <cell r="H10">
            <v>2600000</v>
          </cell>
        </row>
        <row r="11">
          <cell r="B11" t="str">
            <v>PVT2500118</v>
          </cell>
          <cell r="C11" t="str">
            <v>Ngô Văn Tuấn</v>
          </cell>
          <cell r="G11" t="str">
            <v>PP. Center</v>
          </cell>
          <cell r="H11">
            <v>5610000</v>
          </cell>
        </row>
      </sheetData>
      <sheetData sheetId="7">
        <row r="9">
          <cell r="B9" t="str">
            <v>PVT2500113</v>
          </cell>
          <cell r="F9">
            <v>1923076.923076923</v>
          </cell>
        </row>
        <row r="10">
          <cell r="F10">
            <v>0</v>
          </cell>
        </row>
        <row r="11">
          <cell r="F11">
            <v>1923076.923076923</v>
          </cell>
        </row>
        <row r="13">
          <cell r="B13" t="str">
            <v>Emp.Code</v>
          </cell>
          <cell r="F13" t="str">
            <v>Amount</v>
          </cell>
        </row>
        <row r="14">
          <cell r="B14" t="str">
            <v>PVT2500114</v>
          </cell>
          <cell r="F14">
            <v>500000</v>
          </cell>
        </row>
        <row r="15">
          <cell r="B15" t="str">
            <v>PVT2500115</v>
          </cell>
          <cell r="F15">
            <v>500000</v>
          </cell>
        </row>
      </sheetData>
      <sheetData sheetId="8">
        <row r="2">
          <cell r="B2" t="str">
            <v>SLA2500111</v>
          </cell>
          <cell r="C2" t="str">
            <v>Nguyễn Thị Hà</v>
          </cell>
          <cell r="E2">
            <v>200000</v>
          </cell>
          <cell r="H2">
            <v>200000</v>
          </cell>
        </row>
        <row r="3">
          <cell r="B3" t="str">
            <v>PHI2500112</v>
          </cell>
          <cell r="C3" t="str">
            <v>Phùng Mạnh Hà</v>
          </cell>
          <cell r="F3">
            <v>2000000</v>
          </cell>
          <cell r="H3">
            <v>2000000</v>
          </cell>
        </row>
        <row r="4">
          <cell r="B4" t="str">
            <v>PVT2500113</v>
          </cell>
          <cell r="C4" t="str">
            <v>Nguyễn Đức Khánh</v>
          </cell>
          <cell r="G4">
            <v>1000000</v>
          </cell>
          <cell r="H4">
            <v>1000000</v>
          </cell>
        </row>
        <row r="5">
          <cell r="B5" t="str">
            <v>PVT2500114</v>
          </cell>
          <cell r="C5" t="str">
            <v>Nguyễn Sơn Tùng</v>
          </cell>
          <cell r="D5">
            <v>500000</v>
          </cell>
          <cell r="G5">
            <v>750000</v>
          </cell>
          <cell r="H5">
            <v>1250000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metable_T03"/>
    </sheetNames>
    <sheetDataSet>
      <sheetData sheetId="0">
        <row r="9">
          <cell r="B9" t="str">
            <v>PVT2400209</v>
          </cell>
          <cell r="C9" t="str">
            <v>Nguyen Thi Ngoc Phuong</v>
          </cell>
          <cell r="D9" t="str">
            <v>22/04/2024</v>
          </cell>
          <cell r="E9" t="str">
            <v xml:space="preserve">Cashier </v>
          </cell>
          <cell r="F9" t="str">
            <v xml:space="preserve">Cashier </v>
          </cell>
          <cell r="G9" t="str">
            <v>Cashier Staff</v>
          </cell>
          <cell r="I9" t="str">
            <v>NOT</v>
          </cell>
          <cell r="J9" t="str">
            <v>NOT</v>
          </cell>
          <cell r="K9" t="str">
            <v>NOT</v>
          </cell>
          <cell r="L9" t="str">
            <v>NOT</v>
          </cell>
          <cell r="M9" t="str">
            <v>NOT</v>
          </cell>
          <cell r="N9" t="str">
            <v>NOT</v>
          </cell>
          <cell r="O9" t="str">
            <v>NOT</v>
          </cell>
          <cell r="P9" t="str">
            <v>NOT</v>
          </cell>
          <cell r="Q9" t="str">
            <v>NOT</v>
          </cell>
          <cell r="R9" t="str">
            <v>NOT</v>
          </cell>
          <cell r="S9" t="str">
            <v>NOT</v>
          </cell>
          <cell r="T9" t="str">
            <v>NOT</v>
          </cell>
          <cell r="U9" t="str">
            <v>NOT</v>
          </cell>
          <cell r="V9" t="str">
            <v>NOT</v>
          </cell>
          <cell r="W9" t="str">
            <v>NOT</v>
          </cell>
          <cell r="X9" t="str">
            <v>NOT</v>
          </cell>
          <cell r="Y9" t="str">
            <v>NOT</v>
          </cell>
          <cell r="Z9" t="str">
            <v>NOT</v>
          </cell>
          <cell r="AA9" t="str">
            <v>NOT</v>
          </cell>
          <cell r="AB9" t="str">
            <v>NOT</v>
          </cell>
          <cell r="AC9" t="str">
            <v>NOT</v>
          </cell>
          <cell r="AD9" t="str">
            <v>NOT</v>
          </cell>
          <cell r="AE9" t="str">
            <v>NOT</v>
          </cell>
          <cell r="AF9" t="str">
            <v>NOT</v>
          </cell>
          <cell r="AG9" t="str">
            <v>NOT</v>
          </cell>
          <cell r="AH9" t="str">
            <v>NOT</v>
          </cell>
          <cell r="AI9" t="str">
            <v>NOT</v>
          </cell>
          <cell r="AJ9" t="str">
            <v>X</v>
          </cell>
          <cell r="AK9" t="str">
            <v>NOT</v>
          </cell>
          <cell r="AL9" t="str">
            <v>NOT</v>
          </cell>
          <cell r="AM9" t="str">
            <v>NOT</v>
          </cell>
          <cell r="AP9">
            <v>0</v>
          </cell>
          <cell r="AQ9">
            <v>0</v>
          </cell>
          <cell r="AR9">
            <v>0</v>
          </cell>
          <cell r="AS9">
            <v>1</v>
          </cell>
        </row>
        <row r="10">
          <cell r="B10" t="str">
            <v>PVT2400208</v>
          </cell>
          <cell r="C10" t="str">
            <v>Luu Han Nom</v>
          </cell>
          <cell r="D10" t="str">
            <v>22/04/2024</v>
          </cell>
          <cell r="E10" t="str">
            <v>Fresh Food</v>
          </cell>
          <cell r="F10" t="str">
            <v>Dried food</v>
          </cell>
          <cell r="G10" t="str">
            <v>Dried food Staff</v>
          </cell>
          <cell r="I10" t="str">
            <v>NOT</v>
          </cell>
          <cell r="J10" t="str">
            <v>NOT</v>
          </cell>
          <cell r="K10" t="str">
            <v>NOT</v>
          </cell>
          <cell r="L10" t="str">
            <v>NOT</v>
          </cell>
          <cell r="M10" t="str">
            <v>NOT</v>
          </cell>
          <cell r="N10" t="str">
            <v>NOT</v>
          </cell>
          <cell r="O10" t="str">
            <v>NOT</v>
          </cell>
          <cell r="P10" t="str">
            <v>NOT</v>
          </cell>
          <cell r="Q10" t="str">
            <v>NOT</v>
          </cell>
          <cell r="R10" t="str">
            <v>NOT</v>
          </cell>
          <cell r="S10" t="str">
            <v>NOT</v>
          </cell>
          <cell r="T10" t="str">
            <v>NOT</v>
          </cell>
          <cell r="U10" t="str">
            <v>NOT</v>
          </cell>
          <cell r="V10" t="str">
            <v>NOT</v>
          </cell>
          <cell r="W10" t="str">
            <v>NOT</v>
          </cell>
          <cell r="X10" t="str">
            <v>NOT</v>
          </cell>
          <cell r="Y10" t="str">
            <v>NOT</v>
          </cell>
          <cell r="Z10" t="str">
            <v>NOT</v>
          </cell>
          <cell r="AA10" t="str">
            <v>NOT</v>
          </cell>
          <cell r="AB10" t="str">
            <v>NOT</v>
          </cell>
          <cell r="AC10" t="str">
            <v>NOT</v>
          </cell>
          <cell r="AD10" t="str">
            <v>NOT</v>
          </cell>
          <cell r="AE10" t="str">
            <v>NOT</v>
          </cell>
          <cell r="AF10" t="str">
            <v>NOT</v>
          </cell>
          <cell r="AG10" t="str">
            <v>NOT</v>
          </cell>
          <cell r="AH10" t="str">
            <v>NOT</v>
          </cell>
          <cell r="AI10" t="str">
            <v>NOT</v>
          </cell>
          <cell r="AJ10" t="str">
            <v>X</v>
          </cell>
          <cell r="AK10" t="str">
            <v>X</v>
          </cell>
          <cell r="AL10" t="str">
            <v>X</v>
          </cell>
          <cell r="AM10" t="str">
            <v>OFF</v>
          </cell>
          <cell r="AP10">
            <v>1</v>
          </cell>
          <cell r="AQ10">
            <v>0</v>
          </cell>
          <cell r="AR10">
            <v>0</v>
          </cell>
          <cell r="AS10">
            <v>3</v>
          </cell>
        </row>
        <row r="11">
          <cell r="B11" t="str">
            <v>PVT2400212</v>
          </cell>
          <cell r="C11" t="str">
            <v>Nguyen Thi Hong Nhung</v>
          </cell>
          <cell r="D11" t="str">
            <v>23/04/2024</v>
          </cell>
          <cell r="E11" t="str">
            <v xml:space="preserve">Cashier </v>
          </cell>
          <cell r="F11" t="str">
            <v xml:space="preserve">Cashier </v>
          </cell>
          <cell r="G11" t="str">
            <v>Cashier Staff</v>
          </cell>
          <cell r="I11" t="str">
            <v>NOT</v>
          </cell>
          <cell r="J11" t="str">
            <v>NOT</v>
          </cell>
          <cell r="K11" t="str">
            <v>NOT</v>
          </cell>
          <cell r="L11" t="str">
            <v>NOT</v>
          </cell>
          <cell r="M11" t="str">
            <v>NOT</v>
          </cell>
          <cell r="N11" t="str">
            <v>NOT</v>
          </cell>
          <cell r="O11" t="str">
            <v>NOT</v>
          </cell>
          <cell r="P11" t="str">
            <v>NOT</v>
          </cell>
          <cell r="Q11" t="str">
            <v>NOT</v>
          </cell>
          <cell r="R11" t="str">
            <v>NOT</v>
          </cell>
          <cell r="S11" t="str">
            <v>NOT</v>
          </cell>
          <cell r="T11" t="str">
            <v>NOT</v>
          </cell>
          <cell r="U11" t="str">
            <v>NOT</v>
          </cell>
          <cell r="V11" t="str">
            <v>NOT</v>
          </cell>
          <cell r="W11" t="str">
            <v>NOT</v>
          </cell>
          <cell r="X11" t="str">
            <v>NOT</v>
          </cell>
          <cell r="Y11" t="str">
            <v>NOT</v>
          </cell>
          <cell r="Z11" t="str">
            <v>NOT</v>
          </cell>
          <cell r="AA11" t="str">
            <v>NOT</v>
          </cell>
          <cell r="AB11" t="str">
            <v>NOT</v>
          </cell>
          <cell r="AC11" t="str">
            <v>NOT</v>
          </cell>
          <cell r="AD11" t="str">
            <v>NOT</v>
          </cell>
          <cell r="AE11" t="str">
            <v>NOT</v>
          </cell>
          <cell r="AF11" t="str">
            <v>NOT</v>
          </cell>
          <cell r="AG11" t="str">
            <v>NOT</v>
          </cell>
          <cell r="AH11" t="str">
            <v>NOT</v>
          </cell>
          <cell r="AI11" t="str">
            <v>NOT</v>
          </cell>
          <cell r="AJ11" t="str">
            <v>NOT</v>
          </cell>
          <cell r="AK11" t="str">
            <v>X</v>
          </cell>
          <cell r="AL11" t="str">
            <v>X</v>
          </cell>
          <cell r="AM11" t="str">
            <v>OFF</v>
          </cell>
          <cell r="AP11">
            <v>1</v>
          </cell>
          <cell r="AQ11">
            <v>0</v>
          </cell>
          <cell r="AR11">
            <v>0</v>
          </cell>
          <cell r="AS11">
            <v>2</v>
          </cell>
        </row>
        <row r="12">
          <cell r="B12" t="str">
            <v>PVT2400213</v>
          </cell>
          <cell r="C12" t="str">
            <v>Nguyen Phi Chau</v>
          </cell>
          <cell r="D12" t="str">
            <v>23/04/2024</v>
          </cell>
          <cell r="E12" t="str">
            <v xml:space="preserve">Cashier </v>
          </cell>
          <cell r="F12" t="str">
            <v xml:space="preserve">Cashier </v>
          </cell>
          <cell r="G12" t="str">
            <v>Cashier Staff</v>
          </cell>
          <cell r="I12" t="str">
            <v>NOT</v>
          </cell>
          <cell r="J12" t="str">
            <v>NOT</v>
          </cell>
          <cell r="K12" t="str">
            <v>NOT</v>
          </cell>
          <cell r="L12" t="str">
            <v>NOT</v>
          </cell>
          <cell r="M12" t="str">
            <v>NOT</v>
          </cell>
          <cell r="N12" t="str">
            <v>NOT</v>
          </cell>
          <cell r="O12" t="str">
            <v>NOT</v>
          </cell>
          <cell r="P12" t="str">
            <v>NOT</v>
          </cell>
          <cell r="Q12" t="str">
            <v>NOT</v>
          </cell>
          <cell r="R12" t="str">
            <v>NOT</v>
          </cell>
          <cell r="S12" t="str">
            <v>NOT</v>
          </cell>
          <cell r="T12" t="str">
            <v>NOT</v>
          </cell>
          <cell r="U12" t="str">
            <v>NOT</v>
          </cell>
          <cell r="V12" t="str">
            <v>NOT</v>
          </cell>
          <cell r="W12" t="str">
            <v>NOT</v>
          </cell>
          <cell r="X12" t="str">
            <v>NOT</v>
          </cell>
          <cell r="Y12" t="str">
            <v>NOT</v>
          </cell>
          <cell r="Z12" t="str">
            <v>NOT</v>
          </cell>
          <cell r="AA12" t="str">
            <v>NOT</v>
          </cell>
          <cell r="AB12" t="str">
            <v>NOT</v>
          </cell>
          <cell r="AC12" t="str">
            <v>NOT</v>
          </cell>
          <cell r="AD12" t="str">
            <v>NOT</v>
          </cell>
          <cell r="AE12" t="str">
            <v>NOT</v>
          </cell>
          <cell r="AF12" t="str">
            <v>NOT</v>
          </cell>
          <cell r="AG12" t="str">
            <v>NOT</v>
          </cell>
          <cell r="AH12" t="str">
            <v>NOT</v>
          </cell>
          <cell r="AI12" t="str">
            <v>NOT</v>
          </cell>
          <cell r="AJ12" t="str">
            <v>NOT</v>
          </cell>
          <cell r="AK12" t="str">
            <v>X</v>
          </cell>
          <cell r="AL12" t="str">
            <v>X</v>
          </cell>
          <cell r="AM12" t="str">
            <v>X</v>
          </cell>
          <cell r="AP12">
            <v>0</v>
          </cell>
          <cell r="AQ12">
            <v>0</v>
          </cell>
          <cell r="AR12">
            <v>0</v>
          </cell>
          <cell r="AS12">
            <v>3</v>
          </cell>
        </row>
        <row r="13">
          <cell r="B13" t="str">
            <v>PVT2400214</v>
          </cell>
          <cell r="C13" t="str">
            <v>Nguyen Minh Nhu</v>
          </cell>
          <cell r="D13" t="str">
            <v>23/04/2024</v>
          </cell>
          <cell r="E13" t="str">
            <v>Non Food</v>
          </cell>
          <cell r="F13" t="str">
            <v>Fashion (Baby &amp; Children)</v>
          </cell>
          <cell r="G13" t="str">
            <v>Fashion (Baby &amp; Children) Staff</v>
          </cell>
          <cell r="I13" t="str">
            <v>NOT</v>
          </cell>
          <cell r="J13" t="str">
            <v>NOT</v>
          </cell>
          <cell r="K13" t="str">
            <v>NOT</v>
          </cell>
          <cell r="L13" t="str">
            <v>NOT</v>
          </cell>
          <cell r="M13" t="str">
            <v>NOT</v>
          </cell>
          <cell r="N13" t="str">
            <v>NOT</v>
          </cell>
          <cell r="O13" t="str">
            <v>NOT</v>
          </cell>
          <cell r="P13" t="str">
            <v>NOT</v>
          </cell>
          <cell r="Q13" t="str">
            <v>NOT</v>
          </cell>
          <cell r="R13" t="str">
            <v>NOT</v>
          </cell>
          <cell r="S13" t="str">
            <v>NOT</v>
          </cell>
          <cell r="T13" t="str">
            <v>NOT</v>
          </cell>
          <cell r="U13" t="str">
            <v>NOT</v>
          </cell>
          <cell r="V13" t="str">
            <v>NOT</v>
          </cell>
          <cell r="W13" t="str">
            <v>NOT</v>
          </cell>
          <cell r="X13" t="str">
            <v>NOT</v>
          </cell>
          <cell r="Y13" t="str">
            <v>NOT</v>
          </cell>
          <cell r="Z13" t="str">
            <v>NOT</v>
          </cell>
          <cell r="AA13" t="str">
            <v>NOT</v>
          </cell>
          <cell r="AB13" t="str">
            <v>NOT</v>
          </cell>
          <cell r="AC13" t="str">
            <v>NOT</v>
          </cell>
          <cell r="AD13" t="str">
            <v>NOT</v>
          </cell>
          <cell r="AE13" t="str">
            <v>NOT</v>
          </cell>
          <cell r="AF13" t="str">
            <v>NOT</v>
          </cell>
          <cell r="AG13" t="str">
            <v>NOT</v>
          </cell>
          <cell r="AH13" t="str">
            <v>NOT</v>
          </cell>
          <cell r="AI13" t="str">
            <v>NOT</v>
          </cell>
          <cell r="AJ13" t="str">
            <v>NOT</v>
          </cell>
          <cell r="AK13" t="str">
            <v>X</v>
          </cell>
          <cell r="AL13" t="str">
            <v>X</v>
          </cell>
          <cell r="AM13" t="str">
            <v>X</v>
          </cell>
          <cell r="AP13">
            <v>0</v>
          </cell>
          <cell r="AQ13">
            <v>0</v>
          </cell>
          <cell r="AR13">
            <v>0</v>
          </cell>
          <cell r="AS13">
            <v>3</v>
          </cell>
        </row>
        <row r="14">
          <cell r="B14" t="str">
            <v>PVT2400215</v>
          </cell>
          <cell r="C14" t="str">
            <v>Nguyen Lam Truong</v>
          </cell>
          <cell r="D14" t="str">
            <v>23/04/2024</v>
          </cell>
          <cell r="E14" t="str">
            <v>Fresh Food</v>
          </cell>
          <cell r="F14" t="str">
            <v>Fruit &amp; Vegetable</v>
          </cell>
          <cell r="G14" t="str">
            <v>Fruit &amp; Vegetable Staff</v>
          </cell>
          <cell r="I14" t="str">
            <v>NOT</v>
          </cell>
          <cell r="J14" t="str">
            <v>NOT</v>
          </cell>
          <cell r="K14" t="str">
            <v>NOT</v>
          </cell>
          <cell r="L14" t="str">
            <v>NOT</v>
          </cell>
          <cell r="M14" t="str">
            <v>NOT</v>
          </cell>
          <cell r="N14" t="str">
            <v>NOT</v>
          </cell>
          <cell r="O14" t="str">
            <v>NOT</v>
          </cell>
          <cell r="P14" t="str">
            <v>NOT</v>
          </cell>
          <cell r="Q14" t="str">
            <v>NOT</v>
          </cell>
          <cell r="R14" t="str">
            <v>NOT</v>
          </cell>
          <cell r="S14" t="str">
            <v>NOT</v>
          </cell>
          <cell r="T14" t="str">
            <v>NOT</v>
          </cell>
          <cell r="U14" t="str">
            <v>NOT</v>
          </cell>
          <cell r="V14" t="str">
            <v>NOT</v>
          </cell>
          <cell r="W14" t="str">
            <v>NOT</v>
          </cell>
          <cell r="X14" t="str">
            <v>NOT</v>
          </cell>
          <cell r="Y14" t="str">
            <v>NOT</v>
          </cell>
          <cell r="Z14" t="str">
            <v>NOT</v>
          </cell>
          <cell r="AA14" t="str">
            <v>NOT</v>
          </cell>
          <cell r="AB14" t="str">
            <v>NOT</v>
          </cell>
          <cell r="AC14" t="str">
            <v>NOT</v>
          </cell>
          <cell r="AD14" t="str">
            <v>NOT</v>
          </cell>
          <cell r="AE14" t="str">
            <v>NOT</v>
          </cell>
          <cell r="AF14" t="str">
            <v>NOT</v>
          </cell>
          <cell r="AG14" t="str">
            <v>NOT</v>
          </cell>
          <cell r="AH14" t="str">
            <v>NOT</v>
          </cell>
          <cell r="AI14" t="str">
            <v>NOT</v>
          </cell>
          <cell r="AJ14" t="str">
            <v>NOT</v>
          </cell>
          <cell r="AK14" t="str">
            <v>X</v>
          </cell>
          <cell r="AL14" t="str">
            <v>NOT</v>
          </cell>
          <cell r="AM14" t="str">
            <v>NOT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</row>
        <row r="15">
          <cell r="B15" t="str">
            <v>PVT2400216</v>
          </cell>
          <cell r="C15" t="str">
            <v>Nguyen Van Nghia</v>
          </cell>
          <cell r="D15" t="str">
            <v>23/04/2024</v>
          </cell>
          <cell r="E15" t="str">
            <v>Fresh Food</v>
          </cell>
          <cell r="F15" t="str">
            <v>Fruit &amp; Vegetable</v>
          </cell>
          <cell r="G15" t="str">
            <v>Fruit &amp; Vegetable Staff</v>
          </cell>
          <cell r="I15" t="str">
            <v>NOT</v>
          </cell>
          <cell r="J15" t="str">
            <v>NOT</v>
          </cell>
          <cell r="K15" t="str">
            <v>NOT</v>
          </cell>
          <cell r="L15" t="str">
            <v>NOT</v>
          </cell>
          <cell r="M15" t="str">
            <v>NOT</v>
          </cell>
          <cell r="N15" t="str">
            <v>NOT</v>
          </cell>
          <cell r="O15" t="str">
            <v>NOT</v>
          </cell>
          <cell r="P15" t="str">
            <v>NOT</v>
          </cell>
          <cell r="Q15" t="str">
            <v>NOT</v>
          </cell>
          <cell r="R15" t="str">
            <v>NOT</v>
          </cell>
          <cell r="S15" t="str">
            <v>NOT</v>
          </cell>
          <cell r="T15" t="str">
            <v>NOT</v>
          </cell>
          <cell r="U15" t="str">
            <v>NOT</v>
          </cell>
          <cell r="V15" t="str">
            <v>NOT</v>
          </cell>
          <cell r="W15" t="str">
            <v>NOT</v>
          </cell>
          <cell r="X15" t="str">
            <v>NOT</v>
          </cell>
          <cell r="Y15" t="str">
            <v>NOT</v>
          </cell>
          <cell r="Z15" t="str">
            <v>NOT</v>
          </cell>
          <cell r="AA15" t="str">
            <v>NOT</v>
          </cell>
          <cell r="AB15" t="str">
            <v>NOT</v>
          </cell>
          <cell r="AC15" t="str">
            <v>NOT</v>
          </cell>
          <cell r="AD15" t="str">
            <v>NOT</v>
          </cell>
          <cell r="AE15" t="str">
            <v>NOT</v>
          </cell>
          <cell r="AF15" t="str">
            <v>NOT</v>
          </cell>
          <cell r="AG15" t="str">
            <v>NOT</v>
          </cell>
          <cell r="AH15" t="str">
            <v>NOT</v>
          </cell>
          <cell r="AI15" t="str">
            <v>NOT</v>
          </cell>
          <cell r="AJ15" t="str">
            <v>NOT</v>
          </cell>
          <cell r="AK15" t="str">
            <v>X</v>
          </cell>
          <cell r="AL15" t="str">
            <v>X</v>
          </cell>
          <cell r="AM15" t="str">
            <v>X</v>
          </cell>
          <cell r="AP15">
            <v>0</v>
          </cell>
          <cell r="AQ15">
            <v>0</v>
          </cell>
          <cell r="AR15">
            <v>0</v>
          </cell>
          <cell r="AS15">
            <v>3</v>
          </cell>
        </row>
        <row r="16">
          <cell r="B16" t="str">
            <v>PVT2400217</v>
          </cell>
          <cell r="C16" t="str">
            <v>Le Nha Thi</v>
          </cell>
          <cell r="D16" t="str">
            <v>24/04/2024</v>
          </cell>
          <cell r="E16" t="str">
            <v>Operation</v>
          </cell>
          <cell r="F16" t="str">
            <v>PP. Center</v>
          </cell>
          <cell r="G16" t="str">
            <v>Picker &amp; Packer Staff</v>
          </cell>
          <cell r="I16" t="str">
            <v>NOT</v>
          </cell>
          <cell r="J16" t="str">
            <v>NOT</v>
          </cell>
          <cell r="K16" t="str">
            <v>NOT</v>
          </cell>
          <cell r="L16" t="str">
            <v>NOT</v>
          </cell>
          <cell r="M16" t="str">
            <v>NOT</v>
          </cell>
          <cell r="N16" t="str">
            <v>NOT</v>
          </cell>
          <cell r="O16" t="str">
            <v>NOT</v>
          </cell>
          <cell r="P16" t="str">
            <v>NOT</v>
          </cell>
          <cell r="Q16" t="str">
            <v>NOT</v>
          </cell>
          <cell r="R16" t="str">
            <v>NOT</v>
          </cell>
          <cell r="S16" t="str">
            <v>NOT</v>
          </cell>
          <cell r="T16" t="str">
            <v>NOT</v>
          </cell>
          <cell r="U16" t="str">
            <v>NOT</v>
          </cell>
          <cell r="V16" t="str">
            <v>NOT</v>
          </cell>
          <cell r="W16" t="str">
            <v>NOT</v>
          </cell>
          <cell r="X16" t="str">
            <v>NOT</v>
          </cell>
          <cell r="Y16" t="str">
            <v>NOT</v>
          </cell>
          <cell r="Z16" t="str">
            <v>NOT</v>
          </cell>
          <cell r="AA16" t="str">
            <v>NOT</v>
          </cell>
          <cell r="AB16" t="str">
            <v>NOT</v>
          </cell>
          <cell r="AC16" t="str">
            <v>NOT</v>
          </cell>
          <cell r="AD16" t="str">
            <v>NOT</v>
          </cell>
          <cell r="AE16" t="str">
            <v>NOT</v>
          </cell>
          <cell r="AF16" t="str">
            <v>NOT</v>
          </cell>
          <cell r="AG16" t="str">
            <v>NOT</v>
          </cell>
          <cell r="AH16" t="str">
            <v>NOT</v>
          </cell>
          <cell r="AI16" t="str">
            <v>NOT</v>
          </cell>
          <cell r="AJ16" t="str">
            <v>NOT</v>
          </cell>
          <cell r="AK16" t="str">
            <v>NOT</v>
          </cell>
          <cell r="AL16" t="str">
            <v>X</v>
          </cell>
          <cell r="AM16" t="str">
            <v>X</v>
          </cell>
          <cell r="AP16">
            <v>0</v>
          </cell>
          <cell r="AQ16">
            <v>0</v>
          </cell>
          <cell r="AR16">
            <v>0</v>
          </cell>
          <cell r="AS16">
            <v>2</v>
          </cell>
        </row>
        <row r="17">
          <cell r="B17" t="str">
            <v>PVT2400218</v>
          </cell>
          <cell r="C17" t="str">
            <v>Nguyen Van Hau</v>
          </cell>
          <cell r="D17" t="str">
            <v>24/04/2024</v>
          </cell>
          <cell r="E17" t="str">
            <v>Non Food</v>
          </cell>
          <cell r="F17" t="str">
            <v>Home Décor</v>
          </cell>
          <cell r="G17" t="str">
            <v>Home Décor Staff</v>
          </cell>
          <cell r="I17" t="str">
            <v>NOT</v>
          </cell>
          <cell r="J17" t="str">
            <v>NOT</v>
          </cell>
          <cell r="K17" t="str">
            <v>NOT</v>
          </cell>
          <cell r="L17" t="str">
            <v>NOT</v>
          </cell>
          <cell r="M17" t="str">
            <v>NOT</v>
          </cell>
          <cell r="N17" t="str">
            <v>NOT</v>
          </cell>
          <cell r="O17" t="str">
            <v>NOT</v>
          </cell>
          <cell r="P17" t="str">
            <v>NOT</v>
          </cell>
          <cell r="Q17" t="str">
            <v>NOT</v>
          </cell>
          <cell r="R17" t="str">
            <v>NOT</v>
          </cell>
          <cell r="S17" t="str">
            <v>NOT</v>
          </cell>
          <cell r="T17" t="str">
            <v>NOT</v>
          </cell>
          <cell r="U17" t="str">
            <v>NOT</v>
          </cell>
          <cell r="V17" t="str">
            <v>NOT</v>
          </cell>
          <cell r="W17" t="str">
            <v>NOT</v>
          </cell>
          <cell r="X17" t="str">
            <v>NOT</v>
          </cell>
          <cell r="Y17" t="str">
            <v>NOT</v>
          </cell>
          <cell r="Z17" t="str">
            <v>NOT</v>
          </cell>
          <cell r="AA17" t="str">
            <v>NOT</v>
          </cell>
          <cell r="AB17" t="str">
            <v>NOT</v>
          </cell>
          <cell r="AC17" t="str">
            <v>NOT</v>
          </cell>
          <cell r="AD17" t="str">
            <v>NOT</v>
          </cell>
          <cell r="AE17" t="str">
            <v>NOT</v>
          </cell>
          <cell r="AF17" t="str">
            <v>NOT</v>
          </cell>
          <cell r="AG17" t="str">
            <v>NOT</v>
          </cell>
          <cell r="AH17" t="str">
            <v>NOT</v>
          </cell>
          <cell r="AI17" t="str">
            <v>NOT</v>
          </cell>
          <cell r="AJ17" t="str">
            <v>NOT</v>
          </cell>
          <cell r="AK17" t="str">
            <v>NOT</v>
          </cell>
          <cell r="AL17" t="str">
            <v>X</v>
          </cell>
          <cell r="AM17" t="str">
            <v>X</v>
          </cell>
          <cell r="AP17">
            <v>0</v>
          </cell>
          <cell r="AQ17">
            <v>0</v>
          </cell>
          <cell r="AR17">
            <v>0</v>
          </cell>
          <cell r="AS17">
            <v>2</v>
          </cell>
        </row>
        <row r="18">
          <cell r="B18" t="str">
            <v>PVT2400219</v>
          </cell>
          <cell r="C18" t="str">
            <v>Nguyen Hoang Quoc Bao</v>
          </cell>
          <cell r="D18" t="str">
            <v>24/04/2024</v>
          </cell>
          <cell r="E18" t="str">
            <v>FMCG</v>
          </cell>
          <cell r="F18" t="str">
            <v>Salted Grocery</v>
          </cell>
          <cell r="G18" t="str">
            <v>Salted Grocery Staff</v>
          </cell>
          <cell r="I18" t="str">
            <v>NOT</v>
          </cell>
          <cell r="J18" t="str">
            <v>NOT</v>
          </cell>
          <cell r="K18" t="str">
            <v>NOT</v>
          </cell>
          <cell r="L18" t="str">
            <v>NOT</v>
          </cell>
          <cell r="M18" t="str">
            <v>NOT</v>
          </cell>
          <cell r="N18" t="str">
            <v>NOT</v>
          </cell>
          <cell r="O18" t="str">
            <v>NOT</v>
          </cell>
          <cell r="P18" t="str">
            <v>NOT</v>
          </cell>
          <cell r="Q18" t="str">
            <v>NOT</v>
          </cell>
          <cell r="R18" t="str">
            <v>NOT</v>
          </cell>
          <cell r="S18" t="str">
            <v>NOT</v>
          </cell>
          <cell r="T18" t="str">
            <v>NOT</v>
          </cell>
          <cell r="U18" t="str">
            <v>NOT</v>
          </cell>
          <cell r="V18" t="str">
            <v>NOT</v>
          </cell>
          <cell r="W18" t="str">
            <v>NOT</v>
          </cell>
          <cell r="X18" t="str">
            <v>NOT</v>
          </cell>
          <cell r="Y18" t="str">
            <v>NOT</v>
          </cell>
          <cell r="Z18" t="str">
            <v>NOT</v>
          </cell>
          <cell r="AA18" t="str">
            <v>NOT</v>
          </cell>
          <cell r="AB18" t="str">
            <v>NOT</v>
          </cell>
          <cell r="AC18" t="str">
            <v>NOT</v>
          </cell>
          <cell r="AD18" t="str">
            <v>NOT</v>
          </cell>
          <cell r="AE18" t="str">
            <v>NOT</v>
          </cell>
          <cell r="AF18" t="str">
            <v>NOT</v>
          </cell>
          <cell r="AG18" t="str">
            <v>NOT</v>
          </cell>
          <cell r="AH18" t="str">
            <v>NOT</v>
          </cell>
          <cell r="AI18" t="str">
            <v>NOT</v>
          </cell>
          <cell r="AJ18" t="str">
            <v>NOT</v>
          </cell>
          <cell r="AK18" t="str">
            <v>NOT</v>
          </cell>
          <cell r="AL18" t="str">
            <v>X</v>
          </cell>
          <cell r="AM18" t="str">
            <v>X</v>
          </cell>
          <cell r="AP18">
            <v>0</v>
          </cell>
          <cell r="AQ18">
            <v>0</v>
          </cell>
          <cell r="AR18">
            <v>0</v>
          </cell>
          <cell r="AS18">
            <v>2</v>
          </cell>
        </row>
        <row r="19">
          <cell r="B19" t="str">
            <v>PVT2400220</v>
          </cell>
          <cell r="C19" t="str">
            <v>Lam Nhat Minh Quan</v>
          </cell>
          <cell r="D19" t="str">
            <v>24/04/2024</v>
          </cell>
          <cell r="E19" t="str">
            <v>FMCG</v>
          </cell>
          <cell r="F19" t="str">
            <v>D&amp;F</v>
          </cell>
          <cell r="G19" t="str">
            <v>D&amp;F Staff</v>
          </cell>
          <cell r="I19" t="str">
            <v>NOT</v>
          </cell>
          <cell r="J19" t="str">
            <v>NOT</v>
          </cell>
          <cell r="K19" t="str">
            <v>NOT</v>
          </cell>
          <cell r="L19" t="str">
            <v>NOT</v>
          </cell>
          <cell r="M19" t="str">
            <v>NOT</v>
          </cell>
          <cell r="N19" t="str">
            <v>NOT</v>
          </cell>
          <cell r="O19" t="str">
            <v>NOT</v>
          </cell>
          <cell r="P19" t="str">
            <v>NOT</v>
          </cell>
          <cell r="Q19" t="str">
            <v>NOT</v>
          </cell>
          <cell r="R19" t="str">
            <v>NOT</v>
          </cell>
          <cell r="S19" t="str">
            <v>NOT</v>
          </cell>
          <cell r="T19" t="str">
            <v>NOT</v>
          </cell>
          <cell r="U19" t="str">
            <v>NOT</v>
          </cell>
          <cell r="V19" t="str">
            <v>NOT</v>
          </cell>
          <cell r="W19" t="str">
            <v>NOT</v>
          </cell>
          <cell r="X19" t="str">
            <v>NOT</v>
          </cell>
          <cell r="Y19" t="str">
            <v>NOT</v>
          </cell>
          <cell r="Z19" t="str">
            <v>NOT</v>
          </cell>
          <cell r="AA19" t="str">
            <v>NOT</v>
          </cell>
          <cell r="AB19" t="str">
            <v>NOT</v>
          </cell>
          <cell r="AC19" t="str">
            <v>NOT</v>
          </cell>
          <cell r="AD19" t="str">
            <v>NOT</v>
          </cell>
          <cell r="AE19" t="str">
            <v>NOT</v>
          </cell>
          <cell r="AF19" t="str">
            <v>NOT</v>
          </cell>
          <cell r="AG19" t="str">
            <v>NOT</v>
          </cell>
          <cell r="AH19" t="str">
            <v>NOT</v>
          </cell>
          <cell r="AI19" t="str">
            <v>NOT</v>
          </cell>
          <cell r="AJ19" t="str">
            <v>NOT</v>
          </cell>
          <cell r="AK19" t="str">
            <v>NOT</v>
          </cell>
          <cell r="AL19" t="str">
            <v>X</v>
          </cell>
          <cell r="AM19" t="str">
            <v>X</v>
          </cell>
          <cell r="AP19">
            <v>0</v>
          </cell>
          <cell r="AQ19">
            <v>0</v>
          </cell>
          <cell r="AR19">
            <v>0</v>
          </cell>
          <cell r="AS19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67C-224D-4C12-935F-73BDB291D854}">
  <sheetPr>
    <tabColor rgb="FF00B0F0"/>
  </sheetPr>
  <dimension ref="A1:BZ24"/>
  <sheetViews>
    <sheetView tabSelected="1" zoomScale="130" zoomScaleNormal="130" zoomScaleSheetLayoutView="80" workbookViewId="0">
      <pane xSplit="4" ySplit="4" topLeftCell="E5" activePane="bottomRight" state="frozen"/>
      <selection pane="topRight" activeCell="E1" sqref="E1"/>
      <selection pane="bottomLeft" activeCell="A20" sqref="A20"/>
      <selection pane="bottomRight" activeCell="B8" sqref="B8"/>
    </sheetView>
  </sheetViews>
  <sheetFormatPr baseColWidth="10" defaultColWidth="9.33203125" defaultRowHeight="14" outlineLevelCol="1"/>
  <cols>
    <col min="1" max="1" width="5.6640625" style="47" customWidth="1"/>
    <col min="2" max="2" width="14.1640625" style="47" customWidth="1"/>
    <col min="3" max="3" width="12.5" style="47" customWidth="1" outlineLevel="1"/>
    <col min="4" max="4" width="19.5" style="48" customWidth="1"/>
    <col min="5" max="5" width="15.6640625" style="47" customWidth="1"/>
    <col min="6" max="6" width="26.1640625" style="47" customWidth="1" outlineLevel="1"/>
    <col min="7" max="7" width="17.5" style="47" customWidth="1"/>
    <col min="8" max="8" width="13" style="47" customWidth="1"/>
    <col min="9" max="9" width="15.33203125" style="47" customWidth="1" outlineLevel="1"/>
    <col min="10" max="12" width="15.83203125" style="47" customWidth="1"/>
    <col min="13" max="13" width="9.5" style="47" customWidth="1"/>
    <col min="14" max="14" width="16" style="47" customWidth="1"/>
    <col min="15" max="15" width="9.33203125" style="47" customWidth="1" outlineLevel="1"/>
    <col min="16" max="16" width="13.33203125" style="47" customWidth="1" outlineLevel="1"/>
    <col min="17" max="17" width="17.1640625" style="47" customWidth="1" outlineLevel="1"/>
    <col min="18" max="18" width="17.6640625" style="47" customWidth="1"/>
    <col min="19" max="19" width="12.83203125" style="47" customWidth="1" outlineLevel="1"/>
    <col min="20" max="20" width="14.5" style="47" customWidth="1" outlineLevel="1"/>
    <col min="21" max="21" width="16.5" style="47" customWidth="1"/>
    <col min="22" max="22" width="15" style="49" customWidth="1" outlineLevel="1"/>
    <col min="23" max="23" width="14.83203125" style="49" customWidth="1" outlineLevel="1"/>
    <col min="24" max="24" width="12.5" style="49" customWidth="1" outlineLevel="1"/>
    <col min="25" max="25" width="13.33203125" style="47" customWidth="1"/>
    <col min="26" max="26" width="13.5" style="47" customWidth="1" outlineLevel="1"/>
    <col min="27" max="27" width="12.6640625" style="47" customWidth="1"/>
    <col min="28" max="28" width="12.5" style="47" customWidth="1"/>
    <col min="29" max="29" width="12" style="47" customWidth="1" outlineLevel="1"/>
    <col min="30" max="30" width="12.33203125" style="47" customWidth="1"/>
    <col min="31" max="31" width="8.5" style="47" customWidth="1"/>
    <col min="32" max="33" width="13.5" style="47" customWidth="1"/>
    <col min="34" max="34" width="12.5" style="47" customWidth="1"/>
    <col min="35" max="35" width="11.83203125" style="47" customWidth="1"/>
    <col min="36" max="37" width="14.6640625" style="47" customWidth="1"/>
    <col min="38" max="38" width="13.5" style="47" customWidth="1"/>
    <col min="39" max="39" width="13" style="47" customWidth="1"/>
    <col min="40" max="40" width="15.1640625" style="47" customWidth="1"/>
    <col min="41" max="41" width="6" style="47" customWidth="1"/>
    <col min="42" max="42" width="18.1640625" style="47" bestFit="1" customWidth="1"/>
    <col min="43" max="43" width="14.5" style="47" customWidth="1" outlineLevel="1"/>
    <col min="44" max="44" width="12.5" style="47" customWidth="1" outlineLevel="1"/>
    <col min="45" max="45" width="13.6640625" style="47" customWidth="1" outlineLevel="1"/>
    <col min="46" max="46" width="15.5" style="47" customWidth="1"/>
    <col min="47" max="49" width="13" style="47" customWidth="1"/>
    <col min="50" max="50" width="9.1640625" style="47" customWidth="1"/>
    <col min="51" max="51" width="11.5" style="47" customWidth="1"/>
    <col min="52" max="52" width="14" style="47" customWidth="1"/>
    <col min="53" max="53" width="12.5" style="47" customWidth="1" outlineLevel="1"/>
    <col min="54" max="54" width="12.33203125" style="47" customWidth="1" outlineLevel="1"/>
    <col min="55" max="55" width="12.5" style="47" customWidth="1" outlineLevel="1"/>
    <col min="56" max="56" width="15.33203125" style="47" customWidth="1" outlineLevel="1"/>
    <col min="57" max="57" width="15" style="47" customWidth="1"/>
    <col min="58" max="59" width="15.83203125" style="47" bestFit="1" customWidth="1"/>
    <col min="60" max="60" width="12.1640625" style="47" customWidth="1"/>
    <col min="61" max="61" width="11" style="47" customWidth="1"/>
    <col min="62" max="62" width="13" style="47" customWidth="1"/>
    <col min="63" max="63" width="14" style="47" customWidth="1"/>
    <col min="64" max="64" width="12.1640625" style="47" customWidth="1"/>
    <col min="65" max="65" width="18.6640625" style="47" customWidth="1"/>
    <col min="66" max="66" width="13.83203125" style="47" customWidth="1"/>
    <col min="67" max="67" width="14.5" style="47" customWidth="1" outlineLevel="1"/>
    <col min="68" max="68" width="14.33203125" style="47" customWidth="1" outlineLevel="1"/>
    <col min="69" max="69" width="15.6640625" style="47" customWidth="1" outlineLevel="1"/>
    <col min="70" max="75" width="13.6640625" style="47" customWidth="1" outlineLevel="1"/>
    <col min="76" max="76" width="15.5" style="47" customWidth="1" outlineLevel="1"/>
    <col min="77" max="78" width="9.33203125" style="47" customWidth="1"/>
    <col min="79" max="16384" width="9.33203125" style="47"/>
  </cols>
  <sheetData>
    <row r="1" spans="1:78" ht="35">
      <c r="A1" s="105" t="s">
        <v>190</v>
      </c>
      <c r="B1" s="105"/>
    </row>
    <row r="2" spans="1:78" ht="22.5" customHeight="1">
      <c r="A2" s="50" t="s">
        <v>0</v>
      </c>
      <c r="C2" s="106"/>
      <c r="D2" s="107">
        <v>45773</v>
      </c>
      <c r="Y2" s="51"/>
      <c r="Z2" s="108"/>
      <c r="AA2" s="108"/>
      <c r="AB2" s="108"/>
      <c r="AC2" s="108"/>
      <c r="AK2" s="311"/>
      <c r="AL2" s="311"/>
      <c r="AM2" s="311"/>
      <c r="AN2" s="311"/>
      <c r="AO2" s="311"/>
      <c r="AP2" s="311"/>
      <c r="AQ2" s="50"/>
      <c r="AR2" s="50"/>
      <c r="AS2" s="50"/>
      <c r="AT2" s="50"/>
    </row>
    <row r="3" spans="1:78" s="304" customFormat="1" ht="48" customHeight="1">
      <c r="A3" s="301"/>
      <c r="B3" s="301" t="s">
        <v>244</v>
      </c>
      <c r="C3" s="301"/>
      <c r="D3" s="302" t="s">
        <v>244</v>
      </c>
      <c r="E3" s="301"/>
      <c r="F3" s="301"/>
      <c r="G3" s="301"/>
      <c r="H3" s="301"/>
      <c r="I3" s="301"/>
      <c r="J3" s="303"/>
      <c r="K3" s="301"/>
      <c r="M3" s="301" t="s">
        <v>244</v>
      </c>
      <c r="N3" s="303"/>
      <c r="O3" s="303"/>
      <c r="P3" s="303"/>
      <c r="Q3" s="303"/>
      <c r="R3" s="303"/>
      <c r="V3" s="303"/>
      <c r="W3" s="303"/>
      <c r="X3" s="303"/>
      <c r="Y3" s="303"/>
      <c r="Z3" s="303"/>
      <c r="AA3" s="303"/>
      <c r="AB3" s="303"/>
      <c r="AC3" s="303"/>
      <c r="AD3" s="303"/>
      <c r="AE3" s="303"/>
      <c r="AF3" s="303"/>
      <c r="AG3" s="303"/>
      <c r="AH3" s="303"/>
      <c r="AJ3" s="301"/>
      <c r="AK3" s="305"/>
      <c r="AL3" s="305"/>
      <c r="AN3" s="305"/>
      <c r="AO3" s="305"/>
      <c r="AP3" s="306">
        <v>6200000</v>
      </c>
      <c r="AQ3" s="307">
        <v>0.08</v>
      </c>
      <c r="AR3" s="307">
        <v>1.4999999999999999E-2</v>
      </c>
      <c r="AS3" s="307">
        <v>0.01</v>
      </c>
      <c r="AT3" s="308"/>
      <c r="AU3" s="305"/>
      <c r="AV3" s="305"/>
      <c r="AW3" s="305"/>
      <c r="AX3" s="305"/>
      <c r="AY3" s="309"/>
      <c r="AZ3" s="305"/>
      <c r="BA3" s="307">
        <v>0.17</v>
      </c>
      <c r="BB3" s="307">
        <v>0.03</v>
      </c>
      <c r="BC3" s="307">
        <v>0.01</v>
      </c>
      <c r="BD3" s="307">
        <v>5.0000000000000001E-3</v>
      </c>
      <c r="BE3" s="308"/>
      <c r="BF3" s="310">
        <f>2340000*20</f>
        <v>46800000</v>
      </c>
      <c r="BG3" s="310">
        <f>4960000*20</f>
        <v>99200000</v>
      </c>
      <c r="BH3" s="305" t="s">
        <v>188</v>
      </c>
      <c r="BI3" s="305" t="s">
        <v>189</v>
      </c>
      <c r="BJ3" s="305"/>
      <c r="BK3" s="305"/>
      <c r="BM3" s="309"/>
      <c r="BN3" s="305"/>
      <c r="BO3" s="305"/>
      <c r="BP3" s="305"/>
      <c r="BQ3" s="305"/>
      <c r="BR3" s="305"/>
      <c r="BS3" s="305"/>
      <c r="BT3" s="305"/>
      <c r="BU3" s="305"/>
      <c r="BV3" s="305"/>
      <c r="BW3" s="305"/>
      <c r="BX3" s="305"/>
    </row>
    <row r="4" spans="1:78" s="46" customFormat="1" ht="75.75" customHeight="1">
      <c r="A4" s="110" t="s">
        <v>24</v>
      </c>
      <c r="B4" s="110" t="s">
        <v>27</v>
      </c>
      <c r="C4" s="110" t="s">
        <v>132</v>
      </c>
      <c r="D4" s="111" t="s">
        <v>28</v>
      </c>
      <c r="E4" s="110" t="s">
        <v>133</v>
      </c>
      <c r="F4" s="110" t="s">
        <v>12</v>
      </c>
      <c r="G4" s="110" t="s">
        <v>29</v>
      </c>
      <c r="H4" s="110" t="s">
        <v>14</v>
      </c>
      <c r="I4" s="110" t="s">
        <v>108</v>
      </c>
      <c r="J4" s="110" t="s">
        <v>117</v>
      </c>
      <c r="K4" s="110" t="s">
        <v>134</v>
      </c>
      <c r="L4" s="110" t="s">
        <v>118</v>
      </c>
      <c r="M4" s="110" t="s">
        <v>135</v>
      </c>
      <c r="N4" s="110" t="s">
        <v>121</v>
      </c>
      <c r="O4" s="110" t="s">
        <v>119</v>
      </c>
      <c r="P4" s="110" t="s">
        <v>122</v>
      </c>
      <c r="Q4" s="110" t="s">
        <v>171</v>
      </c>
      <c r="R4" s="110" t="s">
        <v>120</v>
      </c>
      <c r="S4" s="110" t="s">
        <v>123</v>
      </c>
      <c r="T4" s="110" t="s">
        <v>172</v>
      </c>
      <c r="U4" s="110" t="s">
        <v>124</v>
      </c>
      <c r="V4" s="110" t="s">
        <v>15</v>
      </c>
      <c r="W4" s="110" t="s">
        <v>16</v>
      </c>
      <c r="X4" s="110" t="s">
        <v>17</v>
      </c>
      <c r="Y4" s="110" t="s">
        <v>18</v>
      </c>
      <c r="Z4" s="110" t="s">
        <v>115</v>
      </c>
      <c r="AA4" s="110" t="s">
        <v>19</v>
      </c>
      <c r="AB4" s="110" t="s">
        <v>136</v>
      </c>
      <c r="AC4" s="110" t="s">
        <v>109</v>
      </c>
      <c r="AD4" s="110" t="s">
        <v>137</v>
      </c>
      <c r="AE4" s="110" t="s">
        <v>110</v>
      </c>
      <c r="AF4" s="110" t="s">
        <v>111</v>
      </c>
      <c r="AG4" s="110" t="s">
        <v>112</v>
      </c>
      <c r="AH4" s="110" t="s">
        <v>138</v>
      </c>
      <c r="AI4" s="110" t="s">
        <v>125</v>
      </c>
      <c r="AJ4" s="110" t="s">
        <v>126</v>
      </c>
      <c r="AK4" s="110" t="s">
        <v>101</v>
      </c>
      <c r="AL4" s="110" t="s">
        <v>127</v>
      </c>
      <c r="AM4" s="110" t="s">
        <v>139</v>
      </c>
      <c r="AN4" s="110" t="s">
        <v>47</v>
      </c>
      <c r="AO4" s="110" t="s">
        <v>2</v>
      </c>
      <c r="AP4" s="110" t="s">
        <v>129</v>
      </c>
      <c r="AQ4" s="112" t="s">
        <v>140</v>
      </c>
      <c r="AR4" s="112" t="s">
        <v>141</v>
      </c>
      <c r="AS4" s="112" t="s">
        <v>142</v>
      </c>
      <c r="AT4" s="112" t="s">
        <v>143</v>
      </c>
      <c r="AU4" s="110" t="s">
        <v>144</v>
      </c>
      <c r="AV4" s="110" t="s">
        <v>145</v>
      </c>
      <c r="AW4" s="110" t="s">
        <v>146</v>
      </c>
      <c r="AX4" s="110" t="s">
        <v>3</v>
      </c>
      <c r="AY4" s="110" t="s">
        <v>4</v>
      </c>
      <c r="AZ4" s="110" t="s">
        <v>147</v>
      </c>
      <c r="BA4" s="112" t="s">
        <v>148</v>
      </c>
      <c r="BB4" s="112" t="s">
        <v>149</v>
      </c>
      <c r="BC4" s="112" t="s">
        <v>142</v>
      </c>
      <c r="BD4" s="112" t="s">
        <v>150</v>
      </c>
      <c r="BE4" s="112" t="s">
        <v>151</v>
      </c>
      <c r="BF4" s="113" t="s">
        <v>152</v>
      </c>
      <c r="BG4" s="113" t="s">
        <v>153</v>
      </c>
      <c r="BH4" s="113" t="s">
        <v>102</v>
      </c>
      <c r="BI4" s="113" t="s">
        <v>103</v>
      </c>
      <c r="BJ4" s="110" t="s">
        <v>104</v>
      </c>
      <c r="BK4" s="110" t="s">
        <v>105</v>
      </c>
      <c r="BL4" s="110" t="s">
        <v>128</v>
      </c>
      <c r="BM4" s="110" t="s">
        <v>5</v>
      </c>
      <c r="BN4" s="110" t="s">
        <v>154</v>
      </c>
      <c r="BO4" s="110" t="s">
        <v>106</v>
      </c>
      <c r="BP4" s="110" t="s">
        <v>107</v>
      </c>
      <c r="BQ4" s="110" t="s">
        <v>6</v>
      </c>
      <c r="BR4" s="110" t="s">
        <v>7</v>
      </c>
      <c r="BS4" s="114" t="s">
        <v>173</v>
      </c>
      <c r="BT4" s="114" t="s">
        <v>174</v>
      </c>
      <c r="BU4" s="114" t="s">
        <v>175</v>
      </c>
      <c r="BV4" s="114" t="s">
        <v>176</v>
      </c>
      <c r="BW4" s="114" t="s">
        <v>187</v>
      </c>
      <c r="BX4" s="115" t="s">
        <v>8</v>
      </c>
      <c r="BY4" s="45"/>
      <c r="BZ4" s="45"/>
    </row>
    <row r="5" spans="1:78" s="103" customFormat="1" ht="22.5" customHeight="1">
      <c r="A5" s="116">
        <v>1</v>
      </c>
      <c r="B5" s="116" t="s">
        <v>180</v>
      </c>
      <c r="C5" s="116"/>
      <c r="D5" s="117" t="s">
        <v>191</v>
      </c>
      <c r="E5" s="118" t="s">
        <v>99</v>
      </c>
      <c r="F5" s="118" t="s">
        <v>163</v>
      </c>
      <c r="G5" s="119" t="s">
        <v>155</v>
      </c>
      <c r="H5" s="119" t="s">
        <v>20</v>
      </c>
      <c r="I5" s="119" t="s">
        <v>113</v>
      </c>
      <c r="J5" s="120">
        <v>47000000</v>
      </c>
      <c r="K5" s="121">
        <v>10870000</v>
      </c>
      <c r="L5" s="121">
        <f t="shared" ref="L5:L12" si="0">J5-K5</f>
        <v>36130000</v>
      </c>
      <c r="M5" s="121">
        <v>26</v>
      </c>
      <c r="N5" s="122">
        <f>IFERROR(VLOOKUP(B5,' TimeTB 1'!$B$4:$P$5,5,0),0)</f>
        <v>0</v>
      </c>
      <c r="O5" s="122">
        <f>VLOOKUP(B5,'TimeTB 2'!$B$4:$O$11,14,0)</f>
        <v>0</v>
      </c>
      <c r="P5" s="123">
        <f>ROUND(K5/M5*N5,0)</f>
        <v>0</v>
      </c>
      <c r="Q5" s="123">
        <f t="shared" ref="Q5:Q12" si="1">ROUND(K5/M5*O5,0)</f>
        <v>0</v>
      </c>
      <c r="R5" s="121">
        <f t="shared" ref="R5:R11" si="2">SUM(P5:Q5)</f>
        <v>0</v>
      </c>
      <c r="S5" s="123">
        <f t="shared" ref="S5:S12" si="3">ROUND(L5/26*N5,0)</f>
        <v>0</v>
      </c>
      <c r="T5" s="123">
        <f t="shared" ref="T5:T12" si="4">ROUND(L5/26*O5,0)</f>
        <v>0</v>
      </c>
      <c r="U5" s="121">
        <f t="shared" ref="U5:U12" si="5">SUM(S5:T5)</f>
        <v>0</v>
      </c>
      <c r="V5" s="121">
        <v>0</v>
      </c>
      <c r="W5" s="121">
        <v>0</v>
      </c>
      <c r="X5" s="121">
        <v>0</v>
      </c>
      <c r="Y5" s="121">
        <f>VLOOKUP(B5,'PC cơm '!$A$3:$K$4,11,0)</f>
        <v>0</v>
      </c>
      <c r="Z5" s="121">
        <f>SUM(V5:Y5)</f>
        <v>0</v>
      </c>
      <c r="AA5" s="121">
        <f>VLOOKUP(B5,OT!A3:S15,17,0)</f>
        <v>0</v>
      </c>
      <c r="AB5" s="121">
        <f>VLOOKUP(B5,NS!$A$2:$F$5,6,0)</f>
        <v>135577</v>
      </c>
      <c r="AC5" s="121">
        <v>0</v>
      </c>
      <c r="AD5" s="121">
        <v>0</v>
      </c>
      <c r="AE5" s="122">
        <v>0</v>
      </c>
      <c r="AF5" s="124">
        <f t="shared" ref="AF5:AF12" si="6">ROUND(J5/26*AE5,0)</f>
        <v>0</v>
      </c>
      <c r="AG5" s="124">
        <f>IFERROR(VLOOKUP(B5,Incentive!$A$4:$G$6,7,0),0)</f>
        <v>0</v>
      </c>
      <c r="AH5" s="124">
        <f>SUMIF(Others!$B$3:$B$9,$B5,Others!$F$3:$F$9)</f>
        <v>0</v>
      </c>
      <c r="AI5" s="124">
        <v>0</v>
      </c>
      <c r="AJ5" s="121">
        <f>AI5+AH5+AG5+AF5+AD5+AC5+AB5+AA5+Z5+U5+R5+BN5</f>
        <v>335577</v>
      </c>
      <c r="AK5" s="121">
        <f>VLOOKUP(B5,OT!A3:S14,19,0)</f>
        <v>0</v>
      </c>
      <c r="AL5" s="121">
        <f>VLOOKUP(B5,NS!$A$2:$H$5,8,0)</f>
        <v>135577</v>
      </c>
      <c r="AM5" s="121">
        <f>AI5</f>
        <v>0</v>
      </c>
      <c r="AN5" s="121">
        <f>IF(BT5=1,0,15500000)</f>
        <v>15500000</v>
      </c>
      <c r="AO5" s="122">
        <v>4</v>
      </c>
      <c r="AP5" s="121">
        <f>AO5*$AP$3</f>
        <v>24800000</v>
      </c>
      <c r="AQ5" s="121">
        <f>BF5*$AQ$3</f>
        <v>869600</v>
      </c>
      <c r="AR5" s="121">
        <f>BF5*$AR$3</f>
        <v>163050</v>
      </c>
      <c r="AS5" s="121">
        <f>BG5*$AS$3</f>
        <v>108700</v>
      </c>
      <c r="AT5" s="124">
        <f>+AS5+AR5+AQ5</f>
        <v>1141350</v>
      </c>
      <c r="AU5" s="124">
        <f>IF(BT5=1,0,MIN(Y5,730000))</f>
        <v>0</v>
      </c>
      <c r="AV5" s="124">
        <f>AJ5-AK5-AL5-AM5-AU5</f>
        <v>200000</v>
      </c>
      <c r="AW5" s="124">
        <f>MAX(AV5-AN5-AP5-AT5,0)</f>
        <v>0</v>
      </c>
      <c r="AX5" s="125">
        <f t="shared" ref="AX5:AX12" si="7">IF(BT5=1,10%,IF(AW5&gt;0,IF(AW5&gt;80000000,0.35,IF(AW5&gt;52000000,0.3,IF(AW5&gt;32000000,0.25,IF(AW5&gt;18000000,0.2,IF(AW5&gt;10000000,0.15,IF(AW5&gt;5000000,0.1,0.05)))))),0))</f>
        <v>0</v>
      </c>
      <c r="AY5" s="126">
        <f>IF(BT5=1,0,IF(AW5&gt;80000000,9850000,IF(AW5&gt;52000000,5850000,IF(AW5&gt;32000000,3250000,IF(AW5&gt;18000000,1650000,IF(AW5&gt;10000000,750000,IF(AW5&gt;5000000,250000,0)))))))</f>
        <v>0</v>
      </c>
      <c r="AZ5" s="127">
        <f>ROUND(AW5*AX5-AY5,0)</f>
        <v>0</v>
      </c>
      <c r="BA5" s="121">
        <f>BF5*$BA$3</f>
        <v>1847900.0000000002</v>
      </c>
      <c r="BB5" s="121">
        <f>BF5*$BB$3</f>
        <v>326100</v>
      </c>
      <c r="BC5" s="121">
        <f>BG5*$BC$3</f>
        <v>108700</v>
      </c>
      <c r="BD5" s="121">
        <f>BG5*$BD$3</f>
        <v>54350</v>
      </c>
      <c r="BE5" s="121">
        <f>SUM(BA5:BD5)</f>
        <v>2337050</v>
      </c>
      <c r="BF5" s="121">
        <f t="shared" ref="BF5:BF12" si="8">MIN((IF(BS5=1,K5,0)),$BF$3)</f>
        <v>10870000</v>
      </c>
      <c r="BG5" s="121">
        <f t="shared" ref="BG5:BG12" si="9">MIN((IF(BS5=1,K5,0)),$BG$3)</f>
        <v>10870000</v>
      </c>
      <c r="BH5" s="121">
        <v>0</v>
      </c>
      <c r="BI5" s="121">
        <v>0</v>
      </c>
      <c r="BJ5" s="121">
        <f>IF(BS5=1,BF5*2%,0)</f>
        <v>217400</v>
      </c>
      <c r="BK5" s="121">
        <f>IF(BU5=1,40000,0)</f>
        <v>40000</v>
      </c>
      <c r="BL5" s="121">
        <f t="shared" ref="BL5:BL12" si="10">IF(BV5=0,0,IF(J5&lt;11000000,5000,IF(J5&lt;25000000,10000,IF(J5&lt;40000000,15000,20000)))*BW5)</f>
        <v>0</v>
      </c>
      <c r="BM5" s="128">
        <f>AJ5-AT5-AZ5-BK5-BL5-BN5-BO5-BP5</f>
        <v>-1045773</v>
      </c>
      <c r="BN5" s="124">
        <f>IFERROR(VLOOKUP(B5,'Benefit tính thuế'!$A$2:$G$5,7,0),0)</f>
        <v>200000</v>
      </c>
      <c r="BO5" s="128">
        <v>0</v>
      </c>
      <c r="BP5" s="128">
        <v>0</v>
      </c>
      <c r="BQ5" s="129">
        <f>AN5+AP5+AU5</f>
        <v>40300000</v>
      </c>
      <c r="BR5" s="129">
        <f>+AZ5+AT5</f>
        <v>1141350</v>
      </c>
      <c r="BS5" s="129">
        <v>1</v>
      </c>
      <c r="BT5" s="130">
        <v>0</v>
      </c>
      <c r="BU5" s="129">
        <v>1</v>
      </c>
      <c r="BV5" s="129">
        <v>0</v>
      </c>
      <c r="BW5" s="129">
        <v>20</v>
      </c>
      <c r="BX5" s="131"/>
    </row>
    <row r="6" spans="1:78" s="103" customFormat="1" ht="22.5" customHeight="1">
      <c r="A6" s="88">
        <v>1</v>
      </c>
      <c r="B6" s="88" t="s">
        <v>181</v>
      </c>
      <c r="C6" s="88"/>
      <c r="D6" s="89" t="s">
        <v>192</v>
      </c>
      <c r="E6" s="90" t="s">
        <v>81</v>
      </c>
      <c r="F6" s="90" t="s">
        <v>164</v>
      </c>
      <c r="G6" s="91" t="s">
        <v>156</v>
      </c>
      <c r="H6" s="91" t="s">
        <v>20</v>
      </c>
      <c r="I6" s="91" t="s">
        <v>100</v>
      </c>
      <c r="J6" s="92">
        <v>31000000</v>
      </c>
      <c r="K6" s="92">
        <v>8350000</v>
      </c>
      <c r="L6" s="92">
        <f t="shared" si="0"/>
        <v>22650000</v>
      </c>
      <c r="M6" s="92">
        <v>26</v>
      </c>
      <c r="N6" s="93">
        <f>IFERROR(VLOOKUP(B6,' TimeTB 1'!$B$4:$P$5,5,0),0)</f>
        <v>0</v>
      </c>
      <c r="O6" s="93">
        <f>VLOOKUP(B6,'TimeTB 2'!$B$4:$O$11,14,0)</f>
        <v>0</v>
      </c>
      <c r="P6" s="94">
        <f t="shared" ref="P6:P12" si="11">ROUND((K6/M6*N6),0)</f>
        <v>0</v>
      </c>
      <c r="Q6" s="94">
        <f t="shared" si="1"/>
        <v>0</v>
      </c>
      <c r="R6" s="92">
        <f t="shared" si="2"/>
        <v>0</v>
      </c>
      <c r="S6" s="94">
        <f t="shared" si="3"/>
        <v>0</v>
      </c>
      <c r="T6" s="94">
        <f t="shared" si="4"/>
        <v>0</v>
      </c>
      <c r="U6" s="92">
        <f t="shared" si="5"/>
        <v>0</v>
      </c>
      <c r="V6" s="92">
        <v>0</v>
      </c>
      <c r="W6" s="92">
        <v>0</v>
      </c>
      <c r="X6" s="92">
        <v>0</v>
      </c>
      <c r="Y6" s="92">
        <f>VLOOKUP(B6,'[20]PC cơm '!$B$7:$L$15,11,0)</f>
        <v>1120000</v>
      </c>
      <c r="Z6" s="92">
        <f>SUM(V6:Y6)</f>
        <v>1120000</v>
      </c>
      <c r="AA6" s="92">
        <f>VLOOKUP(B6,'[20]OT '!$B$7:$R$14,17,0)</f>
        <v>5827403</v>
      </c>
      <c r="AB6" s="92">
        <f>VLOOKUP(B6,[20]NS!$B$9:$G$16,6,0)</f>
        <v>134135</v>
      </c>
      <c r="AC6" s="92">
        <v>0</v>
      </c>
      <c r="AD6" s="92">
        <v>0</v>
      </c>
      <c r="AE6" s="93">
        <v>0</v>
      </c>
      <c r="AF6" s="95">
        <f t="shared" si="6"/>
        <v>0</v>
      </c>
      <c r="AG6" s="95">
        <f>IFERROR(VLOOKUP(B6,[20]Incentive!$B$9:$H$11,7,0),0)</f>
        <v>0</v>
      </c>
      <c r="AH6" s="95" t="e">
        <f>SUMIF([20]Others!$B$8:$B$15,$B6,[20]Others!$F$8:$F$15)</f>
        <v>#VALUE!</v>
      </c>
      <c r="AI6" s="95">
        <v>0</v>
      </c>
      <c r="AJ6" s="92" t="e">
        <f>AI6+AH6+AG6+AF6+AD6+AC6+AB6+AA6+Z6+U6+R6+BN6</f>
        <v>#VALUE!</v>
      </c>
      <c r="AK6" s="92">
        <f>VLOOKUP(B6,'[20]OT '!$B$7:$T$14,19,0)</f>
        <v>3740865</v>
      </c>
      <c r="AL6" s="92">
        <f>VLOOKUP(B6,[20]NS!$B$9:$I$16,8,0)</f>
        <v>134135</v>
      </c>
      <c r="AM6" s="92">
        <f>AI6</f>
        <v>0</v>
      </c>
      <c r="AN6" s="92">
        <f t="shared" ref="AN6:AN11" si="12">IF(BT6=1,0,15500000)</f>
        <v>15500000</v>
      </c>
      <c r="AO6" s="93">
        <v>1</v>
      </c>
      <c r="AP6" s="92">
        <f>AO6*$AP$3</f>
        <v>6200000</v>
      </c>
      <c r="AQ6" s="92">
        <f>BF6*$AQ$3</f>
        <v>668000</v>
      </c>
      <c r="AR6" s="92">
        <f>BF6*$AR$3</f>
        <v>125250</v>
      </c>
      <c r="AS6" s="92">
        <f>BG6*$AS$3</f>
        <v>83500</v>
      </c>
      <c r="AT6" s="95">
        <f>+AS6+AR6+AQ6</f>
        <v>876750</v>
      </c>
      <c r="AU6" s="95">
        <f>IF(BT6=1,0,MIN(Y6,730000))</f>
        <v>730000</v>
      </c>
      <c r="AV6" s="95" t="e">
        <f>AJ6-AK6-AL6-AM6-AU6</f>
        <v>#VALUE!</v>
      </c>
      <c r="AW6" s="95" t="e">
        <f>MAX(AV6-AN6-AP6-AT6,0)</f>
        <v>#VALUE!</v>
      </c>
      <c r="AX6" s="96" t="e">
        <f t="shared" si="7"/>
        <v>#VALUE!</v>
      </c>
      <c r="AY6" s="97" t="e">
        <f>IF(BT6=1,0,IF(AW6&gt;80000000,9850000,IF(AW6&gt;52000000,5850000,IF(AW6&gt;32000000,3250000,IF(AW6&gt;18000000,1650000,IF(AW6&gt;10000000,750000,IF(AW6&gt;5000000,250000,0)))))))</f>
        <v>#VALUE!</v>
      </c>
      <c r="AZ6" s="98" t="e">
        <f>ROUND(AW6*AX6-AY6,0)</f>
        <v>#VALUE!</v>
      </c>
      <c r="BA6" s="92">
        <f>BF6*$BA$3</f>
        <v>1419500</v>
      </c>
      <c r="BB6" s="92">
        <f>BF6*$BB$3</f>
        <v>250500</v>
      </c>
      <c r="BC6" s="92">
        <f>BG6*$BC$3</f>
        <v>83500</v>
      </c>
      <c r="BD6" s="92">
        <f>BG6*$BD$3</f>
        <v>41750</v>
      </c>
      <c r="BE6" s="92">
        <f>SUM(BA6:BD6)</f>
        <v>1795250</v>
      </c>
      <c r="BF6" s="92">
        <f t="shared" si="8"/>
        <v>8350000</v>
      </c>
      <c r="BG6" s="92">
        <f t="shared" si="9"/>
        <v>8350000</v>
      </c>
      <c r="BH6" s="92">
        <v>0</v>
      </c>
      <c r="BI6" s="92">
        <v>0</v>
      </c>
      <c r="BJ6" s="92">
        <f>IF(BS6=1,BF6*2%,0)</f>
        <v>167000</v>
      </c>
      <c r="BK6" s="92">
        <f>IF(BU6=1,40000,0)</f>
        <v>40000</v>
      </c>
      <c r="BL6" s="92">
        <f t="shared" si="10"/>
        <v>300000</v>
      </c>
      <c r="BM6" s="99" t="e">
        <f>AJ6-AT6-AZ6-BK6-BL6-BN6-BO6-BP6</f>
        <v>#VALUE!</v>
      </c>
      <c r="BN6" s="95">
        <f>IFERROR(VLOOKUP(B6,'[20]Benefit tính thuế'!$B$2:$H$5,7,0),0)</f>
        <v>2000000</v>
      </c>
      <c r="BO6" s="99">
        <v>0</v>
      </c>
      <c r="BP6" s="99">
        <v>0</v>
      </c>
      <c r="BQ6" s="100">
        <f>AN6+AP6+AU6</f>
        <v>22430000</v>
      </c>
      <c r="BR6" s="100" t="e">
        <f>+AZ6+AT6</f>
        <v>#VALUE!</v>
      </c>
      <c r="BS6" s="100">
        <v>1</v>
      </c>
      <c r="BT6" s="101">
        <v>0</v>
      </c>
      <c r="BU6" s="100">
        <v>1</v>
      </c>
      <c r="BV6" s="101">
        <v>1</v>
      </c>
      <c r="BW6" s="100">
        <v>20</v>
      </c>
      <c r="BX6" s="102"/>
    </row>
    <row r="7" spans="1:78" s="103" customFormat="1" ht="22.5" customHeight="1">
      <c r="A7" s="88">
        <v>1</v>
      </c>
      <c r="B7" s="88" t="s">
        <v>158</v>
      </c>
      <c r="C7" s="88"/>
      <c r="D7" s="89" t="s">
        <v>197</v>
      </c>
      <c r="E7" s="90" t="s">
        <v>79</v>
      </c>
      <c r="F7" s="90" t="s">
        <v>167</v>
      </c>
      <c r="G7" s="91" t="s">
        <v>50</v>
      </c>
      <c r="H7" s="91" t="s">
        <v>23</v>
      </c>
      <c r="I7" s="91" t="s">
        <v>98</v>
      </c>
      <c r="J7" s="92">
        <v>10448000</v>
      </c>
      <c r="K7" s="92">
        <v>7570000</v>
      </c>
      <c r="L7" s="92">
        <f>J7-K7</f>
        <v>2878000</v>
      </c>
      <c r="M7" s="92">
        <v>26</v>
      </c>
      <c r="N7" s="93">
        <f>IFERROR(VLOOKUP(B7,' TimeTB 1'!$B$4:$P$5,5,0),0)</f>
        <v>0</v>
      </c>
      <c r="O7" s="93">
        <f>VLOOKUP(B7,'TimeTB 2'!$B$4:$O$11,14,0)</f>
        <v>0</v>
      </c>
      <c r="P7" s="94">
        <f>ROUND((K7/M7*N7),0)</f>
        <v>0</v>
      </c>
      <c r="Q7" s="94">
        <f>ROUND(K7/M7*O7,0)</f>
        <v>0</v>
      </c>
      <c r="R7" s="92">
        <f>SUM(P7:Q7)</f>
        <v>0</v>
      </c>
      <c r="S7" s="94">
        <f>ROUND(L7/26*N7,0)</f>
        <v>0</v>
      </c>
      <c r="T7" s="94">
        <f>ROUND(L7/26*O7,0)</f>
        <v>0</v>
      </c>
      <c r="U7" s="92">
        <f>SUM(S7:T7)</f>
        <v>0</v>
      </c>
      <c r="V7" s="92">
        <v>0</v>
      </c>
      <c r="W7" s="92">
        <v>0</v>
      </c>
      <c r="X7" s="92">
        <v>0</v>
      </c>
      <c r="Y7" s="92">
        <f>VLOOKUP(B7,'[20]PC cơm '!$B$7:$L$15,11,0)</f>
        <v>960000</v>
      </c>
      <c r="Z7" s="92">
        <f>SUM(V7:Y7)</f>
        <v>960000</v>
      </c>
      <c r="AA7" s="92">
        <f>VLOOKUP(B7,'[20]OT '!$B$7:$R$14,17,0)</f>
        <v>307663</v>
      </c>
      <c r="AB7" s="92">
        <f>VLOOKUP(B7,[20]NS!$B$9:$G$16,6,0)</f>
        <v>60277</v>
      </c>
      <c r="AC7" s="92">
        <v>0</v>
      </c>
      <c r="AD7" s="92">
        <v>0</v>
      </c>
      <c r="AE7" s="93">
        <v>0</v>
      </c>
      <c r="AF7" s="95">
        <f>ROUND(J7/26*AE7,0)</f>
        <v>0</v>
      </c>
      <c r="AG7" s="95">
        <f>IFERROR(VLOOKUP(B7,[20]Incentive!$B$9:$H$11,7,0),0)</f>
        <v>0</v>
      </c>
      <c r="AH7" s="95" t="e">
        <f>SUMIF([20]Others!$B$8:$B$15,$B7,[20]Others!$F$8:$F$15)</f>
        <v>#VALUE!</v>
      </c>
      <c r="AI7" s="95">
        <v>0</v>
      </c>
      <c r="AJ7" s="92" t="e">
        <f>AI7+AH7+AG7+AF7+AD7+AC7+AB7+AA7+Z7+U7+R7+BN7</f>
        <v>#VALUE!</v>
      </c>
      <c r="AK7" s="92">
        <f>VLOOKUP(B7,'[20]OT '!$B$7:$T$14,19,0)</f>
        <v>156971</v>
      </c>
      <c r="AL7" s="92">
        <f>VLOOKUP(B7,[20]NS!$B$9:$I$16,8,0)</f>
        <v>60277</v>
      </c>
      <c r="AM7" s="92">
        <f>AI7</f>
        <v>0</v>
      </c>
      <c r="AN7" s="92">
        <f t="shared" si="12"/>
        <v>15500000</v>
      </c>
      <c r="AO7" s="93">
        <v>0</v>
      </c>
      <c r="AP7" s="92">
        <f>AO7*$AP$3</f>
        <v>0</v>
      </c>
      <c r="AQ7" s="92">
        <f>BF7*$AQ$3</f>
        <v>605600</v>
      </c>
      <c r="AR7" s="92">
        <f>BF7*$AR$3</f>
        <v>113550</v>
      </c>
      <c r="AS7" s="92">
        <f>BG7*$AS$3</f>
        <v>75700</v>
      </c>
      <c r="AT7" s="95">
        <f>+AS7+AR7+AQ7</f>
        <v>794850</v>
      </c>
      <c r="AU7" s="95">
        <f>IF(BT7=1,0,MIN(Y7,730000))</f>
        <v>730000</v>
      </c>
      <c r="AV7" s="95" t="e">
        <f>AJ7-AK7-AL7-AM7-AU7</f>
        <v>#VALUE!</v>
      </c>
      <c r="AW7" s="95" t="e">
        <f>MAX(AV7-AN7-AP7-AT7,0)</f>
        <v>#VALUE!</v>
      </c>
      <c r="AX7" s="96" t="e">
        <f>IF(BT7=1,10%,IF(AW7&gt;0,IF(AW7&gt;80000000,0.35,IF(AW7&gt;52000000,0.3,IF(AW7&gt;32000000,0.25,IF(AW7&gt;18000000,0.2,IF(AW7&gt;10000000,0.15,IF(AW7&gt;5000000,0.1,0.05)))))),0))</f>
        <v>#VALUE!</v>
      </c>
      <c r="AY7" s="97" t="e">
        <f>IF(BT7=1,0,IF(AW7&gt;80000000,9850000,IF(AW7&gt;52000000,5850000,IF(AW7&gt;32000000,3250000,IF(AW7&gt;18000000,1650000,IF(AW7&gt;10000000,750000,IF(AW7&gt;5000000,250000,0)))))))</f>
        <v>#VALUE!</v>
      </c>
      <c r="AZ7" s="98" t="e">
        <f>ROUND(AW7*AX7-AY7,0)</f>
        <v>#VALUE!</v>
      </c>
      <c r="BA7" s="92">
        <f>BF7*$BA$3</f>
        <v>1286900</v>
      </c>
      <c r="BB7" s="92">
        <f>BF7*$BB$3</f>
        <v>227100</v>
      </c>
      <c r="BC7" s="92">
        <f>BG7*$BC$3</f>
        <v>75700</v>
      </c>
      <c r="BD7" s="92">
        <f>BG7*$BD$3</f>
        <v>37850</v>
      </c>
      <c r="BE7" s="92">
        <f>SUM(BA7:BD7)</f>
        <v>1627550</v>
      </c>
      <c r="BF7" s="92">
        <f>MIN((IF(BS7=1,K7,0)),$BF$3)</f>
        <v>7570000</v>
      </c>
      <c r="BG7" s="92">
        <f>MIN((IF(BS7=1,K7,0)),$BG$3)</f>
        <v>7570000</v>
      </c>
      <c r="BH7" s="92">
        <v>0</v>
      </c>
      <c r="BI7" s="92">
        <v>0</v>
      </c>
      <c r="BJ7" s="92">
        <f>IF(BS7=1,BF7*2%,0)</f>
        <v>151400</v>
      </c>
      <c r="BK7" s="92">
        <f>IF(BU7=1,40000,0)</f>
        <v>40000</v>
      </c>
      <c r="BL7" s="92">
        <f>IF(BV7=0,0,IF(J7&lt;11000000,5000,IF(J7&lt;25000000,10000,IF(J7&lt;40000000,15000,20000)))*BW7)</f>
        <v>0</v>
      </c>
      <c r="BM7" s="99" t="e">
        <f>AJ7-AT7-AZ7-BK7-BL7-BN7-BO7-BP7</f>
        <v>#VALUE!</v>
      </c>
      <c r="BN7" s="95">
        <f>IFERROR(VLOOKUP(B7,'[20]Benefit tính thuế'!$B$2:$H$5,7,0),0)</f>
        <v>1000000</v>
      </c>
      <c r="BO7" s="99">
        <v>0</v>
      </c>
      <c r="BP7" s="99">
        <v>0</v>
      </c>
      <c r="BQ7" s="100">
        <f>AN7+AP7+AU7</f>
        <v>16230000</v>
      </c>
      <c r="BR7" s="100" t="e">
        <f>+AZ7+AT7</f>
        <v>#VALUE!</v>
      </c>
      <c r="BS7" s="100">
        <v>1</v>
      </c>
      <c r="BT7" s="101">
        <v>0</v>
      </c>
      <c r="BU7" s="100">
        <v>1</v>
      </c>
      <c r="BV7" s="101">
        <v>0</v>
      </c>
      <c r="BW7" s="100">
        <v>20</v>
      </c>
      <c r="BX7" s="102"/>
    </row>
    <row r="8" spans="1:78" s="103" customFormat="1" ht="22.5" customHeight="1">
      <c r="A8" s="88">
        <v>2</v>
      </c>
      <c r="B8" s="88" t="s">
        <v>159</v>
      </c>
      <c r="C8" s="88"/>
      <c r="D8" s="89" t="s">
        <v>193</v>
      </c>
      <c r="E8" s="109">
        <v>44562</v>
      </c>
      <c r="F8" s="90" t="s">
        <v>170</v>
      </c>
      <c r="G8" s="91" t="s">
        <v>59</v>
      </c>
      <c r="H8" s="91" t="s">
        <v>23</v>
      </c>
      <c r="I8" s="91" t="s">
        <v>71</v>
      </c>
      <c r="J8" s="92">
        <v>8000000</v>
      </c>
      <c r="K8" s="92">
        <v>5310000</v>
      </c>
      <c r="L8" s="92">
        <f t="shared" si="0"/>
        <v>2690000</v>
      </c>
      <c r="M8" s="92">
        <v>26</v>
      </c>
      <c r="N8" s="93">
        <f>IFERROR(VLOOKUP(B8,' TimeTB 1'!$B$4:$P$5,5,0),0)</f>
        <v>0</v>
      </c>
      <c r="O8" s="93">
        <f>VLOOKUP(B8,'TimeTB 2'!$B$4:$O$11,14,0)</f>
        <v>0</v>
      </c>
      <c r="P8" s="94">
        <f t="shared" si="11"/>
        <v>0</v>
      </c>
      <c r="Q8" s="94">
        <f t="shared" si="1"/>
        <v>0</v>
      </c>
      <c r="R8" s="92">
        <f t="shared" si="2"/>
        <v>0</v>
      </c>
      <c r="S8" s="94">
        <f t="shared" si="3"/>
        <v>0</v>
      </c>
      <c r="T8" s="94">
        <f t="shared" si="4"/>
        <v>0</v>
      </c>
      <c r="U8" s="92">
        <f t="shared" si="5"/>
        <v>0</v>
      </c>
      <c r="V8" s="92">
        <v>0</v>
      </c>
      <c r="W8" s="92">
        <v>0</v>
      </c>
      <c r="X8" s="92">
        <v>0</v>
      </c>
      <c r="Y8" s="92">
        <f>VLOOKUP(B8,'[20]PC cơm '!$B$7:$L$15,11,0)</f>
        <v>720000</v>
      </c>
      <c r="Z8" s="92">
        <f t="shared" ref="Z8:Z9" si="13">SUM(V8:Y8)</f>
        <v>720000</v>
      </c>
      <c r="AA8" s="92">
        <f>VLOOKUP(B8,'[20]OT '!$B$7:$R$14,17,0)</f>
        <v>965384</v>
      </c>
      <c r="AB8" s="92">
        <f>VLOOKUP(B8,[20]NS!$B$9:$G$16,6,0)</f>
        <v>17308</v>
      </c>
      <c r="AC8" s="92">
        <v>0</v>
      </c>
      <c r="AD8" s="92">
        <v>0</v>
      </c>
      <c r="AE8" s="93">
        <v>4</v>
      </c>
      <c r="AF8" s="95">
        <f t="shared" si="6"/>
        <v>1230769</v>
      </c>
      <c r="AG8" s="95">
        <f>IFERROR(VLOOKUP(B8,[20]Incentive!$B$9:$H$11,7,0),0)</f>
        <v>0</v>
      </c>
      <c r="AH8" s="95" t="e">
        <f>SUMIF([20]Others!$B$8:$B$15,$B8,[20]Others!$F$8:$F$15)</f>
        <v>#VALUE!</v>
      </c>
      <c r="AI8" s="95">
        <v>0</v>
      </c>
      <c r="AJ8" s="92" t="e">
        <f t="shared" ref="AJ8:AJ9" si="14">AI8+AH8+AG8+AF8+AD8+AC8+AB8+AA8+Z8+U8+R8+BN8</f>
        <v>#VALUE!</v>
      </c>
      <c r="AK8" s="92">
        <f>VLOOKUP(B8,'[20]OT '!$B$7:$T$14,19,0)</f>
        <v>657692</v>
      </c>
      <c r="AL8" s="92">
        <f>VLOOKUP(B8,[20]NS!$B$9:$I$16,8,0)</f>
        <v>17308</v>
      </c>
      <c r="AM8" s="92">
        <f t="shared" ref="AM8:AM9" si="15">AI8</f>
        <v>0</v>
      </c>
      <c r="AN8" s="92">
        <f t="shared" si="12"/>
        <v>15500000</v>
      </c>
      <c r="AO8" s="93">
        <v>0</v>
      </c>
      <c r="AP8" s="92">
        <f t="shared" ref="AP8:AP9" si="16">AO8*$AP$3</f>
        <v>0</v>
      </c>
      <c r="AQ8" s="92">
        <f t="shared" ref="AQ8:AQ9" si="17">BF8*$AQ$3</f>
        <v>0</v>
      </c>
      <c r="AR8" s="92">
        <f t="shared" ref="AR8:AR9" si="18">BF8*$AR$3</f>
        <v>0</v>
      </c>
      <c r="AS8" s="92">
        <f t="shared" ref="AS8:AS9" si="19">BG8*$AS$3</f>
        <v>0</v>
      </c>
      <c r="AT8" s="95">
        <f t="shared" ref="AT8:AT9" si="20">+AS8+AR8+AQ8</f>
        <v>0</v>
      </c>
      <c r="AU8" s="95">
        <f t="shared" ref="AU8:AU9" si="21">IF(BT8=1,0,MIN(Y8,730000))</f>
        <v>720000</v>
      </c>
      <c r="AV8" s="95" t="e">
        <f t="shared" ref="AV8:AV9" si="22">AJ8-AK8-AL8-AM8-AU8</f>
        <v>#VALUE!</v>
      </c>
      <c r="AW8" s="95" t="e">
        <f t="shared" ref="AW8:AW9" si="23">MAX(AV8-AN8-AP8-AT8,0)</f>
        <v>#VALUE!</v>
      </c>
      <c r="AX8" s="96" t="e">
        <f t="shared" si="7"/>
        <v>#VALUE!</v>
      </c>
      <c r="AY8" s="97" t="e">
        <f t="shared" ref="AY8" si="24">IF(BT8=1,0,IF(AW8&gt;80000000,9850000,IF(AW8&gt;52000000,5850000,IF(AW8&gt;32000000,3250000,IF(AW8&gt;18000000,1650000,IF(AW8&gt;10000000,750000,IF(AW8&gt;5000000,250000,0)))))))</f>
        <v>#VALUE!</v>
      </c>
      <c r="AZ8" s="98" t="e">
        <f t="shared" ref="AZ8:AZ9" si="25">ROUND(AW8*AX8-AY8,0)</f>
        <v>#VALUE!</v>
      </c>
      <c r="BA8" s="92">
        <f t="shared" ref="BA8:BA9" si="26">BF8*$BA$3</f>
        <v>0</v>
      </c>
      <c r="BB8" s="92">
        <f t="shared" ref="BB8:BB9" si="27">BF8*$BB$3</f>
        <v>0</v>
      </c>
      <c r="BC8" s="92">
        <f t="shared" ref="BC8:BC9" si="28">BG8*$BC$3</f>
        <v>0</v>
      </c>
      <c r="BD8" s="92">
        <f t="shared" ref="BD8:BD9" si="29">BG8*$BD$3</f>
        <v>0</v>
      </c>
      <c r="BE8" s="92">
        <f t="shared" ref="BE8:BE9" si="30">SUM(BA8:BD8)</f>
        <v>0</v>
      </c>
      <c r="BF8" s="92">
        <f t="shared" si="8"/>
        <v>0</v>
      </c>
      <c r="BG8" s="92">
        <f t="shared" si="9"/>
        <v>0</v>
      </c>
      <c r="BH8" s="92">
        <v>0</v>
      </c>
      <c r="BI8" s="92">
        <v>0</v>
      </c>
      <c r="BJ8" s="92">
        <f t="shared" ref="BJ8:BJ9" si="31">IF(BS8=1,BF8*2%,0)</f>
        <v>0</v>
      </c>
      <c r="BK8" s="92">
        <f t="shared" ref="BK8:BK9" si="32">IF(BU8=1,40000,0)</f>
        <v>0</v>
      </c>
      <c r="BL8" s="92">
        <f t="shared" si="10"/>
        <v>0</v>
      </c>
      <c r="BM8" s="99" t="e">
        <f t="shared" ref="BM8:BM9" si="33">AJ8-AT8-AZ8-BK8-BL8-BN8-BO8-BP8</f>
        <v>#VALUE!</v>
      </c>
      <c r="BN8" s="95">
        <f>IFERROR(VLOOKUP(B8,'[20]Benefit tính thuế'!$B$2:$H$5,7,0),0)</f>
        <v>1250000</v>
      </c>
      <c r="BO8" s="99">
        <v>0</v>
      </c>
      <c r="BP8" s="99">
        <v>0</v>
      </c>
      <c r="BQ8" s="100">
        <f t="shared" ref="BQ8:BQ9" si="34">AN8+AP8+AU8</f>
        <v>16220000</v>
      </c>
      <c r="BR8" s="100" t="e">
        <f t="shared" ref="BR8:BR9" si="35">+AZ8+AT8</f>
        <v>#VALUE!</v>
      </c>
      <c r="BS8" s="101">
        <v>0</v>
      </c>
      <c r="BT8" s="101">
        <v>0</v>
      </c>
      <c r="BU8" s="101">
        <v>0</v>
      </c>
      <c r="BV8" s="101">
        <v>0</v>
      </c>
      <c r="BW8" s="100">
        <v>20</v>
      </c>
      <c r="BX8" s="102"/>
    </row>
    <row r="9" spans="1:78" s="103" customFormat="1" ht="22.5" customHeight="1">
      <c r="A9" s="88">
        <v>3</v>
      </c>
      <c r="B9" s="88" t="s">
        <v>160</v>
      </c>
      <c r="C9" s="88"/>
      <c r="D9" s="89" t="s">
        <v>194</v>
      </c>
      <c r="E9" s="109">
        <v>45740</v>
      </c>
      <c r="F9" s="90" t="s">
        <v>170</v>
      </c>
      <c r="G9" s="91" t="s">
        <v>59</v>
      </c>
      <c r="H9" s="91" t="s">
        <v>23</v>
      </c>
      <c r="I9" s="91" t="s">
        <v>71</v>
      </c>
      <c r="J9" s="92">
        <v>8500000</v>
      </c>
      <c r="K9" s="92">
        <v>5310000</v>
      </c>
      <c r="L9" s="92">
        <f t="shared" si="0"/>
        <v>3190000</v>
      </c>
      <c r="M9" s="92">
        <v>26</v>
      </c>
      <c r="N9" s="93">
        <f>IFERROR(VLOOKUP(B9,' TimeTB 1'!$B$4:$P$5,5,0),0)</f>
        <v>0</v>
      </c>
      <c r="O9" s="93">
        <f>VLOOKUP(B9,'TimeTB 2'!$B$4:$O$11,14,0)</f>
        <v>0</v>
      </c>
      <c r="P9" s="94">
        <f t="shared" si="11"/>
        <v>0</v>
      </c>
      <c r="Q9" s="94">
        <f t="shared" si="1"/>
        <v>0</v>
      </c>
      <c r="R9" s="92">
        <f t="shared" si="2"/>
        <v>0</v>
      </c>
      <c r="S9" s="94">
        <f t="shared" si="3"/>
        <v>0</v>
      </c>
      <c r="T9" s="94">
        <f t="shared" si="4"/>
        <v>0</v>
      </c>
      <c r="U9" s="92">
        <f t="shared" si="5"/>
        <v>0</v>
      </c>
      <c r="V9" s="92">
        <v>0</v>
      </c>
      <c r="W9" s="92">
        <v>0</v>
      </c>
      <c r="X9" s="92">
        <v>0</v>
      </c>
      <c r="Y9" s="92">
        <f>VLOOKUP(B9,'[20]PC cơm '!$B$7:$L$15,11,0)</f>
        <v>1120000</v>
      </c>
      <c r="Z9" s="92">
        <f t="shared" si="13"/>
        <v>1120000</v>
      </c>
      <c r="AA9" s="92">
        <f>VLOOKUP(B9,'[20]OT '!$B$7:$R$14,17,0)</f>
        <v>980769</v>
      </c>
      <c r="AB9" s="92">
        <f>VLOOKUP(B9,[20]NS!$B$9:$G$16,6,0)</f>
        <v>6130</v>
      </c>
      <c r="AC9" s="92">
        <v>0</v>
      </c>
      <c r="AD9" s="92">
        <v>0</v>
      </c>
      <c r="AE9" s="93">
        <v>0</v>
      </c>
      <c r="AF9" s="95">
        <f t="shared" si="6"/>
        <v>0</v>
      </c>
      <c r="AG9" s="95">
        <f>IFERROR(VLOOKUP(B9,[20]Incentive!$B$9:$H$11,7,0),0)</f>
        <v>0</v>
      </c>
      <c r="AH9" s="95" t="e">
        <f>SUMIF([20]Others!$B$8:$B$15,$B9,[20]Others!$F$8:$F$15)</f>
        <v>#VALUE!</v>
      </c>
      <c r="AI9" s="95">
        <v>0</v>
      </c>
      <c r="AJ9" s="92" t="e">
        <f t="shared" si="14"/>
        <v>#VALUE!</v>
      </c>
      <c r="AK9" s="92">
        <f>VLOOKUP(B9,'[20]OT '!$B$7:$T$14,19,0)</f>
        <v>0</v>
      </c>
      <c r="AL9" s="92">
        <f>VLOOKUP(B9,[20]NS!$B$9:$I$16,8,0)</f>
        <v>0</v>
      </c>
      <c r="AM9" s="92">
        <f t="shared" si="15"/>
        <v>0</v>
      </c>
      <c r="AN9" s="92">
        <f t="shared" si="12"/>
        <v>0</v>
      </c>
      <c r="AO9" s="93">
        <v>0</v>
      </c>
      <c r="AP9" s="92">
        <f t="shared" si="16"/>
        <v>0</v>
      </c>
      <c r="AQ9" s="92">
        <f t="shared" si="17"/>
        <v>0</v>
      </c>
      <c r="AR9" s="92">
        <f t="shared" si="18"/>
        <v>0</v>
      </c>
      <c r="AS9" s="92">
        <f t="shared" si="19"/>
        <v>0</v>
      </c>
      <c r="AT9" s="95">
        <f t="shared" si="20"/>
        <v>0</v>
      </c>
      <c r="AU9" s="95">
        <f t="shared" si="21"/>
        <v>0</v>
      </c>
      <c r="AV9" s="95" t="e">
        <f t="shared" si="22"/>
        <v>#VALUE!</v>
      </c>
      <c r="AW9" s="95" t="e">
        <f t="shared" si="23"/>
        <v>#VALUE!</v>
      </c>
      <c r="AX9" s="96">
        <f t="shared" si="7"/>
        <v>0.1</v>
      </c>
      <c r="AY9" s="97">
        <f>IF(BT9=1,0,IF(AW9&gt;80000000,9850000,IF(AW9&gt;52000000,5850000,IF(AW9&gt;32000000,3250000,IF(AW9&gt;18000000,1650000,IF(AW9&gt;10000000,750000,IF(AW9&gt;5000000,250000,0)))))))</f>
        <v>0</v>
      </c>
      <c r="AZ9" s="98" t="e">
        <f t="shared" si="25"/>
        <v>#VALUE!</v>
      </c>
      <c r="BA9" s="92">
        <f t="shared" si="26"/>
        <v>0</v>
      </c>
      <c r="BB9" s="92">
        <f t="shared" si="27"/>
        <v>0</v>
      </c>
      <c r="BC9" s="92">
        <f t="shared" si="28"/>
        <v>0</v>
      </c>
      <c r="BD9" s="92">
        <f t="shared" si="29"/>
        <v>0</v>
      </c>
      <c r="BE9" s="92">
        <f t="shared" si="30"/>
        <v>0</v>
      </c>
      <c r="BF9" s="92">
        <f t="shared" si="8"/>
        <v>0</v>
      </c>
      <c r="BG9" s="92">
        <f t="shared" si="9"/>
        <v>0</v>
      </c>
      <c r="BH9" s="92">
        <v>0</v>
      </c>
      <c r="BI9" s="92">
        <v>0</v>
      </c>
      <c r="BJ9" s="92">
        <f t="shared" si="31"/>
        <v>0</v>
      </c>
      <c r="BK9" s="92">
        <f t="shared" si="32"/>
        <v>0</v>
      </c>
      <c r="BL9" s="92">
        <f t="shared" si="10"/>
        <v>0</v>
      </c>
      <c r="BM9" s="99" t="e">
        <f t="shared" si="33"/>
        <v>#VALUE!</v>
      </c>
      <c r="BN9" s="95">
        <f>IFERROR(VLOOKUP(B9,'[20]Benefit tính thuế'!$B$2:$H$5,7,0),0)</f>
        <v>0</v>
      </c>
      <c r="BO9" s="99">
        <v>0</v>
      </c>
      <c r="BP9" s="99">
        <v>0</v>
      </c>
      <c r="BQ9" s="100">
        <f t="shared" si="34"/>
        <v>0</v>
      </c>
      <c r="BR9" s="100" t="e">
        <f t="shared" si="35"/>
        <v>#VALUE!</v>
      </c>
      <c r="BS9" s="101">
        <v>0</v>
      </c>
      <c r="BT9" s="100">
        <v>1</v>
      </c>
      <c r="BU9" s="101">
        <v>0</v>
      </c>
      <c r="BV9" s="101">
        <v>0</v>
      </c>
      <c r="BW9" s="100">
        <v>20</v>
      </c>
      <c r="BX9" s="102"/>
    </row>
    <row r="10" spans="1:78" s="103" customFormat="1" ht="22.5" customHeight="1">
      <c r="A10" s="88">
        <v>1</v>
      </c>
      <c r="B10" s="88" t="s">
        <v>161</v>
      </c>
      <c r="C10" s="88"/>
      <c r="D10" s="89" t="s">
        <v>195</v>
      </c>
      <c r="E10" s="90" t="s">
        <v>80</v>
      </c>
      <c r="F10" s="90" t="s">
        <v>165</v>
      </c>
      <c r="G10" s="91" t="s">
        <v>157</v>
      </c>
      <c r="H10" s="91" t="s">
        <v>22</v>
      </c>
      <c r="I10" s="104" t="s">
        <v>114</v>
      </c>
      <c r="J10" s="92">
        <v>7056000</v>
      </c>
      <c r="K10" s="92">
        <v>5310000</v>
      </c>
      <c r="L10" s="92">
        <f t="shared" si="0"/>
        <v>1746000</v>
      </c>
      <c r="M10" s="92">
        <v>26</v>
      </c>
      <c r="N10" s="93">
        <f>IFERROR(VLOOKUP(B10,' TimeTB 1'!$B$4:$P$5,5,0),0)</f>
        <v>0</v>
      </c>
      <c r="O10" s="93">
        <f>VLOOKUP(B10,'TimeTB 2'!$B$4:$O$11,14,0)</f>
        <v>0</v>
      </c>
      <c r="P10" s="94">
        <f t="shared" si="11"/>
        <v>0</v>
      </c>
      <c r="Q10" s="94">
        <f t="shared" si="1"/>
        <v>0</v>
      </c>
      <c r="R10" s="92">
        <f t="shared" si="2"/>
        <v>0</v>
      </c>
      <c r="S10" s="94">
        <f t="shared" si="3"/>
        <v>0</v>
      </c>
      <c r="T10" s="94">
        <f t="shared" si="4"/>
        <v>0</v>
      </c>
      <c r="U10" s="92">
        <f t="shared" si="5"/>
        <v>0</v>
      </c>
      <c r="V10" s="92">
        <v>0</v>
      </c>
      <c r="W10" s="92">
        <v>0</v>
      </c>
      <c r="X10" s="92">
        <v>0</v>
      </c>
      <c r="Y10" s="92">
        <f>VLOOKUP(B10,'[20]PC cơm '!$B$7:$L$15,11,0)</f>
        <v>1120000</v>
      </c>
      <c r="Z10" s="92">
        <f>SUM(V10:Y10)</f>
        <v>1120000</v>
      </c>
      <c r="AA10" s="92">
        <f>VLOOKUP(B10,'[20]OT '!$B$7:$R$14,17,0)</f>
        <v>1596081</v>
      </c>
      <c r="AB10" s="92">
        <f>VLOOKUP(B10,[20]NS!$B$9:$G$16,6,0)</f>
        <v>10177</v>
      </c>
      <c r="AC10" s="92">
        <v>0</v>
      </c>
      <c r="AD10" s="92">
        <v>0</v>
      </c>
      <c r="AE10" s="93">
        <v>0</v>
      </c>
      <c r="AF10" s="95">
        <f t="shared" si="6"/>
        <v>0</v>
      </c>
      <c r="AG10" s="95">
        <f>IFERROR(VLOOKUP(B10,[20]Incentive!$B$9:$H$11,7,0),0)</f>
        <v>2000000</v>
      </c>
      <c r="AH10" s="95" t="e">
        <f>SUMIF([20]Others!$B$8:$B$15,$B10,[20]Others!$F$8:$F$15)</f>
        <v>#VALUE!</v>
      </c>
      <c r="AI10" s="95">
        <v>0</v>
      </c>
      <c r="AJ10" s="92" t="e">
        <f>AI10+AH10+AG10+AF10+AD10+AC10+AB10+AA10+Z10+U10+R10+BN10</f>
        <v>#VALUE!</v>
      </c>
      <c r="AK10" s="92">
        <f>VLOOKUP(B10,'[20]OT '!$B$7:$T$14,19,0)</f>
        <v>985466</v>
      </c>
      <c r="AL10" s="92">
        <f>VLOOKUP(B10,[20]NS!$B$9:$I$16,8,0)</f>
        <v>10177</v>
      </c>
      <c r="AM10" s="92">
        <f>AI10</f>
        <v>0</v>
      </c>
      <c r="AN10" s="92">
        <f t="shared" si="12"/>
        <v>15500000</v>
      </c>
      <c r="AO10" s="93">
        <v>0</v>
      </c>
      <c r="AP10" s="92">
        <f>AO10*$AP$3</f>
        <v>0</v>
      </c>
      <c r="AQ10" s="92">
        <f>BF10*$AQ$3</f>
        <v>424800</v>
      </c>
      <c r="AR10" s="92">
        <f>BF10*$AR$3</f>
        <v>79650</v>
      </c>
      <c r="AS10" s="92">
        <f>BG10*$AS$3</f>
        <v>53100</v>
      </c>
      <c r="AT10" s="95">
        <f>+AS10+AR10+AQ10</f>
        <v>557550</v>
      </c>
      <c r="AU10" s="95">
        <f>IF(BT10=1,0,MIN(Y10,730000))</f>
        <v>730000</v>
      </c>
      <c r="AV10" s="95" t="e">
        <f>AJ10-AK10-AL10-AM10-AU10</f>
        <v>#VALUE!</v>
      </c>
      <c r="AW10" s="95" t="e">
        <f>MAX(AV10-AN10-AP10-AT10,0)</f>
        <v>#VALUE!</v>
      </c>
      <c r="AX10" s="96" t="e">
        <f t="shared" si="7"/>
        <v>#VALUE!</v>
      </c>
      <c r="AY10" s="97" t="e">
        <f>IF(BT10=1,0,IF(AW10&gt;80000000,9850000,IF(AW10&gt;52000000,5850000,IF(AW10&gt;32000000,3250000,IF(AW10&gt;18000000,1650000,IF(AW10&gt;10000000,750000,IF(AW10&gt;5000000,250000,0)))))))</f>
        <v>#VALUE!</v>
      </c>
      <c r="AZ10" s="98" t="e">
        <f>ROUND(AW10*AX10-AY10,0)</f>
        <v>#VALUE!</v>
      </c>
      <c r="BA10" s="92">
        <f>BF10*$BA$3</f>
        <v>902700.00000000012</v>
      </c>
      <c r="BB10" s="92">
        <f>BF10*$BB$3</f>
        <v>159300</v>
      </c>
      <c r="BC10" s="92">
        <f>BG10*$BC$3</f>
        <v>53100</v>
      </c>
      <c r="BD10" s="92">
        <f>BG10*$BD$3</f>
        <v>26550</v>
      </c>
      <c r="BE10" s="92">
        <f>SUM(BA10:BD10)</f>
        <v>1141650</v>
      </c>
      <c r="BF10" s="92">
        <f t="shared" si="8"/>
        <v>5310000</v>
      </c>
      <c r="BG10" s="92">
        <f t="shared" si="9"/>
        <v>5310000</v>
      </c>
      <c r="BH10" s="92">
        <v>0</v>
      </c>
      <c r="BI10" s="92">
        <v>0</v>
      </c>
      <c r="BJ10" s="92">
        <f>IF(BS10=1,BF10*2%,0)</f>
        <v>106200</v>
      </c>
      <c r="BK10" s="92">
        <f>IF(BU10=1,40000,0)</f>
        <v>40000</v>
      </c>
      <c r="BL10" s="92">
        <f t="shared" si="10"/>
        <v>100000</v>
      </c>
      <c r="BM10" s="99" t="e">
        <f>AJ10-AT10-AZ10-BK10-BL10-BN10-BO10-BP10</f>
        <v>#VALUE!</v>
      </c>
      <c r="BN10" s="95">
        <f>IFERROR(VLOOKUP(B10,'[20]Benefit tính thuế'!$B$2:$H$5,7,0),0)</f>
        <v>0</v>
      </c>
      <c r="BO10" s="99">
        <v>0</v>
      </c>
      <c r="BP10" s="99">
        <v>0</v>
      </c>
      <c r="BQ10" s="100">
        <f>AN10+AP10+AU10</f>
        <v>16230000</v>
      </c>
      <c r="BR10" s="100" t="e">
        <f>+AZ10+AT10</f>
        <v>#VALUE!</v>
      </c>
      <c r="BS10" s="100">
        <v>1</v>
      </c>
      <c r="BT10" s="101">
        <v>0</v>
      </c>
      <c r="BU10" s="100">
        <v>1</v>
      </c>
      <c r="BV10" s="100">
        <v>1</v>
      </c>
      <c r="BW10" s="100">
        <v>20</v>
      </c>
      <c r="BX10" s="102"/>
    </row>
    <row r="11" spans="1:78" s="103" customFormat="1" ht="22.5" customHeight="1">
      <c r="A11" s="88">
        <v>1</v>
      </c>
      <c r="B11" s="88" t="s">
        <v>162</v>
      </c>
      <c r="C11" s="88"/>
      <c r="D11" s="89" t="s">
        <v>196</v>
      </c>
      <c r="E11" s="90" t="s">
        <v>82</v>
      </c>
      <c r="F11" s="90" t="s">
        <v>166</v>
      </c>
      <c r="G11" s="91" t="s">
        <v>21</v>
      </c>
      <c r="H11" s="91" t="s">
        <v>23</v>
      </c>
      <c r="I11" s="104" t="s">
        <v>75</v>
      </c>
      <c r="J11" s="92">
        <v>6841000</v>
      </c>
      <c r="K11" s="92">
        <v>5310000</v>
      </c>
      <c r="L11" s="92">
        <f t="shared" si="0"/>
        <v>1531000</v>
      </c>
      <c r="M11" s="92">
        <v>26</v>
      </c>
      <c r="N11" s="93">
        <f>IFERROR(VLOOKUP(B11,' TimeTB 1'!$B$4:$P$5,5,0),0)</f>
        <v>0</v>
      </c>
      <c r="O11" s="93">
        <f>VLOOKUP(B11,'TimeTB 2'!$B$4:$O$11,14,0)</f>
        <v>0</v>
      </c>
      <c r="P11" s="94">
        <f t="shared" si="11"/>
        <v>0</v>
      </c>
      <c r="Q11" s="94">
        <f t="shared" si="1"/>
        <v>0</v>
      </c>
      <c r="R11" s="92">
        <f t="shared" si="2"/>
        <v>0</v>
      </c>
      <c r="S11" s="94">
        <f t="shared" si="3"/>
        <v>0</v>
      </c>
      <c r="T11" s="94">
        <f t="shared" si="4"/>
        <v>0</v>
      </c>
      <c r="U11" s="92">
        <f t="shared" si="5"/>
        <v>0</v>
      </c>
      <c r="V11" s="92">
        <v>0</v>
      </c>
      <c r="W11" s="92">
        <v>0</v>
      </c>
      <c r="X11" s="92">
        <v>0</v>
      </c>
      <c r="Y11" s="92">
        <f>VLOOKUP(B11,'[20]PC cơm '!$B$7:$L$15,11,0)</f>
        <v>960000</v>
      </c>
      <c r="Z11" s="92">
        <f>SUM(V11:Y11)</f>
        <v>960000</v>
      </c>
      <c r="AA11" s="92">
        <f>VLOOKUP(B11,'[20]OT '!$B$7:$R$14,17,0)</f>
        <v>0</v>
      </c>
      <c r="AB11" s="92">
        <f>VLOOKUP(B11,[20]NS!$B$9:$G$16,6,0)</f>
        <v>49334</v>
      </c>
      <c r="AC11" s="92">
        <v>0</v>
      </c>
      <c r="AD11" s="92">
        <v>0</v>
      </c>
      <c r="AE11" s="93">
        <v>0</v>
      </c>
      <c r="AF11" s="95">
        <f t="shared" si="6"/>
        <v>0</v>
      </c>
      <c r="AG11" s="95">
        <f>IFERROR(VLOOKUP(B11,[20]Incentive!$B$9:$H$11,7,0),0)</f>
        <v>2600000</v>
      </c>
      <c r="AH11" s="95" t="e">
        <f>SUMIF([20]Others!$B$8:$B$15,$B11,[20]Others!$F$8:$F$15)</f>
        <v>#VALUE!</v>
      </c>
      <c r="AI11" s="95">
        <v>0</v>
      </c>
      <c r="AJ11" s="92" t="e">
        <f>AI11+AH11+AG11+AF11+AD11+AC11+AB11+AA11+Z11+U11+R11+BN11</f>
        <v>#VALUE!</v>
      </c>
      <c r="AK11" s="92">
        <f>VLOOKUP(B11,'[20]OT '!$B$7:$T$14,19,0)</f>
        <v>0</v>
      </c>
      <c r="AL11" s="92">
        <f>VLOOKUP(B11,[20]NS!$B$9:$I$16,8,0)</f>
        <v>49334</v>
      </c>
      <c r="AM11" s="92">
        <f>AI11</f>
        <v>0</v>
      </c>
      <c r="AN11" s="92">
        <f t="shared" si="12"/>
        <v>15500000</v>
      </c>
      <c r="AO11" s="93">
        <v>0</v>
      </c>
      <c r="AP11" s="92">
        <f>AO11*$AP$3</f>
        <v>0</v>
      </c>
      <c r="AQ11" s="92">
        <f>BF11*$AQ$3</f>
        <v>424800</v>
      </c>
      <c r="AR11" s="92">
        <f>BF11*$AR$3</f>
        <v>79650</v>
      </c>
      <c r="AS11" s="92">
        <f>BG11*$AS$3</f>
        <v>53100</v>
      </c>
      <c r="AT11" s="95">
        <f>+AS11+AR11+AQ11</f>
        <v>557550</v>
      </c>
      <c r="AU11" s="95">
        <f>IF(BT11=1,0,MIN(Y11,730000))</f>
        <v>730000</v>
      </c>
      <c r="AV11" s="95" t="e">
        <f>AJ11-AK11-AL11-AM11-AU11</f>
        <v>#VALUE!</v>
      </c>
      <c r="AW11" s="95" t="e">
        <f>MAX(AV11-AN11-AP11-AT11,0)</f>
        <v>#VALUE!</v>
      </c>
      <c r="AX11" s="96" t="e">
        <f t="shared" si="7"/>
        <v>#VALUE!</v>
      </c>
      <c r="AY11" s="97" t="e">
        <f>IF(BT11=1,0,IF(AW11&gt;80000000,9850000,IF(AW11&gt;52000000,5850000,IF(AW11&gt;32000000,3250000,IF(AW11&gt;18000000,1650000,IF(AW11&gt;10000000,750000,IF(AW11&gt;5000000,250000,0)))))))</f>
        <v>#VALUE!</v>
      </c>
      <c r="AZ11" s="98" t="e">
        <f>ROUND(AW11*AX11-AY11,0)</f>
        <v>#VALUE!</v>
      </c>
      <c r="BA11" s="92">
        <f>BF11*$BA$3</f>
        <v>902700.00000000012</v>
      </c>
      <c r="BB11" s="92">
        <f>BF11*$BB$3</f>
        <v>159300</v>
      </c>
      <c r="BC11" s="92">
        <f>BG11*$BC$3</f>
        <v>53100</v>
      </c>
      <c r="BD11" s="92">
        <f>BG11*$BD$3</f>
        <v>26550</v>
      </c>
      <c r="BE11" s="92">
        <f>SUM(BA11:BD11)</f>
        <v>1141650</v>
      </c>
      <c r="BF11" s="92">
        <f t="shared" si="8"/>
        <v>5310000</v>
      </c>
      <c r="BG11" s="92">
        <f t="shared" si="9"/>
        <v>5310000</v>
      </c>
      <c r="BH11" s="92">
        <v>0</v>
      </c>
      <c r="BI11" s="92">
        <v>0</v>
      </c>
      <c r="BJ11" s="92">
        <f>IF(BS11=1,BF11*2%,0)</f>
        <v>106200</v>
      </c>
      <c r="BK11" s="92">
        <f>IF(BU11=1,40000,0)</f>
        <v>40000</v>
      </c>
      <c r="BL11" s="92">
        <f t="shared" si="10"/>
        <v>0</v>
      </c>
      <c r="BM11" s="99" t="e">
        <f>AJ11-AT11-AZ11-BK11-BL11-BN11-BO11-BP11</f>
        <v>#VALUE!</v>
      </c>
      <c r="BN11" s="95">
        <f>IFERROR(VLOOKUP(B11,'[20]Benefit tính thuế'!$B$2:$H$5,7,0),0)</f>
        <v>0</v>
      </c>
      <c r="BO11" s="99">
        <v>0</v>
      </c>
      <c r="BP11" s="99">
        <v>0</v>
      </c>
      <c r="BQ11" s="100">
        <f>AN11+AP11+AU11</f>
        <v>16230000</v>
      </c>
      <c r="BR11" s="100" t="e">
        <f>+AZ11+AT11</f>
        <v>#VALUE!</v>
      </c>
      <c r="BS11" s="100">
        <v>1</v>
      </c>
      <c r="BT11" s="101">
        <v>0</v>
      </c>
      <c r="BU11" s="100">
        <v>1</v>
      </c>
      <c r="BV11" s="101">
        <v>0</v>
      </c>
      <c r="BW11" s="100">
        <v>20</v>
      </c>
      <c r="BX11" s="102"/>
    </row>
    <row r="12" spans="1:78" s="103" customFormat="1" ht="22.5" customHeight="1">
      <c r="A12" s="88">
        <v>1</v>
      </c>
      <c r="B12" s="88" t="s">
        <v>182</v>
      </c>
      <c r="C12" s="88"/>
      <c r="D12" s="89" t="s">
        <v>198</v>
      </c>
      <c r="E12" s="109">
        <v>45738</v>
      </c>
      <c r="F12" s="90" t="s">
        <v>167</v>
      </c>
      <c r="G12" s="91" t="s">
        <v>50</v>
      </c>
      <c r="H12" s="91" t="s">
        <v>23</v>
      </c>
      <c r="I12" s="91" t="s">
        <v>98</v>
      </c>
      <c r="J12" s="92">
        <v>11000000</v>
      </c>
      <c r="K12" s="92">
        <v>5800000</v>
      </c>
      <c r="L12" s="92">
        <f t="shared" si="0"/>
        <v>5200000</v>
      </c>
      <c r="M12" s="92">
        <v>26</v>
      </c>
      <c r="N12" s="93">
        <f>IFERROR(VLOOKUP(B12,' TimeTB 1'!$B$4:$P$5,5,0),0)</f>
        <v>0</v>
      </c>
      <c r="O12" s="93">
        <f>VLOOKUP(B12,'TimeTB 2'!$B$4:$O$11,14,0)</f>
        <v>0</v>
      </c>
      <c r="P12" s="94">
        <f t="shared" si="11"/>
        <v>0</v>
      </c>
      <c r="Q12" s="94">
        <f t="shared" si="1"/>
        <v>0</v>
      </c>
      <c r="R12" s="92">
        <f>SUM(P12:Q12)</f>
        <v>0</v>
      </c>
      <c r="S12" s="94">
        <f t="shared" si="3"/>
        <v>0</v>
      </c>
      <c r="T12" s="94">
        <f t="shared" si="4"/>
        <v>0</v>
      </c>
      <c r="U12" s="92">
        <f t="shared" si="5"/>
        <v>0</v>
      </c>
      <c r="V12" s="92">
        <v>0</v>
      </c>
      <c r="W12" s="92">
        <v>0</v>
      </c>
      <c r="X12" s="92">
        <v>0</v>
      </c>
      <c r="Y12" s="92">
        <f>VLOOKUP(B12,'[20]PC cơm '!$B$7:$L$15,11,0)</f>
        <v>1120000</v>
      </c>
      <c r="Z12" s="92">
        <f>SUM(V12:Y12)</f>
        <v>1120000</v>
      </c>
      <c r="AA12" s="92">
        <f>VLOOKUP(B12,'[20]OT '!$B$7:$R$14,17,0)</f>
        <v>2488221</v>
      </c>
      <c r="AB12" s="92">
        <f>VLOOKUP(B12,[20]NS!$B$9:$G$16,6,0)</f>
        <v>95192</v>
      </c>
      <c r="AC12" s="92">
        <v>0</v>
      </c>
      <c r="AD12" s="92">
        <v>0</v>
      </c>
      <c r="AE12" s="93">
        <v>0</v>
      </c>
      <c r="AF12" s="95">
        <f t="shared" si="6"/>
        <v>0</v>
      </c>
      <c r="AG12" s="95">
        <f>IFERROR(VLOOKUP(B12,[20]Incentive!$B$9:$H$11,7,0),0)</f>
        <v>5610000</v>
      </c>
      <c r="AH12" s="95" t="e">
        <f>SUMIF([20]Others!$B$8:$B$15,$B12,[20]Others!$F$8:$F$15)</f>
        <v>#VALUE!</v>
      </c>
      <c r="AI12" s="95">
        <v>0</v>
      </c>
      <c r="AJ12" s="92" t="e">
        <f>AI12+AH12+AG12+AF12+AD12+AC12+AB12+AA12+Z12+U12+R12+BN12</f>
        <v>#VALUE!</v>
      </c>
      <c r="AK12" s="92">
        <f>VLOOKUP(B12,'[20]OT '!$B$7:$T$14,19,0)</f>
        <v>0</v>
      </c>
      <c r="AL12" s="92">
        <f>VLOOKUP(B12,[20]NS!$B$9:$I$16,8,0)</f>
        <v>0</v>
      </c>
      <c r="AM12" s="92">
        <f>AI12</f>
        <v>0</v>
      </c>
      <c r="AN12" s="92">
        <f>IF(BT12=1,0,11000000)</f>
        <v>0</v>
      </c>
      <c r="AO12" s="93">
        <v>0</v>
      </c>
      <c r="AP12" s="92">
        <f>AO12*$AP$3</f>
        <v>0</v>
      </c>
      <c r="AQ12" s="92">
        <f>BF12*$AQ$3</f>
        <v>0</v>
      </c>
      <c r="AR12" s="92">
        <f>BF12*$AR$3</f>
        <v>0</v>
      </c>
      <c r="AS12" s="92">
        <f>BG12*$AS$3</f>
        <v>0</v>
      </c>
      <c r="AT12" s="95">
        <f>+AS12+AR12+AQ12</f>
        <v>0</v>
      </c>
      <c r="AU12" s="95">
        <f>IF(BT12=1,0,MIN(Y12,730000))</f>
        <v>0</v>
      </c>
      <c r="AV12" s="95" t="e">
        <f t="shared" ref="AV12" si="36">AJ12-AK12-AL12-AM12-AU12</f>
        <v>#VALUE!</v>
      </c>
      <c r="AW12" s="95" t="e">
        <f>MAX(AV12-AN12-AP12-AT12,0)</f>
        <v>#VALUE!</v>
      </c>
      <c r="AX12" s="96">
        <f t="shared" si="7"/>
        <v>0.1</v>
      </c>
      <c r="AY12" s="97">
        <f>IF(BT12=1,0,IF(AW12&gt;80000000,9850000,IF(AW12&gt;52000000,5850000,IF(AW12&gt;32000000,3250000,IF(AW12&gt;18000000,1650000,IF(AW12&gt;10000000,750000,IF(AW12&gt;5000000,250000,0)))))))</f>
        <v>0</v>
      </c>
      <c r="AZ12" s="98" t="e">
        <f>ROUND(AW12*AX12-AY12,0)</f>
        <v>#VALUE!</v>
      </c>
      <c r="BA12" s="92">
        <f>BF12*$BA$3</f>
        <v>0</v>
      </c>
      <c r="BB12" s="92">
        <f>BF12*$BB$3</f>
        <v>0</v>
      </c>
      <c r="BC12" s="92">
        <f>BG12*$BC$3</f>
        <v>0</v>
      </c>
      <c r="BD12" s="92">
        <f>BG12*$BD$3</f>
        <v>0</v>
      </c>
      <c r="BE12" s="92">
        <f>SUM(BA12:BD12)</f>
        <v>0</v>
      </c>
      <c r="BF12" s="92">
        <f t="shared" si="8"/>
        <v>0</v>
      </c>
      <c r="BG12" s="92">
        <f t="shared" si="9"/>
        <v>0</v>
      </c>
      <c r="BH12" s="92">
        <v>0</v>
      </c>
      <c r="BI12" s="92">
        <v>0</v>
      </c>
      <c r="BJ12" s="92">
        <f>IF(BS12=1,BF12*2%,0)</f>
        <v>0</v>
      </c>
      <c r="BK12" s="92">
        <f>IF(BU12=1,40000,0)</f>
        <v>0</v>
      </c>
      <c r="BL12" s="92">
        <f t="shared" si="10"/>
        <v>0</v>
      </c>
      <c r="BM12" s="99" t="e">
        <f>AJ12-AT12-AZ12-BK12-BL12-BN12-BO12-BP12</f>
        <v>#VALUE!</v>
      </c>
      <c r="BN12" s="95">
        <f>IFERROR(VLOOKUP(B12,'[20]Benefit tính thuế'!$B$2:$H$5,7,0),0)</f>
        <v>0</v>
      </c>
      <c r="BO12" s="99">
        <v>0</v>
      </c>
      <c r="BP12" s="99">
        <v>0</v>
      </c>
      <c r="BQ12" s="100">
        <f>AN12+AP12+AU12</f>
        <v>0</v>
      </c>
      <c r="BR12" s="100" t="e">
        <f>+AZ12+AT12</f>
        <v>#VALUE!</v>
      </c>
      <c r="BS12" s="101">
        <v>0</v>
      </c>
      <c r="BT12" s="100">
        <v>1</v>
      </c>
      <c r="BU12" s="101">
        <v>0</v>
      </c>
      <c r="BV12" s="101">
        <v>0</v>
      </c>
      <c r="BW12" s="100">
        <v>20</v>
      </c>
      <c r="BX12" s="102"/>
    </row>
    <row r="24" spans="54:56">
      <c r="BB24" s="47">
        <f>BF3/2</f>
        <v>23400000</v>
      </c>
      <c r="BD24" s="47">
        <f>BG3/2</f>
        <v>49600000</v>
      </c>
    </row>
  </sheetData>
  <sheetProtection deleteColumns="0"/>
  <autoFilter ref="A4:CG5" xr:uid="{B395567C-224D-4C12-935F-73BDB291D854}"/>
  <mergeCells count="1">
    <mergeCell ref="AK2:AP2"/>
  </mergeCells>
  <dataValidations count="1">
    <dataValidation allowBlank="1" showErrorMessage="1" sqref="BM3 AJ3:AL3 A3:K3 M3:R3 V3:AH3 BQ3:XFD3 A4:XFD4 AN3:BK3 E5:I7 A5:C7 A1:XFD2 G10 L8:L10 J6:J8 R8:T8 P8:Q10 G8:I9 D6:D7 G11:H11 A8:F11 S9:U10 K9:K10 P11:U11 K5:M7 O8:O11 N5:O6 N8:N10 A12:XFD1048576 J11:N11 A7:XFD7 P5:AM7 AO5:XFD7 AN5:AN6 V8:XFD11" xr:uid="{2B73B1B7-9FF9-4CFE-9D40-9351C1AB6550}"/>
  </dataValidations>
  <pageMargins left="0.2" right="0.1" top="0.45" bottom="0.45" header="0.1" footer="0.1"/>
  <pageSetup paperSize="8" scale="40" orientation="landscape" horizontalDpi="300" verticalDpi="300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8818-4BD2-441A-8085-1347799A9B3D}">
  <sheetPr>
    <pageSetUpPr fitToPage="1"/>
  </sheetPr>
  <dimension ref="A1:L10"/>
  <sheetViews>
    <sheetView zoomScale="130" zoomScaleNormal="130" workbookViewId="0">
      <selection activeCell="C30" sqref="C30"/>
    </sheetView>
  </sheetViews>
  <sheetFormatPr baseColWidth="10" defaultColWidth="9.1640625" defaultRowHeight="15"/>
  <cols>
    <col min="1" max="1" width="14.1640625" style="37" customWidth="1"/>
    <col min="2" max="2" width="27.5" style="37" customWidth="1"/>
    <col min="3" max="3" width="14.33203125" style="37" customWidth="1"/>
    <col min="4" max="4" width="21" style="37" customWidth="1"/>
    <col min="5" max="5" width="9.6640625" style="37" customWidth="1"/>
    <col min="6" max="6" width="10.1640625" style="37" customWidth="1"/>
    <col min="7" max="7" width="9.1640625" style="37" customWidth="1"/>
    <col min="8" max="8" width="15.6640625" style="37" customWidth="1"/>
    <col min="9" max="9" width="11.6640625" style="37" customWidth="1"/>
    <col min="10" max="10" width="15" style="37" customWidth="1"/>
    <col min="11" max="11" width="15.1640625" style="37" customWidth="1"/>
    <col min="12" max="12" width="17.83203125" style="37" customWidth="1"/>
    <col min="13" max="16384" width="9.1640625" style="37"/>
  </cols>
  <sheetData>
    <row r="1" spans="1:12" s="44" customFormat="1" ht="63.75" customHeight="1">
      <c r="A1" s="314" t="s">
        <v>27</v>
      </c>
      <c r="B1" s="316" t="s">
        <v>11</v>
      </c>
      <c r="C1" s="316" t="s">
        <v>199</v>
      </c>
      <c r="D1" s="316" t="s">
        <v>200</v>
      </c>
      <c r="E1" s="318" t="s">
        <v>201</v>
      </c>
      <c r="F1" s="319" t="s">
        <v>202</v>
      </c>
      <c r="G1" s="319" t="s">
        <v>203</v>
      </c>
      <c r="H1" s="132" t="s">
        <v>204</v>
      </c>
      <c r="I1" s="132" t="s">
        <v>205</v>
      </c>
      <c r="J1" s="132" t="s">
        <v>206</v>
      </c>
      <c r="K1" s="321" t="s">
        <v>207</v>
      </c>
      <c r="L1" s="312" t="s">
        <v>208</v>
      </c>
    </row>
    <row r="2" spans="1:12" s="44" customFormat="1" ht="15.75" customHeight="1">
      <c r="A2" s="315"/>
      <c r="B2" s="317"/>
      <c r="C2" s="317"/>
      <c r="D2" s="317"/>
      <c r="E2" s="317"/>
      <c r="F2" s="320"/>
      <c r="G2" s="320"/>
      <c r="H2" s="294">
        <v>40000</v>
      </c>
      <c r="I2" s="294">
        <v>40000</v>
      </c>
      <c r="J2" s="294">
        <v>80000</v>
      </c>
      <c r="K2" s="322"/>
      <c r="L2" s="313"/>
    </row>
    <row r="3" spans="1:12" ht="16">
      <c r="A3" s="133" t="s">
        <v>180</v>
      </c>
      <c r="B3" s="133" t="s">
        <v>191</v>
      </c>
      <c r="C3" s="134">
        <v>43466</v>
      </c>
      <c r="D3" s="135" t="s">
        <v>155</v>
      </c>
      <c r="E3" s="136">
        <f>VLOOKUP($A3,'TimeTB 2'!$B$4:$P$11,15,0)</f>
        <v>0</v>
      </c>
      <c r="F3" s="136">
        <f>VLOOKUP($A3,'TimeTB 2'!$B$4:$R$11,17,0)</f>
        <v>0</v>
      </c>
      <c r="G3" s="136">
        <f>VLOOKUP($A3,'TimeTB 2'!$B$4:$R$11,16,0)</f>
        <v>0</v>
      </c>
      <c r="H3" s="137">
        <f>E3*$H$2</f>
        <v>0</v>
      </c>
      <c r="I3" s="137">
        <f>F3*$I$2</f>
        <v>0</v>
      </c>
      <c r="J3" s="137">
        <f>G3*$J$2</f>
        <v>0</v>
      </c>
      <c r="K3" s="138">
        <f>SUM(H3:J3)</f>
        <v>0</v>
      </c>
      <c r="L3" s="133"/>
    </row>
    <row r="4" spans="1:12" ht="16">
      <c r="A4" s="38" t="s">
        <v>181</v>
      </c>
      <c r="B4" s="38" t="s">
        <v>192</v>
      </c>
      <c r="C4" s="43">
        <v>43831</v>
      </c>
      <c r="D4" s="42" t="s">
        <v>156</v>
      </c>
      <c r="E4" s="41">
        <f>VLOOKUP($A4,'TimeTB 2'!$B$4:$P$11,15,0)</f>
        <v>0</v>
      </c>
      <c r="F4" s="41">
        <f>VLOOKUP($A4,'TimeTB 2'!$B$4:$R$11,17,0)</f>
        <v>0</v>
      </c>
      <c r="G4" s="41">
        <f>VLOOKUP($A4,'TimeTB 2'!$B$4:$R$11,16,0)</f>
        <v>0</v>
      </c>
      <c r="H4" s="39">
        <f>E4*$H$2</f>
        <v>0</v>
      </c>
      <c r="I4" s="39">
        <f>F4*$I$2</f>
        <v>0</v>
      </c>
      <c r="J4" s="39">
        <f>G4*$J$2</f>
        <v>0</v>
      </c>
      <c r="K4" s="40">
        <f t="shared" ref="K4:K10" si="0">SUM(H4:J4)</f>
        <v>0</v>
      </c>
      <c r="L4" s="38"/>
    </row>
    <row r="5" spans="1:12" ht="16">
      <c r="A5" s="38" t="s">
        <v>158</v>
      </c>
      <c r="B5" s="38" t="s">
        <v>193</v>
      </c>
      <c r="C5" s="43">
        <v>44197</v>
      </c>
      <c r="D5" s="42" t="s">
        <v>50</v>
      </c>
      <c r="E5" s="41">
        <f>VLOOKUP($A5,'TimeTB 2'!$B$4:$P$11,15,0)</f>
        <v>0</v>
      </c>
      <c r="F5" s="41">
        <f>VLOOKUP($A5,'TimeTB 2'!$B$4:$R$11,17,0)</f>
        <v>0</v>
      </c>
      <c r="G5" s="41">
        <f>VLOOKUP($A5,'TimeTB 2'!$B$4:$R$11,16,0)</f>
        <v>0</v>
      </c>
      <c r="H5" s="39">
        <f>E5*$H$2</f>
        <v>0</v>
      </c>
      <c r="I5" s="39">
        <f>F5*$I$2</f>
        <v>0</v>
      </c>
      <c r="J5" s="39">
        <f t="shared" ref="J5:J10" si="1">G5*$J$2</f>
        <v>0</v>
      </c>
      <c r="K5" s="40">
        <f t="shared" si="0"/>
        <v>0</v>
      </c>
      <c r="L5" s="38"/>
    </row>
    <row r="6" spans="1:12" ht="16">
      <c r="A6" s="38" t="s">
        <v>159</v>
      </c>
      <c r="B6" s="38" t="s">
        <v>194</v>
      </c>
      <c r="C6" s="43">
        <v>44562</v>
      </c>
      <c r="D6" s="42" t="s">
        <v>243</v>
      </c>
      <c r="E6" s="41">
        <f>VLOOKUP($A6,'TimeTB 2'!$B$4:$P$11,15,0)</f>
        <v>0</v>
      </c>
      <c r="F6" s="41">
        <f>VLOOKUP($A6,'TimeTB 2'!$B$4:$R$11,17,0)</f>
        <v>0</v>
      </c>
      <c r="G6" s="41">
        <f>VLOOKUP($A6,'TimeTB 2'!$B$4:$R$11,16,0)</f>
        <v>0</v>
      </c>
      <c r="H6" s="39">
        <f t="shared" ref="H6:H10" si="2">E6*$H$2</f>
        <v>0</v>
      </c>
      <c r="I6" s="39">
        <f t="shared" ref="I6:I10" si="3">F6*$I$2</f>
        <v>0</v>
      </c>
      <c r="J6" s="39">
        <f t="shared" si="1"/>
        <v>0</v>
      </c>
      <c r="K6" s="40">
        <f t="shared" si="0"/>
        <v>0</v>
      </c>
      <c r="L6" s="38"/>
    </row>
    <row r="7" spans="1:12" ht="16">
      <c r="A7" s="38" t="s">
        <v>160</v>
      </c>
      <c r="B7" s="38" t="s">
        <v>195</v>
      </c>
      <c r="C7" s="43">
        <v>45740</v>
      </c>
      <c r="D7" s="42" t="s">
        <v>243</v>
      </c>
      <c r="E7" s="41">
        <f>VLOOKUP($A7,'TimeTB 2'!$B$4:$P$11,15,0)</f>
        <v>0</v>
      </c>
      <c r="F7" s="41">
        <f>VLOOKUP($A7,'TimeTB 2'!$B$4:$R$11,17,0)</f>
        <v>0</v>
      </c>
      <c r="G7" s="41">
        <f>VLOOKUP($A7,'TimeTB 2'!$B$4:$R$11,16,0)</f>
        <v>0</v>
      </c>
      <c r="H7" s="39">
        <f t="shared" si="2"/>
        <v>0</v>
      </c>
      <c r="I7" s="39">
        <f t="shared" si="3"/>
        <v>0</v>
      </c>
      <c r="J7" s="39">
        <f t="shared" si="1"/>
        <v>0</v>
      </c>
      <c r="K7" s="40">
        <f t="shared" si="0"/>
        <v>0</v>
      </c>
      <c r="L7" s="38"/>
    </row>
    <row r="8" spans="1:12" ht="16">
      <c r="A8" s="38" t="s">
        <v>161</v>
      </c>
      <c r="B8" s="38" t="s">
        <v>196</v>
      </c>
      <c r="C8" s="43">
        <v>44927</v>
      </c>
      <c r="D8" s="42" t="s">
        <v>59</v>
      </c>
      <c r="E8" s="41">
        <f>VLOOKUP($A8,'TimeTB 2'!$B$4:$P$11,15,0)</f>
        <v>0</v>
      </c>
      <c r="F8" s="41">
        <f>VLOOKUP($A8,'TimeTB 2'!$B$4:$R$11,17,0)</f>
        <v>0</v>
      </c>
      <c r="G8" s="41">
        <f>VLOOKUP($A8,'TimeTB 2'!$B$4:$R$11,16,0)</f>
        <v>0</v>
      </c>
      <c r="H8" s="39">
        <f t="shared" si="2"/>
        <v>0</v>
      </c>
      <c r="I8" s="39">
        <f t="shared" si="3"/>
        <v>0</v>
      </c>
      <c r="J8" s="39">
        <f t="shared" si="1"/>
        <v>0</v>
      </c>
      <c r="K8" s="40">
        <f t="shared" si="0"/>
        <v>0</v>
      </c>
      <c r="L8" s="38"/>
    </row>
    <row r="9" spans="1:12" ht="16">
      <c r="A9" s="38" t="s">
        <v>162</v>
      </c>
      <c r="B9" s="38" t="s">
        <v>197</v>
      </c>
      <c r="C9" s="43">
        <v>45292</v>
      </c>
      <c r="D9" s="42" t="s">
        <v>59</v>
      </c>
      <c r="E9" s="41">
        <f>VLOOKUP($A9,'TimeTB 2'!$B$4:$P$11,15,0)</f>
        <v>0</v>
      </c>
      <c r="F9" s="41">
        <f>VLOOKUP($A9,'TimeTB 2'!$B$4:$R$11,17,0)</f>
        <v>0</v>
      </c>
      <c r="G9" s="41">
        <f>VLOOKUP($A9,'TimeTB 2'!$B$4:$R$11,16,0)</f>
        <v>0</v>
      </c>
      <c r="H9" s="39">
        <f t="shared" si="2"/>
        <v>0</v>
      </c>
      <c r="I9" s="39">
        <f t="shared" si="3"/>
        <v>0</v>
      </c>
      <c r="J9" s="39">
        <f t="shared" si="1"/>
        <v>0</v>
      </c>
      <c r="K9" s="40">
        <f t="shared" si="0"/>
        <v>0</v>
      </c>
      <c r="L9" s="38"/>
    </row>
    <row r="10" spans="1:12" ht="16">
      <c r="A10" s="38" t="s">
        <v>182</v>
      </c>
      <c r="B10" s="38" t="s">
        <v>198</v>
      </c>
      <c r="C10" s="43">
        <v>45738</v>
      </c>
      <c r="D10" s="42" t="s">
        <v>50</v>
      </c>
      <c r="E10" s="41">
        <f>VLOOKUP($A10,'TimeTB 2'!$B$4:$P$11,15,0)</f>
        <v>0</v>
      </c>
      <c r="F10" s="41">
        <f>VLOOKUP($A10,'TimeTB 2'!$B$4:$R$11,17,0)</f>
        <v>0</v>
      </c>
      <c r="G10" s="41">
        <f>VLOOKUP($A10,'TimeTB 2'!$B$4:$R$11,16,0)</f>
        <v>0</v>
      </c>
      <c r="H10" s="39">
        <f t="shared" si="2"/>
        <v>0</v>
      </c>
      <c r="I10" s="39">
        <f t="shared" si="3"/>
        <v>0</v>
      </c>
      <c r="J10" s="39">
        <f t="shared" si="1"/>
        <v>0</v>
      </c>
      <c r="K10" s="40">
        <f t="shared" si="0"/>
        <v>0</v>
      </c>
      <c r="L10" s="38"/>
    </row>
  </sheetData>
  <autoFilter ref="A2:L4" xr:uid="{21B6961D-2666-4479-B858-99F75A86990E}"/>
  <mergeCells count="9">
    <mergeCell ref="L1:L2"/>
    <mergeCell ref="A1:A2"/>
    <mergeCell ref="B1:B2"/>
    <mergeCell ref="C1:C2"/>
    <mergeCell ref="D1:D2"/>
    <mergeCell ref="E1:E2"/>
    <mergeCell ref="F1:F2"/>
    <mergeCell ref="G1:G2"/>
    <mergeCell ref="K1:K2"/>
  </mergeCells>
  <conditionalFormatting sqref="A1">
    <cfRule type="expression" dxfId="88" priority="1327710" stopIfTrue="1">
      <formula>AND(COUNTIF($A$5:$A$65476, A1)+COUNTIF(#REF!, A1)+COUNTIF(#REF!, A1)+COUNTIF($A$1:$A$4, A1)&gt;1,NOT(ISBLANK(A1)))</formula>
    </cfRule>
  </conditionalFormatting>
  <pageMargins left="0.2" right="0.2" top="0.5" bottom="0.5" header="0.3" footer="0.3"/>
  <pageSetup paperSize="9" scale="88" fitToHeight="0" orientation="landscape" r:id="rId1"/>
  <headerFoot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S37"/>
  <sheetViews>
    <sheetView view="pageBreakPreview" zoomScale="130" zoomScaleNormal="85" zoomScaleSheetLayoutView="130" workbookViewId="0">
      <pane xSplit="3" ySplit="3" topLeftCell="E4" activePane="bottomRight" state="frozen"/>
      <selection activeCell="C13" sqref="C13"/>
      <selection pane="topRight" activeCell="C13" sqref="C13"/>
      <selection pane="bottomLeft" activeCell="C13" sqref="C13"/>
      <selection pane="bottomRight" activeCell="C14" sqref="C14"/>
    </sheetView>
  </sheetViews>
  <sheetFormatPr baseColWidth="10" defaultColWidth="8.83203125" defaultRowHeight="19" outlineLevelCol="1"/>
  <cols>
    <col min="1" max="1" width="4.33203125" customWidth="1"/>
    <col min="2" max="2" width="17.1640625" customWidth="1"/>
    <col min="3" max="3" width="29.1640625" customWidth="1"/>
    <col min="4" max="4" width="15" customWidth="1" outlineLevel="1"/>
    <col min="5" max="5" width="15.5" customWidth="1" outlineLevel="1"/>
    <col min="6" max="6" width="22.83203125" style="57" customWidth="1" outlineLevel="1"/>
    <col min="7" max="7" width="21.5" customWidth="1" outlineLevel="1"/>
    <col min="8" max="8" width="12.5" style="56" customWidth="1" outlineLevel="1"/>
    <col min="9" max="10" width="8.5" customWidth="1"/>
    <col min="11" max="11" width="10.83203125" customWidth="1"/>
    <col min="12" max="12" width="11.5" style="58" customWidth="1"/>
    <col min="13" max="13" width="12.6640625" customWidth="1"/>
    <col min="14" max="14" width="7.1640625" customWidth="1"/>
    <col min="15" max="18" width="12.83203125" style="54" customWidth="1"/>
    <col min="19" max="19" width="12.6640625" customWidth="1"/>
    <col min="20" max="20" width="9.1640625" customWidth="1"/>
    <col min="21" max="21" width="22" customWidth="1"/>
  </cols>
  <sheetData>
    <row r="1" spans="1:19" ht="18.75" customHeight="1">
      <c r="B1" s="323" t="s">
        <v>27</v>
      </c>
      <c r="C1" s="323" t="s">
        <v>11</v>
      </c>
      <c r="D1" s="323" t="s">
        <v>51</v>
      </c>
      <c r="E1" s="323" t="s">
        <v>33</v>
      </c>
      <c r="F1" s="323" t="s">
        <v>69</v>
      </c>
      <c r="G1" s="323" t="s">
        <v>70</v>
      </c>
      <c r="H1" s="335" t="s">
        <v>45</v>
      </c>
      <c r="I1" s="326" t="s">
        <v>209</v>
      </c>
      <c r="J1" s="326" t="s">
        <v>210</v>
      </c>
      <c r="K1" s="326" t="s">
        <v>96</v>
      </c>
      <c r="L1" s="326" t="s">
        <v>211</v>
      </c>
      <c r="M1" s="326" t="s">
        <v>53</v>
      </c>
      <c r="N1" s="332" t="s">
        <v>212</v>
      </c>
      <c r="O1" s="326" t="s">
        <v>213</v>
      </c>
      <c r="P1" s="326" t="s">
        <v>214</v>
      </c>
      <c r="Q1" s="326" t="s">
        <v>215</v>
      </c>
      <c r="R1" s="326" t="s">
        <v>216</v>
      </c>
      <c r="S1" s="329" t="s">
        <v>217</v>
      </c>
    </row>
    <row r="2" spans="1:19" ht="45.75" customHeight="1">
      <c r="B2" s="324"/>
      <c r="C2" s="324"/>
      <c r="D2" s="324"/>
      <c r="E2" s="324"/>
      <c r="F2" s="324"/>
      <c r="G2" s="324"/>
      <c r="H2" s="333"/>
      <c r="I2" s="327"/>
      <c r="J2" s="327"/>
      <c r="K2" s="327"/>
      <c r="L2" s="327"/>
      <c r="M2" s="327"/>
      <c r="N2" s="333"/>
      <c r="O2" s="327"/>
      <c r="P2" s="327"/>
      <c r="Q2" s="327"/>
      <c r="R2" s="327"/>
      <c r="S2" s="330"/>
    </row>
    <row r="3" spans="1:19" ht="46.5" customHeight="1">
      <c r="B3" s="325"/>
      <c r="C3" s="325"/>
      <c r="D3" s="325"/>
      <c r="E3" s="325"/>
      <c r="F3" s="325"/>
      <c r="G3" s="325"/>
      <c r="H3" s="334"/>
      <c r="I3" s="328"/>
      <c r="J3" s="328"/>
      <c r="K3" s="328"/>
      <c r="L3" s="328"/>
      <c r="M3" s="328"/>
      <c r="N3" s="334"/>
      <c r="O3" s="328"/>
      <c r="P3" s="328"/>
      <c r="Q3" s="328"/>
      <c r="R3" s="328"/>
      <c r="S3" s="331"/>
    </row>
    <row r="4" spans="1:19" ht="29.25" customHeight="1">
      <c r="A4">
        <v>1</v>
      </c>
      <c r="B4" s="165" t="s">
        <v>180</v>
      </c>
      <c r="C4" s="166" t="s">
        <v>191</v>
      </c>
      <c r="D4" s="167">
        <v>43466</v>
      </c>
      <c r="E4" s="168"/>
      <c r="F4" s="169"/>
      <c r="G4" s="167" t="s">
        <v>113</v>
      </c>
      <c r="H4" s="170"/>
      <c r="I4" s="171"/>
      <c r="J4" s="172"/>
      <c r="K4" s="172"/>
      <c r="L4" s="173"/>
      <c r="M4" s="172">
        <f>+K4+L4</f>
        <v>0</v>
      </c>
      <c r="N4" s="174"/>
      <c r="O4" s="175">
        <f>MIN((M4+N4),26)</f>
        <v>0</v>
      </c>
      <c r="P4" s="173"/>
      <c r="Q4" s="173"/>
      <c r="R4" s="176">
        <v>0</v>
      </c>
      <c r="S4" s="177"/>
    </row>
    <row r="5" spans="1:19" ht="29.25" customHeight="1">
      <c r="A5">
        <f>+A3+1</f>
        <v>1</v>
      </c>
      <c r="B5" s="140" t="s">
        <v>181</v>
      </c>
      <c r="C5" s="55" t="s">
        <v>192</v>
      </c>
      <c r="D5" s="141">
        <v>43831</v>
      </c>
      <c r="E5" s="142"/>
      <c r="F5" s="143"/>
      <c r="G5" s="141" t="s">
        <v>100</v>
      </c>
      <c r="H5" s="155"/>
      <c r="I5" s="156"/>
      <c r="J5" s="157"/>
      <c r="K5" s="157"/>
      <c r="L5" s="161"/>
      <c r="M5" s="157">
        <f t="shared" ref="M5" si="0">+K5+L5</f>
        <v>0</v>
      </c>
      <c r="N5" s="149"/>
      <c r="O5" s="159">
        <f t="shared" ref="O5" si="1">MIN((M5+N5),26)</f>
        <v>0</v>
      </c>
      <c r="P5" s="158"/>
      <c r="Q5" s="158"/>
      <c r="R5" s="160">
        <v>0</v>
      </c>
      <c r="S5" s="150"/>
    </row>
    <row r="6" spans="1:19" ht="29.25" customHeight="1">
      <c r="A6">
        <f>+A5+1</f>
        <v>2</v>
      </c>
      <c r="B6" s="144" t="s">
        <v>158</v>
      </c>
      <c r="C6" s="55" t="s">
        <v>193</v>
      </c>
      <c r="D6" s="104">
        <v>44197</v>
      </c>
      <c r="E6" s="145"/>
      <c r="F6" s="146"/>
      <c r="G6" s="104" t="s">
        <v>239</v>
      </c>
      <c r="H6" s="162"/>
      <c r="I6" s="156"/>
      <c r="J6" s="157"/>
      <c r="K6" s="157"/>
      <c r="L6" s="161"/>
      <c r="M6" s="157">
        <f t="shared" ref="M6:M11" si="2">+K6+L6</f>
        <v>0</v>
      </c>
      <c r="N6" s="151"/>
      <c r="O6" s="160">
        <f t="shared" ref="O6:O11" si="3">MIN((M6+N6),26)</f>
        <v>0</v>
      </c>
      <c r="P6" s="158"/>
      <c r="Q6" s="158"/>
      <c r="R6" s="160">
        <v>0</v>
      </c>
      <c r="S6" s="152"/>
    </row>
    <row r="7" spans="1:19" ht="29.25" customHeight="1">
      <c r="A7">
        <f t="shared" ref="A7:A11" si="4">+A6+1</f>
        <v>3</v>
      </c>
      <c r="B7" s="144" t="s">
        <v>159</v>
      </c>
      <c r="C7" s="55" t="s">
        <v>194</v>
      </c>
      <c r="D7" s="104">
        <v>44562</v>
      </c>
      <c r="E7" s="145"/>
      <c r="F7" s="146"/>
      <c r="G7" s="104" t="s">
        <v>240</v>
      </c>
      <c r="H7" s="162"/>
      <c r="I7" s="156"/>
      <c r="J7" s="157"/>
      <c r="K7" s="157"/>
      <c r="L7" s="161"/>
      <c r="M7" s="157">
        <f t="shared" si="2"/>
        <v>0</v>
      </c>
      <c r="N7" s="153"/>
      <c r="O7" s="160">
        <f t="shared" si="3"/>
        <v>0</v>
      </c>
      <c r="P7" s="158"/>
      <c r="Q7" s="158"/>
      <c r="R7" s="160">
        <v>0</v>
      </c>
      <c r="S7" s="152"/>
    </row>
    <row r="8" spans="1:19" ht="29.25" customHeight="1">
      <c r="A8">
        <f t="shared" si="4"/>
        <v>4</v>
      </c>
      <c r="B8" s="144" t="s">
        <v>160</v>
      </c>
      <c r="C8" s="55" t="s">
        <v>195</v>
      </c>
      <c r="D8" s="104">
        <v>45740</v>
      </c>
      <c r="E8" s="145"/>
      <c r="F8" s="146"/>
      <c r="G8" s="104" t="s">
        <v>241</v>
      </c>
      <c r="H8" s="162"/>
      <c r="I8" s="156"/>
      <c r="J8" s="157"/>
      <c r="K8" s="157"/>
      <c r="L8" s="161"/>
      <c r="M8" s="157">
        <f t="shared" si="2"/>
        <v>0</v>
      </c>
      <c r="N8" s="151"/>
      <c r="O8" s="160">
        <f t="shared" si="3"/>
        <v>0</v>
      </c>
      <c r="P8" s="158"/>
      <c r="Q8" s="158"/>
      <c r="R8" s="160">
        <v>0</v>
      </c>
      <c r="S8" s="152"/>
    </row>
    <row r="9" spans="1:19" ht="29.25" customHeight="1">
      <c r="A9">
        <f>+A8+1</f>
        <v>5</v>
      </c>
      <c r="B9" s="144" t="s">
        <v>161</v>
      </c>
      <c r="C9" s="55" t="s">
        <v>196</v>
      </c>
      <c r="D9" s="104">
        <v>44927</v>
      </c>
      <c r="E9" s="145"/>
      <c r="F9" s="146"/>
      <c r="G9" s="104" t="s">
        <v>114</v>
      </c>
      <c r="H9" s="162"/>
      <c r="I9" s="156"/>
      <c r="J9" s="157"/>
      <c r="K9" s="157"/>
      <c r="L9" s="161"/>
      <c r="M9" s="157">
        <f t="shared" si="2"/>
        <v>0</v>
      </c>
      <c r="N9" s="151"/>
      <c r="O9" s="160">
        <f t="shared" si="3"/>
        <v>0</v>
      </c>
      <c r="P9" s="158"/>
      <c r="Q9" s="158"/>
      <c r="R9" s="160">
        <v>0</v>
      </c>
      <c r="S9" s="152"/>
    </row>
    <row r="10" spans="1:19" ht="29.25" customHeight="1">
      <c r="A10">
        <f t="shared" si="4"/>
        <v>6</v>
      </c>
      <c r="B10" s="144" t="s">
        <v>162</v>
      </c>
      <c r="C10" s="55" t="s">
        <v>197</v>
      </c>
      <c r="D10" s="104">
        <v>45292</v>
      </c>
      <c r="E10" s="145"/>
      <c r="F10" s="146"/>
      <c r="G10" s="104" t="s">
        <v>75</v>
      </c>
      <c r="H10" s="154"/>
      <c r="I10" s="156"/>
      <c r="J10" s="157"/>
      <c r="K10" s="157"/>
      <c r="L10" s="161"/>
      <c r="M10" s="157">
        <f t="shared" si="2"/>
        <v>0</v>
      </c>
      <c r="N10" s="151"/>
      <c r="O10" s="160">
        <f t="shared" si="3"/>
        <v>0</v>
      </c>
      <c r="P10" s="158"/>
      <c r="Q10" s="158"/>
      <c r="R10" s="160">
        <v>0</v>
      </c>
      <c r="S10" s="152"/>
    </row>
    <row r="11" spans="1:19" ht="29.25" customHeight="1">
      <c r="A11">
        <f t="shared" si="4"/>
        <v>7</v>
      </c>
      <c r="B11" s="144" t="s">
        <v>182</v>
      </c>
      <c r="C11" s="55" t="s">
        <v>198</v>
      </c>
      <c r="D11" s="104">
        <v>45738</v>
      </c>
      <c r="E11" s="145"/>
      <c r="F11" s="146"/>
      <c r="G11" s="104" t="s">
        <v>242</v>
      </c>
      <c r="H11" s="162"/>
      <c r="I11" s="156"/>
      <c r="J11" s="157"/>
      <c r="K11" s="157"/>
      <c r="L11" s="161"/>
      <c r="M11" s="157">
        <f t="shared" si="2"/>
        <v>0</v>
      </c>
      <c r="N11" s="151"/>
      <c r="O11" s="160">
        <f t="shared" si="3"/>
        <v>0</v>
      </c>
      <c r="P11" s="158"/>
      <c r="Q11" s="158"/>
      <c r="R11" s="160">
        <v>0</v>
      </c>
      <c r="S11" s="152"/>
    </row>
    <row r="12" spans="1:19" ht="28.5" customHeight="1">
      <c r="B12" s="163" t="s">
        <v>131</v>
      </c>
      <c r="C12" s="139"/>
      <c r="D12" s="139"/>
      <c r="E12" s="139"/>
      <c r="F12" s="147"/>
      <c r="G12" s="139"/>
      <c r="H12" s="148"/>
    </row>
    <row r="13" spans="1:19">
      <c r="B13" s="164" t="s">
        <v>37</v>
      </c>
      <c r="C13" s="59" t="s">
        <v>130</v>
      </c>
      <c r="D13" s="60"/>
      <c r="E13" s="60"/>
      <c r="F13" s="60"/>
      <c r="G13" s="60"/>
      <c r="H13" s="61"/>
    </row>
    <row r="14" spans="1:19">
      <c r="B14" s="164" t="s">
        <v>85</v>
      </c>
      <c r="C14" s="59" t="s">
        <v>86</v>
      </c>
      <c r="D14" s="60"/>
      <c r="E14" s="60"/>
      <c r="F14" s="60"/>
      <c r="G14" s="60"/>
      <c r="H14" s="61"/>
    </row>
    <row r="15" spans="1:19">
      <c r="B15" s="164" t="s">
        <v>38</v>
      </c>
      <c r="C15" s="59" t="s">
        <v>87</v>
      </c>
      <c r="D15" s="60"/>
      <c r="E15" s="60"/>
      <c r="F15" s="60"/>
      <c r="G15" s="60"/>
      <c r="H15" s="61"/>
    </row>
    <row r="16" spans="1:19">
      <c r="B16" s="164" t="s">
        <v>56</v>
      </c>
      <c r="C16" s="59" t="s">
        <v>88</v>
      </c>
      <c r="D16" s="60"/>
      <c r="E16" s="60"/>
      <c r="F16" s="60"/>
      <c r="G16" s="60"/>
      <c r="H16" s="61"/>
    </row>
    <row r="17" spans="2:8">
      <c r="B17" s="164" t="s">
        <v>74</v>
      </c>
      <c r="C17" s="59" t="s">
        <v>89</v>
      </c>
      <c r="D17" s="60"/>
      <c r="E17" s="60"/>
      <c r="F17" s="60"/>
      <c r="G17" s="60"/>
      <c r="H17" s="61"/>
    </row>
    <row r="18" spans="2:8">
      <c r="B18" s="164" t="s">
        <v>61</v>
      </c>
      <c r="C18" s="59" t="s">
        <v>90</v>
      </c>
      <c r="D18" s="60"/>
      <c r="E18" s="60"/>
      <c r="F18" s="60"/>
      <c r="G18" s="60"/>
      <c r="H18" s="61"/>
    </row>
    <row r="19" spans="2:8">
      <c r="B19" s="164" t="s">
        <v>58</v>
      </c>
      <c r="C19" s="59" t="s">
        <v>91</v>
      </c>
      <c r="D19" s="60"/>
      <c r="E19" s="60"/>
      <c r="F19" s="60"/>
      <c r="G19" s="60"/>
      <c r="H19" s="61"/>
    </row>
    <row r="20" spans="2:8">
      <c r="B20" s="164" t="s">
        <v>84</v>
      </c>
      <c r="C20" s="59" t="s">
        <v>92</v>
      </c>
      <c r="D20" s="60"/>
      <c r="E20" s="60"/>
      <c r="F20" s="60"/>
      <c r="G20" s="60"/>
      <c r="H20" s="61"/>
    </row>
    <row r="21" spans="2:8">
      <c r="B21" s="52" t="s">
        <v>57</v>
      </c>
      <c r="C21" s="59" t="s">
        <v>93</v>
      </c>
      <c r="D21" s="60"/>
      <c r="E21" s="60"/>
      <c r="F21" s="60"/>
      <c r="G21" s="60"/>
      <c r="H21" s="61"/>
    </row>
    <row r="22" spans="2:8">
      <c r="B22" s="52" t="s">
        <v>34</v>
      </c>
      <c r="C22" s="59" t="s">
        <v>62</v>
      </c>
      <c r="D22" s="60"/>
      <c r="E22" s="60"/>
      <c r="F22" s="60"/>
      <c r="G22" s="60"/>
      <c r="H22" s="61"/>
    </row>
    <row r="23" spans="2:8">
      <c r="B23" s="52" t="s">
        <v>60</v>
      </c>
      <c r="C23" s="59" t="s">
        <v>63</v>
      </c>
      <c r="D23" s="60"/>
      <c r="E23" s="60"/>
      <c r="F23" s="60"/>
      <c r="G23" s="60"/>
      <c r="H23" s="61"/>
    </row>
    <row r="24" spans="2:8" ht="22.5" customHeight="1">
      <c r="B24" s="52" t="s">
        <v>64</v>
      </c>
      <c r="C24" s="59" t="s">
        <v>65</v>
      </c>
      <c r="D24" s="60"/>
      <c r="E24" s="60"/>
      <c r="F24" s="60"/>
      <c r="G24" s="60"/>
      <c r="H24" s="61"/>
    </row>
    <row r="25" spans="2:8" ht="22.5" customHeight="1">
      <c r="B25" s="52" t="s">
        <v>66</v>
      </c>
      <c r="C25" s="59" t="s">
        <v>67</v>
      </c>
      <c r="D25" s="60"/>
      <c r="E25" s="60"/>
      <c r="F25" s="60"/>
      <c r="G25" s="60"/>
      <c r="H25" s="61"/>
    </row>
    <row r="26" spans="2:8" ht="22.5" customHeight="1">
      <c r="B26" s="52" t="s">
        <v>35</v>
      </c>
      <c r="C26" s="59" t="s">
        <v>94</v>
      </c>
      <c r="D26" s="60"/>
      <c r="E26" s="60"/>
      <c r="F26" s="60"/>
      <c r="G26" s="60"/>
      <c r="H26" s="61"/>
    </row>
    <row r="27" spans="2:8" ht="22.5" customHeight="1">
      <c r="B27" s="52" t="s">
        <v>36</v>
      </c>
      <c r="C27" s="59" t="s">
        <v>95</v>
      </c>
      <c r="D27" s="60"/>
      <c r="E27" s="60"/>
      <c r="F27" s="60"/>
      <c r="G27" s="60"/>
      <c r="H27" s="61"/>
    </row>
    <row r="29" spans="2:8">
      <c r="B29" s="53"/>
      <c r="G29" s="62"/>
      <c r="H29" s="63"/>
    </row>
    <row r="30" spans="2:8" ht="18" customHeight="1">
      <c r="G30" s="62"/>
      <c r="H30" s="63"/>
    </row>
    <row r="31" spans="2:8" ht="17.25" customHeight="1">
      <c r="G31" s="62"/>
      <c r="H31" s="63"/>
    </row>
    <row r="32" spans="2:8" ht="38.25" customHeight="1">
      <c r="G32" s="62"/>
      <c r="H32" s="63"/>
    </row>
    <row r="33" spans="7:8">
      <c r="G33" s="62"/>
      <c r="H33" s="63"/>
    </row>
    <row r="34" spans="7:8">
      <c r="G34" s="62"/>
      <c r="H34" s="63"/>
    </row>
    <row r="35" spans="7:8">
      <c r="G35" s="64"/>
      <c r="H35" s="63"/>
    </row>
    <row r="36" spans="7:8">
      <c r="G36" s="65"/>
      <c r="H36" s="63"/>
    </row>
    <row r="37" spans="7:8">
      <c r="G37" s="65"/>
      <c r="H37" s="63"/>
    </row>
  </sheetData>
  <autoFilter ref="A3:S5" xr:uid="{00000000-0009-0000-0000-00000D000000}"/>
  <mergeCells count="18">
    <mergeCell ref="Q1:Q3"/>
    <mergeCell ref="R1:R3"/>
    <mergeCell ref="S1:S3"/>
    <mergeCell ref="G1:G3"/>
    <mergeCell ref="K1:K3"/>
    <mergeCell ref="L1:L3"/>
    <mergeCell ref="O1:O3"/>
    <mergeCell ref="P1:P3"/>
    <mergeCell ref="I1:I3"/>
    <mergeCell ref="J1:J3"/>
    <mergeCell ref="M1:M3"/>
    <mergeCell ref="N1:N3"/>
    <mergeCell ref="H1:H3"/>
    <mergeCell ref="B1:B3"/>
    <mergeCell ref="C1:C3"/>
    <mergeCell ref="D1:D3"/>
    <mergeCell ref="E1:E3"/>
    <mergeCell ref="F1:F3"/>
  </mergeCells>
  <phoneticPr fontId="285" type="noConversion"/>
  <pageMargins left="0.25" right="0" top="0.5" bottom="0.5" header="0.3" footer="0.2"/>
  <pageSetup paperSize="9" scale="50" fitToHeight="0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T40"/>
  <sheetViews>
    <sheetView view="pageBreakPreview" zoomScale="110" zoomScaleNormal="66" zoomScaleSheetLayoutView="110" workbookViewId="0">
      <pane xSplit="6" ySplit="3" topLeftCell="G4" activePane="bottomRight" state="frozen"/>
      <selection activeCell="C13" sqref="C13"/>
      <selection pane="topRight" activeCell="C13" sqref="C13"/>
      <selection pane="bottomLeft" activeCell="C13" sqref="C13"/>
      <selection pane="bottomRight" activeCell="G1" sqref="G1:G3"/>
    </sheetView>
  </sheetViews>
  <sheetFormatPr baseColWidth="10" defaultColWidth="13.5" defaultRowHeight="14" outlineLevelCol="1"/>
  <cols>
    <col min="1" max="1" width="11.5" style="66" customWidth="1"/>
    <col min="2" max="2" width="17" style="2" customWidth="1"/>
    <col min="3" max="3" width="18.5" style="3" customWidth="1"/>
    <col min="4" max="4" width="17.33203125" style="3" customWidth="1"/>
    <col min="5" max="5" width="13.6640625" style="3" customWidth="1"/>
    <col min="6" max="6" width="18.6640625" style="66" customWidth="1"/>
    <col min="7" max="7" width="11.33203125" style="4" customWidth="1"/>
    <col min="8" max="8" width="8.6640625" style="3" customWidth="1"/>
    <col min="9" max="9" width="16.5" style="3" customWidth="1"/>
    <col min="10" max="12" width="11.6640625" style="3" customWidth="1" outlineLevel="1"/>
    <col min="13" max="13" width="17.6640625" style="3" customWidth="1" outlineLevel="1"/>
    <col min="14" max="14" width="11.6640625" style="3" customWidth="1" outlineLevel="1"/>
    <col min="15" max="15" width="14.83203125" style="3" customWidth="1" outlineLevel="1"/>
    <col min="16" max="16" width="15.5" style="3" customWidth="1"/>
    <col min="17" max="17" width="10.1640625" style="3" hidden="1" customWidth="1"/>
    <col min="18" max="18" width="28.6640625" style="3" hidden="1" customWidth="1"/>
    <col min="19" max="19" width="0" style="3" hidden="1" customWidth="1"/>
    <col min="20" max="16384" width="13.5" style="3"/>
  </cols>
  <sheetData>
    <row r="1" spans="1:19" s="66" customFormat="1" ht="21.75" customHeight="1">
      <c r="A1" s="336" t="s">
        <v>12</v>
      </c>
      <c r="B1" s="339" t="s">
        <v>27</v>
      </c>
      <c r="C1" s="339" t="s">
        <v>11</v>
      </c>
      <c r="D1" s="339" t="s">
        <v>44</v>
      </c>
      <c r="E1" s="339" t="s">
        <v>51</v>
      </c>
      <c r="F1" s="344" t="s">
        <v>226</v>
      </c>
      <c r="G1" s="339" t="s">
        <v>39</v>
      </c>
      <c r="H1" s="336" t="s">
        <v>40</v>
      </c>
      <c r="I1" s="339" t="s">
        <v>222</v>
      </c>
      <c r="J1" s="342" t="s">
        <v>223</v>
      </c>
      <c r="K1" s="336" t="s">
        <v>224</v>
      </c>
      <c r="L1" s="336" t="s">
        <v>30</v>
      </c>
      <c r="M1" s="336" t="s">
        <v>41</v>
      </c>
      <c r="N1" s="336" t="s">
        <v>42</v>
      </c>
      <c r="O1" s="336" t="s">
        <v>43</v>
      </c>
      <c r="P1" s="339" t="s">
        <v>225</v>
      </c>
    </row>
    <row r="2" spans="1:19" s="2" customFormat="1" ht="33.75" customHeight="1">
      <c r="A2" s="337"/>
      <c r="B2" s="333"/>
      <c r="C2" s="333"/>
      <c r="D2" s="333"/>
      <c r="E2" s="333"/>
      <c r="F2" s="345"/>
      <c r="G2" s="340"/>
      <c r="H2" s="337"/>
      <c r="I2" s="340"/>
      <c r="J2" s="342"/>
      <c r="K2" s="337"/>
      <c r="L2" s="337"/>
      <c r="M2" s="337"/>
      <c r="N2" s="337"/>
      <c r="O2" s="337"/>
      <c r="P2" s="340"/>
    </row>
    <row r="3" spans="1:19" s="2" customFormat="1" ht="27" customHeight="1">
      <c r="A3" s="338"/>
      <c r="B3" s="334"/>
      <c r="C3" s="334"/>
      <c r="D3" s="334"/>
      <c r="E3" s="334"/>
      <c r="F3" s="346"/>
      <c r="G3" s="341"/>
      <c r="H3" s="338"/>
      <c r="I3" s="341"/>
      <c r="J3" s="343"/>
      <c r="K3" s="338"/>
      <c r="L3" s="338"/>
      <c r="M3" s="338"/>
      <c r="N3" s="338"/>
      <c r="O3" s="338"/>
      <c r="P3" s="341"/>
    </row>
    <row r="4" spans="1:19" s="1" customFormat="1" ht="23.25" customHeight="1">
      <c r="A4" s="21"/>
      <c r="B4" s="67" t="s">
        <v>160</v>
      </c>
      <c r="C4" s="68" t="s">
        <v>197</v>
      </c>
      <c r="D4" s="30"/>
      <c r="E4" s="30">
        <v>45740</v>
      </c>
      <c r="F4" s="23">
        <f t="shared" ref="F4:F10" si="0">IF(OR(P4=26,P4=26),26,P4)</f>
        <v>0</v>
      </c>
      <c r="G4" s="178"/>
      <c r="H4" s="178"/>
      <c r="I4" s="178"/>
      <c r="J4" s="178"/>
      <c r="K4" s="178"/>
      <c r="L4" s="178"/>
      <c r="M4" s="178"/>
      <c r="N4" s="178"/>
      <c r="O4" s="178"/>
      <c r="P4" s="178"/>
    </row>
    <row r="5" spans="1:19" s="1" customFormat="1" ht="23.25" customHeight="1">
      <c r="A5" s="29"/>
      <c r="B5" s="67" t="s">
        <v>182</v>
      </c>
      <c r="C5" s="68" t="s">
        <v>198</v>
      </c>
      <c r="D5" s="69"/>
      <c r="E5" s="31">
        <v>45738</v>
      </c>
      <c r="F5" s="23">
        <f t="shared" si="0"/>
        <v>0</v>
      </c>
      <c r="G5" s="178"/>
      <c r="H5" s="178"/>
      <c r="I5" s="178"/>
      <c r="J5" s="178"/>
      <c r="K5" s="178"/>
      <c r="L5" s="178"/>
      <c r="M5" s="178"/>
      <c r="N5" s="178"/>
      <c r="O5" s="178"/>
      <c r="P5" s="178"/>
      <c r="S5" s="1" t="e">
        <f>VLOOKUP(B5,[21]Timetable_T03!$B$9:$AS$19,44,0)</f>
        <v>#N/A</v>
      </c>
    </row>
    <row r="6" spans="1:19" s="1" customFormat="1" ht="23.25" customHeight="1">
      <c r="A6" s="28"/>
      <c r="B6" s="27"/>
      <c r="C6" s="22"/>
      <c r="D6" s="32"/>
      <c r="E6" s="32"/>
      <c r="F6" s="23">
        <f t="shared" si="0"/>
        <v>0</v>
      </c>
      <c r="G6" s="178"/>
      <c r="H6" s="178"/>
      <c r="I6" s="178"/>
      <c r="J6" s="178"/>
      <c r="K6" s="178"/>
      <c r="L6" s="178"/>
      <c r="M6" s="178"/>
      <c r="N6" s="178"/>
      <c r="O6" s="178"/>
      <c r="P6" s="178"/>
    </row>
    <row r="7" spans="1:19" s="1" customFormat="1" ht="23.25" customHeight="1">
      <c r="A7" s="33"/>
      <c r="B7" s="34"/>
      <c r="C7" s="35"/>
      <c r="D7" s="36"/>
      <c r="E7" s="36"/>
      <c r="F7" s="23">
        <f t="shared" si="0"/>
        <v>0</v>
      </c>
      <c r="G7" s="178"/>
      <c r="H7" s="178"/>
      <c r="I7" s="178"/>
      <c r="J7" s="178"/>
      <c r="K7" s="178"/>
      <c r="L7" s="178"/>
      <c r="M7" s="178"/>
      <c r="N7" s="178"/>
      <c r="O7" s="178"/>
      <c r="P7" s="178"/>
    </row>
    <row r="8" spans="1:19" s="1" customFormat="1" ht="23.25" customHeight="1">
      <c r="A8" s="33"/>
      <c r="B8" s="34"/>
      <c r="C8" s="35"/>
      <c r="D8" s="36"/>
      <c r="E8" s="36"/>
      <c r="F8" s="23">
        <f t="shared" si="0"/>
        <v>0</v>
      </c>
      <c r="G8" s="178"/>
      <c r="H8" s="178"/>
      <c r="I8" s="178"/>
      <c r="J8" s="178"/>
      <c r="K8" s="178"/>
      <c r="L8" s="178"/>
      <c r="M8" s="178"/>
      <c r="N8" s="178"/>
      <c r="O8" s="178"/>
      <c r="P8" s="178"/>
    </row>
    <row r="9" spans="1:19" s="1" customFormat="1" ht="24" customHeight="1">
      <c r="A9" s="21"/>
      <c r="B9" s="27"/>
      <c r="C9" s="22"/>
      <c r="D9" s="30"/>
      <c r="E9" s="30"/>
      <c r="F9" s="23">
        <f t="shared" si="0"/>
        <v>0</v>
      </c>
      <c r="G9" s="178"/>
      <c r="H9" s="178"/>
      <c r="I9" s="178"/>
      <c r="J9" s="178"/>
      <c r="K9" s="178"/>
      <c r="L9" s="178"/>
      <c r="M9" s="178"/>
      <c r="N9" s="178"/>
      <c r="O9" s="178"/>
      <c r="P9" s="178"/>
    </row>
    <row r="10" spans="1:19" s="1" customFormat="1" ht="22.5" customHeight="1">
      <c r="A10" s="21"/>
      <c r="B10" s="27"/>
      <c r="C10" s="22"/>
      <c r="D10" s="30"/>
      <c r="E10" s="30"/>
      <c r="F10" s="23">
        <f t="shared" si="0"/>
        <v>0</v>
      </c>
      <c r="G10" s="178"/>
      <c r="H10" s="178"/>
      <c r="I10" s="178"/>
      <c r="J10" s="178"/>
      <c r="K10" s="178"/>
      <c r="L10" s="178"/>
      <c r="M10" s="178"/>
      <c r="N10" s="178"/>
      <c r="O10" s="178"/>
      <c r="P10" s="178"/>
    </row>
    <row r="12" spans="1:19" s="4" customFormat="1">
      <c r="A12" s="2"/>
      <c r="B12" s="2"/>
      <c r="F12" s="2"/>
    </row>
    <row r="13" spans="1:19" s="4" customFormat="1">
      <c r="A13" s="2"/>
      <c r="B13" s="2"/>
      <c r="F13" s="2"/>
    </row>
    <row r="14" spans="1:19" customFormat="1" ht="28.5" customHeight="1">
      <c r="B14" s="163" t="s">
        <v>131</v>
      </c>
      <c r="C14" s="139"/>
      <c r="D14" s="139"/>
      <c r="E14" s="139"/>
      <c r="F14" s="54"/>
      <c r="G14" s="6"/>
      <c r="H14" s="6"/>
      <c r="I14" s="6"/>
      <c r="J14" s="179"/>
      <c r="N14" s="58"/>
      <c r="Q14" s="54"/>
      <c r="R14" s="54"/>
      <c r="S14" s="54"/>
    </row>
    <row r="15" spans="1:19" customFormat="1" ht="19">
      <c r="B15" s="164" t="s">
        <v>37</v>
      </c>
      <c r="C15" s="59" t="s">
        <v>130</v>
      </c>
      <c r="D15" s="60"/>
      <c r="E15" s="60"/>
      <c r="F15" s="54"/>
      <c r="G15" s="6"/>
      <c r="H15" s="6"/>
      <c r="I15" s="6"/>
      <c r="J15" s="179"/>
      <c r="N15" s="58"/>
      <c r="Q15" s="54"/>
      <c r="R15" s="54"/>
      <c r="S15" s="54"/>
    </row>
    <row r="16" spans="1:19" customFormat="1" ht="19">
      <c r="B16" s="164" t="s">
        <v>85</v>
      </c>
      <c r="C16" s="59" t="s">
        <v>86</v>
      </c>
      <c r="D16" s="60"/>
      <c r="E16" s="60"/>
      <c r="F16" s="54"/>
      <c r="G16" s="6"/>
      <c r="H16" s="6"/>
      <c r="I16" s="6"/>
      <c r="J16" s="179"/>
      <c r="N16" s="58"/>
      <c r="Q16" s="54"/>
      <c r="R16" s="54"/>
      <c r="S16" s="54"/>
    </row>
    <row r="17" spans="2:19" customFormat="1" ht="19">
      <c r="B17" s="164" t="s">
        <v>38</v>
      </c>
      <c r="C17" s="59" t="s">
        <v>87</v>
      </c>
      <c r="D17" s="60"/>
      <c r="E17" s="60"/>
      <c r="F17" s="54"/>
      <c r="G17" s="6"/>
      <c r="H17" s="6"/>
      <c r="I17" s="6"/>
      <c r="J17" s="179"/>
      <c r="N17" s="58"/>
      <c r="Q17" s="54"/>
      <c r="R17" s="54"/>
      <c r="S17" s="54"/>
    </row>
    <row r="18" spans="2:19" customFormat="1" ht="19">
      <c r="B18" s="164" t="s">
        <v>56</v>
      </c>
      <c r="C18" s="59" t="s">
        <v>88</v>
      </c>
      <c r="D18" s="60"/>
      <c r="E18" s="60"/>
      <c r="F18" s="54"/>
      <c r="G18" s="6"/>
      <c r="H18" s="6"/>
      <c r="I18" s="6"/>
      <c r="J18" s="179"/>
      <c r="N18" s="58"/>
      <c r="Q18" s="54"/>
      <c r="R18" s="54"/>
      <c r="S18" s="54"/>
    </row>
    <row r="19" spans="2:19" customFormat="1" ht="19">
      <c r="B19" s="164" t="s">
        <v>74</v>
      </c>
      <c r="C19" s="59" t="s">
        <v>89</v>
      </c>
      <c r="D19" s="60"/>
      <c r="E19" s="60"/>
      <c r="F19" s="54"/>
      <c r="G19" s="6"/>
      <c r="H19" s="6"/>
      <c r="I19" s="6"/>
      <c r="J19" s="179"/>
      <c r="N19" s="58"/>
      <c r="Q19" s="54"/>
      <c r="R19" s="54"/>
      <c r="S19" s="54"/>
    </row>
    <row r="20" spans="2:19" customFormat="1" ht="19">
      <c r="B20" s="164" t="s">
        <v>61</v>
      </c>
      <c r="C20" s="59" t="s">
        <v>90</v>
      </c>
      <c r="D20" s="60"/>
      <c r="E20" s="60"/>
      <c r="F20" s="54"/>
      <c r="G20" s="6"/>
      <c r="H20" s="6"/>
      <c r="I20" s="6"/>
      <c r="J20" s="179"/>
      <c r="N20" s="58"/>
      <c r="Q20" s="54"/>
      <c r="R20" s="54"/>
      <c r="S20" s="54"/>
    </row>
    <row r="21" spans="2:19" customFormat="1" ht="19">
      <c r="B21" s="164" t="s">
        <v>58</v>
      </c>
      <c r="C21" s="59" t="s">
        <v>91</v>
      </c>
      <c r="D21" s="60"/>
      <c r="E21" s="60"/>
      <c r="F21" s="54"/>
      <c r="G21" s="6"/>
      <c r="H21" s="6"/>
      <c r="I21" s="6"/>
      <c r="J21" s="179"/>
      <c r="N21" s="58"/>
      <c r="Q21" s="54"/>
      <c r="R21" s="54"/>
      <c r="S21" s="54"/>
    </row>
    <row r="22" spans="2:19" customFormat="1" ht="19">
      <c r="B22" s="164" t="s">
        <v>84</v>
      </c>
      <c r="C22" s="59" t="s">
        <v>92</v>
      </c>
      <c r="D22" s="60"/>
      <c r="E22" s="60"/>
      <c r="F22" s="54"/>
      <c r="G22" s="6"/>
      <c r="H22" s="6"/>
      <c r="I22" s="6"/>
      <c r="J22" s="179"/>
      <c r="N22" s="58"/>
      <c r="Q22" s="54"/>
      <c r="R22" s="54"/>
      <c r="S22" s="54"/>
    </row>
    <row r="23" spans="2:19" customFormat="1" ht="19">
      <c r="B23" s="164" t="s">
        <v>57</v>
      </c>
      <c r="C23" s="59" t="s">
        <v>93</v>
      </c>
      <c r="D23" s="60"/>
      <c r="E23" s="60"/>
      <c r="F23" s="54"/>
      <c r="G23" s="6"/>
      <c r="H23" s="6"/>
      <c r="I23" s="6"/>
      <c r="J23" s="179"/>
      <c r="N23" s="58"/>
      <c r="Q23" s="54"/>
      <c r="R23" s="54"/>
      <c r="S23" s="54"/>
    </row>
    <row r="24" spans="2:19" customFormat="1" ht="19">
      <c r="B24" s="164" t="s">
        <v>34</v>
      </c>
      <c r="C24" s="59" t="s">
        <v>62</v>
      </c>
      <c r="D24" s="60"/>
      <c r="E24" s="60"/>
      <c r="F24" s="54"/>
      <c r="G24" s="6"/>
      <c r="H24" s="6"/>
      <c r="I24" s="6"/>
      <c r="J24" s="179"/>
      <c r="N24" s="58"/>
      <c r="Q24" s="54"/>
      <c r="R24" s="54"/>
      <c r="S24" s="54"/>
    </row>
    <row r="25" spans="2:19" customFormat="1" ht="19">
      <c r="B25" s="164" t="s">
        <v>60</v>
      </c>
      <c r="C25" s="59" t="s">
        <v>63</v>
      </c>
      <c r="D25" s="60"/>
      <c r="E25" s="60"/>
      <c r="F25" s="54"/>
      <c r="G25" s="6"/>
      <c r="H25" s="6"/>
      <c r="I25" s="6"/>
      <c r="J25" s="179"/>
      <c r="N25" s="58"/>
      <c r="Q25" s="54"/>
      <c r="R25" s="54"/>
      <c r="S25" s="54"/>
    </row>
    <row r="26" spans="2:19" customFormat="1" ht="22.5" customHeight="1">
      <c r="B26" s="164" t="s">
        <v>64</v>
      </c>
      <c r="C26" s="59" t="s">
        <v>65</v>
      </c>
      <c r="D26" s="60"/>
      <c r="E26" s="60"/>
      <c r="F26" s="54"/>
      <c r="G26" s="6"/>
      <c r="H26" s="6"/>
      <c r="I26" s="6"/>
      <c r="J26" s="179"/>
      <c r="N26" s="58"/>
      <c r="Q26" s="54"/>
      <c r="R26" s="54"/>
      <c r="S26" s="54"/>
    </row>
    <row r="27" spans="2:19" customFormat="1" ht="22.5" customHeight="1">
      <c r="B27" s="164" t="s">
        <v>66</v>
      </c>
      <c r="C27" s="59" t="s">
        <v>67</v>
      </c>
      <c r="D27" s="60"/>
      <c r="E27" s="60"/>
      <c r="F27" s="54"/>
      <c r="G27" s="6"/>
      <c r="H27" s="6"/>
      <c r="I27" s="6"/>
      <c r="J27" s="179"/>
      <c r="N27" s="58"/>
      <c r="Q27" s="54"/>
      <c r="R27" s="54"/>
      <c r="S27" s="54"/>
    </row>
    <row r="28" spans="2:19" customFormat="1" ht="22.5" customHeight="1">
      <c r="B28" s="164" t="s">
        <v>35</v>
      </c>
      <c r="C28" s="59" t="s">
        <v>94</v>
      </c>
      <c r="D28" s="60"/>
      <c r="E28" s="60"/>
      <c r="F28" s="54"/>
      <c r="G28" s="6"/>
      <c r="H28" s="6"/>
      <c r="I28" s="6"/>
      <c r="J28" s="179"/>
      <c r="N28" s="58"/>
      <c r="Q28" s="54"/>
      <c r="R28" s="54"/>
      <c r="S28" s="54"/>
    </row>
    <row r="29" spans="2:19" customFormat="1" ht="22.5" customHeight="1">
      <c r="B29" s="164" t="s">
        <v>36</v>
      </c>
      <c r="C29" s="59" t="s">
        <v>95</v>
      </c>
      <c r="D29" s="60"/>
      <c r="E29" s="60"/>
      <c r="F29" s="54"/>
      <c r="G29" s="6"/>
      <c r="H29" s="6"/>
      <c r="I29" s="6"/>
      <c r="J29" s="179"/>
      <c r="N29" s="58"/>
      <c r="Q29" s="54"/>
      <c r="R29" s="54"/>
      <c r="S29" s="54"/>
    </row>
    <row r="30" spans="2:19" customFormat="1" ht="19">
      <c r="F30" s="54"/>
      <c r="G30" s="6"/>
      <c r="H30" s="6"/>
      <c r="I30" s="6"/>
      <c r="J30" s="179"/>
      <c r="N30" s="58"/>
      <c r="Q30" s="54"/>
      <c r="R30" s="54"/>
      <c r="S30" s="54"/>
    </row>
    <row r="31" spans="2:19" customFormat="1" ht="19">
      <c r="B31" s="53"/>
      <c r="F31" s="54"/>
      <c r="G31" s="6"/>
      <c r="H31" s="6"/>
      <c r="I31" s="6"/>
      <c r="J31" s="179"/>
      <c r="N31" s="58"/>
      <c r="Q31" s="54"/>
      <c r="R31" s="54"/>
      <c r="S31" s="54"/>
    </row>
    <row r="32" spans="2:19" customFormat="1" ht="18" customHeight="1">
      <c r="F32" s="54"/>
      <c r="G32" s="6"/>
      <c r="H32" s="6"/>
      <c r="I32" s="6"/>
      <c r="J32" s="179"/>
      <c r="N32" s="58"/>
      <c r="Q32" s="54"/>
      <c r="R32" s="54"/>
      <c r="S32" s="54"/>
    </row>
    <row r="33" spans="6:20" customFormat="1" ht="17.25" customHeight="1">
      <c r="F33" s="54"/>
      <c r="G33" s="6"/>
      <c r="H33" s="6"/>
      <c r="I33" s="6"/>
      <c r="J33" s="179"/>
      <c r="N33" s="58"/>
      <c r="Q33" s="54"/>
      <c r="R33" s="54"/>
      <c r="S33" s="54"/>
    </row>
    <row r="34" spans="6:20" customFormat="1" ht="38.25" customHeight="1">
      <c r="F34" s="54"/>
      <c r="G34" s="6"/>
      <c r="H34" s="6"/>
      <c r="I34" s="6"/>
      <c r="J34" s="179"/>
      <c r="N34" s="58"/>
      <c r="Q34" s="54"/>
      <c r="R34" s="54"/>
      <c r="S34" s="54"/>
    </row>
    <row r="35" spans="6:20" customFormat="1" ht="19">
      <c r="F35" s="54"/>
      <c r="G35" s="6"/>
      <c r="H35" s="6"/>
      <c r="I35" s="6"/>
      <c r="J35" s="179"/>
      <c r="N35" s="58"/>
      <c r="Q35" s="54"/>
      <c r="R35" s="54"/>
      <c r="S35" s="54"/>
    </row>
    <row r="36" spans="6:20" customFormat="1" ht="19">
      <c r="F36" s="54"/>
      <c r="G36" s="6"/>
      <c r="H36" s="6"/>
      <c r="I36" s="6"/>
      <c r="J36" s="179"/>
      <c r="N36" s="58"/>
      <c r="Q36" s="54"/>
      <c r="R36" s="54"/>
      <c r="S36" s="54"/>
    </row>
    <row r="37" spans="6:20" customFormat="1" ht="19">
      <c r="F37" s="54"/>
      <c r="G37" s="6"/>
      <c r="H37" s="6"/>
      <c r="I37" s="6"/>
      <c r="J37" s="179"/>
      <c r="N37" s="58"/>
      <c r="Q37" s="54"/>
      <c r="R37" s="54"/>
      <c r="S37" s="54"/>
    </row>
    <row r="38" spans="6:20" customFormat="1" ht="19">
      <c r="F38" s="54"/>
      <c r="G38" s="6"/>
      <c r="H38" s="6"/>
      <c r="I38" s="6"/>
      <c r="J38" s="179"/>
      <c r="N38" s="58"/>
      <c r="Q38" s="54"/>
      <c r="R38" s="54"/>
      <c r="S38" s="54"/>
    </row>
    <row r="39" spans="6:20" customFormat="1" ht="19">
      <c r="F39" s="181"/>
      <c r="G39" s="6"/>
      <c r="H39" s="6"/>
      <c r="I39" s="6"/>
      <c r="J39" s="71"/>
      <c r="N39" s="58"/>
      <c r="Q39" s="181"/>
      <c r="R39" s="181"/>
      <c r="S39" s="181"/>
      <c r="T39" s="182"/>
    </row>
    <row r="40" spans="6:20" customFormat="1" ht="19">
      <c r="F40" s="181"/>
      <c r="G40" s="6"/>
      <c r="H40" s="6"/>
      <c r="I40" s="6"/>
      <c r="J40" s="70"/>
      <c r="N40" s="58"/>
      <c r="Q40" s="181"/>
      <c r="R40" s="181"/>
      <c r="S40" s="181"/>
      <c r="T40" s="182"/>
    </row>
  </sheetData>
  <mergeCells count="16">
    <mergeCell ref="A1:A3"/>
    <mergeCell ref="B1:B3"/>
    <mergeCell ref="C1:C3"/>
    <mergeCell ref="D1:D3"/>
    <mergeCell ref="P1:P3"/>
    <mergeCell ref="O1:O3"/>
    <mergeCell ref="N1:N3"/>
    <mergeCell ref="M1:M3"/>
    <mergeCell ref="E1:E3"/>
    <mergeCell ref="I1:I3"/>
    <mergeCell ref="G1:G3"/>
    <mergeCell ref="L1:L3"/>
    <mergeCell ref="K1:K3"/>
    <mergeCell ref="J1:J3"/>
    <mergeCell ref="H1:H3"/>
    <mergeCell ref="F1:F3"/>
  </mergeCells>
  <conditionalFormatting sqref="B1:B3">
    <cfRule type="duplicateValues" dxfId="87" priority="1"/>
  </conditionalFormatting>
  <conditionalFormatting sqref="B4:B10">
    <cfRule type="duplicateValues" dxfId="86" priority="1327759"/>
    <cfRule type="duplicateValues" dxfId="85" priority="1327758"/>
    <cfRule type="duplicateValues" dxfId="84" priority="1327757"/>
  </conditionalFormatting>
  <conditionalFormatting sqref="B14:B40">
    <cfRule type="duplicateValues" dxfId="83" priority="1327643"/>
    <cfRule type="duplicateValues" dxfId="82" priority="1327649"/>
    <cfRule type="duplicateValues" dxfId="81" priority="1327644"/>
    <cfRule type="duplicateValues" dxfId="80" priority="1327642"/>
    <cfRule type="duplicateValues" dxfId="79" priority="1327648"/>
  </conditionalFormatting>
  <conditionalFormatting sqref="B30">
    <cfRule type="duplicateValues" dxfId="78" priority="14"/>
  </conditionalFormatting>
  <conditionalFormatting sqref="B30:B40">
    <cfRule type="duplicateValues" dxfId="77" priority="21"/>
    <cfRule type="duplicateValues" dxfId="76" priority="23"/>
    <cfRule type="duplicateValues" dxfId="75" priority="20"/>
    <cfRule type="duplicateValues" dxfId="74" priority="17"/>
    <cfRule type="duplicateValues" dxfId="73" priority="22"/>
  </conditionalFormatting>
  <conditionalFormatting sqref="B31">
    <cfRule type="duplicateValues" dxfId="72" priority="15"/>
    <cfRule type="duplicateValues" dxfId="71" priority="16"/>
  </conditionalFormatting>
  <conditionalFormatting sqref="B41:B1048576 B11:B13">
    <cfRule type="duplicateValues" dxfId="70" priority="1327639"/>
  </conditionalFormatting>
  <conditionalFormatting sqref="C14:C29">
    <cfRule type="duplicateValues" dxfId="69" priority="1327652"/>
    <cfRule type="duplicateValues" dxfId="68" priority="1327653"/>
    <cfRule type="duplicateValues" dxfId="67" priority="1327654" stopIfTrue="1"/>
    <cfRule type="duplicateValues" dxfId="66" priority="1327655" stopIfTrue="1"/>
    <cfRule type="duplicateValues" dxfId="65" priority="1327656"/>
    <cfRule type="duplicateValues" dxfId="64" priority="1327657" stopIfTrue="1"/>
    <cfRule type="duplicateValues" dxfId="63" priority="1327658" stopIfTrue="1"/>
    <cfRule type="expression" dxfId="62" priority="1327659" stopIfTrue="1">
      <formula>AND(COUNTIF(#REF!, C14)+COUNTIF(#REF!, C14)&gt;1,NOT(ISBLANK(C14)))</formula>
    </cfRule>
  </conditionalFormatting>
  <conditionalFormatting sqref="D14">
    <cfRule type="duplicateValues" dxfId="61" priority="5"/>
    <cfRule type="duplicateValues" dxfId="60" priority="3"/>
    <cfRule type="duplicateValues" dxfId="59" priority="4"/>
  </conditionalFormatting>
  <dataValidations count="1">
    <dataValidation allowBlank="1" showErrorMessage="1" sqref="B4:C5" xr:uid="{00000000-0002-0000-0E00-000001000000}"/>
  </dataValidations>
  <pageMargins left="0.5" right="0" top="0.48" bottom="0.28000000000000003" header="0.3" footer="0.16"/>
  <pageSetup paperSize="9" scale="50" orientation="landscape" r:id="rId1"/>
  <colBreaks count="1" manualBreakCount="1">
    <brk id="16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830A-5305-0E49-B897-6BDDE0754116}">
  <dimension ref="A1:S10"/>
  <sheetViews>
    <sheetView workbookViewId="0">
      <selection activeCell="G42" sqref="G42"/>
    </sheetView>
  </sheetViews>
  <sheetFormatPr baseColWidth="10" defaultRowHeight="13"/>
  <sheetData>
    <row r="1" spans="1:19" ht="14">
      <c r="A1" s="349" t="s">
        <v>27</v>
      </c>
      <c r="B1" s="351" t="s">
        <v>28</v>
      </c>
      <c r="C1" s="353" t="s">
        <v>51</v>
      </c>
      <c r="D1" s="354" t="s">
        <v>183</v>
      </c>
      <c r="E1" s="192" t="s">
        <v>227</v>
      </c>
      <c r="F1" s="192" t="s">
        <v>228</v>
      </c>
      <c r="G1" s="193" t="s">
        <v>229</v>
      </c>
      <c r="H1" s="193" t="s">
        <v>230</v>
      </c>
      <c r="I1" s="193" t="s">
        <v>231</v>
      </c>
      <c r="J1" s="194" t="s">
        <v>232</v>
      </c>
      <c r="K1" s="192" t="s">
        <v>233</v>
      </c>
      <c r="L1" s="192" t="s">
        <v>234</v>
      </c>
      <c r="M1" s="192" t="s">
        <v>235</v>
      </c>
      <c r="N1" s="192" t="s">
        <v>236</v>
      </c>
      <c r="O1" s="192" t="s">
        <v>237</v>
      </c>
      <c r="P1" s="192" t="s">
        <v>238</v>
      </c>
      <c r="Q1" s="347" t="s">
        <v>48</v>
      </c>
      <c r="R1" s="347" t="s">
        <v>25</v>
      </c>
      <c r="S1" s="347" t="s">
        <v>26</v>
      </c>
    </row>
    <row r="2" spans="1:19">
      <c r="A2" s="350"/>
      <c r="B2" s="352"/>
      <c r="C2" s="353"/>
      <c r="D2" s="355"/>
      <c r="E2" s="186">
        <v>1.5</v>
      </c>
      <c r="F2" s="186">
        <v>2.15</v>
      </c>
      <c r="G2" s="186">
        <v>2</v>
      </c>
      <c r="H2" s="186">
        <v>2.8</v>
      </c>
      <c r="I2" s="186">
        <v>3</v>
      </c>
      <c r="J2" s="186">
        <v>4.0999999999999996</v>
      </c>
      <c r="K2" s="186">
        <v>1.5</v>
      </c>
      <c r="L2" s="186">
        <v>2.15</v>
      </c>
      <c r="M2" s="186">
        <v>2</v>
      </c>
      <c r="N2" s="186">
        <v>2.8</v>
      </c>
      <c r="O2" s="186">
        <v>3</v>
      </c>
      <c r="P2" s="186">
        <v>4.0999999999999996</v>
      </c>
      <c r="Q2" s="348"/>
      <c r="R2" s="348"/>
      <c r="S2" s="348"/>
    </row>
    <row r="3" spans="1:19" ht="16">
      <c r="A3" s="195" t="s">
        <v>180</v>
      </c>
      <c r="B3" s="166" t="s">
        <v>191</v>
      </c>
      <c r="C3" s="196">
        <v>43466</v>
      </c>
      <c r="D3" s="197">
        <f>VLOOKUP(A3,'Template Payroll'!$B$5:$J$5,9,0)</f>
        <v>47000000</v>
      </c>
      <c r="E3" s="198">
        <v>0</v>
      </c>
      <c r="F3" s="199">
        <v>0</v>
      </c>
      <c r="G3" s="199">
        <v>0</v>
      </c>
      <c r="H3" s="199">
        <v>0</v>
      </c>
      <c r="I3" s="199"/>
      <c r="J3" s="199"/>
      <c r="K3" s="200">
        <f>ROUND(D3/26/8*$K2*E3,0)</f>
        <v>0</v>
      </c>
      <c r="L3" s="200">
        <f>ROUND(D3/26/8*$L2*F3,0)</f>
        <v>0</v>
      </c>
      <c r="M3" s="200">
        <f>ROUND(D3/26/8*$M2*G3,0)</f>
        <v>0</v>
      </c>
      <c r="N3" s="200">
        <f>ROUND(D3/26/8*$N2*H3,0)</f>
        <v>0</v>
      </c>
      <c r="O3" s="200">
        <f>ROUND(D3/26/8*$O2*I3,0)</f>
        <v>0</v>
      </c>
      <c r="P3" s="200">
        <f>ROUND(D3/26/8*$P2*J3,0)</f>
        <v>0</v>
      </c>
      <c r="Q3" s="201">
        <f>ROUND(SUM(K3:P3),0)</f>
        <v>0</v>
      </c>
      <c r="R3" s="202">
        <f>ROUND(SUM(E3:J3)*D3/26/8,0)</f>
        <v>0</v>
      </c>
      <c r="S3" s="203">
        <f>ROUND(Q3-R3,0)</f>
        <v>0</v>
      </c>
    </row>
    <row r="4" spans="1:19" ht="16">
      <c r="A4" s="187" t="s">
        <v>181</v>
      </c>
      <c r="B4" s="55" t="s">
        <v>192</v>
      </c>
      <c r="C4" s="188">
        <v>43831</v>
      </c>
      <c r="D4" s="184">
        <f>VLOOKUP(A4,'[20]Template Payroll'!$B$6:$J$18,9,0)</f>
        <v>31000000</v>
      </c>
      <c r="E4" s="185">
        <v>0</v>
      </c>
      <c r="F4" s="185">
        <v>6</v>
      </c>
      <c r="G4" s="185">
        <v>0</v>
      </c>
      <c r="H4" s="185">
        <v>0</v>
      </c>
      <c r="I4" s="185">
        <v>6</v>
      </c>
      <c r="J4" s="185">
        <v>2</v>
      </c>
      <c r="K4" s="189">
        <f t="shared" ref="K4:K10" ca="1" si="0">ROUND(D4/26/8*$K$5*E4,0)</f>
        <v>0</v>
      </c>
      <c r="L4" s="189">
        <f t="shared" ref="L4:L10" ca="1" si="1">ROUND(D4/26/8*$L$5*F4,0)</f>
        <v>1922596</v>
      </c>
      <c r="M4" s="189">
        <f t="shared" ref="M4:M10" ca="1" si="2">ROUND(D4/26/8*$M$5*G4,0)</f>
        <v>0</v>
      </c>
      <c r="N4" s="189">
        <f t="shared" ref="N4:N10" ca="1" si="3">ROUND(D4/26/8*$N$5*H4,0)</f>
        <v>0</v>
      </c>
      <c r="O4" s="189">
        <f t="shared" ref="O4:O10" ca="1" si="4">ROUND(D4/26/8*$O$5*I4,0)</f>
        <v>2682692</v>
      </c>
      <c r="P4" s="189">
        <f t="shared" ref="P4:P10" ca="1" si="5">ROUND(D4/26/8*$P$5*J4,0)</f>
        <v>1222115</v>
      </c>
      <c r="Q4" s="190">
        <f ca="1">ROUND(SUM(K4:P4),0)</f>
        <v>5827403</v>
      </c>
      <c r="R4" s="79">
        <f>ROUND(SUM(E4:J4)*D4/26/8,0)</f>
        <v>2086538</v>
      </c>
      <c r="S4" s="191">
        <f ca="1">ROUND(Q4-R4,0)</f>
        <v>3740865</v>
      </c>
    </row>
    <row r="5" spans="1:19" ht="16">
      <c r="A5" s="187" t="s">
        <v>158</v>
      </c>
      <c r="B5" s="55" t="s">
        <v>193</v>
      </c>
      <c r="C5" s="188">
        <v>44197</v>
      </c>
      <c r="D5" s="184">
        <f>VLOOKUP(A5,'[20]Template Payroll'!$B$6:$J$18,9,0)</f>
        <v>10448000</v>
      </c>
      <c r="E5" s="185">
        <v>0.5</v>
      </c>
      <c r="F5" s="185">
        <v>2.5</v>
      </c>
      <c r="G5" s="185">
        <v>0</v>
      </c>
      <c r="H5" s="185">
        <v>0</v>
      </c>
      <c r="I5" s="185">
        <v>0</v>
      </c>
      <c r="J5" s="185">
        <v>0</v>
      </c>
      <c r="K5" s="189">
        <f t="shared" ca="1" si="0"/>
        <v>37673</v>
      </c>
      <c r="L5" s="189">
        <f t="shared" ca="1" si="1"/>
        <v>269990</v>
      </c>
      <c r="M5" s="189">
        <f t="shared" ca="1" si="2"/>
        <v>0</v>
      </c>
      <c r="N5" s="189">
        <f t="shared" ca="1" si="3"/>
        <v>0</v>
      </c>
      <c r="O5" s="189">
        <f t="shared" ca="1" si="4"/>
        <v>0</v>
      </c>
      <c r="P5" s="189">
        <f t="shared" ca="1" si="5"/>
        <v>0</v>
      </c>
      <c r="Q5" s="190">
        <f t="shared" ref="Q5:Q10" ca="1" si="6">ROUND(SUM(K5:P5),0)</f>
        <v>307663</v>
      </c>
      <c r="R5" s="79">
        <f t="shared" ref="R5:R9" si="7">ROUND(SUM(E5:J5)*D5/26/8,0)</f>
        <v>150692</v>
      </c>
      <c r="S5" s="191">
        <f t="shared" ref="S5:S9" ca="1" si="8">ROUND(Q5-R5,0)</f>
        <v>156971</v>
      </c>
    </row>
    <row r="6" spans="1:19" ht="16">
      <c r="A6" s="187" t="s">
        <v>159</v>
      </c>
      <c r="B6" s="55" t="s">
        <v>194</v>
      </c>
      <c r="C6" s="188">
        <v>44562</v>
      </c>
      <c r="D6" s="184">
        <f>VLOOKUP(A6,'[20]Template Payroll'!$B$6:$J$18,9,0)</f>
        <v>8000000</v>
      </c>
      <c r="E6" s="185">
        <v>0</v>
      </c>
      <c r="F6" s="185">
        <v>0</v>
      </c>
      <c r="G6" s="185">
        <v>0</v>
      </c>
      <c r="H6" s="185">
        <v>0</v>
      </c>
      <c r="I6" s="185">
        <v>7</v>
      </c>
      <c r="J6" s="185">
        <v>1</v>
      </c>
      <c r="K6" s="189">
        <f t="shared" ca="1" si="0"/>
        <v>0</v>
      </c>
      <c r="L6" s="189">
        <f t="shared" ca="1" si="1"/>
        <v>0</v>
      </c>
      <c r="M6" s="189">
        <f t="shared" ca="1" si="2"/>
        <v>0</v>
      </c>
      <c r="N6" s="189">
        <f t="shared" ca="1" si="3"/>
        <v>0</v>
      </c>
      <c r="O6" s="189">
        <f t="shared" ca="1" si="4"/>
        <v>807692</v>
      </c>
      <c r="P6" s="189">
        <f t="shared" ca="1" si="5"/>
        <v>157692</v>
      </c>
      <c r="Q6" s="190">
        <f t="shared" ca="1" si="6"/>
        <v>965384</v>
      </c>
      <c r="R6" s="79">
        <f t="shared" si="7"/>
        <v>307692</v>
      </c>
      <c r="S6" s="191">
        <f t="shared" ca="1" si="8"/>
        <v>657692</v>
      </c>
    </row>
    <row r="7" spans="1:19" ht="16">
      <c r="A7" s="187" t="s">
        <v>160</v>
      </c>
      <c r="B7" s="55" t="s">
        <v>195</v>
      </c>
      <c r="C7" s="188">
        <v>45740</v>
      </c>
      <c r="D7" s="184">
        <f>VLOOKUP(A7,'[20]Template Payroll'!$B$6:$J$18,9,0)</f>
        <v>8500000</v>
      </c>
      <c r="E7" s="185">
        <v>0</v>
      </c>
      <c r="F7" s="185">
        <v>0</v>
      </c>
      <c r="G7" s="185">
        <v>0</v>
      </c>
      <c r="H7" s="185">
        <v>0</v>
      </c>
      <c r="I7" s="185">
        <v>8</v>
      </c>
      <c r="J7" s="185">
        <v>0</v>
      </c>
      <c r="K7" s="189">
        <f t="shared" ca="1" si="0"/>
        <v>0</v>
      </c>
      <c r="L7" s="189">
        <f t="shared" ca="1" si="1"/>
        <v>0</v>
      </c>
      <c r="M7" s="189">
        <f t="shared" ca="1" si="2"/>
        <v>0</v>
      </c>
      <c r="N7" s="189">
        <f t="shared" ca="1" si="3"/>
        <v>0</v>
      </c>
      <c r="O7" s="189">
        <f t="shared" ca="1" si="4"/>
        <v>980769</v>
      </c>
      <c r="P7" s="189">
        <f t="shared" ca="1" si="5"/>
        <v>0</v>
      </c>
      <c r="Q7" s="190">
        <f t="shared" ca="1" si="6"/>
        <v>980769</v>
      </c>
      <c r="R7" s="79">
        <f ca="1">Q7</f>
        <v>980769</v>
      </c>
      <c r="S7" s="191">
        <v>0</v>
      </c>
    </row>
    <row r="8" spans="1:19" ht="16">
      <c r="A8" s="187" t="s">
        <v>161</v>
      </c>
      <c r="B8" s="55" t="s">
        <v>196</v>
      </c>
      <c r="C8" s="188">
        <v>44927</v>
      </c>
      <c r="D8" s="184">
        <f>VLOOKUP(A8,'[20]Template Payroll'!$B$6:$J$18,9,0)</f>
        <v>7056000</v>
      </c>
      <c r="E8" s="185">
        <v>1</v>
      </c>
      <c r="F8" s="185">
        <v>9</v>
      </c>
      <c r="G8" s="185">
        <v>0</v>
      </c>
      <c r="H8" s="185">
        <v>0</v>
      </c>
      <c r="I8" s="185">
        <v>6</v>
      </c>
      <c r="J8" s="185">
        <v>2</v>
      </c>
      <c r="K8" s="189">
        <f t="shared" ca="1" si="0"/>
        <v>50885</v>
      </c>
      <c r="L8" s="189">
        <f t="shared" ca="1" si="1"/>
        <v>656412</v>
      </c>
      <c r="M8" s="189">
        <f t="shared" ca="1" si="2"/>
        <v>0</v>
      </c>
      <c r="N8" s="189">
        <f t="shared" ca="1" si="3"/>
        <v>0</v>
      </c>
      <c r="O8" s="189">
        <f t="shared" ca="1" si="4"/>
        <v>610615</v>
      </c>
      <c r="P8" s="189">
        <f t="shared" ca="1" si="5"/>
        <v>278169</v>
      </c>
      <c r="Q8" s="190">
        <f t="shared" ca="1" si="6"/>
        <v>1596081</v>
      </c>
      <c r="R8" s="79">
        <f t="shared" si="7"/>
        <v>610615</v>
      </c>
      <c r="S8" s="191">
        <f t="shared" ca="1" si="8"/>
        <v>985466</v>
      </c>
    </row>
    <row r="9" spans="1:19" ht="16">
      <c r="A9" s="187" t="s">
        <v>162</v>
      </c>
      <c r="B9" s="55" t="s">
        <v>197</v>
      </c>
      <c r="C9" s="188">
        <v>45292</v>
      </c>
      <c r="D9" s="184">
        <f>VLOOKUP(A9,'[20]Template Payroll'!$B$6:$J$18,9,0)</f>
        <v>6841000</v>
      </c>
      <c r="E9" s="185">
        <v>0</v>
      </c>
      <c r="F9" s="185">
        <v>0</v>
      </c>
      <c r="G9" s="185">
        <v>0</v>
      </c>
      <c r="H9" s="185">
        <v>0</v>
      </c>
      <c r="I9" s="185">
        <v>0</v>
      </c>
      <c r="J9" s="185">
        <v>0</v>
      </c>
      <c r="K9" s="189">
        <f t="shared" ca="1" si="0"/>
        <v>0</v>
      </c>
      <c r="L9" s="189">
        <f t="shared" ca="1" si="1"/>
        <v>0</v>
      </c>
      <c r="M9" s="189">
        <f t="shared" ca="1" si="2"/>
        <v>0</v>
      </c>
      <c r="N9" s="189">
        <f t="shared" ca="1" si="3"/>
        <v>0</v>
      </c>
      <c r="O9" s="189">
        <f t="shared" ca="1" si="4"/>
        <v>0</v>
      </c>
      <c r="P9" s="189">
        <f t="shared" ca="1" si="5"/>
        <v>0</v>
      </c>
      <c r="Q9" s="190">
        <f t="shared" ca="1" si="6"/>
        <v>0</v>
      </c>
      <c r="R9" s="79">
        <f t="shared" si="7"/>
        <v>0</v>
      </c>
      <c r="S9" s="191">
        <f t="shared" ca="1" si="8"/>
        <v>0</v>
      </c>
    </row>
    <row r="10" spans="1:19" ht="16">
      <c r="A10" s="187" t="s">
        <v>182</v>
      </c>
      <c r="B10" s="55" t="s">
        <v>198</v>
      </c>
      <c r="C10" s="188">
        <v>45738</v>
      </c>
      <c r="D10" s="184">
        <f>VLOOKUP(A10,'[20]Template Payroll'!$B$6:$J$18,9,0)</f>
        <v>11000000</v>
      </c>
      <c r="E10" s="185">
        <v>1</v>
      </c>
      <c r="F10" s="185">
        <v>9</v>
      </c>
      <c r="G10" s="185">
        <v>0</v>
      </c>
      <c r="H10" s="185">
        <v>0</v>
      </c>
      <c r="I10" s="185">
        <v>6</v>
      </c>
      <c r="J10" s="185">
        <v>2</v>
      </c>
      <c r="K10" s="189">
        <f t="shared" ca="1" si="0"/>
        <v>79327</v>
      </c>
      <c r="L10" s="189">
        <f t="shared" ca="1" si="1"/>
        <v>1023317</v>
      </c>
      <c r="M10" s="189">
        <f t="shared" ca="1" si="2"/>
        <v>0</v>
      </c>
      <c r="N10" s="189">
        <f t="shared" ca="1" si="3"/>
        <v>0</v>
      </c>
      <c r="O10" s="189">
        <f t="shared" ca="1" si="4"/>
        <v>951923</v>
      </c>
      <c r="P10" s="189">
        <f t="shared" ca="1" si="5"/>
        <v>433654</v>
      </c>
      <c r="Q10" s="190">
        <f t="shared" ca="1" si="6"/>
        <v>2488221</v>
      </c>
      <c r="R10" s="79">
        <f ca="1">Q10</f>
        <v>2488221</v>
      </c>
      <c r="S10" s="191">
        <v>0</v>
      </c>
    </row>
  </sheetData>
  <mergeCells count="7">
    <mergeCell ref="Q1:Q2"/>
    <mergeCell ref="R1:R2"/>
    <mergeCell ref="S1:S2"/>
    <mergeCell ref="A1:A2"/>
    <mergeCell ref="B1:B2"/>
    <mergeCell ref="C1:C2"/>
    <mergeCell ref="D1:D2"/>
  </mergeCells>
  <conditionalFormatting sqref="A1 A3">
    <cfRule type="duplicateValues" dxfId="58" priority="1327763"/>
  </conditionalFormatting>
  <conditionalFormatting sqref="A4:A10">
    <cfRule type="duplicateValues" dxfId="57" priority="1"/>
  </conditionalFormatting>
  <dataValidations disablePrompts="1" count="1">
    <dataValidation allowBlank="1" showErrorMessage="1" sqref="A1" xr:uid="{5D37A229-345D-4949-A358-7EF1499B2835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I17"/>
  <sheetViews>
    <sheetView zoomScaleNormal="100" zoomScaleSheetLayoutView="82" workbookViewId="0">
      <pane xSplit="3" ySplit="1" topLeftCell="D2" activePane="bottomRight" state="frozen"/>
      <selection activeCell="C13" sqref="C13"/>
      <selection pane="topRight" activeCell="C13" sqref="C13"/>
      <selection pane="bottomLeft" activeCell="C13" sqref="C13"/>
      <selection pane="bottomRight" activeCell="F2" sqref="F2"/>
    </sheetView>
  </sheetViews>
  <sheetFormatPr baseColWidth="10" defaultColWidth="9" defaultRowHeight="12"/>
  <cols>
    <col min="1" max="1" width="12.83203125" style="85" customWidth="1"/>
    <col min="2" max="2" width="19.1640625" style="85" customWidth="1"/>
    <col min="3" max="3" width="17.5" style="86" customWidth="1"/>
    <col min="4" max="4" width="17.5" style="85" customWidth="1"/>
    <col min="5" max="5" width="12.5" style="87" customWidth="1"/>
    <col min="6" max="6" width="17.33203125" style="87" customWidth="1"/>
    <col min="7" max="7" width="15.83203125" style="85" customWidth="1"/>
    <col min="8" max="8" width="15" style="85" customWidth="1"/>
    <col min="9" max="203" width="9" style="85"/>
    <col min="204" max="204" width="3.5" style="85" customWidth="1"/>
    <col min="205" max="205" width="19.1640625" style="85" customWidth="1"/>
    <col min="206" max="206" width="10.1640625" style="85" customWidth="1"/>
    <col min="207" max="207" width="10.6640625" style="85" customWidth="1"/>
    <col min="208" max="208" width="8.33203125" style="85" customWidth="1"/>
    <col min="209" max="209" width="8.6640625" style="85" customWidth="1"/>
    <col min="210" max="210" width="6.33203125" style="85" customWidth="1"/>
    <col min="211" max="211" width="7.1640625" style="85" customWidth="1"/>
    <col min="212" max="212" width="5.6640625" style="85" customWidth="1"/>
    <col min="213" max="213" width="5.83203125" style="85" customWidth="1"/>
    <col min="214" max="214" width="5.33203125" style="85" customWidth="1"/>
    <col min="215" max="215" width="6" style="85" customWidth="1"/>
    <col min="216" max="216" width="6.5" style="85" customWidth="1"/>
    <col min="217" max="217" width="6.1640625" style="85" customWidth="1"/>
    <col min="218" max="220" width="6.5" style="85" customWidth="1"/>
    <col min="221" max="221" width="7.1640625" style="85" customWidth="1"/>
    <col min="222" max="222" width="7.83203125" style="85" customWidth="1"/>
    <col min="223" max="223" width="5.5" style="85" customWidth="1"/>
    <col min="224" max="224" width="8.83203125" style="85" customWidth="1"/>
    <col min="225" max="225" width="12.5" style="85" customWidth="1"/>
    <col min="226" max="226" width="13.5" style="85" customWidth="1"/>
    <col min="227" max="228" width="7.5" style="85" customWidth="1"/>
    <col min="229" max="229" width="6" style="85" customWidth="1"/>
    <col min="230" max="230" width="8.5" style="85" customWidth="1"/>
    <col min="231" max="231" width="7.1640625" style="85" customWidth="1"/>
    <col min="232" max="16384" width="9" style="85"/>
  </cols>
  <sheetData>
    <row r="1" spans="1:9" s="80" customFormat="1" ht="54" customHeight="1">
      <c r="A1" s="204" t="s">
        <v>27</v>
      </c>
      <c r="B1" s="205" t="s">
        <v>28</v>
      </c>
      <c r="C1" s="206" t="s">
        <v>51</v>
      </c>
      <c r="D1" s="207" t="s">
        <v>117</v>
      </c>
      <c r="E1" s="208" t="s">
        <v>32</v>
      </c>
      <c r="F1" s="208" t="s">
        <v>184</v>
      </c>
      <c r="G1" s="208" t="s">
        <v>185</v>
      </c>
      <c r="H1" s="208" t="s">
        <v>186</v>
      </c>
    </row>
    <row r="2" spans="1:9" s="84" customFormat="1" ht="15.75" customHeight="1">
      <c r="A2" s="216" t="s">
        <v>180</v>
      </c>
      <c r="B2" s="217" t="s">
        <v>178</v>
      </c>
      <c r="C2" s="218">
        <v>43466</v>
      </c>
      <c r="D2" s="197">
        <f>IFERROR(VLOOKUP(A2,'Template Payroll'!$B$5:$J$12,9,0),0)</f>
        <v>47000000</v>
      </c>
      <c r="E2" s="219">
        <v>2</v>
      </c>
      <c r="F2" s="220">
        <f t="shared" ref="F2:F9" si="0">ROUND((D2/26/8)*30%*E2,0)</f>
        <v>135577</v>
      </c>
      <c r="G2" s="221">
        <f>F2-H2</f>
        <v>0</v>
      </c>
      <c r="H2" s="221">
        <f>F2</f>
        <v>135577</v>
      </c>
      <c r="I2" s="212"/>
    </row>
    <row r="3" spans="1:9" s="84" customFormat="1" ht="15.75" customHeight="1">
      <c r="A3" s="81" t="s">
        <v>181</v>
      </c>
      <c r="B3" s="209" t="s">
        <v>179</v>
      </c>
      <c r="C3" s="82">
        <v>43831</v>
      </c>
      <c r="D3" s="183">
        <f>IFERROR(VLOOKUP(A3,'Template Payroll'!$B$5:$J$12,9,0),0)</f>
        <v>31000000</v>
      </c>
      <c r="E3" s="210">
        <v>3</v>
      </c>
      <c r="F3" s="83">
        <f t="shared" si="0"/>
        <v>134135</v>
      </c>
      <c r="G3" s="211">
        <f t="shared" ref="G3:G9" si="1">F3-H3</f>
        <v>0</v>
      </c>
      <c r="H3" s="211">
        <f t="shared" ref="H3:H9" si="2">F3</f>
        <v>134135</v>
      </c>
      <c r="I3" s="212"/>
    </row>
    <row r="4" spans="1:9" s="84" customFormat="1" ht="15.75" customHeight="1">
      <c r="A4" s="81" t="s">
        <v>158</v>
      </c>
      <c r="B4" s="209" t="s">
        <v>193</v>
      </c>
      <c r="C4" s="82">
        <v>44197</v>
      </c>
      <c r="D4" s="183">
        <f>IFERROR(VLOOKUP(A4,'Template Payroll'!$B$5:$J$12,9,0),0)</f>
        <v>10448000</v>
      </c>
      <c r="E4" s="210">
        <v>4</v>
      </c>
      <c r="F4" s="83">
        <f t="shared" si="0"/>
        <v>60277</v>
      </c>
      <c r="G4" s="211">
        <f t="shared" si="1"/>
        <v>0</v>
      </c>
      <c r="H4" s="211">
        <f t="shared" si="2"/>
        <v>60277</v>
      </c>
      <c r="I4" s="212"/>
    </row>
    <row r="5" spans="1:9" s="84" customFormat="1" ht="15.75" customHeight="1">
      <c r="A5" s="81" t="s">
        <v>159</v>
      </c>
      <c r="B5" s="209" t="s">
        <v>194</v>
      </c>
      <c r="C5" s="82">
        <v>44562</v>
      </c>
      <c r="D5" s="183">
        <f>IFERROR(VLOOKUP(A5,'Template Payroll'!$B$5:$J$12,9,0),0)</f>
        <v>8000000</v>
      </c>
      <c r="E5" s="210">
        <v>1.5</v>
      </c>
      <c r="F5" s="83">
        <f t="shared" si="0"/>
        <v>17308</v>
      </c>
      <c r="G5" s="211">
        <f t="shared" si="1"/>
        <v>0</v>
      </c>
      <c r="H5" s="211">
        <f t="shared" si="2"/>
        <v>17308</v>
      </c>
      <c r="I5" s="212"/>
    </row>
    <row r="6" spans="1:9" ht="14">
      <c r="A6" s="81" t="s">
        <v>160</v>
      </c>
      <c r="B6" s="209" t="s">
        <v>195</v>
      </c>
      <c r="C6" s="82">
        <v>45740</v>
      </c>
      <c r="D6" s="183">
        <f>IFERROR(VLOOKUP(A6,'Template Payroll'!$B$5:$J$12,9,0),0)</f>
        <v>8500000</v>
      </c>
      <c r="E6" s="210">
        <v>0.5</v>
      </c>
      <c r="F6" s="83">
        <f t="shared" si="0"/>
        <v>6130</v>
      </c>
      <c r="G6" s="211">
        <f t="shared" si="1"/>
        <v>0</v>
      </c>
      <c r="H6" s="211">
        <f t="shared" si="2"/>
        <v>6130</v>
      </c>
      <c r="I6" s="213"/>
    </row>
    <row r="7" spans="1:9" ht="14">
      <c r="A7" s="81" t="s">
        <v>161</v>
      </c>
      <c r="B7" s="209" t="s">
        <v>196</v>
      </c>
      <c r="C7" s="82">
        <v>44927</v>
      </c>
      <c r="D7" s="183">
        <f>IFERROR(VLOOKUP(A7,'Template Payroll'!$B$5:$J$12,9,0),0)</f>
        <v>7056000</v>
      </c>
      <c r="E7" s="210">
        <v>1</v>
      </c>
      <c r="F7" s="83">
        <f t="shared" si="0"/>
        <v>10177</v>
      </c>
      <c r="G7" s="211">
        <f t="shared" si="1"/>
        <v>0</v>
      </c>
      <c r="H7" s="211">
        <f t="shared" si="2"/>
        <v>10177</v>
      </c>
      <c r="I7" s="213"/>
    </row>
    <row r="8" spans="1:9" ht="14">
      <c r="A8" s="81" t="s">
        <v>162</v>
      </c>
      <c r="B8" s="209" t="s">
        <v>197</v>
      </c>
      <c r="C8" s="82">
        <v>45292</v>
      </c>
      <c r="D8" s="183">
        <f>IFERROR(VLOOKUP(A8,'Template Payroll'!$B$5:$J$12,9,0),0)</f>
        <v>6841000</v>
      </c>
      <c r="E8" s="210">
        <v>5</v>
      </c>
      <c r="F8" s="83">
        <f t="shared" si="0"/>
        <v>49334</v>
      </c>
      <c r="G8" s="211">
        <f t="shared" si="1"/>
        <v>0</v>
      </c>
      <c r="H8" s="211">
        <f t="shared" si="2"/>
        <v>49334</v>
      </c>
      <c r="I8" s="213"/>
    </row>
    <row r="9" spans="1:9" ht="14">
      <c r="A9" s="81" t="s">
        <v>182</v>
      </c>
      <c r="B9" s="209" t="s">
        <v>198</v>
      </c>
      <c r="C9" s="82">
        <v>45738</v>
      </c>
      <c r="D9" s="183">
        <f>IFERROR(VLOOKUP(A9,'Template Payroll'!$B$5:$J$12,9,0),0)</f>
        <v>11000000</v>
      </c>
      <c r="E9" s="210">
        <v>6</v>
      </c>
      <c r="F9" s="83">
        <f t="shared" si="0"/>
        <v>95192</v>
      </c>
      <c r="G9" s="211">
        <f t="shared" si="1"/>
        <v>0</v>
      </c>
      <c r="H9" s="211">
        <f t="shared" si="2"/>
        <v>95192</v>
      </c>
      <c r="I9" s="213"/>
    </row>
    <row r="10" spans="1:9">
      <c r="A10" s="213"/>
      <c r="B10" s="213"/>
      <c r="C10" s="214"/>
      <c r="D10" s="213"/>
      <c r="E10" s="215"/>
      <c r="F10" s="215"/>
      <c r="G10" s="213"/>
      <c r="H10" s="213"/>
      <c r="I10" s="213"/>
    </row>
    <row r="11" spans="1:9">
      <c r="A11" s="213"/>
      <c r="B11" s="213"/>
      <c r="C11" s="214"/>
      <c r="D11" s="213"/>
      <c r="E11" s="215"/>
      <c r="F11" s="215"/>
      <c r="G11" s="213"/>
      <c r="H11" s="213"/>
      <c r="I11" s="213"/>
    </row>
    <row r="12" spans="1:9">
      <c r="A12" s="213"/>
      <c r="B12" s="213"/>
      <c r="C12" s="214"/>
      <c r="D12" s="213"/>
      <c r="E12" s="215"/>
      <c r="F12" s="215"/>
      <c r="G12" s="213"/>
      <c r="H12" s="213"/>
      <c r="I12" s="213"/>
    </row>
    <row r="13" spans="1:9">
      <c r="A13" s="213"/>
      <c r="B13" s="213"/>
      <c r="C13" s="214"/>
      <c r="D13" s="213"/>
      <c r="E13" s="215"/>
      <c r="F13" s="215"/>
      <c r="G13" s="213"/>
      <c r="H13" s="213"/>
      <c r="I13" s="213"/>
    </row>
    <row r="14" spans="1:9">
      <c r="A14" s="213"/>
      <c r="B14" s="213"/>
      <c r="C14" s="214"/>
      <c r="D14" s="213"/>
      <c r="E14" s="215"/>
      <c r="F14" s="215"/>
      <c r="G14" s="213"/>
      <c r="H14" s="213"/>
      <c r="I14" s="213"/>
    </row>
    <row r="15" spans="1:9">
      <c r="A15" s="213"/>
      <c r="B15" s="213"/>
      <c r="C15" s="214"/>
      <c r="D15" s="213"/>
      <c r="E15" s="215"/>
      <c r="F15" s="215"/>
      <c r="G15" s="213"/>
      <c r="H15" s="213"/>
      <c r="I15" s="213"/>
    </row>
    <row r="16" spans="1:9">
      <c r="A16" s="213"/>
      <c r="B16" s="213"/>
      <c r="C16" s="214"/>
      <c r="D16" s="213"/>
      <c r="E16" s="215"/>
      <c r="F16" s="215"/>
      <c r="G16" s="213"/>
      <c r="H16" s="213"/>
      <c r="I16" s="213"/>
    </row>
    <row r="17" spans="1:9">
      <c r="A17" s="213"/>
      <c r="B17" s="213"/>
      <c r="C17" s="214"/>
      <c r="D17" s="213"/>
      <c r="E17" s="215"/>
      <c r="F17" s="215"/>
      <c r="G17" s="213"/>
      <c r="H17" s="213"/>
      <c r="I17" s="213"/>
    </row>
  </sheetData>
  <sheetProtection selectLockedCells="1" selectUnlockedCells="1"/>
  <autoFilter ref="A1:F5" xr:uid="{00000000-0009-0000-0000-000015000000}"/>
  <conditionalFormatting sqref="A1 A10:A1048576">
    <cfRule type="duplicateValues" dxfId="56" priority="5"/>
    <cfRule type="duplicateValues" dxfId="55" priority="1327759"/>
    <cfRule type="duplicateValues" dxfId="54" priority="188942"/>
    <cfRule type="duplicateValues" dxfId="53" priority="1327760"/>
  </conditionalFormatting>
  <conditionalFormatting sqref="A2:A9">
    <cfRule type="duplicateValues" dxfId="52" priority="4"/>
    <cfRule type="duplicateValues" dxfId="51" priority="3"/>
    <cfRule type="duplicateValues" dxfId="50" priority="2"/>
    <cfRule type="duplicateValues" dxfId="49" priority="1"/>
  </conditionalFormatting>
  <dataValidations count="1">
    <dataValidation allowBlank="1" showErrorMessage="1" sqref="A1" xr:uid="{19C8CAD4-1B3F-F74D-B46E-D5BD45F91331}"/>
  </dataValidations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P34"/>
  <sheetViews>
    <sheetView zoomScale="90" zoomScaleNormal="90" workbookViewId="0">
      <selection activeCell="E1" sqref="E1:E3"/>
    </sheetView>
  </sheetViews>
  <sheetFormatPr baseColWidth="10" defaultColWidth="9.1640625" defaultRowHeight="15"/>
  <cols>
    <col min="1" max="1" width="7.5" style="250" customWidth="1"/>
    <col min="2" max="2" width="13.5" style="250" customWidth="1"/>
    <col min="3" max="3" width="27.83203125" style="250" customWidth="1"/>
    <col min="4" max="4" width="21" style="250" customWidth="1"/>
    <col min="5" max="5" width="22.5" style="250" customWidth="1"/>
    <col min="6" max="6" width="15" style="250" customWidth="1"/>
    <col min="7" max="7" width="13.33203125" style="250" customWidth="1"/>
    <col min="8" max="8" width="16.5" style="250" customWidth="1"/>
    <col min="9" max="9" width="19.6640625" style="250" customWidth="1"/>
    <col min="10" max="10" width="10.5" style="250" customWidth="1"/>
    <col min="11" max="11" width="6.6640625" style="250" customWidth="1"/>
    <col min="12" max="12" width="11.33203125" style="250" bestFit="1" customWidth="1"/>
    <col min="13" max="14" width="12.5" style="250" customWidth="1"/>
    <col min="15" max="15" width="13" style="250" customWidth="1"/>
    <col min="16" max="16" width="12.83203125" style="250" customWidth="1"/>
    <col min="17" max="16384" width="9.1640625" style="250"/>
  </cols>
  <sheetData>
    <row r="1" spans="1:12" ht="8.25" customHeight="1">
      <c r="A1" s="356" t="s">
        <v>9</v>
      </c>
      <c r="B1" s="356" t="s">
        <v>27</v>
      </c>
      <c r="C1" s="356" t="s">
        <v>11</v>
      </c>
      <c r="D1" s="356" t="s">
        <v>168</v>
      </c>
      <c r="E1" s="356" t="s">
        <v>169</v>
      </c>
      <c r="F1" s="356" t="s">
        <v>97</v>
      </c>
    </row>
    <row r="2" spans="1:12">
      <c r="A2" s="356"/>
      <c r="B2" s="356"/>
      <c r="C2" s="356"/>
      <c r="D2" s="356"/>
      <c r="E2" s="356"/>
      <c r="F2" s="356"/>
    </row>
    <row r="3" spans="1:12" ht="8.25" customHeight="1">
      <c r="A3" s="356"/>
      <c r="B3" s="356"/>
      <c r="C3" s="356"/>
      <c r="D3" s="356"/>
      <c r="E3" s="356"/>
      <c r="F3" s="356"/>
    </row>
    <row r="4" spans="1:12" ht="18" customHeight="1">
      <c r="A4" s="282">
        <v>1</v>
      </c>
      <c r="B4" s="283" t="s">
        <v>158</v>
      </c>
      <c r="C4" s="166" t="s">
        <v>192</v>
      </c>
      <c r="D4" s="284">
        <v>2000000</v>
      </c>
      <c r="E4" s="285">
        <f>VLOOKUP($B4,'TimeTB 2'!$B$4:$P$11,14,0)</f>
        <v>0</v>
      </c>
      <c r="F4" s="284">
        <f>D4/26*E4</f>
        <v>0</v>
      </c>
    </row>
    <row r="5" spans="1:12" ht="16">
      <c r="A5" s="252"/>
      <c r="B5" s="252"/>
      <c r="C5" s="252"/>
      <c r="D5" s="275"/>
      <c r="E5" s="241"/>
      <c r="F5" s="253">
        <f>E5*D5</f>
        <v>0</v>
      </c>
    </row>
    <row r="6" spans="1:12" ht="26.25" customHeight="1">
      <c r="A6" s="276" t="s">
        <v>83</v>
      </c>
      <c r="B6" s="277"/>
      <c r="C6" s="277"/>
      <c r="D6" s="277"/>
    </row>
    <row r="7" spans="1:12" ht="34">
      <c r="A7" s="254" t="s">
        <v>9</v>
      </c>
      <c r="B7" s="255" t="s">
        <v>10</v>
      </c>
      <c r="C7" s="255" t="s">
        <v>11</v>
      </c>
      <c r="D7" s="256" t="s">
        <v>78</v>
      </c>
      <c r="E7" s="256" t="s">
        <v>73</v>
      </c>
      <c r="F7" s="257" t="s">
        <v>97</v>
      </c>
    </row>
    <row r="8" spans="1:12" ht="16">
      <c r="A8" s="255">
        <v>1</v>
      </c>
      <c r="B8" s="251" t="s">
        <v>159</v>
      </c>
      <c r="C8" s="55" t="s">
        <v>193</v>
      </c>
      <c r="D8" s="242">
        <v>500000</v>
      </c>
      <c r="E8" s="242"/>
      <c r="F8" s="243">
        <f t="shared" ref="F8:F9" si="0">D8+E8</f>
        <v>500000</v>
      </c>
    </row>
    <row r="9" spans="1:12" ht="16">
      <c r="A9" s="255">
        <f t="shared" ref="A9" si="1">1+A8</f>
        <v>2</v>
      </c>
      <c r="B9" s="251" t="s">
        <v>160</v>
      </c>
      <c r="C9" s="55" t="s">
        <v>194</v>
      </c>
      <c r="D9" s="242">
        <v>500000</v>
      </c>
      <c r="E9" s="242"/>
      <c r="F9" s="243">
        <f t="shared" si="0"/>
        <v>500000</v>
      </c>
    </row>
    <row r="10" spans="1:12" ht="9" customHeight="1"/>
    <row r="11" spans="1:12" ht="9" customHeight="1"/>
    <row r="12" spans="1:12" ht="36" customHeight="1">
      <c r="A12" s="278" t="s">
        <v>116</v>
      </c>
      <c r="B12" s="258"/>
      <c r="C12" s="258"/>
      <c r="D12" s="258"/>
      <c r="E12" s="258"/>
      <c r="F12" s="258"/>
    </row>
    <row r="13" spans="1:12" ht="21.75" customHeight="1">
      <c r="A13" s="259" t="s">
        <v>9</v>
      </c>
      <c r="B13" s="260" t="s">
        <v>68</v>
      </c>
      <c r="C13" s="261" t="s">
        <v>31</v>
      </c>
      <c r="D13" s="244" t="s">
        <v>76</v>
      </c>
      <c r="E13" s="262" t="s">
        <v>77</v>
      </c>
      <c r="F13" s="245" t="s">
        <v>97</v>
      </c>
    </row>
    <row r="14" spans="1:12" ht="16">
      <c r="A14" s="263"/>
      <c r="B14" s="180"/>
      <c r="C14" s="246"/>
      <c r="D14" s="247"/>
      <c r="E14" s="264"/>
      <c r="F14" s="248"/>
      <c r="H14" s="265"/>
      <c r="I14" s="266"/>
      <c r="L14" s="265"/>
    </row>
    <row r="15" spans="1:12" ht="16">
      <c r="A15" s="263"/>
      <c r="B15" s="180"/>
      <c r="C15" s="246"/>
      <c r="D15" s="247"/>
      <c r="E15" s="264"/>
      <c r="F15" s="248"/>
      <c r="H15" s="265"/>
      <c r="L15" s="265"/>
    </row>
    <row r="16" spans="1:12" ht="16">
      <c r="A16" s="263"/>
      <c r="B16" s="180"/>
      <c r="C16" s="246"/>
      <c r="D16" s="247"/>
      <c r="E16" s="267"/>
      <c r="F16" s="249"/>
      <c r="H16" s="265"/>
      <c r="L16" s="265"/>
    </row>
    <row r="17" spans="1:16" ht="16">
      <c r="A17" s="263"/>
      <c r="B17" s="180"/>
      <c r="C17" s="246"/>
      <c r="D17" s="247"/>
      <c r="E17" s="267"/>
      <c r="F17" s="249"/>
      <c r="H17" s="265"/>
      <c r="L17" s="265"/>
    </row>
    <row r="18" spans="1:16" ht="16">
      <c r="A18" s="263"/>
      <c r="B18" s="180"/>
      <c r="C18" s="246"/>
      <c r="D18" s="247"/>
      <c r="E18" s="267"/>
      <c r="F18" s="249"/>
      <c r="H18" s="265"/>
      <c r="L18" s="265"/>
    </row>
    <row r="19" spans="1:16" ht="16">
      <c r="A19" s="263"/>
      <c r="B19" s="279"/>
      <c r="C19" s="246"/>
      <c r="D19" s="247"/>
      <c r="E19" s="268"/>
      <c r="F19" s="249"/>
      <c r="H19" s="265"/>
      <c r="L19" s="265"/>
    </row>
    <row r="20" spans="1:16" ht="16">
      <c r="A20" s="263"/>
      <c r="B20" s="279"/>
      <c r="C20" s="246"/>
      <c r="D20" s="247"/>
      <c r="E20" s="268"/>
      <c r="F20" s="249"/>
      <c r="H20" s="265"/>
      <c r="L20" s="265"/>
    </row>
    <row r="21" spans="1:16" ht="16">
      <c r="A21" s="263"/>
      <c r="B21" s="279"/>
      <c r="C21" s="246"/>
      <c r="D21" s="247"/>
      <c r="E21" s="268"/>
      <c r="F21" s="249"/>
      <c r="H21" s="265"/>
      <c r="L21" s="265"/>
    </row>
    <row r="22" spans="1:16" ht="16">
      <c r="A22" s="263">
        <f>ROW()-85</f>
        <v>-63</v>
      </c>
      <c r="B22" s="279"/>
      <c r="C22" s="246" t="e">
        <f>VLOOKUP($B22,#REF!,3,0)</f>
        <v>#REF!</v>
      </c>
      <c r="D22" s="247">
        <f>IFERROR(VLOOKUP(B22,#REF!,81,0),0)</f>
        <v>0</v>
      </c>
      <c r="E22" s="268"/>
      <c r="F22" s="249">
        <f>ROUND((D22/26*E22),0)</f>
        <v>0</v>
      </c>
      <c r="G22" s="250" t="e">
        <f>VLOOKUP(B22,#REF!,74,0)</f>
        <v>#REF!</v>
      </c>
      <c r="H22" s="265" t="e">
        <f>G22-E22</f>
        <v>#REF!</v>
      </c>
      <c r="L22" s="265"/>
    </row>
    <row r="23" spans="1:16" ht="16">
      <c r="A23" s="263">
        <f>ROW()-85</f>
        <v>-62</v>
      </c>
      <c r="B23" s="180"/>
      <c r="C23" s="246" t="e">
        <f>VLOOKUP($B23,#REF!,3,0)</f>
        <v>#REF!</v>
      </c>
      <c r="D23" s="247">
        <f>IFERROR(VLOOKUP(B23,#REF!,81,0),0)</f>
        <v>0</v>
      </c>
      <c r="E23" s="269"/>
      <c r="F23" s="249">
        <f>ROUND((D23/26*E23),0)</f>
        <v>0</v>
      </c>
      <c r="G23" s="250" t="e">
        <f>VLOOKUP(B23,#REF!,74,0)</f>
        <v>#REF!</v>
      </c>
      <c r="H23" s="265" t="e">
        <f>G23-E23</f>
        <v>#REF!</v>
      </c>
      <c r="L23" s="265"/>
    </row>
    <row r="24" spans="1:16" ht="16">
      <c r="A24" s="263">
        <f>ROW()-85</f>
        <v>-61</v>
      </c>
      <c r="B24" s="180"/>
      <c r="C24" s="246" t="e">
        <f>VLOOKUP($B24,#REF!,3,0)</f>
        <v>#REF!</v>
      </c>
      <c r="D24" s="247">
        <f>IFERROR(VLOOKUP(B24,#REF!,81,0),0)</f>
        <v>0</v>
      </c>
      <c r="E24" s="267"/>
      <c r="F24" s="249">
        <f>ROUND((D24/26*E24),0)</f>
        <v>0</v>
      </c>
      <c r="G24" s="250" t="e">
        <f>VLOOKUP(B24,#REF!,74,0)</f>
        <v>#REF!</v>
      </c>
      <c r="H24" s="265" t="e">
        <f>G24-E24</f>
        <v>#REF!</v>
      </c>
      <c r="L24" s="265"/>
    </row>
    <row r="25" spans="1:16" ht="16">
      <c r="A25" s="263">
        <f>ROW()-85</f>
        <v>-60</v>
      </c>
      <c r="B25" s="180"/>
      <c r="C25" s="246" t="e">
        <f>VLOOKUP($B25,#REF!,3,0)</f>
        <v>#REF!</v>
      </c>
      <c r="D25" s="247">
        <f>IFERROR(VLOOKUP(B25,#REF!,81,0),0)</f>
        <v>0</v>
      </c>
      <c r="E25" s="267"/>
      <c r="F25" s="249">
        <f>ROUND((D25/26*E25),0)</f>
        <v>0</v>
      </c>
      <c r="G25" s="250" t="e">
        <f>VLOOKUP(B25,#REF!,74,0)</f>
        <v>#REF!</v>
      </c>
      <c r="H25" s="265" t="e">
        <f>G25-E25</f>
        <v>#REF!</v>
      </c>
    </row>
    <row r="26" spans="1:16" ht="16">
      <c r="A26" s="263">
        <f>ROW()-85</f>
        <v>-59</v>
      </c>
      <c r="B26" s="180"/>
      <c r="C26" s="246"/>
      <c r="D26" s="247"/>
      <c r="E26" s="269"/>
      <c r="F26" s="249"/>
    </row>
    <row r="27" spans="1:16" ht="24.75" customHeight="1">
      <c r="A27" s="270"/>
      <c r="B27" s="271"/>
      <c r="C27" s="270" t="s">
        <v>53</v>
      </c>
      <c r="D27" s="272"/>
      <c r="E27" s="280">
        <f>SUM(E14:E26)</f>
        <v>0</v>
      </c>
      <c r="F27" s="281">
        <f>SUM(F14:F26)</f>
        <v>0</v>
      </c>
    </row>
    <row r="30" spans="1:16" ht="21.75" customHeight="1"/>
    <row r="31" spans="1:16" ht="19.5" customHeight="1">
      <c r="G31" s="273"/>
      <c r="H31" s="273"/>
      <c r="I31" s="273"/>
      <c r="J31" s="273"/>
      <c r="K31" s="273"/>
      <c r="L31" s="273"/>
      <c r="M31" s="273"/>
      <c r="N31" s="273"/>
      <c r="O31" s="273"/>
      <c r="P31" s="273"/>
    </row>
    <row r="32" spans="1:16" ht="19">
      <c r="G32" s="273"/>
      <c r="H32" s="273"/>
      <c r="I32" s="273"/>
      <c r="J32" s="273"/>
      <c r="K32" s="273"/>
      <c r="L32" s="274"/>
      <c r="M32" s="274"/>
      <c r="N32" s="274"/>
      <c r="O32" s="274"/>
      <c r="P32" s="274"/>
    </row>
    <row r="33" spans="7:16" ht="19">
      <c r="G33" s="273"/>
      <c r="H33" s="273"/>
      <c r="I33" s="273"/>
      <c r="J33" s="273"/>
      <c r="K33" s="273"/>
      <c r="L33" s="274"/>
      <c r="M33" s="274"/>
      <c r="N33" s="274"/>
      <c r="O33" s="274"/>
      <c r="P33" s="274"/>
    </row>
    <row r="34" spans="7:16" ht="19">
      <c r="G34" s="273"/>
      <c r="H34" s="273"/>
      <c r="I34" s="273"/>
      <c r="J34" s="273"/>
      <c r="K34" s="273"/>
      <c r="L34" s="274"/>
      <c r="M34" s="274"/>
      <c r="N34" s="274"/>
      <c r="O34" s="274"/>
      <c r="P34" s="274"/>
    </row>
  </sheetData>
  <autoFilter ref="A7:F9" xr:uid="{00000000-0009-0000-0000-00001A000000}"/>
  <mergeCells count="6">
    <mergeCell ref="E1:E3"/>
    <mergeCell ref="F1:F3"/>
    <mergeCell ref="A1:A3"/>
    <mergeCell ref="B1:B3"/>
    <mergeCell ref="C1:C3"/>
    <mergeCell ref="D1:D3"/>
  </mergeCells>
  <pageMargins left="0.7" right="0.7" top="0.75" bottom="0.75" header="0.3" footer="0.3"/>
  <pageSetup paperSize="9" scale="68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2"/>
  <sheetViews>
    <sheetView zoomScaleNormal="100" zoomScaleSheetLayoutView="20" workbookViewId="0">
      <pane xSplit="4" ySplit="3" topLeftCell="F4" activePane="bottomRight" state="frozen"/>
      <selection activeCell="C13" sqref="C13"/>
      <selection pane="topRight" activeCell="C13" sqref="C13"/>
      <selection pane="bottomLeft" activeCell="C13" sqref="C13"/>
      <selection pane="bottomRight" activeCell="G21" sqref="G21"/>
    </sheetView>
  </sheetViews>
  <sheetFormatPr baseColWidth="10" defaultColWidth="9.1640625" defaultRowHeight="14"/>
  <cols>
    <col min="1" max="1" width="12.6640625" style="5" customWidth="1"/>
    <col min="2" max="2" width="26.83203125" style="5" customWidth="1"/>
    <col min="3" max="3" width="10.1640625" style="20" hidden="1" customWidth="1"/>
    <col min="4" max="4" width="10.1640625" style="19" hidden="1" customWidth="1"/>
    <col min="5" max="5" width="10.1640625" style="5" hidden="1" customWidth="1"/>
    <col min="6" max="6" width="18.83203125" style="5" customWidth="1"/>
    <col min="7" max="9" width="16.33203125" style="5" customWidth="1"/>
    <col min="10" max="10" width="13.6640625" style="5" customWidth="1"/>
    <col min="11" max="11" width="15.5" style="5" hidden="1" customWidth="1"/>
    <col min="12" max="12" width="11.83203125" style="5" hidden="1" customWidth="1"/>
    <col min="13" max="16384" width="9.1640625" style="5"/>
  </cols>
  <sheetData>
    <row r="1" spans="1:13" s="7" customFormat="1" ht="21.75" hidden="1" customHeight="1">
      <c r="B1" s="9">
        <v>42004</v>
      </c>
      <c r="C1" s="10">
        <v>41974</v>
      </c>
      <c r="D1" s="8"/>
      <c r="E1" s="11"/>
      <c r="F1" s="11" t="s">
        <v>1</v>
      </c>
      <c r="G1" s="24">
        <f>SUBTOTAL(9,G4:G5)</f>
        <v>4600000</v>
      </c>
      <c r="H1" s="24">
        <f>SUBTOTAL(9,H4:H5)</f>
        <v>0</v>
      </c>
      <c r="I1" s="25">
        <f>SUBTOTAL(9,I4:I5)</f>
        <v>4000000</v>
      </c>
      <c r="J1" s="24">
        <f>SUBTOTAL(9,J4:J5)</f>
        <v>600000</v>
      </c>
    </row>
    <row r="2" spans="1:13" s="13" customFormat="1" ht="20.25" hidden="1" customHeight="1">
      <c r="A2" s="12"/>
      <c r="C2" s="14">
        <v>44561</v>
      </c>
      <c r="D2" s="15"/>
      <c r="E2" s="16">
        <v>42339</v>
      </c>
      <c r="F2" s="17">
        <v>364</v>
      </c>
      <c r="G2" s="26">
        <f>SUBTOTAL(9,G4:G7)</f>
        <v>10210000</v>
      </c>
      <c r="H2" s="26">
        <f>SUBTOTAL(9,H4:H7)</f>
        <v>5610000</v>
      </c>
      <c r="I2" s="26">
        <f>SUBTOTAL(9,I4:I7)</f>
        <v>4000000</v>
      </c>
      <c r="J2" s="26">
        <f>SUBTOTAL(9,J4:J7)</f>
        <v>600000</v>
      </c>
    </row>
    <row r="3" spans="1:13" s="300" customFormat="1" ht="27.75" customHeight="1">
      <c r="A3" s="204" t="s">
        <v>27</v>
      </c>
      <c r="B3" s="295" t="s">
        <v>11</v>
      </c>
      <c r="C3" s="296" t="s">
        <v>46</v>
      </c>
      <c r="D3" s="297" t="s">
        <v>49</v>
      </c>
      <c r="E3" s="298" t="s">
        <v>12</v>
      </c>
      <c r="F3" s="298" t="s">
        <v>13</v>
      </c>
      <c r="G3" s="299" t="s">
        <v>52</v>
      </c>
      <c r="H3" s="236" t="s">
        <v>72</v>
      </c>
      <c r="I3" s="236" t="s">
        <v>55</v>
      </c>
      <c r="J3" s="236" t="s">
        <v>54</v>
      </c>
      <c r="K3" s="230"/>
      <c r="L3" s="230"/>
      <c r="M3" s="230"/>
    </row>
    <row r="4" spans="1:13" s="18" customFormat="1" ht="15.75" customHeight="1">
      <c r="A4" s="237" t="s">
        <v>161</v>
      </c>
      <c r="B4" s="238" t="s">
        <v>196</v>
      </c>
      <c r="C4" s="239"/>
      <c r="D4" s="239"/>
      <c r="E4" s="238"/>
      <c r="F4" s="238" t="s">
        <v>59</v>
      </c>
      <c r="G4" s="240">
        <f t="shared" ref="G4:G6" si="0">ROUND(SUM($H4:$J4),0)</f>
        <v>2000000</v>
      </c>
      <c r="H4" s="240">
        <v>0</v>
      </c>
      <c r="I4" s="240">
        <v>2000000</v>
      </c>
      <c r="J4" s="240">
        <v>0</v>
      </c>
      <c r="K4" s="234" t="e">
        <f>VLOOKUP(A4,#REF!,36,0)</f>
        <v>#REF!</v>
      </c>
      <c r="L4" s="235" t="e">
        <f>K4=G4</f>
        <v>#REF!</v>
      </c>
      <c r="M4" s="234"/>
    </row>
    <row r="5" spans="1:13" s="18" customFormat="1" ht="15.75" customHeight="1">
      <c r="A5" s="222" t="s">
        <v>162</v>
      </c>
      <c r="B5" s="223" t="s">
        <v>197</v>
      </c>
      <c r="C5" s="224"/>
      <c r="D5" s="224"/>
      <c r="E5" s="223"/>
      <c r="F5" s="223" t="s">
        <v>59</v>
      </c>
      <c r="G5" s="225">
        <f t="shared" si="0"/>
        <v>2600000</v>
      </c>
      <c r="H5" s="225">
        <v>0</v>
      </c>
      <c r="I5" s="225">
        <v>2000000</v>
      </c>
      <c r="J5" s="225">
        <v>600000</v>
      </c>
      <c r="K5" s="234" t="e">
        <f>VLOOKUP(A5,#REF!,36,0)</f>
        <v>#REF!</v>
      </c>
      <c r="L5" s="235" t="e">
        <f t="shared" ref="L5:L6" si="1">K5=G5</f>
        <v>#REF!</v>
      </c>
      <c r="M5" s="234"/>
    </row>
    <row r="6" spans="1:13" s="18" customFormat="1" ht="15.75" customHeight="1">
      <c r="A6" s="226" t="s">
        <v>182</v>
      </c>
      <c r="B6" s="223" t="s">
        <v>198</v>
      </c>
      <c r="C6" s="227"/>
      <c r="D6" s="227"/>
      <c r="E6" s="228"/>
      <c r="F6" s="228" t="s">
        <v>50</v>
      </c>
      <c r="G6" s="225">
        <f t="shared" si="0"/>
        <v>5610000</v>
      </c>
      <c r="H6" s="225">
        <v>5610000</v>
      </c>
      <c r="I6" s="229"/>
      <c r="J6" s="229"/>
      <c r="K6" s="234" t="e">
        <f>VLOOKUP(A6,#REF!,36,0)</f>
        <v>#REF!</v>
      </c>
      <c r="L6" s="235" t="e">
        <f t="shared" si="1"/>
        <v>#REF!</v>
      </c>
      <c r="M6" s="234"/>
    </row>
    <row r="7" spans="1:13" s="18" customFormat="1" ht="15.75" customHeight="1">
      <c r="A7" s="226"/>
      <c r="B7" s="223"/>
      <c r="C7" s="227"/>
      <c r="D7" s="227"/>
      <c r="E7" s="228"/>
      <c r="F7" s="228"/>
      <c r="G7" s="225"/>
      <c r="H7" s="225"/>
      <c r="I7" s="229"/>
      <c r="J7" s="229"/>
      <c r="K7" s="234"/>
      <c r="L7" s="235"/>
      <c r="M7" s="234"/>
    </row>
    <row r="8" spans="1:13" ht="15" customHeight="1">
      <c r="A8" s="230"/>
      <c r="B8" s="230"/>
      <c r="C8" s="231"/>
      <c r="D8" s="232"/>
      <c r="E8" s="230"/>
      <c r="F8" s="230"/>
      <c r="G8" s="230"/>
      <c r="H8" s="230"/>
      <c r="I8" s="230"/>
      <c r="J8" s="230"/>
      <c r="K8" s="230"/>
      <c r="L8" s="230"/>
      <c r="M8" s="230"/>
    </row>
    <row r="9" spans="1:13">
      <c r="A9" s="230"/>
      <c r="B9" s="230"/>
      <c r="C9" s="233"/>
      <c r="D9" s="232"/>
      <c r="E9" s="230"/>
      <c r="F9" s="230"/>
      <c r="G9" s="230"/>
      <c r="H9" s="230"/>
      <c r="I9" s="230"/>
      <c r="J9" s="230"/>
    </row>
    <row r="10" spans="1:13">
      <c r="A10" s="230"/>
      <c r="B10" s="230"/>
      <c r="C10" s="233"/>
      <c r="D10" s="232"/>
      <c r="E10" s="230"/>
      <c r="F10" s="230"/>
      <c r="G10" s="230"/>
      <c r="H10" s="230"/>
      <c r="I10" s="230"/>
      <c r="J10" s="230"/>
    </row>
    <row r="11" spans="1:13">
      <c r="A11" s="230"/>
      <c r="B11" s="230"/>
      <c r="C11" s="233"/>
      <c r="D11" s="232"/>
      <c r="E11" s="230"/>
      <c r="F11" s="230"/>
      <c r="G11" s="230"/>
      <c r="H11" s="230"/>
      <c r="I11" s="230"/>
      <c r="J11" s="230"/>
    </row>
    <row r="12" spans="1:13">
      <c r="A12" s="230"/>
      <c r="B12" s="230"/>
      <c r="C12" s="233"/>
      <c r="D12" s="232"/>
      <c r="E12" s="230"/>
      <c r="F12" s="230"/>
      <c r="G12" s="230"/>
      <c r="H12" s="230"/>
      <c r="I12" s="230"/>
      <c r="J12" s="230"/>
    </row>
  </sheetData>
  <sheetProtection selectLockedCells="1" selectUnlockedCells="1"/>
  <autoFilter ref="A3:J7" xr:uid="{00000000-0009-0000-0000-000007000000}"/>
  <phoneticPr fontId="285" type="noConversion"/>
  <conditionalFormatting sqref="A1:A1048576">
    <cfRule type="duplicateValues" dxfId="48" priority="1"/>
    <cfRule type="duplicateValues" dxfId="47" priority="1327392"/>
    <cfRule type="duplicateValues" dxfId="46" priority="320509"/>
  </conditionalFormatting>
  <conditionalFormatting sqref="A4:A5">
    <cfRule type="duplicateValues" dxfId="45" priority="1327401"/>
  </conditionalFormatting>
  <conditionalFormatting sqref="A4:A7">
    <cfRule type="duplicateValues" dxfId="44" priority="1327416"/>
  </conditionalFormatting>
  <conditionalFormatting sqref="A6:A7">
    <cfRule type="duplicateValues" dxfId="43" priority="1327411"/>
  </conditionalFormatting>
  <conditionalFormatting sqref="A8">
    <cfRule type="duplicateValues" dxfId="42" priority="1327597"/>
  </conditionalFormatting>
  <conditionalFormatting sqref="A8:A1048576 A1:A3">
    <cfRule type="duplicateValues" dxfId="41" priority="60"/>
  </conditionalFormatting>
  <conditionalFormatting sqref="A8:A1048576">
    <cfRule type="duplicateValues" dxfId="40" priority="164535"/>
    <cfRule type="duplicateValues" dxfId="39" priority="56"/>
  </conditionalFormatting>
  <conditionalFormatting sqref="A9:A1048576 A1:A3">
    <cfRule type="duplicateValues" dxfId="38" priority="1327608"/>
  </conditionalFormatting>
  <conditionalFormatting sqref="A9:A1048576">
    <cfRule type="duplicateValues" dxfId="37" priority="1327611"/>
    <cfRule type="duplicateValues" dxfId="36" priority="1327612"/>
  </conditionalFormatting>
  <dataValidations count="1">
    <dataValidation allowBlank="1" showErrorMessage="1" sqref="A3" xr:uid="{B09192F0-969E-9246-B661-6B6C32449763}"/>
  </dataValidations>
  <printOptions horizontalCentered="1"/>
  <pageMargins left="0.25" right="0" top="0.5" bottom="0.5" header="1.1805556E-2" footer="1.1805556E-2"/>
  <pageSetup paperSize="9" firstPageNumber="0" fitToHeight="0" orientation="landscape" horizontalDpi="300" verticalDpi="300" r:id="rId1"/>
  <headerFooter alignWithMargins="0">
    <oddFooter>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7"/>
  <sheetViews>
    <sheetView zoomScaleNormal="100" workbookViewId="0">
      <pane xSplit="2" ySplit="1" topLeftCell="C2" activePane="bottomRight" state="frozen"/>
      <selection activeCell="X34" sqref="X34"/>
      <selection pane="topRight" activeCell="X34" sqref="X34"/>
      <selection pane="bottomLeft" activeCell="X34" sqref="X34"/>
      <selection pane="bottomRight" activeCell="D16" sqref="D16"/>
    </sheetView>
  </sheetViews>
  <sheetFormatPr baseColWidth="10" defaultColWidth="8.83203125" defaultRowHeight="15"/>
  <cols>
    <col min="1" max="1" width="17.5" style="75" customWidth="1"/>
    <col min="2" max="2" width="30.1640625" style="75" customWidth="1"/>
    <col min="3" max="3" width="14.5" style="75" customWidth="1"/>
    <col min="4" max="4" width="14.6640625" style="75" customWidth="1"/>
    <col min="5" max="6" width="13.5" style="75" customWidth="1"/>
    <col min="7" max="7" width="15.5" style="75" customWidth="1"/>
    <col min="8" max="8" width="24.33203125" style="75" customWidth="1"/>
    <col min="9" max="248" width="9.1640625" style="75"/>
    <col min="249" max="249" width="10.33203125" style="75" bestFit="1" customWidth="1"/>
    <col min="250" max="250" width="30.1640625" style="75" bestFit="1" customWidth="1"/>
    <col min="251" max="251" width="21" style="75" customWidth="1"/>
    <col min="252" max="253" width="13.5" style="75" customWidth="1"/>
    <col min="254" max="254" width="21.83203125" style="75" bestFit="1" customWidth="1"/>
    <col min="255" max="255" width="12" style="75" customWidth="1"/>
    <col min="256" max="256" width="11.5" style="75" bestFit="1" customWidth="1"/>
    <col min="257" max="257" width="13.5" style="75" customWidth="1"/>
    <col min="258" max="258" width="15.5" style="75" customWidth="1"/>
    <col min="259" max="260" width="18.5" style="75" customWidth="1"/>
    <col min="261" max="261" width="17.83203125" style="75" customWidth="1"/>
    <col min="262" max="504" width="9.1640625" style="75"/>
    <col min="505" max="505" width="10.33203125" style="75" bestFit="1" customWidth="1"/>
    <col min="506" max="506" width="30.1640625" style="75" bestFit="1" customWidth="1"/>
    <col min="507" max="507" width="21" style="75" customWidth="1"/>
    <col min="508" max="509" width="13.5" style="75" customWidth="1"/>
    <col min="510" max="510" width="21.83203125" style="75" bestFit="1" customWidth="1"/>
    <col min="511" max="511" width="12" style="75" customWidth="1"/>
    <col min="512" max="512" width="11.5" style="75" bestFit="1" customWidth="1"/>
    <col min="513" max="513" width="13.5" style="75" customWidth="1"/>
    <col min="514" max="514" width="15.5" style="75" customWidth="1"/>
    <col min="515" max="516" width="18.5" style="75" customWidth="1"/>
    <col min="517" max="517" width="17.83203125" style="75" customWidth="1"/>
    <col min="518" max="760" width="9.1640625" style="75"/>
    <col min="761" max="761" width="10.33203125" style="75" bestFit="1" customWidth="1"/>
    <col min="762" max="762" width="30.1640625" style="75" bestFit="1" customWidth="1"/>
    <col min="763" max="763" width="21" style="75" customWidth="1"/>
    <col min="764" max="765" width="13.5" style="75" customWidth="1"/>
    <col min="766" max="766" width="21.83203125" style="75" bestFit="1" customWidth="1"/>
    <col min="767" max="767" width="12" style="75" customWidth="1"/>
    <col min="768" max="768" width="11.5" style="75" bestFit="1" customWidth="1"/>
    <col min="769" max="769" width="13.5" style="75" customWidth="1"/>
    <col min="770" max="770" width="15.5" style="75" customWidth="1"/>
    <col min="771" max="772" width="18.5" style="75" customWidth="1"/>
    <col min="773" max="773" width="17.83203125" style="75" customWidth="1"/>
    <col min="774" max="1016" width="9.1640625" style="75"/>
    <col min="1017" max="1017" width="10.33203125" style="75" bestFit="1" customWidth="1"/>
    <col min="1018" max="1018" width="30.1640625" style="75" bestFit="1" customWidth="1"/>
    <col min="1019" max="1019" width="21" style="75" customWidth="1"/>
    <col min="1020" max="1021" width="13.5" style="75" customWidth="1"/>
    <col min="1022" max="1022" width="21.83203125" style="75" bestFit="1" customWidth="1"/>
    <col min="1023" max="1023" width="12" style="75" customWidth="1"/>
    <col min="1024" max="1024" width="11.5" style="75" bestFit="1" customWidth="1"/>
    <col min="1025" max="1025" width="13.5" style="75" customWidth="1"/>
    <col min="1026" max="1026" width="15.5" style="75" customWidth="1"/>
    <col min="1027" max="1028" width="18.5" style="75" customWidth="1"/>
    <col min="1029" max="1029" width="17.83203125" style="75" customWidth="1"/>
    <col min="1030" max="1272" width="9.1640625" style="75"/>
    <col min="1273" max="1273" width="10.33203125" style="75" bestFit="1" customWidth="1"/>
    <col min="1274" max="1274" width="30.1640625" style="75" bestFit="1" customWidth="1"/>
    <col min="1275" max="1275" width="21" style="75" customWidth="1"/>
    <col min="1276" max="1277" width="13.5" style="75" customWidth="1"/>
    <col min="1278" max="1278" width="21.83203125" style="75" bestFit="1" customWidth="1"/>
    <col min="1279" max="1279" width="12" style="75" customWidth="1"/>
    <col min="1280" max="1280" width="11.5" style="75" bestFit="1" customWidth="1"/>
    <col min="1281" max="1281" width="13.5" style="75" customWidth="1"/>
    <col min="1282" max="1282" width="15.5" style="75" customWidth="1"/>
    <col min="1283" max="1284" width="18.5" style="75" customWidth="1"/>
    <col min="1285" max="1285" width="17.83203125" style="75" customWidth="1"/>
    <col min="1286" max="1528" width="9.1640625" style="75"/>
    <col min="1529" max="1529" width="10.33203125" style="75" bestFit="1" customWidth="1"/>
    <col min="1530" max="1530" width="30.1640625" style="75" bestFit="1" customWidth="1"/>
    <col min="1531" max="1531" width="21" style="75" customWidth="1"/>
    <col min="1532" max="1533" width="13.5" style="75" customWidth="1"/>
    <col min="1534" max="1534" width="21.83203125" style="75" bestFit="1" customWidth="1"/>
    <col min="1535" max="1535" width="12" style="75" customWidth="1"/>
    <col min="1536" max="1536" width="11.5" style="75" bestFit="1" customWidth="1"/>
    <col min="1537" max="1537" width="13.5" style="75" customWidth="1"/>
    <col min="1538" max="1538" width="15.5" style="75" customWidth="1"/>
    <col min="1539" max="1540" width="18.5" style="75" customWidth="1"/>
    <col min="1541" max="1541" width="17.83203125" style="75" customWidth="1"/>
    <col min="1542" max="1784" width="9.1640625" style="75"/>
    <col min="1785" max="1785" width="10.33203125" style="75" bestFit="1" customWidth="1"/>
    <col min="1786" max="1786" width="30.1640625" style="75" bestFit="1" customWidth="1"/>
    <col min="1787" max="1787" width="21" style="75" customWidth="1"/>
    <col min="1788" max="1789" width="13.5" style="75" customWidth="1"/>
    <col min="1790" max="1790" width="21.83203125" style="75" bestFit="1" customWidth="1"/>
    <col min="1791" max="1791" width="12" style="75" customWidth="1"/>
    <col min="1792" max="1792" width="11.5" style="75" bestFit="1" customWidth="1"/>
    <col min="1793" max="1793" width="13.5" style="75" customWidth="1"/>
    <col min="1794" max="1794" width="15.5" style="75" customWidth="1"/>
    <col min="1795" max="1796" width="18.5" style="75" customWidth="1"/>
    <col min="1797" max="1797" width="17.83203125" style="75" customWidth="1"/>
    <col min="1798" max="2040" width="9.1640625" style="75"/>
    <col min="2041" max="2041" width="10.33203125" style="75" bestFit="1" customWidth="1"/>
    <col min="2042" max="2042" width="30.1640625" style="75" bestFit="1" customWidth="1"/>
    <col min="2043" max="2043" width="21" style="75" customWidth="1"/>
    <col min="2044" max="2045" width="13.5" style="75" customWidth="1"/>
    <col min="2046" max="2046" width="21.83203125" style="75" bestFit="1" customWidth="1"/>
    <col min="2047" max="2047" width="12" style="75" customWidth="1"/>
    <col min="2048" max="2048" width="11.5" style="75" bestFit="1" customWidth="1"/>
    <col min="2049" max="2049" width="13.5" style="75" customWidth="1"/>
    <col min="2050" max="2050" width="15.5" style="75" customWidth="1"/>
    <col min="2051" max="2052" width="18.5" style="75" customWidth="1"/>
    <col min="2053" max="2053" width="17.83203125" style="75" customWidth="1"/>
    <col min="2054" max="2296" width="9.1640625" style="75"/>
    <col min="2297" max="2297" width="10.33203125" style="75" bestFit="1" customWidth="1"/>
    <col min="2298" max="2298" width="30.1640625" style="75" bestFit="1" customWidth="1"/>
    <col min="2299" max="2299" width="21" style="75" customWidth="1"/>
    <col min="2300" max="2301" width="13.5" style="75" customWidth="1"/>
    <col min="2302" max="2302" width="21.83203125" style="75" bestFit="1" customWidth="1"/>
    <col min="2303" max="2303" width="12" style="75" customWidth="1"/>
    <col min="2304" max="2304" width="11.5" style="75" bestFit="1" customWidth="1"/>
    <col min="2305" max="2305" width="13.5" style="75" customWidth="1"/>
    <col min="2306" max="2306" width="15.5" style="75" customWidth="1"/>
    <col min="2307" max="2308" width="18.5" style="75" customWidth="1"/>
    <col min="2309" max="2309" width="17.83203125" style="75" customWidth="1"/>
    <col min="2310" max="2552" width="9.1640625" style="75"/>
    <col min="2553" max="2553" width="10.33203125" style="75" bestFit="1" customWidth="1"/>
    <col min="2554" max="2554" width="30.1640625" style="75" bestFit="1" customWidth="1"/>
    <col min="2555" max="2555" width="21" style="75" customWidth="1"/>
    <col min="2556" max="2557" width="13.5" style="75" customWidth="1"/>
    <col min="2558" max="2558" width="21.83203125" style="75" bestFit="1" customWidth="1"/>
    <col min="2559" max="2559" width="12" style="75" customWidth="1"/>
    <col min="2560" max="2560" width="11.5" style="75" bestFit="1" customWidth="1"/>
    <col min="2561" max="2561" width="13.5" style="75" customWidth="1"/>
    <col min="2562" max="2562" width="15.5" style="75" customWidth="1"/>
    <col min="2563" max="2564" width="18.5" style="75" customWidth="1"/>
    <col min="2565" max="2565" width="17.83203125" style="75" customWidth="1"/>
    <col min="2566" max="2808" width="9.1640625" style="75"/>
    <col min="2809" max="2809" width="10.33203125" style="75" bestFit="1" customWidth="1"/>
    <col min="2810" max="2810" width="30.1640625" style="75" bestFit="1" customWidth="1"/>
    <col min="2811" max="2811" width="21" style="75" customWidth="1"/>
    <col min="2812" max="2813" width="13.5" style="75" customWidth="1"/>
    <col min="2814" max="2814" width="21.83203125" style="75" bestFit="1" customWidth="1"/>
    <col min="2815" max="2815" width="12" style="75" customWidth="1"/>
    <col min="2816" max="2816" width="11.5" style="75" bestFit="1" customWidth="1"/>
    <col min="2817" max="2817" width="13.5" style="75" customWidth="1"/>
    <col min="2818" max="2818" width="15.5" style="75" customWidth="1"/>
    <col min="2819" max="2820" width="18.5" style="75" customWidth="1"/>
    <col min="2821" max="2821" width="17.83203125" style="75" customWidth="1"/>
    <col min="2822" max="3064" width="9.1640625" style="75"/>
    <col min="3065" max="3065" width="10.33203125" style="75" bestFit="1" customWidth="1"/>
    <col min="3066" max="3066" width="30.1640625" style="75" bestFit="1" customWidth="1"/>
    <col min="3067" max="3067" width="21" style="75" customWidth="1"/>
    <col min="3068" max="3069" width="13.5" style="75" customWidth="1"/>
    <col min="3070" max="3070" width="21.83203125" style="75" bestFit="1" customWidth="1"/>
    <col min="3071" max="3071" width="12" style="75" customWidth="1"/>
    <col min="3072" max="3072" width="11.5" style="75" bestFit="1" customWidth="1"/>
    <col min="3073" max="3073" width="13.5" style="75" customWidth="1"/>
    <col min="3074" max="3074" width="15.5" style="75" customWidth="1"/>
    <col min="3075" max="3076" width="18.5" style="75" customWidth="1"/>
    <col min="3077" max="3077" width="17.83203125" style="75" customWidth="1"/>
    <col min="3078" max="3320" width="9.1640625" style="75"/>
    <col min="3321" max="3321" width="10.33203125" style="75" bestFit="1" customWidth="1"/>
    <col min="3322" max="3322" width="30.1640625" style="75" bestFit="1" customWidth="1"/>
    <col min="3323" max="3323" width="21" style="75" customWidth="1"/>
    <col min="3324" max="3325" width="13.5" style="75" customWidth="1"/>
    <col min="3326" max="3326" width="21.83203125" style="75" bestFit="1" customWidth="1"/>
    <col min="3327" max="3327" width="12" style="75" customWidth="1"/>
    <col min="3328" max="3328" width="11.5" style="75" bestFit="1" customWidth="1"/>
    <col min="3329" max="3329" width="13.5" style="75" customWidth="1"/>
    <col min="3330" max="3330" width="15.5" style="75" customWidth="1"/>
    <col min="3331" max="3332" width="18.5" style="75" customWidth="1"/>
    <col min="3333" max="3333" width="17.83203125" style="75" customWidth="1"/>
    <col min="3334" max="3576" width="9.1640625" style="75"/>
    <col min="3577" max="3577" width="10.33203125" style="75" bestFit="1" customWidth="1"/>
    <col min="3578" max="3578" width="30.1640625" style="75" bestFit="1" customWidth="1"/>
    <col min="3579" max="3579" width="21" style="75" customWidth="1"/>
    <col min="3580" max="3581" width="13.5" style="75" customWidth="1"/>
    <col min="3582" max="3582" width="21.83203125" style="75" bestFit="1" customWidth="1"/>
    <col min="3583" max="3583" width="12" style="75" customWidth="1"/>
    <col min="3584" max="3584" width="11.5" style="75" bestFit="1" customWidth="1"/>
    <col min="3585" max="3585" width="13.5" style="75" customWidth="1"/>
    <col min="3586" max="3586" width="15.5" style="75" customWidth="1"/>
    <col min="3587" max="3588" width="18.5" style="75" customWidth="1"/>
    <col min="3589" max="3589" width="17.83203125" style="75" customWidth="1"/>
    <col min="3590" max="3832" width="9.1640625" style="75"/>
    <col min="3833" max="3833" width="10.33203125" style="75" bestFit="1" customWidth="1"/>
    <col min="3834" max="3834" width="30.1640625" style="75" bestFit="1" customWidth="1"/>
    <col min="3835" max="3835" width="21" style="75" customWidth="1"/>
    <col min="3836" max="3837" width="13.5" style="75" customWidth="1"/>
    <col min="3838" max="3838" width="21.83203125" style="75" bestFit="1" customWidth="1"/>
    <col min="3839" max="3839" width="12" style="75" customWidth="1"/>
    <col min="3840" max="3840" width="11.5" style="75" bestFit="1" customWidth="1"/>
    <col min="3841" max="3841" width="13.5" style="75" customWidth="1"/>
    <col min="3842" max="3842" width="15.5" style="75" customWidth="1"/>
    <col min="3843" max="3844" width="18.5" style="75" customWidth="1"/>
    <col min="3845" max="3845" width="17.83203125" style="75" customWidth="1"/>
    <col min="3846" max="4088" width="9.1640625" style="75"/>
    <col min="4089" max="4089" width="10.33203125" style="75" bestFit="1" customWidth="1"/>
    <col min="4090" max="4090" width="30.1640625" style="75" bestFit="1" customWidth="1"/>
    <col min="4091" max="4091" width="21" style="75" customWidth="1"/>
    <col min="4092" max="4093" width="13.5" style="75" customWidth="1"/>
    <col min="4094" max="4094" width="21.83203125" style="75" bestFit="1" customWidth="1"/>
    <col min="4095" max="4095" width="12" style="75" customWidth="1"/>
    <col min="4096" max="4096" width="11.5" style="75" bestFit="1" customWidth="1"/>
    <col min="4097" max="4097" width="13.5" style="75" customWidth="1"/>
    <col min="4098" max="4098" width="15.5" style="75" customWidth="1"/>
    <col min="4099" max="4100" width="18.5" style="75" customWidth="1"/>
    <col min="4101" max="4101" width="17.83203125" style="75" customWidth="1"/>
    <col min="4102" max="4344" width="9.1640625" style="75"/>
    <col min="4345" max="4345" width="10.33203125" style="75" bestFit="1" customWidth="1"/>
    <col min="4346" max="4346" width="30.1640625" style="75" bestFit="1" customWidth="1"/>
    <col min="4347" max="4347" width="21" style="75" customWidth="1"/>
    <col min="4348" max="4349" width="13.5" style="75" customWidth="1"/>
    <col min="4350" max="4350" width="21.83203125" style="75" bestFit="1" customWidth="1"/>
    <col min="4351" max="4351" width="12" style="75" customWidth="1"/>
    <col min="4352" max="4352" width="11.5" style="75" bestFit="1" customWidth="1"/>
    <col min="4353" max="4353" width="13.5" style="75" customWidth="1"/>
    <col min="4354" max="4354" width="15.5" style="75" customWidth="1"/>
    <col min="4355" max="4356" width="18.5" style="75" customWidth="1"/>
    <col min="4357" max="4357" width="17.83203125" style="75" customWidth="1"/>
    <col min="4358" max="4600" width="9.1640625" style="75"/>
    <col min="4601" max="4601" width="10.33203125" style="75" bestFit="1" customWidth="1"/>
    <col min="4602" max="4602" width="30.1640625" style="75" bestFit="1" customWidth="1"/>
    <col min="4603" max="4603" width="21" style="75" customWidth="1"/>
    <col min="4604" max="4605" width="13.5" style="75" customWidth="1"/>
    <col min="4606" max="4606" width="21.83203125" style="75" bestFit="1" customWidth="1"/>
    <col min="4607" max="4607" width="12" style="75" customWidth="1"/>
    <col min="4608" max="4608" width="11.5" style="75" bestFit="1" customWidth="1"/>
    <col min="4609" max="4609" width="13.5" style="75" customWidth="1"/>
    <col min="4610" max="4610" width="15.5" style="75" customWidth="1"/>
    <col min="4611" max="4612" width="18.5" style="75" customWidth="1"/>
    <col min="4613" max="4613" width="17.83203125" style="75" customWidth="1"/>
    <col min="4614" max="4856" width="9.1640625" style="75"/>
    <col min="4857" max="4857" width="10.33203125" style="75" bestFit="1" customWidth="1"/>
    <col min="4858" max="4858" width="30.1640625" style="75" bestFit="1" customWidth="1"/>
    <col min="4859" max="4859" width="21" style="75" customWidth="1"/>
    <col min="4860" max="4861" width="13.5" style="75" customWidth="1"/>
    <col min="4862" max="4862" width="21.83203125" style="75" bestFit="1" customWidth="1"/>
    <col min="4863" max="4863" width="12" style="75" customWidth="1"/>
    <col min="4864" max="4864" width="11.5" style="75" bestFit="1" customWidth="1"/>
    <col min="4865" max="4865" width="13.5" style="75" customWidth="1"/>
    <col min="4866" max="4866" width="15.5" style="75" customWidth="1"/>
    <col min="4867" max="4868" width="18.5" style="75" customWidth="1"/>
    <col min="4869" max="4869" width="17.83203125" style="75" customWidth="1"/>
    <col min="4870" max="5112" width="9.1640625" style="75"/>
    <col min="5113" max="5113" width="10.33203125" style="75" bestFit="1" customWidth="1"/>
    <col min="5114" max="5114" width="30.1640625" style="75" bestFit="1" customWidth="1"/>
    <col min="5115" max="5115" width="21" style="75" customWidth="1"/>
    <col min="5116" max="5117" width="13.5" style="75" customWidth="1"/>
    <col min="5118" max="5118" width="21.83203125" style="75" bestFit="1" customWidth="1"/>
    <col min="5119" max="5119" width="12" style="75" customWidth="1"/>
    <col min="5120" max="5120" width="11.5" style="75" bestFit="1" customWidth="1"/>
    <col min="5121" max="5121" width="13.5" style="75" customWidth="1"/>
    <col min="5122" max="5122" width="15.5" style="75" customWidth="1"/>
    <col min="5123" max="5124" width="18.5" style="75" customWidth="1"/>
    <col min="5125" max="5125" width="17.83203125" style="75" customWidth="1"/>
    <col min="5126" max="5368" width="9.1640625" style="75"/>
    <col min="5369" max="5369" width="10.33203125" style="75" bestFit="1" customWidth="1"/>
    <col min="5370" max="5370" width="30.1640625" style="75" bestFit="1" customWidth="1"/>
    <col min="5371" max="5371" width="21" style="75" customWidth="1"/>
    <col min="5372" max="5373" width="13.5" style="75" customWidth="1"/>
    <col min="5374" max="5374" width="21.83203125" style="75" bestFit="1" customWidth="1"/>
    <col min="5375" max="5375" width="12" style="75" customWidth="1"/>
    <col min="5376" max="5376" width="11.5" style="75" bestFit="1" customWidth="1"/>
    <col min="5377" max="5377" width="13.5" style="75" customWidth="1"/>
    <col min="5378" max="5378" width="15.5" style="75" customWidth="1"/>
    <col min="5379" max="5380" width="18.5" style="75" customWidth="1"/>
    <col min="5381" max="5381" width="17.83203125" style="75" customWidth="1"/>
    <col min="5382" max="5624" width="9.1640625" style="75"/>
    <col min="5625" max="5625" width="10.33203125" style="75" bestFit="1" customWidth="1"/>
    <col min="5626" max="5626" width="30.1640625" style="75" bestFit="1" customWidth="1"/>
    <col min="5627" max="5627" width="21" style="75" customWidth="1"/>
    <col min="5628" max="5629" width="13.5" style="75" customWidth="1"/>
    <col min="5630" max="5630" width="21.83203125" style="75" bestFit="1" customWidth="1"/>
    <col min="5631" max="5631" width="12" style="75" customWidth="1"/>
    <col min="5632" max="5632" width="11.5" style="75" bestFit="1" customWidth="1"/>
    <col min="5633" max="5633" width="13.5" style="75" customWidth="1"/>
    <col min="5634" max="5634" width="15.5" style="75" customWidth="1"/>
    <col min="5635" max="5636" width="18.5" style="75" customWidth="1"/>
    <col min="5637" max="5637" width="17.83203125" style="75" customWidth="1"/>
    <col min="5638" max="5880" width="9.1640625" style="75"/>
    <col min="5881" max="5881" width="10.33203125" style="75" bestFit="1" customWidth="1"/>
    <col min="5882" max="5882" width="30.1640625" style="75" bestFit="1" customWidth="1"/>
    <col min="5883" max="5883" width="21" style="75" customWidth="1"/>
    <col min="5884" max="5885" width="13.5" style="75" customWidth="1"/>
    <col min="5886" max="5886" width="21.83203125" style="75" bestFit="1" customWidth="1"/>
    <col min="5887" max="5887" width="12" style="75" customWidth="1"/>
    <col min="5888" max="5888" width="11.5" style="75" bestFit="1" customWidth="1"/>
    <col min="5889" max="5889" width="13.5" style="75" customWidth="1"/>
    <col min="5890" max="5890" width="15.5" style="75" customWidth="1"/>
    <col min="5891" max="5892" width="18.5" style="75" customWidth="1"/>
    <col min="5893" max="5893" width="17.83203125" style="75" customWidth="1"/>
    <col min="5894" max="6136" width="9.1640625" style="75"/>
    <col min="6137" max="6137" width="10.33203125" style="75" bestFit="1" customWidth="1"/>
    <col min="6138" max="6138" width="30.1640625" style="75" bestFit="1" customWidth="1"/>
    <col min="6139" max="6139" width="21" style="75" customWidth="1"/>
    <col min="6140" max="6141" width="13.5" style="75" customWidth="1"/>
    <col min="6142" max="6142" width="21.83203125" style="75" bestFit="1" customWidth="1"/>
    <col min="6143" max="6143" width="12" style="75" customWidth="1"/>
    <col min="6144" max="6144" width="11.5" style="75" bestFit="1" customWidth="1"/>
    <col min="6145" max="6145" width="13.5" style="75" customWidth="1"/>
    <col min="6146" max="6146" width="15.5" style="75" customWidth="1"/>
    <col min="6147" max="6148" width="18.5" style="75" customWidth="1"/>
    <col min="6149" max="6149" width="17.83203125" style="75" customWidth="1"/>
    <col min="6150" max="6392" width="9.1640625" style="75"/>
    <col min="6393" max="6393" width="10.33203125" style="75" bestFit="1" customWidth="1"/>
    <col min="6394" max="6394" width="30.1640625" style="75" bestFit="1" customWidth="1"/>
    <col min="6395" max="6395" width="21" style="75" customWidth="1"/>
    <col min="6396" max="6397" width="13.5" style="75" customWidth="1"/>
    <col min="6398" max="6398" width="21.83203125" style="75" bestFit="1" customWidth="1"/>
    <col min="6399" max="6399" width="12" style="75" customWidth="1"/>
    <col min="6400" max="6400" width="11.5" style="75" bestFit="1" customWidth="1"/>
    <col min="6401" max="6401" width="13.5" style="75" customWidth="1"/>
    <col min="6402" max="6402" width="15.5" style="75" customWidth="1"/>
    <col min="6403" max="6404" width="18.5" style="75" customWidth="1"/>
    <col min="6405" max="6405" width="17.83203125" style="75" customWidth="1"/>
    <col min="6406" max="6648" width="9.1640625" style="75"/>
    <col min="6649" max="6649" width="10.33203125" style="75" bestFit="1" customWidth="1"/>
    <col min="6650" max="6650" width="30.1640625" style="75" bestFit="1" customWidth="1"/>
    <col min="6651" max="6651" width="21" style="75" customWidth="1"/>
    <col min="6652" max="6653" width="13.5" style="75" customWidth="1"/>
    <col min="6654" max="6654" width="21.83203125" style="75" bestFit="1" customWidth="1"/>
    <col min="6655" max="6655" width="12" style="75" customWidth="1"/>
    <col min="6656" max="6656" width="11.5" style="75" bestFit="1" customWidth="1"/>
    <col min="6657" max="6657" width="13.5" style="75" customWidth="1"/>
    <col min="6658" max="6658" width="15.5" style="75" customWidth="1"/>
    <col min="6659" max="6660" width="18.5" style="75" customWidth="1"/>
    <col min="6661" max="6661" width="17.83203125" style="75" customWidth="1"/>
    <col min="6662" max="6904" width="9.1640625" style="75"/>
    <col min="6905" max="6905" width="10.33203125" style="75" bestFit="1" customWidth="1"/>
    <col min="6906" max="6906" width="30.1640625" style="75" bestFit="1" customWidth="1"/>
    <col min="6907" max="6907" width="21" style="75" customWidth="1"/>
    <col min="6908" max="6909" width="13.5" style="75" customWidth="1"/>
    <col min="6910" max="6910" width="21.83203125" style="75" bestFit="1" customWidth="1"/>
    <col min="6911" max="6911" width="12" style="75" customWidth="1"/>
    <col min="6912" max="6912" width="11.5" style="75" bestFit="1" customWidth="1"/>
    <col min="6913" max="6913" width="13.5" style="75" customWidth="1"/>
    <col min="6914" max="6914" width="15.5" style="75" customWidth="1"/>
    <col min="6915" max="6916" width="18.5" style="75" customWidth="1"/>
    <col min="6917" max="6917" width="17.83203125" style="75" customWidth="1"/>
    <col min="6918" max="7160" width="9.1640625" style="75"/>
    <col min="7161" max="7161" width="10.33203125" style="75" bestFit="1" customWidth="1"/>
    <col min="7162" max="7162" width="30.1640625" style="75" bestFit="1" customWidth="1"/>
    <col min="7163" max="7163" width="21" style="75" customWidth="1"/>
    <col min="7164" max="7165" width="13.5" style="75" customWidth="1"/>
    <col min="7166" max="7166" width="21.83203125" style="75" bestFit="1" customWidth="1"/>
    <col min="7167" max="7167" width="12" style="75" customWidth="1"/>
    <col min="7168" max="7168" width="11.5" style="75" bestFit="1" customWidth="1"/>
    <col min="7169" max="7169" width="13.5" style="75" customWidth="1"/>
    <col min="7170" max="7170" width="15.5" style="75" customWidth="1"/>
    <col min="7171" max="7172" width="18.5" style="75" customWidth="1"/>
    <col min="7173" max="7173" width="17.83203125" style="75" customWidth="1"/>
    <col min="7174" max="7416" width="9.1640625" style="75"/>
    <col min="7417" max="7417" width="10.33203125" style="75" bestFit="1" customWidth="1"/>
    <col min="7418" max="7418" width="30.1640625" style="75" bestFit="1" customWidth="1"/>
    <col min="7419" max="7419" width="21" style="75" customWidth="1"/>
    <col min="7420" max="7421" width="13.5" style="75" customWidth="1"/>
    <col min="7422" max="7422" width="21.83203125" style="75" bestFit="1" customWidth="1"/>
    <col min="7423" max="7423" width="12" style="75" customWidth="1"/>
    <col min="7424" max="7424" width="11.5" style="75" bestFit="1" customWidth="1"/>
    <col min="7425" max="7425" width="13.5" style="75" customWidth="1"/>
    <col min="7426" max="7426" width="15.5" style="75" customWidth="1"/>
    <col min="7427" max="7428" width="18.5" style="75" customWidth="1"/>
    <col min="7429" max="7429" width="17.83203125" style="75" customWidth="1"/>
    <col min="7430" max="7672" width="9.1640625" style="75"/>
    <col min="7673" max="7673" width="10.33203125" style="75" bestFit="1" customWidth="1"/>
    <col min="7674" max="7674" width="30.1640625" style="75" bestFit="1" customWidth="1"/>
    <col min="7675" max="7675" width="21" style="75" customWidth="1"/>
    <col min="7676" max="7677" width="13.5" style="75" customWidth="1"/>
    <col min="7678" max="7678" width="21.83203125" style="75" bestFit="1" customWidth="1"/>
    <col min="7679" max="7679" width="12" style="75" customWidth="1"/>
    <col min="7680" max="7680" width="11.5" style="75" bestFit="1" customWidth="1"/>
    <col min="7681" max="7681" width="13.5" style="75" customWidth="1"/>
    <col min="7682" max="7682" width="15.5" style="75" customWidth="1"/>
    <col min="7683" max="7684" width="18.5" style="75" customWidth="1"/>
    <col min="7685" max="7685" width="17.83203125" style="75" customWidth="1"/>
    <col min="7686" max="7928" width="9.1640625" style="75"/>
    <col min="7929" max="7929" width="10.33203125" style="75" bestFit="1" customWidth="1"/>
    <col min="7930" max="7930" width="30.1640625" style="75" bestFit="1" customWidth="1"/>
    <col min="7931" max="7931" width="21" style="75" customWidth="1"/>
    <col min="7932" max="7933" width="13.5" style="75" customWidth="1"/>
    <col min="7934" max="7934" width="21.83203125" style="75" bestFit="1" customWidth="1"/>
    <col min="7935" max="7935" width="12" style="75" customWidth="1"/>
    <col min="7936" max="7936" width="11.5" style="75" bestFit="1" customWidth="1"/>
    <col min="7937" max="7937" width="13.5" style="75" customWidth="1"/>
    <col min="7938" max="7938" width="15.5" style="75" customWidth="1"/>
    <col min="7939" max="7940" width="18.5" style="75" customWidth="1"/>
    <col min="7941" max="7941" width="17.83203125" style="75" customWidth="1"/>
    <col min="7942" max="8184" width="9.1640625" style="75"/>
    <col min="8185" max="8185" width="10.33203125" style="75" bestFit="1" customWidth="1"/>
    <col min="8186" max="8186" width="30.1640625" style="75" bestFit="1" customWidth="1"/>
    <col min="8187" max="8187" width="21" style="75" customWidth="1"/>
    <col min="8188" max="8189" width="13.5" style="75" customWidth="1"/>
    <col min="8190" max="8190" width="21.83203125" style="75" bestFit="1" customWidth="1"/>
    <col min="8191" max="8191" width="12" style="75" customWidth="1"/>
    <col min="8192" max="8192" width="11.5" style="75" bestFit="1" customWidth="1"/>
    <col min="8193" max="8193" width="13.5" style="75" customWidth="1"/>
    <col min="8194" max="8194" width="15.5" style="75" customWidth="1"/>
    <col min="8195" max="8196" width="18.5" style="75" customWidth="1"/>
    <col min="8197" max="8197" width="17.83203125" style="75" customWidth="1"/>
    <col min="8198" max="8440" width="9.1640625" style="75"/>
    <col min="8441" max="8441" width="10.33203125" style="75" bestFit="1" customWidth="1"/>
    <col min="8442" max="8442" width="30.1640625" style="75" bestFit="1" customWidth="1"/>
    <col min="8443" max="8443" width="21" style="75" customWidth="1"/>
    <col min="8444" max="8445" width="13.5" style="75" customWidth="1"/>
    <col min="8446" max="8446" width="21.83203125" style="75" bestFit="1" customWidth="1"/>
    <col min="8447" max="8447" width="12" style="75" customWidth="1"/>
    <col min="8448" max="8448" width="11.5" style="75" bestFit="1" customWidth="1"/>
    <col min="8449" max="8449" width="13.5" style="75" customWidth="1"/>
    <col min="8450" max="8450" width="15.5" style="75" customWidth="1"/>
    <col min="8451" max="8452" width="18.5" style="75" customWidth="1"/>
    <col min="8453" max="8453" width="17.83203125" style="75" customWidth="1"/>
    <col min="8454" max="8696" width="9.1640625" style="75"/>
    <col min="8697" max="8697" width="10.33203125" style="75" bestFit="1" customWidth="1"/>
    <col min="8698" max="8698" width="30.1640625" style="75" bestFit="1" customWidth="1"/>
    <col min="8699" max="8699" width="21" style="75" customWidth="1"/>
    <col min="8700" max="8701" width="13.5" style="75" customWidth="1"/>
    <col min="8702" max="8702" width="21.83203125" style="75" bestFit="1" customWidth="1"/>
    <col min="8703" max="8703" width="12" style="75" customWidth="1"/>
    <col min="8704" max="8704" width="11.5" style="75" bestFit="1" customWidth="1"/>
    <col min="8705" max="8705" width="13.5" style="75" customWidth="1"/>
    <col min="8706" max="8706" width="15.5" style="75" customWidth="1"/>
    <col min="8707" max="8708" width="18.5" style="75" customWidth="1"/>
    <col min="8709" max="8709" width="17.83203125" style="75" customWidth="1"/>
    <col min="8710" max="8952" width="9.1640625" style="75"/>
    <col min="8953" max="8953" width="10.33203125" style="75" bestFit="1" customWidth="1"/>
    <col min="8954" max="8954" width="30.1640625" style="75" bestFit="1" customWidth="1"/>
    <col min="8955" max="8955" width="21" style="75" customWidth="1"/>
    <col min="8956" max="8957" width="13.5" style="75" customWidth="1"/>
    <col min="8958" max="8958" width="21.83203125" style="75" bestFit="1" customWidth="1"/>
    <col min="8959" max="8959" width="12" style="75" customWidth="1"/>
    <col min="8960" max="8960" width="11.5" style="75" bestFit="1" customWidth="1"/>
    <col min="8961" max="8961" width="13.5" style="75" customWidth="1"/>
    <col min="8962" max="8962" width="15.5" style="75" customWidth="1"/>
    <col min="8963" max="8964" width="18.5" style="75" customWidth="1"/>
    <col min="8965" max="8965" width="17.83203125" style="75" customWidth="1"/>
    <col min="8966" max="9208" width="9.1640625" style="75"/>
    <col min="9209" max="9209" width="10.33203125" style="75" bestFit="1" customWidth="1"/>
    <col min="9210" max="9210" width="30.1640625" style="75" bestFit="1" customWidth="1"/>
    <col min="9211" max="9211" width="21" style="75" customWidth="1"/>
    <col min="9212" max="9213" width="13.5" style="75" customWidth="1"/>
    <col min="9214" max="9214" width="21.83203125" style="75" bestFit="1" customWidth="1"/>
    <col min="9215" max="9215" width="12" style="75" customWidth="1"/>
    <col min="9216" max="9216" width="11.5" style="75" bestFit="1" customWidth="1"/>
    <col min="9217" max="9217" width="13.5" style="75" customWidth="1"/>
    <col min="9218" max="9218" width="15.5" style="75" customWidth="1"/>
    <col min="9219" max="9220" width="18.5" style="75" customWidth="1"/>
    <col min="9221" max="9221" width="17.83203125" style="75" customWidth="1"/>
    <col min="9222" max="9464" width="9.1640625" style="75"/>
    <col min="9465" max="9465" width="10.33203125" style="75" bestFit="1" customWidth="1"/>
    <col min="9466" max="9466" width="30.1640625" style="75" bestFit="1" customWidth="1"/>
    <col min="9467" max="9467" width="21" style="75" customWidth="1"/>
    <col min="9468" max="9469" width="13.5" style="75" customWidth="1"/>
    <col min="9470" max="9470" width="21.83203125" style="75" bestFit="1" customWidth="1"/>
    <col min="9471" max="9471" width="12" style="75" customWidth="1"/>
    <col min="9472" max="9472" width="11.5" style="75" bestFit="1" customWidth="1"/>
    <col min="9473" max="9473" width="13.5" style="75" customWidth="1"/>
    <col min="9474" max="9474" width="15.5" style="75" customWidth="1"/>
    <col min="9475" max="9476" width="18.5" style="75" customWidth="1"/>
    <col min="9477" max="9477" width="17.83203125" style="75" customWidth="1"/>
    <col min="9478" max="9720" width="9.1640625" style="75"/>
    <col min="9721" max="9721" width="10.33203125" style="75" bestFit="1" customWidth="1"/>
    <col min="9722" max="9722" width="30.1640625" style="75" bestFit="1" customWidth="1"/>
    <col min="9723" max="9723" width="21" style="75" customWidth="1"/>
    <col min="9724" max="9725" width="13.5" style="75" customWidth="1"/>
    <col min="9726" max="9726" width="21.83203125" style="75" bestFit="1" customWidth="1"/>
    <col min="9727" max="9727" width="12" style="75" customWidth="1"/>
    <col min="9728" max="9728" width="11.5" style="75" bestFit="1" customWidth="1"/>
    <col min="9729" max="9729" width="13.5" style="75" customWidth="1"/>
    <col min="9730" max="9730" width="15.5" style="75" customWidth="1"/>
    <col min="9731" max="9732" width="18.5" style="75" customWidth="1"/>
    <col min="9733" max="9733" width="17.83203125" style="75" customWidth="1"/>
    <col min="9734" max="9976" width="9.1640625" style="75"/>
    <col min="9977" max="9977" width="10.33203125" style="75" bestFit="1" customWidth="1"/>
    <col min="9978" max="9978" width="30.1640625" style="75" bestFit="1" customWidth="1"/>
    <col min="9979" max="9979" width="21" style="75" customWidth="1"/>
    <col min="9980" max="9981" width="13.5" style="75" customWidth="1"/>
    <col min="9982" max="9982" width="21.83203125" style="75" bestFit="1" customWidth="1"/>
    <col min="9983" max="9983" width="12" style="75" customWidth="1"/>
    <col min="9984" max="9984" width="11.5" style="75" bestFit="1" customWidth="1"/>
    <col min="9985" max="9985" width="13.5" style="75" customWidth="1"/>
    <col min="9986" max="9986" width="15.5" style="75" customWidth="1"/>
    <col min="9987" max="9988" width="18.5" style="75" customWidth="1"/>
    <col min="9989" max="9989" width="17.83203125" style="75" customWidth="1"/>
    <col min="9990" max="10232" width="9.1640625" style="75"/>
    <col min="10233" max="10233" width="10.33203125" style="75" bestFit="1" customWidth="1"/>
    <col min="10234" max="10234" width="30.1640625" style="75" bestFit="1" customWidth="1"/>
    <col min="10235" max="10235" width="21" style="75" customWidth="1"/>
    <col min="10236" max="10237" width="13.5" style="75" customWidth="1"/>
    <col min="10238" max="10238" width="21.83203125" style="75" bestFit="1" customWidth="1"/>
    <col min="10239" max="10239" width="12" style="75" customWidth="1"/>
    <col min="10240" max="10240" width="11.5" style="75" bestFit="1" customWidth="1"/>
    <col min="10241" max="10241" width="13.5" style="75" customWidth="1"/>
    <col min="10242" max="10242" width="15.5" style="75" customWidth="1"/>
    <col min="10243" max="10244" width="18.5" style="75" customWidth="1"/>
    <col min="10245" max="10245" width="17.83203125" style="75" customWidth="1"/>
    <col min="10246" max="10488" width="9.1640625" style="75"/>
    <col min="10489" max="10489" width="10.33203125" style="75" bestFit="1" customWidth="1"/>
    <col min="10490" max="10490" width="30.1640625" style="75" bestFit="1" customWidth="1"/>
    <col min="10491" max="10491" width="21" style="75" customWidth="1"/>
    <col min="10492" max="10493" width="13.5" style="75" customWidth="1"/>
    <col min="10494" max="10494" width="21.83203125" style="75" bestFit="1" customWidth="1"/>
    <col min="10495" max="10495" width="12" style="75" customWidth="1"/>
    <col min="10496" max="10496" width="11.5" style="75" bestFit="1" customWidth="1"/>
    <col min="10497" max="10497" width="13.5" style="75" customWidth="1"/>
    <col min="10498" max="10498" width="15.5" style="75" customWidth="1"/>
    <col min="10499" max="10500" width="18.5" style="75" customWidth="1"/>
    <col min="10501" max="10501" width="17.83203125" style="75" customWidth="1"/>
    <col min="10502" max="10744" width="9.1640625" style="75"/>
    <col min="10745" max="10745" width="10.33203125" style="75" bestFit="1" customWidth="1"/>
    <col min="10746" max="10746" width="30.1640625" style="75" bestFit="1" customWidth="1"/>
    <col min="10747" max="10747" width="21" style="75" customWidth="1"/>
    <col min="10748" max="10749" width="13.5" style="75" customWidth="1"/>
    <col min="10750" max="10750" width="21.83203125" style="75" bestFit="1" customWidth="1"/>
    <col min="10751" max="10751" width="12" style="75" customWidth="1"/>
    <col min="10752" max="10752" width="11.5" style="75" bestFit="1" customWidth="1"/>
    <col min="10753" max="10753" width="13.5" style="75" customWidth="1"/>
    <col min="10754" max="10754" width="15.5" style="75" customWidth="1"/>
    <col min="10755" max="10756" width="18.5" style="75" customWidth="1"/>
    <col min="10757" max="10757" width="17.83203125" style="75" customWidth="1"/>
    <col min="10758" max="11000" width="9.1640625" style="75"/>
    <col min="11001" max="11001" width="10.33203125" style="75" bestFit="1" customWidth="1"/>
    <col min="11002" max="11002" width="30.1640625" style="75" bestFit="1" customWidth="1"/>
    <col min="11003" max="11003" width="21" style="75" customWidth="1"/>
    <col min="11004" max="11005" width="13.5" style="75" customWidth="1"/>
    <col min="11006" max="11006" width="21.83203125" style="75" bestFit="1" customWidth="1"/>
    <col min="11007" max="11007" width="12" style="75" customWidth="1"/>
    <col min="11008" max="11008" width="11.5" style="75" bestFit="1" customWidth="1"/>
    <col min="11009" max="11009" width="13.5" style="75" customWidth="1"/>
    <col min="11010" max="11010" width="15.5" style="75" customWidth="1"/>
    <col min="11011" max="11012" width="18.5" style="75" customWidth="1"/>
    <col min="11013" max="11013" width="17.83203125" style="75" customWidth="1"/>
    <col min="11014" max="11256" width="9.1640625" style="75"/>
    <col min="11257" max="11257" width="10.33203125" style="75" bestFit="1" customWidth="1"/>
    <col min="11258" max="11258" width="30.1640625" style="75" bestFit="1" customWidth="1"/>
    <col min="11259" max="11259" width="21" style="75" customWidth="1"/>
    <col min="11260" max="11261" width="13.5" style="75" customWidth="1"/>
    <col min="11262" max="11262" width="21.83203125" style="75" bestFit="1" customWidth="1"/>
    <col min="11263" max="11263" width="12" style="75" customWidth="1"/>
    <col min="11264" max="11264" width="11.5" style="75" bestFit="1" customWidth="1"/>
    <col min="11265" max="11265" width="13.5" style="75" customWidth="1"/>
    <col min="11266" max="11266" width="15.5" style="75" customWidth="1"/>
    <col min="11267" max="11268" width="18.5" style="75" customWidth="1"/>
    <col min="11269" max="11269" width="17.83203125" style="75" customWidth="1"/>
    <col min="11270" max="11512" width="9.1640625" style="75"/>
    <col min="11513" max="11513" width="10.33203125" style="75" bestFit="1" customWidth="1"/>
    <col min="11514" max="11514" width="30.1640625" style="75" bestFit="1" customWidth="1"/>
    <col min="11515" max="11515" width="21" style="75" customWidth="1"/>
    <col min="11516" max="11517" width="13.5" style="75" customWidth="1"/>
    <col min="11518" max="11518" width="21.83203125" style="75" bestFit="1" customWidth="1"/>
    <col min="11519" max="11519" width="12" style="75" customWidth="1"/>
    <col min="11520" max="11520" width="11.5" style="75" bestFit="1" customWidth="1"/>
    <col min="11521" max="11521" width="13.5" style="75" customWidth="1"/>
    <col min="11522" max="11522" width="15.5" style="75" customWidth="1"/>
    <col min="11523" max="11524" width="18.5" style="75" customWidth="1"/>
    <col min="11525" max="11525" width="17.83203125" style="75" customWidth="1"/>
    <col min="11526" max="11768" width="9.1640625" style="75"/>
    <col min="11769" max="11769" width="10.33203125" style="75" bestFit="1" customWidth="1"/>
    <col min="11770" max="11770" width="30.1640625" style="75" bestFit="1" customWidth="1"/>
    <col min="11771" max="11771" width="21" style="75" customWidth="1"/>
    <col min="11772" max="11773" width="13.5" style="75" customWidth="1"/>
    <col min="11774" max="11774" width="21.83203125" style="75" bestFit="1" customWidth="1"/>
    <col min="11775" max="11775" width="12" style="75" customWidth="1"/>
    <col min="11776" max="11776" width="11.5" style="75" bestFit="1" customWidth="1"/>
    <col min="11777" max="11777" width="13.5" style="75" customWidth="1"/>
    <col min="11778" max="11778" width="15.5" style="75" customWidth="1"/>
    <col min="11779" max="11780" width="18.5" style="75" customWidth="1"/>
    <col min="11781" max="11781" width="17.83203125" style="75" customWidth="1"/>
    <col min="11782" max="12024" width="9.1640625" style="75"/>
    <col min="12025" max="12025" width="10.33203125" style="75" bestFit="1" customWidth="1"/>
    <col min="12026" max="12026" width="30.1640625" style="75" bestFit="1" customWidth="1"/>
    <col min="12027" max="12027" width="21" style="75" customWidth="1"/>
    <col min="12028" max="12029" width="13.5" style="75" customWidth="1"/>
    <col min="12030" max="12030" width="21.83203125" style="75" bestFit="1" customWidth="1"/>
    <col min="12031" max="12031" width="12" style="75" customWidth="1"/>
    <col min="12032" max="12032" width="11.5" style="75" bestFit="1" customWidth="1"/>
    <col min="12033" max="12033" width="13.5" style="75" customWidth="1"/>
    <col min="12034" max="12034" width="15.5" style="75" customWidth="1"/>
    <col min="12035" max="12036" width="18.5" style="75" customWidth="1"/>
    <col min="12037" max="12037" width="17.83203125" style="75" customWidth="1"/>
    <col min="12038" max="12280" width="9.1640625" style="75"/>
    <col min="12281" max="12281" width="10.33203125" style="75" bestFit="1" customWidth="1"/>
    <col min="12282" max="12282" width="30.1640625" style="75" bestFit="1" customWidth="1"/>
    <col min="12283" max="12283" width="21" style="75" customWidth="1"/>
    <col min="12284" max="12285" width="13.5" style="75" customWidth="1"/>
    <col min="12286" max="12286" width="21.83203125" style="75" bestFit="1" customWidth="1"/>
    <col min="12287" max="12287" width="12" style="75" customWidth="1"/>
    <col min="12288" max="12288" width="11.5" style="75" bestFit="1" customWidth="1"/>
    <col min="12289" max="12289" width="13.5" style="75" customWidth="1"/>
    <col min="12290" max="12290" width="15.5" style="75" customWidth="1"/>
    <col min="12291" max="12292" width="18.5" style="75" customWidth="1"/>
    <col min="12293" max="12293" width="17.83203125" style="75" customWidth="1"/>
    <col min="12294" max="12536" width="9.1640625" style="75"/>
    <col min="12537" max="12537" width="10.33203125" style="75" bestFit="1" customWidth="1"/>
    <col min="12538" max="12538" width="30.1640625" style="75" bestFit="1" customWidth="1"/>
    <col min="12539" max="12539" width="21" style="75" customWidth="1"/>
    <col min="12540" max="12541" width="13.5" style="75" customWidth="1"/>
    <col min="12542" max="12542" width="21.83203125" style="75" bestFit="1" customWidth="1"/>
    <col min="12543" max="12543" width="12" style="75" customWidth="1"/>
    <col min="12544" max="12544" width="11.5" style="75" bestFit="1" customWidth="1"/>
    <col min="12545" max="12545" width="13.5" style="75" customWidth="1"/>
    <col min="12546" max="12546" width="15.5" style="75" customWidth="1"/>
    <col min="12547" max="12548" width="18.5" style="75" customWidth="1"/>
    <col min="12549" max="12549" width="17.83203125" style="75" customWidth="1"/>
    <col min="12550" max="12792" width="9.1640625" style="75"/>
    <col min="12793" max="12793" width="10.33203125" style="75" bestFit="1" customWidth="1"/>
    <col min="12794" max="12794" width="30.1640625" style="75" bestFit="1" customWidth="1"/>
    <col min="12795" max="12795" width="21" style="75" customWidth="1"/>
    <col min="12796" max="12797" width="13.5" style="75" customWidth="1"/>
    <col min="12798" max="12798" width="21.83203125" style="75" bestFit="1" customWidth="1"/>
    <col min="12799" max="12799" width="12" style="75" customWidth="1"/>
    <col min="12800" max="12800" width="11.5" style="75" bestFit="1" customWidth="1"/>
    <col min="12801" max="12801" width="13.5" style="75" customWidth="1"/>
    <col min="12802" max="12802" width="15.5" style="75" customWidth="1"/>
    <col min="12803" max="12804" width="18.5" style="75" customWidth="1"/>
    <col min="12805" max="12805" width="17.83203125" style="75" customWidth="1"/>
    <col min="12806" max="13048" width="9.1640625" style="75"/>
    <col min="13049" max="13049" width="10.33203125" style="75" bestFit="1" customWidth="1"/>
    <col min="13050" max="13050" width="30.1640625" style="75" bestFit="1" customWidth="1"/>
    <col min="13051" max="13051" width="21" style="75" customWidth="1"/>
    <col min="13052" max="13053" width="13.5" style="75" customWidth="1"/>
    <col min="13054" max="13054" width="21.83203125" style="75" bestFit="1" customWidth="1"/>
    <col min="13055" max="13055" width="12" style="75" customWidth="1"/>
    <col min="13056" max="13056" width="11.5" style="75" bestFit="1" customWidth="1"/>
    <col min="13057" max="13057" width="13.5" style="75" customWidth="1"/>
    <col min="13058" max="13058" width="15.5" style="75" customWidth="1"/>
    <col min="13059" max="13060" width="18.5" style="75" customWidth="1"/>
    <col min="13061" max="13061" width="17.83203125" style="75" customWidth="1"/>
    <col min="13062" max="13304" width="9.1640625" style="75"/>
    <col min="13305" max="13305" width="10.33203125" style="75" bestFit="1" customWidth="1"/>
    <col min="13306" max="13306" width="30.1640625" style="75" bestFit="1" customWidth="1"/>
    <col min="13307" max="13307" width="21" style="75" customWidth="1"/>
    <col min="13308" max="13309" width="13.5" style="75" customWidth="1"/>
    <col min="13310" max="13310" width="21.83203125" style="75" bestFit="1" customWidth="1"/>
    <col min="13311" max="13311" width="12" style="75" customWidth="1"/>
    <col min="13312" max="13312" width="11.5" style="75" bestFit="1" customWidth="1"/>
    <col min="13313" max="13313" width="13.5" style="75" customWidth="1"/>
    <col min="13314" max="13314" width="15.5" style="75" customWidth="1"/>
    <col min="13315" max="13316" width="18.5" style="75" customWidth="1"/>
    <col min="13317" max="13317" width="17.83203125" style="75" customWidth="1"/>
    <col min="13318" max="13560" width="9.1640625" style="75"/>
    <col min="13561" max="13561" width="10.33203125" style="75" bestFit="1" customWidth="1"/>
    <col min="13562" max="13562" width="30.1640625" style="75" bestFit="1" customWidth="1"/>
    <col min="13563" max="13563" width="21" style="75" customWidth="1"/>
    <col min="13564" max="13565" width="13.5" style="75" customWidth="1"/>
    <col min="13566" max="13566" width="21.83203125" style="75" bestFit="1" customWidth="1"/>
    <col min="13567" max="13567" width="12" style="75" customWidth="1"/>
    <col min="13568" max="13568" width="11.5" style="75" bestFit="1" customWidth="1"/>
    <col min="13569" max="13569" width="13.5" style="75" customWidth="1"/>
    <col min="13570" max="13570" width="15.5" style="75" customWidth="1"/>
    <col min="13571" max="13572" width="18.5" style="75" customWidth="1"/>
    <col min="13573" max="13573" width="17.83203125" style="75" customWidth="1"/>
    <col min="13574" max="13816" width="9.1640625" style="75"/>
    <col min="13817" max="13817" width="10.33203125" style="75" bestFit="1" customWidth="1"/>
    <col min="13818" max="13818" width="30.1640625" style="75" bestFit="1" customWidth="1"/>
    <col min="13819" max="13819" width="21" style="75" customWidth="1"/>
    <col min="13820" max="13821" width="13.5" style="75" customWidth="1"/>
    <col min="13822" max="13822" width="21.83203125" style="75" bestFit="1" customWidth="1"/>
    <col min="13823" max="13823" width="12" style="75" customWidth="1"/>
    <col min="13824" max="13824" width="11.5" style="75" bestFit="1" customWidth="1"/>
    <col min="13825" max="13825" width="13.5" style="75" customWidth="1"/>
    <col min="13826" max="13826" width="15.5" style="75" customWidth="1"/>
    <col min="13827" max="13828" width="18.5" style="75" customWidth="1"/>
    <col min="13829" max="13829" width="17.83203125" style="75" customWidth="1"/>
    <col min="13830" max="14072" width="9.1640625" style="75"/>
    <col min="14073" max="14073" width="10.33203125" style="75" bestFit="1" customWidth="1"/>
    <col min="14074" max="14074" width="30.1640625" style="75" bestFit="1" customWidth="1"/>
    <col min="14075" max="14075" width="21" style="75" customWidth="1"/>
    <col min="14076" max="14077" width="13.5" style="75" customWidth="1"/>
    <col min="14078" max="14078" width="21.83203125" style="75" bestFit="1" customWidth="1"/>
    <col min="14079" max="14079" width="12" style="75" customWidth="1"/>
    <col min="14080" max="14080" width="11.5" style="75" bestFit="1" customWidth="1"/>
    <col min="14081" max="14081" width="13.5" style="75" customWidth="1"/>
    <col min="14082" max="14082" width="15.5" style="75" customWidth="1"/>
    <col min="14083" max="14084" width="18.5" style="75" customWidth="1"/>
    <col min="14085" max="14085" width="17.83203125" style="75" customWidth="1"/>
    <col min="14086" max="14328" width="9.1640625" style="75"/>
    <col min="14329" max="14329" width="10.33203125" style="75" bestFit="1" customWidth="1"/>
    <col min="14330" max="14330" width="30.1640625" style="75" bestFit="1" customWidth="1"/>
    <col min="14331" max="14331" width="21" style="75" customWidth="1"/>
    <col min="14332" max="14333" width="13.5" style="75" customWidth="1"/>
    <col min="14334" max="14334" width="21.83203125" style="75" bestFit="1" customWidth="1"/>
    <col min="14335" max="14335" width="12" style="75" customWidth="1"/>
    <col min="14336" max="14336" width="11.5" style="75" bestFit="1" customWidth="1"/>
    <col min="14337" max="14337" width="13.5" style="75" customWidth="1"/>
    <col min="14338" max="14338" width="15.5" style="75" customWidth="1"/>
    <col min="14339" max="14340" width="18.5" style="75" customWidth="1"/>
    <col min="14341" max="14341" width="17.83203125" style="75" customWidth="1"/>
    <col min="14342" max="14584" width="9.1640625" style="75"/>
    <col min="14585" max="14585" width="10.33203125" style="75" bestFit="1" customWidth="1"/>
    <col min="14586" max="14586" width="30.1640625" style="75" bestFit="1" customWidth="1"/>
    <col min="14587" max="14587" width="21" style="75" customWidth="1"/>
    <col min="14588" max="14589" width="13.5" style="75" customWidth="1"/>
    <col min="14590" max="14590" width="21.83203125" style="75" bestFit="1" customWidth="1"/>
    <col min="14591" max="14591" width="12" style="75" customWidth="1"/>
    <col min="14592" max="14592" width="11.5" style="75" bestFit="1" customWidth="1"/>
    <col min="14593" max="14593" width="13.5" style="75" customWidth="1"/>
    <col min="14594" max="14594" width="15.5" style="75" customWidth="1"/>
    <col min="14595" max="14596" width="18.5" style="75" customWidth="1"/>
    <col min="14597" max="14597" width="17.83203125" style="75" customWidth="1"/>
    <col min="14598" max="14840" width="9.1640625" style="75"/>
    <col min="14841" max="14841" width="10.33203125" style="75" bestFit="1" customWidth="1"/>
    <col min="14842" max="14842" width="30.1640625" style="75" bestFit="1" customWidth="1"/>
    <col min="14843" max="14843" width="21" style="75" customWidth="1"/>
    <col min="14844" max="14845" width="13.5" style="75" customWidth="1"/>
    <col min="14846" max="14846" width="21.83203125" style="75" bestFit="1" customWidth="1"/>
    <col min="14847" max="14847" width="12" style="75" customWidth="1"/>
    <col min="14848" max="14848" width="11.5" style="75" bestFit="1" customWidth="1"/>
    <col min="14849" max="14849" width="13.5" style="75" customWidth="1"/>
    <col min="14850" max="14850" width="15.5" style="75" customWidth="1"/>
    <col min="14851" max="14852" width="18.5" style="75" customWidth="1"/>
    <col min="14853" max="14853" width="17.83203125" style="75" customWidth="1"/>
    <col min="14854" max="15096" width="9.1640625" style="75"/>
    <col min="15097" max="15097" width="10.33203125" style="75" bestFit="1" customWidth="1"/>
    <col min="15098" max="15098" width="30.1640625" style="75" bestFit="1" customWidth="1"/>
    <col min="15099" max="15099" width="21" style="75" customWidth="1"/>
    <col min="15100" max="15101" width="13.5" style="75" customWidth="1"/>
    <col min="15102" max="15102" width="21.83203125" style="75" bestFit="1" customWidth="1"/>
    <col min="15103" max="15103" width="12" style="75" customWidth="1"/>
    <col min="15104" max="15104" width="11.5" style="75" bestFit="1" customWidth="1"/>
    <col min="15105" max="15105" width="13.5" style="75" customWidth="1"/>
    <col min="15106" max="15106" width="15.5" style="75" customWidth="1"/>
    <col min="15107" max="15108" width="18.5" style="75" customWidth="1"/>
    <col min="15109" max="15109" width="17.83203125" style="75" customWidth="1"/>
    <col min="15110" max="15352" width="9.1640625" style="75"/>
    <col min="15353" max="15353" width="10.33203125" style="75" bestFit="1" customWidth="1"/>
    <col min="15354" max="15354" width="30.1640625" style="75" bestFit="1" customWidth="1"/>
    <col min="15355" max="15355" width="21" style="75" customWidth="1"/>
    <col min="15356" max="15357" width="13.5" style="75" customWidth="1"/>
    <col min="15358" max="15358" width="21.83203125" style="75" bestFit="1" customWidth="1"/>
    <col min="15359" max="15359" width="12" style="75" customWidth="1"/>
    <col min="15360" max="15360" width="11.5" style="75" bestFit="1" customWidth="1"/>
    <col min="15361" max="15361" width="13.5" style="75" customWidth="1"/>
    <col min="15362" max="15362" width="15.5" style="75" customWidth="1"/>
    <col min="15363" max="15364" width="18.5" style="75" customWidth="1"/>
    <col min="15365" max="15365" width="17.83203125" style="75" customWidth="1"/>
    <col min="15366" max="15608" width="9.1640625" style="75"/>
    <col min="15609" max="15609" width="10.33203125" style="75" bestFit="1" customWidth="1"/>
    <col min="15610" max="15610" width="30.1640625" style="75" bestFit="1" customWidth="1"/>
    <col min="15611" max="15611" width="21" style="75" customWidth="1"/>
    <col min="15612" max="15613" width="13.5" style="75" customWidth="1"/>
    <col min="15614" max="15614" width="21.83203125" style="75" bestFit="1" customWidth="1"/>
    <col min="15615" max="15615" width="12" style="75" customWidth="1"/>
    <col min="15616" max="15616" width="11.5" style="75" bestFit="1" customWidth="1"/>
    <col min="15617" max="15617" width="13.5" style="75" customWidth="1"/>
    <col min="15618" max="15618" width="15.5" style="75" customWidth="1"/>
    <col min="15619" max="15620" width="18.5" style="75" customWidth="1"/>
    <col min="15621" max="15621" width="17.83203125" style="75" customWidth="1"/>
    <col min="15622" max="15864" width="9.1640625" style="75"/>
    <col min="15865" max="15865" width="10.33203125" style="75" bestFit="1" customWidth="1"/>
    <col min="15866" max="15866" width="30.1640625" style="75" bestFit="1" customWidth="1"/>
    <col min="15867" max="15867" width="21" style="75" customWidth="1"/>
    <col min="15868" max="15869" width="13.5" style="75" customWidth="1"/>
    <col min="15870" max="15870" width="21.83203125" style="75" bestFit="1" customWidth="1"/>
    <col min="15871" max="15871" width="12" style="75" customWidth="1"/>
    <col min="15872" max="15872" width="11.5" style="75" bestFit="1" customWidth="1"/>
    <col min="15873" max="15873" width="13.5" style="75" customWidth="1"/>
    <col min="15874" max="15874" width="15.5" style="75" customWidth="1"/>
    <col min="15875" max="15876" width="18.5" style="75" customWidth="1"/>
    <col min="15877" max="15877" width="17.83203125" style="75" customWidth="1"/>
    <col min="15878" max="16120" width="9.1640625" style="75"/>
    <col min="16121" max="16121" width="10.33203125" style="75" bestFit="1" customWidth="1"/>
    <col min="16122" max="16122" width="30.1640625" style="75" bestFit="1" customWidth="1"/>
    <col min="16123" max="16123" width="21" style="75" customWidth="1"/>
    <col min="16124" max="16125" width="13.5" style="75" customWidth="1"/>
    <col min="16126" max="16126" width="21.83203125" style="75" bestFit="1" customWidth="1"/>
    <col min="16127" max="16127" width="12" style="75" customWidth="1"/>
    <col min="16128" max="16128" width="11.5" style="75" bestFit="1" customWidth="1"/>
    <col min="16129" max="16129" width="13.5" style="75" customWidth="1"/>
    <col min="16130" max="16130" width="15.5" style="75" customWidth="1"/>
    <col min="16131" max="16132" width="18.5" style="75" customWidth="1"/>
    <col min="16133" max="16133" width="17.83203125" style="75" customWidth="1"/>
    <col min="16134" max="16383" width="9.1640625" style="75"/>
    <col min="16384" max="16384" width="9.1640625" style="75" customWidth="1"/>
  </cols>
  <sheetData>
    <row r="1" spans="1:7" ht="43.5" customHeight="1">
      <c r="A1" s="204" t="s">
        <v>27</v>
      </c>
      <c r="B1" s="286" t="s">
        <v>28</v>
      </c>
      <c r="C1" s="287" t="s">
        <v>218</v>
      </c>
      <c r="D1" s="287" t="s">
        <v>219</v>
      </c>
      <c r="E1" s="286" t="s">
        <v>220</v>
      </c>
      <c r="F1" s="286" t="s">
        <v>177</v>
      </c>
      <c r="G1" s="288" t="s">
        <v>221</v>
      </c>
    </row>
    <row r="2" spans="1:7" ht="17">
      <c r="A2" s="289" t="s">
        <v>180</v>
      </c>
      <c r="B2" s="166" t="s">
        <v>191</v>
      </c>
      <c r="C2" s="290"/>
      <c r="D2" s="291">
        <v>200000</v>
      </c>
      <c r="E2" s="292"/>
      <c r="F2" s="292"/>
      <c r="G2" s="293">
        <f>SUM(C2:F2)</f>
        <v>200000</v>
      </c>
    </row>
    <row r="3" spans="1:7" ht="17">
      <c r="A3" s="72" t="s">
        <v>181</v>
      </c>
      <c r="B3" s="55" t="s">
        <v>192</v>
      </c>
      <c r="C3" s="76"/>
      <c r="D3" s="73"/>
      <c r="E3" s="74">
        <v>2000000</v>
      </c>
      <c r="F3" s="74"/>
      <c r="G3" s="77">
        <f>SUM(C3:F3)</f>
        <v>2000000</v>
      </c>
    </row>
    <row r="4" spans="1:7" ht="17">
      <c r="A4" s="72" t="s">
        <v>158</v>
      </c>
      <c r="B4" s="55" t="s">
        <v>193</v>
      </c>
      <c r="C4" s="76"/>
      <c r="D4" s="73"/>
      <c r="E4" s="74"/>
      <c r="F4" s="74">
        <v>1000000</v>
      </c>
      <c r="G4" s="77">
        <f>SUM(C4:F4)</f>
        <v>1000000</v>
      </c>
    </row>
    <row r="5" spans="1:7" ht="17">
      <c r="A5" s="72" t="s">
        <v>159</v>
      </c>
      <c r="B5" s="55" t="s">
        <v>194</v>
      </c>
      <c r="C5" s="76">
        <v>500000</v>
      </c>
      <c r="D5" s="73"/>
      <c r="E5" s="74"/>
      <c r="F5" s="74">
        <v>750000</v>
      </c>
      <c r="G5" s="77">
        <f>SUM(C5:F5)</f>
        <v>1250000</v>
      </c>
    </row>
    <row r="7" spans="1:7" ht="23.25" customHeight="1">
      <c r="B7" s="78"/>
    </row>
  </sheetData>
  <autoFilter ref="A1:G18" xr:uid="{00000000-0009-0000-0000-00001B000000}"/>
  <conditionalFormatting sqref="A1">
    <cfRule type="duplicateValues" dxfId="35" priority="1"/>
    <cfRule type="duplicateValues" dxfId="34" priority="2"/>
    <cfRule type="duplicateValues" dxfId="33" priority="3"/>
    <cfRule type="duplicateValues" dxfId="32" priority="4" stopIfTrue="1"/>
    <cfRule type="duplicateValues" dxfId="31" priority="5" stopIfTrue="1"/>
    <cfRule type="duplicateValues" dxfId="30" priority="6" stopIfTrue="1"/>
    <cfRule type="duplicateValues" dxfId="29" priority="7" stopIfTrue="1"/>
  </conditionalFormatting>
  <conditionalFormatting sqref="A2">
    <cfRule type="duplicateValues" dxfId="28" priority="1327435"/>
    <cfRule type="duplicateValues" dxfId="27" priority="1327434"/>
    <cfRule type="duplicateValues" dxfId="26" priority="1327433"/>
  </conditionalFormatting>
  <conditionalFormatting sqref="A2:A5">
    <cfRule type="duplicateValues" dxfId="25" priority="1327578"/>
    <cfRule type="duplicateValues" dxfId="24" priority="1327583" stopIfTrue="1"/>
    <cfRule type="duplicateValues" dxfId="23" priority="1327589"/>
    <cfRule type="duplicateValues" dxfId="22" priority="1327588" stopIfTrue="1"/>
    <cfRule type="duplicateValues" dxfId="21" priority="1327574"/>
    <cfRule type="duplicateValues" dxfId="20" priority="1327575"/>
    <cfRule type="duplicateValues" dxfId="19" priority="1327576"/>
    <cfRule type="duplicateValues" dxfId="18" priority="1327577"/>
    <cfRule type="duplicateValues" dxfId="17" priority="1327587" stopIfTrue="1"/>
    <cfRule type="duplicateValues" dxfId="16" priority="1327579"/>
    <cfRule type="duplicateValues" dxfId="15" priority="1327580"/>
    <cfRule type="duplicateValues" dxfId="14" priority="1327581"/>
    <cfRule type="duplicateValues" dxfId="13" priority="1327582"/>
    <cfRule type="duplicateValues" dxfId="12" priority="1327586" stopIfTrue="1"/>
    <cfRule type="duplicateValues" dxfId="11" priority="1327584" stopIfTrue="1"/>
    <cfRule type="duplicateValues" dxfId="10" priority="1327585" stopIfTrue="1"/>
  </conditionalFormatting>
  <conditionalFormatting sqref="A2:A1048576">
    <cfRule type="duplicateValues" dxfId="9" priority="46"/>
    <cfRule type="duplicateValues" dxfId="8" priority="192581"/>
    <cfRule type="duplicateValues" dxfId="7" priority="45"/>
  </conditionalFormatting>
  <conditionalFormatting sqref="A3:A5">
    <cfRule type="duplicateValues" dxfId="6" priority="1327593"/>
    <cfRule type="duplicateValues" dxfId="5" priority="1327590"/>
    <cfRule type="duplicateValues" dxfId="4" priority="1327591"/>
    <cfRule type="duplicateValues" dxfId="3" priority="1327592"/>
  </conditionalFormatting>
  <conditionalFormatting sqref="A6:A65156">
    <cfRule type="duplicateValues" dxfId="2" priority="1327773" stopIfTrue="1"/>
    <cfRule type="duplicateValues" dxfId="1" priority="1327772" stopIfTrue="1"/>
  </conditionalFormatting>
  <conditionalFormatting sqref="A6:A1048576">
    <cfRule type="duplicateValues" dxfId="0" priority="1276"/>
  </conditionalFormatting>
  <dataValidations count="1">
    <dataValidation allowBlank="1" showErrorMessage="1" sqref="A1" xr:uid="{735F8EBC-053C-974E-A57D-C26D7C32D063}"/>
  </dataValidations>
  <pageMargins left="0.7" right="0.7" top="0.75" bottom="0.75" header="0.3" footer="0.3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14</vt:i4>
      </vt:variant>
    </vt:vector>
  </HeadingPairs>
  <TitlesOfParts>
    <vt:vector size="23" baseType="lpstr">
      <vt:lpstr>Template Payroll</vt:lpstr>
      <vt:lpstr>PC cơm </vt:lpstr>
      <vt:lpstr>TimeTB 2</vt:lpstr>
      <vt:lpstr> TimeTB 1</vt:lpstr>
      <vt:lpstr>OT</vt:lpstr>
      <vt:lpstr>NS</vt:lpstr>
      <vt:lpstr>Others</vt:lpstr>
      <vt:lpstr>Incentive</vt:lpstr>
      <vt:lpstr>Benefit tính thuế</vt:lpstr>
      <vt:lpstr>Incentive!__xlnm.Print_Area</vt:lpstr>
      <vt:lpstr>Incentive!__xlnm.Print_Titles</vt:lpstr>
      <vt:lpstr>NS!__xlnm.Print_Titles</vt:lpstr>
      <vt:lpstr>' TimeTB 1'!_FilterDatabase</vt:lpstr>
      <vt:lpstr>'TimeTB 2'!_FilterDatabase</vt:lpstr>
      <vt:lpstr>NS!ot_ID</vt:lpstr>
      <vt:lpstr>Incentive!Print_Area</vt:lpstr>
      <vt:lpstr>'TimeTB 2'!Print_Area</vt:lpstr>
      <vt:lpstr>' TimeTB 1'!Print_Titles</vt:lpstr>
      <vt:lpstr>Incentive!Print_Titles</vt:lpstr>
      <vt:lpstr>NS!Print_Titles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2026-01-09T23:11:36Z</dcterms:modified>
</cp:coreProperties>
</file>