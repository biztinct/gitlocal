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31907D2E-884B-B04F-BDA5-99043154F409}" xr6:coauthVersionLast="47" xr6:coauthVersionMax="47" xr10:uidLastSave="{00000000-0000-0000-0000-000000000000}"/>
  <bookViews>
    <workbookView xWindow="38700" yWindow="880" windowWidth="38100" windowHeight="208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Others" sheetId="366" r:id="rId7"/>
    <sheet name="Incentive" sheetId="347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7">Incentive!#REF!</definedName>
    <definedName name="__xlnm._FilterDatabase" localSheetId="5">NS!#REF!</definedName>
    <definedName name="__xlnm._FilterDatabase_1" localSheetId="3">#REF!</definedName>
    <definedName name="__xlnm._FilterDatabase_1" localSheetId="7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7">#REF!</definedName>
    <definedName name="__xlnm._FilterDatabase_2">#REF!</definedName>
    <definedName name="__xlnm._FilterDatabase_3" localSheetId="3">#REF!</definedName>
    <definedName name="__xlnm._FilterDatabase_3" localSheetId="7">#REF!</definedName>
    <definedName name="__xlnm._FilterDatabase_3">#REF!</definedName>
    <definedName name="__xlnm._FilterDatabase_4" localSheetId="3">#REF!</definedName>
    <definedName name="__xlnm._FilterDatabase_4" localSheetId="7">#REF!</definedName>
    <definedName name="__xlnm._FilterDatabase_4">#REF!</definedName>
    <definedName name="__xlnm._FilterDatabase_5" localSheetId="3">#REF!</definedName>
    <definedName name="__xlnm._FilterDatabase_5" localSheetId="7">#REF!</definedName>
    <definedName name="__xlnm._FilterDatabase_5">#REF!</definedName>
    <definedName name="__xlnm._FilterDatabase_6" localSheetId="7">#REF!</definedName>
    <definedName name="__xlnm._FilterDatabase_6">#REF!</definedName>
    <definedName name="__xlnm._FilterDatabase_7" localSheetId="3">#REF!</definedName>
    <definedName name="__xlnm._FilterDatabase_7" localSheetId="7">#REF!</definedName>
    <definedName name="__xlnm._FilterDatabase_7">#REF!</definedName>
    <definedName name="__xlnm.Print_Area" localSheetId="7">Incentive!$A$1:$G$8</definedName>
    <definedName name="__xlnm.Print_Titles" localSheetId="7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>' TimeTB 1'!$A$3:$P$10</definedName>
    <definedName name="_xlnm._FilterDatabase" localSheetId="8" hidden="1">'Benefit tính thuế'!$A$1:$G$18</definedName>
    <definedName name="_xlnm._FilterDatabase" localSheetId="7" hidden="1">Incentive!$A$3:$J$7</definedName>
    <definedName name="_xlnm._FilterDatabase" localSheetId="5" hidden="1">NS!$A$1:$F$5</definedName>
    <definedName name="_xlnm._FilterDatabase" localSheetId="6" hidden="1">Others!$A$7:$F$9</definedName>
    <definedName name="_xlnm._FilterDatabase" localSheetId="1" hidden="1">'PC cơm '!$A$2:$L$4</definedName>
    <definedName name="_xlnm._FilterDatabase" localSheetId="0" hidden="1">'Template Payroll'!$A$4:$CG$5</definedName>
    <definedName name="_xlnm._FilterDatabase" localSheetId="2">'TimeTB 2'!$A$3:$S$5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7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7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7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7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7">#REF!</definedName>
    <definedName name="dayinmonth">#REF!</definedName>
    <definedName name="daymonth" localSheetId="3">[6]Payroll!$XEP$19:$XES$32</definedName>
    <definedName name="daymonth" localSheetId="7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7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7">#REF!</definedName>
    <definedName name="HUYEN_HOC_MON">#REF!</definedName>
    <definedName name="HUYEN_NHA_BE" localSheetId="3">#REF!</definedName>
    <definedName name="HUYEN_NHA_BE" localSheetId="7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7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7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7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7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7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7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7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7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7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7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7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7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7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7">Incentive!$A$1:$J$8</definedName>
    <definedName name="_xlnm.Print_Area" localSheetId="2">'TimeTB 2'!$B$1:$S$27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7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Payroll'!$4:$4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7">#REF!</definedName>
    <definedName name="QUAN_1">#REF!</definedName>
    <definedName name="QUAN_10" localSheetId="3">#REF!</definedName>
    <definedName name="QUAN_10" localSheetId="7">#REF!</definedName>
    <definedName name="QUAN_10">#REF!</definedName>
    <definedName name="QUAN_11" localSheetId="3">#REF!</definedName>
    <definedName name="QUAN_11" localSheetId="7">#REF!</definedName>
    <definedName name="QUAN_11">#REF!</definedName>
    <definedName name="QUAN_12" localSheetId="3">#REF!</definedName>
    <definedName name="QUAN_12" localSheetId="7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7">#REF!</definedName>
    <definedName name="QUAN_2">#REF!</definedName>
    <definedName name="quan_21">!#REF!</definedName>
    <definedName name="QUAN_3" localSheetId="3">#REF!</definedName>
    <definedName name="QUAN_3" localSheetId="7">#REF!</definedName>
    <definedName name="QUAN_3">#REF!</definedName>
    <definedName name="QUẬN_3">!#REF!</definedName>
    <definedName name="QUAN_4" localSheetId="3">#REF!</definedName>
    <definedName name="QUAN_4" localSheetId="7">#REF!</definedName>
    <definedName name="QUAN_4">#REF!</definedName>
    <definedName name="QUAN_41">!#REF!</definedName>
    <definedName name="QUAN_5" localSheetId="3">#REF!</definedName>
    <definedName name="QUAN_5" localSheetId="7">#REF!</definedName>
    <definedName name="QUAN_5">#REF!</definedName>
    <definedName name="QUAN_6" localSheetId="3">#REF!</definedName>
    <definedName name="QUAN_6" localSheetId="7">#REF!</definedName>
    <definedName name="QUAN_6">#REF!</definedName>
    <definedName name="QUAN_7" localSheetId="3">#REF!</definedName>
    <definedName name="QUAN_7" localSheetId="7">#REF!</definedName>
    <definedName name="QUAN_7">#REF!</definedName>
    <definedName name="QUAN_8" localSheetId="3">#REF!</definedName>
    <definedName name="QUAN_8" localSheetId="7">#REF!</definedName>
    <definedName name="QUAN_8">#REF!</definedName>
    <definedName name="QUAN_9" localSheetId="3">#REF!</definedName>
    <definedName name="QUAN_9" localSheetId="7">#REF!</definedName>
    <definedName name="QUAN_9">#REF!</definedName>
    <definedName name="QUAN_BINH_TAN" localSheetId="3">#REF!</definedName>
    <definedName name="QUAN_BINH_TAN" localSheetId="7">#REF!</definedName>
    <definedName name="QUAN_BINH_TAN">#REF!</definedName>
    <definedName name="QUAN_BINH_THANH" localSheetId="3">#REF!</definedName>
    <definedName name="QUAN_BINH_THANH" localSheetId="7">#REF!</definedName>
    <definedName name="QUAN_BINH_THANH">#REF!</definedName>
    <definedName name="QUAN_GO_VAP" localSheetId="3">#REF!</definedName>
    <definedName name="QUAN_GO_VAP" localSheetId="7">#REF!</definedName>
    <definedName name="QUAN_GO_VAP">#REF!</definedName>
    <definedName name="QUAN_PHU_NHUAN" localSheetId="3">#REF!</definedName>
    <definedName name="QUAN_PHU_NHUAN" localSheetId="7">#REF!</definedName>
    <definedName name="QUAN_PHU_NHUAN">#REF!</definedName>
    <definedName name="QUAN_TAN_BINH" localSheetId="3">#REF!</definedName>
    <definedName name="QUAN_TAN_BINH" localSheetId="7">#REF!</definedName>
    <definedName name="QUAN_TAN_BINH">#REF!</definedName>
    <definedName name="QUAN_TAN_PHU" localSheetId="3">#REF!</definedName>
    <definedName name="QUAN_TAN_PHU" localSheetId="7">#REF!</definedName>
    <definedName name="QUAN_TAN_PHU">#REF!</definedName>
    <definedName name="QUAN_THU_DUC" localSheetId="3">#REF!</definedName>
    <definedName name="QUAN_THU_DUC" localSheetId="7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7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7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7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7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" i="439" l="1"/>
  <c r="BB24" i="439" s="1"/>
  <c r="BG3" i="439"/>
  <c r="BD24" i="439"/>
  <c r="AN6" i="439" l="1"/>
  <c r="AN7" i="439"/>
  <c r="AN8" i="439"/>
  <c r="AN9" i="439"/>
  <c r="AN10" i="439"/>
  <c r="AN11" i="439"/>
  <c r="AN5" i="439"/>
  <c r="D3" i="5" l="1"/>
  <c r="F3" i="5" s="1"/>
  <c r="D4" i="5"/>
  <c r="F4" i="5" s="1"/>
  <c r="D5" i="5"/>
  <c r="F5" i="5" s="1"/>
  <c r="D6" i="5"/>
  <c r="F6" i="5" s="1"/>
  <c r="H6" i="5" s="1"/>
  <c r="G6" i="5" s="1"/>
  <c r="D7" i="5"/>
  <c r="F7" i="5" s="1"/>
  <c r="H7" i="5" s="1"/>
  <c r="G7" i="5" s="1"/>
  <c r="D8" i="5"/>
  <c r="F8" i="5" s="1"/>
  <c r="H8" i="5" s="1"/>
  <c r="G8" i="5" s="1"/>
  <c r="D9" i="5"/>
  <c r="F9" i="5" s="1"/>
  <c r="H9" i="5" s="1"/>
  <c r="G9" i="5" s="1"/>
  <c r="D2" i="5"/>
  <c r="F4" i="430"/>
  <c r="F5" i="430"/>
  <c r="I5" i="430" s="1"/>
  <c r="F6" i="430"/>
  <c r="I6" i="430" s="1"/>
  <c r="F7" i="430"/>
  <c r="I7" i="430" s="1"/>
  <c r="F8" i="430"/>
  <c r="F9" i="430"/>
  <c r="I9" i="430" s="1"/>
  <c r="F10" i="430"/>
  <c r="I10" i="430" s="1"/>
  <c r="F3" i="430"/>
  <c r="E7" i="430"/>
  <c r="H7" i="430" s="1"/>
  <c r="E9" i="430"/>
  <c r="H9" i="430" s="1"/>
  <c r="E10" i="430"/>
  <c r="H10" i="430" s="1"/>
  <c r="N6" i="439"/>
  <c r="P6" i="439" s="1"/>
  <c r="N7" i="439"/>
  <c r="P7" i="439" s="1"/>
  <c r="N8" i="439"/>
  <c r="P8" i="439" s="1"/>
  <c r="N10" i="439"/>
  <c r="P10" i="439" s="1"/>
  <c r="N11" i="439"/>
  <c r="N5" i="439"/>
  <c r="P5" i="439" s="1"/>
  <c r="D10" i="440"/>
  <c r="D9" i="440"/>
  <c r="R9" i="440" s="1"/>
  <c r="D8" i="440"/>
  <c r="R8" i="440" s="1"/>
  <c r="D7" i="440"/>
  <c r="D6" i="440"/>
  <c r="R6" i="440" s="1"/>
  <c r="D5" i="440"/>
  <c r="R5" i="440" s="1"/>
  <c r="D4" i="440"/>
  <c r="R4" i="440" s="1"/>
  <c r="I8" i="430"/>
  <c r="G10" i="430"/>
  <c r="J10" i="430" s="1"/>
  <c r="G9" i="430"/>
  <c r="J9" i="430" s="1"/>
  <c r="G8" i="430"/>
  <c r="J8" i="430" s="1"/>
  <c r="E8" i="430"/>
  <c r="H8" i="430" s="1"/>
  <c r="G7" i="430"/>
  <c r="J7" i="430" s="1"/>
  <c r="G6" i="430"/>
  <c r="J6" i="430" s="1"/>
  <c r="E6" i="430"/>
  <c r="H6" i="430" s="1"/>
  <c r="G5" i="430"/>
  <c r="J5" i="430" s="1"/>
  <c r="E5" i="430"/>
  <c r="H5" i="430" s="1"/>
  <c r="L5" i="439"/>
  <c r="L6" i="439"/>
  <c r="L8" i="439"/>
  <c r="L9" i="439"/>
  <c r="L10" i="439"/>
  <c r="L11" i="439"/>
  <c r="L7" i="439"/>
  <c r="L12" i="439"/>
  <c r="BN12" i="439"/>
  <c r="BL12" i="439"/>
  <c r="BK12" i="439"/>
  <c r="BJ12" i="439"/>
  <c r="AY12" i="439"/>
  <c r="AX12" i="439"/>
  <c r="AU12" i="439"/>
  <c r="AP12" i="439"/>
  <c r="AN12" i="439"/>
  <c r="AM12" i="439"/>
  <c r="AL12" i="439"/>
  <c r="AK12" i="439"/>
  <c r="AH12" i="439"/>
  <c r="AG12" i="439"/>
  <c r="AF12" i="439"/>
  <c r="AB12" i="439"/>
  <c r="AA12" i="439"/>
  <c r="BN7" i="439"/>
  <c r="BL7" i="439"/>
  <c r="BK7" i="439"/>
  <c r="AP7" i="439"/>
  <c r="AM7" i="439"/>
  <c r="AK7" i="439"/>
  <c r="AG7" i="439"/>
  <c r="AF7" i="439"/>
  <c r="AA7" i="439"/>
  <c r="BN11" i="439"/>
  <c r="BL11" i="439"/>
  <c r="BK11" i="439"/>
  <c r="AP11" i="439"/>
  <c r="AM11" i="439"/>
  <c r="AL11" i="439"/>
  <c r="AK11" i="439"/>
  <c r="AH11" i="439"/>
  <c r="AG11" i="439"/>
  <c r="AF11" i="439"/>
  <c r="AB11" i="439"/>
  <c r="AA11" i="439"/>
  <c r="BN10" i="439"/>
  <c r="BL10" i="439"/>
  <c r="BK10" i="439"/>
  <c r="AP10" i="439"/>
  <c r="AM10" i="439"/>
  <c r="AL10" i="439"/>
  <c r="AK10" i="439"/>
  <c r="AH10" i="439"/>
  <c r="AG10" i="439"/>
  <c r="AF10" i="439"/>
  <c r="AB10" i="439"/>
  <c r="AA10" i="439"/>
  <c r="BN9" i="439"/>
  <c r="BL9" i="439"/>
  <c r="BK9" i="439"/>
  <c r="BJ9" i="439"/>
  <c r="AY9" i="439"/>
  <c r="AX9" i="439"/>
  <c r="AU9" i="439"/>
  <c r="AP9" i="439"/>
  <c r="AM9" i="439"/>
  <c r="AL9" i="439"/>
  <c r="AK9" i="439"/>
  <c r="AH9" i="439"/>
  <c r="AG9" i="439"/>
  <c r="AF9" i="439"/>
  <c r="AB9" i="439"/>
  <c r="AA9" i="439"/>
  <c r="BN8" i="439"/>
  <c r="BL8" i="439"/>
  <c r="BK8" i="439"/>
  <c r="BJ8" i="439"/>
  <c r="AP8" i="439"/>
  <c r="AM8" i="439"/>
  <c r="AL8" i="439"/>
  <c r="AK8" i="439"/>
  <c r="AH8" i="439"/>
  <c r="AG8" i="439"/>
  <c r="AF8" i="439"/>
  <c r="AB8" i="439"/>
  <c r="AA8" i="439"/>
  <c r="BN6" i="439"/>
  <c r="BL6" i="439"/>
  <c r="BK6" i="439"/>
  <c r="AP6" i="439"/>
  <c r="AM6" i="439"/>
  <c r="AL6" i="439"/>
  <c r="AK6" i="439"/>
  <c r="AH6" i="439"/>
  <c r="AG6" i="439"/>
  <c r="AF6" i="439"/>
  <c r="AB6" i="439"/>
  <c r="AA6" i="439"/>
  <c r="AF5" i="439"/>
  <c r="AG5" i="439"/>
  <c r="AH5" i="439"/>
  <c r="AM5" i="439"/>
  <c r="AP5" i="439"/>
  <c r="BK5" i="439"/>
  <c r="BL5" i="439"/>
  <c r="H5" i="5" l="1"/>
  <c r="G5" i="5" s="1"/>
  <c r="H4" i="5"/>
  <c r="G4" i="5"/>
  <c r="H3" i="5"/>
  <c r="G3" i="5"/>
  <c r="M9" i="340"/>
  <c r="O9" i="340" s="1"/>
  <c r="O10" i="439" s="1"/>
  <c r="Q10" i="439" s="1"/>
  <c r="R10" i="439" s="1"/>
  <c r="M10" i="340"/>
  <c r="O10" i="340" s="1"/>
  <c r="O11" i="439" s="1"/>
  <c r="Q11" i="439" s="1"/>
  <c r="M7" i="340"/>
  <c r="O7" i="340" s="1"/>
  <c r="O8" i="439" s="1"/>
  <c r="T8" i="439" s="1"/>
  <c r="M11" i="340"/>
  <c r="O11" i="340" s="1"/>
  <c r="O12" i="439" s="1"/>
  <c r="Q12" i="439" s="1"/>
  <c r="M6" i="340"/>
  <c r="O6" i="340" s="1"/>
  <c r="M8" i="340"/>
  <c r="O8" i="340" s="1"/>
  <c r="O9" i="439" s="1"/>
  <c r="Q9" i="439" s="1"/>
  <c r="S10" i="439"/>
  <c r="S8" i="439"/>
  <c r="BQ12" i="439"/>
  <c r="P11" i="439"/>
  <c r="BQ9" i="439"/>
  <c r="S11" i="439"/>
  <c r="S6" i="439"/>
  <c r="S7" i="439"/>
  <c r="S5" i="439"/>
  <c r="T9" i="439" l="1"/>
  <c r="U8" i="439"/>
  <c r="T11" i="439"/>
  <c r="U11" i="439" s="1"/>
  <c r="E4" i="366"/>
  <c r="O7" i="439"/>
  <c r="Q8" i="439"/>
  <c r="R8" i="439" s="1"/>
  <c r="T10" i="439"/>
  <c r="U10" i="439" s="1"/>
  <c r="T12" i="439"/>
  <c r="R11" i="439"/>
  <c r="Q7" i="439" l="1"/>
  <c r="R7" i="439" s="1"/>
  <c r="T7" i="439"/>
  <c r="U7" i="439" s="1"/>
  <c r="D3" i="440" l="1"/>
  <c r="G4" i="430"/>
  <c r="F4" i="328"/>
  <c r="N9" i="439" s="1"/>
  <c r="O3" i="440" l="1"/>
  <c r="P3" i="440"/>
  <c r="N3" i="440"/>
  <c r="L3" i="440"/>
  <c r="M3" i="440"/>
  <c r="K3" i="440"/>
  <c r="R3" i="440"/>
  <c r="Q3" i="440" l="1"/>
  <c r="S3" i="440" l="1"/>
  <c r="AK5" i="439" s="1"/>
  <c r="AA5" i="439"/>
  <c r="G3" i="430" l="1"/>
  <c r="E3" i="430"/>
  <c r="E4" i="430"/>
  <c r="BG8" i="439" l="1"/>
  <c r="BG5" i="439"/>
  <c r="BG6" i="439"/>
  <c r="BG10" i="439"/>
  <c r="BG12" i="439"/>
  <c r="BG9" i="439"/>
  <c r="BG11" i="439"/>
  <c r="BG7" i="439"/>
  <c r="BF8" i="439"/>
  <c r="BF5" i="439"/>
  <c r="BF9" i="439"/>
  <c r="BF10" i="439"/>
  <c r="BF6" i="439"/>
  <c r="BF12" i="439"/>
  <c r="BF11" i="439"/>
  <c r="BF7" i="439"/>
  <c r="AQ9" i="439" l="1"/>
  <c r="BB9" i="439"/>
  <c r="BA9" i="439"/>
  <c r="AR9" i="439"/>
  <c r="BC6" i="439"/>
  <c r="BD6" i="439"/>
  <c r="AS6" i="439"/>
  <c r="AQ8" i="439"/>
  <c r="AR8" i="439"/>
  <c r="BA8" i="439"/>
  <c r="BB8" i="439"/>
  <c r="BD11" i="439"/>
  <c r="AS11" i="439"/>
  <c r="BC11" i="439"/>
  <c r="AS12" i="439"/>
  <c r="BD12" i="439"/>
  <c r="BC12" i="439"/>
  <c r="AS5" i="439"/>
  <c r="BD5" i="439"/>
  <c r="BC5" i="439"/>
  <c r="BJ10" i="439"/>
  <c r="BA10" i="439"/>
  <c r="AQ10" i="439"/>
  <c r="AR10" i="439"/>
  <c r="BB10" i="439"/>
  <c r="BJ5" i="439"/>
  <c r="BB5" i="439"/>
  <c r="AQ5" i="439"/>
  <c r="BA5" i="439"/>
  <c r="AR5" i="439"/>
  <c r="AS7" i="439"/>
  <c r="BD7" i="439"/>
  <c r="BC7" i="439"/>
  <c r="AS9" i="439"/>
  <c r="AT9" i="439" s="1"/>
  <c r="BD9" i="439"/>
  <c r="BC9" i="439"/>
  <c r="BA7" i="439"/>
  <c r="BJ7" i="439"/>
  <c r="AQ7" i="439"/>
  <c r="AR7" i="439"/>
  <c r="BB7" i="439"/>
  <c r="BD10" i="439"/>
  <c r="BC10" i="439"/>
  <c r="AS10" i="439"/>
  <c r="AR11" i="439"/>
  <c r="BJ11" i="439"/>
  <c r="AQ11" i="439"/>
  <c r="BA11" i="439"/>
  <c r="BB11" i="439"/>
  <c r="BB12" i="439"/>
  <c r="BA12" i="439"/>
  <c r="AQ12" i="439"/>
  <c r="AR12" i="439"/>
  <c r="BB6" i="439"/>
  <c r="AR6" i="439"/>
  <c r="AQ6" i="439"/>
  <c r="BJ6" i="439"/>
  <c r="BA6" i="439"/>
  <c r="BD8" i="439"/>
  <c r="BC8" i="439"/>
  <c r="AS8" i="439"/>
  <c r="AT7" i="439" l="1"/>
  <c r="BE11" i="439"/>
  <c r="AT10" i="439"/>
  <c r="BE6" i="439"/>
  <c r="BE10" i="439"/>
  <c r="AT12" i="439"/>
  <c r="AT6" i="439"/>
  <c r="AT5" i="439"/>
  <c r="BE9" i="439"/>
  <c r="BE12" i="439"/>
  <c r="BE8" i="439"/>
  <c r="BE5" i="439"/>
  <c r="AT8" i="439"/>
  <c r="BE7" i="439"/>
  <c r="AT11" i="439"/>
  <c r="G5" i="348" l="1"/>
  <c r="G4" i="348"/>
  <c r="G3" i="348"/>
  <c r="G2" i="348"/>
  <c r="BN5" i="439" s="1"/>
  <c r="E27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G23" i="366"/>
  <c r="H23" i="366" s="1"/>
  <c r="D23" i="366"/>
  <c r="F23" i="366" s="1"/>
  <c r="C23" i="366"/>
  <c r="A23" i="366"/>
  <c r="G22" i="366"/>
  <c r="H22" i="366" s="1"/>
  <c r="D22" i="366"/>
  <c r="F22" i="366" s="1"/>
  <c r="C22" i="366"/>
  <c r="A22" i="366"/>
  <c r="A9" i="366"/>
  <c r="F5" i="366"/>
  <c r="G6" i="347"/>
  <c r="K6" i="347"/>
  <c r="K5" i="347"/>
  <c r="K4" i="347"/>
  <c r="F10" i="328"/>
  <c r="F9" i="328"/>
  <c r="F8" i="328"/>
  <c r="F7" i="328"/>
  <c r="F6" i="328"/>
  <c r="S5" i="328"/>
  <c r="F5" i="328"/>
  <c r="N12" i="439" s="1"/>
  <c r="A5" i="340"/>
  <c r="A6" i="340" s="1"/>
  <c r="A7" i="340" s="1"/>
  <c r="A8" i="340" s="1"/>
  <c r="A9" i="340" s="1"/>
  <c r="A10" i="340" s="1"/>
  <c r="A11" i="340" s="1"/>
  <c r="J4" i="430"/>
  <c r="I4" i="430"/>
  <c r="H4" i="430"/>
  <c r="J3" i="430"/>
  <c r="I3" i="430"/>
  <c r="H3" i="430"/>
  <c r="K3" i="430" l="1"/>
  <c r="Y5" i="439" s="1"/>
  <c r="AU5" i="439" s="1"/>
  <c r="BQ5" i="439" s="1"/>
  <c r="H1" i="347"/>
  <c r="L6" i="347"/>
  <c r="H2" i="347"/>
  <c r="J2" i="347"/>
  <c r="J1" i="347"/>
  <c r="G5" i="347"/>
  <c r="I2" i="347"/>
  <c r="G4" i="347"/>
  <c r="I1" i="347"/>
  <c r="F9" i="366"/>
  <c r="K4" i="430"/>
  <c r="M4" i="340"/>
  <c r="M5" i="340"/>
  <c r="O5" i="340" s="1"/>
  <c r="O6" i="439" s="1"/>
  <c r="F27" i="366"/>
  <c r="O4" i="340" l="1"/>
  <c r="O5" i="439" s="1"/>
  <c r="Q6" i="439"/>
  <c r="R6" i="439" s="1"/>
  <c r="T6" i="439"/>
  <c r="U6" i="439" s="1"/>
  <c r="Z5" i="439"/>
  <c r="F4" i="366"/>
  <c r="L4" i="347"/>
  <c r="L5" i="347"/>
  <c r="G2" i="347"/>
  <c r="G1" i="347"/>
  <c r="Q5" i="439" l="1"/>
  <c r="R5" i="439" s="1"/>
  <c r="T5" i="439"/>
  <c r="U5" i="439" s="1"/>
  <c r="F8" i="366"/>
  <c r="F2" i="5"/>
  <c r="AB5" i="439" s="1"/>
  <c r="AJ5" i="439" s="1"/>
  <c r="H2" i="5" l="1"/>
  <c r="AL5" i="439" s="1"/>
  <c r="AV5" i="439" s="1"/>
  <c r="AW5" i="439" s="1"/>
  <c r="AX5" i="439" l="1"/>
  <c r="AY5" i="439"/>
  <c r="AZ5" i="439" s="1"/>
  <c r="G2" i="5"/>
  <c r="BR5" i="439" l="1"/>
  <c r="BM5" i="439"/>
  <c r="AB7" i="439" l="1"/>
  <c r="AL7" i="439" l="1"/>
  <c r="Y12" i="439" l="1"/>
  <c r="Z12" i="439" s="1"/>
  <c r="Y8" i="439"/>
  <c r="Y11" i="439"/>
  <c r="Y9" i="439"/>
  <c r="Z9" i="439" s="1"/>
  <c r="Y7" i="439"/>
  <c r="Y10" i="439"/>
  <c r="Y6" i="439"/>
  <c r="P12" i="439"/>
  <c r="R12" i="439" s="1"/>
  <c r="S12" i="439"/>
  <c r="U12" i="439" s="1"/>
  <c r="AJ12" i="439" s="1"/>
  <c r="P9" i="439"/>
  <c r="R9" i="439" s="1"/>
  <c r="S9" i="439"/>
  <c r="U9" i="439" s="1"/>
  <c r="AU10" i="439" l="1"/>
  <c r="BQ10" i="439" s="1"/>
  <c r="Z10" i="439"/>
  <c r="AJ10" i="439" s="1"/>
  <c r="AU7" i="439"/>
  <c r="BQ7" i="439" s="1"/>
  <c r="Z7" i="439"/>
  <c r="Z11" i="439"/>
  <c r="AJ11" i="439" s="1"/>
  <c r="AU11" i="439"/>
  <c r="BQ11" i="439" s="1"/>
  <c r="AU8" i="439"/>
  <c r="BQ8" i="439" s="1"/>
  <c r="Z8" i="439"/>
  <c r="AJ8" i="439" s="1"/>
  <c r="AH7" i="439"/>
  <c r="AU6" i="439"/>
  <c r="BQ6" i="439" s="1"/>
  <c r="Z6" i="439"/>
  <c r="AJ6" i="439" s="1"/>
  <c r="AJ9" i="439"/>
  <c r="AV9" i="439" s="1"/>
  <c r="AW9" i="439" s="1"/>
  <c r="AZ9" i="439" s="1"/>
  <c r="BR9" i="439" s="1"/>
  <c r="AV12" i="439"/>
  <c r="AW12" i="439" s="1"/>
  <c r="AZ12" i="439" s="1"/>
  <c r="BR12" i="439" s="1"/>
  <c r="AV11" i="439" l="1"/>
  <c r="AW11" i="439" s="1"/>
  <c r="AV6" i="439"/>
  <c r="AW6" i="439" s="1"/>
  <c r="AV10" i="439"/>
  <c r="AW10" i="439" s="1"/>
  <c r="AV8" i="439"/>
  <c r="AW8" i="439" s="1"/>
  <c r="AJ7" i="439"/>
  <c r="BM12" i="439"/>
  <c r="BM9" i="439"/>
  <c r="AY10" i="439" l="1"/>
  <c r="AX10" i="439"/>
  <c r="AV7" i="439"/>
  <c r="AW7" i="439" s="1"/>
  <c r="AY6" i="439"/>
  <c r="AX6" i="439"/>
  <c r="AY8" i="439"/>
  <c r="AX8" i="439"/>
  <c r="AX11" i="439"/>
  <c r="AY11" i="439"/>
  <c r="AZ10" i="439" l="1"/>
  <c r="AZ8" i="439"/>
  <c r="BR8" i="439" s="1"/>
  <c r="AZ6" i="439"/>
  <c r="BR6" i="439" s="1"/>
  <c r="AZ11" i="439"/>
  <c r="BR11" i="439" s="1"/>
  <c r="BR10" i="439"/>
  <c r="BM10" i="439"/>
  <c r="AY7" i="439"/>
  <c r="AX7" i="439"/>
  <c r="BM6" i="439" l="1"/>
  <c r="BM8" i="439"/>
  <c r="BM11" i="439"/>
  <c r="AZ7" i="439"/>
  <c r="BR7" i="439" s="1"/>
  <c r="BM7" i="439" l="1"/>
  <c r="K9" i="430" l="1"/>
  <c r="K8" i="430"/>
  <c r="K10" i="430"/>
  <c r="K7" i="430"/>
  <c r="K6" i="430"/>
  <c r="K5" i="430"/>
  <c r="S9" i="440" l="1"/>
  <c r="Q9" i="440"/>
  <c r="K9" i="440"/>
  <c r="R10" i="440"/>
  <c r="Q10" i="440"/>
  <c r="K10" i="440"/>
  <c r="K6" i="440"/>
  <c r="Q6" i="440"/>
  <c r="S6" i="440"/>
  <c r="K7" i="440"/>
  <c r="Q7" i="440"/>
  <c r="R7" i="440"/>
  <c r="K4" i="440"/>
  <c r="Q4" i="440"/>
  <c r="S4" i="440"/>
  <c r="S8" i="440"/>
  <c r="K8" i="440"/>
  <c r="Q8" i="440"/>
  <c r="N8" i="440"/>
  <c r="N10" i="440"/>
  <c r="N7" i="440"/>
  <c r="N9" i="440"/>
  <c r="N4" i="440"/>
  <c r="N5" i="440"/>
  <c r="N6" i="440"/>
  <c r="O7" i="440"/>
  <c r="O4" i="440"/>
  <c r="O6" i="440"/>
  <c r="O8" i="440"/>
  <c r="O9" i="440"/>
  <c r="O5" i="440"/>
  <c r="O10" i="440"/>
  <c r="M7" i="440"/>
  <c r="M10" i="440"/>
  <c r="M4" i="440"/>
  <c r="M8" i="440"/>
  <c r="M9" i="440"/>
  <c r="M5" i="440"/>
  <c r="M6" i="440"/>
  <c r="L6" i="440"/>
  <c r="L10" i="440"/>
  <c r="L4" i="440"/>
  <c r="L8" i="440"/>
  <c r="L9" i="440"/>
  <c r="L5" i="440"/>
  <c r="L7" i="440"/>
  <c r="K5" i="440"/>
  <c r="Q5" i="440"/>
  <c r="S5" i="440"/>
  <c r="P4" i="440"/>
  <c r="P6" i="440"/>
  <c r="P8" i="440"/>
  <c r="P7" i="440"/>
  <c r="P9" i="440"/>
  <c r="P5" i="440"/>
  <c r="P10" i="4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4" authorId="0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<sst xmlns="http://schemas.openxmlformats.org/spreadsheetml/2006/main" count="417" uniqueCount="245">
  <si>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</si>
  <si>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</si>
  <si>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</si>
  <si>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</si>
  <si>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</si>
  <si>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</si>
  <si>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</si>
  <si>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</si>
  <si>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</si>
  <si>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</si>
  <si>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</si>
  <si>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</si>
  <si>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</si>
  <si>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</si>
  <si>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</si>
  <si>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</si>
  <si>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</si>
  <si>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</si>
  <si>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</si>
  <si>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</si>
  <si>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</si>
  <si>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</si>
  <si>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</si>
  <si>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</si>
  <si>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No</t>
  </si>
  <si>
    <t>Overtime taxable</t>
  </si>
  <si>
    <t>OT.Untaxable</t>
  </si>
  <si>
    <t>Emp. Code</t>
  </si>
  <si>
    <t>Full name</t>
  </si>
  <si>
    <t>Department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</si>
  <si>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</si>
  <si>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</si>
  <si>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</si>
  <si>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</si>
  <si>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</si>
  <si>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</si>
  <si>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</si>
  <si>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</si>
  <si>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</si>
  <si>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Tổng ngày Off</t>
  </si>
  <si>
    <t>Total days/month</t>
  </si>
  <si>
    <t>Compensation</t>
  </si>
  <si>
    <t>OT
Sunday</t>
  </si>
  <si>
    <t>OT
Holiday</t>
  </si>
  <si>
    <t>Bộ Phận</t>
  </si>
  <si>
    <t>REMARK</t>
  </si>
  <si>
    <t xml:space="preserve">Joining date
</t>
  </si>
  <si>
    <t>Self-
deduction</t>
  </si>
  <si>
    <t xml:space="preserve">Total
payment
(VND)
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</si>
  <si>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</si>
  <si>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</si>
  <si>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</si>
  <si>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</si>
  <si>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</si>
  <si>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</si>
  <si>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</si>
  <si>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</si>
  <si>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</si>
  <si>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</si>
  <si>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</si>
  <si>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</si>
  <si>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</si>
  <si>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</si>
  <si>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</si>
  <si>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</si>
  <si>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</si>
  <si>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</si>
  <si>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</si>
  <si>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</si>
  <si>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</si>
  <si>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</si>
  <si>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Cashier Staff</t>
  </si>
  <si>
    <t>PP.Shipper</t>
  </si>
  <si>
    <t>Thâm niên CASHIER bổ sung</t>
  </si>
  <si>
    <t>1/2AL</t>
  </si>
  <si>
    <t>Security Staff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</si>
  <si>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</si>
  <si>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</si>
  <si>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</si>
  <si>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</si>
  <si>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</si>
  <si>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</si>
  <si>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</si>
  <si>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</si>
  <si>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</si>
  <si>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</si>
  <si>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</si>
  <si>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</si>
  <si>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</si>
  <si>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</si>
  <si>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</si>
  <si>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</si>
  <si>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</si>
  <si>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</si>
  <si>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</si>
  <si>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</si>
  <si>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</si>
  <si>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</si>
  <si>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Shipper Staff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</si>
  <si>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</si>
  <si>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</si>
  <si>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</si>
  <si>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</si>
  <si>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</si>
  <si>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</si>
  <si>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</si>
  <si>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</si>
  <si>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</si>
  <si>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</si>
  <si>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</si>
  <si>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</si>
  <si>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</si>
  <si>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</si>
  <si>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</si>
  <si>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</si>
  <si>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</si>
  <si>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</si>
  <si>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</si>
  <si>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</si>
  <si>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</si>
  <si>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</si>
  <si>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</si>
  <si>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</si>
  <si>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</si>
  <si>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</si>
  <si>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</si>
  <si>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</si>
  <si>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</si>
  <si>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</si>
  <si>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</si>
  <si>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</si>
  <si>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</si>
  <si>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</si>
  <si>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</si>
  <si>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</si>
  <si>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</si>
  <si>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</si>
  <si>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</si>
  <si>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</si>
  <si>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</si>
  <si>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</si>
  <si>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</si>
  <si>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</si>
  <si>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</si>
  <si>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</si>
  <si>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</si>
  <si>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</si>
  <si>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</si>
  <si>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</si>
  <si>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</si>
  <si>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</si>
  <si>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</si>
  <si>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</si>
  <si>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</si>
  <si>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</si>
  <si>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</si>
  <si>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</si>
  <si>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</si>
  <si>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</si>
  <si>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</si>
  <si>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</si>
  <si>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</si>
  <si>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</si>
  <si>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</si>
  <si>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</si>
  <si>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</si>
  <si>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</si>
  <si>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</si>
  <si>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</si>
  <si>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</si>
  <si>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 xml:space="preserve">PVT - Cashier </t>
  </si>
  <si>
    <t>Actual 
Basic Salary current month</t>
  </si>
  <si>
    <t xml:space="preserve">Efficiency salary Advance current month </t>
  </si>
  <si>
    <t>Tham gia BHXH</t>
  </si>
  <si>
    <t>Đối tượng tính thuế TNCN</t>
  </si>
  <si>
    <t>Tham gia Công đoàn</t>
  </si>
  <si>
    <t>Tham gia Tang chế</t>
  </si>
  <si>
    <t>Gift (10%)</t>
  </si>
  <si>
    <t>Nguyen Van A</t>
  </si>
  <si>
    <t>Nguyen Van B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</si>
  <si>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</si>
  <si>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</si>
  <si>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</si>
  <si>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</si>
  <si>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</si>
  <si>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</si>
  <si>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</si>
  <si>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>Số đám tang phát sinh trong kỳ</t>
  </si>
  <si>
    <t>Truy thu BHYT 3%</t>
  </si>
  <si>
    <t>Truy thu BHYT 1.5%</t>
  </si>
  <si>
    <t xml:space="preserve">TEAMPLATE PAYROLL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</si>
  <si>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</si>
  <si>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</si>
  <si>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</si>
  <si>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</si>
  <si>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</si>
  <si>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</si>
  <si>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</si>
  <si>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</si>
  <si>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</si>
  <si>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</si>
  <si>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</si>
  <si>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</si>
  <si>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</si>
  <si>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</si>
  <si>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</si>
  <si>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</si>
  <si>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</si>
  <si>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</si>
  <si>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</si>
  <si>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</si>
  <si>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</si>
  <si>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</si>
  <si>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</si>
  <si>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</si>
  <si>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</si>
  <si>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</si>
  <si>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</si>
  <si>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</si>
  <si>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</si>
  <si>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</si>
  <si>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</si>
  <si>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</si>
  <si>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</si>
  <si>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</si>
  <si>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</si>
  <si>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</si>
  <si>
    <t>Hour_150</t>
  </si>
  <si>
    <t>Hour_215</t>
  </si>
  <si>
    <t>Hour_200</t>
  </si>
  <si>
    <t>Hour_280</t>
  </si>
  <si>
    <t>Hour_300</t>
  </si>
  <si>
    <t>Hour_410</t>
  </si>
  <si>
    <t>OTPay_150</t>
  </si>
  <si>
    <t>OTPay_215</t>
  </si>
  <si>
    <t>OTPay_200</t>
  </si>
  <si>
    <t>OTPay_280</t>
  </si>
  <si>
    <t>OTPay_300</t>
  </si>
  <si>
    <t>OTPay_410</t>
  </si>
  <si>
    <t>Admin Supervisor - Store Division</t>
  </si>
  <si>
    <t>HR Supervisor - Store Division</t>
  </si>
  <si>
    <t>HR Staff - Store Divison</t>
  </si>
  <si>
    <t>Treasury Staff</t>
  </si>
  <si>
    <t xml:space="preserve">Hr/Admin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</si>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</sst>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_-* #,##0.0\ _₫_-;\-* #,##0.0\ _₫_-;_-* &quot;-&quot;??\ _₫_-;_-@_-"/>
    <numFmt numFmtId="174" formatCode="_(* #,##0.0_);_(* \(#,##0.0\);_(* &quot;-&quot;??_);_(@_)"/>
    <numFmt numFmtId="175" formatCode="_-* #,##0.00_-;\-* #,##0.00_-;_-* &quot;-&quot;??_-;_-@_-"/>
    <numFmt numFmtId="176" formatCode="[$-409]d\-mmm\-yy;@"/>
    <numFmt numFmtId="177" formatCode="_-* #,##0_-;\-* #,##0_-;_-* &quot;-&quot;??_-;_-@_-"/>
    <numFmt numFmtId="178" formatCode="&quot; &quot;#,##0.00&quot; &quot;;&quot; (&quot;#,##0.00&quot;)&quot;;&quot; -&quot;00&quot; &quot;;&quot; &quot;@&quot; &quot;"/>
    <numFmt numFmtId="179" formatCode="_(* #,##0_);_(* \(#,##0\);_(* &quot;-&quot;?_);_(@_)"/>
    <numFmt numFmtId="180" formatCode="[$-1010000]d/m/yyyy;@"/>
    <numFmt numFmtId="181" formatCode="&quot; &quot;#,##0&quot; &quot;;&quot; (&quot;#,##0&quot;)&quot;;&quot; -&quot;00&quot; &quot;;&quot; &quot;@&quot; &quot;"/>
    <numFmt numFmtId="182" formatCode="dd\/mm\/yyyy"/>
    <numFmt numFmtId="183" formatCode="&quot; &quot;#,##0.0&quot; &quot;;&quot; (&quot;#,##0.0&quot;)&quot;;&quot; -&quot;00.0&quot; &quot;;&quot; &quot;@&quot; &quot;"/>
    <numFmt numFmtId="184" formatCode="0.0%"/>
    <numFmt numFmtId="185" formatCode="&quot; &quot;#,##0&quot; &quot;;&quot;-&quot;#,##0&quot; &quot;;&quot; -&quot;00&quot; &quot;;&quot; &quot;@&quot; &quot;"/>
  </numFmts>
  <fonts count="31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11"/>
      <color theme="0"/>
      <name val="Times New Roman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sz val="11"/>
      <color rgb="FF000000"/>
      <name val="Calibri"/>
      <family val="2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i/>
      <sz val="10"/>
      <name val="Times New Roman"/>
      <family val="1"/>
      <charset val="1"/>
    </font>
    <font>
      <b/>
      <sz val="28"/>
      <name val="Times New Roman"/>
      <family val="1"/>
    </font>
    <font>
      <sz val="14"/>
      <name val="Times New Roman"/>
      <family val="1"/>
    </font>
    <font>
      <sz val="10"/>
      <name val="Mangal"/>
      <family val="1"/>
    </font>
    <font>
      <sz val="10"/>
      <color rgb="FF00B0F0"/>
      <name val="Times New Roman"/>
      <family val="1"/>
    </font>
    <font>
      <i/>
      <sz val="9"/>
      <name val="Times New Roman"/>
      <family val="1"/>
    </font>
    <font>
      <sz val="12"/>
      <color rgb="FF000000"/>
      <name val="Times New Roman"/>
      <family val="1"/>
    </font>
    <font>
      <sz val="12"/>
      <color rgb="FF00B0F0"/>
      <name val="Times New Roman"/>
      <family val="1"/>
    </font>
    <font>
      <sz val="11"/>
      <color indexed="8"/>
      <name val="Times New Roman"/>
      <family val="1"/>
    </font>
    <font>
      <b/>
      <sz val="18"/>
      <name val="Times New Roman"/>
      <family val="1"/>
    </font>
    <font>
      <sz val="18"/>
      <color rgb="FF00B0F0"/>
      <name val="Mangal"/>
      <family val="2"/>
    </font>
    <font>
      <b/>
      <sz val="18"/>
      <color rgb="FF00B0F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0C0"/>
      </patternFill>
    </fill>
    <fill>
      <patternFill patternType="solid">
        <fgColor rgb="FF92D050"/>
        <bgColor indexed="64"/>
      </patternFill>
    </fill>
  </fills>
  <borders count="8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0" fillId="4" borderId="0" applyNumberFormat="0" applyBorder="0" applyAlignment="0" applyProtection="0"/>
    <xf numFmtId="0" fontId="255" fillId="5" borderId="0" applyNumberFormat="0" applyBorder="0" applyAlignment="0" applyProtection="0"/>
    <xf numFmtId="0" fontId="255" fillId="6" borderId="0" applyNumberFormat="0" applyBorder="0" applyAlignment="0" applyProtection="0"/>
    <xf numFmtId="0" fontId="255" fillId="7" borderId="0" applyNumberFormat="0" applyBorder="0" applyAlignment="0" applyProtection="0"/>
    <xf numFmtId="0" fontId="255" fillId="8" borderId="0" applyNumberFormat="0" applyBorder="0" applyAlignment="0" applyProtection="0"/>
    <xf numFmtId="0" fontId="256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3" fillId="0" borderId="0"/>
    <xf numFmtId="0" fontId="264" fillId="0" borderId="0"/>
    <xf numFmtId="43" fontId="264" fillId="0" borderId="0" applyFont="0" applyFill="0" applyBorder="0" applyAlignment="0" applyProtection="0"/>
    <xf numFmtId="0" fontId="234" fillId="0" borderId="0"/>
    <xf numFmtId="0" fontId="234" fillId="11" borderId="0" applyNumberFormat="0" applyBorder="0" applyAlignment="0" applyProtection="0"/>
    <xf numFmtId="0" fontId="233" fillId="0" borderId="0"/>
    <xf numFmtId="0" fontId="264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67" fillId="0" borderId="0"/>
    <xf numFmtId="0" fontId="261" fillId="13" borderId="0" applyNumberFormat="0" applyBorder="0" applyAlignment="0" applyProtection="0"/>
    <xf numFmtId="0" fontId="261" fillId="12" borderId="0" applyNumberFormat="0" applyBorder="0" applyAlignment="0" applyProtection="0"/>
    <xf numFmtId="0" fontId="261" fillId="10" borderId="0" applyNumberFormat="0" applyBorder="0" applyAlignment="0" applyProtection="0"/>
    <xf numFmtId="0" fontId="261" fillId="14" borderId="0" applyNumberFormat="0" applyBorder="0" applyAlignment="0" applyProtection="0"/>
    <xf numFmtId="0" fontId="267" fillId="11" borderId="0" applyNumberFormat="0" applyBorder="0" applyAlignment="0" applyProtection="0"/>
    <xf numFmtId="0" fontId="268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3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69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2" fillId="0" borderId="0">
      <alignment vertical="center"/>
    </xf>
    <xf numFmtId="175" fontId="272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73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76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77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3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3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79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5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5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5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5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1" fillId="18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5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5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5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5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5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5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5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5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5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5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5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5" fontId="108" fillId="0" borderId="0" applyFont="0" applyFill="0" applyBorder="0" applyAlignment="0" applyProtection="0"/>
    <xf numFmtId="0" fontId="107" fillId="0" borderId="0"/>
    <xf numFmtId="175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1" fillId="18" borderId="12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5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5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5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5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5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5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5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5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5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5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3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5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5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1" fillId="18" borderId="13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81" fillId="0" borderId="0"/>
    <xf numFmtId="0" fontId="58" fillId="0" borderId="0"/>
    <xf numFmtId="0" fontId="283" fillId="0" borderId="0"/>
    <xf numFmtId="0" fontId="57" fillId="0" borderId="0"/>
    <xf numFmtId="0" fontId="57" fillId="0" borderId="0"/>
    <xf numFmtId="0" fontId="284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86" fillId="0" borderId="0"/>
    <xf numFmtId="178" fontId="286" fillId="0" borderId="0" applyFont="0" applyFill="0" applyBorder="0" applyAlignment="0" applyProtection="0"/>
    <xf numFmtId="0" fontId="287" fillId="20" borderId="0" applyNumberFormat="0" applyBorder="0" applyAlignment="0" applyProtection="0"/>
    <xf numFmtId="0" fontId="286" fillId="21" borderId="0" applyNumberFormat="0" applyFont="0" applyBorder="0" applyAlignment="0" applyProtection="0"/>
    <xf numFmtId="0" fontId="287" fillId="20" borderId="0" applyNumberFormat="0" applyBorder="0" applyAlignment="0" applyProtection="0"/>
    <xf numFmtId="178" fontId="286" fillId="0" borderId="0" applyFont="0" applyFill="0" applyBorder="0" applyAlignment="0" applyProtection="0"/>
    <xf numFmtId="0" fontId="288" fillId="22" borderId="0" applyNumberFormat="0" applyBorder="0" applyAlignment="0" applyProtection="0"/>
    <xf numFmtId="0" fontId="289" fillId="0" borderId="0" applyNumberFormat="0" applyBorder="0" applyProtection="0"/>
    <xf numFmtId="0" fontId="286" fillId="0" borderId="0" applyNumberFormat="0" applyFont="0" applyBorder="0" applyProtection="0"/>
    <xf numFmtId="0" fontId="286" fillId="0" borderId="0" applyNumberFormat="0" applyFont="0" applyBorder="0" applyProtection="0"/>
    <xf numFmtId="0" fontId="286" fillId="0" borderId="0" applyNumberFormat="0" applyFont="0" applyBorder="0" applyProtection="0"/>
    <xf numFmtId="0" fontId="290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20">
      <alignment horizontal="center" vertical="center"/>
    </xf>
    <xf numFmtId="0" fontId="50" fillId="0" borderId="0"/>
    <xf numFmtId="43" fontId="50" fillId="0" borderId="0"/>
    <xf numFmtId="0" fontId="271" fillId="18" borderId="14">
      <alignment horizontal="center" vertical="center"/>
    </xf>
    <xf numFmtId="0" fontId="257" fillId="23" borderId="0"/>
    <xf numFmtId="0" fontId="291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5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293" fillId="0" borderId="0"/>
    <xf numFmtId="43" fontId="286" fillId="0" borderId="0" applyFont="0" applyFill="0" applyBorder="0" applyAlignment="0" applyProtection="0"/>
    <xf numFmtId="0" fontId="48" fillId="0" borderId="0"/>
    <xf numFmtId="43" fontId="48" fillId="0" borderId="0"/>
    <xf numFmtId="0" fontId="271" fillId="18" borderId="23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1" fillId="18" borderId="31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1" fillId="18" borderId="31">
      <alignment horizontal="center" vertical="center"/>
    </xf>
    <xf numFmtId="0" fontId="257" fillId="23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1" fillId="18" borderId="31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81" fillId="0" borderId="0"/>
    <xf numFmtId="166" fontId="236" fillId="0" borderId="0" applyFill="0" applyBorder="0" applyAlignment="0" applyProtection="0"/>
    <xf numFmtId="0" fontId="237" fillId="2" borderId="34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1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34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34">
      <alignment horizontal="center" vertical="center"/>
    </xf>
    <xf numFmtId="0" fontId="33" fillId="0" borderId="0"/>
    <xf numFmtId="43" fontId="33" fillId="0" borderId="0"/>
    <xf numFmtId="0" fontId="271" fillId="18" borderId="31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6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1" fillId="18" borderId="35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1" fillId="18" borderId="36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1" fillId="18" borderId="35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38">
      <alignment horizontal="center" vertical="center"/>
    </xf>
    <xf numFmtId="0" fontId="19" fillId="11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1" fillId="18" borderId="44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8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8">
      <alignment horizontal="center" vertical="center"/>
    </xf>
    <xf numFmtId="0" fontId="19" fillId="0" borderId="0"/>
    <xf numFmtId="43" fontId="19" fillId="0" borderId="0"/>
    <xf numFmtId="0" fontId="271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1" fillId="18" borderId="41">
      <alignment horizontal="center" vertical="center"/>
    </xf>
    <xf numFmtId="0" fontId="271" fillId="18" borderId="43">
      <alignment horizontal="center" vertical="center"/>
    </xf>
    <xf numFmtId="0" fontId="271" fillId="18" borderId="41">
      <alignment horizontal="center" vertical="center"/>
    </xf>
    <xf numFmtId="0" fontId="271" fillId="18" borderId="43">
      <alignment horizontal="center" vertical="center"/>
    </xf>
    <xf numFmtId="0" fontId="271" fillId="18" borderId="41">
      <alignment horizontal="center" vertical="center"/>
    </xf>
    <xf numFmtId="0" fontId="271" fillId="18" borderId="41">
      <alignment horizontal="center" vertical="center"/>
    </xf>
    <xf numFmtId="0" fontId="271" fillId="18" borderId="41">
      <alignment horizontal="center" vertical="center"/>
    </xf>
    <xf numFmtId="0" fontId="271" fillId="18" borderId="44">
      <alignment horizontal="center" vertical="center"/>
    </xf>
    <xf numFmtId="0" fontId="271" fillId="18" borderId="43">
      <alignment horizontal="center" vertical="center"/>
    </xf>
    <xf numFmtId="0" fontId="271" fillId="18" borderId="44">
      <alignment horizontal="center" vertical="center"/>
    </xf>
    <xf numFmtId="0" fontId="237" fillId="2" borderId="42">
      <alignment horizontal="center" vertical="center"/>
    </xf>
    <xf numFmtId="0" fontId="271" fillId="18" borderId="44">
      <alignment horizontal="center" vertical="center"/>
    </xf>
    <xf numFmtId="0" fontId="237" fillId="2" borderId="42">
      <alignment horizontal="center" vertical="center"/>
    </xf>
    <xf numFmtId="0" fontId="237" fillId="2" borderId="42">
      <alignment horizontal="center" vertical="center"/>
    </xf>
    <xf numFmtId="0" fontId="271" fillId="18" borderId="43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6">
      <alignment horizontal="center" vertical="center"/>
    </xf>
    <xf numFmtId="0" fontId="18" fillId="0" borderId="0"/>
    <xf numFmtId="43" fontId="18" fillId="0" borderId="0"/>
    <xf numFmtId="0" fontId="271" fillId="18" borderId="47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52">
      <alignment horizontal="center" vertical="center"/>
    </xf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48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1" fillId="18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271" fillId="18" borderId="49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49">
      <alignment horizontal="center" vertical="center"/>
    </xf>
    <xf numFmtId="0" fontId="271" fillId="18" borderId="49">
      <alignment horizontal="center" vertical="center"/>
    </xf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37" fillId="2" borderId="50">
      <alignment horizontal="center" vertical="center"/>
    </xf>
    <xf numFmtId="0" fontId="271" fillId="18" borderId="51">
      <alignment horizontal="center" vertical="center"/>
    </xf>
    <xf numFmtId="0" fontId="237" fillId="2" borderId="50">
      <alignment horizontal="center" vertical="center"/>
    </xf>
    <xf numFmtId="0" fontId="237" fillId="2" borderId="50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37" fillId="2" borderId="52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45">
      <alignment horizontal="center" vertical="center"/>
    </xf>
    <xf numFmtId="0" fontId="271" fillId="18" borderId="56">
      <alignment horizontal="center" vertical="center"/>
    </xf>
    <xf numFmtId="0" fontId="237" fillId="2" borderId="4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37" fillId="2" borderId="45">
      <alignment horizontal="center" vertical="center"/>
    </xf>
    <xf numFmtId="0" fontId="271" fillId="18" borderId="55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37" fillId="2" borderId="52">
      <alignment horizontal="center" vertical="center"/>
    </xf>
    <xf numFmtId="0" fontId="271" fillId="18" borderId="56">
      <alignment horizontal="center" vertical="center"/>
    </xf>
    <xf numFmtId="0" fontId="237" fillId="2" borderId="52">
      <alignment horizontal="center" vertical="center"/>
    </xf>
    <xf numFmtId="0" fontId="237" fillId="2" borderId="52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1" fillId="18" borderId="62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81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1" fillId="18" borderId="66">
      <alignment horizontal="center" vertical="center"/>
    </xf>
    <xf numFmtId="9" fontId="7" fillId="0" borderId="0"/>
    <xf numFmtId="0" fontId="271" fillId="18" borderId="67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86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357">
    <xf numFmtId="0" fontId="0" fillId="0" borderId="0" xfId="0"/>
    <xf numFmtId="0" fontId="259" fillId="0" borderId="0" xfId="623" applyFont="1" applyAlignment="1">
      <alignment vertical="center"/>
    </xf>
    <xf numFmtId="0" fontId="258" fillId="0" borderId="0" xfId="623" applyFont="1" applyAlignment="1">
      <alignment horizontal="center" vertical="center"/>
    </xf>
    <xf numFmtId="0" fontId="258" fillId="17" borderId="0" xfId="623" applyFont="1" applyFill="1" applyAlignment="1">
      <alignment vertical="center"/>
    </xf>
    <xf numFmtId="0" fontId="258" fillId="0" borderId="0" xfId="623" applyFont="1" applyAlignment="1">
      <alignment vertical="center"/>
    </xf>
    <xf numFmtId="0" fontId="247" fillId="0" borderId="0" xfId="629" applyFont="1"/>
    <xf numFmtId="0" fontId="285" fillId="0" borderId="0" xfId="0" applyFont="1"/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168" fontId="249" fillId="9" borderId="0" xfId="629" applyNumberFormat="1" applyFont="1" applyFill="1"/>
    <xf numFmtId="168" fontId="282" fillId="9" borderId="0" xfId="629" applyNumberFormat="1" applyFont="1" applyFill="1" applyAlignment="1">
      <alignment horizontal="center"/>
    </xf>
    <xf numFmtId="0" fontId="249" fillId="9" borderId="0" xfId="629" applyFont="1" applyFill="1"/>
    <xf numFmtId="0" fontId="237" fillId="9" borderId="9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2" fillId="9" borderId="20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9" xfId="662" applyNumberFormat="1" applyFont="1" applyFill="1" applyBorder="1" applyAlignment="1">
      <alignment horizontal="center"/>
    </xf>
    <xf numFmtId="0" fontId="248" fillId="9" borderId="9" xfId="662" applyFont="1" applyFill="1" applyBorder="1" applyAlignment="1">
      <alignment horizontal="center"/>
    </xf>
    <xf numFmtId="0" fontId="247" fillId="19" borderId="0" xfId="629" applyFont="1" applyFill="1" applyAlignment="1">
      <alignment vertical="center"/>
    </xf>
    <xf numFmtId="14" fontId="247" fillId="0" borderId="0" xfId="629" applyNumberFormat="1" applyFont="1" applyAlignment="1">
      <alignment horizontal="center"/>
    </xf>
    <xf numFmtId="0" fontId="251" fillId="0" borderId="0" xfId="629" applyFont="1" applyAlignment="1">
      <alignment horizontal="center"/>
    </xf>
    <xf numFmtId="0" fontId="259" fillId="0" borderId="23" xfId="623" applyFont="1" applyBorder="1" applyAlignment="1">
      <alignment horizontal="center" vertical="center"/>
    </xf>
    <xf numFmtId="0" fontId="259" fillId="0" borderId="23" xfId="627" applyFont="1" applyBorder="1" applyAlignment="1">
      <alignment vertical="center"/>
    </xf>
    <xf numFmtId="169" fontId="259" fillId="0" borderId="29" xfId="626" applyNumberFormat="1" applyFont="1" applyBorder="1" applyAlignment="1">
      <alignment horizontal="center" vertical="center"/>
    </xf>
    <xf numFmtId="167" fontId="280" fillId="9" borderId="0" xfId="629" applyNumberFormat="1" applyFont="1" applyFill="1"/>
    <xf numFmtId="167" fontId="280" fillId="19" borderId="0" xfId="629" applyNumberFormat="1" applyFont="1" applyFill="1"/>
    <xf numFmtId="0" fontId="292" fillId="9" borderId="0" xfId="629" applyFont="1" applyFill="1" applyAlignment="1">
      <alignment horizontal="center"/>
    </xf>
    <xf numFmtId="0" fontId="252" fillId="19" borderId="36" xfId="0" applyFont="1" applyFill="1" applyBorder="1" applyAlignment="1">
      <alignment horizontal="center" wrapText="1"/>
    </xf>
    <xf numFmtId="0" fontId="259" fillId="0" borderId="36" xfId="623" applyFont="1" applyBorder="1" applyAlignment="1">
      <alignment horizontal="center" vertical="center"/>
    </xf>
    <xf numFmtId="0" fontId="259" fillId="0" borderId="37" xfId="623" applyFont="1" applyBorder="1" applyAlignment="1">
      <alignment horizontal="center" vertical="center"/>
    </xf>
    <xf numFmtId="14" fontId="258" fillId="16" borderId="23" xfId="623" applyNumberFormat="1" applyFont="1" applyFill="1" applyBorder="1" applyAlignment="1">
      <alignment vertical="center"/>
    </xf>
    <xf numFmtId="14" fontId="258" fillId="16" borderId="37" xfId="623" applyNumberFormat="1" applyFont="1" applyFill="1" applyBorder="1" applyAlignment="1">
      <alignment vertical="center"/>
    </xf>
    <xf numFmtId="14" fontId="258" fillId="16" borderId="36" xfId="623" applyNumberFormat="1" applyFont="1" applyFill="1" applyBorder="1" applyAlignment="1">
      <alignment vertical="center"/>
    </xf>
    <xf numFmtId="0" fontId="259" fillId="0" borderId="59" xfId="623" applyFont="1" applyBorder="1" applyAlignment="1">
      <alignment horizontal="center" vertical="center"/>
    </xf>
    <xf numFmtId="0" fontId="252" fillId="19" borderId="59" xfId="0" applyFont="1" applyFill="1" applyBorder="1" applyAlignment="1">
      <alignment horizontal="center" wrapText="1"/>
    </xf>
    <xf numFmtId="0" fontId="259" fillId="0" borderId="59" xfId="627" applyFont="1" applyBorder="1" applyAlignment="1">
      <alignment vertical="center"/>
    </xf>
    <xf numFmtId="14" fontId="258" fillId="16" borderId="59" xfId="623" applyNumberFormat="1" applyFont="1" applyFill="1" applyBorder="1" applyAlignment="1">
      <alignment vertical="center"/>
    </xf>
    <xf numFmtId="0" fontId="4" fillId="0" borderId="0" xfId="6020"/>
    <xf numFmtId="0" fontId="278" fillId="0" borderId="67" xfId="6020" applyFont="1" applyBorder="1"/>
    <xf numFmtId="171" fontId="278" fillId="0" borderId="67" xfId="6021" applyNumberFormat="1" applyFont="1" applyBorder="1"/>
    <xf numFmtId="171" fontId="270" fillId="0" borderId="67" xfId="6020" applyNumberFormat="1" applyFont="1" applyBorder="1"/>
    <xf numFmtId="167" fontId="259" fillId="0" borderId="67" xfId="1" applyNumberFormat="1" applyFont="1" applyBorder="1"/>
    <xf numFmtId="0" fontId="278" fillId="0" borderId="67" xfId="6020" applyFont="1" applyBorder="1" applyAlignment="1">
      <alignment shrinkToFit="1"/>
    </xf>
    <xf numFmtId="14" fontId="278" fillId="0" borderId="67" xfId="6020" applyNumberFormat="1" applyFont="1" applyBorder="1"/>
    <xf numFmtId="0" fontId="1" fillId="0" borderId="0" xfId="6020" applyFont="1"/>
    <xf numFmtId="0" fontId="280" fillId="0" borderId="0" xfId="6031" applyFont="1" applyAlignment="1">
      <alignment wrapText="1"/>
    </xf>
    <xf numFmtId="0" fontId="280" fillId="0" borderId="68" xfId="6031" applyFont="1" applyBorder="1" applyAlignment="1">
      <alignment wrapText="1"/>
    </xf>
    <xf numFmtId="0" fontId="258" fillId="0" borderId="0" xfId="6031" applyFont="1"/>
    <xf numFmtId="0" fontId="258" fillId="0" borderId="0" xfId="6031" applyFont="1" applyAlignment="1">
      <alignment shrinkToFit="1"/>
    </xf>
    <xf numFmtId="171" fontId="258" fillId="0" borderId="0" xfId="6032" applyNumberFormat="1" applyFont="1"/>
    <xf numFmtId="0" fontId="280" fillId="0" borderId="0" xfId="6031" applyFont="1"/>
    <xf numFmtId="0" fontId="265" fillId="0" borderId="0" xfId="666" applyFont="1" applyFill="1" applyAlignment="1">
      <alignment horizontal="center" vertical="center" wrapText="1"/>
    </xf>
    <xf numFmtId="0" fontId="280" fillId="0" borderId="62" xfId="0" applyFont="1" applyBorder="1" applyAlignment="1">
      <alignment horizontal="center"/>
    </xf>
    <xf numFmtId="0" fontId="252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0" fontId="259" fillId="0" borderId="67" xfId="6020" applyFont="1" applyBorder="1"/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0" fontId="258" fillId="0" borderId="60" xfId="0" applyFont="1" applyBorder="1" applyAlignment="1">
      <alignment horizontal="left"/>
    </xf>
    <xf numFmtId="0" fontId="258" fillId="0" borderId="61" xfId="0" applyFont="1" applyBorder="1" applyAlignment="1">
      <alignment horizontal="left"/>
    </xf>
    <xf numFmtId="14" fontId="258" fillId="0" borderId="61" xfId="0" applyNumberFormat="1" applyFont="1" applyBorder="1" applyAlignment="1">
      <alignment horizontal="left"/>
    </xf>
    <xf numFmtId="182" fontId="300" fillId="0" borderId="0" xfId="0" applyNumberFormat="1" applyFont="1" applyAlignment="1">
      <alignment horizontal="left" wrapText="1"/>
    </xf>
    <xf numFmtId="14" fontId="300" fillId="0" borderId="0" xfId="0" applyNumberFormat="1" applyFont="1" applyAlignment="1">
      <alignment horizontal="left" wrapText="1"/>
    </xf>
    <xf numFmtId="180" fontId="300" fillId="0" borderId="0" xfId="0" quotePrefix="1" applyNumberFormat="1" applyFont="1" applyAlignment="1">
      <alignment horizontal="left" wrapText="1"/>
    </xf>
    <xf numFmtId="180" fontId="300" fillId="0" borderId="0" xfId="0" applyNumberFormat="1" applyFont="1" applyAlignment="1">
      <alignment horizontal="left" wrapText="1"/>
    </xf>
    <xf numFmtId="0" fontId="258" fillId="17" borderId="0" xfId="623" applyFont="1" applyFill="1" applyAlignment="1">
      <alignment horizontal="center" vertical="center"/>
    </xf>
    <xf numFmtId="0" fontId="262" fillId="16" borderId="65" xfId="6031" applyFont="1" applyFill="1" applyBorder="1" applyAlignment="1">
      <alignment horizontal="left" vertical="center"/>
    </xf>
    <xf numFmtId="0" fontId="262" fillId="16" borderId="65" xfId="6031" applyFont="1" applyFill="1" applyBorder="1" applyAlignment="1">
      <alignment horizontal="left" vertical="center" shrinkToFit="1"/>
    </xf>
    <xf numFmtId="0" fontId="259" fillId="0" borderId="67" xfId="6020" applyFont="1" applyBorder="1" applyAlignment="1">
      <alignment shrinkToFit="1"/>
    </xf>
    <xf numFmtId="0" fontId="262" fillId="24" borderId="0" xfId="0" applyFont="1" applyFill="1" applyAlignment="1">
      <alignment horizontal="center" vertical="center"/>
    </xf>
    <xf numFmtId="0" fontId="262" fillId="25" borderId="0" xfId="0" applyFont="1" applyFill="1" applyAlignment="1">
      <alignment horizontal="center" vertical="center"/>
    </xf>
    <xf numFmtId="0" fontId="295" fillId="0" borderId="67" xfId="697" applyFont="1" applyBorder="1" applyAlignment="1">
      <alignment horizontal="left" vertical="center"/>
    </xf>
    <xf numFmtId="177" fontId="259" fillId="0" borderId="67" xfId="672" applyNumberFormat="1" applyFont="1" applyFill="1" applyBorder="1" applyAlignment="1">
      <alignment horizontal="left" vertical="center" wrapText="1"/>
    </xf>
    <xf numFmtId="171" fontId="259" fillId="0" borderId="67" xfId="3" applyNumberFormat="1" applyFont="1" applyFill="1" applyBorder="1" applyAlignment="1">
      <alignment horizontal="left" vertical="center" wrapText="1"/>
    </xf>
    <xf numFmtId="0" fontId="301" fillId="0" borderId="0" xfId="669" applyFont="1"/>
    <xf numFmtId="171" fontId="258" fillId="0" borderId="67" xfId="1" applyNumberFormat="1" applyFont="1" applyFill="1" applyBorder="1"/>
    <xf numFmtId="171" fontId="258" fillId="0" borderId="67" xfId="669" applyNumberFormat="1" applyFont="1" applyBorder="1"/>
    <xf numFmtId="0" fontId="302" fillId="0" borderId="0" xfId="669" applyFont="1"/>
    <xf numFmtId="167" fontId="304" fillId="0" borderId="5" xfId="1" applyNumberFormat="1" applyFont="1" applyFill="1" applyBorder="1" applyAlignment="1" applyProtection="1">
      <alignment vertical="center"/>
    </xf>
    <xf numFmtId="0" fontId="253" fillId="0" borderId="0" xfId="0" applyFont="1" applyAlignment="1">
      <alignment vertical="center"/>
    </xf>
    <xf numFmtId="0" fontId="296" fillId="0" borderId="67" xfId="0" applyFont="1" applyBorder="1" applyAlignment="1">
      <alignment horizontal="center" vertical="center" wrapText="1"/>
    </xf>
    <xf numFmtId="14" fontId="262" fillId="0" borderId="67" xfId="0" applyNumberFormat="1" applyFont="1" applyBorder="1" applyAlignment="1">
      <alignment vertical="center"/>
    </xf>
    <xf numFmtId="171" fontId="266" fillId="0" borderId="67" xfId="1" applyNumberFormat="1" applyFont="1" applyFill="1" applyBorder="1"/>
    <xf numFmtId="0" fontId="254" fillId="0" borderId="0" xfId="0" applyFont="1" applyAlignment="1">
      <alignment horizontal="center" vertical="center"/>
    </xf>
    <xf numFmtId="0" fontId="253" fillId="0" borderId="0" xfId="0" applyFont="1"/>
    <xf numFmtId="3" fontId="253" fillId="0" borderId="0" xfId="0" applyNumberFormat="1" applyFont="1"/>
    <xf numFmtId="4" fontId="253" fillId="0" borderId="0" xfId="0" applyNumberFormat="1" applyFont="1"/>
    <xf numFmtId="0" fontId="262" fillId="0" borderId="65" xfId="6031" applyFont="1" applyBorder="1" applyAlignment="1">
      <alignment horizontal="left" vertical="center"/>
    </xf>
    <xf numFmtId="0" fontId="262" fillId="0" borderId="65" xfId="6031" applyFont="1" applyBorder="1" applyAlignment="1">
      <alignment horizontal="left" vertical="center" shrinkToFit="1"/>
    </xf>
    <xf numFmtId="0" fontId="262" fillId="0" borderId="65" xfId="6031" applyFont="1" applyBorder="1" applyAlignment="1">
      <alignment horizontal="center" vertical="center"/>
    </xf>
    <xf numFmtId="0" fontId="262" fillId="0" borderId="65" xfId="6031" applyFont="1" applyBorder="1" applyAlignment="1">
      <alignment vertical="center"/>
    </xf>
    <xf numFmtId="171" fontId="262" fillId="0" borderId="65" xfId="6032" applyNumberFormat="1" applyFont="1" applyBorder="1" applyAlignment="1">
      <alignment vertical="center"/>
    </xf>
    <xf numFmtId="174" fontId="262" fillId="0" borderId="65" xfId="6032" applyNumberFormat="1" applyFont="1" applyBorder="1" applyAlignment="1">
      <alignment vertical="center"/>
    </xf>
    <xf numFmtId="171" fontId="262" fillId="0" borderId="65" xfId="6032" applyNumberFormat="1" applyFont="1" applyBorder="1" applyAlignment="1">
      <alignment horizontal="center" vertical="center"/>
    </xf>
    <xf numFmtId="171" fontId="262" fillId="0" borderId="65" xfId="6031" applyNumberFormat="1" applyFont="1" applyBorder="1" applyAlignment="1">
      <alignment vertical="center"/>
    </xf>
    <xf numFmtId="9" fontId="262" fillId="0" borderId="65" xfId="6032" applyNumberFormat="1" applyFont="1" applyBorder="1" applyAlignment="1">
      <alignment vertical="center"/>
    </xf>
    <xf numFmtId="171" fontId="262" fillId="0" borderId="65" xfId="6032" quotePrefix="1" applyNumberFormat="1" applyFont="1" applyBorder="1" applyAlignment="1">
      <alignment vertical="center"/>
    </xf>
    <xf numFmtId="171" fontId="297" fillId="0" borderId="65" xfId="6032" applyNumberFormat="1" applyFont="1" applyBorder="1" applyAlignment="1">
      <alignment vertical="center"/>
    </xf>
    <xf numFmtId="171" fontId="297" fillId="0" borderId="65" xfId="6031" applyNumberFormat="1" applyFont="1" applyBorder="1" applyAlignment="1">
      <alignment vertical="center"/>
    </xf>
    <xf numFmtId="171" fontId="258" fillId="0" borderId="65" xfId="6031" applyNumberFormat="1" applyFont="1" applyBorder="1" applyAlignment="1">
      <alignment vertical="center"/>
    </xf>
    <xf numFmtId="1" fontId="258" fillId="0" borderId="65" xfId="6031" applyNumberFormat="1" applyFont="1" applyBorder="1" applyAlignment="1">
      <alignment vertical="center"/>
    </xf>
    <xf numFmtId="0" fontId="299" fillId="0" borderId="65" xfId="667" applyFont="1" applyBorder="1" applyAlignment="1" applyProtection="1">
      <alignment vertical="center"/>
    </xf>
    <xf numFmtId="0" fontId="258" fillId="0" borderId="0" xfId="6031" applyFont="1" applyAlignment="1">
      <alignment vertical="center"/>
    </xf>
    <xf numFmtId="176" fontId="262" fillId="0" borderId="67" xfId="627" applyNumberFormat="1" applyFont="1" applyBorder="1" applyAlignment="1">
      <alignment horizontal="left" vertical="center" wrapText="1"/>
    </xf>
    <xf numFmtId="0" fontId="305" fillId="0" borderId="0" xfId="6031" applyFont="1"/>
    <xf numFmtId="172" fontId="280" fillId="0" borderId="0" xfId="6031" applyNumberFormat="1" applyFont="1" applyAlignment="1">
      <alignment horizontal="center"/>
    </xf>
    <xf numFmtId="172" fontId="280" fillId="0" borderId="0" xfId="6031" applyNumberFormat="1" applyFont="1" applyAlignment="1">
      <alignment shrinkToFit="1"/>
    </xf>
    <xf numFmtId="0" fontId="280" fillId="0" borderId="0" xfId="6031" applyFont="1" applyAlignment="1">
      <alignment horizontal="center"/>
    </xf>
    <xf numFmtId="14" fontId="262" fillId="0" borderId="65" xfId="6031" applyNumberFormat="1" applyFont="1" applyBorder="1" applyAlignment="1">
      <alignment horizontal="center" vertical="center"/>
    </xf>
    <xf numFmtId="0" fontId="265" fillId="15" borderId="63" xfId="666" applyFont="1" applyFill="1" applyBorder="1" applyAlignment="1">
      <alignment horizontal="center" vertical="center" wrapText="1"/>
    </xf>
    <xf numFmtId="0" fontId="265" fillId="15" borderId="63" xfId="666" applyFont="1" applyFill="1" applyBorder="1" applyAlignment="1">
      <alignment horizontal="center" vertical="center" shrinkToFit="1"/>
    </xf>
    <xf numFmtId="184" fontId="265" fillId="15" borderId="63" xfId="6033" applyNumberFormat="1" applyFont="1" applyFill="1" applyBorder="1" applyAlignment="1">
      <alignment horizontal="center" vertical="center" wrapText="1"/>
    </xf>
    <xf numFmtId="0" fontId="260" fillId="15" borderId="63" xfId="666" applyFont="1" applyFill="1" applyBorder="1" applyAlignment="1">
      <alignment horizontal="center" vertical="center" wrapText="1"/>
    </xf>
    <xf numFmtId="0" fontId="265" fillId="15" borderId="69" xfId="666" applyFont="1" applyFill="1" applyBorder="1" applyAlignment="1">
      <alignment horizontal="center" vertical="center" wrapText="1"/>
    </xf>
    <xf numFmtId="0" fontId="265" fillId="15" borderId="64" xfId="666" applyFont="1" applyFill="1" applyBorder="1" applyAlignment="1">
      <alignment horizontal="center" vertical="center" wrapText="1"/>
    </xf>
    <xf numFmtId="0" fontId="262" fillId="26" borderId="65" xfId="6031" applyFont="1" applyFill="1" applyBorder="1" applyAlignment="1">
      <alignment horizontal="left" vertical="center"/>
    </xf>
    <xf numFmtId="0" fontId="262" fillId="26" borderId="65" xfId="6031" applyFont="1" applyFill="1" applyBorder="1" applyAlignment="1">
      <alignment horizontal="left" vertical="center" shrinkToFit="1"/>
    </xf>
    <xf numFmtId="0" fontId="262" fillId="26" borderId="65" xfId="6031" applyFont="1" applyFill="1" applyBorder="1" applyAlignment="1">
      <alignment horizontal="center" vertical="center"/>
    </xf>
    <xf numFmtId="0" fontId="262" fillId="26" borderId="65" xfId="6031" applyFont="1" applyFill="1" applyBorder="1" applyAlignment="1">
      <alignment vertical="center"/>
    </xf>
    <xf numFmtId="167" fontId="262" fillId="26" borderId="53" xfId="1" applyNumberFormat="1" applyFont="1" applyFill="1" applyBorder="1" applyAlignment="1" applyProtection="1">
      <alignment vertical="center"/>
    </xf>
    <xf numFmtId="171" fontId="262" fillId="26" borderId="65" xfId="6032" applyNumberFormat="1" applyFont="1" applyFill="1" applyBorder="1" applyAlignment="1">
      <alignment vertical="center"/>
    </xf>
    <xf numFmtId="174" fontId="262" fillId="26" borderId="65" xfId="6032" applyNumberFormat="1" applyFont="1" applyFill="1" applyBorder="1" applyAlignment="1">
      <alignment vertical="center"/>
    </xf>
    <xf numFmtId="171" fontId="262" fillId="26" borderId="65" xfId="6032" applyNumberFormat="1" applyFont="1" applyFill="1" applyBorder="1" applyAlignment="1">
      <alignment horizontal="center" vertical="center"/>
    </xf>
    <xf numFmtId="171" fontId="262" fillId="26" borderId="65" xfId="6031" applyNumberFormat="1" applyFont="1" applyFill="1" applyBorder="1" applyAlignment="1">
      <alignment vertical="center"/>
    </xf>
    <xf numFmtId="9" fontId="262" fillId="26" borderId="65" xfId="6032" applyNumberFormat="1" applyFont="1" applyFill="1" applyBorder="1" applyAlignment="1">
      <alignment vertical="center"/>
    </xf>
    <xf numFmtId="171" fontId="262" fillId="26" borderId="65" xfId="6032" quotePrefix="1" applyNumberFormat="1" applyFont="1" applyFill="1" applyBorder="1" applyAlignment="1">
      <alignment vertical="center"/>
    </xf>
    <xf numFmtId="171" fontId="297" fillId="26" borderId="65" xfId="6032" applyNumberFormat="1" applyFont="1" applyFill="1" applyBorder="1" applyAlignment="1">
      <alignment vertical="center"/>
    </xf>
    <xf numFmtId="171" fontId="297" fillId="26" borderId="65" xfId="6031" applyNumberFormat="1" applyFont="1" applyFill="1" applyBorder="1" applyAlignment="1">
      <alignment vertical="center"/>
    </xf>
    <xf numFmtId="171" fontId="258" fillId="26" borderId="65" xfId="6031" applyNumberFormat="1" applyFont="1" applyFill="1" applyBorder="1" applyAlignment="1">
      <alignment vertical="center"/>
    </xf>
    <xf numFmtId="1" fontId="258" fillId="26" borderId="65" xfId="6031" applyNumberFormat="1" applyFont="1" applyFill="1" applyBorder="1" applyAlignment="1">
      <alignment vertical="center"/>
    </xf>
    <xf numFmtId="0" fontId="299" fillId="26" borderId="65" xfId="667" applyFont="1" applyFill="1" applyBorder="1" applyAlignment="1" applyProtection="1">
      <alignment vertical="center"/>
    </xf>
    <xf numFmtId="0" fontId="298" fillId="15" borderId="0" xfId="0" applyFont="1" applyFill="1" applyAlignment="1">
      <alignment wrapText="1"/>
    </xf>
    <xf numFmtId="0" fontId="278" fillId="26" borderId="67" xfId="6020" applyFont="1" applyFill="1" applyBorder="1"/>
    <xf numFmtId="14" fontId="278" fillId="26" borderId="67" xfId="6020" applyNumberFormat="1" applyFont="1" applyFill="1" applyBorder="1"/>
    <xf numFmtId="0" fontId="278" fillId="26" borderId="67" xfId="6020" applyFont="1" applyFill="1" applyBorder="1" applyAlignment="1">
      <alignment shrinkToFit="1"/>
    </xf>
    <xf numFmtId="167" fontId="259" fillId="26" borderId="67" xfId="1" applyNumberFormat="1" applyFont="1" applyFill="1" applyBorder="1"/>
    <xf numFmtId="171" fontId="278" fillId="26" borderId="67" xfId="6021" applyNumberFormat="1" applyFont="1" applyFill="1" applyBorder="1"/>
    <xf numFmtId="171" fontId="270" fillId="26" borderId="67" xfId="6020" applyNumberFormat="1" applyFont="1" applyFill="1" applyBorder="1"/>
    <xf numFmtId="0" fontId="258" fillId="0" borderId="0" xfId="0" applyFont="1"/>
    <xf numFmtId="0" fontId="252" fillId="0" borderId="36" xfId="0" applyFont="1" applyBorder="1" applyAlignment="1">
      <alignment horizontal="center" vertical="center" wrapText="1"/>
    </xf>
    <xf numFmtId="176" fontId="262" fillId="0" borderId="36" xfId="627" applyNumberFormat="1" applyFont="1" applyBorder="1" applyAlignment="1">
      <alignment horizontal="left" vertical="center" wrapText="1"/>
    </xf>
    <xf numFmtId="176" fontId="262" fillId="0" borderId="36" xfId="627" applyNumberFormat="1" applyFont="1" applyBorder="1" applyAlignment="1">
      <alignment horizontal="right" vertical="center" wrapText="1"/>
    </xf>
    <xf numFmtId="176" fontId="262" fillId="0" borderId="36" xfId="627" applyNumberFormat="1" applyFont="1" applyBorder="1" applyAlignment="1">
      <alignment horizontal="left" vertical="center" shrinkToFit="1"/>
    </xf>
    <xf numFmtId="0" fontId="252" fillId="0" borderId="67" xfId="0" applyFont="1" applyBorder="1" applyAlignment="1">
      <alignment horizontal="center" vertical="center" wrapText="1"/>
    </xf>
    <xf numFmtId="176" fontId="262" fillId="0" borderId="67" xfId="627" applyNumberFormat="1" applyFont="1" applyBorder="1" applyAlignment="1">
      <alignment horizontal="right" vertical="center" wrapText="1"/>
    </xf>
    <xf numFmtId="176" fontId="262" fillId="0" borderId="67" xfId="627" applyNumberFormat="1" applyFont="1" applyBorder="1" applyAlignment="1">
      <alignment horizontal="left" vertical="center" shrinkToFit="1"/>
    </xf>
    <xf numFmtId="0" fontId="258" fillId="0" borderId="0" xfId="0" applyFont="1" applyAlignment="1">
      <alignment shrinkToFit="1"/>
    </xf>
    <xf numFmtId="14" fontId="258" fillId="0" borderId="0" xfId="0" applyNumberFormat="1" applyFont="1"/>
    <xf numFmtId="1" fontId="236" fillId="0" borderId="14" xfId="1" applyNumberFormat="1" applyFill="1" applyBorder="1" applyAlignment="1">
      <alignment horizontal="center"/>
    </xf>
    <xf numFmtId="167" fontId="236" fillId="0" borderId="37" xfId="1" applyNumberFormat="1" applyFill="1" applyBorder="1"/>
    <xf numFmtId="1" fontId="236" fillId="0" borderId="67" xfId="1" applyNumberFormat="1" applyFill="1" applyBorder="1" applyAlignment="1">
      <alignment horizontal="center"/>
    </xf>
    <xf numFmtId="167" fontId="236" fillId="0" borderId="67" xfId="1" applyNumberFormat="1" applyFill="1" applyBorder="1"/>
    <xf numFmtId="169" fontId="236" fillId="0" borderId="67" xfId="1" applyNumberFormat="1" applyFill="1" applyBorder="1" applyAlignment="1">
      <alignment horizontal="center"/>
    </xf>
    <xf numFmtId="14" fontId="262" fillId="0" borderId="67" xfId="0" applyNumberFormat="1" applyFont="1" applyBorder="1" applyAlignment="1">
      <alignment horizontal="center" vertical="center"/>
    </xf>
    <xf numFmtId="14" fontId="252" fillId="0" borderId="31" xfId="0" applyNumberFormat="1" applyFont="1" applyBorder="1" applyAlignment="1">
      <alignment horizontal="center"/>
    </xf>
    <xf numFmtId="0" fontId="258" fillId="0" borderId="33" xfId="0" applyFont="1" applyBorder="1" applyAlignment="1">
      <alignment horizontal="center" vertical="center"/>
    </xf>
    <xf numFmtId="0" fontId="258" fillId="0" borderId="22" xfId="0" applyFont="1" applyBorder="1" applyAlignment="1">
      <alignment horizontal="center" vertical="center"/>
    </xf>
    <xf numFmtId="169" fontId="258" fillId="0" borderId="22" xfId="0" quotePrefix="1" applyNumberFormat="1" applyFont="1" applyBorder="1" applyAlignment="1">
      <alignment horizontal="center" vertical="center"/>
    </xf>
    <xf numFmtId="169" fontId="307" fillId="0" borderId="14" xfId="1" applyNumberFormat="1" applyFont="1" applyFill="1" applyBorder="1" applyAlignment="1">
      <alignment horizontal="center"/>
    </xf>
    <xf numFmtId="169" fontId="307" fillId="0" borderId="67" xfId="1" applyNumberFormat="1" applyFont="1" applyFill="1" applyBorder="1" applyAlignment="1">
      <alignment horizontal="center"/>
    </xf>
    <xf numFmtId="169" fontId="258" fillId="0" borderId="22" xfId="0" applyNumberFormat="1" applyFont="1" applyBorder="1" applyAlignment="1">
      <alignment horizontal="center" vertical="center"/>
    </xf>
    <xf numFmtId="14" fontId="252" fillId="0" borderId="67" xfId="0" applyNumberFormat="1" applyFont="1" applyBorder="1" applyAlignment="1">
      <alignment horizontal="center"/>
    </xf>
    <xf numFmtId="0" fontId="306" fillId="0" borderId="0" xfId="0" applyFont="1"/>
    <xf numFmtId="0" fontId="258" fillId="0" borderId="62" xfId="0" applyFont="1" applyBorder="1" applyAlignment="1">
      <alignment horizontal="center"/>
    </xf>
    <xf numFmtId="0" fontId="252" fillId="26" borderId="36" xfId="0" applyFont="1" applyFill="1" applyBorder="1" applyAlignment="1">
      <alignment horizontal="center" vertical="center" wrapText="1"/>
    </xf>
    <xf numFmtId="0" fontId="259" fillId="26" borderId="67" xfId="6020" applyFont="1" applyFill="1" applyBorder="1"/>
    <xf numFmtId="176" fontId="262" fillId="26" borderId="36" xfId="627" applyNumberFormat="1" applyFont="1" applyFill="1" applyBorder="1" applyAlignment="1">
      <alignment horizontal="left" vertical="center" wrapText="1"/>
    </xf>
    <xf numFmtId="176" fontId="262" fillId="26" borderId="36" xfId="627" applyNumberFormat="1" applyFont="1" applyFill="1" applyBorder="1" applyAlignment="1">
      <alignment horizontal="right" vertical="center" wrapText="1"/>
    </xf>
    <xf numFmtId="176" fontId="262" fillId="26" borderId="36" xfId="627" applyNumberFormat="1" applyFont="1" applyFill="1" applyBorder="1" applyAlignment="1">
      <alignment horizontal="left" vertical="center" shrinkToFit="1"/>
    </xf>
    <xf numFmtId="14" fontId="252" fillId="26" borderId="31" xfId="0" applyNumberFormat="1" applyFont="1" applyFill="1" applyBorder="1" applyAlignment="1">
      <alignment horizontal="center"/>
    </xf>
    <xf numFmtId="0" fontId="258" fillId="26" borderId="33" xfId="0" applyFont="1" applyFill="1" applyBorder="1" applyAlignment="1">
      <alignment horizontal="center" vertical="center"/>
    </xf>
    <xf numFmtId="0" fontId="258" fillId="26" borderId="22" xfId="0" applyFont="1" applyFill="1" applyBorder="1" applyAlignment="1">
      <alignment horizontal="center" vertical="center"/>
    </xf>
    <xf numFmtId="169" fontId="258" fillId="26" borderId="22" xfId="0" quotePrefix="1" applyNumberFormat="1" applyFont="1" applyFill="1" applyBorder="1" applyAlignment="1">
      <alignment horizontal="center" vertical="center"/>
    </xf>
    <xf numFmtId="1" fontId="236" fillId="26" borderId="14" xfId="1" applyNumberFormat="1" applyFill="1" applyBorder="1" applyAlignment="1">
      <alignment horizontal="center"/>
    </xf>
    <xf numFmtId="169" fontId="307" fillId="26" borderId="14" xfId="1" applyNumberFormat="1" applyFont="1" applyFill="1" applyBorder="1" applyAlignment="1">
      <alignment horizontal="center"/>
    </xf>
    <xf numFmtId="169" fontId="307" fillId="26" borderId="67" xfId="1" applyNumberFormat="1" applyFont="1" applyFill="1" applyBorder="1" applyAlignment="1">
      <alignment horizontal="center"/>
    </xf>
    <xf numFmtId="167" fontId="236" fillId="26" borderId="37" xfId="1" applyNumberFormat="1" applyFill="1" applyBorder="1"/>
    <xf numFmtId="173" fontId="259" fillId="0" borderId="23" xfId="628" applyNumberFormat="1" applyFont="1" applyFill="1" applyBorder="1" applyAlignment="1">
      <alignment vertical="center"/>
    </xf>
    <xf numFmtId="0" fontId="262" fillId="0" borderId="0" xfId="0" applyFont="1" applyAlignment="1">
      <alignment horizontal="center" vertical="center"/>
    </xf>
    <xf numFmtId="0" fontId="0" fillId="0" borderId="36" xfId="0" applyBorder="1"/>
    <xf numFmtId="170" fontId="236" fillId="0" borderId="0" xfId="1" applyNumberFormat="1" applyAlignment="1">
      <alignment horizontal="right"/>
    </xf>
    <xf numFmtId="0" fontId="0" fillId="16" borderId="0" xfId="0" applyFill="1"/>
    <xf numFmtId="3" fontId="262" fillId="0" borderId="67" xfId="0" applyNumberFormat="1" applyFont="1" applyBorder="1" applyAlignment="1">
      <alignment vertical="center"/>
    </xf>
    <xf numFmtId="3" fontId="252" fillId="0" borderId="8" xfId="0" applyNumberFormat="1" applyFont="1" applyBorder="1" applyAlignment="1">
      <alignment vertical="center"/>
    </xf>
    <xf numFmtId="166" fontId="252" fillId="0" borderId="5" xfId="1" applyFont="1" applyFill="1" applyBorder="1" applyAlignment="1" applyProtection="1">
      <alignment vertical="center"/>
    </xf>
    <xf numFmtId="9" fontId="308" fillId="0" borderId="1" xfId="0" applyNumberFormat="1" applyFont="1" applyBorder="1" applyAlignment="1">
      <alignment vertical="center" wrapText="1"/>
    </xf>
    <xf numFmtId="0" fontId="252" fillId="0" borderId="86" xfId="0" applyFont="1" applyBorder="1" applyAlignment="1">
      <alignment horizontal="center" vertical="center" wrapText="1"/>
    </xf>
    <xf numFmtId="14" fontId="252" fillId="0" borderId="67" xfId="0" applyNumberFormat="1" applyFont="1" applyBorder="1" applyAlignment="1">
      <alignment vertical="center"/>
    </xf>
    <xf numFmtId="167" fontId="252" fillId="0" borderId="85" xfId="1" applyNumberFormat="1" applyFont="1" applyFill="1" applyBorder="1" applyAlignment="1" applyProtection="1">
      <alignment vertical="center"/>
    </xf>
    <xf numFmtId="167" fontId="304" fillId="0" borderId="85" xfId="1" applyNumberFormat="1" applyFont="1" applyFill="1" applyBorder="1" applyAlignment="1" applyProtection="1">
      <alignment vertical="center"/>
    </xf>
    <xf numFmtId="167" fontId="252" fillId="0" borderId="5" xfId="1" applyNumberFormat="1" applyFont="1" applyFill="1" applyBorder="1" applyAlignment="1" applyProtection="1">
      <alignment vertical="center"/>
    </xf>
    <xf numFmtId="4" fontId="262" fillId="15" borderId="15" xfId="0" applyNumberFormat="1" applyFont="1" applyFill="1" applyBorder="1" applyAlignment="1">
      <alignment vertical="center" wrapText="1"/>
    </xf>
    <xf numFmtId="4" fontId="262" fillId="15" borderId="16" xfId="0" applyNumberFormat="1" applyFont="1" applyFill="1" applyBorder="1" applyAlignment="1">
      <alignment vertical="center" wrapText="1"/>
    </xf>
    <xf numFmtId="4" fontId="262" fillId="15" borderId="17" xfId="0" applyNumberFormat="1" applyFont="1" applyFill="1" applyBorder="1" applyAlignment="1">
      <alignment vertical="center" wrapText="1"/>
    </xf>
    <xf numFmtId="0" fontId="262" fillId="26" borderId="58" xfId="0" applyFont="1" applyFill="1" applyBorder="1" applyAlignment="1">
      <alignment horizontal="center" vertical="center" wrapText="1"/>
    </xf>
    <xf numFmtId="14" fontId="262" fillId="26" borderId="0" xfId="0" applyNumberFormat="1" applyFont="1" applyFill="1" applyAlignment="1">
      <alignment vertical="center"/>
    </xf>
    <xf numFmtId="3" fontId="262" fillId="26" borderId="67" xfId="0" applyNumberFormat="1" applyFont="1" applyFill="1" applyBorder="1" applyAlignment="1">
      <alignment vertical="center"/>
    </xf>
    <xf numFmtId="166" fontId="262" fillId="26" borderId="8" xfId="1" applyFont="1" applyFill="1" applyBorder="1" applyAlignment="1" applyProtection="1">
      <alignment vertical="center"/>
    </xf>
    <xf numFmtId="166" fontId="262" fillId="26" borderId="2" xfId="1" applyFont="1" applyFill="1" applyBorder="1" applyAlignment="1" applyProtection="1">
      <alignment vertical="center"/>
    </xf>
    <xf numFmtId="167" fontId="262" fillId="26" borderId="1" xfId="1" applyNumberFormat="1" applyFont="1" applyFill="1" applyBorder="1" applyAlignment="1" applyProtection="1">
      <alignment vertical="center"/>
    </xf>
    <xf numFmtId="167" fontId="297" fillId="26" borderId="1" xfId="1" applyNumberFormat="1" applyFont="1" applyFill="1" applyBorder="1" applyAlignment="1" applyProtection="1">
      <alignment vertical="center"/>
    </xf>
    <xf numFmtId="167" fontId="297" fillId="26" borderId="2" xfId="1" applyNumberFormat="1" applyFont="1" applyFill="1" applyBorder="1" applyAlignment="1" applyProtection="1">
      <alignment vertical="center"/>
    </xf>
    <xf numFmtId="167" fontId="262" fillId="26" borderId="2" xfId="1" applyNumberFormat="1" applyFont="1" applyFill="1" applyBorder="1" applyAlignment="1" applyProtection="1">
      <alignment vertical="center"/>
    </xf>
    <xf numFmtId="0" fontId="262" fillId="15" borderId="63" xfId="666" applyFont="1" applyFill="1" applyBorder="1" applyAlignment="1">
      <alignment horizontal="center" vertical="center" wrapText="1"/>
    </xf>
    <xf numFmtId="0" fontId="296" fillId="15" borderId="70" xfId="0" applyFont="1" applyFill="1" applyBorder="1" applyAlignment="1">
      <alignment vertical="center" wrapText="1"/>
    </xf>
    <xf numFmtId="3" fontId="296" fillId="15" borderId="70" xfId="0" applyNumberFormat="1" applyFont="1" applyFill="1" applyBorder="1" applyAlignment="1">
      <alignment vertical="center" wrapText="1"/>
    </xf>
    <xf numFmtId="0" fontId="296" fillId="15" borderId="70" xfId="0" applyFont="1" applyFill="1" applyBorder="1" applyAlignment="1">
      <alignment horizontal="center" vertical="center" wrapText="1"/>
    </xf>
    <xf numFmtId="9" fontId="296" fillId="15" borderId="70" xfId="0" applyNumberFormat="1" applyFont="1" applyFill="1" applyBorder="1" applyAlignment="1">
      <alignment horizontal="center" vertical="center" wrapText="1"/>
    </xf>
    <xf numFmtId="0" fontId="296" fillId="0" borderId="67" xfId="0" applyFont="1" applyBorder="1" applyAlignment="1">
      <alignment vertical="center"/>
    </xf>
    <xf numFmtId="170" fontId="262" fillId="0" borderId="67" xfId="1" applyNumberFormat="1" applyFont="1" applyFill="1" applyBorder="1" applyAlignment="1" applyProtection="1">
      <alignment vertical="center"/>
    </xf>
    <xf numFmtId="171" fontId="309" fillId="0" borderId="67" xfId="0" applyNumberFormat="1" applyFont="1" applyBorder="1" applyAlignment="1">
      <alignment horizontal="center" vertical="center"/>
    </xf>
    <xf numFmtId="0" fontId="309" fillId="0" borderId="0" xfId="0" applyFont="1" applyAlignment="1">
      <alignment horizontal="center" vertical="center"/>
    </xf>
    <xf numFmtId="0" fontId="300" fillId="0" borderId="0" xfId="0" applyFont="1"/>
    <xf numFmtId="3" fontId="300" fillId="0" borderId="0" xfId="0" applyNumberFormat="1" applyFont="1"/>
    <xf numFmtId="4" fontId="300" fillId="0" borderId="0" xfId="0" applyNumberFormat="1" applyFont="1"/>
    <xf numFmtId="0" fontId="296" fillId="26" borderId="67" xfId="0" applyFont="1" applyFill="1" applyBorder="1" applyAlignment="1">
      <alignment horizontal="center" vertical="center" wrapText="1"/>
    </xf>
    <xf numFmtId="0" fontId="296" fillId="26" borderId="67" xfId="0" applyFont="1" applyFill="1" applyBorder="1" applyAlignment="1">
      <alignment vertical="center"/>
    </xf>
    <xf numFmtId="14" fontId="262" fillId="26" borderId="67" xfId="0" applyNumberFormat="1" applyFont="1" applyFill="1" applyBorder="1" applyAlignment="1">
      <alignment vertical="center"/>
    </xf>
    <xf numFmtId="170" fontId="262" fillId="26" borderId="67" xfId="1" applyNumberFormat="1" applyFont="1" applyFill="1" applyBorder="1" applyAlignment="1" applyProtection="1">
      <alignment vertical="center"/>
    </xf>
    <xf numFmtId="171" fontId="266" fillId="26" borderId="67" xfId="1" applyNumberFormat="1" applyFont="1" applyFill="1" applyBorder="1"/>
    <xf numFmtId="171" fontId="309" fillId="26" borderId="67" xfId="0" applyNumberFormat="1" applyFont="1" applyFill="1" applyBorder="1" applyAlignment="1">
      <alignment horizontal="center" vertical="center"/>
    </xf>
    <xf numFmtId="0" fontId="262" fillId="0" borderId="14" xfId="629" applyFont="1" applyBorder="1" applyAlignment="1">
      <alignment horizontal="right" wrapText="1"/>
    </xf>
    <xf numFmtId="0" fontId="262" fillId="0" borderId="14" xfId="629" applyFont="1" applyBorder="1" applyAlignment="1">
      <alignment vertical="center"/>
    </xf>
    <xf numFmtId="14" fontId="262" fillId="0" borderId="14" xfId="629" applyNumberFormat="1" applyFont="1" applyBorder="1" applyAlignment="1">
      <alignment vertical="center"/>
    </xf>
    <xf numFmtId="167" fontId="262" fillId="0" borderId="14" xfId="629" applyNumberFormat="1" applyFont="1" applyBorder="1" applyAlignment="1">
      <alignment vertical="center"/>
    </xf>
    <xf numFmtId="0" fontId="262" fillId="0" borderId="31" xfId="629" applyFont="1" applyBorder="1" applyAlignment="1">
      <alignment horizontal="right" wrapText="1"/>
    </xf>
    <xf numFmtId="14" fontId="262" fillId="0" borderId="31" xfId="629" applyNumberFormat="1" applyFont="1" applyBorder="1" applyAlignment="1">
      <alignment vertical="center"/>
    </xf>
    <xf numFmtId="0" fontId="262" fillId="0" borderId="31" xfId="629" applyFont="1" applyBorder="1" applyAlignment="1">
      <alignment vertical="center"/>
    </xf>
    <xf numFmtId="167" fontId="262" fillId="0" borderId="31" xfId="629" applyNumberFormat="1" applyFont="1" applyBorder="1" applyAlignment="1">
      <alignment vertical="center"/>
    </xf>
    <xf numFmtId="0" fontId="258" fillId="0" borderId="0" xfId="629" applyFont="1"/>
    <xf numFmtId="0" fontId="258" fillId="0" borderId="0" xfId="629" applyFont="1" applyAlignment="1">
      <alignment horizontal="center"/>
    </xf>
    <xf numFmtId="14" fontId="258" fillId="0" borderId="0" xfId="629" applyNumberFormat="1" applyFont="1" applyAlignment="1">
      <alignment horizontal="center"/>
    </xf>
    <xf numFmtId="0" fontId="262" fillId="0" borderId="0" xfId="629" applyFont="1" applyAlignment="1">
      <alignment horizontal="center"/>
    </xf>
    <xf numFmtId="0" fontId="258" fillId="0" borderId="0" xfId="629" applyFont="1" applyAlignment="1">
      <alignment vertical="center"/>
    </xf>
    <xf numFmtId="167" fontId="258" fillId="0" borderId="0" xfId="629" applyNumberFormat="1" applyFont="1" applyAlignment="1">
      <alignment vertical="center"/>
    </xf>
    <xf numFmtId="0" fontId="259" fillId="15" borderId="14" xfId="629" applyFont="1" applyFill="1" applyBorder="1" applyAlignment="1">
      <alignment horizontal="center" vertical="center" wrapText="1"/>
    </xf>
    <xf numFmtId="0" fontId="262" fillId="26" borderId="14" xfId="629" applyFont="1" applyFill="1" applyBorder="1" applyAlignment="1">
      <alignment horizontal="right" wrapText="1"/>
    </xf>
    <xf numFmtId="0" fontId="262" fillId="26" borderId="14" xfId="629" applyFont="1" applyFill="1" applyBorder="1" applyAlignment="1">
      <alignment vertical="center"/>
    </xf>
    <xf numFmtId="14" fontId="262" fillId="26" borderId="14" xfId="629" applyNumberFormat="1" applyFont="1" applyFill="1" applyBorder="1" applyAlignment="1">
      <alignment vertical="center"/>
    </xf>
    <xf numFmtId="167" fontId="262" fillId="26" borderId="14" xfId="629" applyNumberFormat="1" applyFont="1" applyFill="1" applyBorder="1" applyAlignment="1">
      <alignment vertical="center"/>
    </xf>
    <xf numFmtId="167" fontId="259" fillId="0" borderId="31" xfId="712" applyNumberFormat="1" applyFont="1" applyFill="1" applyBorder="1" applyAlignment="1">
      <alignment horizontal="center"/>
    </xf>
    <xf numFmtId="167" fontId="259" fillId="0" borderId="10" xfId="712" applyNumberFormat="1" applyFont="1" applyFill="1" applyBorder="1" applyAlignment="1">
      <alignment horizontal="center" vertical="center"/>
    </xf>
    <xf numFmtId="167" fontId="259" fillId="0" borderId="31" xfId="712" applyNumberFormat="1" applyFont="1" applyFill="1" applyBorder="1" applyAlignment="1">
      <alignment horizontal="center" vertical="center"/>
    </xf>
    <xf numFmtId="167" fontId="259" fillId="0" borderId="10" xfId="1" applyNumberFormat="1" applyFont="1" applyFill="1" applyBorder="1" applyAlignment="1">
      <alignment horizontal="center"/>
    </xf>
    <xf numFmtId="43" fontId="259" fillId="0" borderId="10" xfId="1" applyNumberFormat="1" applyFont="1" applyFill="1" applyBorder="1" applyAlignment="1">
      <alignment horizontal="center"/>
    </xf>
    <xf numFmtId="167" fontId="259" fillId="0" borderId="31" xfId="1" applyNumberFormat="1" applyFont="1" applyFill="1" applyBorder="1" applyAlignment="1">
      <alignment horizontal="left"/>
    </xf>
    <xf numFmtId="167" fontId="259" fillId="0" borderId="31" xfId="1" applyNumberFormat="1" applyFont="1" applyFill="1" applyBorder="1" applyAlignment="1">
      <alignment horizontal="center"/>
    </xf>
    <xf numFmtId="171" fontId="259" fillId="0" borderId="31" xfId="1" applyNumberFormat="1" applyFont="1" applyFill="1" applyBorder="1" applyAlignment="1">
      <alignment horizontal="center"/>
    </xf>
    <xf numFmtId="171" fontId="259" fillId="0" borderId="36" xfId="1" applyNumberFormat="1" applyFont="1" applyFill="1" applyBorder="1" applyAlignment="1">
      <alignment horizontal="center"/>
    </xf>
    <xf numFmtId="0" fontId="301" fillId="0" borderId="0" xfId="709" applyFont="1"/>
    <xf numFmtId="0" fontId="259" fillId="0" borderId="31" xfId="711" applyFont="1" applyBorder="1" applyAlignment="1">
      <alignment horizontal="center" vertical="center"/>
    </xf>
    <xf numFmtId="0" fontId="258" fillId="0" borderId="31" xfId="709" applyFont="1" applyBorder="1"/>
    <xf numFmtId="179" fontId="259" fillId="0" borderId="31" xfId="711" applyNumberFormat="1" applyFont="1" applyBorder="1" applyAlignment="1">
      <alignment horizontal="center"/>
    </xf>
    <xf numFmtId="0" fontId="259" fillId="0" borderId="0" xfId="711" applyFont="1" applyAlignment="1">
      <alignment horizontal="left"/>
    </xf>
    <xf numFmtId="0" fontId="259" fillId="0" borderId="31" xfId="711" applyFont="1" applyBorder="1" applyAlignment="1">
      <alignment horizontal="center"/>
    </xf>
    <xf numFmtId="0" fontId="259" fillId="0" borderId="31" xfId="711" applyFont="1" applyBorder="1" applyAlignment="1">
      <alignment horizontal="left" wrapText="1"/>
    </xf>
    <xf numFmtId="0" fontId="259" fillId="0" borderId="31" xfId="711" applyFont="1" applyBorder="1" applyAlignment="1">
      <alignment horizontal="center" vertical="center" wrapText="1"/>
    </xf>
    <xf numFmtId="0" fontId="259" fillId="0" borderId="4" xfId="711" applyFont="1" applyBorder="1" applyAlignment="1">
      <alignment horizontal="center"/>
    </xf>
    <xf numFmtId="0" fontId="259" fillId="0" borderId="10" xfId="711" applyFont="1" applyBorder="1" applyAlignment="1">
      <alignment horizontal="left"/>
    </xf>
    <xf numFmtId="0" fontId="259" fillId="0" borderId="32" xfId="711" applyFont="1" applyBorder="1" applyAlignment="1">
      <alignment horizontal="center"/>
    </xf>
    <xf numFmtId="0" fontId="259" fillId="0" borderId="32" xfId="711" applyFont="1" applyBorder="1" applyAlignment="1">
      <alignment horizontal="left"/>
    </xf>
    <xf numFmtId="0" fontId="259" fillId="0" borderId="10" xfId="581" applyFont="1" applyBorder="1" applyAlignment="1">
      <alignment horizontal="center"/>
    </xf>
    <xf numFmtId="0" fontId="259" fillId="0" borderId="31" xfId="711" applyFont="1" applyBorder="1" applyAlignment="1">
      <alignment horizontal="left"/>
    </xf>
    <xf numFmtId="169" fontId="259" fillId="0" borderId="31" xfId="581" applyNumberFormat="1" applyFont="1" applyBorder="1" applyAlignment="1">
      <alignment horizontal="center"/>
    </xf>
    <xf numFmtId="169" fontId="301" fillId="0" borderId="0" xfId="709" applyNumberFormat="1" applyFont="1"/>
    <xf numFmtId="43" fontId="301" fillId="0" borderId="0" xfId="709" applyNumberFormat="1" applyFont="1"/>
    <xf numFmtId="169" fontId="259" fillId="0" borderId="36" xfId="581" applyNumberFormat="1" applyFont="1" applyBorder="1" applyAlignment="1">
      <alignment horizontal="center"/>
    </xf>
    <xf numFmtId="169" fontId="259" fillId="0" borderId="56" xfId="581" applyNumberFormat="1" applyFont="1" applyBorder="1" applyAlignment="1">
      <alignment horizontal="center"/>
    </xf>
    <xf numFmtId="0" fontId="259" fillId="0" borderId="31" xfId="581" applyFont="1" applyBorder="1" applyAlignment="1">
      <alignment horizontal="center"/>
    </xf>
    <xf numFmtId="0" fontId="259" fillId="0" borderId="24" xfId="711" applyFont="1" applyBorder="1"/>
    <xf numFmtId="0" fontId="259" fillId="0" borderId="25" xfId="711" applyFont="1" applyBorder="1"/>
    <xf numFmtId="0" fontId="259" fillId="0" borderId="26" xfId="711" applyFont="1" applyBorder="1"/>
    <xf numFmtId="0" fontId="301" fillId="0" borderId="36" xfId="709" applyFont="1" applyBorder="1"/>
    <xf numFmtId="167" fontId="236" fillId="0" borderId="36" xfId="1" applyNumberFormat="1" applyFill="1" applyBorder="1"/>
    <xf numFmtId="169" fontId="259" fillId="0" borderId="31" xfId="709" applyNumberFormat="1" applyFont="1" applyBorder="1" applyAlignment="1">
      <alignment horizontal="center" vertical="center"/>
    </xf>
    <xf numFmtId="0" fontId="259" fillId="0" borderId="11" xfId="711" applyFont="1" applyBorder="1"/>
    <xf numFmtId="0" fontId="259" fillId="0" borderId="4" xfId="711" applyFont="1" applyBorder="1" applyAlignment="1">
      <alignment wrapText="1"/>
    </xf>
    <xf numFmtId="0" fontId="259" fillId="0" borderId="4" xfId="711" applyFont="1" applyBorder="1" applyAlignment="1">
      <alignment horizontal="left"/>
    </xf>
    <xf numFmtId="0" fontId="0" fillId="0" borderId="56" xfId="0" applyBorder="1"/>
    <xf numFmtId="183" fontId="259" fillId="0" borderId="31" xfId="711" applyNumberFormat="1" applyFont="1" applyBorder="1" applyAlignment="1">
      <alignment horizontal="center"/>
    </xf>
    <xf numFmtId="181" fontId="259" fillId="0" borderId="31" xfId="711" applyNumberFormat="1" applyFont="1" applyBorder="1" applyAlignment="1">
      <alignment horizontal="center"/>
    </xf>
    <xf numFmtId="0" fontId="258" fillId="26" borderId="31" xfId="709" applyFont="1" applyFill="1" applyBorder="1" applyAlignment="1">
      <alignment vertical="center"/>
    </xf>
    <xf numFmtId="0" fontId="259" fillId="26" borderId="31" xfId="711" applyFont="1" applyFill="1" applyBorder="1" applyAlignment="1">
      <alignment horizontal="center" vertical="center"/>
    </xf>
    <xf numFmtId="179" fontId="259" fillId="26" borderId="31" xfId="711" applyNumberFormat="1" applyFont="1" applyFill="1" applyBorder="1" applyAlignment="1">
      <alignment horizontal="center" vertical="center"/>
    </xf>
    <xf numFmtId="167" fontId="259" fillId="26" borderId="31" xfId="712" applyNumberFormat="1" applyFont="1" applyFill="1" applyBorder="1" applyAlignment="1">
      <alignment vertical="center"/>
    </xf>
    <xf numFmtId="0" fontId="259" fillId="15" borderId="67" xfId="0" applyFont="1" applyFill="1" applyBorder="1" applyAlignment="1">
      <alignment horizontal="center" vertical="center"/>
    </xf>
    <xf numFmtId="0" fontId="259" fillId="15" borderId="67" xfId="0" applyFont="1" applyFill="1" applyBorder="1" applyAlignment="1">
      <alignment horizontal="center" vertical="center" wrapText="1"/>
    </xf>
    <xf numFmtId="0" fontId="259" fillId="15" borderId="67" xfId="669" applyFont="1" applyFill="1" applyBorder="1" applyAlignment="1">
      <alignment horizontal="center" vertical="center" wrapText="1"/>
    </xf>
    <xf numFmtId="0" fontId="295" fillId="26" borderId="67" xfId="697" applyFont="1" applyFill="1" applyBorder="1" applyAlignment="1">
      <alignment horizontal="left" vertical="center"/>
    </xf>
    <xf numFmtId="171" fontId="258" fillId="26" borderId="67" xfId="1" applyNumberFormat="1" applyFont="1" applyFill="1" applyBorder="1"/>
    <xf numFmtId="177" fontId="259" fillId="26" borderId="67" xfId="672" applyNumberFormat="1" applyFont="1" applyFill="1" applyBorder="1" applyAlignment="1">
      <alignment horizontal="left" vertical="center" wrapText="1"/>
    </xf>
    <xf numFmtId="171" fontId="259" fillId="26" borderId="67" xfId="3" applyNumberFormat="1" applyFont="1" applyFill="1" applyBorder="1" applyAlignment="1">
      <alignment horizontal="left" vertical="center" wrapText="1"/>
    </xf>
    <xf numFmtId="171" fontId="258" fillId="26" borderId="67" xfId="669" applyNumberFormat="1" applyFont="1" applyFill="1" applyBorder="1"/>
    <xf numFmtId="185" fontId="311" fillId="0" borderId="30" xfId="6021" applyNumberFormat="1" applyFont="1" applyBorder="1" applyAlignment="1">
      <alignment horizontal="center" vertical="center"/>
    </xf>
    <xf numFmtId="0" fontId="262" fillId="15" borderId="14" xfId="9" applyFont="1" applyFill="1" applyBorder="1" applyAlignment="1" applyProtection="1">
      <alignment horizontal="center" vertical="center"/>
    </xf>
    <xf numFmtId="0" fontId="262" fillId="15" borderId="19" xfId="9" applyFont="1" applyFill="1" applyBorder="1" applyAlignment="1" applyProtection="1">
      <alignment horizontal="center" wrapText="1"/>
    </xf>
    <xf numFmtId="14" fontId="258" fillId="15" borderId="21" xfId="629" applyNumberFormat="1" applyFont="1" applyFill="1" applyBorder="1" applyAlignment="1">
      <alignment horizontal="center" vertical="center"/>
    </xf>
    <xf numFmtId="0" fontId="262" fillId="15" borderId="18" xfId="9" applyFont="1" applyFill="1" applyBorder="1" applyAlignment="1" applyProtection="1">
      <alignment horizontal="center" vertical="center"/>
    </xf>
    <xf numFmtId="0" fontId="262" fillId="15" borderId="18" xfId="9" applyFont="1" applyFill="1" applyBorder="1" applyAlignment="1" applyProtection="1">
      <alignment horizontal="center" vertical="center" wrapText="1"/>
    </xf>
    <xf numFmtId="0" fontId="312" fillId="9" borderId="0" xfId="629" applyFont="1" applyFill="1"/>
    <xf numFmtId="0" fontId="313" fillId="0" borderId="0" xfId="666" applyFont="1" applyFill="1" applyAlignment="1">
      <alignment horizontal="center" vertical="center"/>
    </xf>
    <xf numFmtId="0" fontId="313" fillId="0" borderId="0" xfId="666" applyFont="1" applyFill="1" applyAlignment="1">
      <alignment horizontal="center" vertical="center" shrinkToFit="1"/>
    </xf>
    <xf numFmtId="0" fontId="313" fillId="0" borderId="0" xfId="666" applyFont="1" applyFill="1" applyAlignment="1">
      <alignment horizontal="center" vertical="center" wrapText="1"/>
    </xf>
    <xf numFmtId="0" fontId="313" fillId="0" borderId="0" xfId="6031" applyFont="1"/>
    <xf numFmtId="0" fontId="313" fillId="0" borderId="0" xfId="6008" applyFont="1" applyFill="1" applyBorder="1" applyAlignment="1">
      <alignment horizontal="center" vertical="center" wrapText="1"/>
    </xf>
    <xf numFmtId="167" fontId="314" fillId="0" borderId="67" xfId="1" applyNumberFormat="1" applyFont="1" applyFill="1" applyBorder="1" applyAlignment="1">
      <alignment horizontal="center" vertical="center" wrapText="1"/>
    </xf>
    <xf numFmtId="10" fontId="315" fillId="0" borderId="67" xfId="6008" applyNumberFormat="1" applyFont="1" applyFill="1">
      <alignment horizontal="center" vertical="center"/>
    </xf>
    <xf numFmtId="10" fontId="313" fillId="0" borderId="0" xfId="6008" applyNumberFormat="1" applyFont="1" applyFill="1" applyBorder="1">
      <alignment horizontal="center" vertical="center"/>
    </xf>
    <xf numFmtId="0" fontId="313" fillId="0" borderId="0" xfId="6008" applyFont="1" applyFill="1" applyBorder="1">
      <alignment horizontal="center" vertical="center"/>
    </xf>
    <xf numFmtId="0" fontId="315" fillId="0" borderId="0" xfId="6008" applyFont="1" applyFill="1" applyBorder="1" applyAlignment="1">
      <alignment horizontal="center" vertical="center" wrapText="1"/>
    </xf>
    <xf numFmtId="0" fontId="280" fillId="0" borderId="0" xfId="6031" applyFont="1" applyAlignment="1">
      <alignment horizontal="center"/>
    </xf>
    <xf numFmtId="0" fontId="298" fillId="15" borderId="73" xfId="0" applyFont="1" applyFill="1" applyBorder="1" applyAlignment="1">
      <alignment horizontal="center" wrapText="1"/>
    </xf>
    <xf numFmtId="0" fontId="298" fillId="15" borderId="77" xfId="0" applyFont="1" applyFill="1" applyBorder="1" applyAlignment="1">
      <alignment horizontal="center" wrapText="1"/>
    </xf>
    <xf numFmtId="0" fontId="310" fillId="15" borderId="30" xfId="6020" applyFont="1" applyFill="1" applyBorder="1" applyAlignment="1">
      <alignment horizontal="center" vertical="center"/>
    </xf>
    <xf numFmtId="0" fontId="310" fillId="15" borderId="74" xfId="6020" applyFont="1" applyFill="1" applyBorder="1" applyAlignment="1">
      <alignment horizontal="center" vertical="center"/>
    </xf>
    <xf numFmtId="0" fontId="310" fillId="15" borderId="22" xfId="6020" applyFont="1" applyFill="1" applyBorder="1" applyAlignment="1">
      <alignment horizontal="center" vertical="center"/>
    </xf>
    <xf numFmtId="0" fontId="0" fillId="15" borderId="75" xfId="0" applyFill="1" applyBorder="1"/>
    <xf numFmtId="0" fontId="310" fillId="15" borderId="22" xfId="6020" applyFont="1" applyFill="1" applyBorder="1" applyAlignment="1">
      <alignment horizontal="center" vertical="center" wrapText="1"/>
    </xf>
    <xf numFmtId="0" fontId="298" fillId="15" borderId="71" xfId="0" applyFont="1" applyFill="1" applyBorder="1" applyAlignment="1">
      <alignment horizontal="center" wrapText="1"/>
    </xf>
    <xf numFmtId="0" fontId="298" fillId="15" borderId="74" xfId="0" applyFont="1" applyFill="1" applyBorder="1" applyAlignment="1">
      <alignment horizontal="center" wrapText="1"/>
    </xf>
    <xf numFmtId="0" fontId="298" fillId="15" borderId="72" xfId="0" applyFont="1" applyFill="1" applyBorder="1" applyAlignment="1">
      <alignment horizontal="center" wrapText="1"/>
    </xf>
    <xf numFmtId="0" fontId="298" fillId="15" borderId="76" xfId="0" applyFont="1" applyFill="1" applyBorder="1" applyAlignment="1">
      <alignment horizontal="center" wrapText="1"/>
    </xf>
    <xf numFmtId="0" fontId="262" fillId="15" borderId="78" xfId="36" applyFont="1" applyFill="1" applyBorder="1" applyAlignment="1">
      <alignment horizontal="center" vertical="center" wrapText="1"/>
    </xf>
    <xf numFmtId="0" fontId="262" fillId="15" borderId="32" xfId="36" applyFont="1" applyFill="1" applyBorder="1" applyAlignment="1">
      <alignment horizontal="center" vertical="center" wrapText="1"/>
    </xf>
    <xf numFmtId="0" fontId="262" fillId="15" borderId="10" xfId="36" applyFont="1" applyFill="1" applyBorder="1" applyAlignment="1">
      <alignment horizontal="center" vertical="center" wrapText="1"/>
    </xf>
    <xf numFmtId="0" fontId="262" fillId="15" borderId="79" xfId="0" applyFont="1" applyFill="1" applyBorder="1" applyAlignment="1">
      <alignment horizontal="center" vertical="center" wrapText="1"/>
    </xf>
    <xf numFmtId="0" fontId="0" fillId="15" borderId="3" xfId="0" applyFill="1" applyBorder="1"/>
    <xf numFmtId="0" fontId="0" fillId="15" borderId="57" xfId="0" applyFill="1" applyBorder="1"/>
    <xf numFmtId="0" fontId="306" fillId="15" borderId="68" xfId="36" applyFont="1" applyFill="1" applyBorder="1" applyAlignment="1">
      <alignment horizontal="center" vertical="center" wrapText="1"/>
    </xf>
    <xf numFmtId="0" fontId="306" fillId="15" borderId="0" xfId="36" applyFont="1" applyFill="1" applyAlignment="1">
      <alignment horizontal="center" vertical="center" wrapText="1"/>
    </xf>
    <xf numFmtId="0" fontId="306" fillId="15" borderId="84" xfId="36" applyFont="1" applyFill="1" applyBorder="1" applyAlignment="1">
      <alignment horizontal="center" vertical="center" wrapText="1"/>
    </xf>
    <xf numFmtId="0" fontId="294" fillId="15" borderId="10" xfId="0" applyFont="1" applyFill="1" applyBorder="1" applyAlignment="1">
      <alignment horizontal="center" vertical="center" wrapText="1"/>
    </xf>
    <xf numFmtId="0" fontId="0" fillId="15" borderId="32" xfId="0" applyFill="1" applyBorder="1"/>
    <xf numFmtId="0" fontId="0" fillId="15" borderId="10" xfId="0" applyFill="1" applyBorder="1"/>
    <xf numFmtId="14" fontId="262" fillId="15" borderId="67" xfId="36" applyNumberFormat="1" applyFont="1" applyFill="1" applyBorder="1" applyAlignment="1">
      <alignment horizontal="center" vertical="center" wrapText="1"/>
    </xf>
    <xf numFmtId="0" fontId="262" fillId="15" borderId="83" xfId="623" applyFont="1" applyFill="1" applyBorder="1" applyAlignment="1">
      <alignment horizontal="center" vertical="center" wrapText="1"/>
    </xf>
    <xf numFmtId="0" fontId="262" fillId="15" borderId="32" xfId="623" applyFont="1" applyFill="1" applyBorder="1" applyAlignment="1">
      <alignment horizontal="center" vertical="center" wrapText="1"/>
    </xf>
    <xf numFmtId="0" fontId="262" fillId="15" borderId="10" xfId="623" applyFont="1" applyFill="1" applyBorder="1" applyAlignment="1">
      <alignment horizontal="center" vertical="center" wrapText="1"/>
    </xf>
    <xf numFmtId="0" fontId="262" fillId="15" borderId="27" xfId="623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10" xfId="0" applyBorder="1"/>
    <xf numFmtId="0" fontId="303" fillId="15" borderId="32" xfId="0" applyFont="1" applyFill="1" applyBorder="1" applyAlignment="1">
      <alignment horizontal="center"/>
    </xf>
    <xf numFmtId="0" fontId="303" fillId="15" borderId="10" xfId="0" applyFont="1" applyFill="1" applyBorder="1" applyAlignment="1">
      <alignment horizontal="center"/>
    </xf>
    <xf numFmtId="0" fontId="259" fillId="15" borderId="28" xfId="623" applyFont="1" applyFill="1" applyBorder="1" applyAlignment="1">
      <alignment horizontal="center" vertical="center" wrapText="1"/>
    </xf>
    <xf numFmtId="0" fontId="0" fillId="0" borderId="80" xfId="0" applyBorder="1"/>
    <xf numFmtId="0" fontId="0" fillId="0" borderId="81" xfId="0" applyBorder="1"/>
    <xf numFmtId="4" fontId="262" fillId="15" borderId="70" xfId="0" applyNumberFormat="1" applyFont="1" applyFill="1" applyBorder="1" applyAlignment="1">
      <alignment horizontal="center" vertical="center" wrapText="1"/>
    </xf>
    <xf numFmtId="4" fontId="262" fillId="15" borderId="5" xfId="0" applyNumberFormat="1" applyFont="1" applyFill="1" applyBorder="1" applyAlignment="1">
      <alignment horizontal="center" vertical="center" wrapText="1"/>
    </xf>
    <xf numFmtId="0" fontId="262" fillId="15" borderId="0" xfId="666" applyFont="1" applyFill="1" applyAlignment="1">
      <alignment horizontal="center" vertical="center" wrapText="1"/>
    </xf>
    <xf numFmtId="0" fontId="262" fillId="15" borderId="9" xfId="666" applyFont="1" applyFill="1" applyBorder="1" applyAlignment="1">
      <alignment horizontal="center" vertical="center" wrapText="1"/>
    </xf>
    <xf numFmtId="0" fontId="262" fillId="15" borderId="0" xfId="0" applyFont="1" applyFill="1" applyAlignment="1">
      <alignment horizontal="center" vertical="center" wrapText="1"/>
    </xf>
    <xf numFmtId="0" fontId="262" fillId="15" borderId="4" xfId="0" applyFont="1" applyFill="1" applyBorder="1" applyAlignment="1">
      <alignment horizontal="center" vertical="center" wrapText="1"/>
    </xf>
    <xf numFmtId="0" fontId="262" fillId="15" borderId="82" xfId="0" applyFont="1" applyFill="1" applyBorder="1" applyAlignment="1">
      <alignment horizontal="center" vertical="center" wrapText="1"/>
    </xf>
    <xf numFmtId="0" fontId="262" fillId="15" borderId="70" xfId="0" applyFont="1" applyFill="1" applyBorder="1" applyAlignment="1">
      <alignment horizontal="center" vertical="center" wrapText="1"/>
    </xf>
    <xf numFmtId="0" fontId="262" fillId="15" borderId="87" xfId="0" applyFont="1" applyFill="1" applyBorder="1" applyAlignment="1">
      <alignment horizontal="center" vertical="center" wrapText="1"/>
    </xf>
    <xf numFmtId="0" fontId="259" fillId="15" borderId="31" xfId="711" applyFont="1" applyFill="1" applyBorder="1" applyAlignment="1">
      <alignment horizontal="center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FF0066"/>
      <color rgb="FFFF3399"/>
      <color rgb="FF00FFFF"/>
      <color rgb="FFFF99FF"/>
      <color rgb="FFFF66FF"/>
      <color rgb="FFFF33CC"/>
      <color rgb="FFFFFFFF"/>
      <color rgb="FFCCFFCC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2.xlsx" TargetMode="External"/><Relationship Id="rId1" Type="http://schemas.openxmlformats.org/officeDocument/2006/relationships/externalLinkPath" Target="/Users/adity/Documents/GitHub/gitlocal/thaco/Archive/BANG%20LUONG%20MAU%202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Payroll"/>
      <sheetName val="PC cơm "/>
      <sheetName val="TimeTB 2"/>
      <sheetName val=" TimeTB 1"/>
      <sheetName val="OT "/>
      <sheetName val="NS"/>
      <sheetName val="Incentive"/>
      <sheetName val="Others"/>
      <sheetName val="Benefit tính thuế"/>
    </sheetNames>
    <sheetDataSet>
      <sheetData sheetId="0">
        <row r="6">
          <cell r="B6" t="str">
            <v>SLA2500111</v>
          </cell>
          <cell r="D6" t="str">
            <v>Nguyễn Thị Hà</v>
          </cell>
          <cell r="E6" t="str">
            <v>27/07/2015</v>
          </cell>
          <cell r="F6" t="str">
            <v>PVT - Store Manager</v>
          </cell>
          <cell r="G6" t="str">
            <v>Store Management</v>
          </cell>
          <cell r="H6" t="str">
            <v>Manager</v>
          </cell>
          <cell r="I6" t="str">
            <v>Store Manager - Emart Phan Van Tri</v>
          </cell>
          <cell r="J6">
            <v>47000000</v>
          </cell>
        </row>
        <row r="7">
          <cell r="G7">
            <v>1</v>
          </cell>
          <cell r="J7">
            <v>31000000</v>
          </cell>
        </row>
        <row r="8">
          <cell r="B8" t="str">
            <v>PHI2500112</v>
          </cell>
          <cell r="D8" t="str">
            <v>Phùng Mạnh Hà</v>
          </cell>
          <cell r="E8" t="str">
            <v>19/12/2022</v>
          </cell>
          <cell r="F8" t="str">
            <v>PVT - Cooperate Function</v>
          </cell>
          <cell r="G8" t="str">
            <v>Cooperate Function</v>
          </cell>
          <cell r="H8" t="str">
            <v>Manager</v>
          </cell>
          <cell r="I8" t="str">
            <v>Corporate Function Manager</v>
          </cell>
          <cell r="J8">
            <v>31000000</v>
          </cell>
        </row>
        <row r="9">
          <cell r="G9">
            <v>2</v>
          </cell>
          <cell r="J9">
            <v>16500000</v>
          </cell>
        </row>
        <row r="10">
          <cell r="B10" t="str">
            <v>PVT2500114</v>
          </cell>
          <cell r="D10" t="str">
            <v>Nguyễn Đức Khánh</v>
          </cell>
          <cell r="E10">
            <v>44562</v>
          </cell>
          <cell r="F10" t="str">
            <v xml:space="preserve">PVT - Cashier </v>
          </cell>
          <cell r="G10" t="str">
            <v>Cashier</v>
          </cell>
          <cell r="H10" t="str">
            <v>Staff</v>
          </cell>
          <cell r="I10" t="str">
            <v>Cashier Staff</v>
          </cell>
          <cell r="J10">
            <v>8000000</v>
          </cell>
        </row>
        <row r="11">
          <cell r="B11" t="str">
            <v>PVT2500115</v>
          </cell>
          <cell r="D11" t="str">
            <v>Nguyễn Sơn Tùng</v>
          </cell>
          <cell r="E11">
            <v>45740</v>
          </cell>
          <cell r="F11" t="str">
            <v xml:space="preserve">PVT - Cashier </v>
          </cell>
          <cell r="G11" t="str">
            <v>Cashier</v>
          </cell>
          <cell r="H11" t="str">
            <v>Staff</v>
          </cell>
          <cell r="I11" t="str">
            <v>Cashier Staff</v>
          </cell>
          <cell r="J11">
            <v>8500000</v>
          </cell>
        </row>
        <row r="12">
          <cell r="G12">
            <v>1</v>
          </cell>
          <cell r="J12">
            <v>7056000</v>
          </cell>
        </row>
        <row r="13">
          <cell r="B13" t="str">
            <v>PVT2500116</v>
          </cell>
          <cell r="D13" t="str">
            <v>Nguyễn Quang Cường</v>
          </cell>
          <cell r="E13" t="str">
            <v>12/10/2016</v>
          </cell>
          <cell r="F13" t="str">
            <v xml:space="preserve">PVT - Quality Assurance </v>
          </cell>
          <cell r="G13" t="str">
            <v xml:space="preserve">Quality Assurance </v>
          </cell>
          <cell r="H13" t="str">
            <v>Assistant</v>
          </cell>
          <cell r="I13" t="str">
            <v>QA Assistant</v>
          </cell>
          <cell r="J13">
            <v>7056000</v>
          </cell>
        </row>
        <row r="14">
          <cell r="G14">
            <v>1</v>
          </cell>
          <cell r="J14">
            <v>6841000</v>
          </cell>
        </row>
        <row r="15">
          <cell r="B15" t="str">
            <v>PVT2500117</v>
          </cell>
          <cell r="D15" t="str">
            <v>Phạm Đức Kiên</v>
          </cell>
          <cell r="E15" t="str">
            <v>22/06/2022</v>
          </cell>
          <cell r="F15" t="str">
            <v>PVT - Security</v>
          </cell>
          <cell r="G15" t="str">
            <v>Security</v>
          </cell>
          <cell r="H15" t="str">
            <v>Staff</v>
          </cell>
          <cell r="I15" t="str">
            <v>Security Staff</v>
          </cell>
          <cell r="J15">
            <v>6841000</v>
          </cell>
        </row>
        <row r="16">
          <cell r="G16">
            <v>2</v>
          </cell>
          <cell r="J16">
            <v>21448000</v>
          </cell>
        </row>
        <row r="17">
          <cell r="B17" t="str">
            <v>PVT2500113</v>
          </cell>
          <cell r="D17" t="str">
            <v>Nguyễn Văn Quân</v>
          </cell>
          <cell r="E17" t="str">
            <v>24/10/2022</v>
          </cell>
          <cell r="F17" t="str">
            <v>PVT - Operation</v>
          </cell>
          <cell r="G17" t="str">
            <v>PP. Center</v>
          </cell>
          <cell r="H17" t="str">
            <v>Staff</v>
          </cell>
          <cell r="I17" t="str">
            <v>Shipper Staff</v>
          </cell>
          <cell r="J17">
            <v>10448000</v>
          </cell>
        </row>
        <row r="18">
          <cell r="B18" t="str">
            <v>PVT2500118</v>
          </cell>
          <cell r="D18" t="str">
            <v>Ngô Văn Tuấn</v>
          </cell>
          <cell r="E18">
            <v>45738</v>
          </cell>
          <cell r="F18" t="str">
            <v>PVT - Operation</v>
          </cell>
          <cell r="G18" t="str">
            <v>PP. Center</v>
          </cell>
          <cell r="H18" t="str">
            <v>Staff</v>
          </cell>
          <cell r="I18" t="str">
            <v>Shipper Staff</v>
          </cell>
          <cell r="J18">
            <v>11000000</v>
          </cell>
        </row>
      </sheetData>
      <sheetData sheetId="1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 t="str">
            <v>Store Management</v>
          </cell>
          <cell r="F7">
            <v>25</v>
          </cell>
          <cell r="G7">
            <v>0</v>
          </cell>
          <cell r="H7">
            <v>0</v>
          </cell>
          <cell r="I7">
            <v>1000000</v>
          </cell>
          <cell r="J7">
            <v>0</v>
          </cell>
          <cell r="K7">
            <v>0</v>
          </cell>
          <cell r="L7">
            <v>1000000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 t="str">
            <v>Cooperate Function</v>
          </cell>
          <cell r="F8">
            <v>26</v>
          </cell>
          <cell r="G8">
            <v>0</v>
          </cell>
          <cell r="H8">
            <v>1</v>
          </cell>
          <cell r="I8">
            <v>1040000</v>
          </cell>
          <cell r="J8">
            <v>0</v>
          </cell>
          <cell r="K8">
            <v>80000</v>
          </cell>
          <cell r="L8">
            <v>1120000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 t="str">
            <v>PP. Center</v>
          </cell>
          <cell r="F9">
            <v>24</v>
          </cell>
          <cell r="G9">
            <v>0</v>
          </cell>
          <cell r="H9">
            <v>0</v>
          </cell>
          <cell r="I9">
            <v>960000</v>
          </cell>
          <cell r="J9">
            <v>0</v>
          </cell>
          <cell r="K9">
            <v>0</v>
          </cell>
          <cell r="L9">
            <v>960000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 t="str">
            <v xml:space="preserve">Hr/Admin </v>
          </cell>
          <cell r="F10">
            <v>16</v>
          </cell>
          <cell r="G10">
            <v>0</v>
          </cell>
          <cell r="H10">
            <v>1</v>
          </cell>
          <cell r="I10">
            <v>640000</v>
          </cell>
          <cell r="J10">
            <v>0</v>
          </cell>
          <cell r="K10">
            <v>80000</v>
          </cell>
          <cell r="L10">
            <v>720000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 t="str">
            <v xml:space="preserve">Hr/Admin </v>
          </cell>
          <cell r="F11">
            <v>26</v>
          </cell>
          <cell r="G11">
            <v>0</v>
          </cell>
          <cell r="H11">
            <v>1</v>
          </cell>
          <cell r="I11">
            <v>1040000</v>
          </cell>
          <cell r="J11">
            <v>0</v>
          </cell>
          <cell r="K11">
            <v>80000</v>
          </cell>
          <cell r="L11">
            <v>1120000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 t="str">
            <v>Cashier</v>
          </cell>
          <cell r="F12">
            <v>26</v>
          </cell>
          <cell r="G12">
            <v>0</v>
          </cell>
          <cell r="H12">
            <v>1</v>
          </cell>
          <cell r="I12">
            <v>1040000</v>
          </cell>
          <cell r="J12">
            <v>0</v>
          </cell>
          <cell r="K12">
            <v>80000</v>
          </cell>
          <cell r="L12">
            <v>1120000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 t="str">
            <v>Cashier</v>
          </cell>
          <cell r="F13">
            <v>24</v>
          </cell>
          <cell r="G13">
            <v>0</v>
          </cell>
          <cell r="H13">
            <v>0</v>
          </cell>
          <cell r="I13">
            <v>960000</v>
          </cell>
          <cell r="J13">
            <v>0</v>
          </cell>
          <cell r="K13">
            <v>0</v>
          </cell>
          <cell r="L13">
            <v>960000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 t="str">
            <v>PP. Center</v>
          </cell>
          <cell r="F14">
            <v>26</v>
          </cell>
          <cell r="G14">
            <v>0</v>
          </cell>
          <cell r="H14">
            <v>1</v>
          </cell>
          <cell r="I14">
            <v>1040000</v>
          </cell>
          <cell r="J14">
            <v>0</v>
          </cell>
          <cell r="K14">
            <v>80000</v>
          </cell>
          <cell r="L14">
            <v>1120000</v>
          </cell>
        </row>
        <row r="15">
          <cell r="F15">
            <v>193</v>
          </cell>
          <cell r="G15">
            <v>0</v>
          </cell>
          <cell r="H15">
            <v>5</v>
          </cell>
          <cell r="I15">
            <v>7720000</v>
          </cell>
          <cell r="J15">
            <v>0</v>
          </cell>
          <cell r="K15">
            <v>400000</v>
          </cell>
          <cell r="L15">
            <v>8120000</v>
          </cell>
        </row>
      </sheetData>
      <sheetData sheetId="2"/>
      <sheetData sheetId="3"/>
      <sheetData sheetId="4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>
            <v>47000000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>
            <v>31000000</v>
          </cell>
          <cell r="F8">
            <v>0</v>
          </cell>
          <cell r="G8">
            <v>6</v>
          </cell>
          <cell r="H8">
            <v>0</v>
          </cell>
          <cell r="I8">
            <v>0</v>
          </cell>
          <cell r="J8">
            <v>6</v>
          </cell>
          <cell r="K8">
            <v>2</v>
          </cell>
          <cell r="L8">
            <v>0</v>
          </cell>
          <cell r="M8">
            <v>1922596</v>
          </cell>
          <cell r="N8">
            <v>0</v>
          </cell>
          <cell r="O8">
            <v>0</v>
          </cell>
          <cell r="P8">
            <v>2682692</v>
          </cell>
          <cell r="Q8">
            <v>1222115</v>
          </cell>
          <cell r="R8">
            <v>5827403</v>
          </cell>
          <cell r="S8">
            <v>2086538</v>
          </cell>
          <cell r="T8">
            <v>3740865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>
            <v>10448000</v>
          </cell>
          <cell r="F9">
            <v>0.5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37673</v>
          </cell>
          <cell r="M9">
            <v>269990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307663</v>
          </cell>
          <cell r="S9">
            <v>150692</v>
          </cell>
          <cell r="T9">
            <v>156971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>
            <v>8000000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807692</v>
          </cell>
          <cell r="Q10">
            <v>157692</v>
          </cell>
          <cell r="R10">
            <v>965384</v>
          </cell>
          <cell r="S10">
            <v>307692</v>
          </cell>
          <cell r="T10">
            <v>657692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>
            <v>8500000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8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980769</v>
          </cell>
          <cell r="Q11">
            <v>0</v>
          </cell>
          <cell r="R11">
            <v>980769</v>
          </cell>
          <cell r="S11">
            <v>980769</v>
          </cell>
          <cell r="T11">
            <v>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>
            <v>7056000</v>
          </cell>
          <cell r="F12">
            <v>1</v>
          </cell>
          <cell r="G12">
            <v>9</v>
          </cell>
          <cell r="H12">
            <v>0</v>
          </cell>
          <cell r="I12">
            <v>0</v>
          </cell>
          <cell r="J12">
            <v>6</v>
          </cell>
          <cell r="K12">
            <v>2</v>
          </cell>
          <cell r="L12">
            <v>50885</v>
          </cell>
          <cell r="M12">
            <v>656412</v>
          </cell>
          <cell r="N12">
            <v>0</v>
          </cell>
          <cell r="O12">
            <v>0</v>
          </cell>
          <cell r="P12">
            <v>610615</v>
          </cell>
          <cell r="Q12">
            <v>278169</v>
          </cell>
          <cell r="R12">
            <v>1596081</v>
          </cell>
          <cell r="S12">
            <v>610615</v>
          </cell>
          <cell r="T12">
            <v>985466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>
            <v>6841000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>
            <v>11000000</v>
          </cell>
          <cell r="F14">
            <v>1</v>
          </cell>
          <cell r="G14">
            <v>9</v>
          </cell>
          <cell r="H14">
            <v>0</v>
          </cell>
          <cell r="I14">
            <v>0</v>
          </cell>
          <cell r="J14">
            <v>6</v>
          </cell>
          <cell r="K14">
            <v>2</v>
          </cell>
          <cell r="L14">
            <v>79327</v>
          </cell>
          <cell r="M14">
            <v>1023317</v>
          </cell>
          <cell r="N14">
            <v>0</v>
          </cell>
          <cell r="O14">
            <v>0</v>
          </cell>
          <cell r="P14">
            <v>951923</v>
          </cell>
          <cell r="Q14">
            <v>433654</v>
          </cell>
          <cell r="R14">
            <v>2488221</v>
          </cell>
          <cell r="S14">
            <v>2488221</v>
          </cell>
          <cell r="T14">
            <v>0</v>
          </cell>
        </row>
      </sheetData>
      <sheetData sheetId="5">
        <row r="9">
          <cell r="B9" t="str">
            <v>SLA2500111</v>
          </cell>
          <cell r="C9" t="str">
            <v>Nguyen Van A</v>
          </cell>
          <cell r="D9">
            <v>43466</v>
          </cell>
          <cell r="E9">
            <v>47000000</v>
          </cell>
          <cell r="F9">
            <v>2</v>
          </cell>
          <cell r="G9">
            <v>135577</v>
          </cell>
          <cell r="H9">
            <v>0</v>
          </cell>
          <cell r="I9">
            <v>135577</v>
          </cell>
        </row>
        <row r="10">
          <cell r="B10" t="str">
            <v>PHI2500112</v>
          </cell>
          <cell r="C10" t="str">
            <v>Nguyen Van B</v>
          </cell>
          <cell r="D10">
            <v>43831</v>
          </cell>
          <cell r="E10">
            <v>31000000</v>
          </cell>
          <cell r="F10">
            <v>3</v>
          </cell>
          <cell r="G10">
            <v>134135</v>
          </cell>
          <cell r="H10">
            <v>0</v>
          </cell>
          <cell r="I10">
            <v>134135</v>
          </cell>
        </row>
        <row r="11">
          <cell r="B11" t="str">
            <v>PVT2500113</v>
          </cell>
          <cell r="C11" t="str">
            <v>Nguyễn Đức Khánh</v>
          </cell>
          <cell r="D11">
            <v>44197</v>
          </cell>
          <cell r="E11">
            <v>10448000</v>
          </cell>
          <cell r="F11">
            <v>4</v>
          </cell>
          <cell r="G11">
            <v>60277</v>
          </cell>
          <cell r="H11">
            <v>0</v>
          </cell>
          <cell r="I11">
            <v>60277</v>
          </cell>
        </row>
        <row r="12">
          <cell r="B12" t="str">
            <v>PVT2500114</v>
          </cell>
          <cell r="C12" t="str">
            <v>Nguyễn Sơn Tùng</v>
          </cell>
          <cell r="D12">
            <v>44562</v>
          </cell>
          <cell r="E12">
            <v>8000000</v>
          </cell>
          <cell r="F12">
            <v>1.5</v>
          </cell>
          <cell r="G12">
            <v>17308</v>
          </cell>
          <cell r="H12">
            <v>0</v>
          </cell>
          <cell r="I12">
            <v>17308</v>
          </cell>
        </row>
        <row r="13">
          <cell r="B13" t="str">
            <v>PVT2500115</v>
          </cell>
          <cell r="C13" t="str">
            <v>Nguyễn Quang Cường</v>
          </cell>
          <cell r="D13">
            <v>45740</v>
          </cell>
          <cell r="E13">
            <v>8500000</v>
          </cell>
          <cell r="F13">
            <v>0.5</v>
          </cell>
          <cell r="G13">
            <v>6130</v>
          </cell>
          <cell r="H13">
            <v>6130</v>
          </cell>
        </row>
        <row r="14">
          <cell r="B14" t="str">
            <v>PVT2500116</v>
          </cell>
          <cell r="C14" t="str">
            <v>Phạm Đức Kiên</v>
          </cell>
          <cell r="D14">
            <v>44927</v>
          </cell>
          <cell r="E14">
            <v>7056000</v>
          </cell>
          <cell r="F14">
            <v>1</v>
          </cell>
          <cell r="G14">
            <v>10177</v>
          </cell>
          <cell r="H14">
            <v>0</v>
          </cell>
          <cell r="I14">
            <v>10177</v>
          </cell>
        </row>
        <row r="15">
          <cell r="B15" t="str">
            <v>PVT2500117</v>
          </cell>
          <cell r="C15" t="str">
            <v>Nguyễn Văn Quân</v>
          </cell>
          <cell r="D15">
            <v>45292</v>
          </cell>
          <cell r="E15">
            <v>6841000</v>
          </cell>
          <cell r="F15">
            <v>5</v>
          </cell>
          <cell r="G15">
            <v>49334</v>
          </cell>
          <cell r="H15">
            <v>0</v>
          </cell>
          <cell r="I15">
            <v>49334</v>
          </cell>
        </row>
        <row r="16">
          <cell r="B16" t="str">
            <v>PVT2500118</v>
          </cell>
          <cell r="C16" t="str">
            <v>Ngô Văn Tuấn</v>
          </cell>
          <cell r="D16">
            <v>45738</v>
          </cell>
          <cell r="E16">
            <v>11000000</v>
          </cell>
          <cell r="F16">
            <v>6</v>
          </cell>
          <cell r="G16">
            <v>95192</v>
          </cell>
          <cell r="H16">
            <v>95192</v>
          </cell>
        </row>
      </sheetData>
      <sheetData sheetId="6">
        <row r="9">
          <cell r="B9" t="str">
            <v>PVT2500116</v>
          </cell>
          <cell r="C9" t="str">
            <v>Phạm Đức Kiên</v>
          </cell>
          <cell r="G9" t="str">
            <v>Cashier</v>
          </cell>
          <cell r="H9">
            <v>2000000</v>
          </cell>
        </row>
        <row r="10">
          <cell r="B10" t="str">
            <v>PVT2500117</v>
          </cell>
          <cell r="C10" t="str">
            <v>Nguyễn Văn Quân</v>
          </cell>
          <cell r="G10" t="str">
            <v>Cashier</v>
          </cell>
          <cell r="H10">
            <v>2600000</v>
          </cell>
        </row>
        <row r="11">
          <cell r="B11" t="str">
            <v>PVT2500118</v>
          </cell>
          <cell r="C11" t="str">
            <v>Ngô Văn Tuấn</v>
          </cell>
          <cell r="G11" t="str">
            <v>PP. Center</v>
          </cell>
          <cell r="H11">
            <v>5610000</v>
          </cell>
        </row>
      </sheetData>
      <sheetData sheetId="7">
        <row r="9">
          <cell r="B9" t="str">
            <v>PVT2500113</v>
          </cell>
          <cell r="F9">
            <v>1923076.923076923</v>
          </cell>
        </row>
        <row r="10">
          <cell r="F10">
            <v>0</v>
          </cell>
        </row>
        <row r="11">
          <cell r="F11">
            <v>1923076.923076923</v>
          </cell>
        </row>
        <row r="13">
          <cell r="B13" t="str">
            <v>Emp.Code</v>
          </cell>
          <cell r="F13" t="str">
            <v>Amount</v>
          </cell>
        </row>
        <row r="14">
          <cell r="B14" t="str">
            <v>PVT2500114</v>
          </cell>
          <cell r="F14">
            <v>500000</v>
          </cell>
        </row>
        <row r="15">
          <cell r="B15" t="str">
            <v>PVT2500115</v>
          </cell>
          <cell r="F15">
            <v>500000</v>
          </cell>
        </row>
      </sheetData>
      <sheetData sheetId="8">
        <row r="2">
          <cell r="B2" t="str">
            <v>SLA2500111</v>
          </cell>
          <cell r="C2" t="str">
            <v>Nguyễn Thị Hà</v>
          </cell>
          <cell r="E2">
            <v>200000</v>
          </cell>
          <cell r="H2">
            <v>200000</v>
          </cell>
        </row>
        <row r="3">
          <cell r="B3" t="str">
            <v>PHI2500112</v>
          </cell>
          <cell r="C3" t="str">
            <v>Phùng Mạnh Hà</v>
          </cell>
          <cell r="F3">
            <v>2000000</v>
          </cell>
          <cell r="H3">
            <v>2000000</v>
          </cell>
        </row>
        <row r="4">
          <cell r="B4" t="str">
            <v>PVT2500113</v>
          </cell>
          <cell r="C4" t="str">
            <v>Nguyễn Đức Khánh</v>
          </cell>
          <cell r="G4">
            <v>1000000</v>
          </cell>
          <cell r="H4">
            <v>1000000</v>
          </cell>
        </row>
        <row r="5">
          <cell r="B5" t="str">
            <v>PVT2500114</v>
          </cell>
          <cell r="C5" t="str">
            <v>Nguyễn Sơn Tùng</v>
          </cell>
          <cell r="D5">
            <v>500000</v>
          </cell>
          <cell r="G5">
            <v>750000</v>
          </cell>
          <cell r="H5">
            <v>1250000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Z24"/>
  <sheetViews>
    <sheetView tabSelected="1" zoomScale="130" zoomScaleNormal="130" zoomScaleSheetLayoutView="80" workbookViewId="0">
      <pane xSplit="4" ySplit="4" topLeftCell="BE5" activePane="bottomRight" state="frozen"/>
      <selection pane="topRight" activeCell="E1" sqref="E1"/>
      <selection pane="bottomLeft" activeCell="A20" sqref="A20"/>
      <selection pane="bottomRight" activeCell="BF3" sqref="BF3"/>
    </sheetView>
  </sheetViews>
  <sheetFormatPr baseColWidth="10" defaultColWidth="9.33203125" defaultRowHeight="14" outlineLevelCol="1"/>
  <cols>
    <col min="1" max="1" width="5.6640625" style="47" customWidth="1"/>
    <col min="2" max="2" width="14.1640625" style="47" customWidth="1"/>
    <col min="3" max="3" width="12.5" style="47" customWidth="1" outlineLevel="1"/>
    <col min="4" max="4" width="19.5" style="48" customWidth="1"/>
    <col min="5" max="5" width="15.6640625" style="47" customWidth="1"/>
    <col min="6" max="6" width="26.1640625" style="47" customWidth="1" outlineLevel="1"/>
    <col min="7" max="7" width="17.5" style="47" customWidth="1"/>
    <col min="8" max="8" width="13" style="47" customWidth="1"/>
    <col min="9" max="9" width="15.33203125" style="47" customWidth="1" outlineLevel="1"/>
    <col min="10" max="12" width="15.83203125" style="47" customWidth="1"/>
    <col min="13" max="13" width="9.5" style="47" customWidth="1"/>
    <col min="14" max="14" width="16" style="47" customWidth="1"/>
    <col min="15" max="15" width="9.33203125" style="47" customWidth="1" outlineLevel="1"/>
    <col min="16" max="16" width="13.33203125" style="47" customWidth="1" outlineLevel="1"/>
    <col min="17" max="17" width="17.1640625" style="47" customWidth="1" outlineLevel="1"/>
    <col min="18" max="18" width="17.6640625" style="47" customWidth="1"/>
    <col min="19" max="19" width="12.83203125" style="47" customWidth="1" outlineLevel="1"/>
    <col min="20" max="20" width="14.5" style="47" customWidth="1" outlineLevel="1"/>
    <col min="21" max="21" width="16.5" style="47" customWidth="1"/>
    <col min="22" max="22" width="15" style="49" customWidth="1" outlineLevel="1"/>
    <col min="23" max="23" width="14.83203125" style="49" customWidth="1" outlineLevel="1"/>
    <col min="24" max="24" width="12.5" style="49" customWidth="1" outlineLevel="1"/>
    <col min="25" max="25" width="13.33203125" style="47" customWidth="1"/>
    <col min="26" max="26" width="13.5" style="47" customWidth="1" outlineLevel="1"/>
    <col min="27" max="27" width="12.6640625" style="47" customWidth="1"/>
    <col min="28" max="28" width="12.5" style="47" customWidth="1"/>
    <col min="29" max="29" width="12" style="47" customWidth="1" outlineLevel="1"/>
    <col min="30" max="30" width="12.33203125" style="47" customWidth="1"/>
    <col min="31" max="31" width="8.5" style="47" customWidth="1"/>
    <col min="32" max="33" width="13.5" style="47" customWidth="1"/>
    <col min="34" max="34" width="12.5" style="47" customWidth="1"/>
    <col min="35" max="35" width="11.83203125" style="47" customWidth="1"/>
    <col min="36" max="37" width="14.6640625" style="47" customWidth="1"/>
    <col min="38" max="38" width="13.5" style="47" customWidth="1"/>
    <col min="39" max="39" width="13" style="47" customWidth="1"/>
    <col min="40" max="40" width="15.1640625" style="47" customWidth="1"/>
    <col min="41" max="41" width="6" style="47" customWidth="1"/>
    <col min="42" max="42" width="18.1640625" style="47" bestFit="1" customWidth="1"/>
    <col min="43" max="43" width="14.5" style="47" customWidth="1" outlineLevel="1"/>
    <col min="44" max="44" width="12.5" style="47" customWidth="1" outlineLevel="1"/>
    <col min="45" max="45" width="13.6640625" style="47" customWidth="1" outlineLevel="1"/>
    <col min="46" max="46" width="15.5" style="47" customWidth="1"/>
    <col min="47" max="49" width="13" style="47" customWidth="1"/>
    <col min="50" max="50" width="9.1640625" style="47" customWidth="1"/>
    <col min="51" max="51" width="11.5" style="47" customWidth="1"/>
    <col min="52" max="52" width="14" style="47" customWidth="1"/>
    <col min="53" max="53" width="12.5" style="47" customWidth="1" outlineLevel="1"/>
    <col min="54" max="54" width="12.33203125" style="47" customWidth="1" outlineLevel="1"/>
    <col min="55" max="55" width="12.5" style="47" customWidth="1" outlineLevel="1"/>
    <col min="56" max="56" width="15.33203125" style="47" customWidth="1" outlineLevel="1"/>
    <col min="57" max="57" width="15" style="47" customWidth="1"/>
    <col min="58" max="59" width="15.83203125" style="47" bestFit="1" customWidth="1"/>
    <col min="60" max="60" width="12.1640625" style="47" customWidth="1"/>
    <col min="61" max="61" width="11" style="47" customWidth="1"/>
    <col min="62" max="62" width="13" style="47" customWidth="1"/>
    <col min="63" max="63" width="14" style="47" customWidth="1"/>
    <col min="64" max="64" width="12.1640625" style="47" customWidth="1"/>
    <col min="65" max="65" width="18.6640625" style="47" customWidth="1"/>
    <col min="66" max="66" width="13.83203125" style="47" customWidth="1"/>
    <col min="67" max="67" width="14.5" style="47" customWidth="1" outlineLevel="1"/>
    <col min="68" max="68" width="14.33203125" style="47" customWidth="1" outlineLevel="1"/>
    <col min="69" max="69" width="15.6640625" style="47" customWidth="1" outlineLevel="1"/>
    <col min="70" max="75" width="13.6640625" style="47" customWidth="1" outlineLevel="1"/>
    <col min="76" max="76" width="15.5" style="47" customWidth="1" outlineLevel="1"/>
    <col min="77" max="78" width="9.33203125" style="47" customWidth="1"/>
    <col min="79" max="16384" width="9.33203125" style="47"/>
  </cols>
  <sheetData>
    <row r="1" spans="1:78" ht="35">
      <c r="A1" s="105" t="s">
        <v>190</v>
      </c>
      <c r="B1" s="105"/>
    </row>
    <row r="2" spans="1:78" ht="22.5" customHeight="1">
      <c r="A2" s="50" t="s">
        <v>0</v>
      </c>
      <c r="C2" s="106"/>
      <c r="D2" s="107">
        <v>45773</v>
      </c>
      <c r="Y2" s="51"/>
      <c r="Z2" s="108"/>
      <c r="AA2" s="108"/>
      <c r="AB2" s="108"/>
      <c r="AC2" s="108"/>
      <c r="AK2" s="311"/>
      <c r="AL2" s="311"/>
      <c r="AM2" s="311"/>
      <c r="AN2" s="311"/>
      <c r="AO2" s="311"/>
      <c r="AP2" s="311"/>
      <c r="AQ2" s="50"/>
      <c r="AR2" s="50"/>
      <c r="AS2" s="50"/>
      <c r="AT2" s="50"/>
    </row>
    <row r="3" spans="1:78" s="304" customFormat="1" ht="48" customHeight="1">
      <c r="A3" s="301"/>
      <c r="B3" s="301" t="s">
        <v>244</v>
      </c>
      <c r="C3" s="301"/>
      <c r="D3" s="302" t="s">
        <v>244</v>
      </c>
      <c r="E3" s="301"/>
      <c r="F3" s="301"/>
      <c r="G3" s="301"/>
      <c r="H3" s="301"/>
      <c r="I3" s="301"/>
      <c r="J3" s="303"/>
      <c r="K3" s="301"/>
      <c r="M3" s="301" t="s">
        <v>244</v>
      </c>
      <c r="N3" s="303"/>
      <c r="O3" s="303"/>
      <c r="P3" s="303"/>
      <c r="Q3" s="303"/>
      <c r="R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J3" s="301"/>
      <c r="AK3" s="305"/>
      <c r="AL3" s="305"/>
      <c r="AN3" s="305"/>
      <c r="AO3" s="305"/>
      <c r="AP3" s="306">
        <v>6200000</v>
      </c>
      <c r="AQ3" s="307">
        <v>0.08</v>
      </c>
      <c r="AR3" s="307">
        <v>1.4999999999999999E-2</v>
      </c>
      <c r="AS3" s="307">
        <v>0.01</v>
      </c>
      <c r="AT3" s="308"/>
      <c r="AU3" s="305"/>
      <c r="AV3" s="305"/>
      <c r="AW3" s="305"/>
      <c r="AX3" s="305"/>
      <c r="AY3" s="309"/>
      <c r="AZ3" s="305"/>
      <c r="BA3" s="307">
        <v>0.17</v>
      </c>
      <c r="BB3" s="307">
        <v>0.03</v>
      </c>
      <c r="BC3" s="307">
        <v>0.01</v>
      </c>
      <c r="BD3" s="307">
        <v>5.0000000000000001E-3</v>
      </c>
      <c r="BE3" s="308"/>
      <c r="BF3" s="310">
        <f>2340000*20</f>
        <v>46800000</v>
      </c>
      <c r="BG3" s="310">
        <f>4960000*20</f>
        <v>99200000</v>
      </c>
      <c r="BH3" s="305" t="s">
        <v>188</v>
      </c>
      <c r="BI3" s="305" t="s">
        <v>189</v>
      </c>
      <c r="BJ3" s="305"/>
      <c r="BK3" s="305"/>
      <c r="BM3" s="309"/>
      <c r="BN3" s="305"/>
      <c r="BO3" s="305"/>
      <c r="BP3" s="305"/>
      <c r="BQ3" s="305"/>
      <c r="BR3" s="305"/>
      <c r="BS3" s="305"/>
      <c r="BT3" s="305"/>
      <c r="BU3" s="305"/>
      <c r="BV3" s="305"/>
      <c r="BW3" s="305"/>
      <c r="BX3" s="305"/>
    </row>
    <row r="4" spans="1:78" s="46" customFormat="1" ht="75.75" customHeight="1">
      <c r="A4" s="110" t="s">
        <v>24</v>
      </c>
      <c r="B4" s="110" t="s">
        <v>27</v>
      </c>
      <c r="C4" s="110" t="s">
        <v>132</v>
      </c>
      <c r="D4" s="111" t="s">
        <v>28</v>
      </c>
      <c r="E4" s="110" t="s">
        <v>133</v>
      </c>
      <c r="F4" s="110" t="s">
        <v>12</v>
      </c>
      <c r="G4" s="110" t="s">
        <v>29</v>
      </c>
      <c r="H4" s="110" t="s">
        <v>14</v>
      </c>
      <c r="I4" s="110" t="s">
        <v>108</v>
      </c>
      <c r="J4" s="110" t="s">
        <v>117</v>
      </c>
      <c r="K4" s="110" t="s">
        <v>134</v>
      </c>
      <c r="L4" s="110" t="s">
        <v>118</v>
      </c>
      <c r="M4" s="110" t="s">
        <v>135</v>
      </c>
      <c r="N4" s="110" t="s">
        <v>121</v>
      </c>
      <c r="O4" s="110" t="s">
        <v>119</v>
      </c>
      <c r="P4" s="110" t="s">
        <v>122</v>
      </c>
      <c r="Q4" s="110" t="s">
        <v>171</v>
      </c>
      <c r="R4" s="110" t="s">
        <v>120</v>
      </c>
      <c r="S4" s="110" t="s">
        <v>123</v>
      </c>
      <c r="T4" s="110" t="s">
        <v>172</v>
      </c>
      <c r="U4" s="110" t="s">
        <v>124</v>
      </c>
      <c r="V4" s="110" t="s">
        <v>15</v>
      </c>
      <c r="W4" s="110" t="s">
        <v>16</v>
      </c>
      <c r="X4" s="110" t="s">
        <v>17</v>
      </c>
      <c r="Y4" s="110" t="s">
        <v>18</v>
      </c>
      <c r="Z4" s="110" t="s">
        <v>115</v>
      </c>
      <c r="AA4" s="110" t="s">
        <v>19</v>
      </c>
      <c r="AB4" s="110" t="s">
        <v>136</v>
      </c>
      <c r="AC4" s="110" t="s">
        <v>109</v>
      </c>
      <c r="AD4" s="110" t="s">
        <v>137</v>
      </c>
      <c r="AE4" s="110" t="s">
        <v>110</v>
      </c>
      <c r="AF4" s="110" t="s">
        <v>111</v>
      </c>
      <c r="AG4" s="110" t="s">
        <v>112</v>
      </c>
      <c r="AH4" s="110" t="s">
        <v>138</v>
      </c>
      <c r="AI4" s="110" t="s">
        <v>125</v>
      </c>
      <c r="AJ4" s="110" t="s">
        <v>126</v>
      </c>
      <c r="AK4" s="110" t="s">
        <v>101</v>
      </c>
      <c r="AL4" s="110" t="s">
        <v>127</v>
      </c>
      <c r="AM4" s="110" t="s">
        <v>139</v>
      </c>
      <c r="AN4" s="110" t="s">
        <v>47</v>
      </c>
      <c r="AO4" s="110" t="s">
        <v>2</v>
      </c>
      <c r="AP4" s="110" t="s">
        <v>129</v>
      </c>
      <c r="AQ4" s="112" t="s">
        <v>140</v>
      </c>
      <c r="AR4" s="112" t="s">
        <v>141</v>
      </c>
      <c r="AS4" s="112" t="s">
        <v>142</v>
      </c>
      <c r="AT4" s="112" t="s">
        <v>143</v>
      </c>
      <c r="AU4" s="110" t="s">
        <v>144</v>
      </c>
      <c r="AV4" s="110" t="s">
        <v>145</v>
      </c>
      <c r="AW4" s="110" t="s">
        <v>146</v>
      </c>
      <c r="AX4" s="110" t="s">
        <v>3</v>
      </c>
      <c r="AY4" s="110" t="s">
        <v>4</v>
      </c>
      <c r="AZ4" s="110" t="s">
        <v>147</v>
      </c>
      <c r="BA4" s="112" t="s">
        <v>148</v>
      </c>
      <c r="BB4" s="112" t="s">
        <v>149</v>
      </c>
      <c r="BC4" s="112" t="s">
        <v>142</v>
      </c>
      <c r="BD4" s="112" t="s">
        <v>150</v>
      </c>
      <c r="BE4" s="112" t="s">
        <v>151</v>
      </c>
      <c r="BF4" s="113" t="s">
        <v>152</v>
      </c>
      <c r="BG4" s="113" t="s">
        <v>153</v>
      </c>
      <c r="BH4" s="113" t="s">
        <v>102</v>
      </c>
      <c r="BI4" s="113" t="s">
        <v>103</v>
      </c>
      <c r="BJ4" s="110" t="s">
        <v>104</v>
      </c>
      <c r="BK4" s="110" t="s">
        <v>105</v>
      </c>
      <c r="BL4" s="110" t="s">
        <v>128</v>
      </c>
      <c r="BM4" s="110" t="s">
        <v>5</v>
      </c>
      <c r="BN4" s="110" t="s">
        <v>154</v>
      </c>
      <c r="BO4" s="110" t="s">
        <v>106</v>
      </c>
      <c r="BP4" s="110" t="s">
        <v>107</v>
      </c>
      <c r="BQ4" s="110" t="s">
        <v>6</v>
      </c>
      <c r="BR4" s="110" t="s">
        <v>7</v>
      </c>
      <c r="BS4" s="114" t="s">
        <v>173</v>
      </c>
      <c r="BT4" s="114" t="s">
        <v>174</v>
      </c>
      <c r="BU4" s="114" t="s">
        <v>175</v>
      </c>
      <c r="BV4" s="114" t="s">
        <v>176</v>
      </c>
      <c r="BW4" s="114" t="s">
        <v>187</v>
      </c>
      <c r="BX4" s="115" t="s">
        <v>8</v>
      </c>
      <c r="BY4" s="45"/>
      <c r="BZ4" s="45"/>
    </row>
    <row r="5" spans="1:78" s="103" customFormat="1" ht="22.5" customHeight="1">
      <c r="A5" s="116">
        <v>1</v>
      </c>
      <c r="B5" s="116" t="s">
        <v>180</v>
      </c>
      <c r="C5" s="116"/>
      <c r="D5" s="117" t="s">
        <v>191</v>
      </c>
      <c r="E5" s="118" t="s">
        <v>99</v>
      </c>
      <c r="F5" s="118" t="s">
        <v>163</v>
      </c>
      <c r="G5" s="119" t="s">
        <v>155</v>
      </c>
      <c r="H5" s="119" t="s">
        <v>20</v>
      </c>
      <c r="I5" s="119" t="s">
        <v>113</v>
      </c>
      <c r="J5" s="120">
        <v>47000000</v>
      </c>
      <c r="K5" s="121">
        <v>10870000</v>
      </c>
      <c r="L5" s="121">
        <f t="shared" ref="L5:L12" si="0">J5-K5</f>
        <v>36130000</v>
      </c>
      <c r="M5" s="121">
        <v>26</v>
      </c>
      <c r="N5" s="122">
        <f>IFERROR(VLOOKUP(B5,' TimeTB 1'!$B$4:$P$5,5,0),0)</f>
        <v>0</v>
      </c>
      <c r="O5" s="122">
        <f>VLOOKUP(B5,'TimeTB 2'!$B$4:$O$11,14,0)</f>
        <v>0</v>
      </c>
      <c r="P5" s="123">
        <f>ROUND(K5/M5*N5,0)</f>
        <v>0</v>
      </c>
      <c r="Q5" s="123">
        <f t="shared" ref="Q5:Q12" si="1">ROUND(K5/M5*O5,0)</f>
        <v>0</v>
      </c>
      <c r="R5" s="121">
        <f t="shared" ref="R5:R11" si="2">SUM(P5:Q5)</f>
        <v>0</v>
      </c>
      <c r="S5" s="123">
        <f t="shared" ref="S5:S12" si="3">ROUND(L5/26*N5,0)</f>
        <v>0</v>
      </c>
      <c r="T5" s="123">
        <f t="shared" ref="T5:T12" si="4">ROUND(L5/26*O5,0)</f>
        <v>0</v>
      </c>
      <c r="U5" s="121">
        <f t="shared" ref="U5:U12" si="5">SUM(S5:T5)</f>
        <v>0</v>
      </c>
      <c r="V5" s="121">
        <v>0</v>
      </c>
      <c r="W5" s="121">
        <v>0</v>
      </c>
      <c r="X5" s="121">
        <v>0</v>
      </c>
      <c r="Y5" s="121">
        <f>VLOOKUP(B5,'PC cơm '!$A$3:$K$4,11,0)</f>
        <v>0</v>
      </c>
      <c r="Z5" s="121">
        <f>SUM(V5:Y5)</f>
        <v>0</v>
      </c>
      <c r="AA5" s="121">
        <f>VLOOKUP(B5,OT!A3:S15,17,0)</f>
        <v>0</v>
      </c>
      <c r="AB5" s="121">
        <f>VLOOKUP(B5,NS!$A$2:$F$5,6,0)</f>
        <v>135577</v>
      </c>
      <c r="AC5" s="121">
        <v>0</v>
      </c>
      <c r="AD5" s="121">
        <v>0</v>
      </c>
      <c r="AE5" s="122">
        <v>0</v>
      </c>
      <c r="AF5" s="124">
        <f t="shared" ref="AF5:AF12" si="6">ROUND(J5/26*AE5,0)</f>
        <v>0</v>
      </c>
      <c r="AG5" s="124">
        <f>IFERROR(VLOOKUP(B5,Incentive!$A$4:$G$6,7,0),0)</f>
        <v>0</v>
      </c>
      <c r="AH5" s="124">
        <f>SUMIF(Others!$B$3:$B$9,$B5,Others!$F$3:$F$9)</f>
        <v>0</v>
      </c>
      <c r="AI5" s="124">
        <v>0</v>
      </c>
      <c r="AJ5" s="121">
        <f>AI5+AH5+AG5+AF5+AD5+AC5+AB5+AA5+Z5+U5+R5+BN5</f>
        <v>335577</v>
      </c>
      <c r="AK5" s="121">
        <f>VLOOKUP(B5,OT!A3:S14,19,0)</f>
        <v>0</v>
      </c>
      <c r="AL5" s="121">
        <f>VLOOKUP(B5,NS!$A$2:$H$5,8,0)</f>
        <v>135577</v>
      </c>
      <c r="AM5" s="121">
        <f>AI5</f>
        <v>0</v>
      </c>
      <c r="AN5" s="121">
        <f>IF(BT5=1,0,15500000)</f>
        <v>15500000</v>
      </c>
      <c r="AO5" s="122">
        <v>4</v>
      </c>
      <c r="AP5" s="121">
        <f>AO5*$AP$3</f>
        <v>24800000</v>
      </c>
      <c r="AQ5" s="121">
        <f>BF5*$AQ$3</f>
        <v>869600</v>
      </c>
      <c r="AR5" s="121">
        <f>BF5*$AR$3</f>
        <v>163050</v>
      </c>
      <c r="AS5" s="121">
        <f>BG5*$AS$3</f>
        <v>108700</v>
      </c>
      <c r="AT5" s="124">
        <f>+AS5+AR5+AQ5</f>
        <v>1141350</v>
      </c>
      <c r="AU5" s="124">
        <f>IF(BT5=1,0,MIN(Y5,730000))</f>
        <v>0</v>
      </c>
      <c r="AV5" s="124">
        <f>AJ5-AK5-AL5-AM5-AU5</f>
        <v>200000</v>
      </c>
      <c r="AW5" s="124">
        <f>MAX(AV5-AN5-AP5-AT5,0)</f>
        <v>0</v>
      </c>
      <c r="AX5" s="125">
        <f t="shared" ref="AX5:AX12" si="7">IF(BT5=1,10%,IF(AW5&gt;0,IF(AW5&gt;80000000,0.35,IF(AW5&gt;52000000,0.3,IF(AW5&gt;32000000,0.25,IF(AW5&gt;18000000,0.2,IF(AW5&gt;10000000,0.15,IF(AW5&gt;5000000,0.1,0.05)))))),0))</f>
        <v>0</v>
      </c>
      <c r="AY5" s="126">
        <f>IF(BT5=1,0,IF(AW5&gt;80000000,9850000,IF(AW5&gt;52000000,5850000,IF(AW5&gt;32000000,3250000,IF(AW5&gt;18000000,1650000,IF(AW5&gt;10000000,750000,IF(AW5&gt;5000000,250000,0)))))))</f>
        <v>0</v>
      </c>
      <c r="AZ5" s="127">
        <f>ROUND(AW5*AX5-AY5,0)</f>
        <v>0</v>
      </c>
      <c r="BA5" s="121">
        <f>BF5*$BA$3</f>
        <v>1847900.0000000002</v>
      </c>
      <c r="BB5" s="121">
        <f>BF5*$BB$3</f>
        <v>326100</v>
      </c>
      <c r="BC5" s="121">
        <f>BG5*$BC$3</f>
        <v>108700</v>
      </c>
      <c r="BD5" s="121">
        <f>BG5*$BD$3</f>
        <v>54350</v>
      </c>
      <c r="BE5" s="121">
        <f>SUM(BA5:BD5)</f>
        <v>2337050</v>
      </c>
      <c r="BF5" s="121">
        <f t="shared" ref="BF5:BF12" si="8">MIN((IF(BS5=1,K5,0)),$BF$3)</f>
        <v>10870000</v>
      </c>
      <c r="BG5" s="121">
        <f t="shared" ref="BG5:BG12" si="9">MIN((IF(BS5=1,K5,0)),$BG$3)</f>
        <v>10870000</v>
      </c>
      <c r="BH5" s="121">
        <v>0</v>
      </c>
      <c r="BI5" s="121">
        <v>0</v>
      </c>
      <c r="BJ5" s="121">
        <f>IF(BS5=1,BF5*2%,0)</f>
        <v>217400</v>
      </c>
      <c r="BK5" s="121">
        <f>IF(BU5=1,40000,0)</f>
        <v>40000</v>
      </c>
      <c r="BL5" s="121">
        <f t="shared" ref="BL5:BL12" si="10">IF(BV5=0,0,IF(J5&lt;11000000,5000,IF(J5&lt;25000000,10000,IF(J5&lt;40000000,15000,20000)))*BW5)</f>
        <v>0</v>
      </c>
      <c r="BM5" s="128">
        <f>AJ5-AT5-AZ5-BK5-BL5-BN5-BO5-BP5</f>
        <v>-1045773</v>
      </c>
      <c r="BN5" s="124">
        <f>IFERROR(VLOOKUP(B5,'Benefit tính thuế'!$A$2:$G$5,7,0),0)</f>
        <v>200000</v>
      </c>
      <c r="BO5" s="128">
        <v>0</v>
      </c>
      <c r="BP5" s="128">
        <v>0</v>
      </c>
      <c r="BQ5" s="129">
        <f>AN5+AP5+AU5</f>
        <v>40300000</v>
      </c>
      <c r="BR5" s="129">
        <f>+AZ5+AT5</f>
        <v>1141350</v>
      </c>
      <c r="BS5" s="129">
        <v>1</v>
      </c>
      <c r="BT5" s="130">
        <v>0</v>
      </c>
      <c r="BU5" s="129">
        <v>1</v>
      </c>
      <c r="BV5" s="129">
        <v>0</v>
      </c>
      <c r="BW5" s="129">
        <v>20</v>
      </c>
      <c r="BX5" s="131"/>
    </row>
    <row r="6" spans="1:78" s="103" customFormat="1" ht="22.5" customHeight="1">
      <c r="A6" s="88">
        <v>1</v>
      </c>
      <c r="B6" s="88" t="s">
        <v>181</v>
      </c>
      <c r="C6" s="88"/>
      <c r="D6" s="89" t="s">
        <v>192</v>
      </c>
      <c r="E6" s="90" t="s">
        <v>81</v>
      </c>
      <c r="F6" s="90" t="s">
        <v>164</v>
      </c>
      <c r="G6" s="91" t="s">
        <v>156</v>
      </c>
      <c r="H6" s="91" t="s">
        <v>20</v>
      </c>
      <c r="I6" s="91" t="s">
        <v>100</v>
      </c>
      <c r="J6" s="92">
        <v>31000000</v>
      </c>
      <c r="K6" s="92">
        <v>8350000</v>
      </c>
      <c r="L6" s="92">
        <f t="shared" si="0"/>
        <v>22650000</v>
      </c>
      <c r="M6" s="92">
        <v>26</v>
      </c>
      <c r="N6" s="93">
        <f>IFERROR(VLOOKUP(B6,' TimeTB 1'!$B$4:$P$5,5,0),0)</f>
        <v>0</v>
      </c>
      <c r="O6" s="93">
        <f>VLOOKUP(B6,'TimeTB 2'!$B$4:$O$11,14,0)</f>
        <v>0</v>
      </c>
      <c r="P6" s="94">
        <f t="shared" ref="P6:P12" si="11">ROUND((K6/M6*N6),0)</f>
        <v>0</v>
      </c>
      <c r="Q6" s="94">
        <f t="shared" si="1"/>
        <v>0</v>
      </c>
      <c r="R6" s="92">
        <f t="shared" si="2"/>
        <v>0</v>
      </c>
      <c r="S6" s="94">
        <f t="shared" si="3"/>
        <v>0</v>
      </c>
      <c r="T6" s="94">
        <f t="shared" si="4"/>
        <v>0</v>
      </c>
      <c r="U6" s="92">
        <f t="shared" si="5"/>
        <v>0</v>
      </c>
      <c r="V6" s="92">
        <v>0</v>
      </c>
      <c r="W6" s="92">
        <v>0</v>
      </c>
      <c r="X6" s="92">
        <v>0</v>
      </c>
      <c r="Y6" s="92">
        <f>VLOOKUP(B6,'[20]PC cơm '!$B$7:$L$15,11,0)</f>
        <v>1120000</v>
      </c>
      <c r="Z6" s="92">
        <f>SUM(V6:Y6)</f>
        <v>1120000</v>
      </c>
      <c r="AA6" s="92">
        <f>VLOOKUP(B6,'[20]OT '!$B$7:$R$14,17,0)</f>
        <v>5827403</v>
      </c>
      <c r="AB6" s="92">
        <f>VLOOKUP(B6,[20]NS!$B$9:$G$16,6,0)</f>
        <v>134135</v>
      </c>
      <c r="AC6" s="92">
        <v>0</v>
      </c>
      <c r="AD6" s="92">
        <v>0</v>
      </c>
      <c r="AE6" s="93">
        <v>0</v>
      </c>
      <c r="AF6" s="95">
        <f t="shared" si="6"/>
        <v>0</v>
      </c>
      <c r="AG6" s="95">
        <f>IFERROR(VLOOKUP(B6,[20]Incentive!$B$9:$H$11,7,0),0)</f>
        <v>0</v>
      </c>
      <c r="AH6" s="95" t="e">
        <f>SUMIF([20]Others!$B$8:$B$15,$B6,[20]Others!$F$8:$F$15)</f>
        <v>#VALUE!</v>
      </c>
      <c r="AI6" s="95">
        <v>0</v>
      </c>
      <c r="AJ6" s="92" t="e">
        <f>AI6+AH6+AG6+AF6+AD6+AC6+AB6+AA6+Z6+U6+R6+BN6</f>
        <v>#VALUE!</v>
      </c>
      <c r="AK6" s="92">
        <f>VLOOKUP(B6,'[20]OT '!$B$7:$T$14,19,0)</f>
        <v>3740865</v>
      </c>
      <c r="AL6" s="92">
        <f>VLOOKUP(B6,[20]NS!$B$9:$I$16,8,0)</f>
        <v>134135</v>
      </c>
      <c r="AM6" s="92">
        <f>AI6</f>
        <v>0</v>
      </c>
      <c r="AN6" s="92">
        <f t="shared" ref="AN6:AN11" si="12">IF(BT6=1,0,15500000)</f>
        <v>15500000</v>
      </c>
      <c r="AO6" s="93">
        <v>1</v>
      </c>
      <c r="AP6" s="92">
        <f>AO6*$AP$3</f>
        <v>6200000</v>
      </c>
      <c r="AQ6" s="92">
        <f>BF6*$AQ$3</f>
        <v>668000</v>
      </c>
      <c r="AR6" s="92">
        <f>BF6*$AR$3</f>
        <v>125250</v>
      </c>
      <c r="AS6" s="92">
        <f>BG6*$AS$3</f>
        <v>83500</v>
      </c>
      <c r="AT6" s="95">
        <f>+AS6+AR6+AQ6</f>
        <v>876750</v>
      </c>
      <c r="AU6" s="95">
        <f>IF(BT6=1,0,MIN(Y6,730000))</f>
        <v>730000</v>
      </c>
      <c r="AV6" s="95" t="e">
        <f>AJ6-AK6-AL6-AM6-AU6</f>
        <v>#VALUE!</v>
      </c>
      <c r="AW6" s="95" t="e">
        <f>MAX(AV6-AN6-AP6-AT6,0)</f>
        <v>#VALUE!</v>
      </c>
      <c r="AX6" s="96" t="e">
        <f t="shared" si="7"/>
        <v>#VALUE!</v>
      </c>
      <c r="AY6" s="97" t="e">
        <f>IF(BT6=1,0,IF(AW6&gt;80000000,9850000,IF(AW6&gt;52000000,5850000,IF(AW6&gt;32000000,3250000,IF(AW6&gt;18000000,1650000,IF(AW6&gt;10000000,750000,IF(AW6&gt;5000000,250000,0)))))))</f>
        <v>#VALUE!</v>
      </c>
      <c r="AZ6" s="98" t="e">
        <f>ROUND(AW6*AX6-AY6,0)</f>
        <v>#VALUE!</v>
      </c>
      <c r="BA6" s="92">
        <f>BF6*$BA$3</f>
        <v>1419500</v>
      </c>
      <c r="BB6" s="92">
        <f>BF6*$BB$3</f>
        <v>250500</v>
      </c>
      <c r="BC6" s="92">
        <f>BG6*$BC$3</f>
        <v>83500</v>
      </c>
      <c r="BD6" s="92">
        <f>BG6*$BD$3</f>
        <v>41750</v>
      </c>
      <c r="BE6" s="92">
        <f>SUM(BA6:BD6)</f>
        <v>1795250</v>
      </c>
      <c r="BF6" s="92">
        <f t="shared" si="8"/>
        <v>8350000</v>
      </c>
      <c r="BG6" s="92">
        <f t="shared" si="9"/>
        <v>8350000</v>
      </c>
      <c r="BH6" s="92">
        <v>0</v>
      </c>
      <c r="BI6" s="92">
        <v>0</v>
      </c>
      <c r="BJ6" s="92">
        <f>IF(BS6=1,BF6*2%,0)</f>
        <v>167000</v>
      </c>
      <c r="BK6" s="92">
        <f>IF(BU6=1,40000,0)</f>
        <v>40000</v>
      </c>
      <c r="BL6" s="92">
        <f t="shared" si="10"/>
        <v>300000</v>
      </c>
      <c r="BM6" s="99" t="e">
        <f>AJ6-AT6-AZ6-BK6-BL6-BN6-BO6-BP6</f>
        <v>#VALUE!</v>
      </c>
      <c r="BN6" s="95">
        <f>IFERROR(VLOOKUP(B6,'[20]Benefit tính thuế'!$B$2:$H$5,7,0),0)</f>
        <v>2000000</v>
      </c>
      <c r="BO6" s="99">
        <v>0</v>
      </c>
      <c r="BP6" s="99">
        <v>0</v>
      </c>
      <c r="BQ6" s="100">
        <f>AN6+AP6+AU6</f>
        <v>22430000</v>
      </c>
      <c r="BR6" s="100" t="e">
        <f>+AZ6+AT6</f>
        <v>#VALUE!</v>
      </c>
      <c r="BS6" s="100">
        <v>1</v>
      </c>
      <c r="BT6" s="101">
        <v>0</v>
      </c>
      <c r="BU6" s="100">
        <v>1</v>
      </c>
      <c r="BV6" s="101">
        <v>1</v>
      </c>
      <c r="BW6" s="100">
        <v>20</v>
      </c>
      <c r="BX6" s="102"/>
    </row>
    <row r="7" spans="1:78" s="103" customFormat="1" ht="22.5" customHeight="1">
      <c r="A7" s="88">
        <v>1</v>
      </c>
      <c r="B7" s="88" t="s">
        <v>158</v>
      </c>
      <c r="C7" s="88"/>
      <c r="D7" s="89" t="s">
        <v>197</v>
      </c>
      <c r="E7" s="90" t="s">
        <v>79</v>
      </c>
      <c r="F7" s="90" t="s">
        <v>167</v>
      </c>
      <c r="G7" s="91" t="s">
        <v>50</v>
      </c>
      <c r="H7" s="91" t="s">
        <v>23</v>
      </c>
      <c r="I7" s="91" t="s">
        <v>98</v>
      </c>
      <c r="J7" s="92">
        <v>10448000</v>
      </c>
      <c r="K7" s="92">
        <v>7570000</v>
      </c>
      <c r="L7" s="92">
        <f>J7-K7</f>
        <v>2878000</v>
      </c>
      <c r="M7" s="92">
        <v>26</v>
      </c>
      <c r="N7" s="93">
        <f>IFERROR(VLOOKUP(B7,' TimeTB 1'!$B$4:$P$5,5,0),0)</f>
        <v>0</v>
      </c>
      <c r="O7" s="93">
        <f>VLOOKUP(B7,'TimeTB 2'!$B$4:$O$11,14,0)</f>
        <v>0</v>
      </c>
      <c r="P7" s="94">
        <f>ROUND((K7/M7*N7),0)</f>
        <v>0</v>
      </c>
      <c r="Q7" s="94">
        <f>ROUND(K7/M7*O7,0)</f>
        <v>0</v>
      </c>
      <c r="R7" s="92">
        <f>SUM(P7:Q7)</f>
        <v>0</v>
      </c>
      <c r="S7" s="94">
        <f>ROUND(L7/26*N7,0)</f>
        <v>0</v>
      </c>
      <c r="T7" s="94">
        <f>ROUND(L7/26*O7,0)</f>
        <v>0</v>
      </c>
      <c r="U7" s="92">
        <f>SUM(S7:T7)</f>
        <v>0</v>
      </c>
      <c r="V7" s="92">
        <v>0</v>
      </c>
      <c r="W7" s="92">
        <v>0</v>
      </c>
      <c r="X7" s="92">
        <v>0</v>
      </c>
      <c r="Y7" s="92">
        <f>VLOOKUP(B7,'[20]PC cơm '!$B$7:$L$15,11,0)</f>
        <v>960000</v>
      </c>
      <c r="Z7" s="92">
        <f>SUM(V7:Y7)</f>
        <v>960000</v>
      </c>
      <c r="AA7" s="92">
        <f>VLOOKUP(B7,'[20]OT '!$B$7:$R$14,17,0)</f>
        <v>307663</v>
      </c>
      <c r="AB7" s="92">
        <f>VLOOKUP(B7,[20]NS!$B$9:$G$16,6,0)</f>
        <v>60277</v>
      </c>
      <c r="AC7" s="92">
        <v>0</v>
      </c>
      <c r="AD7" s="92">
        <v>0</v>
      </c>
      <c r="AE7" s="93">
        <v>0</v>
      </c>
      <c r="AF7" s="95">
        <f>ROUND(J7/26*AE7,0)</f>
        <v>0</v>
      </c>
      <c r="AG7" s="95">
        <f>IFERROR(VLOOKUP(B7,[20]Incentive!$B$9:$H$11,7,0),0)</f>
        <v>0</v>
      </c>
      <c r="AH7" s="95" t="e">
        <f>SUMIF([20]Others!$B$8:$B$15,$B7,[20]Others!$F$8:$F$15)</f>
        <v>#VALUE!</v>
      </c>
      <c r="AI7" s="95">
        <v>0</v>
      </c>
      <c r="AJ7" s="92" t="e">
        <f>AI7+AH7+AG7+AF7+AD7+AC7+AB7+AA7+Z7+U7+R7+BN7</f>
        <v>#VALUE!</v>
      </c>
      <c r="AK7" s="92">
        <f>VLOOKUP(B7,'[20]OT '!$B$7:$T$14,19,0)</f>
        <v>156971</v>
      </c>
      <c r="AL7" s="92">
        <f>VLOOKUP(B7,[20]NS!$B$9:$I$16,8,0)</f>
        <v>60277</v>
      </c>
      <c r="AM7" s="92">
        <f>AI7</f>
        <v>0</v>
      </c>
      <c r="AN7" s="92">
        <f t="shared" si="12"/>
        <v>15500000</v>
      </c>
      <c r="AO7" s="93">
        <v>0</v>
      </c>
      <c r="AP7" s="92">
        <f>AO7*$AP$3</f>
        <v>0</v>
      </c>
      <c r="AQ7" s="92">
        <f>BF7*$AQ$3</f>
        <v>605600</v>
      </c>
      <c r="AR7" s="92">
        <f>BF7*$AR$3</f>
        <v>113550</v>
      </c>
      <c r="AS7" s="92">
        <f>BG7*$AS$3</f>
        <v>75700</v>
      </c>
      <c r="AT7" s="95">
        <f>+AS7+AR7+AQ7</f>
        <v>794850</v>
      </c>
      <c r="AU7" s="95">
        <f>IF(BT7=1,0,MIN(Y7,730000))</f>
        <v>730000</v>
      </c>
      <c r="AV7" s="95" t="e">
        <f>AJ7-AK7-AL7-AM7-AU7</f>
        <v>#VALUE!</v>
      </c>
      <c r="AW7" s="95" t="e">
        <f>MAX(AV7-AN7-AP7-AT7,0)</f>
        <v>#VALUE!</v>
      </c>
      <c r="AX7" s="96" t="e">
        <f>IF(BT7=1,10%,IF(AW7&gt;0,IF(AW7&gt;80000000,0.35,IF(AW7&gt;52000000,0.3,IF(AW7&gt;32000000,0.25,IF(AW7&gt;18000000,0.2,IF(AW7&gt;10000000,0.15,IF(AW7&gt;5000000,0.1,0.05)))))),0))</f>
        <v>#VALUE!</v>
      </c>
      <c r="AY7" s="97" t="e">
        <f>IF(BT7=1,0,IF(AW7&gt;80000000,9850000,IF(AW7&gt;52000000,5850000,IF(AW7&gt;32000000,3250000,IF(AW7&gt;18000000,1650000,IF(AW7&gt;10000000,750000,IF(AW7&gt;5000000,250000,0)))))))</f>
        <v>#VALUE!</v>
      </c>
      <c r="AZ7" s="98" t="e">
        <f>ROUND(AW7*AX7-AY7,0)</f>
        <v>#VALUE!</v>
      </c>
      <c r="BA7" s="92">
        <f>BF7*$BA$3</f>
        <v>1286900</v>
      </c>
      <c r="BB7" s="92">
        <f>BF7*$BB$3</f>
        <v>227100</v>
      </c>
      <c r="BC7" s="92">
        <f>BG7*$BC$3</f>
        <v>75700</v>
      </c>
      <c r="BD7" s="92">
        <f>BG7*$BD$3</f>
        <v>37850</v>
      </c>
      <c r="BE7" s="92">
        <f>SUM(BA7:BD7)</f>
        <v>1627550</v>
      </c>
      <c r="BF7" s="92">
        <f>MIN((IF(BS7=1,K7,0)),$BF$3)</f>
        <v>7570000</v>
      </c>
      <c r="BG7" s="92">
        <f>MIN((IF(BS7=1,K7,0)),$BG$3)</f>
        <v>7570000</v>
      </c>
      <c r="BH7" s="92">
        <v>0</v>
      </c>
      <c r="BI7" s="92">
        <v>0</v>
      </c>
      <c r="BJ7" s="92">
        <f>IF(BS7=1,BF7*2%,0)</f>
        <v>151400</v>
      </c>
      <c r="BK7" s="92">
        <f>IF(BU7=1,40000,0)</f>
        <v>40000</v>
      </c>
      <c r="BL7" s="92">
        <f>IF(BV7=0,0,IF(J7&lt;11000000,5000,IF(J7&lt;25000000,10000,IF(J7&lt;40000000,15000,20000)))*BW7)</f>
        <v>0</v>
      </c>
      <c r="BM7" s="99" t="e">
        <f>AJ7-AT7-AZ7-BK7-BL7-BN7-BO7-BP7</f>
        <v>#VALUE!</v>
      </c>
      <c r="BN7" s="95">
        <f>IFERROR(VLOOKUP(B7,'[20]Benefit tính thuế'!$B$2:$H$5,7,0),0)</f>
        <v>1000000</v>
      </c>
      <c r="BO7" s="99">
        <v>0</v>
      </c>
      <c r="BP7" s="99">
        <v>0</v>
      </c>
      <c r="BQ7" s="100">
        <f>AN7+AP7+AU7</f>
        <v>16230000</v>
      </c>
      <c r="BR7" s="100" t="e">
        <f>+AZ7+AT7</f>
        <v>#VALUE!</v>
      </c>
      <c r="BS7" s="100">
        <v>1</v>
      </c>
      <c r="BT7" s="101">
        <v>0</v>
      </c>
      <c r="BU7" s="100">
        <v>1</v>
      </c>
      <c r="BV7" s="101">
        <v>0</v>
      </c>
      <c r="BW7" s="100">
        <v>20</v>
      </c>
      <c r="BX7" s="102"/>
    </row>
    <row r="8" spans="1:78" s="103" customFormat="1" ht="22.5" customHeight="1">
      <c r="A8" s="88">
        <v>2</v>
      </c>
      <c r="B8" s="88" t="s">
        <v>159</v>
      </c>
      <c r="C8" s="88"/>
      <c r="D8" s="89" t="s">
        <v>193</v>
      </c>
      <c r="E8" s="109">
        <v>44562</v>
      </c>
      <c r="F8" s="90" t="s">
        <v>170</v>
      </c>
      <c r="G8" s="91" t="s">
        <v>59</v>
      </c>
      <c r="H8" s="91" t="s">
        <v>23</v>
      </c>
      <c r="I8" s="91" t="s">
        <v>71</v>
      </c>
      <c r="J8" s="92">
        <v>8000000</v>
      </c>
      <c r="K8" s="92">
        <v>5310000</v>
      </c>
      <c r="L8" s="92">
        <f t="shared" si="0"/>
        <v>2690000</v>
      </c>
      <c r="M8" s="92">
        <v>26</v>
      </c>
      <c r="N8" s="93">
        <f>IFERROR(VLOOKUP(B8,' TimeTB 1'!$B$4:$P$5,5,0),0)</f>
        <v>0</v>
      </c>
      <c r="O8" s="93">
        <f>VLOOKUP(B8,'TimeTB 2'!$B$4:$O$11,14,0)</f>
        <v>0</v>
      </c>
      <c r="P8" s="94">
        <f t="shared" si="11"/>
        <v>0</v>
      </c>
      <c r="Q8" s="94">
        <f t="shared" si="1"/>
        <v>0</v>
      </c>
      <c r="R8" s="92">
        <f t="shared" si="2"/>
        <v>0</v>
      </c>
      <c r="S8" s="94">
        <f t="shared" si="3"/>
        <v>0</v>
      </c>
      <c r="T8" s="94">
        <f t="shared" si="4"/>
        <v>0</v>
      </c>
      <c r="U8" s="92">
        <f t="shared" si="5"/>
        <v>0</v>
      </c>
      <c r="V8" s="92">
        <v>0</v>
      </c>
      <c r="W8" s="92">
        <v>0</v>
      </c>
      <c r="X8" s="92">
        <v>0</v>
      </c>
      <c r="Y8" s="92">
        <f>VLOOKUP(B8,'[20]PC cơm '!$B$7:$L$15,11,0)</f>
        <v>720000</v>
      </c>
      <c r="Z8" s="92">
        <f t="shared" ref="Z8:Z9" si="13">SUM(V8:Y8)</f>
        <v>720000</v>
      </c>
      <c r="AA8" s="92">
        <f>VLOOKUP(B8,'[20]OT '!$B$7:$R$14,17,0)</f>
        <v>965384</v>
      </c>
      <c r="AB8" s="92">
        <f>VLOOKUP(B8,[20]NS!$B$9:$G$16,6,0)</f>
        <v>17308</v>
      </c>
      <c r="AC8" s="92">
        <v>0</v>
      </c>
      <c r="AD8" s="92">
        <v>0</v>
      </c>
      <c r="AE8" s="93">
        <v>4</v>
      </c>
      <c r="AF8" s="95">
        <f t="shared" si="6"/>
        <v>1230769</v>
      </c>
      <c r="AG8" s="95">
        <f>IFERROR(VLOOKUP(B8,[20]Incentive!$B$9:$H$11,7,0),0)</f>
        <v>0</v>
      </c>
      <c r="AH8" s="95" t="e">
        <f>SUMIF([20]Others!$B$8:$B$15,$B8,[20]Others!$F$8:$F$15)</f>
        <v>#VALUE!</v>
      </c>
      <c r="AI8" s="95">
        <v>0</v>
      </c>
      <c r="AJ8" s="92" t="e">
        <f t="shared" ref="AJ8:AJ9" si="14">AI8+AH8+AG8+AF8+AD8+AC8+AB8+AA8+Z8+U8+R8+BN8</f>
        <v>#VALUE!</v>
      </c>
      <c r="AK8" s="92">
        <f>VLOOKUP(B8,'[20]OT '!$B$7:$T$14,19,0)</f>
        <v>657692</v>
      </c>
      <c r="AL8" s="92">
        <f>VLOOKUP(B8,[20]NS!$B$9:$I$16,8,0)</f>
        <v>17308</v>
      </c>
      <c r="AM8" s="92">
        <f t="shared" ref="AM8:AM9" si="15">AI8</f>
        <v>0</v>
      </c>
      <c r="AN8" s="92">
        <f t="shared" si="12"/>
        <v>15500000</v>
      </c>
      <c r="AO8" s="93">
        <v>0</v>
      </c>
      <c r="AP8" s="92">
        <f t="shared" ref="AP8:AP9" si="16">AO8*$AP$3</f>
        <v>0</v>
      </c>
      <c r="AQ8" s="92">
        <f t="shared" ref="AQ8:AQ9" si="17">BF8*$AQ$3</f>
        <v>0</v>
      </c>
      <c r="AR8" s="92">
        <f t="shared" ref="AR8:AR9" si="18">BF8*$AR$3</f>
        <v>0</v>
      </c>
      <c r="AS8" s="92">
        <f t="shared" ref="AS8:AS9" si="19">BG8*$AS$3</f>
        <v>0</v>
      </c>
      <c r="AT8" s="95">
        <f t="shared" ref="AT8:AT9" si="20">+AS8+AR8+AQ8</f>
        <v>0</v>
      </c>
      <c r="AU8" s="95">
        <f t="shared" ref="AU8:AU9" si="21">IF(BT8=1,0,MIN(Y8,730000))</f>
        <v>720000</v>
      </c>
      <c r="AV8" s="95" t="e">
        <f t="shared" ref="AV8:AV9" si="22">AJ8-AK8-AL8-AM8-AU8</f>
        <v>#VALUE!</v>
      </c>
      <c r="AW8" s="95" t="e">
        <f t="shared" ref="AW8:AW9" si="23">MAX(AV8-AN8-AP8-AT8,0)</f>
        <v>#VALUE!</v>
      </c>
      <c r="AX8" s="96" t="e">
        <f t="shared" si="7"/>
        <v>#VALUE!</v>
      </c>
      <c r="AY8" s="97" t="e">
        <f t="shared" ref="AY8" si="24">IF(BT8=1,0,IF(AW8&gt;80000000,9850000,IF(AW8&gt;52000000,5850000,IF(AW8&gt;32000000,3250000,IF(AW8&gt;18000000,1650000,IF(AW8&gt;10000000,750000,IF(AW8&gt;5000000,250000,0)))))))</f>
        <v>#VALUE!</v>
      </c>
      <c r="AZ8" s="98" t="e">
        <f t="shared" ref="AZ8:AZ9" si="25">ROUND(AW8*AX8-AY8,0)</f>
        <v>#VALUE!</v>
      </c>
      <c r="BA8" s="92">
        <f t="shared" ref="BA8:BA9" si="26">BF8*$BA$3</f>
        <v>0</v>
      </c>
      <c r="BB8" s="92">
        <f t="shared" ref="BB8:BB9" si="27">BF8*$BB$3</f>
        <v>0</v>
      </c>
      <c r="BC8" s="92">
        <f t="shared" ref="BC8:BC9" si="28">BG8*$BC$3</f>
        <v>0</v>
      </c>
      <c r="BD8" s="92">
        <f t="shared" ref="BD8:BD9" si="29">BG8*$BD$3</f>
        <v>0</v>
      </c>
      <c r="BE8" s="92">
        <f t="shared" ref="BE8:BE9" si="30">SUM(BA8:BD8)</f>
        <v>0</v>
      </c>
      <c r="BF8" s="92">
        <f t="shared" si="8"/>
        <v>0</v>
      </c>
      <c r="BG8" s="92">
        <f t="shared" si="9"/>
        <v>0</v>
      </c>
      <c r="BH8" s="92">
        <v>0</v>
      </c>
      <c r="BI8" s="92">
        <v>0</v>
      </c>
      <c r="BJ8" s="92">
        <f t="shared" ref="BJ8:BJ9" si="31">IF(BS8=1,BF8*2%,0)</f>
        <v>0</v>
      </c>
      <c r="BK8" s="92">
        <f t="shared" ref="BK8:BK9" si="32">IF(BU8=1,40000,0)</f>
        <v>0</v>
      </c>
      <c r="BL8" s="92">
        <f t="shared" si="10"/>
        <v>0</v>
      </c>
      <c r="BM8" s="99" t="e">
        <f t="shared" ref="BM8:BM9" si="33">AJ8-AT8-AZ8-BK8-BL8-BN8-BO8-BP8</f>
        <v>#VALUE!</v>
      </c>
      <c r="BN8" s="95">
        <f>IFERROR(VLOOKUP(B8,'[20]Benefit tính thuế'!$B$2:$H$5,7,0),0)</f>
        <v>1250000</v>
      </c>
      <c r="BO8" s="99">
        <v>0</v>
      </c>
      <c r="BP8" s="99">
        <v>0</v>
      </c>
      <c r="BQ8" s="100">
        <f t="shared" ref="BQ8:BQ9" si="34">AN8+AP8+AU8</f>
        <v>16220000</v>
      </c>
      <c r="BR8" s="100" t="e">
        <f t="shared" ref="BR8:BR9" si="35">+AZ8+AT8</f>
        <v>#VALUE!</v>
      </c>
      <c r="BS8" s="101">
        <v>0</v>
      </c>
      <c r="BT8" s="101">
        <v>0</v>
      </c>
      <c r="BU8" s="101">
        <v>0</v>
      </c>
      <c r="BV8" s="101">
        <v>0</v>
      </c>
      <c r="BW8" s="100">
        <v>20</v>
      </c>
      <c r="BX8" s="102"/>
    </row>
    <row r="9" spans="1:78" s="103" customFormat="1" ht="22.5" customHeight="1">
      <c r="A9" s="88">
        <v>3</v>
      </c>
      <c r="B9" s="88" t="s">
        <v>160</v>
      </c>
      <c r="C9" s="88"/>
      <c r="D9" s="89" t="s">
        <v>194</v>
      </c>
      <c r="E9" s="109">
        <v>45740</v>
      </c>
      <c r="F9" s="90" t="s">
        <v>170</v>
      </c>
      <c r="G9" s="91" t="s">
        <v>59</v>
      </c>
      <c r="H9" s="91" t="s">
        <v>23</v>
      </c>
      <c r="I9" s="91" t="s">
        <v>71</v>
      </c>
      <c r="J9" s="92">
        <v>8500000</v>
      </c>
      <c r="K9" s="92">
        <v>5310000</v>
      </c>
      <c r="L9" s="92">
        <f t="shared" si="0"/>
        <v>3190000</v>
      </c>
      <c r="M9" s="92">
        <v>26</v>
      </c>
      <c r="N9" s="93">
        <f>IFERROR(VLOOKUP(B9,' TimeTB 1'!$B$4:$P$5,5,0),0)</f>
        <v>0</v>
      </c>
      <c r="O9" s="93">
        <f>VLOOKUP(B9,'TimeTB 2'!$B$4:$O$11,14,0)</f>
        <v>0</v>
      </c>
      <c r="P9" s="94">
        <f t="shared" si="11"/>
        <v>0</v>
      </c>
      <c r="Q9" s="94">
        <f t="shared" si="1"/>
        <v>0</v>
      </c>
      <c r="R9" s="92">
        <f t="shared" si="2"/>
        <v>0</v>
      </c>
      <c r="S9" s="94">
        <f t="shared" si="3"/>
        <v>0</v>
      </c>
      <c r="T9" s="94">
        <f t="shared" si="4"/>
        <v>0</v>
      </c>
      <c r="U9" s="92">
        <f t="shared" si="5"/>
        <v>0</v>
      </c>
      <c r="V9" s="92">
        <v>0</v>
      </c>
      <c r="W9" s="92">
        <v>0</v>
      </c>
      <c r="X9" s="92">
        <v>0</v>
      </c>
      <c r="Y9" s="92">
        <f>VLOOKUP(B9,'[20]PC cơm '!$B$7:$L$15,11,0)</f>
        <v>1120000</v>
      </c>
      <c r="Z9" s="92">
        <f t="shared" si="13"/>
        <v>1120000</v>
      </c>
      <c r="AA9" s="92">
        <f>VLOOKUP(B9,'[20]OT '!$B$7:$R$14,17,0)</f>
        <v>980769</v>
      </c>
      <c r="AB9" s="92">
        <f>VLOOKUP(B9,[20]NS!$B$9:$G$16,6,0)</f>
        <v>6130</v>
      </c>
      <c r="AC9" s="92">
        <v>0</v>
      </c>
      <c r="AD9" s="92">
        <v>0</v>
      </c>
      <c r="AE9" s="93">
        <v>0</v>
      </c>
      <c r="AF9" s="95">
        <f t="shared" si="6"/>
        <v>0</v>
      </c>
      <c r="AG9" s="95">
        <f>IFERROR(VLOOKUP(B9,[20]Incentive!$B$9:$H$11,7,0),0)</f>
        <v>0</v>
      </c>
      <c r="AH9" s="95" t="e">
        <f>SUMIF([20]Others!$B$8:$B$15,$B9,[20]Others!$F$8:$F$15)</f>
        <v>#VALUE!</v>
      </c>
      <c r="AI9" s="95">
        <v>0</v>
      </c>
      <c r="AJ9" s="92" t="e">
        <f t="shared" si="14"/>
        <v>#VALUE!</v>
      </c>
      <c r="AK9" s="92">
        <f>VLOOKUP(B9,'[20]OT '!$B$7:$T$14,19,0)</f>
        <v>0</v>
      </c>
      <c r="AL9" s="92">
        <f>VLOOKUP(B9,[20]NS!$B$9:$I$16,8,0)</f>
        <v>0</v>
      </c>
      <c r="AM9" s="92">
        <f t="shared" si="15"/>
        <v>0</v>
      </c>
      <c r="AN9" s="92">
        <f t="shared" si="12"/>
        <v>0</v>
      </c>
      <c r="AO9" s="93">
        <v>0</v>
      </c>
      <c r="AP9" s="92">
        <f t="shared" si="16"/>
        <v>0</v>
      </c>
      <c r="AQ9" s="92">
        <f t="shared" si="17"/>
        <v>0</v>
      </c>
      <c r="AR9" s="92">
        <f t="shared" si="18"/>
        <v>0</v>
      </c>
      <c r="AS9" s="92">
        <f t="shared" si="19"/>
        <v>0</v>
      </c>
      <c r="AT9" s="95">
        <f t="shared" si="20"/>
        <v>0</v>
      </c>
      <c r="AU9" s="95">
        <f t="shared" si="21"/>
        <v>0</v>
      </c>
      <c r="AV9" s="95" t="e">
        <f t="shared" si="22"/>
        <v>#VALUE!</v>
      </c>
      <c r="AW9" s="95" t="e">
        <f t="shared" si="23"/>
        <v>#VALUE!</v>
      </c>
      <c r="AX9" s="96">
        <f t="shared" si="7"/>
        <v>0.1</v>
      </c>
      <c r="AY9" s="97">
        <f>IF(BT9=1,0,IF(AW9&gt;80000000,9850000,IF(AW9&gt;52000000,5850000,IF(AW9&gt;32000000,3250000,IF(AW9&gt;18000000,1650000,IF(AW9&gt;10000000,750000,IF(AW9&gt;5000000,250000,0)))))))</f>
        <v>0</v>
      </c>
      <c r="AZ9" s="98" t="e">
        <f t="shared" si="25"/>
        <v>#VALUE!</v>
      </c>
      <c r="BA9" s="92">
        <f t="shared" si="26"/>
        <v>0</v>
      </c>
      <c r="BB9" s="92">
        <f t="shared" si="27"/>
        <v>0</v>
      </c>
      <c r="BC9" s="92">
        <f t="shared" si="28"/>
        <v>0</v>
      </c>
      <c r="BD9" s="92">
        <f t="shared" si="29"/>
        <v>0</v>
      </c>
      <c r="BE9" s="92">
        <f t="shared" si="30"/>
        <v>0</v>
      </c>
      <c r="BF9" s="92">
        <f t="shared" si="8"/>
        <v>0</v>
      </c>
      <c r="BG9" s="92">
        <f t="shared" si="9"/>
        <v>0</v>
      </c>
      <c r="BH9" s="92">
        <v>0</v>
      </c>
      <c r="BI9" s="92">
        <v>0</v>
      </c>
      <c r="BJ9" s="92">
        <f t="shared" si="31"/>
        <v>0</v>
      </c>
      <c r="BK9" s="92">
        <f t="shared" si="32"/>
        <v>0</v>
      </c>
      <c r="BL9" s="92">
        <f t="shared" si="10"/>
        <v>0</v>
      </c>
      <c r="BM9" s="99" t="e">
        <f t="shared" si="33"/>
        <v>#VALUE!</v>
      </c>
      <c r="BN9" s="95">
        <f>IFERROR(VLOOKUP(B9,'[20]Benefit tính thuế'!$B$2:$H$5,7,0),0)</f>
        <v>0</v>
      </c>
      <c r="BO9" s="99">
        <v>0</v>
      </c>
      <c r="BP9" s="99">
        <v>0</v>
      </c>
      <c r="BQ9" s="100">
        <f t="shared" si="34"/>
        <v>0</v>
      </c>
      <c r="BR9" s="100" t="e">
        <f t="shared" si="35"/>
        <v>#VALUE!</v>
      </c>
      <c r="BS9" s="101">
        <v>0</v>
      </c>
      <c r="BT9" s="100">
        <v>1</v>
      </c>
      <c r="BU9" s="101">
        <v>0</v>
      </c>
      <c r="BV9" s="101">
        <v>0</v>
      </c>
      <c r="BW9" s="100">
        <v>20</v>
      </c>
      <c r="BX9" s="102"/>
    </row>
    <row r="10" spans="1:78" s="103" customFormat="1" ht="22.5" customHeight="1">
      <c r="A10" s="88">
        <v>1</v>
      </c>
      <c r="B10" s="88" t="s">
        <v>161</v>
      </c>
      <c r="C10" s="88"/>
      <c r="D10" s="89" t="s">
        <v>195</v>
      </c>
      <c r="E10" s="90" t="s">
        <v>80</v>
      </c>
      <c r="F10" s="90" t="s">
        <v>165</v>
      </c>
      <c r="G10" s="91" t="s">
        <v>157</v>
      </c>
      <c r="H10" s="91" t="s">
        <v>22</v>
      </c>
      <c r="I10" s="104" t="s">
        <v>114</v>
      </c>
      <c r="J10" s="92">
        <v>7056000</v>
      </c>
      <c r="K10" s="92">
        <v>5310000</v>
      </c>
      <c r="L10" s="92">
        <f t="shared" si="0"/>
        <v>1746000</v>
      </c>
      <c r="M10" s="92">
        <v>26</v>
      </c>
      <c r="N10" s="93">
        <f>IFERROR(VLOOKUP(B10,' TimeTB 1'!$B$4:$P$5,5,0),0)</f>
        <v>0</v>
      </c>
      <c r="O10" s="93">
        <f>VLOOKUP(B10,'TimeTB 2'!$B$4:$O$11,14,0)</f>
        <v>0</v>
      </c>
      <c r="P10" s="94">
        <f t="shared" si="11"/>
        <v>0</v>
      </c>
      <c r="Q10" s="94">
        <f t="shared" si="1"/>
        <v>0</v>
      </c>
      <c r="R10" s="92">
        <f t="shared" si="2"/>
        <v>0</v>
      </c>
      <c r="S10" s="94">
        <f t="shared" si="3"/>
        <v>0</v>
      </c>
      <c r="T10" s="94">
        <f t="shared" si="4"/>
        <v>0</v>
      </c>
      <c r="U10" s="92">
        <f t="shared" si="5"/>
        <v>0</v>
      </c>
      <c r="V10" s="92">
        <v>0</v>
      </c>
      <c r="W10" s="92">
        <v>0</v>
      </c>
      <c r="X10" s="92">
        <v>0</v>
      </c>
      <c r="Y10" s="92">
        <f>VLOOKUP(B10,'[20]PC cơm '!$B$7:$L$15,11,0)</f>
        <v>1120000</v>
      </c>
      <c r="Z10" s="92">
        <f>SUM(V10:Y10)</f>
        <v>1120000</v>
      </c>
      <c r="AA10" s="92">
        <f>VLOOKUP(B10,'[20]OT '!$B$7:$R$14,17,0)</f>
        <v>1596081</v>
      </c>
      <c r="AB10" s="92">
        <f>VLOOKUP(B10,[20]NS!$B$9:$G$16,6,0)</f>
        <v>10177</v>
      </c>
      <c r="AC10" s="92">
        <v>0</v>
      </c>
      <c r="AD10" s="92">
        <v>0</v>
      </c>
      <c r="AE10" s="93">
        <v>0</v>
      </c>
      <c r="AF10" s="95">
        <f t="shared" si="6"/>
        <v>0</v>
      </c>
      <c r="AG10" s="95">
        <f>IFERROR(VLOOKUP(B10,[20]Incentive!$B$9:$H$11,7,0),0)</f>
        <v>2000000</v>
      </c>
      <c r="AH10" s="95" t="e">
        <f>SUMIF([20]Others!$B$8:$B$15,$B10,[20]Others!$F$8:$F$15)</f>
        <v>#VALUE!</v>
      </c>
      <c r="AI10" s="95">
        <v>0</v>
      </c>
      <c r="AJ10" s="92" t="e">
        <f>AI10+AH10+AG10+AF10+AD10+AC10+AB10+AA10+Z10+U10+R10+BN10</f>
        <v>#VALUE!</v>
      </c>
      <c r="AK10" s="92">
        <f>VLOOKUP(B10,'[20]OT '!$B$7:$T$14,19,0)</f>
        <v>985466</v>
      </c>
      <c r="AL10" s="92">
        <f>VLOOKUP(B10,[20]NS!$B$9:$I$16,8,0)</f>
        <v>10177</v>
      </c>
      <c r="AM10" s="92">
        <f>AI10</f>
        <v>0</v>
      </c>
      <c r="AN10" s="92">
        <f t="shared" si="12"/>
        <v>15500000</v>
      </c>
      <c r="AO10" s="93">
        <v>0</v>
      </c>
      <c r="AP10" s="92">
        <f>AO10*$AP$3</f>
        <v>0</v>
      </c>
      <c r="AQ10" s="92">
        <f>BF10*$AQ$3</f>
        <v>424800</v>
      </c>
      <c r="AR10" s="92">
        <f>BF10*$AR$3</f>
        <v>79650</v>
      </c>
      <c r="AS10" s="92">
        <f>BG10*$AS$3</f>
        <v>53100</v>
      </c>
      <c r="AT10" s="95">
        <f>+AS10+AR10+AQ10</f>
        <v>557550</v>
      </c>
      <c r="AU10" s="95">
        <f>IF(BT10=1,0,MIN(Y10,730000))</f>
        <v>730000</v>
      </c>
      <c r="AV10" s="95" t="e">
        <f>AJ10-AK10-AL10-AM10-AU10</f>
        <v>#VALUE!</v>
      </c>
      <c r="AW10" s="95" t="e">
        <f>MAX(AV10-AN10-AP10-AT10,0)</f>
        <v>#VALUE!</v>
      </c>
      <c r="AX10" s="96" t="e">
        <f t="shared" si="7"/>
        <v>#VALUE!</v>
      </c>
      <c r="AY10" s="97" t="e">
        <f>IF(BT10=1,0,IF(AW10&gt;80000000,9850000,IF(AW10&gt;52000000,5850000,IF(AW10&gt;32000000,3250000,IF(AW10&gt;18000000,1650000,IF(AW10&gt;10000000,750000,IF(AW10&gt;5000000,250000,0)))))))</f>
        <v>#VALUE!</v>
      </c>
      <c r="AZ10" s="98" t="e">
        <f>ROUND(AW10*AX10-AY10,0)</f>
        <v>#VALUE!</v>
      </c>
      <c r="BA10" s="92">
        <f>BF10*$BA$3</f>
        <v>902700.00000000012</v>
      </c>
      <c r="BB10" s="92">
        <f>BF10*$BB$3</f>
        <v>159300</v>
      </c>
      <c r="BC10" s="92">
        <f>BG10*$BC$3</f>
        <v>53100</v>
      </c>
      <c r="BD10" s="92">
        <f>BG10*$BD$3</f>
        <v>26550</v>
      </c>
      <c r="BE10" s="92">
        <f>SUM(BA10:BD10)</f>
        <v>1141650</v>
      </c>
      <c r="BF10" s="92">
        <f t="shared" si="8"/>
        <v>5310000</v>
      </c>
      <c r="BG10" s="92">
        <f t="shared" si="9"/>
        <v>5310000</v>
      </c>
      <c r="BH10" s="92">
        <v>0</v>
      </c>
      <c r="BI10" s="92">
        <v>0</v>
      </c>
      <c r="BJ10" s="92">
        <f>IF(BS10=1,BF10*2%,0)</f>
        <v>106200</v>
      </c>
      <c r="BK10" s="92">
        <f>IF(BU10=1,40000,0)</f>
        <v>40000</v>
      </c>
      <c r="BL10" s="92">
        <f t="shared" si="10"/>
        <v>100000</v>
      </c>
      <c r="BM10" s="99" t="e">
        <f>AJ10-AT10-AZ10-BK10-BL10-BN10-BO10-BP10</f>
        <v>#VALUE!</v>
      </c>
      <c r="BN10" s="95">
        <f>IFERROR(VLOOKUP(B10,'[20]Benefit tính thuế'!$B$2:$H$5,7,0),0)</f>
        <v>0</v>
      </c>
      <c r="BO10" s="99">
        <v>0</v>
      </c>
      <c r="BP10" s="99">
        <v>0</v>
      </c>
      <c r="BQ10" s="100">
        <f>AN10+AP10+AU10</f>
        <v>16230000</v>
      </c>
      <c r="BR10" s="100" t="e">
        <f>+AZ10+AT10</f>
        <v>#VALUE!</v>
      </c>
      <c r="BS10" s="100">
        <v>1</v>
      </c>
      <c r="BT10" s="101">
        <v>0</v>
      </c>
      <c r="BU10" s="100">
        <v>1</v>
      </c>
      <c r="BV10" s="100">
        <v>1</v>
      </c>
      <c r="BW10" s="100">
        <v>20</v>
      </c>
      <c r="BX10" s="102"/>
    </row>
    <row r="11" spans="1:78" s="103" customFormat="1" ht="22.5" customHeight="1">
      <c r="A11" s="88">
        <v>1</v>
      </c>
      <c r="B11" s="88" t="s">
        <v>162</v>
      </c>
      <c r="C11" s="88"/>
      <c r="D11" s="89" t="s">
        <v>196</v>
      </c>
      <c r="E11" s="90" t="s">
        <v>82</v>
      </c>
      <c r="F11" s="90" t="s">
        <v>166</v>
      </c>
      <c r="G11" s="91" t="s">
        <v>21</v>
      </c>
      <c r="H11" s="91" t="s">
        <v>23</v>
      </c>
      <c r="I11" s="104" t="s">
        <v>75</v>
      </c>
      <c r="J11" s="92">
        <v>6841000</v>
      </c>
      <c r="K11" s="92">
        <v>5310000</v>
      </c>
      <c r="L11" s="92">
        <f t="shared" si="0"/>
        <v>1531000</v>
      </c>
      <c r="M11" s="92">
        <v>26</v>
      </c>
      <c r="N11" s="93">
        <f>IFERROR(VLOOKUP(B11,' TimeTB 1'!$B$4:$P$5,5,0),0)</f>
        <v>0</v>
      </c>
      <c r="O11" s="93">
        <f>VLOOKUP(B11,'TimeTB 2'!$B$4:$O$11,14,0)</f>
        <v>0</v>
      </c>
      <c r="P11" s="94">
        <f t="shared" si="11"/>
        <v>0</v>
      </c>
      <c r="Q11" s="94">
        <f t="shared" si="1"/>
        <v>0</v>
      </c>
      <c r="R11" s="92">
        <f t="shared" si="2"/>
        <v>0</v>
      </c>
      <c r="S11" s="94">
        <f t="shared" si="3"/>
        <v>0</v>
      </c>
      <c r="T11" s="94">
        <f t="shared" si="4"/>
        <v>0</v>
      </c>
      <c r="U11" s="92">
        <f t="shared" si="5"/>
        <v>0</v>
      </c>
      <c r="V11" s="92">
        <v>0</v>
      </c>
      <c r="W11" s="92">
        <v>0</v>
      </c>
      <c r="X11" s="92">
        <v>0</v>
      </c>
      <c r="Y11" s="92">
        <f>VLOOKUP(B11,'[20]PC cơm '!$B$7:$L$15,11,0)</f>
        <v>960000</v>
      </c>
      <c r="Z11" s="92">
        <f>SUM(V11:Y11)</f>
        <v>960000</v>
      </c>
      <c r="AA11" s="92">
        <f>VLOOKUP(B11,'[20]OT '!$B$7:$R$14,17,0)</f>
        <v>0</v>
      </c>
      <c r="AB11" s="92">
        <f>VLOOKUP(B11,[20]NS!$B$9:$G$16,6,0)</f>
        <v>49334</v>
      </c>
      <c r="AC11" s="92">
        <v>0</v>
      </c>
      <c r="AD11" s="92">
        <v>0</v>
      </c>
      <c r="AE11" s="93">
        <v>0</v>
      </c>
      <c r="AF11" s="95">
        <f t="shared" si="6"/>
        <v>0</v>
      </c>
      <c r="AG11" s="95">
        <f>IFERROR(VLOOKUP(B11,[20]Incentive!$B$9:$H$11,7,0),0)</f>
        <v>2600000</v>
      </c>
      <c r="AH11" s="95" t="e">
        <f>SUMIF([20]Others!$B$8:$B$15,$B11,[20]Others!$F$8:$F$15)</f>
        <v>#VALUE!</v>
      </c>
      <c r="AI11" s="95">
        <v>0</v>
      </c>
      <c r="AJ11" s="92" t="e">
        <f>AI11+AH11+AG11+AF11+AD11+AC11+AB11+AA11+Z11+U11+R11+BN11</f>
        <v>#VALUE!</v>
      </c>
      <c r="AK11" s="92">
        <f>VLOOKUP(B11,'[20]OT '!$B$7:$T$14,19,0)</f>
        <v>0</v>
      </c>
      <c r="AL11" s="92">
        <f>VLOOKUP(B11,[20]NS!$B$9:$I$16,8,0)</f>
        <v>49334</v>
      </c>
      <c r="AM11" s="92">
        <f>AI11</f>
        <v>0</v>
      </c>
      <c r="AN11" s="92">
        <f t="shared" si="12"/>
        <v>15500000</v>
      </c>
      <c r="AO11" s="93">
        <v>0</v>
      </c>
      <c r="AP11" s="92">
        <f>AO11*$AP$3</f>
        <v>0</v>
      </c>
      <c r="AQ11" s="92">
        <f>BF11*$AQ$3</f>
        <v>424800</v>
      </c>
      <c r="AR11" s="92">
        <f>BF11*$AR$3</f>
        <v>79650</v>
      </c>
      <c r="AS11" s="92">
        <f>BG11*$AS$3</f>
        <v>53100</v>
      </c>
      <c r="AT11" s="95">
        <f>+AS11+AR11+AQ11</f>
        <v>557550</v>
      </c>
      <c r="AU11" s="95">
        <f>IF(BT11=1,0,MIN(Y11,730000))</f>
        <v>730000</v>
      </c>
      <c r="AV11" s="95" t="e">
        <f>AJ11-AK11-AL11-AM11-AU11</f>
        <v>#VALUE!</v>
      </c>
      <c r="AW11" s="95" t="e">
        <f>MAX(AV11-AN11-AP11-AT11,0)</f>
        <v>#VALUE!</v>
      </c>
      <c r="AX11" s="96" t="e">
        <f t="shared" si="7"/>
        <v>#VALUE!</v>
      </c>
      <c r="AY11" s="97" t="e">
        <f>IF(BT11=1,0,IF(AW11&gt;80000000,9850000,IF(AW11&gt;52000000,5850000,IF(AW11&gt;32000000,3250000,IF(AW11&gt;18000000,1650000,IF(AW11&gt;10000000,750000,IF(AW11&gt;5000000,250000,0)))))))</f>
        <v>#VALUE!</v>
      </c>
      <c r="AZ11" s="98" t="e">
        <f>ROUND(AW11*AX11-AY11,0)</f>
        <v>#VALUE!</v>
      </c>
      <c r="BA11" s="92">
        <f>BF11*$BA$3</f>
        <v>902700.00000000012</v>
      </c>
      <c r="BB11" s="92">
        <f>BF11*$BB$3</f>
        <v>159300</v>
      </c>
      <c r="BC11" s="92">
        <f>BG11*$BC$3</f>
        <v>53100</v>
      </c>
      <c r="BD11" s="92">
        <f>BG11*$BD$3</f>
        <v>26550</v>
      </c>
      <c r="BE11" s="92">
        <f>SUM(BA11:BD11)</f>
        <v>1141650</v>
      </c>
      <c r="BF11" s="92">
        <f t="shared" si="8"/>
        <v>5310000</v>
      </c>
      <c r="BG11" s="92">
        <f t="shared" si="9"/>
        <v>5310000</v>
      </c>
      <c r="BH11" s="92">
        <v>0</v>
      </c>
      <c r="BI11" s="92">
        <v>0</v>
      </c>
      <c r="BJ11" s="92">
        <f>IF(BS11=1,BF11*2%,0)</f>
        <v>106200</v>
      </c>
      <c r="BK11" s="92">
        <f>IF(BU11=1,40000,0)</f>
        <v>40000</v>
      </c>
      <c r="BL11" s="92">
        <f t="shared" si="10"/>
        <v>0</v>
      </c>
      <c r="BM11" s="99" t="e">
        <f>AJ11-AT11-AZ11-BK11-BL11-BN11-BO11-BP11</f>
        <v>#VALUE!</v>
      </c>
      <c r="BN11" s="95">
        <f>IFERROR(VLOOKUP(B11,'[20]Benefit tính thuế'!$B$2:$H$5,7,0),0)</f>
        <v>0</v>
      </c>
      <c r="BO11" s="99">
        <v>0</v>
      </c>
      <c r="BP11" s="99">
        <v>0</v>
      </c>
      <c r="BQ11" s="100">
        <f>AN11+AP11+AU11</f>
        <v>16230000</v>
      </c>
      <c r="BR11" s="100" t="e">
        <f>+AZ11+AT11</f>
        <v>#VALUE!</v>
      </c>
      <c r="BS11" s="100">
        <v>1</v>
      </c>
      <c r="BT11" s="101">
        <v>0</v>
      </c>
      <c r="BU11" s="100">
        <v>1</v>
      </c>
      <c r="BV11" s="101">
        <v>0</v>
      </c>
      <c r="BW11" s="100">
        <v>20</v>
      </c>
      <c r="BX11" s="102"/>
    </row>
    <row r="12" spans="1:78" s="103" customFormat="1" ht="22.5" customHeight="1">
      <c r="A12" s="88">
        <v>1</v>
      </c>
      <c r="B12" s="88" t="s">
        <v>182</v>
      </c>
      <c r="C12" s="88"/>
      <c r="D12" s="89" t="s">
        <v>198</v>
      </c>
      <c r="E12" s="109">
        <v>45738</v>
      </c>
      <c r="F12" s="90" t="s">
        <v>167</v>
      </c>
      <c r="G12" s="91" t="s">
        <v>50</v>
      </c>
      <c r="H12" s="91" t="s">
        <v>23</v>
      </c>
      <c r="I12" s="91" t="s">
        <v>98</v>
      </c>
      <c r="J12" s="92">
        <v>11000000</v>
      </c>
      <c r="K12" s="92">
        <v>5800000</v>
      </c>
      <c r="L12" s="92">
        <f t="shared" si="0"/>
        <v>5200000</v>
      </c>
      <c r="M12" s="92">
        <v>26</v>
      </c>
      <c r="N12" s="93">
        <f>IFERROR(VLOOKUP(B12,' TimeTB 1'!$B$4:$P$5,5,0),0)</f>
        <v>0</v>
      </c>
      <c r="O12" s="93">
        <f>VLOOKUP(B12,'TimeTB 2'!$B$4:$O$11,14,0)</f>
        <v>0</v>
      </c>
      <c r="P12" s="94">
        <f t="shared" si="11"/>
        <v>0</v>
      </c>
      <c r="Q12" s="94">
        <f t="shared" si="1"/>
        <v>0</v>
      </c>
      <c r="R12" s="92">
        <f>SUM(P12:Q12)</f>
        <v>0</v>
      </c>
      <c r="S12" s="94">
        <f t="shared" si="3"/>
        <v>0</v>
      </c>
      <c r="T12" s="94">
        <f t="shared" si="4"/>
        <v>0</v>
      </c>
      <c r="U12" s="92">
        <f t="shared" si="5"/>
        <v>0</v>
      </c>
      <c r="V12" s="92">
        <v>0</v>
      </c>
      <c r="W12" s="92">
        <v>0</v>
      </c>
      <c r="X12" s="92">
        <v>0</v>
      </c>
      <c r="Y12" s="92">
        <f>VLOOKUP(B12,'[20]PC cơm '!$B$7:$L$15,11,0)</f>
        <v>1120000</v>
      </c>
      <c r="Z12" s="92">
        <f>SUM(V12:Y12)</f>
        <v>1120000</v>
      </c>
      <c r="AA12" s="92">
        <f>VLOOKUP(B12,'[20]OT '!$B$7:$R$14,17,0)</f>
        <v>2488221</v>
      </c>
      <c r="AB12" s="92">
        <f>VLOOKUP(B12,[20]NS!$B$9:$G$16,6,0)</f>
        <v>95192</v>
      </c>
      <c r="AC12" s="92">
        <v>0</v>
      </c>
      <c r="AD12" s="92">
        <v>0</v>
      </c>
      <c r="AE12" s="93">
        <v>0</v>
      </c>
      <c r="AF12" s="95">
        <f t="shared" si="6"/>
        <v>0</v>
      </c>
      <c r="AG12" s="95">
        <f>IFERROR(VLOOKUP(B12,[20]Incentive!$B$9:$H$11,7,0),0)</f>
        <v>5610000</v>
      </c>
      <c r="AH12" s="95" t="e">
        <f>SUMIF([20]Others!$B$8:$B$15,$B12,[20]Others!$F$8:$F$15)</f>
        <v>#VALUE!</v>
      </c>
      <c r="AI12" s="95">
        <v>0</v>
      </c>
      <c r="AJ12" s="92" t="e">
        <f>AI12+AH12+AG12+AF12+AD12+AC12+AB12+AA12+Z12+U12+R12+BN12</f>
        <v>#VALUE!</v>
      </c>
      <c r="AK12" s="92">
        <f>VLOOKUP(B12,'[20]OT '!$B$7:$T$14,19,0)</f>
        <v>0</v>
      </c>
      <c r="AL12" s="92">
        <f>VLOOKUP(B12,[20]NS!$B$9:$I$16,8,0)</f>
        <v>0</v>
      </c>
      <c r="AM12" s="92">
        <f>AI12</f>
        <v>0</v>
      </c>
      <c r="AN12" s="92">
        <f>IF(BT12=1,0,11000000)</f>
        <v>0</v>
      </c>
      <c r="AO12" s="93">
        <v>0</v>
      </c>
      <c r="AP12" s="92">
        <f>AO12*$AP$3</f>
        <v>0</v>
      </c>
      <c r="AQ12" s="92">
        <f>BF12*$AQ$3</f>
        <v>0</v>
      </c>
      <c r="AR12" s="92">
        <f>BF12*$AR$3</f>
        <v>0</v>
      </c>
      <c r="AS12" s="92">
        <f>BG12*$AS$3</f>
        <v>0</v>
      </c>
      <c r="AT12" s="95">
        <f>+AS12+AR12+AQ12</f>
        <v>0</v>
      </c>
      <c r="AU12" s="95">
        <f>IF(BT12=1,0,MIN(Y12,730000))</f>
        <v>0</v>
      </c>
      <c r="AV12" s="95" t="e">
        <f t="shared" ref="AV12" si="36">AJ12-AK12-AL12-AM12-AU12</f>
        <v>#VALUE!</v>
      </c>
      <c r="AW12" s="95" t="e">
        <f>MAX(AV12-AN12-AP12-AT12,0)</f>
        <v>#VALUE!</v>
      </c>
      <c r="AX12" s="96">
        <f t="shared" si="7"/>
        <v>0.1</v>
      </c>
      <c r="AY12" s="97">
        <f>IF(BT12=1,0,IF(AW12&gt;80000000,9850000,IF(AW12&gt;52000000,5850000,IF(AW12&gt;32000000,3250000,IF(AW12&gt;18000000,1650000,IF(AW12&gt;10000000,750000,IF(AW12&gt;5000000,250000,0)))))))</f>
        <v>0</v>
      </c>
      <c r="AZ12" s="98" t="e">
        <f>ROUND(AW12*AX12-AY12,0)</f>
        <v>#VALUE!</v>
      </c>
      <c r="BA12" s="92">
        <f>BF12*$BA$3</f>
        <v>0</v>
      </c>
      <c r="BB12" s="92">
        <f>BF12*$BB$3</f>
        <v>0</v>
      </c>
      <c r="BC12" s="92">
        <f>BG12*$BC$3</f>
        <v>0</v>
      </c>
      <c r="BD12" s="92">
        <f>BG12*$BD$3</f>
        <v>0</v>
      </c>
      <c r="BE12" s="92">
        <f>SUM(BA12:BD12)</f>
        <v>0</v>
      </c>
      <c r="BF12" s="92">
        <f t="shared" si="8"/>
        <v>0</v>
      </c>
      <c r="BG12" s="92">
        <f t="shared" si="9"/>
        <v>0</v>
      </c>
      <c r="BH12" s="92">
        <v>0</v>
      </c>
      <c r="BI12" s="92">
        <v>0</v>
      </c>
      <c r="BJ12" s="92">
        <f>IF(BS12=1,BF12*2%,0)</f>
        <v>0</v>
      </c>
      <c r="BK12" s="92">
        <f>IF(BU12=1,40000,0)</f>
        <v>0</v>
      </c>
      <c r="BL12" s="92">
        <f t="shared" si="10"/>
        <v>0</v>
      </c>
      <c r="BM12" s="99" t="e">
        <f>AJ12-AT12-AZ12-BK12-BL12-BN12-BO12-BP12</f>
        <v>#VALUE!</v>
      </c>
      <c r="BN12" s="95">
        <f>IFERROR(VLOOKUP(B12,'[20]Benefit tính thuế'!$B$2:$H$5,7,0),0)</f>
        <v>0</v>
      </c>
      <c r="BO12" s="99">
        <v>0</v>
      </c>
      <c r="BP12" s="99">
        <v>0</v>
      </c>
      <c r="BQ12" s="100">
        <f>AN12+AP12+AU12</f>
        <v>0</v>
      </c>
      <c r="BR12" s="100" t="e">
        <f>+AZ12+AT12</f>
        <v>#VALUE!</v>
      </c>
      <c r="BS12" s="101">
        <v>0</v>
      </c>
      <c r="BT12" s="100">
        <v>1</v>
      </c>
      <c r="BU12" s="101">
        <v>0</v>
      </c>
      <c r="BV12" s="101">
        <v>0</v>
      </c>
      <c r="BW12" s="100">
        <v>20</v>
      </c>
      <c r="BX12" s="102"/>
    </row>
    <row r="24" spans="54:56">
      <c r="BB24" s="47">
        <f>BF3/2</f>
        <v>23400000</v>
      </c>
      <c r="BD24" s="47">
        <f>BG3/2</f>
        <v>49600000</v>
      </c>
    </row>
  </sheetData>
  <sheetProtection deleteColumns="0"/>
  <autoFilter ref="A4:CG5" xr:uid="{B395567C-224D-4C12-935F-73BDB291D854}"/>
  <mergeCells count="1">
    <mergeCell ref="AK2:AP2"/>
  </mergeCells>
  <dataValidations count="1">
    <dataValidation allowBlank="1" showErrorMessage="1" sqref="BM3 AJ3:AL3 A3:K3 M3:R3 V3:AH3 BQ3:XFD3 A4:XFD4 AN3:BK3 E5:I7 A5:C7 A1:XFD2 G10 L8:L10 J6:J8 R8:T8 P8:Q10 G8:I9 D6:D7 G11:H11 A8:F11 S9:U10 K9:K10 P11:U11 K5:M7 O8:O11 N5:O6 N8:N10 A12:XFD1048576 J11:N11 A7:XFD7 P5:AM7 AO5:XFD7 AN5:AN6 V8:XFD11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L10"/>
  <sheetViews>
    <sheetView zoomScale="130" zoomScaleNormal="130" workbookViewId="0">
      <selection activeCell="B12" sqref="B12"/>
    </sheetView>
  </sheetViews>
  <sheetFormatPr baseColWidth="10" defaultColWidth="9.1640625" defaultRowHeight="15"/>
  <cols>
    <col min="1" max="1" width="14.1640625" style="37" customWidth="1"/>
    <col min="2" max="2" width="27.5" style="37" customWidth="1"/>
    <col min="3" max="3" width="14.33203125" style="37" customWidth="1"/>
    <col min="4" max="4" width="21" style="37" customWidth="1"/>
    <col min="5" max="5" width="9.6640625" style="37" customWidth="1"/>
    <col min="6" max="6" width="10.1640625" style="37" customWidth="1"/>
    <col min="7" max="7" width="9.1640625" style="37" customWidth="1"/>
    <col min="8" max="8" width="15.6640625" style="37" customWidth="1"/>
    <col min="9" max="9" width="11.6640625" style="37" customWidth="1"/>
    <col min="10" max="10" width="15" style="37" customWidth="1"/>
    <col min="11" max="11" width="15.1640625" style="37" customWidth="1"/>
    <col min="12" max="12" width="17.83203125" style="37" customWidth="1"/>
    <col min="13" max="16384" width="9.1640625" style="37"/>
  </cols>
  <sheetData>
    <row r="1" spans="1:12" s="44" customFormat="1" ht="63.75" customHeight="1">
      <c r="A1" s="314" t="s">
        <v>27</v>
      </c>
      <c r="B1" s="316" t="s">
        <v>11</v>
      </c>
      <c r="C1" s="316" t="s">
        <v>199</v>
      </c>
      <c r="D1" s="316" t="s">
        <v>200</v>
      </c>
      <c r="E1" s="318" t="s">
        <v>201</v>
      </c>
      <c r="F1" s="319" t="s">
        <v>202</v>
      </c>
      <c r="G1" s="319" t="s">
        <v>203</v>
      </c>
      <c r="H1" s="132" t="s">
        <v>204</v>
      </c>
      <c r="I1" s="132" t="s">
        <v>205</v>
      </c>
      <c r="J1" s="132" t="s">
        <v>206</v>
      </c>
      <c r="K1" s="321" t="s">
        <v>207</v>
      </c>
      <c r="L1" s="312" t="s">
        <v>208</v>
      </c>
    </row>
    <row r="2" spans="1:12" s="44" customFormat="1" ht="15.75" customHeight="1">
      <c r="A2" s="315"/>
      <c r="B2" s="317"/>
      <c r="C2" s="317"/>
      <c r="D2" s="317"/>
      <c r="E2" s="317"/>
      <c r="F2" s="320"/>
      <c r="G2" s="320"/>
      <c r="H2" s="294">
        <v>40000</v>
      </c>
      <c r="I2" s="294">
        <v>40000</v>
      </c>
      <c r="J2" s="294">
        <v>80000</v>
      </c>
      <c r="K2" s="322"/>
      <c r="L2" s="313"/>
    </row>
    <row r="3" spans="1:12" ht="16">
      <c r="A3" s="133" t="s">
        <v>180</v>
      </c>
      <c r="B3" s="133" t="s">
        <v>191</v>
      </c>
      <c r="C3" s="134">
        <v>43466</v>
      </c>
      <c r="D3" s="135" t="s">
        <v>155</v>
      </c>
      <c r="E3" s="136">
        <f>VLOOKUP($A3,'TimeTB 2'!$B$4:$P$11,15,0)</f>
        <v>0</v>
      </c>
      <c r="F3" s="136">
        <f>VLOOKUP($A3,'TimeTB 2'!$B$4:$R$11,17,0)</f>
        <v>0</v>
      </c>
      <c r="G3" s="136">
        <f>VLOOKUP($A3,'TimeTB 2'!$B$4:$R$11,16,0)</f>
        <v>0</v>
      </c>
      <c r="H3" s="137">
        <f>E3*$H$2</f>
        <v>0</v>
      </c>
      <c r="I3" s="137">
        <f>F3*$I$2</f>
        <v>0</v>
      </c>
      <c r="J3" s="137">
        <f>G3*$J$2</f>
        <v>0</v>
      </c>
      <c r="K3" s="138">
        <f>SUM(H3:J3)</f>
        <v>0</v>
      </c>
      <c r="L3" s="133"/>
    </row>
    <row r="4" spans="1:12" ht="16">
      <c r="A4" s="38" t="s">
        <v>181</v>
      </c>
      <c r="B4" s="38" t="s">
        <v>192</v>
      </c>
      <c r="C4" s="43">
        <v>43831</v>
      </c>
      <c r="D4" s="42" t="s">
        <v>156</v>
      </c>
      <c r="E4" s="41">
        <f>VLOOKUP($A4,'TimeTB 2'!$B$4:$P$11,15,0)</f>
        <v>0</v>
      </c>
      <c r="F4" s="41">
        <f>VLOOKUP($A4,'TimeTB 2'!$B$4:$R$11,17,0)</f>
        <v>0</v>
      </c>
      <c r="G4" s="41">
        <f>VLOOKUP($A4,'TimeTB 2'!$B$4:$R$11,16,0)</f>
        <v>0</v>
      </c>
      <c r="H4" s="39">
        <f>E4*$H$2</f>
        <v>0</v>
      </c>
      <c r="I4" s="39">
        <f>F4*$I$2</f>
        <v>0</v>
      </c>
      <c r="J4" s="39">
        <f>G4*$J$2</f>
        <v>0</v>
      </c>
      <c r="K4" s="40">
        <f t="shared" ref="K4:K10" si="0">SUM(H4:J4)</f>
        <v>0</v>
      </c>
      <c r="L4" s="38"/>
    </row>
    <row r="5" spans="1:12" ht="16">
      <c r="A5" s="38" t="s">
        <v>158</v>
      </c>
      <c r="B5" s="38" t="s">
        <v>193</v>
      </c>
      <c r="C5" s="43">
        <v>44197</v>
      </c>
      <c r="D5" s="42" t="s">
        <v>50</v>
      </c>
      <c r="E5" s="41">
        <f>VLOOKUP($A5,'TimeTB 2'!$B$4:$P$11,15,0)</f>
        <v>0</v>
      </c>
      <c r="F5" s="41">
        <f>VLOOKUP($A5,'TimeTB 2'!$B$4:$R$11,17,0)</f>
        <v>0</v>
      </c>
      <c r="G5" s="41">
        <f>VLOOKUP($A5,'TimeTB 2'!$B$4:$R$11,16,0)</f>
        <v>0</v>
      </c>
      <c r="H5" s="39">
        <f>E5*$H$2</f>
        <v>0</v>
      </c>
      <c r="I5" s="39">
        <f>F5*$I$2</f>
        <v>0</v>
      </c>
      <c r="J5" s="39">
        <f t="shared" ref="J5:J10" si="1">G5*$J$2</f>
        <v>0</v>
      </c>
      <c r="K5" s="40">
        <f t="shared" si="0"/>
        <v>0</v>
      </c>
      <c r="L5" s="38"/>
    </row>
    <row r="6" spans="1:12" ht="16">
      <c r="A6" s="38" t="s">
        <v>159</v>
      </c>
      <c r="B6" s="38" t="s">
        <v>194</v>
      </c>
      <c r="C6" s="43">
        <v>44562</v>
      </c>
      <c r="D6" s="42" t="s">
        <v>243</v>
      </c>
      <c r="E6" s="41">
        <f>VLOOKUP($A6,'TimeTB 2'!$B$4:$P$11,15,0)</f>
        <v>0</v>
      </c>
      <c r="F6" s="41">
        <f>VLOOKUP($A6,'TimeTB 2'!$B$4:$R$11,17,0)</f>
        <v>0</v>
      </c>
      <c r="G6" s="41">
        <f>VLOOKUP($A6,'TimeTB 2'!$B$4:$R$11,16,0)</f>
        <v>0</v>
      </c>
      <c r="H6" s="39">
        <f t="shared" ref="H6:H10" si="2">E6*$H$2</f>
        <v>0</v>
      </c>
      <c r="I6" s="39">
        <f t="shared" ref="I6:I10" si="3">F6*$I$2</f>
        <v>0</v>
      </c>
      <c r="J6" s="39">
        <f t="shared" si="1"/>
        <v>0</v>
      </c>
      <c r="K6" s="40">
        <f t="shared" si="0"/>
        <v>0</v>
      </c>
      <c r="L6" s="38"/>
    </row>
    <row r="7" spans="1:12" ht="16">
      <c r="A7" s="38" t="s">
        <v>160</v>
      </c>
      <c r="B7" s="38" t="s">
        <v>195</v>
      </c>
      <c r="C7" s="43">
        <v>45740</v>
      </c>
      <c r="D7" s="42" t="s">
        <v>243</v>
      </c>
      <c r="E7" s="41">
        <f>VLOOKUP($A7,'TimeTB 2'!$B$4:$P$11,15,0)</f>
        <v>0</v>
      </c>
      <c r="F7" s="41">
        <f>VLOOKUP($A7,'TimeTB 2'!$B$4:$R$11,17,0)</f>
        <v>0</v>
      </c>
      <c r="G7" s="41">
        <f>VLOOKUP($A7,'TimeTB 2'!$B$4:$R$11,16,0)</f>
        <v>0</v>
      </c>
      <c r="H7" s="39">
        <f t="shared" si="2"/>
        <v>0</v>
      </c>
      <c r="I7" s="39">
        <f t="shared" si="3"/>
        <v>0</v>
      </c>
      <c r="J7" s="39">
        <f t="shared" si="1"/>
        <v>0</v>
      </c>
      <c r="K7" s="40">
        <f t="shared" si="0"/>
        <v>0</v>
      </c>
      <c r="L7" s="38"/>
    </row>
    <row r="8" spans="1:12" ht="16">
      <c r="A8" s="38" t="s">
        <v>161</v>
      </c>
      <c r="B8" s="38" t="s">
        <v>196</v>
      </c>
      <c r="C8" s="43">
        <v>44927</v>
      </c>
      <c r="D8" s="42" t="s">
        <v>59</v>
      </c>
      <c r="E8" s="41">
        <f>VLOOKUP($A8,'TimeTB 2'!$B$4:$P$11,15,0)</f>
        <v>0</v>
      </c>
      <c r="F8" s="41">
        <f>VLOOKUP($A8,'TimeTB 2'!$B$4:$R$11,17,0)</f>
        <v>0</v>
      </c>
      <c r="G8" s="41">
        <f>VLOOKUP($A8,'TimeTB 2'!$B$4:$R$11,16,0)</f>
        <v>0</v>
      </c>
      <c r="H8" s="39">
        <f t="shared" si="2"/>
        <v>0</v>
      </c>
      <c r="I8" s="39">
        <f t="shared" si="3"/>
        <v>0</v>
      </c>
      <c r="J8" s="39">
        <f t="shared" si="1"/>
        <v>0</v>
      </c>
      <c r="K8" s="40">
        <f t="shared" si="0"/>
        <v>0</v>
      </c>
      <c r="L8" s="38"/>
    </row>
    <row r="9" spans="1:12" ht="16">
      <c r="A9" s="38" t="s">
        <v>162</v>
      </c>
      <c r="B9" s="38" t="s">
        <v>197</v>
      </c>
      <c r="C9" s="43">
        <v>45292</v>
      </c>
      <c r="D9" s="42" t="s">
        <v>59</v>
      </c>
      <c r="E9" s="41">
        <f>VLOOKUP($A9,'TimeTB 2'!$B$4:$P$11,15,0)</f>
        <v>0</v>
      </c>
      <c r="F9" s="41">
        <f>VLOOKUP($A9,'TimeTB 2'!$B$4:$R$11,17,0)</f>
        <v>0</v>
      </c>
      <c r="G9" s="41">
        <f>VLOOKUP($A9,'TimeTB 2'!$B$4:$R$11,16,0)</f>
        <v>0</v>
      </c>
      <c r="H9" s="39">
        <f t="shared" si="2"/>
        <v>0</v>
      </c>
      <c r="I9" s="39">
        <f t="shared" si="3"/>
        <v>0</v>
      </c>
      <c r="J9" s="39">
        <f t="shared" si="1"/>
        <v>0</v>
      </c>
      <c r="K9" s="40">
        <f t="shared" si="0"/>
        <v>0</v>
      </c>
      <c r="L9" s="38"/>
    </row>
    <row r="10" spans="1:12" ht="16">
      <c r="A10" s="38" t="s">
        <v>182</v>
      </c>
      <c r="B10" s="38" t="s">
        <v>198</v>
      </c>
      <c r="C10" s="43">
        <v>45738</v>
      </c>
      <c r="D10" s="42" t="s">
        <v>50</v>
      </c>
      <c r="E10" s="41">
        <f>VLOOKUP($A10,'TimeTB 2'!$B$4:$P$11,15,0)</f>
        <v>0</v>
      </c>
      <c r="F10" s="41">
        <f>VLOOKUP($A10,'TimeTB 2'!$B$4:$R$11,17,0)</f>
        <v>0</v>
      </c>
      <c r="G10" s="41">
        <f>VLOOKUP($A10,'TimeTB 2'!$B$4:$R$11,16,0)</f>
        <v>0</v>
      </c>
      <c r="H10" s="39">
        <f t="shared" si="2"/>
        <v>0</v>
      </c>
      <c r="I10" s="39">
        <f t="shared" si="3"/>
        <v>0</v>
      </c>
      <c r="J10" s="39">
        <f t="shared" si="1"/>
        <v>0</v>
      </c>
      <c r="K10" s="40">
        <f t="shared" si="0"/>
        <v>0</v>
      </c>
      <c r="L10" s="38"/>
    </row>
  </sheetData>
  <autoFilter ref="A2:L4" xr:uid="{21B6961D-2666-4479-B858-99F75A86990E}"/>
  <mergeCells count="9">
    <mergeCell ref="L1:L2"/>
    <mergeCell ref="A1:A2"/>
    <mergeCell ref="B1:B2"/>
    <mergeCell ref="C1:C2"/>
    <mergeCell ref="D1:D2"/>
    <mergeCell ref="E1:E2"/>
    <mergeCell ref="F1:F2"/>
    <mergeCell ref="G1:G2"/>
    <mergeCell ref="K1:K2"/>
  </mergeCells>
  <conditionalFormatting sqref="A1">
    <cfRule type="expression" dxfId="88" priority="1327710" stopIfTrue="1">
      <formula>AND(COUNTIF($A$5:$A$65476, A1)+COUNTIF(#REF!, A1)+COUNTIF(#REF!, A1)+COUNTIF($A$1:$A$4, A1)&gt;1,NOT(ISBLANK(A1)))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S37"/>
  <sheetViews>
    <sheetView view="pageBreakPreview" zoomScale="130" zoomScaleNormal="85" zoomScaleSheetLayoutView="130" workbookViewId="0">
      <pane xSplit="3" ySplit="3" topLeftCell="D4" activePane="bottomRight" state="frozen"/>
      <selection activeCell="C13" sqref="C13"/>
      <selection pane="topRight" activeCell="C13" sqref="C13"/>
      <selection pane="bottomLeft" activeCell="C13" sqref="C13"/>
      <selection pane="bottomRight" activeCell="B1" sqref="B1:B3"/>
    </sheetView>
  </sheetViews>
  <sheetFormatPr baseColWidth="10" defaultColWidth="8.83203125" defaultRowHeight="19" outlineLevelCol="1"/>
  <cols>
    <col min="1" max="1" width="4.33203125" customWidth="1"/>
    <col min="2" max="2" width="17.1640625" customWidth="1"/>
    <col min="3" max="3" width="29.1640625" customWidth="1"/>
    <col min="4" max="4" width="15" customWidth="1" outlineLevel="1"/>
    <col min="5" max="5" width="15.5" customWidth="1" outlineLevel="1"/>
    <col min="6" max="6" width="22.83203125" style="57" customWidth="1" outlineLevel="1"/>
    <col min="7" max="7" width="21.5" customWidth="1" outlineLevel="1"/>
    <col min="8" max="8" width="12.5" style="56" customWidth="1" outlineLevel="1"/>
    <col min="9" max="10" width="8.5" customWidth="1"/>
    <col min="11" max="11" width="10.83203125" customWidth="1"/>
    <col min="12" max="12" width="11.5" style="58" customWidth="1"/>
    <col min="13" max="13" width="12.6640625" customWidth="1"/>
    <col min="14" max="14" width="7.1640625" customWidth="1"/>
    <col min="15" max="18" width="12.83203125" style="54" customWidth="1"/>
    <col min="19" max="19" width="12.6640625" customWidth="1"/>
    <col min="20" max="20" width="9.1640625" customWidth="1"/>
    <col min="21" max="21" width="22" customWidth="1"/>
  </cols>
  <sheetData>
    <row r="1" spans="1:19" ht="18.75" customHeight="1">
      <c r="B1" s="323" t="s">
        <v>27</v>
      </c>
      <c r="C1" s="323" t="s">
        <v>11</v>
      </c>
      <c r="D1" s="323" t="s">
        <v>51</v>
      </c>
      <c r="E1" s="323" t="s">
        <v>33</v>
      </c>
      <c r="F1" s="323" t="s">
        <v>69</v>
      </c>
      <c r="G1" s="323" t="s">
        <v>70</v>
      </c>
      <c r="H1" s="335" t="s">
        <v>45</v>
      </c>
      <c r="I1" s="326" t="s">
        <v>209</v>
      </c>
      <c r="J1" s="326" t="s">
        <v>210</v>
      </c>
      <c r="K1" s="326" t="s">
        <v>96</v>
      </c>
      <c r="L1" s="326" t="s">
        <v>211</v>
      </c>
      <c r="M1" s="326" t="s">
        <v>53</v>
      </c>
      <c r="N1" s="332" t="s">
        <v>212</v>
      </c>
      <c r="O1" s="326" t="s">
        <v>213</v>
      </c>
      <c r="P1" s="326" t="s">
        <v>214</v>
      </c>
      <c r="Q1" s="326" t="s">
        <v>215</v>
      </c>
      <c r="R1" s="326" t="s">
        <v>216</v>
      </c>
      <c r="S1" s="329" t="s">
        <v>217</v>
      </c>
    </row>
    <row r="2" spans="1:19" ht="45.75" customHeight="1">
      <c r="B2" s="324"/>
      <c r="C2" s="324"/>
      <c r="D2" s="324"/>
      <c r="E2" s="324"/>
      <c r="F2" s="324"/>
      <c r="G2" s="324"/>
      <c r="H2" s="333"/>
      <c r="I2" s="327"/>
      <c r="J2" s="327"/>
      <c r="K2" s="327"/>
      <c r="L2" s="327"/>
      <c r="M2" s="327"/>
      <c r="N2" s="333"/>
      <c r="O2" s="327"/>
      <c r="P2" s="327"/>
      <c r="Q2" s="327"/>
      <c r="R2" s="327"/>
      <c r="S2" s="330"/>
    </row>
    <row r="3" spans="1:19" ht="46.5" customHeight="1">
      <c r="B3" s="325"/>
      <c r="C3" s="325"/>
      <c r="D3" s="325"/>
      <c r="E3" s="325"/>
      <c r="F3" s="325"/>
      <c r="G3" s="325"/>
      <c r="H3" s="334"/>
      <c r="I3" s="328"/>
      <c r="J3" s="328"/>
      <c r="K3" s="328"/>
      <c r="L3" s="328"/>
      <c r="M3" s="328"/>
      <c r="N3" s="334"/>
      <c r="O3" s="328"/>
      <c r="P3" s="328"/>
      <c r="Q3" s="328"/>
      <c r="R3" s="328"/>
      <c r="S3" s="331"/>
    </row>
    <row r="4" spans="1:19" ht="29.25" customHeight="1">
      <c r="A4">
        <v>1</v>
      </c>
      <c r="B4" s="165" t="s">
        <v>180</v>
      </c>
      <c r="C4" s="166" t="s">
        <v>191</v>
      </c>
      <c r="D4" s="167">
        <v>43466</v>
      </c>
      <c r="E4" s="168"/>
      <c r="F4" s="169"/>
      <c r="G4" s="167" t="s">
        <v>113</v>
      </c>
      <c r="H4" s="170"/>
      <c r="I4" s="171"/>
      <c r="J4" s="172"/>
      <c r="K4" s="172"/>
      <c r="L4" s="173"/>
      <c r="M4" s="172">
        <f>+K4+L4</f>
        <v>0</v>
      </c>
      <c r="N4" s="174"/>
      <c r="O4" s="175">
        <f>MIN((M4+N4),26)</f>
        <v>0</v>
      </c>
      <c r="P4" s="173"/>
      <c r="Q4" s="173"/>
      <c r="R4" s="176">
        <v>0</v>
      </c>
      <c r="S4" s="177"/>
    </row>
    <row r="5" spans="1:19" ht="29.25" customHeight="1">
      <c r="A5">
        <f>+A3+1</f>
        <v>1</v>
      </c>
      <c r="B5" s="140" t="s">
        <v>181</v>
      </c>
      <c r="C5" s="55" t="s">
        <v>192</v>
      </c>
      <c r="D5" s="141">
        <v>43831</v>
      </c>
      <c r="E5" s="142"/>
      <c r="F5" s="143"/>
      <c r="G5" s="141" t="s">
        <v>100</v>
      </c>
      <c r="H5" s="155"/>
      <c r="I5" s="156"/>
      <c r="J5" s="157"/>
      <c r="K5" s="157"/>
      <c r="L5" s="161"/>
      <c r="M5" s="157">
        <f t="shared" ref="M5" si="0">+K5+L5</f>
        <v>0</v>
      </c>
      <c r="N5" s="149"/>
      <c r="O5" s="159">
        <f t="shared" ref="O5" si="1">MIN((M5+N5),26)</f>
        <v>0</v>
      </c>
      <c r="P5" s="158"/>
      <c r="Q5" s="158"/>
      <c r="R5" s="160">
        <v>0</v>
      </c>
      <c r="S5" s="150"/>
    </row>
    <row r="6" spans="1:19" ht="29.25" customHeight="1">
      <c r="A6">
        <f>+A5+1</f>
        <v>2</v>
      </c>
      <c r="B6" s="144" t="s">
        <v>158</v>
      </c>
      <c r="C6" s="55" t="s">
        <v>193</v>
      </c>
      <c r="D6" s="104">
        <v>44197</v>
      </c>
      <c r="E6" s="145"/>
      <c r="F6" s="146"/>
      <c r="G6" s="104" t="s">
        <v>239</v>
      </c>
      <c r="H6" s="162"/>
      <c r="I6" s="156"/>
      <c r="J6" s="157"/>
      <c r="K6" s="157"/>
      <c r="L6" s="161"/>
      <c r="M6" s="157">
        <f t="shared" ref="M6:M11" si="2">+K6+L6</f>
        <v>0</v>
      </c>
      <c r="N6" s="151"/>
      <c r="O6" s="160">
        <f t="shared" ref="O6:O11" si="3">MIN((M6+N6),26)</f>
        <v>0</v>
      </c>
      <c r="P6" s="158"/>
      <c r="Q6" s="158"/>
      <c r="R6" s="160">
        <v>0</v>
      </c>
      <c r="S6" s="152"/>
    </row>
    <row r="7" spans="1:19" ht="29.25" customHeight="1">
      <c r="A7">
        <f t="shared" ref="A7:A11" si="4">+A6+1</f>
        <v>3</v>
      </c>
      <c r="B7" s="144" t="s">
        <v>159</v>
      </c>
      <c r="C7" s="55" t="s">
        <v>194</v>
      </c>
      <c r="D7" s="104">
        <v>44562</v>
      </c>
      <c r="E7" s="145"/>
      <c r="F7" s="146"/>
      <c r="G7" s="104" t="s">
        <v>240</v>
      </c>
      <c r="H7" s="162"/>
      <c r="I7" s="156"/>
      <c r="J7" s="157"/>
      <c r="K7" s="157"/>
      <c r="L7" s="161"/>
      <c r="M7" s="157">
        <f t="shared" si="2"/>
        <v>0</v>
      </c>
      <c r="N7" s="153"/>
      <c r="O7" s="160">
        <f t="shared" si="3"/>
        <v>0</v>
      </c>
      <c r="P7" s="158"/>
      <c r="Q7" s="158"/>
      <c r="R7" s="160">
        <v>0</v>
      </c>
      <c r="S7" s="152"/>
    </row>
    <row r="8" spans="1:19" ht="29.25" customHeight="1">
      <c r="A8">
        <f t="shared" si="4"/>
        <v>4</v>
      </c>
      <c r="B8" s="144" t="s">
        <v>160</v>
      </c>
      <c r="C8" s="55" t="s">
        <v>195</v>
      </c>
      <c r="D8" s="104">
        <v>45740</v>
      </c>
      <c r="E8" s="145"/>
      <c r="F8" s="146"/>
      <c r="G8" s="104" t="s">
        <v>241</v>
      </c>
      <c r="H8" s="162"/>
      <c r="I8" s="156"/>
      <c r="J8" s="157"/>
      <c r="K8" s="157"/>
      <c r="L8" s="161"/>
      <c r="M8" s="157">
        <f t="shared" si="2"/>
        <v>0</v>
      </c>
      <c r="N8" s="151"/>
      <c r="O8" s="160">
        <f t="shared" si="3"/>
        <v>0</v>
      </c>
      <c r="P8" s="158"/>
      <c r="Q8" s="158"/>
      <c r="R8" s="160">
        <v>0</v>
      </c>
      <c r="S8" s="152"/>
    </row>
    <row r="9" spans="1:19" ht="29.25" customHeight="1">
      <c r="A9">
        <f>+A8+1</f>
        <v>5</v>
      </c>
      <c r="B9" s="144" t="s">
        <v>161</v>
      </c>
      <c r="C9" s="55" t="s">
        <v>196</v>
      </c>
      <c r="D9" s="104">
        <v>44927</v>
      </c>
      <c r="E9" s="145"/>
      <c r="F9" s="146"/>
      <c r="G9" s="104" t="s">
        <v>114</v>
      </c>
      <c r="H9" s="162"/>
      <c r="I9" s="156"/>
      <c r="J9" s="157"/>
      <c r="K9" s="157"/>
      <c r="L9" s="161"/>
      <c r="M9" s="157">
        <f t="shared" si="2"/>
        <v>0</v>
      </c>
      <c r="N9" s="151"/>
      <c r="O9" s="160">
        <f t="shared" si="3"/>
        <v>0</v>
      </c>
      <c r="P9" s="158"/>
      <c r="Q9" s="158"/>
      <c r="R9" s="160">
        <v>0</v>
      </c>
      <c r="S9" s="152"/>
    </row>
    <row r="10" spans="1:19" ht="29.25" customHeight="1">
      <c r="A10">
        <f t="shared" si="4"/>
        <v>6</v>
      </c>
      <c r="B10" s="144" t="s">
        <v>162</v>
      </c>
      <c r="C10" s="55" t="s">
        <v>197</v>
      </c>
      <c r="D10" s="104">
        <v>45292</v>
      </c>
      <c r="E10" s="145"/>
      <c r="F10" s="146"/>
      <c r="G10" s="104" t="s">
        <v>75</v>
      </c>
      <c r="H10" s="154"/>
      <c r="I10" s="156"/>
      <c r="J10" s="157"/>
      <c r="K10" s="157"/>
      <c r="L10" s="161"/>
      <c r="M10" s="157">
        <f t="shared" si="2"/>
        <v>0</v>
      </c>
      <c r="N10" s="151"/>
      <c r="O10" s="160">
        <f t="shared" si="3"/>
        <v>0</v>
      </c>
      <c r="P10" s="158"/>
      <c r="Q10" s="158"/>
      <c r="R10" s="160">
        <v>0</v>
      </c>
      <c r="S10" s="152"/>
    </row>
    <row r="11" spans="1:19" ht="29.25" customHeight="1">
      <c r="A11">
        <f t="shared" si="4"/>
        <v>7</v>
      </c>
      <c r="B11" s="144" t="s">
        <v>182</v>
      </c>
      <c r="C11" s="55" t="s">
        <v>198</v>
      </c>
      <c r="D11" s="104">
        <v>45738</v>
      </c>
      <c r="E11" s="145"/>
      <c r="F11" s="146"/>
      <c r="G11" s="104" t="s">
        <v>242</v>
      </c>
      <c r="H11" s="162"/>
      <c r="I11" s="156"/>
      <c r="J11" s="157"/>
      <c r="K11" s="157"/>
      <c r="L11" s="161"/>
      <c r="M11" s="157">
        <f t="shared" si="2"/>
        <v>0</v>
      </c>
      <c r="N11" s="151"/>
      <c r="O11" s="160">
        <f t="shared" si="3"/>
        <v>0</v>
      </c>
      <c r="P11" s="158"/>
      <c r="Q11" s="158"/>
      <c r="R11" s="160">
        <v>0</v>
      </c>
      <c r="S11" s="152"/>
    </row>
    <row r="12" spans="1:19" ht="28.5" customHeight="1">
      <c r="B12" s="163" t="s">
        <v>131</v>
      </c>
      <c r="C12" s="139"/>
      <c r="D12" s="139"/>
      <c r="E12" s="139"/>
      <c r="F12" s="147"/>
      <c r="G12" s="139"/>
      <c r="H12" s="148"/>
    </row>
    <row r="13" spans="1:19">
      <c r="B13" s="164" t="s">
        <v>37</v>
      </c>
      <c r="C13" s="59" t="s">
        <v>130</v>
      </c>
      <c r="D13" s="60"/>
      <c r="E13" s="60"/>
      <c r="F13" s="60"/>
      <c r="G13" s="60"/>
      <c r="H13" s="61"/>
    </row>
    <row r="14" spans="1:19">
      <c r="B14" s="164" t="s">
        <v>85</v>
      </c>
      <c r="C14" s="59" t="s">
        <v>86</v>
      </c>
      <c r="D14" s="60"/>
      <c r="E14" s="60"/>
      <c r="F14" s="60"/>
      <c r="G14" s="60"/>
      <c r="H14" s="61"/>
    </row>
    <row r="15" spans="1:19">
      <c r="B15" s="164" t="s">
        <v>38</v>
      </c>
      <c r="C15" s="59" t="s">
        <v>87</v>
      </c>
      <c r="D15" s="60"/>
      <c r="E15" s="60"/>
      <c r="F15" s="60"/>
      <c r="G15" s="60"/>
      <c r="H15" s="61"/>
    </row>
    <row r="16" spans="1:19">
      <c r="B16" s="164" t="s">
        <v>56</v>
      </c>
      <c r="C16" s="59" t="s">
        <v>88</v>
      </c>
      <c r="D16" s="60"/>
      <c r="E16" s="60"/>
      <c r="F16" s="60"/>
      <c r="G16" s="60"/>
      <c r="H16" s="61"/>
    </row>
    <row r="17" spans="2:8">
      <c r="B17" s="164" t="s">
        <v>74</v>
      </c>
      <c r="C17" s="59" t="s">
        <v>89</v>
      </c>
      <c r="D17" s="60"/>
      <c r="E17" s="60"/>
      <c r="F17" s="60"/>
      <c r="G17" s="60"/>
      <c r="H17" s="61"/>
    </row>
    <row r="18" spans="2:8">
      <c r="B18" s="164" t="s">
        <v>61</v>
      </c>
      <c r="C18" s="59" t="s">
        <v>90</v>
      </c>
      <c r="D18" s="60"/>
      <c r="E18" s="60"/>
      <c r="F18" s="60"/>
      <c r="G18" s="60"/>
      <c r="H18" s="61"/>
    </row>
    <row r="19" spans="2:8">
      <c r="B19" s="164" t="s">
        <v>58</v>
      </c>
      <c r="C19" s="59" t="s">
        <v>91</v>
      </c>
      <c r="D19" s="60"/>
      <c r="E19" s="60"/>
      <c r="F19" s="60"/>
      <c r="G19" s="60"/>
      <c r="H19" s="61"/>
    </row>
    <row r="20" spans="2:8">
      <c r="B20" s="164" t="s">
        <v>84</v>
      </c>
      <c r="C20" s="59" t="s">
        <v>92</v>
      </c>
      <c r="D20" s="60"/>
      <c r="E20" s="60"/>
      <c r="F20" s="60"/>
      <c r="G20" s="60"/>
      <c r="H20" s="61"/>
    </row>
    <row r="21" spans="2:8">
      <c r="B21" s="52" t="s">
        <v>57</v>
      </c>
      <c r="C21" s="59" t="s">
        <v>93</v>
      </c>
      <c r="D21" s="60"/>
      <c r="E21" s="60"/>
      <c r="F21" s="60"/>
      <c r="G21" s="60"/>
      <c r="H21" s="61"/>
    </row>
    <row r="22" spans="2:8">
      <c r="B22" s="52" t="s">
        <v>34</v>
      </c>
      <c r="C22" s="59" t="s">
        <v>62</v>
      </c>
      <c r="D22" s="60"/>
      <c r="E22" s="60"/>
      <c r="F22" s="60"/>
      <c r="G22" s="60"/>
      <c r="H22" s="61"/>
    </row>
    <row r="23" spans="2:8">
      <c r="B23" s="52" t="s">
        <v>60</v>
      </c>
      <c r="C23" s="59" t="s">
        <v>63</v>
      </c>
      <c r="D23" s="60"/>
      <c r="E23" s="60"/>
      <c r="F23" s="60"/>
      <c r="G23" s="60"/>
      <c r="H23" s="61"/>
    </row>
    <row r="24" spans="2:8" ht="22.5" customHeight="1">
      <c r="B24" s="52" t="s">
        <v>64</v>
      </c>
      <c r="C24" s="59" t="s">
        <v>65</v>
      </c>
      <c r="D24" s="60"/>
      <c r="E24" s="60"/>
      <c r="F24" s="60"/>
      <c r="G24" s="60"/>
      <c r="H24" s="61"/>
    </row>
    <row r="25" spans="2:8" ht="22.5" customHeight="1">
      <c r="B25" s="52" t="s">
        <v>66</v>
      </c>
      <c r="C25" s="59" t="s">
        <v>67</v>
      </c>
      <c r="D25" s="60"/>
      <c r="E25" s="60"/>
      <c r="F25" s="60"/>
      <c r="G25" s="60"/>
      <c r="H25" s="61"/>
    </row>
    <row r="26" spans="2:8" ht="22.5" customHeight="1">
      <c r="B26" s="52" t="s">
        <v>35</v>
      </c>
      <c r="C26" s="59" t="s">
        <v>94</v>
      </c>
      <c r="D26" s="60"/>
      <c r="E26" s="60"/>
      <c r="F26" s="60"/>
      <c r="G26" s="60"/>
      <c r="H26" s="61"/>
    </row>
    <row r="27" spans="2:8" ht="22.5" customHeight="1">
      <c r="B27" s="52" t="s">
        <v>36</v>
      </c>
      <c r="C27" s="59" t="s">
        <v>95</v>
      </c>
      <c r="D27" s="60"/>
      <c r="E27" s="60"/>
      <c r="F27" s="60"/>
      <c r="G27" s="60"/>
      <c r="H27" s="61"/>
    </row>
    <row r="29" spans="2:8">
      <c r="B29" s="53"/>
      <c r="G29" s="62"/>
      <c r="H29" s="63"/>
    </row>
    <row r="30" spans="2:8" ht="18" customHeight="1">
      <c r="G30" s="62"/>
      <c r="H30" s="63"/>
    </row>
    <row r="31" spans="2:8" ht="17.25" customHeight="1">
      <c r="G31" s="62"/>
      <c r="H31" s="63"/>
    </row>
    <row r="32" spans="2:8" ht="38.25" customHeight="1">
      <c r="G32" s="62"/>
      <c r="H32" s="63"/>
    </row>
    <row r="33" spans="7:8">
      <c r="G33" s="62"/>
      <c r="H33" s="63"/>
    </row>
    <row r="34" spans="7:8">
      <c r="G34" s="62"/>
      <c r="H34" s="63"/>
    </row>
    <row r="35" spans="7:8">
      <c r="G35" s="64"/>
      <c r="H35" s="63"/>
    </row>
    <row r="36" spans="7:8">
      <c r="G36" s="65"/>
      <c r="H36" s="63"/>
    </row>
    <row r="37" spans="7:8">
      <c r="G37" s="65"/>
      <c r="H37" s="63"/>
    </row>
  </sheetData>
  <autoFilter ref="A3:S5" xr:uid="{00000000-0009-0000-0000-00000D000000}"/>
  <mergeCells count="18">
    <mergeCell ref="Q1:Q3"/>
    <mergeCell ref="R1:R3"/>
    <mergeCell ref="S1:S3"/>
    <mergeCell ref="G1:G3"/>
    <mergeCell ref="K1:K3"/>
    <mergeCell ref="L1:L3"/>
    <mergeCell ref="O1:O3"/>
    <mergeCell ref="P1:P3"/>
    <mergeCell ref="I1:I3"/>
    <mergeCell ref="J1:J3"/>
    <mergeCell ref="M1:M3"/>
    <mergeCell ref="N1:N3"/>
    <mergeCell ref="H1:H3"/>
    <mergeCell ref="B1:B3"/>
    <mergeCell ref="C1:C3"/>
    <mergeCell ref="D1:D3"/>
    <mergeCell ref="E1:E3"/>
    <mergeCell ref="F1:F3"/>
  </mergeCells>
  <phoneticPr fontId="285" type="noConversion"/>
  <pageMargins left="0.25" right="0" top="0.5" bottom="0.5" header="0.3" footer="0.2"/>
  <pageSetup paperSize="9" scale="50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40"/>
  <sheetViews>
    <sheetView view="pageBreakPreview" zoomScale="110" zoomScaleNormal="66" zoomScaleSheetLayoutView="110" workbookViewId="0">
      <pane xSplit="6" ySplit="3" topLeftCell="G4" activePane="bottomRight" state="frozen"/>
      <selection activeCell="C13" sqref="C13"/>
      <selection pane="topRight" activeCell="C13" sqref="C13"/>
      <selection pane="bottomLeft" activeCell="C13" sqref="C13"/>
      <selection pane="bottomRight" activeCell="K23" sqref="K23"/>
    </sheetView>
  </sheetViews>
  <sheetFormatPr baseColWidth="10" defaultColWidth="13.5" defaultRowHeight="14" outlineLevelCol="1"/>
  <cols>
    <col min="1" max="1" width="11.5" style="66" customWidth="1"/>
    <col min="2" max="2" width="17" style="2" customWidth="1"/>
    <col min="3" max="3" width="18.5" style="3" customWidth="1"/>
    <col min="4" max="4" width="17.33203125" style="3" customWidth="1"/>
    <col min="5" max="5" width="13.6640625" style="3" customWidth="1"/>
    <col min="6" max="6" width="18.6640625" style="66" customWidth="1"/>
    <col min="7" max="7" width="11.33203125" style="4" customWidth="1"/>
    <col min="8" max="8" width="8.6640625" style="3" customWidth="1"/>
    <col min="9" max="9" width="16.5" style="3" customWidth="1"/>
    <col min="10" max="12" width="11.6640625" style="3" customWidth="1" outlineLevel="1"/>
    <col min="13" max="13" width="17.6640625" style="3" customWidth="1" outlineLevel="1"/>
    <col min="14" max="14" width="11.6640625" style="3" customWidth="1" outlineLevel="1"/>
    <col min="15" max="15" width="14.83203125" style="3" customWidth="1" outlineLevel="1"/>
    <col min="16" max="16" width="15.5" style="3" customWidth="1"/>
    <col min="17" max="17" width="10.1640625" style="3" hidden="1" customWidth="1"/>
    <col min="18" max="18" width="28.6640625" style="3" hidden="1" customWidth="1"/>
    <col min="19" max="19" width="0" style="3" hidden="1" customWidth="1"/>
    <col min="20" max="16384" width="13.5" style="3"/>
  </cols>
  <sheetData>
    <row r="1" spans="1:19" s="66" customFormat="1" ht="21.75" customHeight="1">
      <c r="A1" s="336" t="s">
        <v>12</v>
      </c>
      <c r="B1" s="339" t="s">
        <v>27</v>
      </c>
      <c r="C1" s="339" t="s">
        <v>11</v>
      </c>
      <c r="D1" s="339" t="s">
        <v>44</v>
      </c>
      <c r="E1" s="339" t="s">
        <v>51</v>
      </c>
      <c r="F1" s="344" t="s">
        <v>226</v>
      </c>
      <c r="G1" s="339" t="s">
        <v>39</v>
      </c>
      <c r="H1" s="336" t="s">
        <v>40</v>
      </c>
      <c r="I1" s="339" t="s">
        <v>222</v>
      </c>
      <c r="J1" s="342" t="s">
        <v>223</v>
      </c>
      <c r="K1" s="336" t="s">
        <v>224</v>
      </c>
      <c r="L1" s="336" t="s">
        <v>30</v>
      </c>
      <c r="M1" s="336" t="s">
        <v>41</v>
      </c>
      <c r="N1" s="336" t="s">
        <v>42</v>
      </c>
      <c r="O1" s="336" t="s">
        <v>43</v>
      </c>
      <c r="P1" s="339" t="s">
        <v>225</v>
      </c>
    </row>
    <row r="2" spans="1:19" s="2" customFormat="1" ht="33.75" customHeight="1">
      <c r="A2" s="337"/>
      <c r="B2" s="333"/>
      <c r="C2" s="333"/>
      <c r="D2" s="333"/>
      <c r="E2" s="333"/>
      <c r="F2" s="345"/>
      <c r="G2" s="340"/>
      <c r="H2" s="337"/>
      <c r="I2" s="340"/>
      <c r="J2" s="342"/>
      <c r="K2" s="337"/>
      <c r="L2" s="337"/>
      <c r="M2" s="337"/>
      <c r="N2" s="337"/>
      <c r="O2" s="337"/>
      <c r="P2" s="340"/>
    </row>
    <row r="3" spans="1:19" s="2" customFormat="1" ht="27" customHeight="1">
      <c r="A3" s="338"/>
      <c r="B3" s="334"/>
      <c r="C3" s="334"/>
      <c r="D3" s="334"/>
      <c r="E3" s="334"/>
      <c r="F3" s="346"/>
      <c r="G3" s="341"/>
      <c r="H3" s="338"/>
      <c r="I3" s="341"/>
      <c r="J3" s="343"/>
      <c r="K3" s="338"/>
      <c r="L3" s="338"/>
      <c r="M3" s="338"/>
      <c r="N3" s="338"/>
      <c r="O3" s="338"/>
      <c r="P3" s="341"/>
    </row>
    <row r="4" spans="1:19" s="1" customFormat="1" ht="23.25" customHeight="1">
      <c r="A4" s="21"/>
      <c r="B4" s="67" t="s">
        <v>160</v>
      </c>
      <c r="C4" s="68" t="s">
        <v>197</v>
      </c>
      <c r="D4" s="30"/>
      <c r="E4" s="30">
        <v>45740</v>
      </c>
      <c r="F4" s="23">
        <f t="shared" ref="F4:F10" si="0">IF(OR(P4=26,P4=26),26,P4)</f>
        <v>0</v>
      </c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9" s="1" customFormat="1" ht="23.25" customHeight="1">
      <c r="A5" s="29"/>
      <c r="B5" s="67" t="s">
        <v>182</v>
      </c>
      <c r="C5" s="68" t="s">
        <v>198</v>
      </c>
      <c r="D5" s="69"/>
      <c r="E5" s="31">
        <v>45738</v>
      </c>
      <c r="F5" s="23">
        <f t="shared" si="0"/>
        <v>0</v>
      </c>
      <c r="G5" s="178"/>
      <c r="H5" s="178"/>
      <c r="I5" s="178"/>
      <c r="J5" s="178"/>
      <c r="K5" s="178"/>
      <c r="L5" s="178"/>
      <c r="M5" s="178"/>
      <c r="N5" s="178"/>
      <c r="O5" s="178"/>
      <c r="P5" s="178"/>
      <c r="S5" s="1" t="e">
        <f>VLOOKUP(B5,[21]Timetable_T03!$B$9:$AS$19,44,0)</f>
        <v>#N/A</v>
      </c>
    </row>
    <row r="6" spans="1:19" s="1" customFormat="1" ht="23.25" customHeight="1">
      <c r="A6" s="28"/>
      <c r="B6" s="27"/>
      <c r="C6" s="22"/>
      <c r="D6" s="32"/>
      <c r="E6" s="32"/>
      <c r="F6" s="23">
        <f t="shared" si="0"/>
        <v>0</v>
      </c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9" s="1" customFormat="1" ht="23.25" customHeight="1">
      <c r="A7" s="33"/>
      <c r="B7" s="34"/>
      <c r="C7" s="35"/>
      <c r="D7" s="36"/>
      <c r="E7" s="36"/>
      <c r="F7" s="23">
        <f t="shared" si="0"/>
        <v>0</v>
      </c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9" s="1" customFormat="1" ht="23.25" customHeight="1">
      <c r="A8" s="33"/>
      <c r="B8" s="34"/>
      <c r="C8" s="35"/>
      <c r="D8" s="36"/>
      <c r="E8" s="36"/>
      <c r="F8" s="23">
        <f t="shared" si="0"/>
        <v>0</v>
      </c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9" s="1" customFormat="1" ht="24" customHeight="1">
      <c r="A9" s="21"/>
      <c r="B9" s="27"/>
      <c r="C9" s="22"/>
      <c r="D9" s="30"/>
      <c r="E9" s="30"/>
      <c r="F9" s="23">
        <f t="shared" si="0"/>
        <v>0</v>
      </c>
      <c r="G9" s="178"/>
      <c r="H9" s="178"/>
      <c r="I9" s="178"/>
      <c r="J9" s="178"/>
      <c r="K9" s="178"/>
      <c r="L9" s="178"/>
      <c r="M9" s="178"/>
      <c r="N9" s="178"/>
      <c r="O9" s="178"/>
      <c r="P9" s="178"/>
    </row>
    <row r="10" spans="1:19" s="1" customFormat="1" ht="22.5" customHeight="1">
      <c r="A10" s="21"/>
      <c r="B10" s="27"/>
      <c r="C10" s="22"/>
      <c r="D10" s="30"/>
      <c r="E10" s="30"/>
      <c r="F10" s="23">
        <f t="shared" si="0"/>
        <v>0</v>
      </c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2" spans="1:19" s="4" customFormat="1">
      <c r="A12" s="2"/>
      <c r="B12" s="2"/>
      <c r="F12" s="2"/>
    </row>
    <row r="13" spans="1:19" s="4" customFormat="1">
      <c r="A13" s="2"/>
      <c r="B13" s="2"/>
      <c r="F13" s="2"/>
    </row>
    <row r="14" spans="1:19" customFormat="1" ht="28.5" customHeight="1">
      <c r="B14" s="163" t="s">
        <v>131</v>
      </c>
      <c r="C14" s="139"/>
      <c r="D14" s="139"/>
      <c r="E14" s="139"/>
      <c r="F14" s="54"/>
      <c r="G14" s="6"/>
      <c r="H14" s="6"/>
      <c r="I14" s="6"/>
      <c r="J14" s="179"/>
      <c r="N14" s="58"/>
      <c r="Q14" s="54"/>
      <c r="R14" s="54"/>
      <c r="S14" s="54"/>
    </row>
    <row r="15" spans="1:19" customFormat="1" ht="19">
      <c r="B15" s="164" t="s">
        <v>37</v>
      </c>
      <c r="C15" s="59" t="s">
        <v>130</v>
      </c>
      <c r="D15" s="60"/>
      <c r="E15" s="60"/>
      <c r="F15" s="54"/>
      <c r="G15" s="6"/>
      <c r="H15" s="6"/>
      <c r="I15" s="6"/>
      <c r="J15" s="179"/>
      <c r="N15" s="58"/>
      <c r="Q15" s="54"/>
      <c r="R15" s="54"/>
      <c r="S15" s="54"/>
    </row>
    <row r="16" spans="1:19" customFormat="1" ht="19">
      <c r="B16" s="164" t="s">
        <v>85</v>
      </c>
      <c r="C16" s="59" t="s">
        <v>86</v>
      </c>
      <c r="D16" s="60"/>
      <c r="E16" s="60"/>
      <c r="F16" s="54"/>
      <c r="G16" s="6"/>
      <c r="H16" s="6"/>
      <c r="I16" s="6"/>
      <c r="J16" s="179"/>
      <c r="N16" s="58"/>
      <c r="Q16" s="54"/>
      <c r="R16" s="54"/>
      <c r="S16" s="54"/>
    </row>
    <row r="17" spans="2:19" customFormat="1" ht="19">
      <c r="B17" s="164" t="s">
        <v>38</v>
      </c>
      <c r="C17" s="59" t="s">
        <v>87</v>
      </c>
      <c r="D17" s="60"/>
      <c r="E17" s="60"/>
      <c r="F17" s="54"/>
      <c r="G17" s="6"/>
      <c r="H17" s="6"/>
      <c r="I17" s="6"/>
      <c r="J17" s="179"/>
      <c r="N17" s="58"/>
      <c r="Q17" s="54"/>
      <c r="R17" s="54"/>
      <c r="S17" s="54"/>
    </row>
    <row r="18" spans="2:19" customFormat="1" ht="19">
      <c r="B18" s="164" t="s">
        <v>56</v>
      </c>
      <c r="C18" s="59" t="s">
        <v>88</v>
      </c>
      <c r="D18" s="60"/>
      <c r="E18" s="60"/>
      <c r="F18" s="54"/>
      <c r="G18" s="6"/>
      <c r="H18" s="6"/>
      <c r="I18" s="6"/>
      <c r="J18" s="179"/>
      <c r="N18" s="58"/>
      <c r="Q18" s="54"/>
      <c r="R18" s="54"/>
      <c r="S18" s="54"/>
    </row>
    <row r="19" spans="2:19" customFormat="1" ht="19">
      <c r="B19" s="164" t="s">
        <v>74</v>
      </c>
      <c r="C19" s="59" t="s">
        <v>89</v>
      </c>
      <c r="D19" s="60"/>
      <c r="E19" s="60"/>
      <c r="F19" s="54"/>
      <c r="G19" s="6"/>
      <c r="H19" s="6"/>
      <c r="I19" s="6"/>
      <c r="J19" s="179"/>
      <c r="N19" s="58"/>
      <c r="Q19" s="54"/>
      <c r="R19" s="54"/>
      <c r="S19" s="54"/>
    </row>
    <row r="20" spans="2:19" customFormat="1" ht="19">
      <c r="B20" s="164" t="s">
        <v>61</v>
      </c>
      <c r="C20" s="59" t="s">
        <v>90</v>
      </c>
      <c r="D20" s="60"/>
      <c r="E20" s="60"/>
      <c r="F20" s="54"/>
      <c r="G20" s="6"/>
      <c r="H20" s="6"/>
      <c r="I20" s="6"/>
      <c r="J20" s="179"/>
      <c r="N20" s="58"/>
      <c r="Q20" s="54"/>
      <c r="R20" s="54"/>
      <c r="S20" s="54"/>
    </row>
    <row r="21" spans="2:19" customFormat="1" ht="19">
      <c r="B21" s="164" t="s">
        <v>58</v>
      </c>
      <c r="C21" s="59" t="s">
        <v>91</v>
      </c>
      <c r="D21" s="60"/>
      <c r="E21" s="60"/>
      <c r="F21" s="54"/>
      <c r="G21" s="6"/>
      <c r="H21" s="6"/>
      <c r="I21" s="6"/>
      <c r="J21" s="179"/>
      <c r="N21" s="58"/>
      <c r="Q21" s="54"/>
      <c r="R21" s="54"/>
      <c r="S21" s="54"/>
    </row>
    <row r="22" spans="2:19" customFormat="1" ht="19">
      <c r="B22" s="164" t="s">
        <v>84</v>
      </c>
      <c r="C22" s="59" t="s">
        <v>92</v>
      </c>
      <c r="D22" s="60"/>
      <c r="E22" s="60"/>
      <c r="F22" s="54"/>
      <c r="G22" s="6"/>
      <c r="H22" s="6"/>
      <c r="I22" s="6"/>
      <c r="J22" s="179"/>
      <c r="N22" s="58"/>
      <c r="Q22" s="54"/>
      <c r="R22" s="54"/>
      <c r="S22" s="54"/>
    </row>
    <row r="23" spans="2:19" customFormat="1" ht="19">
      <c r="B23" s="164" t="s">
        <v>57</v>
      </c>
      <c r="C23" s="59" t="s">
        <v>93</v>
      </c>
      <c r="D23" s="60"/>
      <c r="E23" s="60"/>
      <c r="F23" s="54"/>
      <c r="G23" s="6"/>
      <c r="H23" s="6"/>
      <c r="I23" s="6"/>
      <c r="J23" s="179"/>
      <c r="N23" s="58"/>
      <c r="Q23" s="54"/>
      <c r="R23" s="54"/>
      <c r="S23" s="54"/>
    </row>
    <row r="24" spans="2:19" customFormat="1" ht="19">
      <c r="B24" s="164" t="s">
        <v>34</v>
      </c>
      <c r="C24" s="59" t="s">
        <v>62</v>
      </c>
      <c r="D24" s="60"/>
      <c r="E24" s="60"/>
      <c r="F24" s="54"/>
      <c r="G24" s="6"/>
      <c r="H24" s="6"/>
      <c r="I24" s="6"/>
      <c r="J24" s="179"/>
      <c r="N24" s="58"/>
      <c r="Q24" s="54"/>
      <c r="R24" s="54"/>
      <c r="S24" s="54"/>
    </row>
    <row r="25" spans="2:19" customFormat="1" ht="19">
      <c r="B25" s="164" t="s">
        <v>60</v>
      </c>
      <c r="C25" s="59" t="s">
        <v>63</v>
      </c>
      <c r="D25" s="60"/>
      <c r="E25" s="60"/>
      <c r="F25" s="54"/>
      <c r="G25" s="6"/>
      <c r="H25" s="6"/>
      <c r="I25" s="6"/>
      <c r="J25" s="179"/>
      <c r="N25" s="58"/>
      <c r="Q25" s="54"/>
      <c r="R25" s="54"/>
      <c r="S25" s="54"/>
    </row>
    <row r="26" spans="2:19" customFormat="1" ht="22.5" customHeight="1">
      <c r="B26" s="164" t="s">
        <v>64</v>
      </c>
      <c r="C26" s="59" t="s">
        <v>65</v>
      </c>
      <c r="D26" s="60"/>
      <c r="E26" s="60"/>
      <c r="F26" s="54"/>
      <c r="G26" s="6"/>
      <c r="H26" s="6"/>
      <c r="I26" s="6"/>
      <c r="J26" s="179"/>
      <c r="N26" s="58"/>
      <c r="Q26" s="54"/>
      <c r="R26" s="54"/>
      <c r="S26" s="54"/>
    </row>
    <row r="27" spans="2:19" customFormat="1" ht="22.5" customHeight="1">
      <c r="B27" s="164" t="s">
        <v>66</v>
      </c>
      <c r="C27" s="59" t="s">
        <v>67</v>
      </c>
      <c r="D27" s="60"/>
      <c r="E27" s="60"/>
      <c r="F27" s="54"/>
      <c r="G27" s="6"/>
      <c r="H27" s="6"/>
      <c r="I27" s="6"/>
      <c r="J27" s="179"/>
      <c r="N27" s="58"/>
      <c r="Q27" s="54"/>
      <c r="R27" s="54"/>
      <c r="S27" s="54"/>
    </row>
    <row r="28" spans="2:19" customFormat="1" ht="22.5" customHeight="1">
      <c r="B28" s="164" t="s">
        <v>35</v>
      </c>
      <c r="C28" s="59" t="s">
        <v>94</v>
      </c>
      <c r="D28" s="60"/>
      <c r="E28" s="60"/>
      <c r="F28" s="54"/>
      <c r="G28" s="6"/>
      <c r="H28" s="6"/>
      <c r="I28" s="6"/>
      <c r="J28" s="179"/>
      <c r="N28" s="58"/>
      <c r="Q28" s="54"/>
      <c r="R28" s="54"/>
      <c r="S28" s="54"/>
    </row>
    <row r="29" spans="2:19" customFormat="1" ht="22.5" customHeight="1">
      <c r="B29" s="164" t="s">
        <v>36</v>
      </c>
      <c r="C29" s="59" t="s">
        <v>95</v>
      </c>
      <c r="D29" s="60"/>
      <c r="E29" s="60"/>
      <c r="F29" s="54"/>
      <c r="G29" s="6"/>
      <c r="H29" s="6"/>
      <c r="I29" s="6"/>
      <c r="J29" s="179"/>
      <c r="N29" s="58"/>
      <c r="Q29" s="54"/>
      <c r="R29" s="54"/>
      <c r="S29" s="54"/>
    </row>
    <row r="30" spans="2:19" customFormat="1" ht="19">
      <c r="F30" s="54"/>
      <c r="G30" s="6"/>
      <c r="H30" s="6"/>
      <c r="I30" s="6"/>
      <c r="J30" s="179"/>
      <c r="N30" s="58"/>
      <c r="Q30" s="54"/>
      <c r="R30" s="54"/>
      <c r="S30" s="54"/>
    </row>
    <row r="31" spans="2:19" customFormat="1" ht="19">
      <c r="B31" s="53"/>
      <c r="F31" s="54"/>
      <c r="G31" s="6"/>
      <c r="H31" s="6"/>
      <c r="I31" s="6"/>
      <c r="J31" s="179"/>
      <c r="N31" s="58"/>
      <c r="Q31" s="54"/>
      <c r="R31" s="54"/>
      <c r="S31" s="54"/>
    </row>
    <row r="32" spans="2:19" customFormat="1" ht="18" customHeight="1">
      <c r="F32" s="54"/>
      <c r="G32" s="6"/>
      <c r="H32" s="6"/>
      <c r="I32" s="6"/>
      <c r="J32" s="179"/>
      <c r="N32" s="58"/>
      <c r="Q32" s="54"/>
      <c r="R32" s="54"/>
      <c r="S32" s="54"/>
    </row>
    <row r="33" spans="6:20" customFormat="1" ht="17.25" customHeight="1">
      <c r="F33" s="54"/>
      <c r="G33" s="6"/>
      <c r="H33" s="6"/>
      <c r="I33" s="6"/>
      <c r="J33" s="179"/>
      <c r="N33" s="58"/>
      <c r="Q33" s="54"/>
      <c r="R33" s="54"/>
      <c r="S33" s="54"/>
    </row>
    <row r="34" spans="6:20" customFormat="1" ht="38.25" customHeight="1">
      <c r="F34" s="54"/>
      <c r="G34" s="6"/>
      <c r="H34" s="6"/>
      <c r="I34" s="6"/>
      <c r="J34" s="179"/>
      <c r="N34" s="58"/>
      <c r="Q34" s="54"/>
      <c r="R34" s="54"/>
      <c r="S34" s="54"/>
    </row>
    <row r="35" spans="6:20" customFormat="1" ht="19">
      <c r="F35" s="54"/>
      <c r="G35" s="6"/>
      <c r="H35" s="6"/>
      <c r="I35" s="6"/>
      <c r="J35" s="179"/>
      <c r="N35" s="58"/>
      <c r="Q35" s="54"/>
      <c r="R35" s="54"/>
      <c r="S35" s="54"/>
    </row>
    <row r="36" spans="6:20" customFormat="1" ht="19">
      <c r="F36" s="54"/>
      <c r="G36" s="6"/>
      <c r="H36" s="6"/>
      <c r="I36" s="6"/>
      <c r="J36" s="179"/>
      <c r="N36" s="58"/>
      <c r="Q36" s="54"/>
      <c r="R36" s="54"/>
      <c r="S36" s="54"/>
    </row>
    <row r="37" spans="6:20" customFormat="1" ht="19">
      <c r="F37" s="54"/>
      <c r="G37" s="6"/>
      <c r="H37" s="6"/>
      <c r="I37" s="6"/>
      <c r="J37" s="179"/>
      <c r="N37" s="58"/>
      <c r="Q37" s="54"/>
      <c r="R37" s="54"/>
      <c r="S37" s="54"/>
    </row>
    <row r="38" spans="6:20" customFormat="1" ht="19">
      <c r="F38" s="54"/>
      <c r="G38" s="6"/>
      <c r="H38" s="6"/>
      <c r="I38" s="6"/>
      <c r="J38" s="179"/>
      <c r="N38" s="58"/>
      <c r="Q38" s="54"/>
      <c r="R38" s="54"/>
      <c r="S38" s="54"/>
    </row>
    <row r="39" spans="6:20" customFormat="1" ht="19">
      <c r="F39" s="181"/>
      <c r="G39" s="6"/>
      <c r="H39" s="6"/>
      <c r="I39" s="6"/>
      <c r="J39" s="71"/>
      <c r="N39" s="58"/>
      <c r="Q39" s="181"/>
      <c r="R39" s="181"/>
      <c r="S39" s="181"/>
      <c r="T39" s="182"/>
    </row>
    <row r="40" spans="6:20" customFormat="1" ht="19">
      <c r="F40" s="181"/>
      <c r="G40" s="6"/>
      <c r="H40" s="6"/>
      <c r="I40" s="6"/>
      <c r="J40" s="70"/>
      <c r="N40" s="58"/>
      <c r="Q40" s="181"/>
      <c r="R40" s="181"/>
      <c r="S40" s="181"/>
      <c r="T40" s="182"/>
    </row>
  </sheetData>
  <mergeCells count="16">
    <mergeCell ref="A1:A3"/>
    <mergeCell ref="B1:B3"/>
    <mergeCell ref="C1:C3"/>
    <mergeCell ref="D1:D3"/>
    <mergeCell ref="P1:P3"/>
    <mergeCell ref="O1:O3"/>
    <mergeCell ref="N1:N3"/>
    <mergeCell ref="M1:M3"/>
    <mergeCell ref="E1:E3"/>
    <mergeCell ref="I1:I3"/>
    <mergeCell ref="G1:G3"/>
    <mergeCell ref="L1:L3"/>
    <mergeCell ref="K1:K3"/>
    <mergeCell ref="J1:J3"/>
    <mergeCell ref="H1:H3"/>
    <mergeCell ref="F1:F3"/>
  </mergeCells>
  <conditionalFormatting sqref="B1:B3">
    <cfRule type="duplicateValues" dxfId="87" priority="1"/>
  </conditionalFormatting>
  <conditionalFormatting sqref="B4:B10">
    <cfRule type="duplicateValues" dxfId="86" priority="1327759"/>
    <cfRule type="duplicateValues" dxfId="85" priority="1327758"/>
    <cfRule type="duplicateValues" dxfId="84" priority="1327757"/>
  </conditionalFormatting>
  <conditionalFormatting sqref="B14:B40">
    <cfRule type="duplicateValues" dxfId="83" priority="1327643"/>
    <cfRule type="duplicateValues" dxfId="82" priority="1327649"/>
    <cfRule type="duplicateValues" dxfId="81" priority="1327644"/>
    <cfRule type="duplicateValues" dxfId="80" priority="1327642"/>
    <cfRule type="duplicateValues" dxfId="79" priority="1327648"/>
  </conditionalFormatting>
  <conditionalFormatting sqref="B30">
    <cfRule type="duplicateValues" dxfId="78" priority="14"/>
  </conditionalFormatting>
  <conditionalFormatting sqref="B30:B40">
    <cfRule type="duplicateValues" dxfId="77" priority="21"/>
    <cfRule type="duplicateValues" dxfId="76" priority="23"/>
    <cfRule type="duplicateValues" dxfId="75" priority="20"/>
    <cfRule type="duplicateValues" dxfId="74" priority="17"/>
    <cfRule type="duplicateValues" dxfId="73" priority="22"/>
  </conditionalFormatting>
  <conditionalFormatting sqref="B31">
    <cfRule type="duplicateValues" dxfId="72" priority="15"/>
    <cfRule type="duplicateValues" dxfId="71" priority="16"/>
  </conditionalFormatting>
  <conditionalFormatting sqref="B41:B1048576 B11:B13">
    <cfRule type="duplicateValues" dxfId="70" priority="1327639"/>
  </conditionalFormatting>
  <conditionalFormatting sqref="C14:C29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C14)+COUNTIF(#REF!, C14)&gt;1,NOT(ISBLANK(C14)))</formula>
    </cfRule>
  </conditionalFormatting>
  <conditionalFormatting sqref="D14">
    <cfRule type="duplicateValues" dxfId="61" priority="5"/>
    <cfRule type="duplicateValues" dxfId="60" priority="3"/>
    <cfRule type="duplicateValues" dxfId="59" priority="4"/>
  </conditionalFormatting>
  <dataValidations count="1">
    <dataValidation allowBlank="1" showErrorMessage="1" sqref="B4:C5" xr:uid="{00000000-0002-0000-0E00-000001000000}"/>
  </dataValidations>
  <pageMargins left="0.5" right="0" top="0.48" bottom="0.28000000000000003" header="0.3" footer="0.16"/>
  <pageSetup paperSize="9" scale="50" orientation="landscape" r:id="rId1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S10"/>
  <sheetViews>
    <sheetView workbookViewId="0">
      <selection activeCell="G42" sqref="G42"/>
    </sheetView>
  </sheetViews>
  <sheetFormatPr baseColWidth="10" defaultRowHeight="13"/>
  <sheetData>
    <row r="1" spans="1:19" ht="14">
      <c r="A1" s="349" t="s">
        <v>27</v>
      </c>
      <c r="B1" s="351" t="s">
        <v>28</v>
      </c>
      <c r="C1" s="353" t="s">
        <v>51</v>
      </c>
      <c r="D1" s="354" t="s">
        <v>183</v>
      </c>
      <c r="E1" s="192" t="s">
        <v>227</v>
      </c>
      <c r="F1" s="192" t="s">
        <v>228</v>
      </c>
      <c r="G1" s="193" t="s">
        <v>229</v>
      </c>
      <c r="H1" s="193" t="s">
        <v>230</v>
      </c>
      <c r="I1" s="193" t="s">
        <v>231</v>
      </c>
      <c r="J1" s="194" t="s">
        <v>232</v>
      </c>
      <c r="K1" s="192" t="s">
        <v>233</v>
      </c>
      <c r="L1" s="192" t="s">
        <v>234</v>
      </c>
      <c r="M1" s="192" t="s">
        <v>235</v>
      </c>
      <c r="N1" s="192" t="s">
        <v>236</v>
      </c>
      <c r="O1" s="192" t="s">
        <v>237</v>
      </c>
      <c r="P1" s="192" t="s">
        <v>238</v>
      </c>
      <c r="Q1" s="347" t="s">
        <v>48</v>
      </c>
      <c r="R1" s="347" t="s">
        <v>25</v>
      </c>
      <c r="S1" s="347" t="s">
        <v>26</v>
      </c>
    </row>
    <row r="2" spans="1:19">
      <c r="A2" s="350"/>
      <c r="B2" s="352"/>
      <c r="C2" s="353"/>
      <c r="D2" s="355"/>
      <c r="E2" s="186">
        <v>1.5</v>
      </c>
      <c r="F2" s="186">
        <v>2.15</v>
      </c>
      <c r="G2" s="186">
        <v>2</v>
      </c>
      <c r="H2" s="186">
        <v>2.8</v>
      </c>
      <c r="I2" s="186">
        <v>3</v>
      </c>
      <c r="J2" s="186">
        <v>4.0999999999999996</v>
      </c>
      <c r="K2" s="186">
        <v>1.5</v>
      </c>
      <c r="L2" s="186">
        <v>2.15</v>
      </c>
      <c r="M2" s="186">
        <v>2</v>
      </c>
      <c r="N2" s="186">
        <v>2.8</v>
      </c>
      <c r="O2" s="186">
        <v>3</v>
      </c>
      <c r="P2" s="186">
        <v>4.0999999999999996</v>
      </c>
      <c r="Q2" s="348"/>
      <c r="R2" s="348"/>
      <c r="S2" s="348"/>
    </row>
    <row r="3" spans="1:19" ht="16">
      <c r="A3" s="195" t="s">
        <v>180</v>
      </c>
      <c r="B3" s="166" t="s">
        <v>191</v>
      </c>
      <c r="C3" s="196">
        <v>43466</v>
      </c>
      <c r="D3" s="197">
        <f>VLOOKUP(A3,'Template Payroll'!$B$5:$J$5,9,0)</f>
        <v>47000000</v>
      </c>
      <c r="E3" s="198">
        <v>0</v>
      </c>
      <c r="F3" s="199">
        <v>0</v>
      </c>
      <c r="G3" s="199">
        <v>0</v>
      </c>
      <c r="H3" s="199">
        <v>0</v>
      </c>
      <c r="I3" s="199"/>
      <c r="J3" s="199"/>
      <c r="K3" s="200">
        <f>ROUND(D3/26/8*$K2*E3,0)</f>
        <v>0</v>
      </c>
      <c r="L3" s="200">
        <f>ROUND(D3/26/8*$L2*F3,0)</f>
        <v>0</v>
      </c>
      <c r="M3" s="200">
        <f>ROUND(D3/26/8*$M2*G3,0)</f>
        <v>0</v>
      </c>
      <c r="N3" s="200">
        <f>ROUND(D3/26/8*$N2*H3,0)</f>
        <v>0</v>
      </c>
      <c r="O3" s="200">
        <f>ROUND(D3/26/8*$O2*I3,0)</f>
        <v>0</v>
      </c>
      <c r="P3" s="200">
        <f>ROUND(D3/26/8*$P2*J3,0)</f>
        <v>0</v>
      </c>
      <c r="Q3" s="201">
        <f>ROUND(SUM(K3:P3),0)</f>
        <v>0</v>
      </c>
      <c r="R3" s="202">
        <f>ROUND(SUM(E3:J3)*D3/26/8,0)</f>
        <v>0</v>
      </c>
      <c r="S3" s="203">
        <f>ROUND(Q3-R3,0)</f>
        <v>0</v>
      </c>
    </row>
    <row r="4" spans="1:19" ht="16">
      <c r="A4" s="187" t="s">
        <v>181</v>
      </c>
      <c r="B4" s="55" t="s">
        <v>192</v>
      </c>
      <c r="C4" s="188">
        <v>43831</v>
      </c>
      <c r="D4" s="184">
        <f>VLOOKUP(A4,'[20]Template Payroll'!$B$6:$J$18,9,0)</f>
        <v>31000000</v>
      </c>
      <c r="E4" s="185">
        <v>0</v>
      </c>
      <c r="F4" s="185">
        <v>6</v>
      </c>
      <c r="G4" s="185">
        <v>0</v>
      </c>
      <c r="H4" s="185">
        <v>0</v>
      </c>
      <c r="I4" s="185">
        <v>6</v>
      </c>
      <c r="J4" s="185">
        <v>2</v>
      </c>
      <c r="K4" s="189">
        <f t="shared" ref="K4:K10" ca="1" si="0">ROUND(D4/26/8*$K$5*E4,0)</f>
        <v>0</v>
      </c>
      <c r="L4" s="189">
        <f t="shared" ref="L4:L10" ca="1" si="1">ROUND(D4/26/8*$L$5*F4,0)</f>
        <v>1922596</v>
      </c>
      <c r="M4" s="189">
        <f t="shared" ref="M4:M10" ca="1" si="2">ROUND(D4/26/8*$M$5*G4,0)</f>
        <v>0</v>
      </c>
      <c r="N4" s="189">
        <f t="shared" ref="N4:N10" ca="1" si="3">ROUND(D4/26/8*$N$5*H4,0)</f>
        <v>0</v>
      </c>
      <c r="O4" s="189">
        <f t="shared" ref="O4:O10" ca="1" si="4">ROUND(D4/26/8*$O$5*I4,0)</f>
        <v>2682692</v>
      </c>
      <c r="P4" s="189">
        <f t="shared" ref="P4:P10" ca="1" si="5">ROUND(D4/26/8*$P$5*J4,0)</f>
        <v>1222115</v>
      </c>
      <c r="Q4" s="190">
        <f ca="1">ROUND(SUM(K4:P4),0)</f>
        <v>5827403</v>
      </c>
      <c r="R4" s="79">
        <f>ROUND(SUM(E4:J4)*D4/26/8,0)</f>
        <v>2086538</v>
      </c>
      <c r="S4" s="191">
        <f ca="1">ROUND(Q4-R4,0)</f>
        <v>3740865</v>
      </c>
    </row>
    <row r="5" spans="1:19" ht="16">
      <c r="A5" s="187" t="s">
        <v>158</v>
      </c>
      <c r="B5" s="55" t="s">
        <v>193</v>
      </c>
      <c r="C5" s="188">
        <v>44197</v>
      </c>
      <c r="D5" s="184">
        <f>VLOOKUP(A5,'[20]Template Payroll'!$B$6:$J$18,9,0)</f>
        <v>10448000</v>
      </c>
      <c r="E5" s="185">
        <v>0.5</v>
      </c>
      <c r="F5" s="185">
        <v>2.5</v>
      </c>
      <c r="G5" s="185">
        <v>0</v>
      </c>
      <c r="H5" s="185">
        <v>0</v>
      </c>
      <c r="I5" s="185">
        <v>0</v>
      </c>
      <c r="J5" s="185">
        <v>0</v>
      </c>
      <c r="K5" s="189">
        <f t="shared" ca="1" si="0"/>
        <v>37673</v>
      </c>
      <c r="L5" s="189">
        <f t="shared" ca="1" si="1"/>
        <v>269990</v>
      </c>
      <c r="M5" s="189">
        <f t="shared" ca="1" si="2"/>
        <v>0</v>
      </c>
      <c r="N5" s="189">
        <f t="shared" ca="1" si="3"/>
        <v>0</v>
      </c>
      <c r="O5" s="189">
        <f t="shared" ca="1" si="4"/>
        <v>0</v>
      </c>
      <c r="P5" s="189">
        <f t="shared" ca="1" si="5"/>
        <v>0</v>
      </c>
      <c r="Q5" s="190">
        <f t="shared" ref="Q5:Q10" ca="1" si="6">ROUND(SUM(K5:P5),0)</f>
        <v>307663</v>
      </c>
      <c r="R5" s="79">
        <f t="shared" ref="R5:R9" si="7">ROUND(SUM(E5:J5)*D5/26/8,0)</f>
        <v>150692</v>
      </c>
      <c r="S5" s="191">
        <f t="shared" ref="S5:S9" ca="1" si="8">ROUND(Q5-R5,0)</f>
        <v>156971</v>
      </c>
    </row>
    <row r="6" spans="1:19" ht="16">
      <c r="A6" s="187" t="s">
        <v>159</v>
      </c>
      <c r="B6" s="55" t="s">
        <v>194</v>
      </c>
      <c r="C6" s="188">
        <v>44562</v>
      </c>
      <c r="D6" s="184">
        <f>VLOOKUP(A6,'[20]Template Payroll'!$B$6:$J$18,9,0)</f>
        <v>8000000</v>
      </c>
      <c r="E6" s="185">
        <v>0</v>
      </c>
      <c r="F6" s="185">
        <v>0</v>
      </c>
      <c r="G6" s="185">
        <v>0</v>
      </c>
      <c r="H6" s="185">
        <v>0</v>
      </c>
      <c r="I6" s="185">
        <v>7</v>
      </c>
      <c r="J6" s="185">
        <v>1</v>
      </c>
      <c r="K6" s="189">
        <f t="shared" ca="1" si="0"/>
        <v>0</v>
      </c>
      <c r="L6" s="189">
        <f t="shared" ca="1" si="1"/>
        <v>0</v>
      </c>
      <c r="M6" s="189">
        <f t="shared" ca="1" si="2"/>
        <v>0</v>
      </c>
      <c r="N6" s="189">
        <f t="shared" ca="1" si="3"/>
        <v>0</v>
      </c>
      <c r="O6" s="189">
        <f t="shared" ca="1" si="4"/>
        <v>807692</v>
      </c>
      <c r="P6" s="189">
        <f t="shared" ca="1" si="5"/>
        <v>157692</v>
      </c>
      <c r="Q6" s="190">
        <f t="shared" ca="1" si="6"/>
        <v>965384</v>
      </c>
      <c r="R6" s="79">
        <f t="shared" si="7"/>
        <v>307692</v>
      </c>
      <c r="S6" s="191">
        <f t="shared" ca="1" si="8"/>
        <v>657692</v>
      </c>
    </row>
    <row r="7" spans="1:19" ht="16">
      <c r="A7" s="187" t="s">
        <v>160</v>
      </c>
      <c r="B7" s="55" t="s">
        <v>195</v>
      </c>
      <c r="C7" s="188">
        <v>45740</v>
      </c>
      <c r="D7" s="184">
        <f>VLOOKUP(A7,'[20]Template Payroll'!$B$6:$J$18,9,0)</f>
        <v>8500000</v>
      </c>
      <c r="E7" s="185">
        <v>0</v>
      </c>
      <c r="F7" s="185">
        <v>0</v>
      </c>
      <c r="G7" s="185">
        <v>0</v>
      </c>
      <c r="H7" s="185">
        <v>0</v>
      </c>
      <c r="I7" s="185">
        <v>8</v>
      </c>
      <c r="J7" s="185">
        <v>0</v>
      </c>
      <c r="K7" s="189">
        <f t="shared" ca="1" si="0"/>
        <v>0</v>
      </c>
      <c r="L7" s="189">
        <f t="shared" ca="1" si="1"/>
        <v>0</v>
      </c>
      <c r="M7" s="189">
        <f t="shared" ca="1" si="2"/>
        <v>0</v>
      </c>
      <c r="N7" s="189">
        <f t="shared" ca="1" si="3"/>
        <v>0</v>
      </c>
      <c r="O7" s="189">
        <f t="shared" ca="1" si="4"/>
        <v>980769</v>
      </c>
      <c r="P7" s="189">
        <f t="shared" ca="1" si="5"/>
        <v>0</v>
      </c>
      <c r="Q7" s="190">
        <f t="shared" ca="1" si="6"/>
        <v>980769</v>
      </c>
      <c r="R7" s="79">
        <f ca="1">Q7</f>
        <v>980769</v>
      </c>
      <c r="S7" s="191">
        <v>0</v>
      </c>
    </row>
    <row r="8" spans="1:19" ht="16">
      <c r="A8" s="187" t="s">
        <v>161</v>
      </c>
      <c r="B8" s="55" t="s">
        <v>196</v>
      </c>
      <c r="C8" s="188">
        <v>44927</v>
      </c>
      <c r="D8" s="184">
        <f>VLOOKUP(A8,'[20]Template Payroll'!$B$6:$J$18,9,0)</f>
        <v>7056000</v>
      </c>
      <c r="E8" s="185">
        <v>1</v>
      </c>
      <c r="F8" s="185">
        <v>9</v>
      </c>
      <c r="G8" s="185">
        <v>0</v>
      </c>
      <c r="H8" s="185">
        <v>0</v>
      </c>
      <c r="I8" s="185">
        <v>6</v>
      </c>
      <c r="J8" s="185">
        <v>2</v>
      </c>
      <c r="K8" s="189">
        <f t="shared" ca="1" si="0"/>
        <v>50885</v>
      </c>
      <c r="L8" s="189">
        <f t="shared" ca="1" si="1"/>
        <v>656412</v>
      </c>
      <c r="M8" s="189">
        <f t="shared" ca="1" si="2"/>
        <v>0</v>
      </c>
      <c r="N8" s="189">
        <f t="shared" ca="1" si="3"/>
        <v>0</v>
      </c>
      <c r="O8" s="189">
        <f t="shared" ca="1" si="4"/>
        <v>610615</v>
      </c>
      <c r="P8" s="189">
        <f t="shared" ca="1" si="5"/>
        <v>278169</v>
      </c>
      <c r="Q8" s="190">
        <f t="shared" ca="1" si="6"/>
        <v>1596081</v>
      </c>
      <c r="R8" s="79">
        <f t="shared" si="7"/>
        <v>610615</v>
      </c>
      <c r="S8" s="191">
        <f t="shared" ca="1" si="8"/>
        <v>985466</v>
      </c>
    </row>
    <row r="9" spans="1:19" ht="16">
      <c r="A9" s="187" t="s">
        <v>162</v>
      </c>
      <c r="B9" s="55" t="s">
        <v>197</v>
      </c>
      <c r="C9" s="188">
        <v>45292</v>
      </c>
      <c r="D9" s="184">
        <f>VLOOKUP(A9,'[20]Template Payroll'!$B$6:$J$18,9,0)</f>
        <v>6841000</v>
      </c>
      <c r="E9" s="185">
        <v>0</v>
      </c>
      <c r="F9" s="185">
        <v>0</v>
      </c>
      <c r="G9" s="185">
        <v>0</v>
      </c>
      <c r="H9" s="185">
        <v>0</v>
      </c>
      <c r="I9" s="185">
        <v>0</v>
      </c>
      <c r="J9" s="185">
        <v>0</v>
      </c>
      <c r="K9" s="189">
        <f t="shared" ca="1" si="0"/>
        <v>0</v>
      </c>
      <c r="L9" s="189">
        <f t="shared" ca="1" si="1"/>
        <v>0</v>
      </c>
      <c r="M9" s="189">
        <f t="shared" ca="1" si="2"/>
        <v>0</v>
      </c>
      <c r="N9" s="189">
        <f t="shared" ca="1" si="3"/>
        <v>0</v>
      </c>
      <c r="O9" s="189">
        <f t="shared" ca="1" si="4"/>
        <v>0</v>
      </c>
      <c r="P9" s="189">
        <f t="shared" ca="1" si="5"/>
        <v>0</v>
      </c>
      <c r="Q9" s="190">
        <f t="shared" ca="1" si="6"/>
        <v>0</v>
      </c>
      <c r="R9" s="79">
        <f t="shared" si="7"/>
        <v>0</v>
      </c>
      <c r="S9" s="191">
        <f t="shared" ca="1" si="8"/>
        <v>0</v>
      </c>
    </row>
    <row r="10" spans="1:19" ht="16">
      <c r="A10" s="187" t="s">
        <v>182</v>
      </c>
      <c r="B10" s="55" t="s">
        <v>198</v>
      </c>
      <c r="C10" s="188">
        <v>45738</v>
      </c>
      <c r="D10" s="184">
        <f>VLOOKUP(A10,'[20]Template Payroll'!$B$6:$J$18,9,0)</f>
        <v>11000000</v>
      </c>
      <c r="E10" s="185">
        <v>1</v>
      </c>
      <c r="F10" s="185">
        <v>9</v>
      </c>
      <c r="G10" s="185">
        <v>0</v>
      </c>
      <c r="H10" s="185">
        <v>0</v>
      </c>
      <c r="I10" s="185">
        <v>6</v>
      </c>
      <c r="J10" s="185">
        <v>2</v>
      </c>
      <c r="K10" s="189">
        <f t="shared" ca="1" si="0"/>
        <v>79327</v>
      </c>
      <c r="L10" s="189">
        <f t="shared" ca="1" si="1"/>
        <v>1023317</v>
      </c>
      <c r="M10" s="189">
        <f t="shared" ca="1" si="2"/>
        <v>0</v>
      </c>
      <c r="N10" s="189">
        <f t="shared" ca="1" si="3"/>
        <v>0</v>
      </c>
      <c r="O10" s="189">
        <f t="shared" ca="1" si="4"/>
        <v>951923</v>
      </c>
      <c r="P10" s="189">
        <f t="shared" ca="1" si="5"/>
        <v>433654</v>
      </c>
      <c r="Q10" s="190">
        <f t="shared" ca="1" si="6"/>
        <v>2488221</v>
      </c>
      <c r="R10" s="79">
        <f ca="1">Q10</f>
        <v>2488221</v>
      </c>
      <c r="S10" s="191">
        <v>0</v>
      </c>
    </row>
  </sheetData>
  <mergeCells count="7">
    <mergeCell ref="Q1:Q2"/>
    <mergeCell ref="R1:R2"/>
    <mergeCell ref="S1:S2"/>
    <mergeCell ref="A1:A2"/>
    <mergeCell ref="B1:B2"/>
    <mergeCell ref="C1:C2"/>
    <mergeCell ref="D1:D2"/>
  </mergeCells>
  <conditionalFormatting sqref="A1 A3">
    <cfRule type="duplicateValues" dxfId="58" priority="1327763"/>
  </conditionalFormatting>
  <conditionalFormatting sqref="A4:A10">
    <cfRule type="duplicateValues" dxfId="57" priority="1"/>
  </conditionalFormatting>
  <dataValidations disablePrompts="1" count="1">
    <dataValidation allowBlank="1" showErrorMessage="1" sqref="A1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F2" sqref="F2"/>
    </sheetView>
  </sheetViews>
  <sheetFormatPr baseColWidth="10" defaultColWidth="9" defaultRowHeight="12"/>
  <cols>
    <col min="1" max="1" width="12.83203125" style="85" customWidth="1"/>
    <col min="2" max="2" width="19.1640625" style="85" customWidth="1"/>
    <col min="3" max="3" width="17.5" style="86" customWidth="1"/>
    <col min="4" max="4" width="17.5" style="85" customWidth="1"/>
    <col min="5" max="5" width="12.5" style="87" customWidth="1"/>
    <col min="6" max="6" width="17.33203125" style="87" customWidth="1"/>
    <col min="7" max="7" width="15.83203125" style="85" customWidth="1"/>
    <col min="8" max="8" width="15" style="85" customWidth="1"/>
    <col min="9" max="203" width="9" style="85"/>
    <col min="204" max="204" width="3.5" style="85" customWidth="1"/>
    <col min="205" max="205" width="19.1640625" style="85" customWidth="1"/>
    <col min="206" max="206" width="10.1640625" style="85" customWidth="1"/>
    <col min="207" max="207" width="10.6640625" style="85" customWidth="1"/>
    <col min="208" max="208" width="8.33203125" style="85" customWidth="1"/>
    <col min="209" max="209" width="8.6640625" style="85" customWidth="1"/>
    <col min="210" max="210" width="6.33203125" style="85" customWidth="1"/>
    <col min="211" max="211" width="7.1640625" style="85" customWidth="1"/>
    <col min="212" max="212" width="5.6640625" style="85" customWidth="1"/>
    <col min="213" max="213" width="5.83203125" style="85" customWidth="1"/>
    <col min="214" max="214" width="5.33203125" style="85" customWidth="1"/>
    <col min="215" max="215" width="6" style="85" customWidth="1"/>
    <col min="216" max="216" width="6.5" style="85" customWidth="1"/>
    <col min="217" max="217" width="6.1640625" style="85" customWidth="1"/>
    <col min="218" max="220" width="6.5" style="85" customWidth="1"/>
    <col min="221" max="221" width="7.1640625" style="85" customWidth="1"/>
    <col min="222" max="222" width="7.83203125" style="85" customWidth="1"/>
    <col min="223" max="223" width="5.5" style="85" customWidth="1"/>
    <col min="224" max="224" width="8.83203125" style="85" customWidth="1"/>
    <col min="225" max="225" width="12.5" style="85" customWidth="1"/>
    <col min="226" max="226" width="13.5" style="85" customWidth="1"/>
    <col min="227" max="228" width="7.5" style="85" customWidth="1"/>
    <col min="229" max="229" width="6" style="85" customWidth="1"/>
    <col min="230" max="230" width="8.5" style="85" customWidth="1"/>
    <col min="231" max="231" width="7.1640625" style="85" customWidth="1"/>
    <col min="232" max="16384" width="9" style="85"/>
  </cols>
  <sheetData>
    <row r="1" spans="1:9" s="80" customFormat="1" ht="54" customHeight="1">
      <c r="A1" s="204" t="s">
        <v>27</v>
      </c>
      <c r="B1" s="205" t="s">
        <v>28</v>
      </c>
      <c r="C1" s="206" t="s">
        <v>51</v>
      </c>
      <c r="D1" s="207" t="s">
        <v>117</v>
      </c>
      <c r="E1" s="208" t="s">
        <v>32</v>
      </c>
      <c r="F1" s="208" t="s">
        <v>184</v>
      </c>
      <c r="G1" s="208" t="s">
        <v>185</v>
      </c>
      <c r="H1" s="208" t="s">
        <v>186</v>
      </c>
    </row>
    <row r="2" spans="1:9" s="84" customFormat="1" ht="15.75" customHeight="1">
      <c r="A2" s="216" t="s">
        <v>180</v>
      </c>
      <c r="B2" s="217" t="s">
        <v>178</v>
      </c>
      <c r="C2" s="218">
        <v>43466</v>
      </c>
      <c r="D2" s="197">
        <f>IFERROR(VLOOKUP(A2,'Template Payroll'!$B$5:$J$12,9,0),0)</f>
        <v>47000000</v>
      </c>
      <c r="E2" s="219">
        <v>2</v>
      </c>
      <c r="F2" s="220">
        <f t="shared" ref="F2:F9" si="0">ROUND((D2/26/8)*30%*E2,0)</f>
        <v>135577</v>
      </c>
      <c r="G2" s="221">
        <f>F2-H2</f>
        <v>0</v>
      </c>
      <c r="H2" s="221">
        <f>F2</f>
        <v>135577</v>
      </c>
      <c r="I2" s="212"/>
    </row>
    <row r="3" spans="1:9" s="84" customFormat="1" ht="15.75" customHeight="1">
      <c r="A3" s="81" t="s">
        <v>181</v>
      </c>
      <c r="B3" s="209" t="s">
        <v>179</v>
      </c>
      <c r="C3" s="82">
        <v>43831</v>
      </c>
      <c r="D3" s="183">
        <f>IFERROR(VLOOKUP(A3,'Template Payroll'!$B$5:$J$12,9,0),0)</f>
        <v>31000000</v>
      </c>
      <c r="E3" s="210">
        <v>3</v>
      </c>
      <c r="F3" s="83">
        <f t="shared" si="0"/>
        <v>134135</v>
      </c>
      <c r="G3" s="211">
        <f t="shared" ref="G3:G9" si="1">F3-H3</f>
        <v>0</v>
      </c>
      <c r="H3" s="211">
        <f t="shared" ref="H3:H9" si="2">F3</f>
        <v>134135</v>
      </c>
      <c r="I3" s="212"/>
    </row>
    <row r="4" spans="1:9" s="84" customFormat="1" ht="15.75" customHeight="1">
      <c r="A4" s="81" t="s">
        <v>158</v>
      </c>
      <c r="B4" s="209" t="s">
        <v>193</v>
      </c>
      <c r="C4" s="82">
        <v>44197</v>
      </c>
      <c r="D4" s="183">
        <f>IFERROR(VLOOKUP(A4,'Template Payroll'!$B$5:$J$12,9,0),0)</f>
        <v>10448000</v>
      </c>
      <c r="E4" s="210">
        <v>4</v>
      </c>
      <c r="F4" s="83">
        <f t="shared" si="0"/>
        <v>60277</v>
      </c>
      <c r="G4" s="211">
        <f t="shared" si="1"/>
        <v>0</v>
      </c>
      <c r="H4" s="211">
        <f t="shared" si="2"/>
        <v>60277</v>
      </c>
      <c r="I4" s="212"/>
    </row>
    <row r="5" spans="1:9" s="84" customFormat="1" ht="15.75" customHeight="1">
      <c r="A5" s="81" t="s">
        <v>159</v>
      </c>
      <c r="B5" s="209" t="s">
        <v>194</v>
      </c>
      <c r="C5" s="82">
        <v>44562</v>
      </c>
      <c r="D5" s="183">
        <f>IFERROR(VLOOKUP(A5,'Template Payroll'!$B$5:$J$12,9,0),0)</f>
        <v>8000000</v>
      </c>
      <c r="E5" s="210">
        <v>1.5</v>
      </c>
      <c r="F5" s="83">
        <f t="shared" si="0"/>
        <v>17308</v>
      </c>
      <c r="G5" s="211">
        <f t="shared" si="1"/>
        <v>0</v>
      </c>
      <c r="H5" s="211">
        <f t="shared" si="2"/>
        <v>17308</v>
      </c>
      <c r="I5" s="212"/>
    </row>
    <row r="6" spans="1:9" ht="14">
      <c r="A6" s="81" t="s">
        <v>160</v>
      </c>
      <c r="B6" s="209" t="s">
        <v>195</v>
      </c>
      <c r="C6" s="82">
        <v>45740</v>
      </c>
      <c r="D6" s="183">
        <f>IFERROR(VLOOKUP(A6,'Template Payroll'!$B$5:$J$12,9,0),0)</f>
        <v>8500000</v>
      </c>
      <c r="E6" s="210">
        <v>0.5</v>
      </c>
      <c r="F6" s="83">
        <f t="shared" si="0"/>
        <v>6130</v>
      </c>
      <c r="G6" s="211">
        <f t="shared" si="1"/>
        <v>0</v>
      </c>
      <c r="H6" s="211">
        <f t="shared" si="2"/>
        <v>6130</v>
      </c>
      <c r="I6" s="213"/>
    </row>
    <row r="7" spans="1:9" ht="14">
      <c r="A7" s="81" t="s">
        <v>161</v>
      </c>
      <c r="B7" s="209" t="s">
        <v>196</v>
      </c>
      <c r="C7" s="82">
        <v>44927</v>
      </c>
      <c r="D7" s="183">
        <f>IFERROR(VLOOKUP(A7,'Template Payroll'!$B$5:$J$12,9,0),0)</f>
        <v>7056000</v>
      </c>
      <c r="E7" s="210">
        <v>1</v>
      </c>
      <c r="F7" s="83">
        <f t="shared" si="0"/>
        <v>10177</v>
      </c>
      <c r="G7" s="211">
        <f t="shared" si="1"/>
        <v>0</v>
      </c>
      <c r="H7" s="211">
        <f t="shared" si="2"/>
        <v>10177</v>
      </c>
      <c r="I7" s="213"/>
    </row>
    <row r="8" spans="1:9" ht="14">
      <c r="A8" s="81" t="s">
        <v>162</v>
      </c>
      <c r="B8" s="209" t="s">
        <v>197</v>
      </c>
      <c r="C8" s="82">
        <v>45292</v>
      </c>
      <c r="D8" s="183">
        <f>IFERROR(VLOOKUP(A8,'Template Payroll'!$B$5:$J$12,9,0),0)</f>
        <v>6841000</v>
      </c>
      <c r="E8" s="210">
        <v>5</v>
      </c>
      <c r="F8" s="83">
        <f t="shared" si="0"/>
        <v>49334</v>
      </c>
      <c r="G8" s="211">
        <f t="shared" si="1"/>
        <v>0</v>
      </c>
      <c r="H8" s="211">
        <f t="shared" si="2"/>
        <v>49334</v>
      </c>
      <c r="I8" s="213"/>
    </row>
    <row r="9" spans="1:9" ht="14">
      <c r="A9" s="81" t="s">
        <v>182</v>
      </c>
      <c r="B9" s="209" t="s">
        <v>198</v>
      </c>
      <c r="C9" s="82">
        <v>45738</v>
      </c>
      <c r="D9" s="183">
        <f>IFERROR(VLOOKUP(A9,'Template Payroll'!$B$5:$J$12,9,0),0)</f>
        <v>11000000</v>
      </c>
      <c r="E9" s="210">
        <v>6</v>
      </c>
      <c r="F9" s="83">
        <f t="shared" si="0"/>
        <v>95192</v>
      </c>
      <c r="G9" s="211">
        <f t="shared" si="1"/>
        <v>0</v>
      </c>
      <c r="H9" s="211">
        <f t="shared" si="2"/>
        <v>95192</v>
      </c>
      <c r="I9" s="213"/>
    </row>
    <row r="10" spans="1:9">
      <c r="A10" s="213"/>
      <c r="B10" s="213"/>
      <c r="C10" s="214"/>
      <c r="D10" s="213"/>
      <c r="E10" s="215"/>
      <c r="F10" s="215"/>
      <c r="G10" s="213"/>
      <c r="H10" s="213"/>
      <c r="I10" s="213"/>
    </row>
    <row r="11" spans="1:9">
      <c r="A11" s="213"/>
      <c r="B11" s="213"/>
      <c r="C11" s="214"/>
      <c r="D11" s="213"/>
      <c r="E11" s="215"/>
      <c r="F11" s="215"/>
      <c r="G11" s="213"/>
      <c r="H11" s="213"/>
      <c r="I11" s="213"/>
    </row>
    <row r="12" spans="1:9">
      <c r="A12" s="213"/>
      <c r="B12" s="213"/>
      <c r="C12" s="214"/>
      <c r="D12" s="213"/>
      <c r="E12" s="215"/>
      <c r="F12" s="215"/>
      <c r="G12" s="213"/>
      <c r="H12" s="213"/>
      <c r="I12" s="213"/>
    </row>
    <row r="13" spans="1:9">
      <c r="A13" s="213"/>
      <c r="B13" s="213"/>
      <c r="C13" s="214"/>
      <c r="D13" s="213"/>
      <c r="E13" s="215"/>
      <c r="F13" s="215"/>
      <c r="G13" s="213"/>
      <c r="H13" s="213"/>
      <c r="I13" s="213"/>
    </row>
    <row r="14" spans="1:9">
      <c r="A14" s="213"/>
      <c r="B14" s="213"/>
      <c r="C14" s="214"/>
      <c r="D14" s="213"/>
      <c r="E14" s="215"/>
      <c r="F14" s="215"/>
      <c r="G14" s="213"/>
      <c r="H14" s="213"/>
      <c r="I14" s="213"/>
    </row>
    <row r="15" spans="1:9">
      <c r="A15" s="213"/>
      <c r="B15" s="213"/>
      <c r="C15" s="214"/>
      <c r="D15" s="213"/>
      <c r="E15" s="215"/>
      <c r="F15" s="215"/>
      <c r="G15" s="213"/>
      <c r="H15" s="213"/>
      <c r="I15" s="213"/>
    </row>
    <row r="16" spans="1:9">
      <c r="A16" s="213"/>
      <c r="B16" s="213"/>
      <c r="C16" s="214"/>
      <c r="D16" s="213"/>
      <c r="E16" s="215"/>
      <c r="F16" s="215"/>
      <c r="G16" s="213"/>
      <c r="H16" s="213"/>
      <c r="I16" s="213"/>
    </row>
    <row r="17" spans="1:9">
      <c r="A17" s="213"/>
      <c r="B17" s="213"/>
      <c r="C17" s="214"/>
      <c r="D17" s="213"/>
      <c r="E17" s="215"/>
      <c r="F17" s="215"/>
      <c r="G17" s="213"/>
      <c r="H17" s="213"/>
      <c r="I17" s="213"/>
    </row>
  </sheetData>
  <sheetProtection selectLockedCells="1" selectUnlockedCells="1"/>
  <autoFilter ref="A1:F5" xr:uid="{00000000-0009-0000-0000-000015000000}"/>
  <conditionalFormatting sqref="A1 A10:A1048576">
    <cfRule type="duplicateValues" dxfId="56" priority="5"/>
    <cfRule type="duplicateValues" dxfId="55" priority="1327759"/>
    <cfRule type="duplicateValues" dxfId="54" priority="188942"/>
    <cfRule type="duplicateValues" dxfId="53" priority="1327760"/>
  </conditionalFormatting>
  <conditionalFormatting sqref="A2:A9">
    <cfRule type="duplicateValues" dxfId="52" priority="4"/>
    <cfRule type="duplicateValues" dxfId="51" priority="3"/>
    <cfRule type="duplicateValues" dxfId="50" priority="2"/>
    <cfRule type="duplicateValues" dxfId="49" priority="1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4"/>
  <sheetViews>
    <sheetView zoomScale="90" zoomScaleNormal="90" workbookViewId="0">
      <selection activeCell="D18" sqref="D18"/>
    </sheetView>
  </sheetViews>
  <sheetFormatPr baseColWidth="10" defaultColWidth="9.1640625" defaultRowHeight="15"/>
  <cols>
    <col min="1" max="1" width="7.5" style="250" customWidth="1"/>
    <col min="2" max="2" width="13.5" style="250" customWidth="1"/>
    <col min="3" max="3" width="27.83203125" style="250" customWidth="1"/>
    <col min="4" max="4" width="21" style="250" customWidth="1"/>
    <col min="5" max="5" width="22.5" style="250" customWidth="1"/>
    <col min="6" max="6" width="15" style="250" customWidth="1"/>
    <col min="7" max="7" width="13.33203125" style="250" customWidth="1"/>
    <col min="8" max="8" width="16.5" style="250" customWidth="1"/>
    <col min="9" max="9" width="19.6640625" style="250" customWidth="1"/>
    <col min="10" max="10" width="10.5" style="250" customWidth="1"/>
    <col min="11" max="11" width="6.6640625" style="250" customWidth="1"/>
    <col min="12" max="12" width="11.33203125" style="250" bestFit="1" customWidth="1"/>
    <col min="13" max="14" width="12.5" style="250" customWidth="1"/>
    <col min="15" max="15" width="13" style="250" customWidth="1"/>
    <col min="16" max="16" width="12.83203125" style="250" customWidth="1"/>
    <col min="17" max="16384" width="9.1640625" style="250"/>
  </cols>
  <sheetData>
    <row r="1" spans="1:12" ht="8.25" customHeight="1">
      <c r="A1" s="356" t="s">
        <v>9</v>
      </c>
      <c r="B1" s="356" t="s">
        <v>27</v>
      </c>
      <c r="C1" s="356" t="s">
        <v>11</v>
      </c>
      <c r="D1" s="356" t="s">
        <v>168</v>
      </c>
      <c r="E1" s="356" t="s">
        <v>169</v>
      </c>
      <c r="F1" s="356" t="s">
        <v>97</v>
      </c>
    </row>
    <row r="2" spans="1:12">
      <c r="A2" s="356"/>
      <c r="B2" s="356"/>
      <c r="C2" s="356"/>
      <c r="D2" s="356"/>
      <c r="E2" s="356"/>
      <c r="F2" s="356"/>
    </row>
    <row r="3" spans="1:12" ht="8.25" customHeight="1">
      <c r="A3" s="356"/>
      <c r="B3" s="356"/>
      <c r="C3" s="356"/>
      <c r="D3" s="356"/>
      <c r="E3" s="356"/>
      <c r="F3" s="356"/>
    </row>
    <row r="4" spans="1:12" ht="18" customHeight="1">
      <c r="A4" s="282">
        <v>1</v>
      </c>
      <c r="B4" s="283" t="s">
        <v>158</v>
      </c>
      <c r="C4" s="166" t="s">
        <v>192</v>
      </c>
      <c r="D4" s="284">
        <v>2000000</v>
      </c>
      <c r="E4" s="285">
        <f>VLOOKUP($B4,'TimeTB 2'!$B$4:$P$11,14,0)</f>
        <v>0</v>
      </c>
      <c r="F4" s="284">
        <f>D4/26*E4</f>
        <v>0</v>
      </c>
    </row>
    <row r="5" spans="1:12" ht="16">
      <c r="A5" s="252"/>
      <c r="B5" s="252"/>
      <c r="C5" s="252"/>
      <c r="D5" s="275"/>
      <c r="E5" s="241"/>
      <c r="F5" s="253">
        <f>E5*D5</f>
        <v>0</v>
      </c>
    </row>
    <row r="6" spans="1:12" ht="26.25" customHeight="1">
      <c r="A6" s="276" t="s">
        <v>83</v>
      </c>
      <c r="B6" s="277"/>
      <c r="C6" s="277"/>
      <c r="D6" s="277"/>
    </row>
    <row r="7" spans="1:12" ht="34">
      <c r="A7" s="254" t="s">
        <v>9</v>
      </c>
      <c r="B7" s="255" t="s">
        <v>10</v>
      </c>
      <c r="C7" s="255" t="s">
        <v>11</v>
      </c>
      <c r="D7" s="256" t="s">
        <v>78</v>
      </c>
      <c r="E7" s="256" t="s">
        <v>73</v>
      </c>
      <c r="F7" s="257" t="s">
        <v>97</v>
      </c>
    </row>
    <row r="8" spans="1:12" ht="16">
      <c r="A8" s="255">
        <v>1</v>
      </c>
      <c r="B8" s="251" t="s">
        <v>159</v>
      </c>
      <c r="C8" s="55" t="s">
        <v>193</v>
      </c>
      <c r="D8" s="242">
        <v>500000</v>
      </c>
      <c r="E8" s="242"/>
      <c r="F8" s="243">
        <f t="shared" ref="F8:F9" si="0">D8+E8</f>
        <v>500000</v>
      </c>
    </row>
    <row r="9" spans="1:12" ht="16">
      <c r="A9" s="255">
        <f t="shared" ref="A9" si="1">1+A8</f>
        <v>2</v>
      </c>
      <c r="B9" s="251" t="s">
        <v>160</v>
      </c>
      <c r="C9" s="55" t="s">
        <v>194</v>
      </c>
      <c r="D9" s="242">
        <v>500000</v>
      </c>
      <c r="E9" s="242"/>
      <c r="F9" s="243">
        <f t="shared" si="0"/>
        <v>500000</v>
      </c>
    </row>
    <row r="10" spans="1:12" ht="9" customHeight="1"/>
    <row r="11" spans="1:12" ht="9" customHeight="1"/>
    <row r="12" spans="1:12" ht="36" customHeight="1">
      <c r="A12" s="278" t="s">
        <v>116</v>
      </c>
      <c r="B12" s="258"/>
      <c r="C12" s="258"/>
      <c r="D12" s="258"/>
      <c r="E12" s="258"/>
      <c r="F12" s="258"/>
    </row>
    <row r="13" spans="1:12" ht="21.75" customHeight="1">
      <c r="A13" s="259" t="s">
        <v>9</v>
      </c>
      <c r="B13" s="260" t="s">
        <v>68</v>
      </c>
      <c r="C13" s="261" t="s">
        <v>31</v>
      </c>
      <c r="D13" s="244" t="s">
        <v>76</v>
      </c>
      <c r="E13" s="262" t="s">
        <v>77</v>
      </c>
      <c r="F13" s="245" t="s">
        <v>97</v>
      </c>
    </row>
    <row r="14" spans="1:12" ht="16">
      <c r="A14" s="263"/>
      <c r="B14" s="180"/>
      <c r="C14" s="246"/>
      <c r="D14" s="247"/>
      <c r="E14" s="264"/>
      <c r="F14" s="248"/>
      <c r="H14" s="265"/>
      <c r="I14" s="266"/>
      <c r="L14" s="265"/>
    </row>
    <row r="15" spans="1:12" ht="16">
      <c r="A15" s="263"/>
      <c r="B15" s="180"/>
      <c r="C15" s="246"/>
      <c r="D15" s="247"/>
      <c r="E15" s="264"/>
      <c r="F15" s="248"/>
      <c r="H15" s="265"/>
      <c r="L15" s="265"/>
    </row>
    <row r="16" spans="1:12" ht="16">
      <c r="A16" s="263"/>
      <c r="B16" s="180"/>
      <c r="C16" s="246"/>
      <c r="D16" s="247"/>
      <c r="E16" s="267"/>
      <c r="F16" s="249"/>
      <c r="H16" s="265"/>
      <c r="L16" s="265"/>
    </row>
    <row r="17" spans="1:16" ht="16">
      <c r="A17" s="263"/>
      <c r="B17" s="180"/>
      <c r="C17" s="246"/>
      <c r="D17" s="247"/>
      <c r="E17" s="267"/>
      <c r="F17" s="249"/>
      <c r="H17" s="265"/>
      <c r="L17" s="265"/>
    </row>
    <row r="18" spans="1:16" ht="16">
      <c r="A18" s="263"/>
      <c r="B18" s="180"/>
      <c r="C18" s="246"/>
      <c r="D18" s="247"/>
      <c r="E18" s="267"/>
      <c r="F18" s="249"/>
      <c r="H18" s="265"/>
      <c r="L18" s="265"/>
    </row>
    <row r="19" spans="1:16" ht="16">
      <c r="A19" s="263"/>
      <c r="B19" s="279"/>
      <c r="C19" s="246"/>
      <c r="D19" s="247"/>
      <c r="E19" s="268"/>
      <c r="F19" s="249"/>
      <c r="H19" s="265"/>
      <c r="L19" s="265"/>
    </row>
    <row r="20" spans="1:16" ht="16">
      <c r="A20" s="263"/>
      <c r="B20" s="279"/>
      <c r="C20" s="246"/>
      <c r="D20" s="247"/>
      <c r="E20" s="268"/>
      <c r="F20" s="249"/>
      <c r="H20" s="265"/>
      <c r="L20" s="265"/>
    </row>
    <row r="21" spans="1:16" ht="16">
      <c r="A21" s="263"/>
      <c r="B21" s="279"/>
      <c r="C21" s="246"/>
      <c r="D21" s="247"/>
      <c r="E21" s="268"/>
      <c r="F21" s="249"/>
      <c r="H21" s="265"/>
      <c r="L21" s="265"/>
    </row>
    <row r="22" spans="1:16" ht="16">
      <c r="A22" s="263">
        <f>ROW()-85</f>
        <v>-63</v>
      </c>
      <c r="B22" s="279"/>
      <c r="C22" s="246" t="e">
        <f>VLOOKUP($B22,#REF!,3,0)</f>
        <v>#REF!</v>
      </c>
      <c r="D22" s="247">
        <f>IFERROR(VLOOKUP(B22,#REF!,81,0),0)</f>
        <v>0</v>
      </c>
      <c r="E22" s="268"/>
      <c r="F22" s="249">
        <f>ROUND((D22/26*E22),0)</f>
        <v>0</v>
      </c>
      <c r="G22" s="250" t="e">
        <f>VLOOKUP(B22,#REF!,74,0)</f>
        <v>#REF!</v>
      </c>
      <c r="H22" s="265" t="e">
        <f>G22-E22</f>
        <v>#REF!</v>
      </c>
      <c r="L22" s="265"/>
    </row>
    <row r="23" spans="1:16" ht="16">
      <c r="A23" s="263">
        <f>ROW()-85</f>
        <v>-62</v>
      </c>
      <c r="B23" s="180"/>
      <c r="C23" s="246" t="e">
        <f>VLOOKUP($B23,#REF!,3,0)</f>
        <v>#REF!</v>
      </c>
      <c r="D23" s="247">
        <f>IFERROR(VLOOKUP(B23,#REF!,81,0),0)</f>
        <v>0</v>
      </c>
      <c r="E23" s="269"/>
      <c r="F23" s="249">
        <f>ROUND((D23/26*E23),0)</f>
        <v>0</v>
      </c>
      <c r="G23" s="250" t="e">
        <f>VLOOKUP(B23,#REF!,74,0)</f>
        <v>#REF!</v>
      </c>
      <c r="H23" s="265" t="e">
        <f>G23-E23</f>
        <v>#REF!</v>
      </c>
      <c r="L23" s="265"/>
    </row>
    <row r="24" spans="1:16" ht="16">
      <c r="A24" s="263">
        <f>ROW()-85</f>
        <v>-61</v>
      </c>
      <c r="B24" s="180"/>
      <c r="C24" s="246" t="e">
        <f>VLOOKUP($B24,#REF!,3,0)</f>
        <v>#REF!</v>
      </c>
      <c r="D24" s="247">
        <f>IFERROR(VLOOKUP(B24,#REF!,81,0),0)</f>
        <v>0</v>
      </c>
      <c r="E24" s="267"/>
      <c r="F24" s="249">
        <f>ROUND((D24/26*E24),0)</f>
        <v>0</v>
      </c>
      <c r="G24" s="250" t="e">
        <f>VLOOKUP(B24,#REF!,74,0)</f>
        <v>#REF!</v>
      </c>
      <c r="H24" s="265" t="e">
        <f>G24-E24</f>
        <v>#REF!</v>
      </c>
      <c r="L24" s="265"/>
    </row>
    <row r="25" spans="1:16" ht="16">
      <c r="A25" s="263">
        <f>ROW()-85</f>
        <v>-60</v>
      </c>
      <c r="B25" s="180"/>
      <c r="C25" s="246" t="e">
        <f>VLOOKUP($B25,#REF!,3,0)</f>
        <v>#REF!</v>
      </c>
      <c r="D25" s="247">
        <f>IFERROR(VLOOKUP(B25,#REF!,81,0),0)</f>
        <v>0</v>
      </c>
      <c r="E25" s="267"/>
      <c r="F25" s="249">
        <f>ROUND((D25/26*E25),0)</f>
        <v>0</v>
      </c>
      <c r="G25" s="250" t="e">
        <f>VLOOKUP(B25,#REF!,74,0)</f>
        <v>#REF!</v>
      </c>
      <c r="H25" s="265" t="e">
        <f>G25-E25</f>
        <v>#REF!</v>
      </c>
    </row>
    <row r="26" spans="1:16" ht="16">
      <c r="A26" s="263">
        <f>ROW()-85</f>
        <v>-59</v>
      </c>
      <c r="B26" s="180"/>
      <c r="C26" s="246"/>
      <c r="D26" s="247"/>
      <c r="E26" s="269"/>
      <c r="F26" s="249"/>
    </row>
    <row r="27" spans="1:16" ht="24.75" customHeight="1">
      <c r="A27" s="270"/>
      <c r="B27" s="271"/>
      <c r="C27" s="270" t="s">
        <v>53</v>
      </c>
      <c r="D27" s="272"/>
      <c r="E27" s="280">
        <f>SUM(E14:E26)</f>
        <v>0</v>
      </c>
      <c r="F27" s="281">
        <f>SUM(F14:F26)</f>
        <v>0</v>
      </c>
    </row>
    <row r="30" spans="1:16" ht="21.75" customHeight="1"/>
    <row r="31" spans="1:16" ht="19.5" customHeight="1">
      <c r="G31" s="273"/>
      <c r="H31" s="273"/>
      <c r="I31" s="273"/>
      <c r="J31" s="273"/>
      <c r="K31" s="273"/>
      <c r="L31" s="273"/>
      <c r="M31" s="273"/>
      <c r="N31" s="273"/>
      <c r="O31" s="273"/>
      <c r="P31" s="273"/>
    </row>
    <row r="32" spans="1:16" ht="19">
      <c r="G32" s="273"/>
      <c r="H32" s="273"/>
      <c r="I32" s="273"/>
      <c r="J32" s="273"/>
      <c r="K32" s="273"/>
      <c r="L32" s="274"/>
      <c r="M32" s="274"/>
      <c r="N32" s="274"/>
      <c r="O32" s="274"/>
      <c r="P32" s="274"/>
    </row>
    <row r="33" spans="7:16" ht="19">
      <c r="G33" s="273"/>
      <c r="H33" s="273"/>
      <c r="I33" s="273"/>
      <c r="J33" s="273"/>
      <c r="K33" s="273"/>
      <c r="L33" s="274"/>
      <c r="M33" s="274"/>
      <c r="N33" s="274"/>
      <c r="O33" s="274"/>
      <c r="P33" s="274"/>
    </row>
    <row r="34" spans="7:16" ht="19">
      <c r="G34" s="273"/>
      <c r="H34" s="273"/>
      <c r="I34" s="273"/>
      <c r="J34" s="273"/>
      <c r="K34" s="273"/>
      <c r="L34" s="274"/>
      <c r="M34" s="274"/>
      <c r="N34" s="274"/>
      <c r="O34" s="274"/>
      <c r="P34" s="274"/>
    </row>
  </sheetData>
  <autoFilter ref="A7:F9" xr:uid="{00000000-0009-0000-0000-00001A000000}"/>
  <mergeCells count="6">
    <mergeCell ref="E1:E3"/>
    <mergeCell ref="F1:F3"/>
    <mergeCell ref="A1:A3"/>
    <mergeCell ref="B1:B3"/>
    <mergeCell ref="C1:C3"/>
    <mergeCell ref="D1:D3"/>
  </mergeCells>
  <pageMargins left="0.7" right="0.7" top="0.75" bottom="0.75" header="0.3" footer="0.3"/>
  <pageSetup paperSize="9" scale="6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G21" sqref="G21"/>
    </sheetView>
  </sheetViews>
  <sheetFormatPr baseColWidth="10" defaultColWidth="9.1640625" defaultRowHeight="14"/>
  <cols>
    <col min="1" max="1" width="12.6640625" style="5" customWidth="1"/>
    <col min="2" max="2" width="26.83203125" style="5" customWidth="1"/>
    <col min="3" max="3" width="10.1640625" style="20" hidden="1" customWidth="1"/>
    <col min="4" max="4" width="10.1640625" style="19" hidden="1" customWidth="1"/>
    <col min="5" max="5" width="10.1640625" style="5" hidden="1" customWidth="1"/>
    <col min="6" max="6" width="18.83203125" style="5" customWidth="1"/>
    <col min="7" max="9" width="16.33203125" style="5" customWidth="1"/>
    <col min="10" max="10" width="13.6640625" style="5" customWidth="1"/>
    <col min="11" max="11" width="15.5" style="5" hidden="1" customWidth="1"/>
    <col min="12" max="12" width="11.83203125" style="5" hidden="1" customWidth="1"/>
    <col min="13" max="16384" width="9.1640625" style="5"/>
  </cols>
  <sheetData>
    <row r="1" spans="1:13" s="7" customFormat="1" ht="21.75" hidden="1" customHeight="1">
      <c r="B1" s="9">
        <v>42004</v>
      </c>
      <c r="C1" s="10">
        <v>41974</v>
      </c>
      <c r="D1" s="8"/>
      <c r="E1" s="11"/>
      <c r="F1" s="11" t="s">
        <v>1</v>
      </c>
      <c r="G1" s="24">
        <f>SUBTOTAL(9,G4:G5)</f>
        <v>4600000</v>
      </c>
      <c r="H1" s="24">
        <f>SUBTOTAL(9,H4:H5)</f>
        <v>0</v>
      </c>
      <c r="I1" s="25">
        <f>SUBTOTAL(9,I4:I5)</f>
        <v>4000000</v>
      </c>
      <c r="J1" s="24">
        <f>SUBTOTAL(9,J4:J5)</f>
        <v>600000</v>
      </c>
    </row>
    <row r="2" spans="1:13" s="13" customFormat="1" ht="20.25" hidden="1" customHeight="1">
      <c r="A2" s="12"/>
      <c r="C2" s="14">
        <v>44561</v>
      </c>
      <c r="D2" s="15"/>
      <c r="E2" s="16">
        <v>42339</v>
      </c>
      <c r="F2" s="17">
        <v>364</v>
      </c>
      <c r="G2" s="26">
        <f>SUBTOTAL(9,G4:G7)</f>
        <v>10210000</v>
      </c>
      <c r="H2" s="26">
        <f>SUBTOTAL(9,H4:H7)</f>
        <v>5610000</v>
      </c>
      <c r="I2" s="26">
        <f>SUBTOTAL(9,I4:I7)</f>
        <v>4000000</v>
      </c>
      <c r="J2" s="26">
        <f>SUBTOTAL(9,J4:J7)</f>
        <v>600000</v>
      </c>
    </row>
    <row r="3" spans="1:13" s="300" customFormat="1" ht="27.75" customHeight="1">
      <c r="A3" s="204" t="s">
        <v>27</v>
      </c>
      <c r="B3" s="295" t="s">
        <v>11</v>
      </c>
      <c r="C3" s="296" t="s">
        <v>46</v>
      </c>
      <c r="D3" s="297" t="s">
        <v>49</v>
      </c>
      <c r="E3" s="298" t="s">
        <v>12</v>
      </c>
      <c r="F3" s="298" t="s">
        <v>13</v>
      </c>
      <c r="G3" s="299" t="s">
        <v>52</v>
      </c>
      <c r="H3" s="236" t="s">
        <v>72</v>
      </c>
      <c r="I3" s="236" t="s">
        <v>55</v>
      </c>
      <c r="J3" s="236" t="s">
        <v>54</v>
      </c>
      <c r="K3" s="230"/>
      <c r="L3" s="230"/>
      <c r="M3" s="230"/>
    </row>
    <row r="4" spans="1:13" s="18" customFormat="1" ht="15.75" customHeight="1">
      <c r="A4" s="237" t="s">
        <v>161</v>
      </c>
      <c r="B4" s="238" t="s">
        <v>196</v>
      </c>
      <c r="C4" s="239"/>
      <c r="D4" s="239"/>
      <c r="E4" s="238"/>
      <c r="F4" s="238" t="s">
        <v>59</v>
      </c>
      <c r="G4" s="240">
        <f t="shared" ref="G4:G6" si="0">ROUND(SUM($H4:$J4),0)</f>
        <v>2000000</v>
      </c>
      <c r="H4" s="240">
        <v>0</v>
      </c>
      <c r="I4" s="240">
        <v>2000000</v>
      </c>
      <c r="J4" s="240">
        <v>0</v>
      </c>
      <c r="K4" s="234" t="e">
        <f>VLOOKUP(A4,#REF!,36,0)</f>
        <v>#REF!</v>
      </c>
      <c r="L4" s="235" t="e">
        <f>K4=G4</f>
        <v>#REF!</v>
      </c>
      <c r="M4" s="234"/>
    </row>
    <row r="5" spans="1:13" s="18" customFormat="1" ht="15.75" customHeight="1">
      <c r="A5" s="222" t="s">
        <v>162</v>
      </c>
      <c r="B5" s="223" t="s">
        <v>197</v>
      </c>
      <c r="C5" s="224"/>
      <c r="D5" s="224"/>
      <c r="E5" s="223"/>
      <c r="F5" s="223" t="s">
        <v>59</v>
      </c>
      <c r="G5" s="225">
        <f t="shared" si="0"/>
        <v>2600000</v>
      </c>
      <c r="H5" s="225">
        <v>0</v>
      </c>
      <c r="I5" s="225">
        <v>2000000</v>
      </c>
      <c r="J5" s="225">
        <v>600000</v>
      </c>
      <c r="K5" s="234" t="e">
        <f>VLOOKUP(A5,#REF!,36,0)</f>
        <v>#REF!</v>
      </c>
      <c r="L5" s="235" t="e">
        <f t="shared" ref="L5:L6" si="1">K5=G5</f>
        <v>#REF!</v>
      </c>
      <c r="M5" s="234"/>
    </row>
    <row r="6" spans="1:13" s="18" customFormat="1" ht="15.75" customHeight="1">
      <c r="A6" s="226" t="s">
        <v>182</v>
      </c>
      <c r="B6" s="223" t="s">
        <v>198</v>
      </c>
      <c r="C6" s="227"/>
      <c r="D6" s="227"/>
      <c r="E6" s="228"/>
      <c r="F6" s="228" t="s">
        <v>50</v>
      </c>
      <c r="G6" s="225">
        <f t="shared" si="0"/>
        <v>5610000</v>
      </c>
      <c r="H6" s="225">
        <v>5610000</v>
      </c>
      <c r="I6" s="229"/>
      <c r="J6" s="229"/>
      <c r="K6" s="234" t="e">
        <f>VLOOKUP(A6,#REF!,36,0)</f>
        <v>#REF!</v>
      </c>
      <c r="L6" s="235" t="e">
        <f t="shared" si="1"/>
        <v>#REF!</v>
      </c>
      <c r="M6" s="234"/>
    </row>
    <row r="7" spans="1:13" s="18" customFormat="1" ht="15.75" customHeight="1">
      <c r="A7" s="226"/>
      <c r="B7" s="223"/>
      <c r="C7" s="227"/>
      <c r="D7" s="227"/>
      <c r="E7" s="228"/>
      <c r="F7" s="228"/>
      <c r="G7" s="225"/>
      <c r="H7" s="225"/>
      <c r="I7" s="229"/>
      <c r="J7" s="229"/>
      <c r="K7" s="234"/>
      <c r="L7" s="235"/>
      <c r="M7" s="234"/>
    </row>
    <row r="8" spans="1:13" ht="15" customHeight="1">
      <c r="A8" s="230"/>
      <c r="B8" s="230"/>
      <c r="C8" s="231"/>
      <c r="D8" s="232"/>
      <c r="E8" s="230"/>
      <c r="F8" s="230"/>
      <c r="G8" s="230"/>
      <c r="H8" s="230"/>
      <c r="I8" s="230"/>
      <c r="J8" s="230"/>
      <c r="K8" s="230"/>
      <c r="L8" s="230"/>
      <c r="M8" s="230"/>
    </row>
    <row r="9" spans="1:13">
      <c r="A9" s="230"/>
      <c r="B9" s="230"/>
      <c r="C9" s="233"/>
      <c r="D9" s="232"/>
      <c r="E9" s="230"/>
      <c r="F9" s="230"/>
      <c r="G9" s="230"/>
      <c r="H9" s="230"/>
      <c r="I9" s="230"/>
      <c r="J9" s="230"/>
    </row>
    <row r="10" spans="1:13">
      <c r="A10" s="230"/>
      <c r="B10" s="230"/>
      <c r="C10" s="233"/>
      <c r="D10" s="232"/>
      <c r="E10" s="230"/>
      <c r="F10" s="230"/>
      <c r="G10" s="230"/>
      <c r="H10" s="230"/>
      <c r="I10" s="230"/>
      <c r="J10" s="230"/>
    </row>
    <row r="11" spans="1:13">
      <c r="A11" s="230"/>
      <c r="B11" s="230"/>
      <c r="C11" s="233"/>
      <c r="D11" s="232"/>
      <c r="E11" s="230"/>
      <c r="F11" s="230"/>
      <c r="G11" s="230"/>
      <c r="H11" s="230"/>
      <c r="I11" s="230"/>
      <c r="J11" s="230"/>
    </row>
    <row r="12" spans="1:13">
      <c r="A12" s="230"/>
      <c r="B12" s="230"/>
      <c r="C12" s="233"/>
      <c r="D12" s="232"/>
      <c r="E12" s="230"/>
      <c r="F12" s="230"/>
      <c r="G12" s="230"/>
      <c r="H12" s="230"/>
      <c r="I12" s="230"/>
      <c r="J12" s="230"/>
    </row>
  </sheetData>
  <sheetProtection selectLockedCells="1" selectUnlockedCells="1"/>
  <autoFilter ref="A3:J7" xr:uid="{00000000-0009-0000-0000-000007000000}"/>
  <phoneticPr fontId="285" type="noConversion"/>
  <conditionalFormatting sqref="A1:A1048576">
    <cfRule type="duplicateValues" dxfId="48" priority="1"/>
    <cfRule type="duplicateValues" dxfId="47" priority="1327392"/>
    <cfRule type="duplicateValues" dxfId="46" priority="320509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164535"/>
    <cfRule type="duplicateValues" dxfId="39" priority="56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/>
    </sheetView>
  </sheetViews>
  <sheetFormatPr baseColWidth="10" defaultColWidth="8.83203125" defaultRowHeight="15"/>
  <cols>
    <col min="1" max="1" width="17.5" style="75" customWidth="1"/>
    <col min="2" max="2" width="30.1640625" style="75" customWidth="1"/>
    <col min="3" max="3" width="14.5" style="75" customWidth="1"/>
    <col min="4" max="4" width="14.6640625" style="75" customWidth="1"/>
    <col min="5" max="6" width="13.5" style="75" customWidth="1"/>
    <col min="7" max="7" width="15.5" style="75" customWidth="1"/>
    <col min="8" max="8" width="24.33203125" style="75" customWidth="1"/>
    <col min="9" max="248" width="9.1640625" style="75"/>
    <col min="249" max="249" width="10.33203125" style="75" bestFit="1" customWidth="1"/>
    <col min="250" max="250" width="30.1640625" style="75" bestFit="1" customWidth="1"/>
    <col min="251" max="251" width="21" style="75" customWidth="1"/>
    <col min="252" max="253" width="13.5" style="75" customWidth="1"/>
    <col min="254" max="254" width="21.83203125" style="75" bestFit="1" customWidth="1"/>
    <col min="255" max="255" width="12" style="75" customWidth="1"/>
    <col min="256" max="256" width="11.5" style="75" bestFit="1" customWidth="1"/>
    <col min="257" max="257" width="13.5" style="75" customWidth="1"/>
    <col min="258" max="258" width="15.5" style="75" customWidth="1"/>
    <col min="259" max="260" width="18.5" style="75" customWidth="1"/>
    <col min="261" max="261" width="17.83203125" style="75" customWidth="1"/>
    <col min="262" max="504" width="9.1640625" style="75"/>
    <col min="505" max="505" width="10.33203125" style="75" bestFit="1" customWidth="1"/>
    <col min="506" max="506" width="30.1640625" style="75" bestFit="1" customWidth="1"/>
    <col min="507" max="507" width="21" style="75" customWidth="1"/>
    <col min="508" max="509" width="13.5" style="75" customWidth="1"/>
    <col min="510" max="510" width="21.83203125" style="75" bestFit="1" customWidth="1"/>
    <col min="511" max="511" width="12" style="75" customWidth="1"/>
    <col min="512" max="512" width="11.5" style="75" bestFit="1" customWidth="1"/>
    <col min="513" max="513" width="13.5" style="75" customWidth="1"/>
    <col min="514" max="514" width="15.5" style="75" customWidth="1"/>
    <col min="515" max="516" width="18.5" style="75" customWidth="1"/>
    <col min="517" max="517" width="17.83203125" style="75" customWidth="1"/>
    <col min="518" max="760" width="9.1640625" style="75"/>
    <col min="761" max="761" width="10.33203125" style="75" bestFit="1" customWidth="1"/>
    <col min="762" max="762" width="30.1640625" style="75" bestFit="1" customWidth="1"/>
    <col min="763" max="763" width="21" style="75" customWidth="1"/>
    <col min="764" max="765" width="13.5" style="75" customWidth="1"/>
    <col min="766" max="766" width="21.83203125" style="75" bestFit="1" customWidth="1"/>
    <col min="767" max="767" width="12" style="75" customWidth="1"/>
    <col min="768" max="768" width="11.5" style="75" bestFit="1" customWidth="1"/>
    <col min="769" max="769" width="13.5" style="75" customWidth="1"/>
    <col min="770" max="770" width="15.5" style="75" customWidth="1"/>
    <col min="771" max="772" width="18.5" style="75" customWidth="1"/>
    <col min="773" max="773" width="17.83203125" style="75" customWidth="1"/>
    <col min="774" max="1016" width="9.1640625" style="75"/>
    <col min="1017" max="1017" width="10.33203125" style="75" bestFit="1" customWidth="1"/>
    <col min="1018" max="1018" width="30.1640625" style="75" bestFit="1" customWidth="1"/>
    <col min="1019" max="1019" width="21" style="75" customWidth="1"/>
    <col min="1020" max="1021" width="13.5" style="75" customWidth="1"/>
    <col min="1022" max="1022" width="21.83203125" style="75" bestFit="1" customWidth="1"/>
    <col min="1023" max="1023" width="12" style="75" customWidth="1"/>
    <col min="1024" max="1024" width="11.5" style="75" bestFit="1" customWidth="1"/>
    <col min="1025" max="1025" width="13.5" style="75" customWidth="1"/>
    <col min="1026" max="1026" width="15.5" style="75" customWidth="1"/>
    <col min="1027" max="1028" width="18.5" style="75" customWidth="1"/>
    <col min="1029" max="1029" width="17.83203125" style="75" customWidth="1"/>
    <col min="1030" max="1272" width="9.1640625" style="75"/>
    <col min="1273" max="1273" width="10.33203125" style="75" bestFit="1" customWidth="1"/>
    <col min="1274" max="1274" width="30.1640625" style="75" bestFit="1" customWidth="1"/>
    <col min="1275" max="1275" width="21" style="75" customWidth="1"/>
    <col min="1276" max="1277" width="13.5" style="75" customWidth="1"/>
    <col min="1278" max="1278" width="21.83203125" style="75" bestFit="1" customWidth="1"/>
    <col min="1279" max="1279" width="12" style="75" customWidth="1"/>
    <col min="1280" max="1280" width="11.5" style="75" bestFit="1" customWidth="1"/>
    <col min="1281" max="1281" width="13.5" style="75" customWidth="1"/>
    <col min="1282" max="1282" width="15.5" style="75" customWidth="1"/>
    <col min="1283" max="1284" width="18.5" style="75" customWidth="1"/>
    <col min="1285" max="1285" width="17.83203125" style="75" customWidth="1"/>
    <col min="1286" max="1528" width="9.1640625" style="75"/>
    <col min="1529" max="1529" width="10.33203125" style="75" bestFit="1" customWidth="1"/>
    <col min="1530" max="1530" width="30.1640625" style="75" bestFit="1" customWidth="1"/>
    <col min="1531" max="1531" width="21" style="75" customWidth="1"/>
    <col min="1532" max="1533" width="13.5" style="75" customWidth="1"/>
    <col min="1534" max="1534" width="21.83203125" style="75" bestFit="1" customWidth="1"/>
    <col min="1535" max="1535" width="12" style="75" customWidth="1"/>
    <col min="1536" max="1536" width="11.5" style="75" bestFit="1" customWidth="1"/>
    <col min="1537" max="1537" width="13.5" style="75" customWidth="1"/>
    <col min="1538" max="1538" width="15.5" style="75" customWidth="1"/>
    <col min="1539" max="1540" width="18.5" style="75" customWidth="1"/>
    <col min="1541" max="1541" width="17.83203125" style="75" customWidth="1"/>
    <col min="1542" max="1784" width="9.1640625" style="75"/>
    <col min="1785" max="1785" width="10.33203125" style="75" bestFit="1" customWidth="1"/>
    <col min="1786" max="1786" width="30.1640625" style="75" bestFit="1" customWidth="1"/>
    <col min="1787" max="1787" width="21" style="75" customWidth="1"/>
    <col min="1788" max="1789" width="13.5" style="75" customWidth="1"/>
    <col min="1790" max="1790" width="21.83203125" style="75" bestFit="1" customWidth="1"/>
    <col min="1791" max="1791" width="12" style="75" customWidth="1"/>
    <col min="1792" max="1792" width="11.5" style="75" bestFit="1" customWidth="1"/>
    <col min="1793" max="1793" width="13.5" style="75" customWidth="1"/>
    <col min="1794" max="1794" width="15.5" style="75" customWidth="1"/>
    <col min="1795" max="1796" width="18.5" style="75" customWidth="1"/>
    <col min="1797" max="1797" width="17.83203125" style="75" customWidth="1"/>
    <col min="1798" max="2040" width="9.1640625" style="75"/>
    <col min="2041" max="2041" width="10.33203125" style="75" bestFit="1" customWidth="1"/>
    <col min="2042" max="2042" width="30.1640625" style="75" bestFit="1" customWidth="1"/>
    <col min="2043" max="2043" width="21" style="75" customWidth="1"/>
    <col min="2044" max="2045" width="13.5" style="75" customWidth="1"/>
    <col min="2046" max="2046" width="21.83203125" style="75" bestFit="1" customWidth="1"/>
    <col min="2047" max="2047" width="12" style="75" customWidth="1"/>
    <col min="2048" max="2048" width="11.5" style="75" bestFit="1" customWidth="1"/>
    <col min="2049" max="2049" width="13.5" style="75" customWidth="1"/>
    <col min="2050" max="2050" width="15.5" style="75" customWidth="1"/>
    <col min="2051" max="2052" width="18.5" style="75" customWidth="1"/>
    <col min="2053" max="2053" width="17.83203125" style="75" customWidth="1"/>
    <col min="2054" max="2296" width="9.1640625" style="75"/>
    <col min="2297" max="2297" width="10.33203125" style="75" bestFit="1" customWidth="1"/>
    <col min="2298" max="2298" width="30.1640625" style="75" bestFit="1" customWidth="1"/>
    <col min="2299" max="2299" width="21" style="75" customWidth="1"/>
    <col min="2300" max="2301" width="13.5" style="75" customWidth="1"/>
    <col min="2302" max="2302" width="21.83203125" style="75" bestFit="1" customWidth="1"/>
    <col min="2303" max="2303" width="12" style="75" customWidth="1"/>
    <col min="2304" max="2304" width="11.5" style="75" bestFit="1" customWidth="1"/>
    <col min="2305" max="2305" width="13.5" style="75" customWidth="1"/>
    <col min="2306" max="2306" width="15.5" style="75" customWidth="1"/>
    <col min="2307" max="2308" width="18.5" style="75" customWidth="1"/>
    <col min="2309" max="2309" width="17.83203125" style="75" customWidth="1"/>
    <col min="2310" max="2552" width="9.1640625" style="75"/>
    <col min="2553" max="2553" width="10.33203125" style="75" bestFit="1" customWidth="1"/>
    <col min="2554" max="2554" width="30.1640625" style="75" bestFit="1" customWidth="1"/>
    <col min="2555" max="2555" width="21" style="75" customWidth="1"/>
    <col min="2556" max="2557" width="13.5" style="75" customWidth="1"/>
    <col min="2558" max="2558" width="21.83203125" style="75" bestFit="1" customWidth="1"/>
    <col min="2559" max="2559" width="12" style="75" customWidth="1"/>
    <col min="2560" max="2560" width="11.5" style="75" bestFit="1" customWidth="1"/>
    <col min="2561" max="2561" width="13.5" style="75" customWidth="1"/>
    <col min="2562" max="2562" width="15.5" style="75" customWidth="1"/>
    <col min="2563" max="2564" width="18.5" style="75" customWidth="1"/>
    <col min="2565" max="2565" width="17.83203125" style="75" customWidth="1"/>
    <col min="2566" max="2808" width="9.1640625" style="75"/>
    <col min="2809" max="2809" width="10.33203125" style="75" bestFit="1" customWidth="1"/>
    <col min="2810" max="2810" width="30.1640625" style="75" bestFit="1" customWidth="1"/>
    <col min="2811" max="2811" width="21" style="75" customWidth="1"/>
    <col min="2812" max="2813" width="13.5" style="75" customWidth="1"/>
    <col min="2814" max="2814" width="21.83203125" style="75" bestFit="1" customWidth="1"/>
    <col min="2815" max="2815" width="12" style="75" customWidth="1"/>
    <col min="2816" max="2816" width="11.5" style="75" bestFit="1" customWidth="1"/>
    <col min="2817" max="2817" width="13.5" style="75" customWidth="1"/>
    <col min="2818" max="2818" width="15.5" style="75" customWidth="1"/>
    <col min="2819" max="2820" width="18.5" style="75" customWidth="1"/>
    <col min="2821" max="2821" width="17.83203125" style="75" customWidth="1"/>
    <col min="2822" max="3064" width="9.1640625" style="75"/>
    <col min="3065" max="3065" width="10.33203125" style="75" bestFit="1" customWidth="1"/>
    <col min="3066" max="3066" width="30.1640625" style="75" bestFit="1" customWidth="1"/>
    <col min="3067" max="3067" width="21" style="75" customWidth="1"/>
    <col min="3068" max="3069" width="13.5" style="75" customWidth="1"/>
    <col min="3070" max="3070" width="21.83203125" style="75" bestFit="1" customWidth="1"/>
    <col min="3071" max="3071" width="12" style="75" customWidth="1"/>
    <col min="3072" max="3072" width="11.5" style="75" bestFit="1" customWidth="1"/>
    <col min="3073" max="3073" width="13.5" style="75" customWidth="1"/>
    <col min="3074" max="3074" width="15.5" style="75" customWidth="1"/>
    <col min="3075" max="3076" width="18.5" style="75" customWidth="1"/>
    <col min="3077" max="3077" width="17.83203125" style="75" customWidth="1"/>
    <col min="3078" max="3320" width="9.1640625" style="75"/>
    <col min="3321" max="3321" width="10.33203125" style="75" bestFit="1" customWidth="1"/>
    <col min="3322" max="3322" width="30.1640625" style="75" bestFit="1" customWidth="1"/>
    <col min="3323" max="3323" width="21" style="75" customWidth="1"/>
    <col min="3324" max="3325" width="13.5" style="75" customWidth="1"/>
    <col min="3326" max="3326" width="21.83203125" style="75" bestFit="1" customWidth="1"/>
    <col min="3327" max="3327" width="12" style="75" customWidth="1"/>
    <col min="3328" max="3328" width="11.5" style="75" bestFit="1" customWidth="1"/>
    <col min="3329" max="3329" width="13.5" style="75" customWidth="1"/>
    <col min="3330" max="3330" width="15.5" style="75" customWidth="1"/>
    <col min="3331" max="3332" width="18.5" style="75" customWidth="1"/>
    <col min="3333" max="3333" width="17.83203125" style="75" customWidth="1"/>
    <col min="3334" max="3576" width="9.1640625" style="75"/>
    <col min="3577" max="3577" width="10.33203125" style="75" bestFit="1" customWidth="1"/>
    <col min="3578" max="3578" width="30.1640625" style="75" bestFit="1" customWidth="1"/>
    <col min="3579" max="3579" width="21" style="75" customWidth="1"/>
    <col min="3580" max="3581" width="13.5" style="75" customWidth="1"/>
    <col min="3582" max="3582" width="21.83203125" style="75" bestFit="1" customWidth="1"/>
    <col min="3583" max="3583" width="12" style="75" customWidth="1"/>
    <col min="3584" max="3584" width="11.5" style="75" bestFit="1" customWidth="1"/>
    <col min="3585" max="3585" width="13.5" style="75" customWidth="1"/>
    <col min="3586" max="3586" width="15.5" style="75" customWidth="1"/>
    <col min="3587" max="3588" width="18.5" style="75" customWidth="1"/>
    <col min="3589" max="3589" width="17.83203125" style="75" customWidth="1"/>
    <col min="3590" max="3832" width="9.1640625" style="75"/>
    <col min="3833" max="3833" width="10.33203125" style="75" bestFit="1" customWidth="1"/>
    <col min="3834" max="3834" width="30.1640625" style="75" bestFit="1" customWidth="1"/>
    <col min="3835" max="3835" width="21" style="75" customWidth="1"/>
    <col min="3836" max="3837" width="13.5" style="75" customWidth="1"/>
    <col min="3838" max="3838" width="21.83203125" style="75" bestFit="1" customWidth="1"/>
    <col min="3839" max="3839" width="12" style="75" customWidth="1"/>
    <col min="3840" max="3840" width="11.5" style="75" bestFit="1" customWidth="1"/>
    <col min="3841" max="3841" width="13.5" style="75" customWidth="1"/>
    <col min="3842" max="3842" width="15.5" style="75" customWidth="1"/>
    <col min="3843" max="3844" width="18.5" style="75" customWidth="1"/>
    <col min="3845" max="3845" width="17.83203125" style="75" customWidth="1"/>
    <col min="3846" max="4088" width="9.1640625" style="75"/>
    <col min="4089" max="4089" width="10.33203125" style="75" bestFit="1" customWidth="1"/>
    <col min="4090" max="4090" width="30.1640625" style="75" bestFit="1" customWidth="1"/>
    <col min="4091" max="4091" width="21" style="75" customWidth="1"/>
    <col min="4092" max="4093" width="13.5" style="75" customWidth="1"/>
    <col min="4094" max="4094" width="21.83203125" style="75" bestFit="1" customWidth="1"/>
    <col min="4095" max="4095" width="12" style="75" customWidth="1"/>
    <col min="4096" max="4096" width="11.5" style="75" bestFit="1" customWidth="1"/>
    <col min="4097" max="4097" width="13.5" style="75" customWidth="1"/>
    <col min="4098" max="4098" width="15.5" style="75" customWidth="1"/>
    <col min="4099" max="4100" width="18.5" style="75" customWidth="1"/>
    <col min="4101" max="4101" width="17.83203125" style="75" customWidth="1"/>
    <col min="4102" max="4344" width="9.1640625" style="75"/>
    <col min="4345" max="4345" width="10.33203125" style="75" bestFit="1" customWidth="1"/>
    <col min="4346" max="4346" width="30.1640625" style="75" bestFit="1" customWidth="1"/>
    <col min="4347" max="4347" width="21" style="75" customWidth="1"/>
    <col min="4348" max="4349" width="13.5" style="75" customWidth="1"/>
    <col min="4350" max="4350" width="21.83203125" style="75" bestFit="1" customWidth="1"/>
    <col min="4351" max="4351" width="12" style="75" customWidth="1"/>
    <col min="4352" max="4352" width="11.5" style="75" bestFit="1" customWidth="1"/>
    <col min="4353" max="4353" width="13.5" style="75" customWidth="1"/>
    <col min="4354" max="4354" width="15.5" style="75" customWidth="1"/>
    <col min="4355" max="4356" width="18.5" style="75" customWidth="1"/>
    <col min="4357" max="4357" width="17.83203125" style="75" customWidth="1"/>
    <col min="4358" max="4600" width="9.1640625" style="75"/>
    <col min="4601" max="4601" width="10.33203125" style="75" bestFit="1" customWidth="1"/>
    <col min="4602" max="4602" width="30.1640625" style="75" bestFit="1" customWidth="1"/>
    <col min="4603" max="4603" width="21" style="75" customWidth="1"/>
    <col min="4604" max="4605" width="13.5" style="75" customWidth="1"/>
    <col min="4606" max="4606" width="21.83203125" style="75" bestFit="1" customWidth="1"/>
    <col min="4607" max="4607" width="12" style="75" customWidth="1"/>
    <col min="4608" max="4608" width="11.5" style="75" bestFit="1" customWidth="1"/>
    <col min="4609" max="4609" width="13.5" style="75" customWidth="1"/>
    <col min="4610" max="4610" width="15.5" style="75" customWidth="1"/>
    <col min="4611" max="4612" width="18.5" style="75" customWidth="1"/>
    <col min="4613" max="4613" width="17.83203125" style="75" customWidth="1"/>
    <col min="4614" max="4856" width="9.1640625" style="75"/>
    <col min="4857" max="4857" width="10.33203125" style="75" bestFit="1" customWidth="1"/>
    <col min="4858" max="4858" width="30.1640625" style="75" bestFit="1" customWidth="1"/>
    <col min="4859" max="4859" width="21" style="75" customWidth="1"/>
    <col min="4860" max="4861" width="13.5" style="75" customWidth="1"/>
    <col min="4862" max="4862" width="21.83203125" style="75" bestFit="1" customWidth="1"/>
    <col min="4863" max="4863" width="12" style="75" customWidth="1"/>
    <col min="4864" max="4864" width="11.5" style="75" bestFit="1" customWidth="1"/>
    <col min="4865" max="4865" width="13.5" style="75" customWidth="1"/>
    <col min="4866" max="4866" width="15.5" style="75" customWidth="1"/>
    <col min="4867" max="4868" width="18.5" style="75" customWidth="1"/>
    <col min="4869" max="4869" width="17.83203125" style="75" customWidth="1"/>
    <col min="4870" max="5112" width="9.1640625" style="75"/>
    <col min="5113" max="5113" width="10.33203125" style="75" bestFit="1" customWidth="1"/>
    <col min="5114" max="5114" width="30.1640625" style="75" bestFit="1" customWidth="1"/>
    <col min="5115" max="5115" width="21" style="75" customWidth="1"/>
    <col min="5116" max="5117" width="13.5" style="75" customWidth="1"/>
    <col min="5118" max="5118" width="21.83203125" style="75" bestFit="1" customWidth="1"/>
    <col min="5119" max="5119" width="12" style="75" customWidth="1"/>
    <col min="5120" max="5120" width="11.5" style="75" bestFit="1" customWidth="1"/>
    <col min="5121" max="5121" width="13.5" style="75" customWidth="1"/>
    <col min="5122" max="5122" width="15.5" style="75" customWidth="1"/>
    <col min="5123" max="5124" width="18.5" style="75" customWidth="1"/>
    <col min="5125" max="5125" width="17.83203125" style="75" customWidth="1"/>
    <col min="5126" max="5368" width="9.1640625" style="75"/>
    <col min="5369" max="5369" width="10.33203125" style="75" bestFit="1" customWidth="1"/>
    <col min="5370" max="5370" width="30.1640625" style="75" bestFit="1" customWidth="1"/>
    <col min="5371" max="5371" width="21" style="75" customWidth="1"/>
    <col min="5372" max="5373" width="13.5" style="75" customWidth="1"/>
    <col min="5374" max="5374" width="21.83203125" style="75" bestFit="1" customWidth="1"/>
    <col min="5375" max="5375" width="12" style="75" customWidth="1"/>
    <col min="5376" max="5376" width="11.5" style="75" bestFit="1" customWidth="1"/>
    <col min="5377" max="5377" width="13.5" style="75" customWidth="1"/>
    <col min="5378" max="5378" width="15.5" style="75" customWidth="1"/>
    <col min="5379" max="5380" width="18.5" style="75" customWidth="1"/>
    <col min="5381" max="5381" width="17.83203125" style="75" customWidth="1"/>
    <col min="5382" max="5624" width="9.1640625" style="75"/>
    <col min="5625" max="5625" width="10.33203125" style="75" bestFit="1" customWidth="1"/>
    <col min="5626" max="5626" width="30.1640625" style="75" bestFit="1" customWidth="1"/>
    <col min="5627" max="5627" width="21" style="75" customWidth="1"/>
    <col min="5628" max="5629" width="13.5" style="75" customWidth="1"/>
    <col min="5630" max="5630" width="21.83203125" style="75" bestFit="1" customWidth="1"/>
    <col min="5631" max="5631" width="12" style="75" customWidth="1"/>
    <col min="5632" max="5632" width="11.5" style="75" bestFit="1" customWidth="1"/>
    <col min="5633" max="5633" width="13.5" style="75" customWidth="1"/>
    <col min="5634" max="5634" width="15.5" style="75" customWidth="1"/>
    <col min="5635" max="5636" width="18.5" style="75" customWidth="1"/>
    <col min="5637" max="5637" width="17.83203125" style="75" customWidth="1"/>
    <col min="5638" max="5880" width="9.1640625" style="75"/>
    <col min="5881" max="5881" width="10.33203125" style="75" bestFit="1" customWidth="1"/>
    <col min="5882" max="5882" width="30.1640625" style="75" bestFit="1" customWidth="1"/>
    <col min="5883" max="5883" width="21" style="75" customWidth="1"/>
    <col min="5884" max="5885" width="13.5" style="75" customWidth="1"/>
    <col min="5886" max="5886" width="21.83203125" style="75" bestFit="1" customWidth="1"/>
    <col min="5887" max="5887" width="12" style="75" customWidth="1"/>
    <col min="5888" max="5888" width="11.5" style="75" bestFit="1" customWidth="1"/>
    <col min="5889" max="5889" width="13.5" style="75" customWidth="1"/>
    <col min="5890" max="5890" width="15.5" style="75" customWidth="1"/>
    <col min="5891" max="5892" width="18.5" style="75" customWidth="1"/>
    <col min="5893" max="5893" width="17.83203125" style="75" customWidth="1"/>
    <col min="5894" max="6136" width="9.1640625" style="75"/>
    <col min="6137" max="6137" width="10.33203125" style="75" bestFit="1" customWidth="1"/>
    <col min="6138" max="6138" width="30.1640625" style="75" bestFit="1" customWidth="1"/>
    <col min="6139" max="6139" width="21" style="75" customWidth="1"/>
    <col min="6140" max="6141" width="13.5" style="75" customWidth="1"/>
    <col min="6142" max="6142" width="21.83203125" style="75" bestFit="1" customWidth="1"/>
    <col min="6143" max="6143" width="12" style="75" customWidth="1"/>
    <col min="6144" max="6144" width="11.5" style="75" bestFit="1" customWidth="1"/>
    <col min="6145" max="6145" width="13.5" style="75" customWidth="1"/>
    <col min="6146" max="6146" width="15.5" style="75" customWidth="1"/>
    <col min="6147" max="6148" width="18.5" style="75" customWidth="1"/>
    <col min="6149" max="6149" width="17.83203125" style="75" customWidth="1"/>
    <col min="6150" max="6392" width="9.1640625" style="75"/>
    <col min="6393" max="6393" width="10.33203125" style="75" bestFit="1" customWidth="1"/>
    <col min="6394" max="6394" width="30.1640625" style="75" bestFit="1" customWidth="1"/>
    <col min="6395" max="6395" width="21" style="75" customWidth="1"/>
    <col min="6396" max="6397" width="13.5" style="75" customWidth="1"/>
    <col min="6398" max="6398" width="21.83203125" style="75" bestFit="1" customWidth="1"/>
    <col min="6399" max="6399" width="12" style="75" customWidth="1"/>
    <col min="6400" max="6400" width="11.5" style="75" bestFit="1" customWidth="1"/>
    <col min="6401" max="6401" width="13.5" style="75" customWidth="1"/>
    <col min="6402" max="6402" width="15.5" style="75" customWidth="1"/>
    <col min="6403" max="6404" width="18.5" style="75" customWidth="1"/>
    <col min="6405" max="6405" width="17.83203125" style="75" customWidth="1"/>
    <col min="6406" max="6648" width="9.1640625" style="75"/>
    <col min="6649" max="6649" width="10.33203125" style="75" bestFit="1" customWidth="1"/>
    <col min="6650" max="6650" width="30.1640625" style="75" bestFit="1" customWidth="1"/>
    <col min="6651" max="6651" width="21" style="75" customWidth="1"/>
    <col min="6652" max="6653" width="13.5" style="75" customWidth="1"/>
    <col min="6654" max="6654" width="21.83203125" style="75" bestFit="1" customWidth="1"/>
    <col min="6655" max="6655" width="12" style="75" customWidth="1"/>
    <col min="6656" max="6656" width="11.5" style="75" bestFit="1" customWidth="1"/>
    <col min="6657" max="6657" width="13.5" style="75" customWidth="1"/>
    <col min="6658" max="6658" width="15.5" style="75" customWidth="1"/>
    <col min="6659" max="6660" width="18.5" style="75" customWidth="1"/>
    <col min="6661" max="6661" width="17.83203125" style="75" customWidth="1"/>
    <col min="6662" max="6904" width="9.1640625" style="75"/>
    <col min="6905" max="6905" width="10.33203125" style="75" bestFit="1" customWidth="1"/>
    <col min="6906" max="6906" width="30.1640625" style="75" bestFit="1" customWidth="1"/>
    <col min="6907" max="6907" width="21" style="75" customWidth="1"/>
    <col min="6908" max="6909" width="13.5" style="75" customWidth="1"/>
    <col min="6910" max="6910" width="21.83203125" style="75" bestFit="1" customWidth="1"/>
    <col min="6911" max="6911" width="12" style="75" customWidth="1"/>
    <col min="6912" max="6912" width="11.5" style="75" bestFit="1" customWidth="1"/>
    <col min="6913" max="6913" width="13.5" style="75" customWidth="1"/>
    <col min="6914" max="6914" width="15.5" style="75" customWidth="1"/>
    <col min="6915" max="6916" width="18.5" style="75" customWidth="1"/>
    <col min="6917" max="6917" width="17.83203125" style="75" customWidth="1"/>
    <col min="6918" max="7160" width="9.1640625" style="75"/>
    <col min="7161" max="7161" width="10.33203125" style="75" bestFit="1" customWidth="1"/>
    <col min="7162" max="7162" width="30.1640625" style="75" bestFit="1" customWidth="1"/>
    <col min="7163" max="7163" width="21" style="75" customWidth="1"/>
    <col min="7164" max="7165" width="13.5" style="75" customWidth="1"/>
    <col min="7166" max="7166" width="21.83203125" style="75" bestFit="1" customWidth="1"/>
    <col min="7167" max="7167" width="12" style="75" customWidth="1"/>
    <col min="7168" max="7168" width="11.5" style="75" bestFit="1" customWidth="1"/>
    <col min="7169" max="7169" width="13.5" style="75" customWidth="1"/>
    <col min="7170" max="7170" width="15.5" style="75" customWidth="1"/>
    <col min="7171" max="7172" width="18.5" style="75" customWidth="1"/>
    <col min="7173" max="7173" width="17.83203125" style="75" customWidth="1"/>
    <col min="7174" max="7416" width="9.1640625" style="75"/>
    <col min="7417" max="7417" width="10.33203125" style="75" bestFit="1" customWidth="1"/>
    <col min="7418" max="7418" width="30.1640625" style="75" bestFit="1" customWidth="1"/>
    <col min="7419" max="7419" width="21" style="75" customWidth="1"/>
    <col min="7420" max="7421" width="13.5" style="75" customWidth="1"/>
    <col min="7422" max="7422" width="21.83203125" style="75" bestFit="1" customWidth="1"/>
    <col min="7423" max="7423" width="12" style="75" customWidth="1"/>
    <col min="7424" max="7424" width="11.5" style="75" bestFit="1" customWidth="1"/>
    <col min="7425" max="7425" width="13.5" style="75" customWidth="1"/>
    <col min="7426" max="7426" width="15.5" style="75" customWidth="1"/>
    <col min="7427" max="7428" width="18.5" style="75" customWidth="1"/>
    <col min="7429" max="7429" width="17.83203125" style="75" customWidth="1"/>
    <col min="7430" max="7672" width="9.1640625" style="75"/>
    <col min="7673" max="7673" width="10.33203125" style="75" bestFit="1" customWidth="1"/>
    <col min="7674" max="7674" width="30.1640625" style="75" bestFit="1" customWidth="1"/>
    <col min="7675" max="7675" width="21" style="75" customWidth="1"/>
    <col min="7676" max="7677" width="13.5" style="75" customWidth="1"/>
    <col min="7678" max="7678" width="21.83203125" style="75" bestFit="1" customWidth="1"/>
    <col min="7679" max="7679" width="12" style="75" customWidth="1"/>
    <col min="7680" max="7680" width="11.5" style="75" bestFit="1" customWidth="1"/>
    <col min="7681" max="7681" width="13.5" style="75" customWidth="1"/>
    <col min="7682" max="7682" width="15.5" style="75" customWidth="1"/>
    <col min="7683" max="7684" width="18.5" style="75" customWidth="1"/>
    <col min="7685" max="7685" width="17.83203125" style="75" customWidth="1"/>
    <col min="7686" max="7928" width="9.1640625" style="75"/>
    <col min="7929" max="7929" width="10.33203125" style="75" bestFit="1" customWidth="1"/>
    <col min="7930" max="7930" width="30.1640625" style="75" bestFit="1" customWidth="1"/>
    <col min="7931" max="7931" width="21" style="75" customWidth="1"/>
    <col min="7932" max="7933" width="13.5" style="75" customWidth="1"/>
    <col min="7934" max="7934" width="21.83203125" style="75" bestFit="1" customWidth="1"/>
    <col min="7935" max="7935" width="12" style="75" customWidth="1"/>
    <col min="7936" max="7936" width="11.5" style="75" bestFit="1" customWidth="1"/>
    <col min="7937" max="7937" width="13.5" style="75" customWidth="1"/>
    <col min="7938" max="7938" width="15.5" style="75" customWidth="1"/>
    <col min="7939" max="7940" width="18.5" style="75" customWidth="1"/>
    <col min="7941" max="7941" width="17.83203125" style="75" customWidth="1"/>
    <col min="7942" max="8184" width="9.1640625" style="75"/>
    <col min="8185" max="8185" width="10.33203125" style="75" bestFit="1" customWidth="1"/>
    <col min="8186" max="8186" width="30.1640625" style="75" bestFit="1" customWidth="1"/>
    <col min="8187" max="8187" width="21" style="75" customWidth="1"/>
    <col min="8188" max="8189" width="13.5" style="75" customWidth="1"/>
    <col min="8190" max="8190" width="21.83203125" style="75" bestFit="1" customWidth="1"/>
    <col min="8191" max="8191" width="12" style="75" customWidth="1"/>
    <col min="8192" max="8192" width="11.5" style="75" bestFit="1" customWidth="1"/>
    <col min="8193" max="8193" width="13.5" style="75" customWidth="1"/>
    <col min="8194" max="8194" width="15.5" style="75" customWidth="1"/>
    <col min="8195" max="8196" width="18.5" style="75" customWidth="1"/>
    <col min="8197" max="8197" width="17.83203125" style="75" customWidth="1"/>
    <col min="8198" max="8440" width="9.1640625" style="75"/>
    <col min="8441" max="8441" width="10.33203125" style="75" bestFit="1" customWidth="1"/>
    <col min="8442" max="8442" width="30.1640625" style="75" bestFit="1" customWidth="1"/>
    <col min="8443" max="8443" width="21" style="75" customWidth="1"/>
    <col min="8444" max="8445" width="13.5" style="75" customWidth="1"/>
    <col min="8446" max="8446" width="21.83203125" style="75" bestFit="1" customWidth="1"/>
    <col min="8447" max="8447" width="12" style="75" customWidth="1"/>
    <col min="8448" max="8448" width="11.5" style="75" bestFit="1" customWidth="1"/>
    <col min="8449" max="8449" width="13.5" style="75" customWidth="1"/>
    <col min="8450" max="8450" width="15.5" style="75" customWidth="1"/>
    <col min="8451" max="8452" width="18.5" style="75" customWidth="1"/>
    <col min="8453" max="8453" width="17.83203125" style="75" customWidth="1"/>
    <col min="8454" max="8696" width="9.1640625" style="75"/>
    <col min="8697" max="8697" width="10.33203125" style="75" bestFit="1" customWidth="1"/>
    <col min="8698" max="8698" width="30.1640625" style="75" bestFit="1" customWidth="1"/>
    <col min="8699" max="8699" width="21" style="75" customWidth="1"/>
    <col min="8700" max="8701" width="13.5" style="75" customWidth="1"/>
    <col min="8702" max="8702" width="21.83203125" style="75" bestFit="1" customWidth="1"/>
    <col min="8703" max="8703" width="12" style="75" customWidth="1"/>
    <col min="8704" max="8704" width="11.5" style="75" bestFit="1" customWidth="1"/>
    <col min="8705" max="8705" width="13.5" style="75" customWidth="1"/>
    <col min="8706" max="8706" width="15.5" style="75" customWidth="1"/>
    <col min="8707" max="8708" width="18.5" style="75" customWidth="1"/>
    <col min="8709" max="8709" width="17.83203125" style="75" customWidth="1"/>
    <col min="8710" max="8952" width="9.1640625" style="75"/>
    <col min="8953" max="8953" width="10.33203125" style="75" bestFit="1" customWidth="1"/>
    <col min="8954" max="8954" width="30.1640625" style="75" bestFit="1" customWidth="1"/>
    <col min="8955" max="8955" width="21" style="75" customWidth="1"/>
    <col min="8956" max="8957" width="13.5" style="75" customWidth="1"/>
    <col min="8958" max="8958" width="21.83203125" style="75" bestFit="1" customWidth="1"/>
    <col min="8959" max="8959" width="12" style="75" customWidth="1"/>
    <col min="8960" max="8960" width="11.5" style="75" bestFit="1" customWidth="1"/>
    <col min="8961" max="8961" width="13.5" style="75" customWidth="1"/>
    <col min="8962" max="8962" width="15.5" style="75" customWidth="1"/>
    <col min="8963" max="8964" width="18.5" style="75" customWidth="1"/>
    <col min="8965" max="8965" width="17.83203125" style="75" customWidth="1"/>
    <col min="8966" max="9208" width="9.1640625" style="75"/>
    <col min="9209" max="9209" width="10.33203125" style="75" bestFit="1" customWidth="1"/>
    <col min="9210" max="9210" width="30.1640625" style="75" bestFit="1" customWidth="1"/>
    <col min="9211" max="9211" width="21" style="75" customWidth="1"/>
    <col min="9212" max="9213" width="13.5" style="75" customWidth="1"/>
    <col min="9214" max="9214" width="21.83203125" style="75" bestFit="1" customWidth="1"/>
    <col min="9215" max="9215" width="12" style="75" customWidth="1"/>
    <col min="9216" max="9216" width="11.5" style="75" bestFit="1" customWidth="1"/>
    <col min="9217" max="9217" width="13.5" style="75" customWidth="1"/>
    <col min="9218" max="9218" width="15.5" style="75" customWidth="1"/>
    <col min="9219" max="9220" width="18.5" style="75" customWidth="1"/>
    <col min="9221" max="9221" width="17.83203125" style="75" customWidth="1"/>
    <col min="9222" max="9464" width="9.1640625" style="75"/>
    <col min="9465" max="9465" width="10.33203125" style="75" bestFit="1" customWidth="1"/>
    <col min="9466" max="9466" width="30.1640625" style="75" bestFit="1" customWidth="1"/>
    <col min="9467" max="9467" width="21" style="75" customWidth="1"/>
    <col min="9468" max="9469" width="13.5" style="75" customWidth="1"/>
    <col min="9470" max="9470" width="21.83203125" style="75" bestFit="1" customWidth="1"/>
    <col min="9471" max="9471" width="12" style="75" customWidth="1"/>
    <col min="9472" max="9472" width="11.5" style="75" bestFit="1" customWidth="1"/>
    <col min="9473" max="9473" width="13.5" style="75" customWidth="1"/>
    <col min="9474" max="9474" width="15.5" style="75" customWidth="1"/>
    <col min="9475" max="9476" width="18.5" style="75" customWidth="1"/>
    <col min="9477" max="9477" width="17.83203125" style="75" customWidth="1"/>
    <col min="9478" max="9720" width="9.1640625" style="75"/>
    <col min="9721" max="9721" width="10.33203125" style="75" bestFit="1" customWidth="1"/>
    <col min="9722" max="9722" width="30.1640625" style="75" bestFit="1" customWidth="1"/>
    <col min="9723" max="9723" width="21" style="75" customWidth="1"/>
    <col min="9724" max="9725" width="13.5" style="75" customWidth="1"/>
    <col min="9726" max="9726" width="21.83203125" style="75" bestFit="1" customWidth="1"/>
    <col min="9727" max="9727" width="12" style="75" customWidth="1"/>
    <col min="9728" max="9728" width="11.5" style="75" bestFit="1" customWidth="1"/>
    <col min="9729" max="9729" width="13.5" style="75" customWidth="1"/>
    <col min="9730" max="9730" width="15.5" style="75" customWidth="1"/>
    <col min="9731" max="9732" width="18.5" style="75" customWidth="1"/>
    <col min="9733" max="9733" width="17.83203125" style="75" customWidth="1"/>
    <col min="9734" max="9976" width="9.1640625" style="75"/>
    <col min="9977" max="9977" width="10.33203125" style="75" bestFit="1" customWidth="1"/>
    <col min="9978" max="9978" width="30.1640625" style="75" bestFit="1" customWidth="1"/>
    <col min="9979" max="9979" width="21" style="75" customWidth="1"/>
    <col min="9980" max="9981" width="13.5" style="75" customWidth="1"/>
    <col min="9982" max="9982" width="21.83203125" style="75" bestFit="1" customWidth="1"/>
    <col min="9983" max="9983" width="12" style="75" customWidth="1"/>
    <col min="9984" max="9984" width="11.5" style="75" bestFit="1" customWidth="1"/>
    <col min="9985" max="9985" width="13.5" style="75" customWidth="1"/>
    <col min="9986" max="9986" width="15.5" style="75" customWidth="1"/>
    <col min="9987" max="9988" width="18.5" style="75" customWidth="1"/>
    <col min="9989" max="9989" width="17.83203125" style="75" customWidth="1"/>
    <col min="9990" max="10232" width="9.1640625" style="75"/>
    <col min="10233" max="10233" width="10.33203125" style="75" bestFit="1" customWidth="1"/>
    <col min="10234" max="10234" width="30.1640625" style="75" bestFit="1" customWidth="1"/>
    <col min="10235" max="10235" width="21" style="75" customWidth="1"/>
    <col min="10236" max="10237" width="13.5" style="75" customWidth="1"/>
    <col min="10238" max="10238" width="21.83203125" style="75" bestFit="1" customWidth="1"/>
    <col min="10239" max="10239" width="12" style="75" customWidth="1"/>
    <col min="10240" max="10240" width="11.5" style="75" bestFit="1" customWidth="1"/>
    <col min="10241" max="10241" width="13.5" style="75" customWidth="1"/>
    <col min="10242" max="10242" width="15.5" style="75" customWidth="1"/>
    <col min="10243" max="10244" width="18.5" style="75" customWidth="1"/>
    <col min="10245" max="10245" width="17.83203125" style="75" customWidth="1"/>
    <col min="10246" max="10488" width="9.1640625" style="75"/>
    <col min="10489" max="10489" width="10.33203125" style="75" bestFit="1" customWidth="1"/>
    <col min="10490" max="10490" width="30.1640625" style="75" bestFit="1" customWidth="1"/>
    <col min="10491" max="10491" width="21" style="75" customWidth="1"/>
    <col min="10492" max="10493" width="13.5" style="75" customWidth="1"/>
    <col min="10494" max="10494" width="21.83203125" style="75" bestFit="1" customWidth="1"/>
    <col min="10495" max="10495" width="12" style="75" customWidth="1"/>
    <col min="10496" max="10496" width="11.5" style="75" bestFit="1" customWidth="1"/>
    <col min="10497" max="10497" width="13.5" style="75" customWidth="1"/>
    <col min="10498" max="10498" width="15.5" style="75" customWidth="1"/>
    <col min="10499" max="10500" width="18.5" style="75" customWidth="1"/>
    <col min="10501" max="10501" width="17.83203125" style="75" customWidth="1"/>
    <col min="10502" max="10744" width="9.1640625" style="75"/>
    <col min="10745" max="10745" width="10.33203125" style="75" bestFit="1" customWidth="1"/>
    <col min="10746" max="10746" width="30.1640625" style="75" bestFit="1" customWidth="1"/>
    <col min="10747" max="10747" width="21" style="75" customWidth="1"/>
    <col min="10748" max="10749" width="13.5" style="75" customWidth="1"/>
    <col min="10750" max="10750" width="21.83203125" style="75" bestFit="1" customWidth="1"/>
    <col min="10751" max="10751" width="12" style="75" customWidth="1"/>
    <col min="10752" max="10752" width="11.5" style="75" bestFit="1" customWidth="1"/>
    <col min="10753" max="10753" width="13.5" style="75" customWidth="1"/>
    <col min="10754" max="10754" width="15.5" style="75" customWidth="1"/>
    <col min="10755" max="10756" width="18.5" style="75" customWidth="1"/>
    <col min="10757" max="10757" width="17.83203125" style="75" customWidth="1"/>
    <col min="10758" max="11000" width="9.1640625" style="75"/>
    <col min="11001" max="11001" width="10.33203125" style="75" bestFit="1" customWidth="1"/>
    <col min="11002" max="11002" width="30.1640625" style="75" bestFit="1" customWidth="1"/>
    <col min="11003" max="11003" width="21" style="75" customWidth="1"/>
    <col min="11004" max="11005" width="13.5" style="75" customWidth="1"/>
    <col min="11006" max="11006" width="21.83203125" style="75" bestFit="1" customWidth="1"/>
    <col min="11007" max="11007" width="12" style="75" customWidth="1"/>
    <col min="11008" max="11008" width="11.5" style="75" bestFit="1" customWidth="1"/>
    <col min="11009" max="11009" width="13.5" style="75" customWidth="1"/>
    <col min="11010" max="11010" width="15.5" style="75" customWidth="1"/>
    <col min="11011" max="11012" width="18.5" style="75" customWidth="1"/>
    <col min="11013" max="11013" width="17.83203125" style="75" customWidth="1"/>
    <col min="11014" max="11256" width="9.1640625" style="75"/>
    <col min="11257" max="11257" width="10.33203125" style="75" bestFit="1" customWidth="1"/>
    <col min="11258" max="11258" width="30.1640625" style="75" bestFit="1" customWidth="1"/>
    <col min="11259" max="11259" width="21" style="75" customWidth="1"/>
    <col min="11260" max="11261" width="13.5" style="75" customWidth="1"/>
    <col min="11262" max="11262" width="21.83203125" style="75" bestFit="1" customWidth="1"/>
    <col min="11263" max="11263" width="12" style="75" customWidth="1"/>
    <col min="11264" max="11264" width="11.5" style="75" bestFit="1" customWidth="1"/>
    <col min="11265" max="11265" width="13.5" style="75" customWidth="1"/>
    <col min="11266" max="11266" width="15.5" style="75" customWidth="1"/>
    <col min="11267" max="11268" width="18.5" style="75" customWidth="1"/>
    <col min="11269" max="11269" width="17.83203125" style="75" customWidth="1"/>
    <col min="11270" max="11512" width="9.1640625" style="75"/>
    <col min="11513" max="11513" width="10.33203125" style="75" bestFit="1" customWidth="1"/>
    <col min="11514" max="11514" width="30.1640625" style="75" bestFit="1" customWidth="1"/>
    <col min="11515" max="11515" width="21" style="75" customWidth="1"/>
    <col min="11516" max="11517" width="13.5" style="75" customWidth="1"/>
    <col min="11518" max="11518" width="21.83203125" style="75" bestFit="1" customWidth="1"/>
    <col min="11519" max="11519" width="12" style="75" customWidth="1"/>
    <col min="11520" max="11520" width="11.5" style="75" bestFit="1" customWidth="1"/>
    <col min="11521" max="11521" width="13.5" style="75" customWidth="1"/>
    <col min="11522" max="11522" width="15.5" style="75" customWidth="1"/>
    <col min="11523" max="11524" width="18.5" style="75" customWidth="1"/>
    <col min="11525" max="11525" width="17.83203125" style="75" customWidth="1"/>
    <col min="11526" max="11768" width="9.1640625" style="75"/>
    <col min="11769" max="11769" width="10.33203125" style="75" bestFit="1" customWidth="1"/>
    <col min="11770" max="11770" width="30.1640625" style="75" bestFit="1" customWidth="1"/>
    <col min="11771" max="11771" width="21" style="75" customWidth="1"/>
    <col min="11772" max="11773" width="13.5" style="75" customWidth="1"/>
    <col min="11774" max="11774" width="21.83203125" style="75" bestFit="1" customWidth="1"/>
    <col min="11775" max="11775" width="12" style="75" customWidth="1"/>
    <col min="11776" max="11776" width="11.5" style="75" bestFit="1" customWidth="1"/>
    <col min="11777" max="11777" width="13.5" style="75" customWidth="1"/>
    <col min="11778" max="11778" width="15.5" style="75" customWidth="1"/>
    <col min="11779" max="11780" width="18.5" style="75" customWidth="1"/>
    <col min="11781" max="11781" width="17.83203125" style="75" customWidth="1"/>
    <col min="11782" max="12024" width="9.1640625" style="75"/>
    <col min="12025" max="12025" width="10.33203125" style="75" bestFit="1" customWidth="1"/>
    <col min="12026" max="12026" width="30.1640625" style="75" bestFit="1" customWidth="1"/>
    <col min="12027" max="12027" width="21" style="75" customWidth="1"/>
    <col min="12028" max="12029" width="13.5" style="75" customWidth="1"/>
    <col min="12030" max="12030" width="21.83203125" style="75" bestFit="1" customWidth="1"/>
    <col min="12031" max="12031" width="12" style="75" customWidth="1"/>
    <col min="12032" max="12032" width="11.5" style="75" bestFit="1" customWidth="1"/>
    <col min="12033" max="12033" width="13.5" style="75" customWidth="1"/>
    <col min="12034" max="12034" width="15.5" style="75" customWidth="1"/>
    <col min="12035" max="12036" width="18.5" style="75" customWidth="1"/>
    <col min="12037" max="12037" width="17.83203125" style="75" customWidth="1"/>
    <col min="12038" max="12280" width="9.1640625" style="75"/>
    <col min="12281" max="12281" width="10.33203125" style="75" bestFit="1" customWidth="1"/>
    <col min="12282" max="12282" width="30.1640625" style="75" bestFit="1" customWidth="1"/>
    <col min="12283" max="12283" width="21" style="75" customWidth="1"/>
    <col min="12284" max="12285" width="13.5" style="75" customWidth="1"/>
    <col min="12286" max="12286" width="21.83203125" style="75" bestFit="1" customWidth="1"/>
    <col min="12287" max="12287" width="12" style="75" customWidth="1"/>
    <col min="12288" max="12288" width="11.5" style="75" bestFit="1" customWidth="1"/>
    <col min="12289" max="12289" width="13.5" style="75" customWidth="1"/>
    <col min="12290" max="12290" width="15.5" style="75" customWidth="1"/>
    <col min="12291" max="12292" width="18.5" style="75" customWidth="1"/>
    <col min="12293" max="12293" width="17.83203125" style="75" customWidth="1"/>
    <col min="12294" max="12536" width="9.1640625" style="75"/>
    <col min="12537" max="12537" width="10.33203125" style="75" bestFit="1" customWidth="1"/>
    <col min="12538" max="12538" width="30.1640625" style="75" bestFit="1" customWidth="1"/>
    <col min="12539" max="12539" width="21" style="75" customWidth="1"/>
    <col min="12540" max="12541" width="13.5" style="75" customWidth="1"/>
    <col min="12542" max="12542" width="21.83203125" style="75" bestFit="1" customWidth="1"/>
    <col min="12543" max="12543" width="12" style="75" customWidth="1"/>
    <col min="12544" max="12544" width="11.5" style="75" bestFit="1" customWidth="1"/>
    <col min="12545" max="12545" width="13.5" style="75" customWidth="1"/>
    <col min="12546" max="12546" width="15.5" style="75" customWidth="1"/>
    <col min="12547" max="12548" width="18.5" style="75" customWidth="1"/>
    <col min="12549" max="12549" width="17.83203125" style="75" customWidth="1"/>
    <col min="12550" max="12792" width="9.1640625" style="75"/>
    <col min="12793" max="12793" width="10.33203125" style="75" bestFit="1" customWidth="1"/>
    <col min="12794" max="12794" width="30.1640625" style="75" bestFit="1" customWidth="1"/>
    <col min="12795" max="12795" width="21" style="75" customWidth="1"/>
    <col min="12796" max="12797" width="13.5" style="75" customWidth="1"/>
    <col min="12798" max="12798" width="21.83203125" style="75" bestFit="1" customWidth="1"/>
    <col min="12799" max="12799" width="12" style="75" customWidth="1"/>
    <col min="12800" max="12800" width="11.5" style="75" bestFit="1" customWidth="1"/>
    <col min="12801" max="12801" width="13.5" style="75" customWidth="1"/>
    <col min="12802" max="12802" width="15.5" style="75" customWidth="1"/>
    <col min="12803" max="12804" width="18.5" style="75" customWidth="1"/>
    <col min="12805" max="12805" width="17.83203125" style="75" customWidth="1"/>
    <col min="12806" max="13048" width="9.1640625" style="75"/>
    <col min="13049" max="13049" width="10.33203125" style="75" bestFit="1" customWidth="1"/>
    <col min="13050" max="13050" width="30.1640625" style="75" bestFit="1" customWidth="1"/>
    <col min="13051" max="13051" width="21" style="75" customWidth="1"/>
    <col min="13052" max="13053" width="13.5" style="75" customWidth="1"/>
    <col min="13054" max="13054" width="21.83203125" style="75" bestFit="1" customWidth="1"/>
    <col min="13055" max="13055" width="12" style="75" customWidth="1"/>
    <col min="13056" max="13056" width="11.5" style="75" bestFit="1" customWidth="1"/>
    <col min="13057" max="13057" width="13.5" style="75" customWidth="1"/>
    <col min="13058" max="13058" width="15.5" style="75" customWidth="1"/>
    <col min="13059" max="13060" width="18.5" style="75" customWidth="1"/>
    <col min="13061" max="13061" width="17.83203125" style="75" customWidth="1"/>
    <col min="13062" max="13304" width="9.1640625" style="75"/>
    <col min="13305" max="13305" width="10.33203125" style="75" bestFit="1" customWidth="1"/>
    <col min="13306" max="13306" width="30.1640625" style="75" bestFit="1" customWidth="1"/>
    <col min="13307" max="13307" width="21" style="75" customWidth="1"/>
    <col min="13308" max="13309" width="13.5" style="75" customWidth="1"/>
    <col min="13310" max="13310" width="21.83203125" style="75" bestFit="1" customWidth="1"/>
    <col min="13311" max="13311" width="12" style="75" customWidth="1"/>
    <col min="13312" max="13312" width="11.5" style="75" bestFit="1" customWidth="1"/>
    <col min="13313" max="13313" width="13.5" style="75" customWidth="1"/>
    <col min="13314" max="13314" width="15.5" style="75" customWidth="1"/>
    <col min="13315" max="13316" width="18.5" style="75" customWidth="1"/>
    <col min="13317" max="13317" width="17.83203125" style="75" customWidth="1"/>
    <col min="13318" max="13560" width="9.1640625" style="75"/>
    <col min="13561" max="13561" width="10.33203125" style="75" bestFit="1" customWidth="1"/>
    <col min="13562" max="13562" width="30.1640625" style="75" bestFit="1" customWidth="1"/>
    <col min="13563" max="13563" width="21" style="75" customWidth="1"/>
    <col min="13564" max="13565" width="13.5" style="75" customWidth="1"/>
    <col min="13566" max="13566" width="21.83203125" style="75" bestFit="1" customWidth="1"/>
    <col min="13567" max="13567" width="12" style="75" customWidth="1"/>
    <col min="13568" max="13568" width="11.5" style="75" bestFit="1" customWidth="1"/>
    <col min="13569" max="13569" width="13.5" style="75" customWidth="1"/>
    <col min="13570" max="13570" width="15.5" style="75" customWidth="1"/>
    <col min="13571" max="13572" width="18.5" style="75" customWidth="1"/>
    <col min="13573" max="13573" width="17.83203125" style="75" customWidth="1"/>
    <col min="13574" max="13816" width="9.1640625" style="75"/>
    <col min="13817" max="13817" width="10.33203125" style="75" bestFit="1" customWidth="1"/>
    <col min="13818" max="13818" width="30.1640625" style="75" bestFit="1" customWidth="1"/>
    <col min="13819" max="13819" width="21" style="75" customWidth="1"/>
    <col min="13820" max="13821" width="13.5" style="75" customWidth="1"/>
    <col min="13822" max="13822" width="21.83203125" style="75" bestFit="1" customWidth="1"/>
    <col min="13823" max="13823" width="12" style="75" customWidth="1"/>
    <col min="13824" max="13824" width="11.5" style="75" bestFit="1" customWidth="1"/>
    <col min="13825" max="13825" width="13.5" style="75" customWidth="1"/>
    <col min="13826" max="13826" width="15.5" style="75" customWidth="1"/>
    <col min="13827" max="13828" width="18.5" style="75" customWidth="1"/>
    <col min="13829" max="13829" width="17.83203125" style="75" customWidth="1"/>
    <col min="13830" max="14072" width="9.1640625" style="75"/>
    <col min="14073" max="14073" width="10.33203125" style="75" bestFit="1" customWidth="1"/>
    <col min="14074" max="14074" width="30.1640625" style="75" bestFit="1" customWidth="1"/>
    <col min="14075" max="14075" width="21" style="75" customWidth="1"/>
    <col min="14076" max="14077" width="13.5" style="75" customWidth="1"/>
    <col min="14078" max="14078" width="21.83203125" style="75" bestFit="1" customWidth="1"/>
    <col min="14079" max="14079" width="12" style="75" customWidth="1"/>
    <col min="14080" max="14080" width="11.5" style="75" bestFit="1" customWidth="1"/>
    <col min="14081" max="14081" width="13.5" style="75" customWidth="1"/>
    <col min="14082" max="14082" width="15.5" style="75" customWidth="1"/>
    <col min="14083" max="14084" width="18.5" style="75" customWidth="1"/>
    <col min="14085" max="14085" width="17.83203125" style="75" customWidth="1"/>
    <col min="14086" max="14328" width="9.1640625" style="75"/>
    <col min="14329" max="14329" width="10.33203125" style="75" bestFit="1" customWidth="1"/>
    <col min="14330" max="14330" width="30.1640625" style="75" bestFit="1" customWidth="1"/>
    <col min="14331" max="14331" width="21" style="75" customWidth="1"/>
    <col min="14332" max="14333" width="13.5" style="75" customWidth="1"/>
    <col min="14334" max="14334" width="21.83203125" style="75" bestFit="1" customWidth="1"/>
    <col min="14335" max="14335" width="12" style="75" customWidth="1"/>
    <col min="14336" max="14336" width="11.5" style="75" bestFit="1" customWidth="1"/>
    <col min="14337" max="14337" width="13.5" style="75" customWidth="1"/>
    <col min="14338" max="14338" width="15.5" style="75" customWidth="1"/>
    <col min="14339" max="14340" width="18.5" style="75" customWidth="1"/>
    <col min="14341" max="14341" width="17.83203125" style="75" customWidth="1"/>
    <col min="14342" max="14584" width="9.1640625" style="75"/>
    <col min="14585" max="14585" width="10.33203125" style="75" bestFit="1" customWidth="1"/>
    <col min="14586" max="14586" width="30.1640625" style="75" bestFit="1" customWidth="1"/>
    <col min="14587" max="14587" width="21" style="75" customWidth="1"/>
    <col min="14588" max="14589" width="13.5" style="75" customWidth="1"/>
    <col min="14590" max="14590" width="21.83203125" style="75" bestFit="1" customWidth="1"/>
    <col min="14591" max="14591" width="12" style="75" customWidth="1"/>
    <col min="14592" max="14592" width="11.5" style="75" bestFit="1" customWidth="1"/>
    <col min="14593" max="14593" width="13.5" style="75" customWidth="1"/>
    <col min="14594" max="14594" width="15.5" style="75" customWidth="1"/>
    <col min="14595" max="14596" width="18.5" style="75" customWidth="1"/>
    <col min="14597" max="14597" width="17.83203125" style="75" customWidth="1"/>
    <col min="14598" max="14840" width="9.1640625" style="75"/>
    <col min="14841" max="14841" width="10.33203125" style="75" bestFit="1" customWidth="1"/>
    <col min="14842" max="14842" width="30.1640625" style="75" bestFit="1" customWidth="1"/>
    <col min="14843" max="14843" width="21" style="75" customWidth="1"/>
    <col min="14844" max="14845" width="13.5" style="75" customWidth="1"/>
    <col min="14846" max="14846" width="21.83203125" style="75" bestFit="1" customWidth="1"/>
    <col min="14847" max="14847" width="12" style="75" customWidth="1"/>
    <col min="14848" max="14848" width="11.5" style="75" bestFit="1" customWidth="1"/>
    <col min="14849" max="14849" width="13.5" style="75" customWidth="1"/>
    <col min="14850" max="14850" width="15.5" style="75" customWidth="1"/>
    <col min="14851" max="14852" width="18.5" style="75" customWidth="1"/>
    <col min="14853" max="14853" width="17.83203125" style="75" customWidth="1"/>
    <col min="14854" max="15096" width="9.1640625" style="75"/>
    <col min="15097" max="15097" width="10.33203125" style="75" bestFit="1" customWidth="1"/>
    <col min="15098" max="15098" width="30.1640625" style="75" bestFit="1" customWidth="1"/>
    <col min="15099" max="15099" width="21" style="75" customWidth="1"/>
    <col min="15100" max="15101" width="13.5" style="75" customWidth="1"/>
    <col min="15102" max="15102" width="21.83203125" style="75" bestFit="1" customWidth="1"/>
    <col min="15103" max="15103" width="12" style="75" customWidth="1"/>
    <col min="15104" max="15104" width="11.5" style="75" bestFit="1" customWidth="1"/>
    <col min="15105" max="15105" width="13.5" style="75" customWidth="1"/>
    <col min="15106" max="15106" width="15.5" style="75" customWidth="1"/>
    <col min="15107" max="15108" width="18.5" style="75" customWidth="1"/>
    <col min="15109" max="15109" width="17.83203125" style="75" customWidth="1"/>
    <col min="15110" max="15352" width="9.1640625" style="75"/>
    <col min="15353" max="15353" width="10.33203125" style="75" bestFit="1" customWidth="1"/>
    <col min="15354" max="15354" width="30.1640625" style="75" bestFit="1" customWidth="1"/>
    <col min="15355" max="15355" width="21" style="75" customWidth="1"/>
    <col min="15356" max="15357" width="13.5" style="75" customWidth="1"/>
    <col min="15358" max="15358" width="21.83203125" style="75" bestFit="1" customWidth="1"/>
    <col min="15359" max="15359" width="12" style="75" customWidth="1"/>
    <col min="15360" max="15360" width="11.5" style="75" bestFit="1" customWidth="1"/>
    <col min="15361" max="15361" width="13.5" style="75" customWidth="1"/>
    <col min="15362" max="15362" width="15.5" style="75" customWidth="1"/>
    <col min="15363" max="15364" width="18.5" style="75" customWidth="1"/>
    <col min="15365" max="15365" width="17.83203125" style="75" customWidth="1"/>
    <col min="15366" max="15608" width="9.1640625" style="75"/>
    <col min="15609" max="15609" width="10.33203125" style="75" bestFit="1" customWidth="1"/>
    <col min="15610" max="15610" width="30.1640625" style="75" bestFit="1" customWidth="1"/>
    <col min="15611" max="15611" width="21" style="75" customWidth="1"/>
    <col min="15612" max="15613" width="13.5" style="75" customWidth="1"/>
    <col min="15614" max="15614" width="21.83203125" style="75" bestFit="1" customWidth="1"/>
    <col min="15615" max="15615" width="12" style="75" customWidth="1"/>
    <col min="15616" max="15616" width="11.5" style="75" bestFit="1" customWidth="1"/>
    <col min="15617" max="15617" width="13.5" style="75" customWidth="1"/>
    <col min="15618" max="15618" width="15.5" style="75" customWidth="1"/>
    <col min="15619" max="15620" width="18.5" style="75" customWidth="1"/>
    <col min="15621" max="15621" width="17.83203125" style="75" customWidth="1"/>
    <col min="15622" max="15864" width="9.1640625" style="75"/>
    <col min="15865" max="15865" width="10.33203125" style="75" bestFit="1" customWidth="1"/>
    <col min="15866" max="15866" width="30.1640625" style="75" bestFit="1" customWidth="1"/>
    <col min="15867" max="15867" width="21" style="75" customWidth="1"/>
    <col min="15868" max="15869" width="13.5" style="75" customWidth="1"/>
    <col min="15870" max="15870" width="21.83203125" style="75" bestFit="1" customWidth="1"/>
    <col min="15871" max="15871" width="12" style="75" customWidth="1"/>
    <col min="15872" max="15872" width="11.5" style="75" bestFit="1" customWidth="1"/>
    <col min="15873" max="15873" width="13.5" style="75" customWidth="1"/>
    <col min="15874" max="15874" width="15.5" style="75" customWidth="1"/>
    <col min="15875" max="15876" width="18.5" style="75" customWidth="1"/>
    <col min="15877" max="15877" width="17.83203125" style="75" customWidth="1"/>
    <col min="15878" max="16120" width="9.1640625" style="75"/>
    <col min="16121" max="16121" width="10.33203125" style="75" bestFit="1" customWidth="1"/>
    <col min="16122" max="16122" width="30.1640625" style="75" bestFit="1" customWidth="1"/>
    <col min="16123" max="16123" width="21" style="75" customWidth="1"/>
    <col min="16124" max="16125" width="13.5" style="75" customWidth="1"/>
    <col min="16126" max="16126" width="21.83203125" style="75" bestFit="1" customWidth="1"/>
    <col min="16127" max="16127" width="12" style="75" customWidth="1"/>
    <col min="16128" max="16128" width="11.5" style="75" bestFit="1" customWidth="1"/>
    <col min="16129" max="16129" width="13.5" style="75" customWidth="1"/>
    <col min="16130" max="16130" width="15.5" style="75" customWidth="1"/>
    <col min="16131" max="16132" width="18.5" style="75" customWidth="1"/>
    <col min="16133" max="16133" width="17.83203125" style="75" customWidth="1"/>
    <col min="16134" max="16383" width="9.1640625" style="75"/>
    <col min="16384" max="16384" width="9.1640625" style="75" customWidth="1"/>
  </cols>
  <sheetData>
    <row r="1" spans="1:7" ht="43.5" customHeight="1">
      <c r="A1" s="204" t="s">
        <v>27</v>
      </c>
      <c r="B1" s="286" t="s">
        <v>28</v>
      </c>
      <c r="C1" s="287" t="s">
        <v>218</v>
      </c>
      <c r="D1" s="287" t="s">
        <v>219</v>
      </c>
      <c r="E1" s="286" t="s">
        <v>220</v>
      </c>
      <c r="F1" s="286" t="s">
        <v>177</v>
      </c>
      <c r="G1" s="288" t="s">
        <v>221</v>
      </c>
    </row>
    <row r="2" spans="1:7" ht="17">
      <c r="A2" s="289" t="s">
        <v>180</v>
      </c>
      <c r="B2" s="166" t="s">
        <v>191</v>
      </c>
      <c r="C2" s="290"/>
      <c r="D2" s="291">
        <v>200000</v>
      </c>
      <c r="E2" s="292"/>
      <c r="F2" s="292"/>
      <c r="G2" s="293">
        <f>SUM(C2:F2)</f>
        <v>200000</v>
      </c>
    </row>
    <row r="3" spans="1:7" ht="17">
      <c r="A3" s="72" t="s">
        <v>181</v>
      </c>
      <c r="B3" s="55" t="s">
        <v>192</v>
      </c>
      <c r="C3" s="76"/>
      <c r="D3" s="73"/>
      <c r="E3" s="74">
        <v>2000000</v>
      </c>
      <c r="F3" s="74"/>
      <c r="G3" s="77">
        <f>SUM(C3:F3)</f>
        <v>2000000</v>
      </c>
    </row>
    <row r="4" spans="1:7" ht="17">
      <c r="A4" s="72" t="s">
        <v>158</v>
      </c>
      <c r="B4" s="55" t="s">
        <v>193</v>
      </c>
      <c r="C4" s="76"/>
      <c r="D4" s="73"/>
      <c r="E4" s="74"/>
      <c r="F4" s="74">
        <v>1000000</v>
      </c>
      <c r="G4" s="77">
        <f>SUM(C4:F4)</f>
        <v>1000000</v>
      </c>
    </row>
    <row r="5" spans="1:7" ht="17">
      <c r="A5" s="72" t="s">
        <v>159</v>
      </c>
      <c r="B5" s="55" t="s">
        <v>194</v>
      </c>
      <c r="C5" s="76">
        <v>500000</v>
      </c>
      <c r="D5" s="73"/>
      <c r="E5" s="74"/>
      <c r="F5" s="74">
        <v>750000</v>
      </c>
      <c r="G5" s="77">
        <f>SUM(C5:F5)</f>
        <v>1250000</v>
      </c>
    </row>
    <row r="7" spans="1:7" ht="23.25" customHeight="1">
      <c r="B7" s="78"/>
    </row>
  </sheetData>
  <autoFilter ref="A1:G18" xr:uid="{00000000-0009-0000-0000-00001B000000}"/>
  <conditionalFormatting sqref="A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A2">
    <cfRule type="duplicateValues" dxfId="28" priority="1327435"/>
    <cfRule type="duplicateValues" dxfId="27" priority="1327434"/>
    <cfRule type="duplicateValues" dxfId="26" priority="1327433"/>
  </conditionalFormatting>
  <conditionalFormatting sqref="A2:A5">
    <cfRule type="duplicateValues" dxfId="25" priority="1327578"/>
    <cfRule type="duplicateValues" dxfId="24" priority="1327583" stopIfTrue="1"/>
    <cfRule type="duplicateValues" dxfId="23" priority="1327589"/>
    <cfRule type="duplicateValues" dxfId="22" priority="1327588" stopIfTrue="1"/>
    <cfRule type="duplicateValues" dxfId="21" priority="1327574"/>
    <cfRule type="duplicateValues" dxfId="20" priority="1327575"/>
    <cfRule type="duplicateValues" dxfId="19" priority="1327576"/>
    <cfRule type="duplicateValues" dxfId="18" priority="1327577"/>
    <cfRule type="duplicateValues" dxfId="17" priority="1327587" stopIfTrue="1"/>
    <cfRule type="duplicateValues" dxfId="16" priority="1327579"/>
    <cfRule type="duplicateValues" dxfId="15" priority="1327580"/>
    <cfRule type="duplicateValues" dxfId="14" priority="1327581"/>
    <cfRule type="duplicateValues" dxfId="13" priority="1327582"/>
    <cfRule type="duplicateValues" dxfId="12" priority="1327586" stopIfTrue="1"/>
    <cfRule type="duplicateValues" dxfId="11" priority="1327584" stopIfTrue="1"/>
    <cfRule type="duplicateValues" dxfId="10" priority="1327585" stopIfTrue="1"/>
  </conditionalFormatting>
  <conditionalFormatting sqref="A2:A1048576">
    <cfRule type="duplicateValues" dxfId="9" priority="46"/>
    <cfRule type="duplicateValues" dxfId="8" priority="192581"/>
    <cfRule type="duplicateValues" dxfId="7" priority="45"/>
  </conditionalFormatting>
  <conditionalFormatting sqref="A3:A5">
    <cfRule type="duplicateValues" dxfId="6" priority="1327593"/>
    <cfRule type="duplicateValues" dxfId="5" priority="1327590"/>
    <cfRule type="duplicateValues" dxfId="4" priority="1327591"/>
    <cfRule type="duplicateValues" dxfId="3" priority="1327592"/>
  </conditionalFormatting>
  <conditionalFormatting sqref="A6:A65156">
    <cfRule type="duplicateValues" dxfId="2" priority="1327773" stopIfTrue="1"/>
    <cfRule type="duplicateValues" dxfId="1" priority="1327772" stopIfTrue="1"/>
  </conditionalFormatting>
  <conditionalFormatting sqref="A6:A1048576">
    <cfRule type="duplicateValues" dxfId="0" priority="1276"/>
  </conditionalFormatting>
  <dataValidations count="1">
    <dataValidation allowBlank="1" showErrorMessage="1" sqref="A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Template Payroll</vt:lpstr>
      <vt:lpstr>PC cơm </vt:lpstr>
      <vt:lpstr>TimeTB 2</vt:lpstr>
      <vt:lpstr> TimeTB 1</vt:lpstr>
      <vt:lpstr>OT</vt:lpstr>
      <vt:lpstr>NS</vt:lpstr>
      <vt:lpstr>Others</vt:lpstr>
      <vt:lpstr>Incentive</vt:lpstr>
      <vt:lpstr>Benefit tính thuế</vt:lpstr>
      <vt:lpstr>Incentive!__xlnm.Print_Area</vt:lpstr>
      <vt:lpstr>Incentive!__xlnm.Print_Titles</vt:lpstr>
      <vt:lpstr>NS!__xlnm.Print_Titles</vt:lpstr>
      <vt:lpstr>' TimeTB 1'!_FilterDatabase</vt:lpstr>
      <vt:lpstr>'TimeTB 2'!_FilterDatabase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2026-01-08T11:46:20Z</dcterms:modified>
</cp:coreProperties>
</file>