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F9B7D12D-DE09-DE41-876D-366BA629EED7}" xr6:coauthVersionLast="47" xr6:coauthVersionMax="47" xr10:uidLastSave="{00000000-0000-0000-0000-000000000000}"/>
  <bookViews>
    <workbookView xWindow="4200" yWindow="3940" windowWidth="38360" windowHeight="20720" tabRatio="761" xr2:uid="{00000000-000D-0000-FFFF-FFFF00000000}"/>
  </bookViews>
  <sheets>
    <sheet name="Bảng lương tạm ứng kỳ 1" sheetId="3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0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0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0">BlankMacro1</definedName>
    <definedName name="_15_??????2">BlankMacro1</definedName>
    <definedName name="_17_??????">#REF!</definedName>
    <definedName name="_18_?1">#N/A</definedName>
    <definedName name="_19_??????3" localSheetId="0">BlankMacro1</definedName>
    <definedName name="_19_??????3">BlankMacro1</definedName>
    <definedName name="_19_?271">#N/A</definedName>
    <definedName name="_2">#REF!</definedName>
    <definedName name="_23_??????4" localSheetId="0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0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0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0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0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0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0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0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tạm ứng kỳ 1'!$A$1:$AQ$20</definedName>
    <definedName name="PRINT_AREA_MI">#REF!</definedName>
    <definedName name="PRINT_AREA_MI1">#REF!</definedName>
    <definedName name="Print_CEM_cc5">#REF!</definedName>
    <definedName name="_xlnm.Print_Titles" localSheetId="0">'Bảng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0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0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0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0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" i="3" l="1"/>
  <c r="AI13" i="3"/>
  <c r="AI11" i="3"/>
  <c r="AI12" i="3"/>
  <c r="AI10" i="3"/>
  <c r="AI9" i="3"/>
  <c r="AI14" i="3"/>
</calcChain>
</file>

<file path=xl/sharedStrings.xml><?xml version="1.0" encoding="utf-8"?>
<sst xmlns="http://schemas.openxmlformats.org/spreadsheetml/2006/main" count="103" uniqueCount="81">
  <si>
    <t>Actual work day month</t>
  </si>
  <si>
    <t>MSNV</t>
  </si>
  <si>
    <t>Full name</t>
  </si>
  <si>
    <t>Type of labor contract</t>
  </si>
  <si>
    <t>Labor contract salary</t>
  </si>
  <si>
    <t>Percentage of HQCV bonus advance</t>
  </si>
  <si>
    <t>Workdays in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</si>
  <si>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</si>
  <si>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</si>
  <si>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</si>
  <si>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</si>
  <si>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</si>
  <si>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</si>
  <si>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</si>
  <si>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Tham gia BHXH</t>
  </si>
  <si>
    <t>Tax finalization</t>
  </si>
  <si>
    <t>Salary quota</t>
  </si>
  <si>
    <t>Benefits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</si>
  <si>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</si>
  <si>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</si>
  <si>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</si>
  <si>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</si>
  <si>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</si>
  <si>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</si>
  <si>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</si>
  <si>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</si>
  <si>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</si>
  <si>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</si>
  <si>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</si>
  <si>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</si>
  <si>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</si>
  <si>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</si>
  <si>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</si>
  <si>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Salary on duty to support security</t>
  </si>
  <si>
    <t>Annual leave from work</t>
  </si>
  <si>
    <t>Other fees/collections</t>
  </si>
  <si>
    <t>Truy thu theo QTT</t>
  </si>
  <si>
    <t>Refund according to QTT</t>
  </si>
  <si>
    <t>Truy thu BHXH</t>
  </si>
  <si>
    <t>Refund of social insurance</t>
  </si>
  <si>
    <t>NPT</t>
  </si>
  <si>
    <t>TNTT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</si>
  <si>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</si>
  <si>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</si>
  <si>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</si>
  <si>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</si>
  <si>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</si>
  <si>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</si>
  <si>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</si>
  <si>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</si>
  <si>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</si>
  <si>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</si>
  <si>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</si>
  <si>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</si>
  <si>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</si>
  <si>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</si>
  <si>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</si>
  <si>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</si>
  <si>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</si>
  <si>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</si>
  <si>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</si>
  <si>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</si>
  <si>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</si>
  <si>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</si>
  <si>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</si>
  <si>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</si>
  <si>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</si>
  <si>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</si>
  <si>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</si>
  <si>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</si>
  <si>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</si>
  <si>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</si>
  <si>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</si>
  <si>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</si>
  <si>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</si>
  <si>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Fire prevention team</t>
  </si>
  <si>
    <t>Block</t>
  </si>
  <si>
    <t>LN/LT</t>
  </si>
  <si>
    <t>Food money</t>
  </si>
  <si>
    <t>s</t>
  </si>
  <si>
    <t>Salary Advance Sheet - Period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</si>
</sst>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1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7.5"/>
      <name val="Times New Roman"/>
      <family val="1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96">
    <xf numFmtId="0" fontId="0" fillId="0" borderId="0" xfId="0"/>
    <xf numFmtId="0" fontId="3" fillId="0" borderId="0" xfId="3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5" fontId="18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165" fontId="4" fillId="0" borderId="0" xfId="1" applyFont="1" applyAlignment="1">
      <alignment horizontal="center" vertical="center"/>
    </xf>
    <xf numFmtId="165" fontId="4" fillId="0" borderId="0" xfId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9" fontId="4" fillId="0" borderId="12" xfId="2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1" fillId="0" borderId="17" xfId="1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164" fontId="11" fillId="0" borderId="21" xfId="1" applyNumberFormat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9" fontId="11" fillId="0" borderId="17" xfId="1" applyNumberFormat="1" applyFont="1" applyBorder="1" applyAlignment="1">
      <alignment horizontal="center" vertical="center"/>
    </xf>
    <xf numFmtId="165" fontId="11" fillId="0" borderId="17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6" fillId="0" borderId="0" xfId="1" applyFont="1"/>
    <xf numFmtId="0" fontId="8" fillId="0" borderId="8" xfId="0" applyFont="1" applyBorder="1" applyAlignment="1">
      <alignment horizontal="center"/>
    </xf>
    <xf numFmtId="164" fontId="6" fillId="0" borderId="0" xfId="1" applyNumberFormat="1" applyFont="1"/>
    <xf numFmtId="1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166" fontId="9" fillId="0" borderId="0" xfId="1" applyNumberFormat="1" applyFont="1" applyAlignment="1">
      <alignment horizontal="center"/>
    </xf>
    <xf numFmtId="165" fontId="9" fillId="0" borderId="0" xfId="1" applyFont="1" applyAlignment="1">
      <alignment horizontal="center"/>
    </xf>
    <xf numFmtId="164" fontId="9" fillId="0" borderId="0" xfId="0" applyNumberFormat="1" applyFont="1"/>
    <xf numFmtId="164" fontId="9" fillId="0" borderId="0" xfId="1" applyNumberFormat="1" applyFont="1"/>
    <xf numFmtId="49" fontId="9" fillId="0" borderId="0" xfId="0" applyNumberFormat="1" applyFont="1" applyAlignment="1">
      <alignment horizontal="center"/>
    </xf>
    <xf numFmtId="165" fontId="9" fillId="0" borderId="0" xfId="1" applyFont="1"/>
    <xf numFmtId="14" fontId="9" fillId="0" borderId="0" xfId="0" applyNumberFormat="1" applyFont="1"/>
    <xf numFmtId="49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wrapText="1"/>
    </xf>
    <xf numFmtId="0" fontId="22" fillId="0" borderId="0" xfId="0" applyFont="1"/>
    <xf numFmtId="164" fontId="3" fillId="0" borderId="0" xfId="1" applyNumberFormat="1" applyFont="1" applyAlignment="1">
      <alignment horizontal="center"/>
    </xf>
    <xf numFmtId="164" fontId="16" fillId="0" borderId="0" xfId="1" applyNumberFormat="1" applyFont="1" applyAlignment="1">
      <alignment horizontal="center"/>
    </xf>
    <xf numFmtId="164" fontId="3" fillId="0" borderId="0" xfId="1" applyNumberFormat="1" applyFont="1"/>
    <xf numFmtId="0" fontId="14" fillId="0" borderId="0" xfId="0" applyFont="1"/>
    <xf numFmtId="165" fontId="3" fillId="0" borderId="0" xfId="1" applyFont="1" applyAlignment="1">
      <alignment horizontal="center"/>
    </xf>
    <xf numFmtId="165" fontId="3" fillId="0" borderId="0" xfId="1" applyFont="1"/>
    <xf numFmtId="0" fontId="3" fillId="0" borderId="0" xfId="0" applyFont="1"/>
    <xf numFmtId="14" fontId="15" fillId="0" borderId="0" xfId="2" applyNumberFormat="1" applyFont="1" applyAlignment="1">
      <alignment horizontal="left" vertical="center" shrinkToFit="1"/>
    </xf>
    <xf numFmtId="165" fontId="4" fillId="0" borderId="7" xfId="1" applyFont="1" applyBorder="1" applyAlignment="1">
      <alignment horizontal="center" vertical="center" wrapText="1"/>
    </xf>
    <xf numFmtId="0" fontId="14" fillId="0" borderId="9" xfId="0" applyFont="1" applyBorder="1"/>
    <xf numFmtId="0" fontId="14" fillId="0" borderId="18" xfId="0" applyFont="1" applyBorder="1"/>
    <xf numFmtId="164" fontId="4" fillId="0" borderId="1" xfId="1" applyNumberFormat="1" applyFont="1" applyBorder="1" applyAlignment="1">
      <alignment horizontal="center" vertical="center" wrapText="1"/>
    </xf>
    <xf numFmtId="0" fontId="14" fillId="0" borderId="17" xfId="0" applyFont="1" applyBorder="1"/>
    <xf numFmtId="0" fontId="14" fillId="0" borderId="5" xfId="0" applyFont="1" applyBorder="1"/>
    <xf numFmtId="164" fontId="4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 wrapText="1"/>
    </xf>
    <xf numFmtId="0" fontId="14" fillId="0" borderId="6" xfId="0" applyFont="1" applyBorder="1"/>
    <xf numFmtId="165" fontId="20" fillId="0" borderId="1" xfId="1" applyFont="1" applyBorder="1" applyAlignment="1">
      <alignment horizontal="center" vertical="center" wrapText="1"/>
    </xf>
    <xf numFmtId="164" fontId="4" fillId="0" borderId="17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top" wrapText="1"/>
    </xf>
    <xf numFmtId="164" fontId="4" fillId="0" borderId="1" xfId="1" applyNumberFormat="1" applyFont="1" applyBorder="1" applyAlignment="1">
      <alignment horizontal="center" vertical="top" wrapText="1"/>
    </xf>
    <xf numFmtId="43" fontId="17" fillId="0" borderId="1" xfId="5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19" xfId="0" applyFont="1" applyBorder="1"/>
    <xf numFmtId="0" fontId="14" fillId="0" borderId="16" xfId="0" applyFont="1" applyBorder="1"/>
    <xf numFmtId="0" fontId="3" fillId="0" borderId="0" xfId="3" applyFon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21" fillId="0" borderId="1" xfId="1" applyNumberFormat="1" applyFont="1" applyBorder="1" applyAlignment="1">
      <alignment horizontal="center" vertical="center" wrapText="1"/>
    </xf>
    <xf numFmtId="165" fontId="11" fillId="0" borderId="4" xfId="1" applyFont="1" applyBorder="1" applyAlignment="1">
      <alignment horizontal="center" vertical="center" wrapText="1"/>
    </xf>
    <xf numFmtId="9" fontId="4" fillId="0" borderId="7" xfId="2" applyFont="1" applyBorder="1" applyAlignment="1">
      <alignment horizontal="center" vertical="center"/>
    </xf>
    <xf numFmtId="0" fontId="14" fillId="0" borderId="8" xfId="0" applyFont="1" applyBorder="1"/>
    <xf numFmtId="0" fontId="14" fillId="0" borderId="10" xfId="0" applyFont="1" applyBorder="1"/>
    <xf numFmtId="0" fontId="17" fillId="0" borderId="0" xfId="0" applyFont="1" applyAlignment="1">
      <alignment horizontal="center" vertical="center"/>
    </xf>
    <xf numFmtId="0" fontId="14" fillId="0" borderId="11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164" fontId="4" fillId="0" borderId="20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BB20"/>
  <sheetViews>
    <sheetView tabSelected="1" zoomScale="120" zoomScaleNormal="120" zoomScaleSheetLayoutView="70" workbookViewId="0">
      <pane xSplit="5" ySplit="8" topLeftCell="AM9" activePane="bottomRight" state="frozen"/>
      <selection pane="topRight" activeCell="E18" sqref="E18"/>
      <selection pane="bottomLeft" activeCell="E18" sqref="E18"/>
      <selection pane="bottomRight" activeCell="AY14" sqref="AY14"/>
    </sheetView>
  </sheetViews>
  <sheetFormatPr baseColWidth="10" defaultColWidth="9.1640625" defaultRowHeight="15" outlineLevelRow="1" outlineLevelCol="1"/>
  <cols>
    <col min="1" max="1" width="8.5" style="53" customWidth="1"/>
    <col min="2" max="2" width="10.83203125" style="54" bestFit="1" customWidth="1"/>
    <col min="3" max="3" width="5.5" style="56" bestFit="1" customWidth="1" outlineLevel="1"/>
    <col min="4" max="4" width="5.5" style="56" customWidth="1" outlineLevel="1"/>
    <col min="5" max="5" width="5.5" style="57" bestFit="1" customWidth="1" outlineLevel="1"/>
    <col min="6" max="6" width="13.6640625" style="58" bestFit="1" customWidth="1"/>
    <col min="7" max="7" width="7.5" style="59" customWidth="1" outlineLevel="1"/>
    <col min="8" max="21" width="7.1640625" style="60" customWidth="1"/>
    <col min="22" max="29" width="12.33203125" style="58" customWidth="1"/>
    <col min="30" max="30" width="13" style="58" customWidth="1"/>
    <col min="31" max="31" width="6.6640625" style="58" customWidth="1"/>
    <col min="32" max="43" width="10.5" style="58" customWidth="1"/>
    <col min="44" max="47" width="12.6640625" style="58" customWidth="1" outlineLevel="1"/>
    <col min="48" max="49" width="10.6640625" style="61" customWidth="1" outlineLevel="1"/>
    <col min="50" max="50" width="19.5" style="62" customWidth="1"/>
    <col min="51" max="51" width="12.33203125" style="62" customWidth="1"/>
    <col min="52" max="52" width="12.5" style="62" customWidth="1"/>
    <col min="53" max="53" width="11.6640625" style="62" customWidth="1"/>
    <col min="54" max="54" width="9.1640625" style="62" customWidth="1"/>
    <col min="55" max="16384" width="9.1640625" style="62"/>
  </cols>
  <sheetData>
    <row r="1" spans="1:54" s="1" customFormat="1" ht="21.5" hidden="1" customHeight="1" outlineLevel="1">
      <c r="A1" s="3"/>
      <c r="B1" s="3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81"/>
      <c r="AS1" s="81"/>
      <c r="AT1" s="81"/>
      <c r="AU1" s="81"/>
      <c r="AV1" s="2"/>
      <c r="AW1" s="2"/>
    </row>
    <row r="2" spans="1:54" s="1" customFormat="1" ht="20.25" hidden="1" customHeight="1" outlineLevel="1">
      <c r="A2" s="3"/>
      <c r="B2" s="3"/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81"/>
      <c r="AS2" s="81"/>
      <c r="AT2" s="81"/>
      <c r="AU2" s="81"/>
      <c r="AV2" s="2"/>
      <c r="AW2" s="2"/>
    </row>
    <row r="3" spans="1:54" s="1" customFormat="1" ht="18.75" hidden="1" customHeight="1" outlineLevel="1">
      <c r="A3" s="5"/>
      <c r="B3" s="5"/>
      <c r="C3" s="5"/>
      <c r="D3" s="5"/>
      <c r="E3" s="5"/>
      <c r="F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81"/>
      <c r="AS3" s="81"/>
      <c r="AT3" s="81"/>
      <c r="AU3" s="81"/>
      <c r="AV3" s="2"/>
      <c r="AW3" s="2"/>
    </row>
    <row r="4" spans="1:54" s="1" customFormat="1" ht="12.75" hidden="1" customHeight="1" outlineLevel="1">
      <c r="A4" s="8"/>
      <c r="B4" s="7"/>
      <c r="C4" s="8"/>
      <c r="D4" s="8"/>
      <c r="E4" s="9"/>
      <c r="F4" s="8"/>
      <c r="H4" s="10"/>
      <c r="I4" s="10"/>
      <c r="J4" s="10"/>
      <c r="K4" s="10"/>
      <c r="L4" s="10"/>
      <c r="M4" s="10"/>
      <c r="N4" s="10"/>
      <c r="O4" s="10"/>
      <c r="P4" s="10"/>
      <c r="Q4" s="10"/>
      <c r="R4" s="11"/>
      <c r="S4" s="10"/>
      <c r="T4" s="10"/>
      <c r="U4" s="10"/>
      <c r="V4" s="3"/>
      <c r="W4" s="3"/>
      <c r="X4" s="3"/>
      <c r="Y4" s="3"/>
      <c r="Z4" s="3"/>
      <c r="AA4" s="3"/>
      <c r="AB4" s="3"/>
      <c r="AC4" s="3"/>
      <c r="AD4" s="7"/>
      <c r="AE4" s="7"/>
      <c r="AF4" s="7"/>
      <c r="AG4" s="7"/>
      <c r="AH4" s="8"/>
      <c r="AI4" s="8"/>
      <c r="AJ4" s="7"/>
      <c r="AK4" s="8"/>
      <c r="AL4" s="7"/>
      <c r="AM4" s="8"/>
      <c r="AN4" s="8"/>
      <c r="AO4" s="7"/>
      <c r="AP4" s="7"/>
      <c r="AQ4" s="7"/>
      <c r="AR4" s="12"/>
      <c r="AS4" s="12"/>
      <c r="AT4" s="12"/>
      <c r="AU4" s="12"/>
      <c r="AV4" s="11"/>
      <c r="AW4" s="11"/>
    </row>
    <row r="5" spans="1:54" s="13" customFormat="1" ht="19.25" customHeight="1" collapsed="1">
      <c r="A5" s="82" t="s">
        <v>1</v>
      </c>
      <c r="B5" s="67" t="s">
        <v>2</v>
      </c>
      <c r="C5" s="70" t="s">
        <v>76</v>
      </c>
      <c r="D5" s="70" t="s">
        <v>3</v>
      </c>
      <c r="E5" s="83" t="s">
        <v>77</v>
      </c>
      <c r="F5" s="71" t="s">
        <v>4</v>
      </c>
      <c r="G5" s="71" t="s">
        <v>5</v>
      </c>
      <c r="H5" s="85" t="s">
        <v>6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71" t="s">
        <v>7</v>
      </c>
      <c r="Y5" s="71" t="s">
        <v>8</v>
      </c>
      <c r="Z5" s="71" t="s">
        <v>9</v>
      </c>
      <c r="AA5" s="71" t="s">
        <v>10</v>
      </c>
      <c r="AB5" s="71" t="s">
        <v>11</v>
      </c>
      <c r="AC5" s="71" t="s">
        <v>12</v>
      </c>
      <c r="AD5" s="67" t="s">
        <v>13</v>
      </c>
      <c r="AE5" s="67" t="s">
        <v>14</v>
      </c>
      <c r="AF5" s="69"/>
      <c r="AG5" s="69"/>
      <c r="AH5" s="69"/>
      <c r="AI5" s="69"/>
      <c r="AJ5" s="69"/>
      <c r="AK5" s="69"/>
      <c r="AL5" s="69"/>
      <c r="AM5" s="69"/>
      <c r="AN5" s="69"/>
      <c r="AO5" s="72"/>
      <c r="AP5" s="95" t="s">
        <v>15</v>
      </c>
      <c r="AQ5" s="78"/>
      <c r="AR5" s="94" t="s">
        <v>16</v>
      </c>
      <c r="AS5" s="86" t="s">
        <v>17</v>
      </c>
      <c r="AT5" s="87"/>
      <c r="AU5" s="87"/>
      <c r="AV5" s="64" t="s">
        <v>18</v>
      </c>
      <c r="AW5" s="64" t="s">
        <v>19</v>
      </c>
      <c r="BA5" s="14"/>
      <c r="BB5" s="14"/>
    </row>
    <row r="6" spans="1:54" s="13" customFormat="1" ht="19.25" customHeight="1">
      <c r="A6" s="65"/>
      <c r="B6" s="65"/>
      <c r="C6" s="65"/>
      <c r="D6" s="65"/>
      <c r="E6" s="65"/>
      <c r="F6" s="65"/>
      <c r="G6" s="65"/>
      <c r="H6" s="73" t="s">
        <v>20</v>
      </c>
      <c r="I6" s="73" t="s">
        <v>21</v>
      </c>
      <c r="J6" s="73" t="s">
        <v>22</v>
      </c>
      <c r="K6" s="73" t="s">
        <v>23</v>
      </c>
      <c r="L6" s="73" t="s">
        <v>24</v>
      </c>
      <c r="M6" s="73" t="s">
        <v>25</v>
      </c>
      <c r="N6" s="73" t="s">
        <v>26</v>
      </c>
      <c r="O6" s="73" t="s">
        <v>27</v>
      </c>
      <c r="P6" s="73" t="s">
        <v>28</v>
      </c>
      <c r="Q6" s="73" t="s">
        <v>29</v>
      </c>
      <c r="R6" s="73" t="s">
        <v>30</v>
      </c>
      <c r="S6" s="77" t="s">
        <v>31</v>
      </c>
      <c r="T6" s="78"/>
      <c r="U6" s="73" t="s">
        <v>32</v>
      </c>
      <c r="V6" s="84" t="s">
        <v>33</v>
      </c>
      <c r="W6" s="67" t="s">
        <v>34</v>
      </c>
      <c r="X6" s="65"/>
      <c r="Y6" s="65"/>
      <c r="Z6" s="65"/>
      <c r="AA6" s="65"/>
      <c r="AB6" s="65"/>
      <c r="AC6" s="65"/>
      <c r="AD6" s="65"/>
      <c r="AE6" s="65"/>
      <c r="AF6" s="69"/>
      <c r="AG6" s="69"/>
      <c r="AH6" s="69"/>
      <c r="AI6" s="69"/>
      <c r="AJ6" s="67" t="s">
        <v>35</v>
      </c>
      <c r="AK6" s="69"/>
      <c r="AL6" s="69"/>
      <c r="AM6" s="69"/>
      <c r="AN6" s="69"/>
      <c r="AO6" s="72"/>
      <c r="AP6" s="74" t="s">
        <v>36</v>
      </c>
      <c r="AQ6" s="74" t="s">
        <v>37</v>
      </c>
      <c r="AR6" s="90"/>
      <c r="AS6" s="88"/>
      <c r="AT6" s="89"/>
      <c r="AU6" s="89"/>
      <c r="AV6" s="65"/>
      <c r="AW6" s="65"/>
      <c r="BA6" s="14"/>
      <c r="BB6" s="14"/>
    </row>
    <row r="7" spans="1:54" s="15" customFormat="1" ht="19.25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79"/>
      <c r="T7" s="80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75" t="s">
        <v>38</v>
      </c>
      <c r="AG7" s="75" t="s">
        <v>39</v>
      </c>
      <c r="AH7" s="75" t="s">
        <v>40</v>
      </c>
      <c r="AI7" s="75" t="s">
        <v>41</v>
      </c>
      <c r="AJ7" s="75" t="s">
        <v>42</v>
      </c>
      <c r="AK7" s="76" t="s">
        <v>43</v>
      </c>
      <c r="AL7" s="75" t="s">
        <v>44</v>
      </c>
      <c r="AM7" s="76" t="s">
        <v>45</v>
      </c>
      <c r="AN7" s="76" t="s">
        <v>78</v>
      </c>
      <c r="AO7" s="67" t="s">
        <v>46</v>
      </c>
      <c r="AP7" s="65"/>
      <c r="AQ7" s="65"/>
      <c r="AR7" s="90"/>
      <c r="AS7" s="91"/>
      <c r="AT7" s="92"/>
      <c r="AU7" s="92"/>
      <c r="AV7" s="65"/>
      <c r="AW7" s="65"/>
      <c r="AX7" s="1" t="s">
        <v>0</v>
      </c>
      <c r="BA7" s="14"/>
      <c r="BB7" s="14"/>
    </row>
    <row r="8" spans="1:54" s="15" customFormat="1" ht="38.2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16" t="s">
        <v>47</v>
      </c>
      <c r="T8" s="16" t="s">
        <v>48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93"/>
      <c r="AS8" s="17" t="s">
        <v>49</v>
      </c>
      <c r="AT8" s="17" t="s">
        <v>50</v>
      </c>
      <c r="AU8" s="17" t="s">
        <v>51</v>
      </c>
      <c r="AV8" s="66"/>
      <c r="AW8" s="66"/>
      <c r="AX8" s="1">
        <v>25</v>
      </c>
      <c r="AY8" s="18"/>
      <c r="BA8" s="14"/>
      <c r="BB8" s="14"/>
    </row>
    <row r="9" spans="1:54" s="23" customFormat="1" ht="30.5" customHeight="1">
      <c r="A9" s="24">
        <v>2405236</v>
      </c>
      <c r="B9" s="25" t="s">
        <v>52</v>
      </c>
      <c r="C9" s="20" t="s">
        <v>53</v>
      </c>
      <c r="D9" s="26" t="s">
        <v>68</v>
      </c>
      <c r="E9" s="26" t="s">
        <v>55</v>
      </c>
      <c r="F9" s="19">
        <v>9520000</v>
      </c>
      <c r="G9" s="27">
        <v>1</v>
      </c>
      <c r="H9" s="28">
        <v>11</v>
      </c>
      <c r="I9" s="28"/>
      <c r="J9" s="28"/>
      <c r="K9" s="28"/>
      <c r="L9" s="28">
        <v>2</v>
      </c>
      <c r="M9" s="28"/>
      <c r="N9" s="28"/>
      <c r="O9" s="28">
        <v>0</v>
      </c>
      <c r="P9" s="28">
        <v>0</v>
      </c>
      <c r="Q9" s="28"/>
      <c r="R9" s="28">
        <v>0</v>
      </c>
      <c r="S9" s="28">
        <v>0</v>
      </c>
      <c r="T9" s="28">
        <v>0</v>
      </c>
      <c r="U9" s="28">
        <v>0</v>
      </c>
      <c r="V9" s="19"/>
      <c r="W9" s="19"/>
      <c r="X9" s="19"/>
      <c r="Y9" s="19"/>
      <c r="Z9" s="19"/>
      <c r="AA9" s="19"/>
      <c r="AB9" s="19"/>
      <c r="AC9" s="19"/>
      <c r="AD9" s="19"/>
      <c r="AE9" s="19" t="s">
        <v>56</v>
      </c>
      <c r="AF9" s="29"/>
      <c r="AG9" s="29"/>
      <c r="AH9" s="29">
        <v>3</v>
      </c>
      <c r="AI9" s="29" t="e">
        <f>#REF!-#REF!-AF9+AG9-AH9*4400000-IF(D9="CT",11000000,0)</f>
        <v>#REF!</v>
      </c>
      <c r="AJ9" s="29"/>
      <c r="AK9" s="29"/>
      <c r="AL9" s="29">
        <v>0</v>
      </c>
      <c r="AM9" s="29"/>
      <c r="AN9" s="29"/>
      <c r="AO9" s="29"/>
      <c r="AP9" s="29"/>
      <c r="AQ9" s="29"/>
      <c r="AR9" s="21">
        <v>60000000</v>
      </c>
      <c r="AS9" s="22">
        <v>0</v>
      </c>
      <c r="AT9" s="22"/>
      <c r="AU9" s="22"/>
      <c r="AV9" s="22" t="s">
        <v>75</v>
      </c>
      <c r="AW9" s="22"/>
      <c r="AX9" s="30"/>
      <c r="AY9" s="31"/>
      <c r="AZ9" s="31"/>
      <c r="BA9" s="32"/>
      <c r="BB9" s="32"/>
    </row>
    <row r="10" spans="1:54" s="23" customFormat="1" ht="30.5" customHeight="1">
      <c r="A10" s="24">
        <v>2106723</v>
      </c>
      <c r="B10" s="25" t="s">
        <v>57</v>
      </c>
      <c r="C10" s="20" t="s">
        <v>58</v>
      </c>
      <c r="D10" s="26" t="s">
        <v>54</v>
      </c>
      <c r="E10" s="26" t="s">
        <v>55</v>
      </c>
      <c r="F10" s="19">
        <v>8480000</v>
      </c>
      <c r="G10" s="27">
        <v>1</v>
      </c>
      <c r="H10" s="28">
        <v>10.5</v>
      </c>
      <c r="I10" s="28"/>
      <c r="J10" s="28">
        <v>0.5</v>
      </c>
      <c r="K10" s="28"/>
      <c r="L10" s="28">
        <v>2</v>
      </c>
      <c r="M10" s="28"/>
      <c r="N10" s="28"/>
      <c r="O10" s="28">
        <v>0</v>
      </c>
      <c r="P10" s="28">
        <v>0</v>
      </c>
      <c r="Q10" s="28"/>
      <c r="R10" s="28">
        <v>0</v>
      </c>
      <c r="S10" s="28">
        <v>0</v>
      </c>
      <c r="T10" s="28">
        <v>0</v>
      </c>
      <c r="U10" s="28">
        <v>0</v>
      </c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56</v>
      </c>
      <c r="AF10" s="29"/>
      <c r="AG10" s="29"/>
      <c r="AH10" s="29"/>
      <c r="AI10" s="29" t="e">
        <f>#REF!-#REF!-AF10+AG10-AH10*4400000-IF(D10="CT",11000000,0)</f>
        <v>#REF!</v>
      </c>
      <c r="AJ10" s="29"/>
      <c r="AK10" s="29"/>
      <c r="AL10" s="29">
        <v>0</v>
      </c>
      <c r="AM10" s="29"/>
      <c r="AN10" s="29"/>
      <c r="AO10" s="29"/>
      <c r="AP10" s="29"/>
      <c r="AQ10" s="29"/>
      <c r="AR10" s="21">
        <v>40000000</v>
      </c>
      <c r="AS10" s="22">
        <v>0</v>
      </c>
      <c r="AT10" s="22">
        <v>0</v>
      </c>
      <c r="AU10" s="22"/>
      <c r="AV10" s="22" t="s">
        <v>69</v>
      </c>
      <c r="AW10" s="22"/>
      <c r="AX10" s="30"/>
      <c r="AY10" s="31"/>
      <c r="AZ10" s="31"/>
      <c r="BA10" s="32"/>
      <c r="BB10" s="32"/>
    </row>
    <row r="11" spans="1:54" s="23" customFormat="1" ht="30.5" customHeight="1">
      <c r="A11" s="33" t="s">
        <v>59</v>
      </c>
      <c r="B11" s="25" t="s">
        <v>60</v>
      </c>
      <c r="C11" s="20" t="s">
        <v>61</v>
      </c>
      <c r="D11" s="26" t="s">
        <v>54</v>
      </c>
      <c r="E11" s="26" t="s">
        <v>55</v>
      </c>
      <c r="F11" s="19">
        <v>7820000</v>
      </c>
      <c r="G11" s="27">
        <v>1</v>
      </c>
      <c r="H11" s="28">
        <v>11</v>
      </c>
      <c r="I11" s="28"/>
      <c r="J11" s="28"/>
      <c r="K11" s="28"/>
      <c r="L11" s="28">
        <v>2</v>
      </c>
      <c r="M11" s="28"/>
      <c r="N11" s="28"/>
      <c r="O11" s="28">
        <v>4</v>
      </c>
      <c r="P11" s="28">
        <v>0</v>
      </c>
      <c r="Q11" s="28"/>
      <c r="R11" s="28">
        <v>0</v>
      </c>
      <c r="S11" s="28">
        <v>0</v>
      </c>
      <c r="T11" s="28">
        <v>0</v>
      </c>
      <c r="U11" s="28">
        <v>0</v>
      </c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56</v>
      </c>
      <c r="AF11" s="29"/>
      <c r="AG11" s="29"/>
      <c r="AH11" s="29"/>
      <c r="AI11" s="29" t="e">
        <f>#REF!-#REF!-AF11+AG11-AH11*4400000-IF(D11="CT",11000000,0)</f>
        <v>#REF!</v>
      </c>
      <c r="AJ11" s="29"/>
      <c r="AK11" s="29"/>
      <c r="AL11" s="29">
        <v>0</v>
      </c>
      <c r="AM11" s="29"/>
      <c r="AN11" s="29"/>
      <c r="AO11" s="29"/>
      <c r="AP11" s="29"/>
      <c r="AQ11" s="29"/>
      <c r="AR11" s="21">
        <v>40000000</v>
      </c>
      <c r="AS11" s="22">
        <v>0</v>
      </c>
      <c r="AT11" s="22">
        <v>0</v>
      </c>
      <c r="AU11" s="22"/>
      <c r="AV11" s="22" t="s">
        <v>73</v>
      </c>
      <c r="AW11" s="22"/>
      <c r="AX11" s="30"/>
      <c r="AY11" s="31"/>
      <c r="AZ11" s="31"/>
      <c r="BA11" s="32"/>
      <c r="BB11" s="32"/>
    </row>
    <row r="12" spans="1:54" s="23" customFormat="1" ht="30.5" customHeight="1">
      <c r="A12" s="24">
        <v>2406198</v>
      </c>
      <c r="B12" s="25" t="s">
        <v>62</v>
      </c>
      <c r="C12" s="20" t="s">
        <v>53</v>
      </c>
      <c r="D12" s="26" t="s">
        <v>54</v>
      </c>
      <c r="E12" s="26" t="s">
        <v>55</v>
      </c>
      <c r="F12" s="19">
        <v>6990000</v>
      </c>
      <c r="G12" s="27">
        <v>1</v>
      </c>
      <c r="H12" s="28">
        <v>10.5</v>
      </c>
      <c r="I12" s="28"/>
      <c r="J12" s="28">
        <v>0.5</v>
      </c>
      <c r="K12" s="28"/>
      <c r="L12" s="28">
        <v>2</v>
      </c>
      <c r="M12" s="28"/>
      <c r="N12" s="28"/>
      <c r="O12" s="28">
        <v>0</v>
      </c>
      <c r="P12" s="28">
        <v>0</v>
      </c>
      <c r="Q12" s="28"/>
      <c r="R12" s="28">
        <v>0</v>
      </c>
      <c r="S12" s="28">
        <v>0</v>
      </c>
      <c r="T12" s="28">
        <v>0</v>
      </c>
      <c r="U12" s="28">
        <v>0</v>
      </c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56</v>
      </c>
      <c r="AF12" s="29"/>
      <c r="AG12" s="29"/>
      <c r="AH12" s="29"/>
      <c r="AI12" s="29" t="e">
        <f>#REF!-#REF!-AF12+AG12-AH12*4400000-IF(D12="CT",11000000,0)</f>
        <v>#REF!</v>
      </c>
      <c r="AJ12" s="29"/>
      <c r="AK12" s="29"/>
      <c r="AL12" s="29">
        <v>0</v>
      </c>
      <c r="AM12" s="29"/>
      <c r="AN12" s="29"/>
      <c r="AO12" s="29"/>
      <c r="AP12" s="29"/>
      <c r="AQ12" s="29"/>
      <c r="AR12" s="21">
        <v>23000000</v>
      </c>
      <c r="AS12" s="22">
        <v>0</v>
      </c>
      <c r="AT12" s="22">
        <v>0</v>
      </c>
      <c r="AU12" s="22"/>
      <c r="AV12" s="22" t="s">
        <v>69</v>
      </c>
      <c r="AW12" s="22"/>
      <c r="AX12" s="30"/>
      <c r="AY12" s="31"/>
      <c r="AZ12" s="31"/>
      <c r="BA12" s="32"/>
      <c r="BB12" s="32"/>
    </row>
    <row r="13" spans="1:54" s="23" customFormat="1" ht="30.5" customHeight="1">
      <c r="A13" s="33" t="s">
        <v>63</v>
      </c>
      <c r="B13" s="25" t="s">
        <v>64</v>
      </c>
      <c r="C13" s="20" t="s">
        <v>65</v>
      </c>
      <c r="D13" s="26" t="s">
        <v>54</v>
      </c>
      <c r="E13" s="26" t="s">
        <v>66</v>
      </c>
      <c r="F13" s="19">
        <v>4850000</v>
      </c>
      <c r="G13" s="27">
        <v>1</v>
      </c>
      <c r="H13" s="28">
        <v>11</v>
      </c>
      <c r="I13" s="28"/>
      <c r="J13" s="28"/>
      <c r="K13" s="28"/>
      <c r="L13" s="28">
        <v>2</v>
      </c>
      <c r="M13" s="28"/>
      <c r="N13" s="28"/>
      <c r="O13" s="28">
        <v>4</v>
      </c>
      <c r="P13" s="28">
        <v>0</v>
      </c>
      <c r="Q13" s="28"/>
      <c r="R13" s="28">
        <v>0</v>
      </c>
      <c r="S13" s="28">
        <v>0</v>
      </c>
      <c r="T13" s="28">
        <v>0</v>
      </c>
      <c r="U13" s="28">
        <v>0</v>
      </c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56</v>
      </c>
      <c r="AF13" s="29"/>
      <c r="AG13" s="29"/>
      <c r="AH13" s="29"/>
      <c r="AI13" s="29" t="e">
        <f>#REF!-#REF!-AF13+AG13-AH13*4400000-IF(D13="CT",11000000,0)</f>
        <v>#REF!</v>
      </c>
      <c r="AJ13" s="29"/>
      <c r="AK13" s="29"/>
      <c r="AL13" s="29">
        <v>0</v>
      </c>
      <c r="AM13" s="29"/>
      <c r="AN13" s="29"/>
      <c r="AO13" s="29"/>
      <c r="AP13" s="29"/>
      <c r="AQ13" s="29"/>
      <c r="AR13" s="21">
        <v>11000000</v>
      </c>
      <c r="AS13" s="22">
        <v>0</v>
      </c>
      <c r="AT13" s="22">
        <v>0</v>
      </c>
      <c r="AU13" s="22"/>
      <c r="AV13" s="22" t="s">
        <v>73</v>
      </c>
      <c r="AW13" s="22"/>
      <c r="AX13" s="30"/>
      <c r="AY13" s="31"/>
      <c r="AZ13" s="31"/>
      <c r="BA13" s="32"/>
      <c r="BB13" s="32"/>
    </row>
    <row r="14" spans="1:54" s="23" customFormat="1" ht="30.5" customHeight="1">
      <c r="A14" s="24">
        <v>2406145</v>
      </c>
      <c r="B14" s="25" t="s">
        <v>67</v>
      </c>
      <c r="C14" s="20" t="s">
        <v>58</v>
      </c>
      <c r="D14" s="26" t="s">
        <v>54</v>
      </c>
      <c r="E14" s="26" t="s">
        <v>55</v>
      </c>
      <c r="F14" s="19">
        <v>6340000</v>
      </c>
      <c r="G14" s="27">
        <v>1</v>
      </c>
      <c r="H14" s="28">
        <v>10.5</v>
      </c>
      <c r="I14" s="28"/>
      <c r="J14" s="28">
        <v>0.5</v>
      </c>
      <c r="K14" s="28"/>
      <c r="L14" s="28">
        <v>2</v>
      </c>
      <c r="M14" s="28"/>
      <c r="N14" s="28"/>
      <c r="O14" s="28">
        <v>0</v>
      </c>
      <c r="P14" s="28">
        <v>0</v>
      </c>
      <c r="Q14" s="28"/>
      <c r="R14" s="28">
        <v>0</v>
      </c>
      <c r="S14" s="28">
        <v>0</v>
      </c>
      <c r="T14" s="28">
        <v>0</v>
      </c>
      <c r="U14" s="28">
        <v>0</v>
      </c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56</v>
      </c>
      <c r="AF14" s="29"/>
      <c r="AG14" s="29"/>
      <c r="AH14" s="29"/>
      <c r="AI14" s="29" t="e">
        <f>#REF!-#REF!-AF14+AG14-AH14*4400000-IF(D14="CT",11000000,0)</f>
        <v>#REF!</v>
      </c>
      <c r="AJ14" s="29"/>
      <c r="AK14" s="29"/>
      <c r="AL14" s="29">
        <v>0</v>
      </c>
      <c r="AM14" s="29"/>
      <c r="AN14" s="29"/>
      <c r="AO14" s="29"/>
      <c r="AP14" s="29"/>
      <c r="AQ14" s="29"/>
      <c r="AR14" s="21">
        <v>23000000</v>
      </c>
      <c r="AS14" s="22">
        <v>0</v>
      </c>
      <c r="AT14" s="22">
        <v>0</v>
      </c>
      <c r="AU14" s="22"/>
      <c r="AV14" s="22" t="s">
        <v>69</v>
      </c>
      <c r="AW14" s="22"/>
      <c r="AX14" s="30"/>
      <c r="AY14" s="31"/>
      <c r="AZ14" s="31"/>
      <c r="BA14" s="32"/>
      <c r="BB14" s="32"/>
    </row>
    <row r="15" spans="1:54" s="23" customFormat="1" ht="30.5" customHeight="1">
      <c r="A15" s="33" t="s">
        <v>70</v>
      </c>
      <c r="B15" s="25" t="s">
        <v>71</v>
      </c>
      <c r="C15" s="20" t="s">
        <v>72</v>
      </c>
      <c r="D15" s="26" t="s">
        <v>54</v>
      </c>
      <c r="E15" s="26" t="s">
        <v>55</v>
      </c>
      <c r="F15" s="19">
        <v>6340000</v>
      </c>
      <c r="G15" s="27">
        <v>1</v>
      </c>
      <c r="H15" s="28">
        <v>11</v>
      </c>
      <c r="I15" s="28"/>
      <c r="J15" s="28"/>
      <c r="K15" s="28"/>
      <c r="L15" s="28">
        <v>2</v>
      </c>
      <c r="M15" s="28"/>
      <c r="N15" s="28"/>
      <c r="O15" s="28">
        <v>4</v>
      </c>
      <c r="P15" s="28">
        <v>0</v>
      </c>
      <c r="Q15" s="28"/>
      <c r="R15" s="28">
        <v>0</v>
      </c>
      <c r="S15" s="28">
        <v>0</v>
      </c>
      <c r="T15" s="28">
        <v>0</v>
      </c>
      <c r="U15" s="28">
        <v>0</v>
      </c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56</v>
      </c>
      <c r="AF15" s="29"/>
      <c r="AG15" s="29"/>
      <c r="AH15" s="29"/>
      <c r="AI15" s="29" t="e">
        <f>#REF!-#REF!-AF15+AG15-AH15*4400000-IF(D15="CT",11000000,0)</f>
        <v>#REF!</v>
      </c>
      <c r="AJ15" s="29"/>
      <c r="AK15" s="29"/>
      <c r="AL15" s="29">
        <v>0</v>
      </c>
      <c r="AM15" s="29"/>
      <c r="AN15" s="29"/>
      <c r="AO15" s="29"/>
      <c r="AP15" s="29"/>
      <c r="AQ15" s="29"/>
      <c r="AR15" s="21">
        <v>17000000</v>
      </c>
      <c r="AS15" s="22">
        <v>0</v>
      </c>
      <c r="AT15" s="22">
        <v>0</v>
      </c>
      <c r="AU15" s="22"/>
      <c r="AV15" s="22" t="s">
        <v>73</v>
      </c>
      <c r="AW15" s="22"/>
      <c r="AX15" s="30"/>
      <c r="AY15" s="31"/>
      <c r="AZ15" s="31"/>
      <c r="BA15" s="32"/>
      <c r="BB15" s="32"/>
    </row>
    <row r="16" spans="1:54" s="34" customFormat="1" ht="18.75" customHeight="1">
      <c r="A16" s="35"/>
      <c r="G16" s="36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  <c r="S16" s="38"/>
      <c r="T16" s="39"/>
      <c r="U16" s="39"/>
      <c r="AM16" s="40"/>
      <c r="AN16" s="40"/>
      <c r="AO16" s="40"/>
      <c r="AP16" s="40"/>
      <c r="AQ16" s="40"/>
      <c r="AR16" s="41"/>
      <c r="AS16" s="41"/>
      <c r="AT16" s="41"/>
      <c r="AU16" s="41"/>
      <c r="AY16" s="42"/>
    </row>
    <row r="17" spans="1:51" s="43" customFormat="1" ht="21" customHeight="1">
      <c r="A17" s="44"/>
      <c r="B17" s="44"/>
      <c r="C17" s="44"/>
      <c r="D17" s="44"/>
      <c r="E17" s="44"/>
      <c r="F17" s="44"/>
      <c r="G17" s="45"/>
      <c r="H17" s="46"/>
      <c r="I17" s="46"/>
      <c r="J17" s="46"/>
      <c r="K17" s="46"/>
      <c r="L17" s="46"/>
      <c r="M17" s="46"/>
      <c r="N17" s="46"/>
      <c r="R17" s="47"/>
      <c r="S17" s="46"/>
      <c r="T17" s="44"/>
      <c r="U17" s="44"/>
      <c r="X17" s="44"/>
      <c r="Y17" s="44"/>
      <c r="Z17" s="44"/>
      <c r="AA17" s="44"/>
      <c r="AB17" s="44"/>
      <c r="AC17" s="44"/>
      <c r="AD17" s="44"/>
      <c r="AE17" s="44"/>
      <c r="AF17" s="48"/>
      <c r="AG17" s="48"/>
      <c r="AK17" s="44"/>
      <c r="AL17" s="44"/>
      <c r="AM17" s="44" t="s">
        <v>74</v>
      </c>
      <c r="AN17" s="44"/>
      <c r="AO17" s="44"/>
      <c r="AP17" s="44"/>
      <c r="AQ17" s="44"/>
      <c r="AR17" s="49"/>
      <c r="AS17" s="49"/>
      <c r="AT17" s="49"/>
      <c r="AU17" s="49"/>
    </row>
    <row r="18" spans="1:51" s="43" customFormat="1" ht="18" customHeight="1">
      <c r="A18" s="50"/>
      <c r="G18" s="45"/>
      <c r="H18" s="47"/>
      <c r="I18" s="47"/>
      <c r="J18" s="47"/>
      <c r="K18" s="47"/>
      <c r="L18" s="47"/>
      <c r="M18" s="47"/>
      <c r="N18" s="47"/>
      <c r="O18" s="46"/>
      <c r="R18" s="47"/>
      <c r="S18" s="47"/>
      <c r="T18" s="51"/>
      <c r="U18" s="51"/>
      <c r="AD18" s="44"/>
      <c r="AE18" s="44"/>
      <c r="AK18" s="44"/>
      <c r="AL18" s="48"/>
      <c r="AR18" s="49"/>
      <c r="AS18" s="49"/>
      <c r="AT18" s="49"/>
      <c r="AU18" s="49"/>
      <c r="AY18" s="52"/>
    </row>
    <row r="19" spans="1:51" ht="15" customHeight="1">
      <c r="C19" s="55" t="s">
        <v>80</v>
      </c>
      <c r="U19" s="58"/>
      <c r="AU19" s="58" t="s">
        <v>79</v>
      </c>
      <c r="AY19" s="63"/>
    </row>
    <row r="20" spans="1:51" ht="73.5" customHeight="1">
      <c r="G20" s="60"/>
      <c r="U20" s="58"/>
    </row>
  </sheetData>
  <mergeCells count="53">
    <mergeCell ref="B5:B8"/>
    <mergeCell ref="AR5:AR8"/>
    <mergeCell ref="AP5:AQ5"/>
    <mergeCell ref="C5:C8"/>
    <mergeCell ref="AN7:AN8"/>
    <mergeCell ref="N6:N8"/>
    <mergeCell ref="P6:P8"/>
    <mergeCell ref="AK7:AK8"/>
    <mergeCell ref="X5:X8"/>
    <mergeCell ref="Z5:Z8"/>
    <mergeCell ref="I6:I8"/>
    <mergeCell ref="K6:K8"/>
    <mergeCell ref="AI7:AI8"/>
    <mergeCell ref="U6:U8"/>
    <mergeCell ref="AF6:AI6"/>
    <mergeCell ref="AB5:AB8"/>
    <mergeCell ref="Q6:Q8"/>
    <mergeCell ref="M6:M8"/>
    <mergeCell ref="AF5:AO5"/>
    <mergeCell ref="AA5:AA8"/>
    <mergeCell ref="AS5:AU7"/>
    <mergeCell ref="AR1:AU3"/>
    <mergeCell ref="AC5:AC8"/>
    <mergeCell ref="AV5:AV8"/>
    <mergeCell ref="AD5:AD8"/>
    <mergeCell ref="A5:A8"/>
    <mergeCell ref="AG7:AG8"/>
    <mergeCell ref="H6:H8"/>
    <mergeCell ref="J6:J8"/>
    <mergeCell ref="L6:L8"/>
    <mergeCell ref="AH7:AH8"/>
    <mergeCell ref="AP6:AP8"/>
    <mergeCell ref="E5:E8"/>
    <mergeCell ref="V6:V8"/>
    <mergeCell ref="W6:W8"/>
    <mergeCell ref="AJ7:AJ8"/>
    <mergeCell ref="H5:U5"/>
    <mergeCell ref="AW5:AW8"/>
    <mergeCell ref="AE5:AE8"/>
    <mergeCell ref="V5:W5"/>
    <mergeCell ref="D5:D8"/>
    <mergeCell ref="F5:F8"/>
    <mergeCell ref="AJ6:AO6"/>
    <mergeCell ref="O6:O8"/>
    <mergeCell ref="AQ6:AQ8"/>
    <mergeCell ref="AL7:AL8"/>
    <mergeCell ref="Y5:Y8"/>
    <mergeCell ref="R6:R8"/>
    <mergeCell ref="AM7:AM8"/>
    <mergeCell ref="AO7:AO8"/>
    <mergeCell ref="G5:G8"/>
    <mergeCell ref="S6:T7"/>
    <mergeCell ref="AF7:AF8"/>
  </mergeCells>
  <conditionalFormatting sqref="A9:A15">
    <cfRule type="duplicateValues" dxfId="4" priority="1"/>
    <cfRule type="duplicateValues" dxfId="3" priority="2"/>
    <cfRule type="duplicateValues" dxfId="2" priority="3"/>
  </conditionalFormatting>
  <conditionalFormatting sqref="A16:A1048576 A1:A8">
    <cfRule type="duplicateValues" dxfId="1" priority="5"/>
    <cfRule type="duplicateValues" dxfId="0" priority="6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tạm ứng kỳ 1</vt:lpstr>
      <vt:lpstr>'Bảng lương tạm ứng kỳ 1'!Print_Area</vt:lpstr>
      <vt:lpstr>'Bảng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2026-01-10T23:10:04Z</dcterms:modified>
</cp:coreProperties>
</file>