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6F8D9227-D8EE-4849-94DF-BC9D759A0992}" xr6:coauthVersionLast="47" xr6:coauthVersionMax="47" xr10:uidLastSave="{00000000-0000-0000-0000-000000000000}"/>
  <bookViews>
    <workbookView xWindow="38440" yWindow="500" windowWidth="38360" windowHeight="207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5" i="3" l="1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A21" i="3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A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A19" i="3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<sst xmlns="http://schemas.openxmlformats.org/spreadsheetml/2006/main" count="712" uniqueCount="162">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</sst>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83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165" fontId="29" fillId="3" borderId="7" xfId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55" fillId="3" borderId="18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5" fillId="6" borderId="1" xfId="1" applyNumberFormat="1" applyFont="1" applyFill="1" applyBorder="1" applyAlignment="1">
      <alignment horizontal="center" vertical="center" wrapText="1"/>
    </xf>
    <xf numFmtId="164" fontId="26" fillId="0" borderId="1" xfId="1" applyNumberFormat="1" applyFont="1" applyBorder="1" applyAlignment="1">
      <alignment horizontal="center" vertical="center" wrapText="1"/>
    </xf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15" fillId="6" borderId="4" xfId="1" applyFont="1" applyFill="1" applyBorder="1" applyAlignment="1">
      <alignment horizontal="center" vertical="center" wrapText="1"/>
    </xf>
    <xf numFmtId="164" fontId="26" fillId="6" borderId="1" xfId="1" applyNumberFormat="1" applyFont="1" applyFill="1" applyBorder="1" applyAlignment="1">
      <alignment horizontal="center" vertical="center" wrapText="1"/>
    </xf>
    <xf numFmtId="9" fontId="26" fillId="6" borderId="7" xfId="2" applyFont="1" applyFill="1" applyBorder="1" applyAlignment="1">
      <alignment horizontal="center" vertical="center"/>
    </xf>
    <xf numFmtId="0" fontId="63" fillId="6" borderId="0" xfId="0" applyFont="1" applyFill="1" applyAlignment="1">
      <alignment horizontal="center" vertical="center"/>
    </xf>
    <xf numFmtId="164" fontId="26" fillId="0" borderId="3" xfId="1" applyNumberFormat="1" applyFont="1" applyBorder="1" applyAlignment="1">
      <alignment horizontal="center" vertical="center" wrapText="1"/>
    </xf>
    <xf numFmtId="164" fontId="11" fillId="2" borderId="1" xfId="1" applyNumberFormat="1" applyFont="1" applyFill="1" applyBorder="1" applyAlignment="1">
      <alignment horizontal="center" vertical="center" wrapText="1"/>
    </xf>
    <xf numFmtId="0" fontId="4" fillId="3" borderId="1" xfId="3" applyFont="1" applyFill="1" applyBorder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164" fontId="70" fillId="3" borderId="1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2" fillId="0" borderId="2" xfId="0" applyFont="1" applyBorder="1"/>
    <xf numFmtId="165" fontId="7" fillId="3" borderId="7" xfId="1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2" fillId="3" borderId="9" xfId="0" applyFont="1" applyFill="1" applyBorder="1"/>
    <xf numFmtId="165" fontId="75" fillId="3" borderId="1" xfId="1" applyFont="1" applyFill="1" applyBorder="1" applyAlignment="1">
      <alignment horizontal="center" vertical="center" wrapText="1"/>
    </xf>
    <xf numFmtId="43" fontId="73" fillId="0" borderId="1" xfId="5" applyFont="1" applyBorder="1" applyAlignment="1">
      <alignment horizontal="center" vertical="center" wrapText="1"/>
    </xf>
    <xf numFmtId="164" fontId="76" fillId="3" borderId="1" xfId="1" applyNumberFormat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 wrapText="1"/>
    </xf>
    <xf numFmtId="0" fontId="72" fillId="0" borderId="19" xfId="0" applyFont="1" applyBorder="1"/>
    <xf numFmtId="0" fontId="72" fillId="0" borderId="16" xfId="0" applyFont="1" applyBorder="1"/>
    <xf numFmtId="164" fontId="75" fillId="3" borderId="1" xfId="1" applyNumberFormat="1" applyFont="1" applyFill="1" applyBorder="1" applyAlignment="1">
      <alignment horizontal="center" vertical="top" wrapText="1"/>
    </xf>
    <xf numFmtId="0" fontId="7" fillId="3" borderId="1" xfId="1" applyNumberFormat="1" applyFont="1" applyFill="1" applyBorder="1" applyAlignment="1">
      <alignment horizontal="center" vertical="top" wrapText="1"/>
    </xf>
    <xf numFmtId="0" fontId="4" fillId="3" borderId="1" xfId="1" applyNumberFormat="1" applyFont="1" applyFill="1" applyBorder="1" applyAlignment="1">
      <alignment horizontal="center" vertical="top" wrapText="1"/>
    </xf>
    <xf numFmtId="164" fontId="4" fillId="3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top" wrapText="1"/>
    </xf>
    <xf numFmtId="0" fontId="73" fillId="0" borderId="0" xfId="0" applyFont="1" applyAlignment="1">
      <alignment horizontal="center"/>
    </xf>
    <xf numFmtId="0" fontId="72" fillId="3" borderId="17" xfId="0" applyFont="1" applyFill="1" applyBorder="1"/>
    <xf numFmtId="0" fontId="71" fillId="3" borderId="1" xfId="0" applyFont="1" applyFill="1" applyBorder="1" applyAlignment="1">
      <alignment horizontal="center" vertical="center" wrapText="1"/>
    </xf>
    <xf numFmtId="0" fontId="72" fillId="3" borderId="18" xfId="0" applyFont="1" applyFill="1" applyBorder="1"/>
    <xf numFmtId="0" fontId="54" fillId="3" borderId="18" xfId="0" applyFont="1" applyFill="1" applyBorder="1"/>
    <xf numFmtId="0" fontId="73" fillId="0" borderId="0" xfId="0" applyFont="1" applyAlignment="1">
      <alignment horizontal="center" vertical="center" wrapText="1"/>
    </xf>
    <xf numFmtId="0" fontId="0" fillId="6" borderId="5" xfId="0" applyFont="1" applyFill="1" applyBorder="1"/>
    <xf numFmtId="0" fontId="0" fillId="6" borderId="6" xfId="0" applyFont="1" applyFill="1" applyBorder="1"/>
    <xf numFmtId="0" fontId="0" fillId="0" borderId="2" xfId="0" applyFont="1" applyBorder="1"/>
    <xf numFmtId="0" fontId="0" fillId="0" borderId="5" xfId="0" applyFont="1" applyBorder="1"/>
    <xf numFmtId="0" fontId="0" fillId="0" borderId="6" xfId="0" applyFont="1" applyBorder="1"/>
    <xf numFmtId="0" fontId="0" fillId="6" borderId="8" xfId="0" applyFont="1" applyFill="1" applyBorder="1"/>
    <xf numFmtId="0" fontId="0" fillId="6" borderId="2" xfId="0" applyFont="1" applyFill="1" applyBorder="1"/>
    <xf numFmtId="0" fontId="0" fillId="6" borderId="10" xfId="0" applyFont="1" applyFill="1" applyBorder="1"/>
    <xf numFmtId="0" fontId="0" fillId="6" borderId="11" xfId="0" applyFont="1" applyFill="1" applyBorder="1"/>
    <xf numFmtId="0" fontId="0" fillId="6" borderId="13" xfId="0" applyFont="1" applyFill="1" applyBorder="1"/>
    <xf numFmtId="0" fontId="0" fillId="6" borderId="14" xfId="0" applyFont="1" applyFill="1" applyBorder="1"/>
    <xf numFmtId="0" fontId="0" fillId="6" borderId="15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A4" zoomScale="130" zoomScaleNormal="130" zoomScaleSheetLayoutView="70" workbookViewId="0">
      <selection activeCell="I8" sqref="I8:I11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79"/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  <c r="N3" s="375"/>
      <c r="O3" s="375"/>
      <c r="P3" s="375"/>
      <c r="Q3" s="375"/>
      <c r="R3" s="375"/>
      <c r="S3" s="375"/>
      <c r="T3" s="375"/>
      <c r="U3" s="375"/>
      <c r="V3" s="375"/>
      <c r="W3" s="375"/>
      <c r="X3" s="375"/>
      <c r="Y3" s="375"/>
      <c r="Z3" s="375"/>
      <c r="AA3" s="375"/>
      <c r="AB3" s="375"/>
      <c r="AC3" s="375"/>
      <c r="AD3" s="375"/>
      <c r="AE3" s="375"/>
      <c r="AF3" s="375"/>
      <c r="AG3" s="375"/>
      <c r="AH3" s="375"/>
      <c r="AI3" s="375"/>
      <c r="AJ3" s="375"/>
      <c r="AK3" s="375"/>
      <c r="AL3" s="375"/>
      <c r="AM3" s="375"/>
      <c r="AN3" s="375"/>
      <c r="AO3" s="375"/>
      <c r="AP3" s="375"/>
      <c r="AQ3" s="375"/>
      <c r="AR3" s="375"/>
      <c r="AS3" s="375"/>
      <c r="AT3" s="375"/>
      <c r="AU3" s="375"/>
      <c r="AV3" s="375"/>
      <c r="AW3" s="375"/>
      <c r="AX3" s="375"/>
      <c r="AY3" s="375"/>
      <c r="AZ3" s="375"/>
      <c r="BA3" s="375"/>
      <c r="BB3" s="375"/>
      <c r="BC3" s="375"/>
      <c r="BD3" s="375"/>
      <c r="BE3" s="375"/>
      <c r="BF3" s="375"/>
      <c r="BG3" s="375"/>
      <c r="BH3" s="375"/>
      <c r="BI3" s="375"/>
      <c r="BJ3" s="375"/>
      <c r="BK3" s="375"/>
      <c r="BL3" s="375"/>
      <c r="BM3" s="375"/>
      <c r="BN3" s="375"/>
      <c r="BO3" s="375"/>
      <c r="BP3" s="375"/>
      <c r="BQ3" s="375"/>
      <c r="BR3" s="375"/>
      <c r="BS3" s="375"/>
      <c r="BT3" s="375"/>
      <c r="BU3" s="375"/>
      <c r="BV3" s="205"/>
      <c r="BW3" s="374" t="s">
        <v>2</v>
      </c>
      <c r="BX3" s="375"/>
      <c r="BY3" s="375"/>
      <c r="BZ3" s="375"/>
      <c r="CA3" s="375"/>
      <c r="CB3" s="375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75"/>
      <c r="BX4" s="375"/>
      <c r="BY4" s="375"/>
      <c r="BZ4" s="375"/>
      <c r="CA4" s="375"/>
      <c r="CB4" s="375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75"/>
      <c r="BX5" s="375"/>
      <c r="BY5" s="375"/>
      <c r="BZ5" s="375"/>
      <c r="CA5" s="375"/>
      <c r="CB5" s="375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75"/>
      <c r="BX6" s="375"/>
      <c r="BY6" s="375"/>
      <c r="BZ6" s="375"/>
      <c r="CA6" s="375"/>
      <c r="CB6" s="375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73" t="s">
        <v>4</v>
      </c>
      <c r="B8" s="381" t="s">
        <v>5</v>
      </c>
      <c r="C8" s="349" t="s">
        <v>6</v>
      </c>
      <c r="D8" s="360" t="s">
        <v>7</v>
      </c>
      <c r="E8" s="360" t="s">
        <v>8</v>
      </c>
      <c r="F8" s="349" t="s">
        <v>9</v>
      </c>
      <c r="G8" s="361" t="s">
        <v>10</v>
      </c>
      <c r="H8" s="362" t="s">
        <v>11</v>
      </c>
      <c r="I8" s="362" t="s">
        <v>12</v>
      </c>
      <c r="J8" s="356" t="s">
        <v>13</v>
      </c>
      <c r="K8" s="372" t="s">
        <v>14</v>
      </c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2" t="s">
        <v>15</v>
      </c>
      <c r="Z8" s="353"/>
      <c r="AA8" s="353"/>
      <c r="AB8" s="353"/>
      <c r="AC8" s="353"/>
      <c r="AD8" s="353"/>
      <c r="AE8" s="353"/>
      <c r="AF8" s="353"/>
      <c r="AG8" s="353"/>
      <c r="AH8" s="353"/>
      <c r="AI8" s="353"/>
      <c r="AJ8" s="353"/>
      <c r="AK8" s="353"/>
      <c r="AL8" s="353"/>
      <c r="AM8" s="353"/>
      <c r="AN8" s="353"/>
      <c r="AO8" s="354"/>
      <c r="AP8" s="356" t="s">
        <v>16</v>
      </c>
      <c r="AQ8" s="356" t="s">
        <v>17</v>
      </c>
      <c r="AR8" s="356" t="s">
        <v>18</v>
      </c>
      <c r="AS8" s="356" t="s">
        <v>19</v>
      </c>
      <c r="AT8" s="356" t="s">
        <v>20</v>
      </c>
      <c r="AU8" s="356" t="s">
        <v>21</v>
      </c>
      <c r="AV8" s="349" t="s">
        <v>22</v>
      </c>
      <c r="AW8" s="350" t="s">
        <v>23</v>
      </c>
      <c r="AX8" s="339" t="s">
        <v>24</v>
      </c>
      <c r="AY8" s="358" t="s">
        <v>25</v>
      </c>
      <c r="AZ8" s="353"/>
      <c r="BA8" s="353"/>
      <c r="BB8" s="353"/>
      <c r="BC8" s="353"/>
      <c r="BD8" s="353"/>
      <c r="BE8" s="353"/>
      <c r="BF8" s="353"/>
      <c r="BG8" s="353"/>
      <c r="BH8" s="353"/>
      <c r="BI8" s="353"/>
      <c r="BJ8" s="353"/>
      <c r="BK8" s="353"/>
      <c r="BL8" s="353"/>
      <c r="BM8" s="353"/>
      <c r="BN8" s="353"/>
      <c r="BO8" s="353"/>
      <c r="BP8" s="353"/>
      <c r="BQ8" s="354"/>
      <c r="BR8" s="342" t="s">
        <v>26</v>
      </c>
      <c r="BS8" s="343"/>
      <c r="BT8" s="349" t="s">
        <v>27</v>
      </c>
      <c r="BU8" s="336" t="s">
        <v>28</v>
      </c>
      <c r="BV8" s="3"/>
      <c r="BW8" s="391" t="s">
        <v>29</v>
      </c>
      <c r="BX8" s="382" t="s">
        <v>30</v>
      </c>
      <c r="BY8" s="383"/>
      <c r="BZ8" s="383"/>
      <c r="CA8" s="384"/>
      <c r="CB8" s="344" t="s">
        <v>31</v>
      </c>
      <c r="CC8" s="376" t="s">
        <v>32</v>
      </c>
      <c r="CD8" s="330" t="s">
        <v>33</v>
      </c>
      <c r="CH8" s="150"/>
      <c r="CI8" s="150"/>
    </row>
    <row r="9" spans="1:87" s="213" customFormat="1" ht="19.25" customHeight="1">
      <c r="A9" s="363"/>
      <c r="B9" s="334"/>
      <c r="C9" s="334"/>
      <c r="D9" s="334"/>
      <c r="E9" s="334"/>
      <c r="F9" s="334"/>
      <c r="G9" s="340"/>
      <c r="H9" s="363"/>
      <c r="I9" s="363"/>
      <c r="J9" s="331"/>
      <c r="K9" s="366" t="s">
        <v>34</v>
      </c>
      <c r="L9" s="366" t="s">
        <v>35</v>
      </c>
      <c r="M9" s="366" t="s">
        <v>36</v>
      </c>
      <c r="N9" s="366" t="s">
        <v>37</v>
      </c>
      <c r="O9" s="366" t="s">
        <v>38</v>
      </c>
      <c r="P9" s="366" t="s">
        <v>39</v>
      </c>
      <c r="Q9" s="366" t="s">
        <v>40</v>
      </c>
      <c r="R9" s="366" t="s">
        <v>41</v>
      </c>
      <c r="S9" s="366" t="s">
        <v>42</v>
      </c>
      <c r="T9" s="366" t="s">
        <v>43</v>
      </c>
      <c r="U9" s="366" t="s">
        <v>44</v>
      </c>
      <c r="V9" s="367" t="s">
        <v>45</v>
      </c>
      <c r="W9" s="343"/>
      <c r="X9" s="366" t="s">
        <v>46</v>
      </c>
      <c r="Y9" s="333" t="s">
        <v>154</v>
      </c>
      <c r="Z9" s="333" t="s">
        <v>48</v>
      </c>
      <c r="AA9" s="333" t="s">
        <v>49</v>
      </c>
      <c r="AB9" s="333" t="s">
        <v>50</v>
      </c>
      <c r="AC9" s="333" t="s">
        <v>51</v>
      </c>
      <c r="AD9" s="333" t="s">
        <v>52</v>
      </c>
      <c r="AE9" s="333" t="s">
        <v>53</v>
      </c>
      <c r="AF9" s="333" t="s">
        <v>54</v>
      </c>
      <c r="AG9" s="333" t="s">
        <v>55</v>
      </c>
      <c r="AH9" s="333" t="s">
        <v>56</v>
      </c>
      <c r="AI9" s="333" t="s">
        <v>57</v>
      </c>
      <c r="AJ9" s="357" t="s">
        <v>58</v>
      </c>
      <c r="AK9" s="336" t="s">
        <v>59</v>
      </c>
      <c r="AL9" s="339" t="s">
        <v>60</v>
      </c>
      <c r="AM9" s="333" t="s">
        <v>61</v>
      </c>
      <c r="AN9" s="349" t="s">
        <v>62</v>
      </c>
      <c r="AO9" s="349" t="s">
        <v>63</v>
      </c>
      <c r="AP9" s="331"/>
      <c r="AQ9" s="331"/>
      <c r="AR9" s="331"/>
      <c r="AS9" s="331"/>
      <c r="AT9" s="331"/>
      <c r="AU9" s="331"/>
      <c r="AV9" s="334"/>
      <c r="AW9" s="331"/>
      <c r="AX9" s="340"/>
      <c r="AY9" s="346" t="s">
        <v>25</v>
      </c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  <c r="BL9" s="348"/>
      <c r="BM9" s="346" t="s">
        <v>64</v>
      </c>
      <c r="BN9" s="347"/>
      <c r="BO9" s="347"/>
      <c r="BP9" s="347"/>
      <c r="BQ9" s="348"/>
      <c r="BR9" s="365" t="s">
        <v>65</v>
      </c>
      <c r="BS9" s="365" t="s">
        <v>66</v>
      </c>
      <c r="BT9" s="334"/>
      <c r="BU9" s="337"/>
      <c r="BV9" s="3"/>
      <c r="BW9" s="392"/>
      <c r="BX9" s="385"/>
      <c r="BY9" s="386"/>
      <c r="BZ9" s="386"/>
      <c r="CA9" s="387"/>
      <c r="CB9" s="334"/>
      <c r="CC9" s="377"/>
      <c r="CD9" s="331"/>
      <c r="CH9" s="150"/>
      <c r="CI9" s="150"/>
    </row>
    <row r="10" spans="1:87" s="214" customFormat="1" ht="19.25" customHeight="1">
      <c r="A10" s="363"/>
      <c r="B10" s="334"/>
      <c r="C10" s="334"/>
      <c r="D10" s="334"/>
      <c r="E10" s="334"/>
      <c r="F10" s="334"/>
      <c r="G10" s="340"/>
      <c r="H10" s="363"/>
      <c r="I10" s="363"/>
      <c r="J10" s="331"/>
      <c r="K10" s="363"/>
      <c r="L10" s="363"/>
      <c r="M10" s="363"/>
      <c r="N10" s="363"/>
      <c r="O10" s="363"/>
      <c r="P10" s="363"/>
      <c r="Q10" s="363"/>
      <c r="R10" s="363"/>
      <c r="S10" s="363"/>
      <c r="T10" s="363"/>
      <c r="U10" s="363"/>
      <c r="V10" s="368"/>
      <c r="W10" s="369"/>
      <c r="X10" s="363"/>
      <c r="Y10" s="334"/>
      <c r="Z10" s="334"/>
      <c r="AA10" s="334"/>
      <c r="AB10" s="334"/>
      <c r="AC10" s="334"/>
      <c r="AD10" s="334"/>
      <c r="AE10" s="334"/>
      <c r="AF10" s="334"/>
      <c r="AG10" s="334"/>
      <c r="AH10" s="334"/>
      <c r="AI10" s="334"/>
      <c r="AJ10" s="340"/>
      <c r="AK10" s="337"/>
      <c r="AL10" s="340"/>
      <c r="AM10" s="334"/>
      <c r="AN10" s="334"/>
      <c r="AO10" s="334"/>
      <c r="AP10" s="331"/>
      <c r="AQ10" s="331"/>
      <c r="AR10" s="331"/>
      <c r="AS10" s="331"/>
      <c r="AT10" s="331"/>
      <c r="AU10" s="331"/>
      <c r="AV10" s="334"/>
      <c r="AW10" s="331"/>
      <c r="AX10" s="340"/>
      <c r="AY10" s="29" t="s">
        <v>67</v>
      </c>
      <c r="AZ10" s="29" t="s">
        <v>68</v>
      </c>
      <c r="BA10" s="29" t="s">
        <v>69</v>
      </c>
      <c r="BB10" s="380" t="s">
        <v>70</v>
      </c>
      <c r="BC10" s="359" t="s">
        <v>71</v>
      </c>
      <c r="BD10" s="359" t="s">
        <v>72</v>
      </c>
      <c r="BE10" s="355" t="s">
        <v>73</v>
      </c>
      <c r="BF10" s="355" t="s">
        <v>74</v>
      </c>
      <c r="BG10" s="394" t="s">
        <v>75</v>
      </c>
      <c r="BH10" s="359" t="s">
        <v>76</v>
      </c>
      <c r="BI10" s="370" t="s">
        <v>77</v>
      </c>
      <c r="BJ10" s="355" t="s">
        <v>78</v>
      </c>
      <c r="BK10" s="355" t="s">
        <v>79</v>
      </c>
      <c r="BL10" s="349" t="s">
        <v>80</v>
      </c>
      <c r="BM10" s="359" t="s">
        <v>81</v>
      </c>
      <c r="BN10" s="350" t="s">
        <v>82</v>
      </c>
      <c r="BO10" s="359" t="s">
        <v>83</v>
      </c>
      <c r="BP10" s="350" t="s">
        <v>84</v>
      </c>
      <c r="BQ10" s="350" t="s">
        <v>85</v>
      </c>
      <c r="BR10" s="363"/>
      <c r="BS10" s="363"/>
      <c r="BT10" s="334"/>
      <c r="BU10" s="337"/>
      <c r="BV10" s="3"/>
      <c r="BW10" s="392"/>
      <c r="BX10" s="388"/>
      <c r="BY10" s="389"/>
      <c r="BZ10" s="389"/>
      <c r="CA10" s="390"/>
      <c r="CB10" s="334"/>
      <c r="CC10" s="377"/>
      <c r="CD10" s="331"/>
      <c r="CE10" s="228" t="s">
        <v>3</v>
      </c>
      <c r="CH10" s="150"/>
      <c r="CI10" s="150"/>
    </row>
    <row r="11" spans="1:87" s="214" customFormat="1" ht="38.25" customHeight="1">
      <c r="A11" s="364"/>
      <c r="B11" s="335"/>
      <c r="C11" s="335"/>
      <c r="D11" s="335"/>
      <c r="E11" s="335"/>
      <c r="F11" s="335"/>
      <c r="G11" s="341"/>
      <c r="H11" s="364"/>
      <c r="I11" s="364"/>
      <c r="J11" s="351"/>
      <c r="K11" s="364"/>
      <c r="L11" s="364"/>
      <c r="M11" s="364"/>
      <c r="N11" s="364"/>
      <c r="O11" s="364"/>
      <c r="P11" s="364"/>
      <c r="Q11" s="364"/>
      <c r="R11" s="364"/>
      <c r="S11" s="364"/>
      <c r="T11" s="364"/>
      <c r="U11" s="364"/>
      <c r="V11" s="178" t="s">
        <v>86</v>
      </c>
      <c r="W11" s="178" t="s">
        <v>87</v>
      </c>
      <c r="X11" s="364"/>
      <c r="Y11" s="335"/>
      <c r="Z11" s="335"/>
      <c r="AA11" s="335"/>
      <c r="AB11" s="335"/>
      <c r="AC11" s="335"/>
      <c r="AD11" s="335"/>
      <c r="AE11" s="335"/>
      <c r="AF11" s="335"/>
      <c r="AG11" s="335"/>
      <c r="AH11" s="335"/>
      <c r="AI11" s="335"/>
      <c r="AJ11" s="341"/>
      <c r="AK11" s="338"/>
      <c r="AL11" s="341"/>
      <c r="AM11" s="335"/>
      <c r="AN11" s="335"/>
      <c r="AO11" s="335"/>
      <c r="AP11" s="351"/>
      <c r="AQ11" s="351"/>
      <c r="AR11" s="351"/>
      <c r="AS11" s="351"/>
      <c r="AT11" s="351"/>
      <c r="AU11" s="351"/>
      <c r="AV11" s="335"/>
      <c r="AW11" s="351"/>
      <c r="AX11" s="341"/>
      <c r="AY11" s="229" t="s">
        <v>88</v>
      </c>
      <c r="AZ11" s="229" t="s">
        <v>89</v>
      </c>
      <c r="BA11" s="229" t="s">
        <v>90</v>
      </c>
      <c r="BB11" s="335"/>
      <c r="BC11" s="351"/>
      <c r="BD11" s="351"/>
      <c r="BE11" s="335"/>
      <c r="BF11" s="335"/>
      <c r="BG11" s="364"/>
      <c r="BH11" s="351"/>
      <c r="BI11" s="371"/>
      <c r="BJ11" s="335"/>
      <c r="BK11" s="335"/>
      <c r="BL11" s="335"/>
      <c r="BM11" s="351"/>
      <c r="BN11" s="351"/>
      <c r="BO11" s="351"/>
      <c r="BP11" s="351"/>
      <c r="BQ11" s="351"/>
      <c r="BR11" s="364"/>
      <c r="BS11" s="364"/>
      <c r="BT11" s="335"/>
      <c r="BU11" s="338"/>
      <c r="BV11" s="3"/>
      <c r="BW11" s="393"/>
      <c r="BX11" s="237" t="s">
        <v>91</v>
      </c>
      <c r="BY11" s="237" t="s">
        <v>92</v>
      </c>
      <c r="BZ11" s="237" t="s">
        <v>93</v>
      </c>
      <c r="CA11" s="238" t="s">
        <v>94</v>
      </c>
      <c r="CB11" s="345"/>
      <c r="CC11" s="378"/>
      <c r="CD11" s="332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E8:E11"/>
    <mergeCell ref="G8:G11"/>
    <mergeCell ref="H8:H11"/>
    <mergeCell ref="J8:J11"/>
    <mergeCell ref="I8:I11"/>
    <mergeCell ref="F8:F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4"/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415"/>
      <c r="O3" s="415"/>
      <c r="P3" s="415"/>
      <c r="Q3" s="415"/>
      <c r="R3" s="415"/>
      <c r="S3" s="415"/>
      <c r="T3" s="415"/>
      <c r="U3" s="415"/>
      <c r="V3" s="415"/>
      <c r="W3" s="415"/>
      <c r="X3" s="415"/>
      <c r="Y3" s="415"/>
      <c r="Z3" s="415"/>
      <c r="AA3" s="415"/>
      <c r="AB3" s="415"/>
      <c r="AC3" s="415"/>
      <c r="AD3" s="415"/>
      <c r="AE3" s="415"/>
      <c r="AF3" s="415"/>
      <c r="AG3" s="415"/>
      <c r="AH3" s="415"/>
      <c r="AI3" s="415"/>
      <c r="AJ3" s="415"/>
      <c r="AK3" s="415"/>
      <c r="AL3" s="415"/>
      <c r="AM3" s="415"/>
      <c r="AN3" s="415"/>
      <c r="AO3" s="415"/>
      <c r="AP3" s="415"/>
      <c r="AQ3" s="415"/>
      <c r="AR3" s="415"/>
      <c r="AS3" s="415"/>
      <c r="AT3" s="415"/>
      <c r="AU3" s="415"/>
      <c r="AV3" s="415"/>
      <c r="AW3" s="415"/>
      <c r="AX3" s="415"/>
      <c r="AY3" s="415"/>
      <c r="AZ3" s="415"/>
      <c r="BA3" s="415"/>
      <c r="BB3" s="415"/>
      <c r="BC3" s="415"/>
      <c r="BD3" s="415"/>
      <c r="BE3" s="415"/>
      <c r="BF3" s="415"/>
      <c r="BG3" s="415"/>
      <c r="BH3" s="415"/>
      <c r="BI3" s="415"/>
      <c r="BJ3" s="415"/>
      <c r="BK3" s="415"/>
      <c r="BL3" s="415"/>
      <c r="BM3" s="415"/>
      <c r="BN3" s="415"/>
      <c r="BO3" s="415"/>
      <c r="BP3" s="415"/>
      <c r="BQ3" s="415"/>
      <c r="BR3" s="415"/>
      <c r="BS3" s="415"/>
      <c r="BT3" s="415"/>
      <c r="BU3" s="415"/>
      <c r="BW3" s="414" t="s">
        <v>2</v>
      </c>
      <c r="BX3" s="415"/>
      <c r="BY3" s="415"/>
      <c r="BZ3" s="415"/>
      <c r="CA3" s="415"/>
      <c r="CB3" s="415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5"/>
      <c r="BX4" s="415"/>
      <c r="BY4" s="415"/>
      <c r="BZ4" s="415"/>
      <c r="CA4" s="415"/>
      <c r="CB4" s="415"/>
      <c r="CC4" s="42"/>
      <c r="CD4" s="42"/>
    </row>
    <row r="5" spans="1:87" s="45" customFormat="1">
      <c r="A5" s="427" t="s">
        <v>4</v>
      </c>
      <c r="B5" s="426" t="s">
        <v>5</v>
      </c>
      <c r="C5" s="400" t="s">
        <v>6</v>
      </c>
      <c r="D5" s="425" t="s">
        <v>7</v>
      </c>
      <c r="E5" s="425" t="s">
        <v>8</v>
      </c>
      <c r="F5" s="400" t="s">
        <v>9</v>
      </c>
      <c r="G5" s="400" t="s">
        <v>10</v>
      </c>
      <c r="H5" s="349" t="s">
        <v>11</v>
      </c>
      <c r="I5" s="349" t="s">
        <v>12</v>
      </c>
      <c r="J5" s="400" t="s">
        <v>13</v>
      </c>
      <c r="K5" s="429" t="s">
        <v>14</v>
      </c>
      <c r="L5" s="411"/>
      <c r="M5" s="411"/>
      <c r="N5" s="411"/>
      <c r="O5" s="411"/>
      <c r="P5" s="411"/>
      <c r="Q5" s="411"/>
      <c r="R5" s="411"/>
      <c r="S5" s="411"/>
      <c r="T5" s="411"/>
      <c r="U5" s="411"/>
      <c r="V5" s="411"/>
      <c r="W5" s="411"/>
      <c r="X5" s="411"/>
      <c r="Y5" s="400" t="s">
        <v>15</v>
      </c>
      <c r="Z5" s="411"/>
      <c r="AA5" s="411"/>
      <c r="AB5" s="411"/>
      <c r="AC5" s="411"/>
      <c r="AD5" s="411"/>
      <c r="AE5" s="411"/>
      <c r="AF5" s="411"/>
      <c r="AG5" s="411"/>
      <c r="AH5" s="411"/>
      <c r="AI5" s="411"/>
      <c r="AJ5" s="411"/>
      <c r="AK5" s="411"/>
      <c r="AL5" s="411"/>
      <c r="AM5" s="411"/>
      <c r="AN5" s="411"/>
      <c r="AO5" s="412"/>
      <c r="AP5" s="400" t="s">
        <v>16</v>
      </c>
      <c r="AQ5" s="400" t="s">
        <v>17</v>
      </c>
      <c r="AR5" s="400" t="s">
        <v>18</v>
      </c>
      <c r="AS5" s="400" t="s">
        <v>19</v>
      </c>
      <c r="AT5" s="400" t="s">
        <v>20</v>
      </c>
      <c r="AU5" s="400" t="s">
        <v>21</v>
      </c>
      <c r="AV5" s="400" t="s">
        <v>22</v>
      </c>
      <c r="AW5" s="400" t="s">
        <v>23</v>
      </c>
      <c r="AX5" s="400" t="s">
        <v>24</v>
      </c>
      <c r="AY5" s="410" t="s">
        <v>25</v>
      </c>
      <c r="AZ5" s="411"/>
      <c r="BA5" s="411"/>
      <c r="BB5" s="411"/>
      <c r="BC5" s="411"/>
      <c r="BD5" s="411"/>
      <c r="BE5" s="411"/>
      <c r="BF5" s="411"/>
      <c r="BG5" s="411"/>
      <c r="BH5" s="411"/>
      <c r="BI5" s="411"/>
      <c r="BJ5" s="411"/>
      <c r="BK5" s="411"/>
      <c r="BL5" s="411"/>
      <c r="BM5" s="411"/>
      <c r="BN5" s="411"/>
      <c r="BO5" s="411"/>
      <c r="BP5" s="411"/>
      <c r="BQ5" s="412"/>
      <c r="BR5" s="416" t="s">
        <v>26</v>
      </c>
      <c r="BS5" s="417"/>
      <c r="BT5" s="410" t="s">
        <v>27</v>
      </c>
      <c r="BU5" s="404" t="s">
        <v>28</v>
      </c>
      <c r="BW5" s="407" t="s">
        <v>29</v>
      </c>
      <c r="BX5" s="418" t="s">
        <v>30</v>
      </c>
      <c r="BY5" s="419"/>
      <c r="BZ5" s="419"/>
      <c r="CA5" s="417"/>
      <c r="CB5" s="413" t="s">
        <v>31</v>
      </c>
      <c r="CC5" s="395" t="s">
        <v>32</v>
      </c>
      <c r="CD5" s="395" t="s">
        <v>33</v>
      </c>
      <c r="CH5" s="46"/>
      <c r="CI5" s="47"/>
    </row>
    <row r="6" spans="1:87" s="45" customFormat="1">
      <c r="A6" s="396"/>
      <c r="B6" s="396"/>
      <c r="C6" s="396"/>
      <c r="D6" s="396"/>
      <c r="E6" s="396"/>
      <c r="F6" s="396"/>
      <c r="G6" s="396"/>
      <c r="H6" s="396"/>
      <c r="I6" s="396"/>
      <c r="J6" s="396"/>
      <c r="K6" s="401" t="s">
        <v>34</v>
      </c>
      <c r="L6" s="401" t="s">
        <v>35</v>
      </c>
      <c r="M6" s="401" t="s">
        <v>36</v>
      </c>
      <c r="N6" s="401" t="s">
        <v>37</v>
      </c>
      <c r="O6" s="401" t="s">
        <v>38</v>
      </c>
      <c r="P6" s="401" t="s">
        <v>39</v>
      </c>
      <c r="Q6" s="401" t="s">
        <v>40</v>
      </c>
      <c r="R6" s="401" t="s">
        <v>41</v>
      </c>
      <c r="S6" s="401" t="s">
        <v>42</v>
      </c>
      <c r="T6" s="401" t="s">
        <v>43</v>
      </c>
      <c r="U6" s="401" t="s">
        <v>44</v>
      </c>
      <c r="V6" s="431" t="s">
        <v>45</v>
      </c>
      <c r="W6" s="417"/>
      <c r="X6" s="401" t="s">
        <v>46</v>
      </c>
      <c r="Y6" s="400" t="s">
        <v>47</v>
      </c>
      <c r="Z6" s="400" t="s">
        <v>48</v>
      </c>
      <c r="AA6" s="400" t="s">
        <v>49</v>
      </c>
      <c r="AB6" s="400" t="s">
        <v>50</v>
      </c>
      <c r="AC6" s="349" t="s">
        <v>51</v>
      </c>
      <c r="AD6" s="349" t="s">
        <v>52</v>
      </c>
      <c r="AE6" s="349" t="s">
        <v>53</v>
      </c>
      <c r="AF6" s="349" t="s">
        <v>54</v>
      </c>
      <c r="AG6" s="400" t="s">
        <v>55</v>
      </c>
      <c r="AH6" s="349" t="s">
        <v>56</v>
      </c>
      <c r="AI6" s="349" t="s">
        <v>57</v>
      </c>
      <c r="AJ6" s="400" t="s">
        <v>58</v>
      </c>
      <c r="AK6" s="428" t="s">
        <v>59</v>
      </c>
      <c r="AL6" s="400" t="s">
        <v>60</v>
      </c>
      <c r="AM6" s="400" t="s">
        <v>61</v>
      </c>
      <c r="AN6" s="430" t="s">
        <v>62</v>
      </c>
      <c r="AO6" s="400" t="s">
        <v>63</v>
      </c>
      <c r="AP6" s="396"/>
      <c r="AQ6" s="396"/>
      <c r="AR6" s="396"/>
      <c r="AS6" s="396"/>
      <c r="AT6" s="396"/>
      <c r="AU6" s="396"/>
      <c r="AV6" s="396"/>
      <c r="AW6" s="396"/>
      <c r="AX6" s="396"/>
      <c r="AY6" s="410" t="s">
        <v>25</v>
      </c>
      <c r="AZ6" s="411"/>
      <c r="BA6" s="411"/>
      <c r="BB6" s="411"/>
      <c r="BC6" s="411"/>
      <c r="BD6" s="411"/>
      <c r="BE6" s="411"/>
      <c r="BF6" s="411"/>
      <c r="BG6" s="411"/>
      <c r="BH6" s="411"/>
      <c r="BI6" s="411"/>
      <c r="BJ6" s="411"/>
      <c r="BK6" s="411"/>
      <c r="BL6" s="412"/>
      <c r="BM6" s="410" t="s">
        <v>64</v>
      </c>
      <c r="BN6" s="411"/>
      <c r="BO6" s="411"/>
      <c r="BP6" s="411"/>
      <c r="BQ6" s="412"/>
      <c r="BR6" s="398" t="s">
        <v>65</v>
      </c>
      <c r="BS6" s="398" t="s">
        <v>66</v>
      </c>
      <c r="BT6" s="396"/>
      <c r="BU6" s="405"/>
      <c r="BW6" s="408"/>
      <c r="BX6" s="405"/>
      <c r="BY6" s="420"/>
      <c r="BZ6" s="420"/>
      <c r="CA6" s="408"/>
      <c r="CB6" s="396"/>
      <c r="CC6" s="396"/>
      <c r="CD6" s="396"/>
      <c r="CH6" s="46"/>
      <c r="CI6" s="47"/>
    </row>
    <row r="7" spans="1:87" s="48" customFormat="1" ht="12">
      <c r="A7" s="396"/>
      <c r="B7" s="396"/>
      <c r="C7" s="396"/>
      <c r="D7" s="396"/>
      <c r="E7" s="396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6"/>
      <c r="S7" s="396"/>
      <c r="T7" s="396"/>
      <c r="U7" s="396"/>
      <c r="V7" s="406"/>
      <c r="W7" s="432"/>
      <c r="X7" s="396"/>
      <c r="Y7" s="396"/>
      <c r="Z7" s="396"/>
      <c r="AA7" s="396"/>
      <c r="AB7" s="396"/>
      <c r="AC7" s="396"/>
      <c r="AD7" s="396"/>
      <c r="AE7" s="396"/>
      <c r="AF7" s="396"/>
      <c r="AG7" s="396"/>
      <c r="AH7" s="396"/>
      <c r="AI7" s="396"/>
      <c r="AJ7" s="396"/>
      <c r="AK7" s="405"/>
      <c r="AL7" s="396"/>
      <c r="AM7" s="396"/>
      <c r="AN7" s="396"/>
      <c r="AO7" s="396"/>
      <c r="AP7" s="396"/>
      <c r="AQ7" s="396"/>
      <c r="AR7" s="396"/>
      <c r="AS7" s="396"/>
      <c r="AT7" s="396"/>
      <c r="AU7" s="396"/>
      <c r="AV7" s="396"/>
      <c r="AW7" s="396"/>
      <c r="AX7" s="396"/>
      <c r="AY7" s="29" t="s">
        <v>67</v>
      </c>
      <c r="AZ7" s="29" t="s">
        <v>68</v>
      </c>
      <c r="BA7" s="29" t="s">
        <v>69</v>
      </c>
      <c r="BB7" s="410" t="s">
        <v>70</v>
      </c>
      <c r="BC7" s="402" t="s">
        <v>71</v>
      </c>
      <c r="BD7" s="402" t="s">
        <v>72</v>
      </c>
      <c r="BE7" s="423" t="s">
        <v>73</v>
      </c>
      <c r="BF7" s="402" t="s">
        <v>74</v>
      </c>
      <c r="BG7" s="402" t="s">
        <v>75</v>
      </c>
      <c r="BH7" s="402" t="s">
        <v>76</v>
      </c>
      <c r="BI7" s="402" t="s">
        <v>77</v>
      </c>
      <c r="BJ7" s="402" t="s">
        <v>78</v>
      </c>
      <c r="BK7" s="402" t="s">
        <v>79</v>
      </c>
      <c r="BL7" s="403" t="s">
        <v>80</v>
      </c>
      <c r="BM7" s="402" t="s">
        <v>81</v>
      </c>
      <c r="BN7" s="410" t="s">
        <v>82</v>
      </c>
      <c r="BO7" s="402" t="s">
        <v>83</v>
      </c>
      <c r="BP7" s="410" t="s">
        <v>84</v>
      </c>
      <c r="BQ7" s="410" t="s">
        <v>85</v>
      </c>
      <c r="BR7" s="396"/>
      <c r="BS7" s="396"/>
      <c r="BT7" s="396"/>
      <c r="BU7" s="405"/>
      <c r="BW7" s="408"/>
      <c r="BX7" s="421"/>
      <c r="BY7" s="422"/>
      <c r="BZ7" s="422"/>
      <c r="CA7" s="409"/>
      <c r="CB7" s="396"/>
      <c r="CC7" s="396"/>
      <c r="CD7" s="396"/>
      <c r="CH7" s="46"/>
      <c r="CI7" s="47"/>
    </row>
    <row r="8" spans="1:87" s="48" customFormat="1" ht="12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6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6"/>
      <c r="BW8" s="409"/>
      <c r="BX8" s="23" t="s">
        <v>91</v>
      </c>
      <c r="BY8" s="23" t="s">
        <v>92</v>
      </c>
      <c r="BZ8" s="23" t="s">
        <v>93</v>
      </c>
      <c r="CA8" s="24" t="s">
        <v>94</v>
      </c>
      <c r="CB8" s="397"/>
      <c r="CC8" s="397"/>
      <c r="CD8" s="397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BT15" activePane="bottomRight" state="frozen"/>
      <selection pane="topRight" activeCell="E18" sqref="E18"/>
      <selection pane="bottomLeft" activeCell="E18" sqref="E18"/>
      <selection pane="bottomRight" activeCell="CC11" sqref="CC11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37"/>
      <c r="B3" s="436"/>
      <c r="C3" s="436"/>
      <c r="D3" s="436"/>
      <c r="E3" s="436"/>
      <c r="F3" s="436"/>
      <c r="G3" s="436"/>
      <c r="H3" s="436"/>
      <c r="I3" s="436"/>
      <c r="J3" s="436"/>
      <c r="K3" s="436"/>
      <c r="L3" s="436"/>
      <c r="M3" s="436"/>
      <c r="N3" s="436"/>
      <c r="O3" s="436"/>
      <c r="P3" s="436"/>
      <c r="Q3" s="436"/>
      <c r="R3" s="436"/>
      <c r="S3" s="436"/>
      <c r="T3" s="436"/>
      <c r="U3" s="436"/>
      <c r="V3" s="436"/>
      <c r="W3" s="436"/>
      <c r="X3" s="436"/>
      <c r="Y3" s="436"/>
      <c r="Z3" s="436"/>
      <c r="AA3" s="436"/>
      <c r="AB3" s="436"/>
      <c r="AC3" s="436"/>
      <c r="AD3" s="436"/>
      <c r="AE3" s="436"/>
      <c r="AF3" s="436"/>
      <c r="AG3" s="436"/>
      <c r="AH3" s="436"/>
      <c r="AI3" s="436"/>
      <c r="AJ3" s="436"/>
      <c r="AK3" s="436"/>
      <c r="AL3" s="436"/>
      <c r="AM3" s="436"/>
      <c r="AN3" s="436"/>
      <c r="AO3" s="436"/>
      <c r="AP3" s="436"/>
      <c r="AQ3" s="436"/>
      <c r="AR3" s="436"/>
      <c r="AS3" s="436"/>
      <c r="AT3" s="436"/>
      <c r="AU3" s="436"/>
      <c r="AV3" s="436"/>
      <c r="AW3" s="436"/>
      <c r="AX3" s="436"/>
      <c r="AY3" s="436"/>
      <c r="AZ3" s="436"/>
      <c r="BA3" s="436"/>
      <c r="BB3" s="436"/>
      <c r="BC3" s="436"/>
      <c r="BD3" s="436"/>
      <c r="BE3" s="436"/>
      <c r="BF3" s="436"/>
      <c r="BG3" s="436"/>
      <c r="BH3" s="436"/>
      <c r="BI3" s="436"/>
      <c r="BJ3" s="436"/>
      <c r="BK3" s="436"/>
      <c r="BL3" s="436"/>
      <c r="BM3" s="436"/>
      <c r="BN3" s="436"/>
      <c r="BO3" s="436"/>
      <c r="BP3" s="436"/>
      <c r="BQ3" s="436"/>
      <c r="BR3" s="436"/>
      <c r="BS3" s="436"/>
      <c r="BT3" s="436"/>
      <c r="BU3" s="435" t="s">
        <v>2</v>
      </c>
      <c r="BV3" s="436"/>
      <c r="BW3" s="436"/>
      <c r="BX3" s="436"/>
      <c r="BY3" s="436"/>
      <c r="BZ3" s="436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36"/>
      <c r="BV4" s="436"/>
      <c r="BW4" s="436"/>
      <c r="BX4" s="436"/>
      <c r="BY4" s="436"/>
      <c r="BZ4" s="436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36"/>
      <c r="BV5" s="436"/>
      <c r="BW5" s="436"/>
      <c r="BX5" s="436"/>
      <c r="BY5" s="436"/>
      <c r="BZ5" s="436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36"/>
      <c r="BV6" s="436"/>
      <c r="BW6" s="436"/>
      <c r="BX6" s="436"/>
      <c r="BY6" s="436"/>
      <c r="BZ6" s="436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451" customFormat="1" ht="19.25" customHeight="1">
      <c r="A8" s="444" t="s">
        <v>4</v>
      </c>
      <c r="B8" s="445" t="s">
        <v>5</v>
      </c>
      <c r="C8" s="430" t="s">
        <v>6</v>
      </c>
      <c r="D8" s="446" t="s">
        <v>141</v>
      </c>
      <c r="E8" s="446" t="s">
        <v>8</v>
      </c>
      <c r="F8" s="447" t="s">
        <v>142</v>
      </c>
      <c r="G8" s="361" t="s">
        <v>10</v>
      </c>
      <c r="H8" s="448" t="s">
        <v>11</v>
      </c>
      <c r="I8" s="448" t="s">
        <v>12</v>
      </c>
      <c r="J8" s="361" t="s">
        <v>13</v>
      </c>
      <c r="K8" s="438" t="s">
        <v>14</v>
      </c>
      <c r="L8" s="471"/>
      <c r="M8" s="471"/>
      <c r="N8" s="471"/>
      <c r="O8" s="471"/>
      <c r="P8" s="471"/>
      <c r="Q8" s="471"/>
      <c r="R8" s="471"/>
      <c r="S8" s="471"/>
      <c r="T8" s="471"/>
      <c r="U8" s="471"/>
      <c r="V8" s="471"/>
      <c r="W8" s="471"/>
      <c r="X8" s="471"/>
      <c r="Y8" s="433" t="s">
        <v>15</v>
      </c>
      <c r="Z8" s="471"/>
      <c r="AA8" s="471"/>
      <c r="AB8" s="471"/>
      <c r="AC8" s="471"/>
      <c r="AD8" s="471"/>
      <c r="AE8" s="471"/>
      <c r="AF8" s="471"/>
      <c r="AG8" s="471"/>
      <c r="AH8" s="471"/>
      <c r="AI8" s="471"/>
      <c r="AJ8" s="471"/>
      <c r="AK8" s="471"/>
      <c r="AL8" s="471"/>
      <c r="AM8" s="471"/>
      <c r="AN8" s="471"/>
      <c r="AO8" s="472"/>
      <c r="AP8" s="361" t="s">
        <v>16</v>
      </c>
      <c r="AQ8" s="361" t="s">
        <v>17</v>
      </c>
      <c r="AR8" s="361" t="s">
        <v>18</v>
      </c>
      <c r="AS8" s="361" t="s">
        <v>19</v>
      </c>
      <c r="AT8" s="361" t="s">
        <v>20</v>
      </c>
      <c r="AU8" s="361" t="s">
        <v>21</v>
      </c>
      <c r="AV8" s="349" t="s">
        <v>22</v>
      </c>
      <c r="AW8" s="339" t="s">
        <v>23</v>
      </c>
      <c r="AX8" s="349" t="s">
        <v>24</v>
      </c>
      <c r="AY8" s="439" t="s">
        <v>25</v>
      </c>
      <c r="AZ8" s="471"/>
      <c r="BA8" s="471"/>
      <c r="BB8" s="471"/>
      <c r="BC8" s="471"/>
      <c r="BD8" s="471"/>
      <c r="BE8" s="471"/>
      <c r="BF8" s="471"/>
      <c r="BG8" s="471"/>
      <c r="BH8" s="471"/>
      <c r="BI8" s="471"/>
      <c r="BJ8" s="471"/>
      <c r="BK8" s="471"/>
      <c r="BL8" s="471"/>
      <c r="BM8" s="471"/>
      <c r="BN8" s="471"/>
      <c r="BO8" s="471"/>
      <c r="BP8" s="472"/>
      <c r="BQ8" s="442" t="s">
        <v>26</v>
      </c>
      <c r="BR8" s="473"/>
      <c r="BS8" s="430" t="s">
        <v>143</v>
      </c>
      <c r="BT8" s="430" t="s">
        <v>27</v>
      </c>
      <c r="BU8" s="391" t="s">
        <v>29</v>
      </c>
      <c r="BV8" s="440" t="s">
        <v>30</v>
      </c>
      <c r="BW8" s="476"/>
      <c r="BX8" s="476"/>
      <c r="BY8" s="477"/>
      <c r="BZ8" s="395" t="s">
        <v>31</v>
      </c>
      <c r="CA8" s="395" t="s">
        <v>32</v>
      </c>
      <c r="CB8" s="450" t="s">
        <v>33</v>
      </c>
      <c r="CF8" s="452"/>
      <c r="CG8" s="452"/>
    </row>
    <row r="9" spans="1:85" s="451" customFormat="1" ht="19.25" customHeight="1">
      <c r="A9" s="453"/>
      <c r="B9" s="453"/>
      <c r="C9" s="453"/>
      <c r="D9" s="453"/>
      <c r="E9" s="453"/>
      <c r="F9" s="453"/>
      <c r="G9" s="340"/>
      <c r="H9" s="453"/>
      <c r="I9" s="453"/>
      <c r="J9" s="340"/>
      <c r="K9" s="454" t="s">
        <v>34</v>
      </c>
      <c r="L9" s="454" t="s">
        <v>35</v>
      </c>
      <c r="M9" s="454" t="s">
        <v>36</v>
      </c>
      <c r="N9" s="454" t="s">
        <v>37</v>
      </c>
      <c r="O9" s="454" t="s">
        <v>38</v>
      </c>
      <c r="P9" s="454" t="s">
        <v>39</v>
      </c>
      <c r="Q9" s="454" t="s">
        <v>40</v>
      </c>
      <c r="R9" s="454" t="s">
        <v>41</v>
      </c>
      <c r="S9" s="454" t="s">
        <v>42</v>
      </c>
      <c r="T9" s="454" t="s">
        <v>43</v>
      </c>
      <c r="U9" s="454" t="s">
        <v>44</v>
      </c>
      <c r="V9" s="455" t="s">
        <v>45</v>
      </c>
      <c r="W9" s="449"/>
      <c r="X9" s="454" t="s">
        <v>46</v>
      </c>
      <c r="Y9" s="456" t="s">
        <v>47</v>
      </c>
      <c r="Z9" s="456" t="s">
        <v>48</v>
      </c>
      <c r="AA9" s="456" t="s">
        <v>49</v>
      </c>
      <c r="AB9" s="456" t="s">
        <v>50</v>
      </c>
      <c r="AC9" s="456" t="s">
        <v>51</v>
      </c>
      <c r="AD9" s="456" t="s">
        <v>144</v>
      </c>
      <c r="AE9" s="456" t="s">
        <v>53</v>
      </c>
      <c r="AF9" s="456" t="s">
        <v>54</v>
      </c>
      <c r="AG9" s="456" t="s">
        <v>55</v>
      </c>
      <c r="AH9" s="456" t="s">
        <v>56</v>
      </c>
      <c r="AI9" s="456" t="s">
        <v>57</v>
      </c>
      <c r="AJ9" s="357" t="s">
        <v>58</v>
      </c>
      <c r="AK9" s="336" t="s">
        <v>59</v>
      </c>
      <c r="AL9" s="339" t="s">
        <v>60</v>
      </c>
      <c r="AM9" s="333" t="s">
        <v>61</v>
      </c>
      <c r="AN9" s="349" t="s">
        <v>62</v>
      </c>
      <c r="AO9" s="349" t="s">
        <v>63</v>
      </c>
      <c r="AP9" s="340"/>
      <c r="AQ9" s="340"/>
      <c r="AR9" s="340"/>
      <c r="AS9" s="340"/>
      <c r="AT9" s="340"/>
      <c r="AU9" s="340"/>
      <c r="AV9" s="334"/>
      <c r="AW9" s="340"/>
      <c r="AX9" s="334"/>
      <c r="AY9" s="434" t="s">
        <v>25</v>
      </c>
      <c r="AZ9" s="474"/>
      <c r="BA9" s="474"/>
      <c r="BB9" s="474"/>
      <c r="BC9" s="474"/>
      <c r="BD9" s="474"/>
      <c r="BE9" s="474"/>
      <c r="BF9" s="474"/>
      <c r="BG9" s="474"/>
      <c r="BH9" s="474"/>
      <c r="BI9" s="474"/>
      <c r="BJ9" s="475"/>
      <c r="BK9" s="434" t="s">
        <v>64</v>
      </c>
      <c r="BL9" s="474"/>
      <c r="BM9" s="474"/>
      <c r="BN9" s="474"/>
      <c r="BO9" s="474"/>
      <c r="BP9" s="475"/>
      <c r="BQ9" s="457" t="s">
        <v>65</v>
      </c>
      <c r="BR9" s="457" t="s">
        <v>66</v>
      </c>
      <c r="BS9" s="453"/>
      <c r="BT9" s="453"/>
      <c r="BU9" s="392"/>
      <c r="BV9" s="478"/>
      <c r="BW9" s="441"/>
      <c r="BX9" s="441"/>
      <c r="BY9" s="479"/>
      <c r="BZ9" s="453"/>
      <c r="CA9" s="453"/>
      <c r="CB9" s="340"/>
      <c r="CF9" s="452"/>
      <c r="CG9" s="452"/>
    </row>
    <row r="10" spans="1:85" s="465" customFormat="1" ht="19.25" customHeight="1">
      <c r="A10" s="453"/>
      <c r="B10" s="453"/>
      <c r="C10" s="453"/>
      <c r="D10" s="453"/>
      <c r="E10" s="453"/>
      <c r="F10" s="453"/>
      <c r="G10" s="340"/>
      <c r="H10" s="453"/>
      <c r="I10" s="453"/>
      <c r="J10" s="340"/>
      <c r="K10" s="453"/>
      <c r="L10" s="453"/>
      <c r="M10" s="453"/>
      <c r="N10" s="453"/>
      <c r="O10" s="453"/>
      <c r="P10" s="453"/>
      <c r="Q10" s="453"/>
      <c r="R10" s="453"/>
      <c r="S10" s="453"/>
      <c r="T10" s="453"/>
      <c r="U10" s="453"/>
      <c r="V10" s="458"/>
      <c r="W10" s="459"/>
      <c r="X10" s="453"/>
      <c r="Y10" s="453"/>
      <c r="Z10" s="453"/>
      <c r="AA10" s="453"/>
      <c r="AB10" s="453"/>
      <c r="AC10" s="453"/>
      <c r="AD10" s="453"/>
      <c r="AE10" s="453"/>
      <c r="AF10" s="453"/>
      <c r="AG10" s="453"/>
      <c r="AH10" s="453"/>
      <c r="AI10" s="453"/>
      <c r="AJ10" s="340"/>
      <c r="AK10" s="337"/>
      <c r="AL10" s="340"/>
      <c r="AM10" s="334"/>
      <c r="AN10" s="334"/>
      <c r="AO10" s="334"/>
      <c r="AP10" s="340"/>
      <c r="AQ10" s="340"/>
      <c r="AR10" s="340"/>
      <c r="AS10" s="340"/>
      <c r="AT10" s="340"/>
      <c r="AU10" s="340"/>
      <c r="AV10" s="334"/>
      <c r="AW10" s="340"/>
      <c r="AX10" s="334"/>
      <c r="AY10" s="329" t="s">
        <v>67</v>
      </c>
      <c r="AZ10" s="329" t="s">
        <v>68</v>
      </c>
      <c r="BA10" s="329" t="s">
        <v>69</v>
      </c>
      <c r="BB10" s="460" t="s">
        <v>70</v>
      </c>
      <c r="BC10" s="461" t="s">
        <v>71</v>
      </c>
      <c r="BD10" s="461" t="s">
        <v>72</v>
      </c>
      <c r="BE10" s="462" t="s">
        <v>145</v>
      </c>
      <c r="BF10" s="462" t="s">
        <v>74</v>
      </c>
      <c r="BG10" s="462" t="s">
        <v>75</v>
      </c>
      <c r="BH10" s="461" t="s">
        <v>76</v>
      </c>
      <c r="BI10" s="462" t="s">
        <v>79</v>
      </c>
      <c r="BJ10" s="463" t="s">
        <v>80</v>
      </c>
      <c r="BK10" s="461" t="s">
        <v>81</v>
      </c>
      <c r="BL10" s="464" t="s">
        <v>82</v>
      </c>
      <c r="BM10" s="461" t="s">
        <v>83</v>
      </c>
      <c r="BN10" s="464" t="s">
        <v>84</v>
      </c>
      <c r="BO10" s="464" t="s">
        <v>146</v>
      </c>
      <c r="BP10" s="430" t="s">
        <v>85</v>
      </c>
      <c r="BQ10" s="453"/>
      <c r="BR10" s="453"/>
      <c r="BS10" s="453"/>
      <c r="BT10" s="453"/>
      <c r="BU10" s="392"/>
      <c r="BV10" s="480"/>
      <c r="BW10" s="481"/>
      <c r="BX10" s="481"/>
      <c r="BY10" s="482"/>
      <c r="BZ10" s="453"/>
      <c r="CA10" s="453"/>
      <c r="CB10" s="340"/>
      <c r="CC10" s="228" t="s">
        <v>3</v>
      </c>
      <c r="CF10" s="452"/>
      <c r="CG10" s="452"/>
    </row>
    <row r="11" spans="1:85" s="465" customFormat="1" ht="38.25" customHeight="1">
      <c r="A11" s="466"/>
      <c r="B11" s="466"/>
      <c r="C11" s="466"/>
      <c r="D11" s="466"/>
      <c r="E11" s="466"/>
      <c r="F11" s="466"/>
      <c r="G11" s="341"/>
      <c r="H11" s="466"/>
      <c r="I11" s="466"/>
      <c r="J11" s="341"/>
      <c r="K11" s="466"/>
      <c r="L11" s="466"/>
      <c r="M11" s="466"/>
      <c r="N11" s="466"/>
      <c r="O11" s="466"/>
      <c r="P11" s="466"/>
      <c r="Q11" s="466"/>
      <c r="R11" s="466"/>
      <c r="S11" s="466"/>
      <c r="T11" s="466"/>
      <c r="U11" s="466"/>
      <c r="V11" s="467" t="s">
        <v>86</v>
      </c>
      <c r="W11" s="467" t="s">
        <v>87</v>
      </c>
      <c r="X11" s="466"/>
      <c r="Y11" s="466"/>
      <c r="Z11" s="466"/>
      <c r="AA11" s="466"/>
      <c r="AB11" s="466"/>
      <c r="AC11" s="466"/>
      <c r="AD11" s="466"/>
      <c r="AE11" s="466"/>
      <c r="AF11" s="466"/>
      <c r="AG11" s="466"/>
      <c r="AH11" s="466"/>
      <c r="AI11" s="466"/>
      <c r="AJ11" s="341"/>
      <c r="AK11" s="338"/>
      <c r="AL11" s="341"/>
      <c r="AM11" s="335"/>
      <c r="AN11" s="335"/>
      <c r="AO11" s="335"/>
      <c r="AP11" s="341"/>
      <c r="AQ11" s="341"/>
      <c r="AR11" s="341"/>
      <c r="AS11" s="341"/>
      <c r="AT11" s="341"/>
      <c r="AU11" s="341"/>
      <c r="AV11" s="335"/>
      <c r="AW11" s="341"/>
      <c r="AX11" s="335"/>
      <c r="AY11" s="229" t="s">
        <v>88</v>
      </c>
      <c r="AZ11" s="229" t="s">
        <v>89</v>
      </c>
      <c r="BA11" s="229" t="s">
        <v>90</v>
      </c>
      <c r="BB11" s="466"/>
      <c r="BC11" s="341"/>
      <c r="BD11" s="341"/>
      <c r="BE11" s="466"/>
      <c r="BF11" s="466"/>
      <c r="BG11" s="466"/>
      <c r="BH11" s="341"/>
      <c r="BI11" s="466"/>
      <c r="BJ11" s="466"/>
      <c r="BK11" s="341"/>
      <c r="BL11" s="341"/>
      <c r="BM11" s="341"/>
      <c r="BN11" s="341"/>
      <c r="BO11" s="341"/>
      <c r="BP11" s="466"/>
      <c r="BQ11" s="466"/>
      <c r="BR11" s="466"/>
      <c r="BS11" s="466"/>
      <c r="BT11" s="466"/>
      <c r="BU11" s="393"/>
      <c r="BV11" s="237" t="s">
        <v>91</v>
      </c>
      <c r="BW11" s="237" t="s">
        <v>92</v>
      </c>
      <c r="BX11" s="237" t="s">
        <v>93</v>
      </c>
      <c r="BY11" s="238" t="s">
        <v>94</v>
      </c>
      <c r="BZ11" s="468"/>
      <c r="CA11" s="468"/>
      <c r="CB11" s="469"/>
      <c r="CC11" s="227">
        <v>25</v>
      </c>
      <c r="CD11" s="470"/>
      <c r="CF11" s="452"/>
      <c r="CG11" s="452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f>IF(B15=0,"",COUNTA($B$15:(B15)))</f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 t="shared" ref="Y15:Y21" si="6">G15*(K15+L15)/26</f>
        <v>4027692.3076923075</v>
      </c>
      <c r="Z15" s="323">
        <f t="shared" ref="Z15:Z21" si="7">M15*G15/26</f>
        <v>0</v>
      </c>
      <c r="AA15" s="323">
        <f t="shared" ref="AA15:AA21" si="8">G15*N15/26</f>
        <v>0</v>
      </c>
      <c r="AB15" s="323">
        <f t="shared" ref="AB15:AB21" si="9">G15*O15/26</f>
        <v>732307.69230769225</v>
      </c>
      <c r="AC15" s="323">
        <f t="shared" ref="AC15:AC21" si="10">G15*P15*150%/26</f>
        <v>0</v>
      </c>
      <c r="AD15" s="323">
        <f t="shared" ref="AD15:AD21" si="11">G15*Q15/26*200%</f>
        <v>0</v>
      </c>
      <c r="AE15" s="323">
        <f t="shared" ref="AE15:AE21" si="12">G15*R15/26*300%</f>
        <v>0</v>
      </c>
      <c r="AF15" s="323">
        <f t="shared" ref="AF15:AF21" si="13">IF(F15="LT",0,(G15+H15)/26*S15*30%)</f>
        <v>0</v>
      </c>
      <c r="AG15" s="323">
        <f t="shared" ref="AG15:AG21" si="14">T15*G15/23/8</f>
        <v>0</v>
      </c>
      <c r="AH15" s="323">
        <f t="shared" ref="AH15:AH21" si="15">BZ15/26*U15</f>
        <v>0</v>
      </c>
      <c r="AI15" s="323">
        <f t="shared" ref="AI15:AI21" si="16">G15*V15/26</f>
        <v>0</v>
      </c>
      <c r="AJ15" s="323"/>
      <c r="AK15" s="323">
        <f t="shared" ref="AK15:AK21" si="17">BX15*L15/26</f>
        <v>0</v>
      </c>
      <c r="AL15" s="323"/>
      <c r="AM15" s="323">
        <f t="shared" ref="AM15:AM21" si="18">X15*CB15</f>
        <v>0</v>
      </c>
      <c r="AN15" s="323">
        <f>H15/26*(K15+L15)</f>
        <v>0</v>
      </c>
      <c r="AO15" s="323">
        <f t="shared" ref="AO15:AO21" si="19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20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1">ROUND(IF($AX15="x",($G15+$H15)*AY$11,0),0)</f>
        <v>761600</v>
      </c>
      <c r="AZ15" s="326">
        <f t="shared" si="21"/>
        <v>142800</v>
      </c>
      <c r="BA15" s="326">
        <f t="shared" si="21"/>
        <v>95200</v>
      </c>
      <c r="BB15" s="326">
        <f t="shared" ref="BB15:BB21" si="22">SUM(AY15:BA15)</f>
        <v>999600</v>
      </c>
      <c r="BC15" s="326"/>
      <c r="BD15" s="326"/>
      <c r="BE15" s="326">
        <f t="shared" ref="BE15:BE21" si="23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4">AV15-BF15+AW15</f>
        <v>28867961.538461544</v>
      </c>
      <c r="BH15" s="326">
        <v>3</v>
      </c>
      <c r="BI15" s="326">
        <f t="shared" ref="BI15:BI21" si="25">BG15-BB15-BC15+BD15-BH15*4400000-IF(E15="CT",11000000,0)</f>
        <v>14668361.538461544</v>
      </c>
      <c r="BJ15" s="327">
        <f t="shared" ref="BJ15:BJ21" si="26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7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8">+BU15*5%</f>
        <v>3000000</v>
      </c>
      <c r="BZ15" s="327">
        <f t="shared" ref="BZ15:BZ21" si="29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si="6"/>
        <v>3424615.3846153845</v>
      </c>
      <c r="Z16" s="249">
        <f t="shared" si="7"/>
        <v>163076.92307692306</v>
      </c>
      <c r="AA16" s="249">
        <f t="shared" si="8"/>
        <v>0</v>
      </c>
      <c r="AB16" s="249">
        <f t="shared" si="9"/>
        <v>652307.69230769225</v>
      </c>
      <c r="AC16" s="249">
        <f t="shared" si="10"/>
        <v>0</v>
      </c>
      <c r="AD16" s="249">
        <f t="shared" si="11"/>
        <v>0</v>
      </c>
      <c r="AE16" s="249">
        <f t="shared" si="12"/>
        <v>0</v>
      </c>
      <c r="AF16" s="249">
        <f t="shared" si="13"/>
        <v>0</v>
      </c>
      <c r="AG16" s="249">
        <f t="shared" si="14"/>
        <v>0</v>
      </c>
      <c r="AH16" s="249">
        <f t="shared" si="15"/>
        <v>0</v>
      </c>
      <c r="AI16" s="249">
        <f t="shared" si="16"/>
        <v>0</v>
      </c>
      <c r="AJ16" s="249"/>
      <c r="AK16" s="249">
        <f t="shared" si="17"/>
        <v>0</v>
      </c>
      <c r="AL16" s="249"/>
      <c r="AM16" s="249">
        <f t="shared" si="18"/>
        <v>0</v>
      </c>
      <c r="AN16" s="249">
        <f t="shared" ref="AN16:AN21" si="30">H16/26*K16</f>
        <v>0</v>
      </c>
      <c r="AO16" s="249">
        <f t="shared" si="19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20"/>
        <v>27378461.53846154</v>
      </c>
      <c r="AW16" s="249"/>
      <c r="AX16" s="249" t="s">
        <v>101</v>
      </c>
      <c r="AY16" s="251">
        <f t="shared" si="21"/>
        <v>678400</v>
      </c>
      <c r="AZ16" s="251">
        <f t="shared" si="21"/>
        <v>127200</v>
      </c>
      <c r="BA16" s="251">
        <f t="shared" si="21"/>
        <v>84800</v>
      </c>
      <c r="BB16" s="251">
        <f t="shared" si="22"/>
        <v>890400</v>
      </c>
      <c r="BC16" s="251"/>
      <c r="BD16" s="251"/>
      <c r="BE16" s="251">
        <f t="shared" si="23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4"/>
        <v>22659692.307692308</v>
      </c>
      <c r="BH16" s="251"/>
      <c r="BI16" s="251">
        <f t="shared" si="25"/>
        <v>10769292.307692308</v>
      </c>
      <c r="BJ16" s="243">
        <f t="shared" si="26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7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8"/>
        <v>2000000</v>
      </c>
      <c r="BZ16" s="243">
        <f t="shared" si="29"/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f>IF(B17=0,"",COUNTA($B$15:(B17)))</f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6"/>
        <v>3308461.5384615385</v>
      </c>
      <c r="Z17" s="249">
        <f t="shared" si="7"/>
        <v>0</v>
      </c>
      <c r="AA17" s="249">
        <f t="shared" si="8"/>
        <v>0</v>
      </c>
      <c r="AB17" s="249">
        <f t="shared" si="9"/>
        <v>601538.4615384615</v>
      </c>
      <c r="AC17" s="249">
        <f t="shared" si="10"/>
        <v>0</v>
      </c>
      <c r="AD17" s="249">
        <f t="shared" si="11"/>
        <v>0</v>
      </c>
      <c r="AE17" s="249">
        <f t="shared" si="12"/>
        <v>3609230.769230769</v>
      </c>
      <c r="AF17" s="249">
        <f t="shared" si="13"/>
        <v>0</v>
      </c>
      <c r="AG17" s="249">
        <f t="shared" si="14"/>
        <v>0</v>
      </c>
      <c r="AH17" s="249">
        <f t="shared" si="15"/>
        <v>0</v>
      </c>
      <c r="AI17" s="249">
        <f t="shared" si="16"/>
        <v>0</v>
      </c>
      <c r="AJ17" s="249"/>
      <c r="AK17" s="249">
        <f t="shared" si="17"/>
        <v>0</v>
      </c>
      <c r="AL17" s="249"/>
      <c r="AM17" s="249">
        <f t="shared" si="18"/>
        <v>0</v>
      </c>
      <c r="AN17" s="249">
        <f t="shared" si="30"/>
        <v>126923.07692307694</v>
      </c>
      <c r="AO17" s="249">
        <f t="shared" si="19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20"/>
        <v>29175384.615384616</v>
      </c>
      <c r="AW17" s="249"/>
      <c r="AX17" s="249" t="s">
        <v>101</v>
      </c>
      <c r="AY17" s="251">
        <f t="shared" si="21"/>
        <v>649600</v>
      </c>
      <c r="AZ17" s="251">
        <f t="shared" si="21"/>
        <v>121800</v>
      </c>
      <c r="BA17" s="251">
        <f t="shared" si="21"/>
        <v>81200</v>
      </c>
      <c r="BB17" s="251">
        <f t="shared" si="22"/>
        <v>852600</v>
      </c>
      <c r="BC17" s="251"/>
      <c r="BD17" s="251"/>
      <c r="BE17" s="251">
        <f t="shared" si="23"/>
        <v>78200</v>
      </c>
      <c r="BF17" s="251">
        <f t="shared" si="31"/>
        <v>4852307.692307692</v>
      </c>
      <c r="BG17" s="251">
        <f t="shared" si="24"/>
        <v>24323076.923076924</v>
      </c>
      <c r="BH17" s="251"/>
      <c r="BI17" s="251">
        <f t="shared" si="25"/>
        <v>12470476.923076924</v>
      </c>
      <c r="BJ17" s="243">
        <f t="shared" si="26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7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8"/>
        <v>2000000</v>
      </c>
      <c r="BZ17" s="243">
        <f t="shared" si="29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6"/>
        <v>2822884.6153846155</v>
      </c>
      <c r="Z18" s="249">
        <f t="shared" si="7"/>
        <v>134423.07692307694</v>
      </c>
      <c r="AA18" s="249">
        <f t="shared" si="8"/>
        <v>0</v>
      </c>
      <c r="AB18" s="249">
        <f t="shared" si="9"/>
        <v>537692.30769230775</v>
      </c>
      <c r="AC18" s="249">
        <f t="shared" si="10"/>
        <v>0</v>
      </c>
      <c r="AD18" s="249">
        <f t="shared" si="11"/>
        <v>0</v>
      </c>
      <c r="AE18" s="249">
        <f t="shared" si="12"/>
        <v>0</v>
      </c>
      <c r="AF18" s="249">
        <f t="shared" si="13"/>
        <v>0</v>
      </c>
      <c r="AG18" s="249">
        <f t="shared" si="14"/>
        <v>0</v>
      </c>
      <c r="AH18" s="249">
        <f t="shared" si="15"/>
        <v>0</v>
      </c>
      <c r="AI18" s="249">
        <f t="shared" si="16"/>
        <v>0</v>
      </c>
      <c r="AJ18" s="249"/>
      <c r="AK18" s="249">
        <f t="shared" si="17"/>
        <v>0</v>
      </c>
      <c r="AL18" s="249"/>
      <c r="AM18" s="249">
        <f t="shared" si="18"/>
        <v>0</v>
      </c>
      <c r="AN18" s="249">
        <f t="shared" si="30"/>
        <v>0</v>
      </c>
      <c r="AO18" s="249">
        <f t="shared" si="19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20"/>
        <v>14374230.76923077</v>
      </c>
      <c r="AW18" s="249"/>
      <c r="AX18" s="249" t="s">
        <v>101</v>
      </c>
      <c r="AY18" s="251">
        <f t="shared" si="21"/>
        <v>559200</v>
      </c>
      <c r="AZ18" s="251">
        <f t="shared" si="21"/>
        <v>104850</v>
      </c>
      <c r="BA18" s="251">
        <f t="shared" si="21"/>
        <v>69900</v>
      </c>
      <c r="BB18" s="251">
        <f t="shared" si="22"/>
        <v>733950</v>
      </c>
      <c r="BC18" s="251"/>
      <c r="BD18" s="251"/>
      <c r="BE18" s="251">
        <f t="shared" si="23"/>
        <v>69900</v>
      </c>
      <c r="BF18" s="251">
        <f t="shared" si="31"/>
        <v>2768134.6153846155</v>
      </c>
      <c r="BG18" s="251">
        <f t="shared" si="24"/>
        <v>11606096.153846154</v>
      </c>
      <c r="BH18" s="251"/>
      <c r="BI18" s="251">
        <f t="shared" si="25"/>
        <v>-127853.84615384601</v>
      </c>
      <c r="BJ18" s="243">
        <f t="shared" si="26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7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8"/>
        <v>1150000</v>
      </c>
      <c r="BZ18" s="243">
        <f t="shared" si="29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f>IF(B19=0,"",COUNTA($B$15:(B19)))</f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6"/>
        <v>2051923.076923077</v>
      </c>
      <c r="Z19" s="249">
        <f t="shared" si="7"/>
        <v>0</v>
      </c>
      <c r="AA19" s="249">
        <f t="shared" si="8"/>
        <v>0</v>
      </c>
      <c r="AB19" s="249">
        <f t="shared" si="9"/>
        <v>373076.92307692306</v>
      </c>
      <c r="AC19" s="249">
        <f t="shared" si="10"/>
        <v>0</v>
      </c>
      <c r="AD19" s="249">
        <f t="shared" si="11"/>
        <v>0</v>
      </c>
      <c r="AE19" s="249">
        <f t="shared" si="12"/>
        <v>2238461.5384615385</v>
      </c>
      <c r="AF19" s="249">
        <f t="shared" si="13"/>
        <v>0</v>
      </c>
      <c r="AG19" s="249">
        <f t="shared" si="14"/>
        <v>0</v>
      </c>
      <c r="AH19" s="249">
        <f t="shared" si="15"/>
        <v>0</v>
      </c>
      <c r="AI19" s="249">
        <f t="shared" si="16"/>
        <v>0</v>
      </c>
      <c r="AJ19" s="249"/>
      <c r="AK19" s="249">
        <f t="shared" si="17"/>
        <v>0</v>
      </c>
      <c r="AL19" s="249"/>
      <c r="AM19" s="249">
        <f t="shared" si="18"/>
        <v>0</v>
      </c>
      <c r="AN19" s="249">
        <f t="shared" si="30"/>
        <v>126923.07692307694</v>
      </c>
      <c r="AO19" s="249">
        <f t="shared" si="19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20"/>
        <v>8058076.9230769221</v>
      </c>
      <c r="AW19" s="249"/>
      <c r="AX19" s="249" t="s">
        <v>101</v>
      </c>
      <c r="AY19" s="251">
        <f t="shared" si="21"/>
        <v>412000</v>
      </c>
      <c r="AZ19" s="251">
        <f t="shared" si="21"/>
        <v>77250</v>
      </c>
      <c r="BA19" s="251">
        <f t="shared" si="21"/>
        <v>51500</v>
      </c>
      <c r="BB19" s="251">
        <f t="shared" si="22"/>
        <v>540750</v>
      </c>
      <c r="BC19" s="251"/>
      <c r="BD19" s="251"/>
      <c r="BE19" s="251">
        <f t="shared" si="23"/>
        <v>48500</v>
      </c>
      <c r="BF19" s="251">
        <f t="shared" si="31"/>
        <v>1684711.5384615383</v>
      </c>
      <c r="BG19" s="251">
        <f t="shared" si="24"/>
        <v>6373365.384615384</v>
      </c>
      <c r="BH19" s="251"/>
      <c r="BI19" s="251">
        <f t="shared" si="25"/>
        <v>-5167384.615384616</v>
      </c>
      <c r="BJ19" s="243">
        <f t="shared" si="26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7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8"/>
        <v>550000</v>
      </c>
      <c r="BZ19" s="243">
        <f t="shared" si="29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6"/>
        <v>2560384.6153846155</v>
      </c>
      <c r="Z20" s="249">
        <f t="shared" si="7"/>
        <v>121923.07692307692</v>
      </c>
      <c r="AA20" s="249">
        <f t="shared" si="8"/>
        <v>0</v>
      </c>
      <c r="AB20" s="249">
        <f t="shared" si="9"/>
        <v>487692.30769230769</v>
      </c>
      <c r="AC20" s="249">
        <f t="shared" si="10"/>
        <v>0</v>
      </c>
      <c r="AD20" s="249">
        <f t="shared" si="11"/>
        <v>0</v>
      </c>
      <c r="AE20" s="249">
        <f t="shared" si="12"/>
        <v>0</v>
      </c>
      <c r="AF20" s="249">
        <f t="shared" si="13"/>
        <v>0</v>
      </c>
      <c r="AG20" s="249">
        <f t="shared" si="14"/>
        <v>0</v>
      </c>
      <c r="AH20" s="249">
        <f t="shared" si="15"/>
        <v>0</v>
      </c>
      <c r="AI20" s="249">
        <f t="shared" si="16"/>
        <v>0</v>
      </c>
      <c r="AJ20" s="249"/>
      <c r="AK20" s="249">
        <f t="shared" si="17"/>
        <v>0</v>
      </c>
      <c r="AL20" s="249"/>
      <c r="AM20" s="249">
        <f t="shared" si="18"/>
        <v>0</v>
      </c>
      <c r="AN20" s="249">
        <f t="shared" si="30"/>
        <v>0</v>
      </c>
      <c r="AO20" s="249">
        <f t="shared" si="19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20"/>
        <v>13464134.615384616</v>
      </c>
      <c r="AW20" s="249"/>
      <c r="AX20" s="249" t="s">
        <v>101</v>
      </c>
      <c r="AY20" s="251">
        <f t="shared" si="21"/>
        <v>507200</v>
      </c>
      <c r="AZ20" s="251">
        <f t="shared" si="21"/>
        <v>95100</v>
      </c>
      <c r="BA20" s="251">
        <f t="shared" si="21"/>
        <v>63400</v>
      </c>
      <c r="BB20" s="251">
        <f t="shared" si="22"/>
        <v>665700</v>
      </c>
      <c r="BC20" s="251"/>
      <c r="BD20" s="251"/>
      <c r="BE20" s="251">
        <f t="shared" si="23"/>
        <v>63400</v>
      </c>
      <c r="BF20" s="251">
        <f t="shared" si="31"/>
        <v>2631620.192307692</v>
      </c>
      <c r="BG20" s="251">
        <f t="shared" si="24"/>
        <v>10832514.423076924</v>
      </c>
      <c r="BH20" s="251"/>
      <c r="BI20" s="251">
        <f t="shared" si="25"/>
        <v>-833185.57692307606</v>
      </c>
      <c r="BJ20" s="243">
        <f t="shared" si="26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7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8"/>
        <v>1150000</v>
      </c>
      <c r="BZ20" s="243">
        <f t="shared" si="29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f>IF(B21=0,"",COUNTA($B$15:(B21)))</f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6"/>
        <v>2682307.6923076925</v>
      </c>
      <c r="Z21" s="249">
        <f t="shared" si="7"/>
        <v>0</v>
      </c>
      <c r="AA21" s="249">
        <f t="shared" si="8"/>
        <v>0</v>
      </c>
      <c r="AB21" s="249">
        <f t="shared" si="9"/>
        <v>487692.30769230769</v>
      </c>
      <c r="AC21" s="249">
        <f t="shared" si="10"/>
        <v>0</v>
      </c>
      <c r="AD21" s="249">
        <f t="shared" si="11"/>
        <v>0</v>
      </c>
      <c r="AE21" s="249">
        <f t="shared" si="12"/>
        <v>2926153.846153846</v>
      </c>
      <c r="AF21" s="249">
        <f t="shared" si="13"/>
        <v>0</v>
      </c>
      <c r="AG21" s="249">
        <f t="shared" si="14"/>
        <v>0</v>
      </c>
      <c r="AH21" s="249">
        <f t="shared" si="15"/>
        <v>0</v>
      </c>
      <c r="AI21" s="249">
        <f t="shared" si="16"/>
        <v>0</v>
      </c>
      <c r="AJ21" s="249"/>
      <c r="AK21" s="249">
        <f t="shared" si="17"/>
        <v>0</v>
      </c>
      <c r="AL21" s="249"/>
      <c r="AM21" s="249">
        <f t="shared" si="18"/>
        <v>0</v>
      </c>
      <c r="AN21" s="249">
        <f t="shared" si="30"/>
        <v>126923.07692307694</v>
      </c>
      <c r="AO21" s="249">
        <f t="shared" si="19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20"/>
        <v>13032307.692307692</v>
      </c>
      <c r="AW21" s="249"/>
      <c r="AX21" s="249" t="s">
        <v>101</v>
      </c>
      <c r="AY21" s="251">
        <f t="shared" si="21"/>
        <v>531200</v>
      </c>
      <c r="AZ21" s="251">
        <f t="shared" si="21"/>
        <v>99600</v>
      </c>
      <c r="BA21" s="251">
        <f t="shared" si="21"/>
        <v>66400</v>
      </c>
      <c r="BB21" s="251">
        <f t="shared" si="22"/>
        <v>697200</v>
      </c>
      <c r="BC21" s="251"/>
      <c r="BD21" s="251"/>
      <c r="BE21" s="251">
        <f t="shared" si="23"/>
        <v>63400</v>
      </c>
      <c r="BF21" s="251">
        <f t="shared" si="31"/>
        <v>2430846.153846154</v>
      </c>
      <c r="BG21" s="251">
        <f t="shared" si="24"/>
        <v>10601461.538461538</v>
      </c>
      <c r="BH21" s="251"/>
      <c r="BI21" s="251">
        <f t="shared" si="25"/>
        <v>-1095738.461538462</v>
      </c>
      <c r="BJ21" s="243">
        <f t="shared" si="26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7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8"/>
        <v>850000</v>
      </c>
      <c r="BZ21" s="243">
        <f t="shared" si="29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AV8:AV11"/>
    <mergeCell ref="A8:A11"/>
    <mergeCell ref="AS8:AS11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BG10:BG11"/>
    <mergeCell ref="BI10:BI11"/>
    <mergeCell ref="X9:X11"/>
    <mergeCell ref="BU3:BZ6"/>
    <mergeCell ref="AU8:AU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Z9:Z11"/>
    <mergeCell ref="AD9:AD11"/>
    <mergeCell ref="AY9:BJ9"/>
    <mergeCell ref="AT8:AT11"/>
  </mergeCells>
  <conditionalFormatting sqref="B1:B12 B22:B1048576 C12:BT12">
    <cfRule type="duplicateValues" dxfId="12" priority="96"/>
  </conditionalFormatting>
  <conditionalFormatting sqref="B1:B12 B22:B1048576 C12:CB12 D13:F13 J13:BI13 BK13:CB13">
    <cfRule type="duplicateValues" dxfId="11" priority="99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4"/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415"/>
      <c r="O3" s="415"/>
      <c r="P3" s="415"/>
      <c r="Q3" s="415"/>
      <c r="R3" s="415"/>
      <c r="S3" s="415"/>
      <c r="T3" s="415"/>
      <c r="U3" s="415"/>
      <c r="V3" s="415"/>
      <c r="W3" s="415"/>
      <c r="X3" s="415"/>
      <c r="Y3" s="415"/>
      <c r="Z3" s="415"/>
      <c r="AA3" s="415"/>
      <c r="AB3" s="415"/>
      <c r="AC3" s="415"/>
      <c r="AD3" s="415"/>
      <c r="AE3" s="415"/>
      <c r="AF3" s="415"/>
      <c r="AG3" s="415"/>
      <c r="AH3" s="415"/>
      <c r="AI3" s="415"/>
      <c r="AJ3" s="415"/>
      <c r="AK3" s="415"/>
      <c r="AL3" s="415"/>
      <c r="AM3" s="415"/>
      <c r="AN3" s="415"/>
      <c r="AO3" s="415"/>
      <c r="AP3" s="415"/>
      <c r="AQ3" s="415"/>
      <c r="AR3" s="415"/>
      <c r="AS3" s="415"/>
      <c r="AT3" s="415"/>
      <c r="AU3" s="415"/>
      <c r="AV3" s="415"/>
      <c r="AW3" s="415"/>
      <c r="AX3" s="415"/>
      <c r="AY3" s="415"/>
      <c r="AZ3" s="415"/>
      <c r="BA3" s="415"/>
      <c r="BB3" s="415"/>
      <c r="BC3" s="415"/>
      <c r="BD3" s="415"/>
      <c r="BE3" s="415"/>
      <c r="BF3" s="415"/>
      <c r="BG3" s="415"/>
      <c r="BH3" s="415"/>
      <c r="BI3" s="415"/>
      <c r="BJ3" s="415"/>
      <c r="BK3" s="415"/>
      <c r="BL3" s="415"/>
      <c r="BM3" s="415"/>
      <c r="BN3" s="415"/>
      <c r="BO3" s="415"/>
      <c r="BP3" s="415"/>
      <c r="BQ3" s="415"/>
      <c r="BR3" s="415"/>
      <c r="BS3" s="415"/>
      <c r="BT3" s="415"/>
      <c r="BU3" s="415"/>
      <c r="BW3" s="414" t="s">
        <v>2</v>
      </c>
      <c r="BX3" s="415"/>
      <c r="BY3" s="415"/>
      <c r="BZ3" s="415"/>
      <c r="CA3" s="415"/>
      <c r="CB3" s="415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5"/>
      <c r="BX4" s="415"/>
      <c r="BY4" s="415"/>
      <c r="BZ4" s="415"/>
      <c r="CA4" s="415"/>
      <c r="CB4" s="415"/>
      <c r="CC4" s="42"/>
      <c r="CD4" s="42"/>
    </row>
    <row r="5" spans="1:87" s="45" customFormat="1">
      <c r="A5" s="427" t="s">
        <v>4</v>
      </c>
      <c r="B5" s="426" t="s">
        <v>5</v>
      </c>
      <c r="C5" s="400" t="s">
        <v>6</v>
      </c>
      <c r="D5" s="425" t="s">
        <v>141</v>
      </c>
      <c r="E5" s="425" t="s">
        <v>8</v>
      </c>
      <c r="F5" s="443" t="s">
        <v>142</v>
      </c>
      <c r="G5" s="400" t="s">
        <v>10</v>
      </c>
      <c r="H5" s="349" t="s">
        <v>11</v>
      </c>
      <c r="I5" s="349" t="s">
        <v>12</v>
      </c>
      <c r="J5" s="400" t="s">
        <v>13</v>
      </c>
      <c r="K5" s="429" t="s">
        <v>14</v>
      </c>
      <c r="L5" s="411"/>
      <c r="M5" s="411"/>
      <c r="N5" s="411"/>
      <c r="O5" s="411"/>
      <c r="P5" s="411"/>
      <c r="Q5" s="411"/>
      <c r="R5" s="411"/>
      <c r="S5" s="411"/>
      <c r="T5" s="411"/>
      <c r="U5" s="411"/>
      <c r="V5" s="411"/>
      <c r="W5" s="411"/>
      <c r="X5" s="411"/>
      <c r="Y5" s="400" t="s">
        <v>15</v>
      </c>
      <c r="Z5" s="411"/>
      <c r="AA5" s="411"/>
      <c r="AB5" s="411"/>
      <c r="AC5" s="411"/>
      <c r="AD5" s="411"/>
      <c r="AE5" s="411"/>
      <c r="AF5" s="411"/>
      <c r="AG5" s="411"/>
      <c r="AH5" s="411"/>
      <c r="AI5" s="411"/>
      <c r="AJ5" s="411"/>
      <c r="AK5" s="411"/>
      <c r="AL5" s="411"/>
      <c r="AM5" s="411"/>
      <c r="AN5" s="411"/>
      <c r="AO5" s="412"/>
      <c r="AP5" s="400" t="s">
        <v>16</v>
      </c>
      <c r="AQ5" s="400" t="s">
        <v>17</v>
      </c>
      <c r="AR5" s="400" t="s">
        <v>18</v>
      </c>
      <c r="AS5" s="400" t="s">
        <v>19</v>
      </c>
      <c r="AT5" s="400" t="s">
        <v>20</v>
      </c>
      <c r="AU5" s="400" t="s">
        <v>21</v>
      </c>
      <c r="AV5" s="400" t="s">
        <v>22</v>
      </c>
      <c r="AW5" s="400" t="s">
        <v>23</v>
      </c>
      <c r="AX5" s="400" t="s">
        <v>24</v>
      </c>
      <c r="AY5" s="410" t="s">
        <v>25</v>
      </c>
      <c r="AZ5" s="411"/>
      <c r="BA5" s="411"/>
      <c r="BB5" s="411"/>
      <c r="BC5" s="411"/>
      <c r="BD5" s="411"/>
      <c r="BE5" s="411"/>
      <c r="BF5" s="411"/>
      <c r="BG5" s="411"/>
      <c r="BH5" s="411"/>
      <c r="BI5" s="411"/>
      <c r="BJ5" s="411"/>
      <c r="BK5" s="411"/>
      <c r="BL5" s="411"/>
      <c r="BM5" s="411"/>
      <c r="BN5" s="411"/>
      <c r="BO5" s="411"/>
      <c r="BP5" s="412"/>
      <c r="BQ5" s="416" t="s">
        <v>26</v>
      </c>
      <c r="BR5" s="417"/>
      <c r="BS5" s="410" t="s">
        <v>143</v>
      </c>
      <c r="BT5" s="410" t="s">
        <v>27</v>
      </c>
      <c r="BU5" s="404" t="s">
        <v>28</v>
      </c>
      <c r="BW5" s="407" t="s">
        <v>29</v>
      </c>
      <c r="BX5" s="418" t="s">
        <v>30</v>
      </c>
      <c r="BY5" s="419"/>
      <c r="BZ5" s="419"/>
      <c r="CA5" s="417"/>
      <c r="CB5" s="413" t="s">
        <v>31</v>
      </c>
      <c r="CC5" s="395" t="s">
        <v>32</v>
      </c>
      <c r="CD5" s="395" t="s">
        <v>33</v>
      </c>
      <c r="CH5" s="46"/>
      <c r="CI5" s="47"/>
    </row>
    <row r="6" spans="1:87" s="45" customFormat="1">
      <c r="A6" s="396"/>
      <c r="B6" s="396"/>
      <c r="C6" s="396"/>
      <c r="D6" s="396"/>
      <c r="E6" s="396"/>
      <c r="F6" s="396"/>
      <c r="G6" s="396"/>
      <c r="H6" s="396"/>
      <c r="I6" s="396"/>
      <c r="J6" s="396"/>
      <c r="K6" s="401" t="s">
        <v>34</v>
      </c>
      <c r="L6" s="401" t="s">
        <v>35</v>
      </c>
      <c r="M6" s="401" t="s">
        <v>36</v>
      </c>
      <c r="N6" s="401" t="s">
        <v>37</v>
      </c>
      <c r="O6" s="401" t="s">
        <v>38</v>
      </c>
      <c r="P6" s="401" t="s">
        <v>39</v>
      </c>
      <c r="Q6" s="401" t="s">
        <v>40</v>
      </c>
      <c r="R6" s="401" t="s">
        <v>41</v>
      </c>
      <c r="S6" s="401" t="s">
        <v>42</v>
      </c>
      <c r="T6" s="401" t="s">
        <v>43</v>
      </c>
      <c r="U6" s="401" t="s">
        <v>44</v>
      </c>
      <c r="V6" s="431" t="s">
        <v>45</v>
      </c>
      <c r="W6" s="417"/>
      <c r="X6" s="401" t="s">
        <v>46</v>
      </c>
      <c r="Y6" s="400" t="s">
        <v>47</v>
      </c>
      <c r="Z6" s="400" t="s">
        <v>48</v>
      </c>
      <c r="AA6" s="400" t="s">
        <v>49</v>
      </c>
      <c r="AB6" s="400" t="s">
        <v>50</v>
      </c>
      <c r="AC6" s="349" t="s">
        <v>51</v>
      </c>
      <c r="AD6" s="349" t="s">
        <v>144</v>
      </c>
      <c r="AE6" s="349" t="s">
        <v>53</v>
      </c>
      <c r="AF6" s="349" t="s">
        <v>54</v>
      </c>
      <c r="AG6" s="400" t="s">
        <v>55</v>
      </c>
      <c r="AH6" s="349" t="s">
        <v>56</v>
      </c>
      <c r="AI6" s="349" t="s">
        <v>57</v>
      </c>
      <c r="AJ6" s="400" t="s">
        <v>58</v>
      </c>
      <c r="AK6" s="428" t="s">
        <v>59</v>
      </c>
      <c r="AL6" s="400" t="s">
        <v>60</v>
      </c>
      <c r="AM6" s="400" t="s">
        <v>61</v>
      </c>
      <c r="AN6" s="430" t="s">
        <v>62</v>
      </c>
      <c r="AO6" s="400" t="s">
        <v>63</v>
      </c>
      <c r="AP6" s="396"/>
      <c r="AQ6" s="396"/>
      <c r="AR6" s="396"/>
      <c r="AS6" s="396"/>
      <c r="AT6" s="396"/>
      <c r="AU6" s="396"/>
      <c r="AV6" s="396"/>
      <c r="AW6" s="396"/>
      <c r="AX6" s="396"/>
      <c r="AY6" s="410" t="s">
        <v>25</v>
      </c>
      <c r="AZ6" s="411"/>
      <c r="BA6" s="411"/>
      <c r="BB6" s="411"/>
      <c r="BC6" s="411"/>
      <c r="BD6" s="411"/>
      <c r="BE6" s="411"/>
      <c r="BF6" s="411"/>
      <c r="BG6" s="411"/>
      <c r="BH6" s="411"/>
      <c r="BI6" s="411"/>
      <c r="BJ6" s="412"/>
      <c r="BK6" s="410" t="s">
        <v>64</v>
      </c>
      <c r="BL6" s="411"/>
      <c r="BM6" s="411"/>
      <c r="BN6" s="411"/>
      <c r="BO6" s="411"/>
      <c r="BP6" s="412"/>
      <c r="BQ6" s="398" t="s">
        <v>65</v>
      </c>
      <c r="BR6" s="398" t="s">
        <v>66</v>
      </c>
      <c r="BS6" s="396"/>
      <c r="BT6" s="396"/>
      <c r="BU6" s="405"/>
      <c r="BW6" s="408"/>
      <c r="BX6" s="405"/>
      <c r="BY6" s="420"/>
      <c r="BZ6" s="420"/>
      <c r="CA6" s="408"/>
      <c r="CB6" s="396"/>
      <c r="CC6" s="396"/>
      <c r="CD6" s="396"/>
      <c r="CH6" s="46"/>
      <c r="CI6" s="47"/>
    </row>
    <row r="7" spans="1:87" s="45" customFormat="1" ht="12">
      <c r="A7" s="396"/>
      <c r="B7" s="396"/>
      <c r="C7" s="396"/>
      <c r="D7" s="396"/>
      <c r="E7" s="396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6"/>
      <c r="S7" s="396"/>
      <c r="T7" s="396"/>
      <c r="U7" s="396"/>
      <c r="V7" s="406"/>
      <c r="W7" s="432"/>
      <c r="X7" s="396"/>
      <c r="Y7" s="396"/>
      <c r="Z7" s="396"/>
      <c r="AA7" s="396"/>
      <c r="AB7" s="396"/>
      <c r="AC7" s="396"/>
      <c r="AD7" s="396"/>
      <c r="AE7" s="396"/>
      <c r="AF7" s="396"/>
      <c r="AG7" s="396"/>
      <c r="AH7" s="396"/>
      <c r="AI7" s="396"/>
      <c r="AJ7" s="396"/>
      <c r="AK7" s="405"/>
      <c r="AL7" s="396"/>
      <c r="AM7" s="396"/>
      <c r="AN7" s="396"/>
      <c r="AO7" s="396"/>
      <c r="AP7" s="396"/>
      <c r="AQ7" s="396"/>
      <c r="AR7" s="396"/>
      <c r="AS7" s="396"/>
      <c r="AT7" s="396"/>
      <c r="AU7" s="396"/>
      <c r="AV7" s="396"/>
      <c r="AW7" s="396"/>
      <c r="AX7" s="396"/>
      <c r="AY7" s="29" t="s">
        <v>67</v>
      </c>
      <c r="AZ7" s="29" t="s">
        <v>68</v>
      </c>
      <c r="BA7" s="29" t="s">
        <v>69</v>
      </c>
      <c r="BB7" s="410" t="s">
        <v>70</v>
      </c>
      <c r="BC7" s="402" t="s">
        <v>71</v>
      </c>
      <c r="BD7" s="402" t="s">
        <v>72</v>
      </c>
      <c r="BE7" s="402" t="s">
        <v>145</v>
      </c>
      <c r="BF7" s="402" t="s">
        <v>74</v>
      </c>
      <c r="BG7" s="402" t="s">
        <v>75</v>
      </c>
      <c r="BH7" s="402" t="s">
        <v>76</v>
      </c>
      <c r="BI7" s="402" t="s">
        <v>79</v>
      </c>
      <c r="BJ7" s="403" t="s">
        <v>80</v>
      </c>
      <c r="BK7" s="402" t="s">
        <v>81</v>
      </c>
      <c r="BL7" s="410" t="s">
        <v>82</v>
      </c>
      <c r="BM7" s="402" t="s">
        <v>83</v>
      </c>
      <c r="BN7" s="410" t="s">
        <v>84</v>
      </c>
      <c r="BO7" s="410" t="s">
        <v>146</v>
      </c>
      <c r="BP7" s="410" t="s">
        <v>85</v>
      </c>
      <c r="BQ7" s="396"/>
      <c r="BR7" s="396"/>
      <c r="BS7" s="396"/>
      <c r="BT7" s="396"/>
      <c r="BU7" s="405"/>
      <c r="BW7" s="408"/>
      <c r="BX7" s="421"/>
      <c r="BY7" s="422"/>
      <c r="BZ7" s="422"/>
      <c r="CA7" s="409"/>
      <c r="CB7" s="396"/>
      <c r="CC7" s="396"/>
      <c r="CD7" s="396"/>
      <c r="CH7" s="46"/>
      <c r="CI7" s="47"/>
    </row>
    <row r="8" spans="1:87" s="45" customFormat="1" ht="22.5" customHeight="1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6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6"/>
      <c r="BW8" s="409"/>
      <c r="BX8" s="23" t="s">
        <v>91</v>
      </c>
      <c r="BY8" s="23" t="s">
        <v>92</v>
      </c>
      <c r="BZ8" s="23" t="s">
        <v>93</v>
      </c>
      <c r="CA8" s="24" t="s">
        <v>94</v>
      </c>
      <c r="CB8" s="397"/>
      <c r="CC8" s="397"/>
      <c r="CD8" s="397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  <mergeCell ref="AD6:AD8"/>
    <mergeCell ref="AF6:AF8"/>
    <mergeCell ref="AO6:AO8"/>
    <mergeCell ref="BF7:BF8"/>
    <mergeCell ref="N6:N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U5:AU8"/>
    <mergeCell ref="AK6:AK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2026-01-12T11:23:34Z</dcterms:modified>
</cp:coreProperties>
</file>