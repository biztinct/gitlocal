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444F2411-DC71-7343-9A82-A6DD7F6C39FA}" xr6:coauthVersionLast="47" xr6:coauthVersionMax="47" xr10:uidLastSave="{00000000-0000-0000-0000-000000000000}"/>
  <bookViews>
    <workbookView xWindow="0" yWindow="500" windowWidth="35720" windowHeight="1890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16" i="3" l="1"/>
  <c r="Y15" i="3"/>
  <c r="BY15" i="3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BY16" i="3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H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<sst xmlns="http://schemas.openxmlformats.org/spreadsheetml/2006/main" count="712" uniqueCount="236">
  <si>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</si>
  <si>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</si>
  <si>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</si>
  <si>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</si>
  <si>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</si>
  <si>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</si>
  <si>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</si>
  <si>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</si>
  <si>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</si>
  <si>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</si>
  <si>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</si>
  <si>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</si>
  <si>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</si>
  <si>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</si>
  <si>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</si>
  <si>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</si>
  <si>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</si>
  <si>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</si>
  <si>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</si>
  <si>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</si>
  <si>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</si>
  <si>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</si>
  <si>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</si>
  <si>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</si>
  <si>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</si>
  <si>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</si>
  <si>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</si>
  <si>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</si>
  <si>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</si>
  <si>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</si>
  <si>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</si>
  <si>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</si>
  <si>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</si>
  <si>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</si>
  <si>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</si>
  <si>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</si>
  <si>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</si>
  <si>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</si>
  <si>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</si>
  <si>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</si>
  <si>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</si>
  <si>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</si>
  <si>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</si>
  <si>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</si>
  <si>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</si>
  <si>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</si>
  <si>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</si>
  <si>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</si>
  <si>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</si>
  <si>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</si>
  <si>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</si>
  <si>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</si>
  <si>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</si>
  <si>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</si>
  <si>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</si>
  <si>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</si>
  <si>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</si>
  <si>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</si>
  <si>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</si>
  <si>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</si>
  <si>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</si>
  <si>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</si>
  <si>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</si>
  <si>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</si>
  <si>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</si>
  <si>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</si>
  <si>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</si>
  <si>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</si>
  <si>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</si>
  <si>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</si>
  <si>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</si>
  <si>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</si>
  <si>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</si>
  <si>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</si>
  <si>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</si>
  <si>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</si>
  <si>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</si>
  <si>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</si>
  <si>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</si>
  <si>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</si>
  <si>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</si>
  <si>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</si>
  <si>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</si>
  <si>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</si>
  <si>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</si>
  <si>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</si>
  <si>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</si>
  <si>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</si>
  <si>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</si>
  <si>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</si>
  <si>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</si>
  <si>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</si>
  <si>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</si>
  <si>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</si>
  <si>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</si>
  <si>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</si>
  <si>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</si>
  <si>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</si>
  <si>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</si>
  <si>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</si>
  <si>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</si>
  <si>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</si>
  <si>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</si>
  <si>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</si>
  <si>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</si>
  <si>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</si>
  <si>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</si>
  <si>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</si>
  <si>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</si>
  <si>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</si>
  <si>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</si>
  <si>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</si>
  <si>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</si>
  <si>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</si>
  <si>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</si>
  <si>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</si>
  <si>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</si>
  <si>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</si>
  <si>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</si>
  <si>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</si>
  <si>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</si>
  <si>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</si>
  <si>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</si>
  <si>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</si>
  <si>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</si>
  <si>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</si>
  <si>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</si>
  <si>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</si>
  <si>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</si>
  <si>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</si>
  <si>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</si>
  <si>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</si>
  <si>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</si>
  <si>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</si>
  <si>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</si>
  <si>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</si>
  <si>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</si>
  <si>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</si>
  <si>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</si>
  <si>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</si>
  <si>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</si>
  <si>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</si>
  <si>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</si>
  <si>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</si>
  <si>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</si>
  <si>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</si>
  <si>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</si>
  <si>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</si>
  <si>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</si>
  <si>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</si>
  <si>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</si>
  <si>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</si>
  <si>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</si>
  <si>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</si>
  <si>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</si>
  <si>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</si>
  <si>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</si>
  <si>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</si>
  <si>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</si>
  <si>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</si>
  <si>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</si>
  <si>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</si>
  <si>
    <t>Họ và tên</t>
  </si>
  <si>
    <t>Khối</t>
  </si>
  <si>
    <t>Loại HĐLĐ</t>
  </si>
  <si>
    <t>Mức lương HĐLĐ</t>
  </si>
  <si>
    <t xml:space="preserve"> Phụ cấp (PCCC, ATVSV) </t>
  </si>
  <si>
    <t>Định mức Thưởng HQCV</t>
  </si>
  <si>
    <t>Tỷ lệ % tạm ứng thưởng HQCV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</si>
  <si>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</si>
  <si>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</si>
  <si>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</si>
  <si>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</si>
  <si>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</si>
  <si>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</si>
  <si>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</si>
  <si>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</si>
  <si>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</si>
  <si>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</si>
  <si>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</si>
  <si>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</si>
  <si>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14 ngày đầu</t>
  </si>
  <si>
    <t>Từ ngày 15 trở đi</t>
  </si>
  <si>
    <t>Ngày công PHSK</t>
  </si>
  <si>
    <t>Lương ngày nghỉ phép</t>
  </si>
  <si>
    <t>Lương ngày nghỉ chế độ</t>
  </si>
  <si>
    <t>Lương ngày nghỉ Lễ Tết</t>
  </si>
  <si>
    <t>Lương Tăng ca ngày thường</t>
  </si>
  <si>
    <t>Lương chủ nhật</t>
  </si>
  <si>
    <t>Lương tăng ca ngày Lễ/Tết</t>
  </si>
  <si>
    <t>Lương phụ cấp ban đêm</t>
  </si>
  <si>
    <t>Lương nữ nghỉ HK</t>
  </si>
  <si>
    <t>Lương làm việc ngày T7 được nghỉ</t>
  </si>
  <si>
    <t>Lương ngày tạm ngừng việc</t>
  </si>
  <si>
    <t>Lương trực hỗ trợ bảo vệ</t>
  </si>
  <si>
    <t>Phụ cấp công tác</t>
  </si>
  <si>
    <t>Phép năm nghỉ việc</t>
  </si>
  <si>
    <t>Bồi dưỡng PHSK</t>
  </si>
  <si>
    <t xml:space="preserve">Phụ cấp PCCC (ĐT, ĐP), Phụ cấp AT-VSV </t>
  </si>
  <si>
    <t>Tạm ứng  thưởng HQCV</t>
  </si>
  <si>
    <t>Các khoản được hưởng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</si>
  <si>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</si>
  <si>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</si>
  <si>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</si>
  <si>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</si>
  <si>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</si>
  <si>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</si>
  <si>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Tổng thu nhập</t>
  </si>
  <si>
    <t>Thu nhập chịu thuế khác</t>
  </si>
  <si>
    <t>TỔng BHXH</t>
  </si>
  <si>
    <t>Hoàn trả BHXH</t>
  </si>
  <si>
    <t>TN miễn thuế</t>
  </si>
  <si>
    <t>Thu nhập chịu thuế</t>
  </si>
  <si>
    <t>Thuế TNCN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</si>
  <si>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</si>
  <si>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</si>
  <si>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</si>
  <si>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</si>
  <si>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Tiền cơm</t>
  </si>
  <si>
    <t>Hoàn trả theo QTT</t>
  </si>
  <si>
    <t>Quyết toán thuế</t>
  </si>
  <si>
    <t>Tỷ lệ tạm ứng lương</t>
  </si>
  <si>
    <t>Thực nhận kỳ 1</t>
  </si>
  <si>
    <t>Ngạch lương</t>
  </si>
  <si>
    <t>PC chức danh</t>
  </si>
  <si>
    <t>PC kiêm nhiệm</t>
  </si>
  <si>
    <t>PC Biệt phái</t>
  </si>
  <si>
    <t>PC thâm niên</t>
  </si>
  <si>
    <t>Tổng lương và các khoản PC khác</t>
  </si>
  <si>
    <t>Là ĐT, ĐP PCCC, AT-VSV</t>
  </si>
  <si>
    <t>Mức Bồi dưỡng sức khỏe</t>
  </si>
  <si>
    <t xml:space="preserve">Ngày công thực tế tháng </t>
  </si>
  <si>
    <t>Các khoản được hưởng</t>
  </si>
  <si>
    <t>Các khoản thu hộ/thu khác</t>
  </si>
  <si>
    <t>Các khoản trích nộp</t>
  </si>
  <si>
    <t>Các khoản trừ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</si>
</sst>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516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left" vertical="center" shrinkToFit="1"/>
    </xf>
    <xf numFmtId="0" fontId="72" fillId="0" borderId="0" xfId="0" applyFont="1" applyAlignment="1">
      <alignment horizontal="center"/>
    </xf>
    <xf numFmtId="0" fontId="72" fillId="0" borderId="0" xfId="0" applyFont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0" fontId="10" fillId="3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43" fontId="45" fillId="0" borderId="1" xfId="5" applyFont="1" applyBorder="1" applyAlignment="1">
      <alignment horizontal="center" vertical="center" wrapText="1"/>
    </xf>
    <xf numFmtId="0" fontId="37" fillId="0" borderId="2" xfId="0" applyFont="1" applyBorder="1"/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37" fillId="6" borderId="5" xfId="0" applyFont="1" applyFill="1" applyBorder="1"/>
    <xf numFmtId="164" fontId="53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23" fillId="3" borderId="1" xfId="1" applyNumberFormat="1" applyFont="1" applyFill="1" applyBorder="1" applyAlignment="1">
      <alignment horizontal="center" vertical="center" wrapText="1"/>
    </xf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6" xfId="0" applyFont="1" applyFill="1" applyBorder="1"/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8" fillId="0" borderId="3" xfId="1" applyNumberFormat="1" applyFont="1" applyBorder="1" applyAlignment="1">
      <alignment horizontal="center" vertical="center" wrapText="1"/>
    </xf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0" fillId="4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/>
    </xf>
    <xf numFmtId="165" fontId="10" fillId="2" borderId="1" xfId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10" fillId="2" borderId="1" xfId="1" applyNumberFormat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5" fontId="4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0" fillId="4" borderId="3" xfId="1" applyNumberFormat="1" applyFont="1" applyFill="1" applyBorder="1" applyAlignment="1">
      <alignment horizontal="center" vertical="center" wrapText="1"/>
    </xf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164" fontId="4" fillId="2" borderId="20" xfId="1" applyNumberFormat="1" applyFont="1" applyFill="1" applyBorder="1" applyAlignment="1">
      <alignment horizontal="center" vertical="center"/>
    </xf>
    <xf numFmtId="165" fontId="4" fillId="2" borderId="7" xfId="1" applyFont="1" applyFill="1" applyBorder="1" applyAlignment="1">
      <alignment horizontal="center" vertical="center" wrapText="1"/>
    </xf>
    <xf numFmtId="165" fontId="15" fillId="6" borderId="4" xfId="1" applyFont="1" applyFill="1" applyBorder="1" applyAlignment="1">
      <alignment horizontal="center" vertical="center" wrapText="1"/>
    </xf>
    <xf numFmtId="0" fontId="0" fillId="6" borderId="5" xfId="0" applyFill="1" applyBorder="1"/>
    <xf numFmtId="164" fontId="4" fillId="3" borderId="17" xfId="1" applyNumberFormat="1" applyFont="1" applyFill="1" applyBorder="1" applyAlignment="1">
      <alignment horizontal="center" vertical="center" wrapText="1"/>
    </xf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1" fillId="2" borderId="1" xfId="1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/>
    </xf>
    <xf numFmtId="49" fontId="4" fillId="3" borderId="3" xfId="1" applyNumberFormat="1" applyFont="1" applyFill="1" applyBorder="1" applyAlignment="1">
      <alignment horizontal="center" vertical="center" wrapText="1"/>
    </xf>
    <xf numFmtId="164" fontId="4" fillId="3" borderId="3" xfId="1" applyNumberFormat="1" applyFont="1" applyFill="1" applyBorder="1" applyAlignment="1">
      <alignment horizontal="center" vertical="center" wrapText="1"/>
    </xf>
    <xf numFmtId="164" fontId="4" fillId="3" borderId="3" xfId="1" applyNumberFormat="1" applyFont="1" applyFill="1" applyBorder="1" applyAlignment="1">
      <alignment horizontal="center" vertical="center"/>
    </xf>
    <xf numFmtId="164" fontId="70" fillId="3" borderId="3" xfId="1" applyNumberFormat="1" applyFont="1" applyFill="1" applyBorder="1" applyAlignment="1">
      <alignment horizontal="center" vertical="center" wrapText="1"/>
    </xf>
    <xf numFmtId="164" fontId="53" fillId="3" borderId="3" xfId="1" applyNumberFormat="1" applyFont="1" applyFill="1" applyBorder="1" applyAlignment="1">
      <alignment horizontal="center" vertical="center" wrapText="1"/>
    </xf>
    <xf numFmtId="164" fontId="71" fillId="3" borderId="3" xfId="1" applyNumberFormat="1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/>
    </xf>
    <xf numFmtId="49" fontId="4" fillId="3" borderId="9" xfId="1" applyNumberFormat="1" applyFont="1" applyFill="1" applyBorder="1" applyAlignment="1">
      <alignment horizontal="center" vertical="center" wrapText="1"/>
    </xf>
    <xf numFmtId="164" fontId="4" fillId="3" borderId="9" xfId="1" applyNumberFormat="1" applyFont="1" applyFill="1" applyBorder="1" applyAlignment="1">
      <alignment horizontal="center" vertical="center" wrapText="1"/>
    </xf>
    <xf numFmtId="164" fontId="4" fillId="3" borderId="9" xfId="1" applyNumberFormat="1" applyFont="1" applyFill="1" applyBorder="1" applyAlignment="1">
      <alignment horizontal="center" vertical="center"/>
    </xf>
    <xf numFmtId="164" fontId="70" fillId="3" borderId="9" xfId="1" applyNumberFormat="1" applyFont="1" applyFill="1" applyBorder="1" applyAlignment="1">
      <alignment horizontal="center" vertical="center" wrapText="1"/>
    </xf>
    <xf numFmtId="164" fontId="53" fillId="3" borderId="9" xfId="1" applyNumberFormat="1" applyFont="1" applyFill="1" applyBorder="1" applyAlignment="1">
      <alignment horizontal="center" vertical="center" wrapText="1"/>
    </xf>
    <xf numFmtId="164" fontId="71" fillId="3" borderId="9" xfId="1" applyNumberFormat="1" applyFont="1" applyFill="1" applyBorder="1" applyAlignment="1">
      <alignment horizontal="center" vertical="center" wrapText="1"/>
    </xf>
    <xf numFmtId="0" fontId="4" fillId="3" borderId="17" xfId="3" applyFont="1" applyFill="1" applyBorder="1" applyAlignment="1">
      <alignment horizontal="center" vertical="center"/>
    </xf>
    <xf numFmtId="49" fontId="4" fillId="3" borderId="17" xfId="1" applyNumberFormat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/>
    </xf>
    <xf numFmtId="164" fontId="70" fillId="3" borderId="17" xfId="1" applyNumberFormat="1" applyFont="1" applyFill="1" applyBorder="1" applyAlignment="1">
      <alignment horizontal="center" vertical="center" wrapText="1"/>
    </xf>
    <xf numFmtId="164" fontId="53" fillId="3" borderId="17" xfId="1" applyNumberFormat="1" applyFont="1" applyFill="1" applyBorder="1" applyAlignment="1">
      <alignment horizontal="center" vertical="center" wrapText="1"/>
    </xf>
    <xf numFmtId="164" fontId="71" fillId="3" borderId="17" xfId="1" applyNumberFormat="1" applyFont="1" applyFill="1" applyBorder="1" applyAlignment="1">
      <alignment horizontal="center" vertical="center" wrapText="1"/>
    </xf>
    <xf numFmtId="43" fontId="72" fillId="0" borderId="22" xfId="5" applyFont="1" applyBorder="1" applyAlignment="1">
      <alignment horizontal="center" vertical="center" wrapText="1"/>
    </xf>
    <xf numFmtId="43" fontId="72" fillId="0" borderId="2" xfId="5" applyFont="1" applyBorder="1" applyAlignment="1">
      <alignment horizontal="center" vertical="center" wrapText="1"/>
    </xf>
    <xf numFmtId="43" fontId="72" fillId="0" borderId="19" xfId="5" applyFont="1" applyBorder="1" applyAlignment="1">
      <alignment horizontal="center" vertical="center" wrapText="1"/>
    </xf>
    <xf numFmtId="43" fontId="72" fillId="0" borderId="16" xfId="5" applyFont="1" applyBorder="1" applyAlignment="1">
      <alignment horizontal="center" vertical="center" wrapText="1"/>
    </xf>
    <xf numFmtId="165" fontId="74" fillId="3" borderId="3" xfId="1" applyFont="1" applyFill="1" applyBorder="1" applyAlignment="1">
      <alignment horizontal="center" vertical="center" wrapText="1"/>
    </xf>
    <xf numFmtId="164" fontId="75" fillId="3" borderId="3" xfId="1" applyNumberFormat="1" applyFont="1" applyFill="1" applyBorder="1" applyAlignment="1">
      <alignment horizontal="center" vertical="center" wrapText="1"/>
    </xf>
    <xf numFmtId="164" fontId="56" fillId="3" borderId="3" xfId="1" applyNumberFormat="1" applyFont="1" applyFill="1" applyBorder="1" applyAlignment="1">
      <alignment horizontal="center" vertical="center" wrapText="1"/>
    </xf>
    <xf numFmtId="164" fontId="4" fillId="3" borderId="22" xfId="1" applyNumberFormat="1" applyFont="1" applyFill="1" applyBorder="1" applyAlignment="1">
      <alignment horizontal="center" vertical="center" wrapText="1"/>
    </xf>
    <xf numFmtId="164" fontId="7" fillId="3" borderId="3" xfId="1" applyNumberFormat="1" applyFont="1" applyFill="1" applyBorder="1" applyAlignment="1">
      <alignment horizontal="center" vertical="center" wrapText="1"/>
    </xf>
    <xf numFmtId="165" fontId="74" fillId="3" borderId="9" xfId="1" applyFont="1" applyFill="1" applyBorder="1" applyAlignment="1">
      <alignment horizontal="center" vertical="center" wrapText="1"/>
    </xf>
    <xf numFmtId="164" fontId="75" fillId="3" borderId="9" xfId="1" applyNumberFormat="1" applyFont="1" applyFill="1" applyBorder="1" applyAlignment="1">
      <alignment horizontal="center" vertical="center" wrapText="1"/>
    </xf>
    <xf numFmtId="164" fontId="56" fillId="3" borderId="9" xfId="1" applyNumberFormat="1" applyFont="1" applyFill="1" applyBorder="1" applyAlignment="1">
      <alignment horizontal="center" vertical="center" wrapText="1"/>
    </xf>
    <xf numFmtId="164" fontId="4" fillId="3" borderId="10" xfId="1" applyNumberFormat="1" applyFont="1" applyFill="1" applyBorder="1" applyAlignment="1">
      <alignment horizontal="center" vertical="center" wrapText="1"/>
    </xf>
    <xf numFmtId="164" fontId="7" fillId="3" borderId="9" xfId="1" applyNumberFormat="1" applyFont="1" applyFill="1" applyBorder="1" applyAlignment="1">
      <alignment horizontal="center" vertical="center" wrapText="1"/>
    </xf>
    <xf numFmtId="165" fontId="74" fillId="3" borderId="17" xfId="1" applyFont="1" applyFill="1" applyBorder="1" applyAlignment="1">
      <alignment horizontal="center" vertical="center" wrapText="1"/>
    </xf>
    <xf numFmtId="164" fontId="75" fillId="3" borderId="17" xfId="1" applyNumberFormat="1" applyFont="1" applyFill="1" applyBorder="1" applyAlignment="1">
      <alignment horizontal="center" vertical="center" wrapText="1"/>
    </xf>
    <xf numFmtId="164" fontId="56" fillId="3" borderId="17" xfId="1" applyNumberFormat="1" applyFont="1" applyFill="1" applyBorder="1" applyAlignment="1">
      <alignment horizontal="center" vertical="center" wrapText="1"/>
    </xf>
    <xf numFmtId="164" fontId="4" fillId="3" borderId="19" xfId="1" applyNumberFormat="1" applyFont="1" applyFill="1" applyBorder="1" applyAlignment="1">
      <alignment horizontal="center" vertical="center" wrapText="1"/>
    </xf>
    <xf numFmtId="164" fontId="7" fillId="3" borderId="17" xfId="1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17" xfId="1" applyNumberFormat="1" applyFont="1" applyFill="1" applyBorder="1" applyAlignment="1">
      <alignment horizontal="center" vertical="top" wrapText="1"/>
    </xf>
    <xf numFmtId="0" fontId="7" fillId="3" borderId="3" xfId="1" applyNumberFormat="1" applyFont="1" applyFill="1" applyBorder="1" applyAlignment="1">
      <alignment horizontal="center" vertical="top" wrapText="1"/>
    </xf>
    <xf numFmtId="0" fontId="7" fillId="3" borderId="17" xfId="1" applyNumberFormat="1" applyFont="1" applyFill="1" applyBorder="1" applyAlignment="1">
      <alignment horizontal="center" vertical="top" wrapText="1"/>
    </xf>
    <xf numFmtId="164" fontId="7" fillId="3" borderId="3" xfId="1" applyNumberFormat="1" applyFont="1" applyFill="1" applyBorder="1" applyAlignment="1">
      <alignment horizontal="center" vertical="top" wrapText="1"/>
    </xf>
    <xf numFmtId="164" fontId="7" fillId="3" borderId="17" xfId="1" applyNumberFormat="1" applyFont="1" applyFill="1" applyBorder="1" applyAlignment="1">
      <alignment horizontal="center" vertical="top" wrapText="1"/>
    </xf>
    <xf numFmtId="164" fontId="4" fillId="3" borderId="3" xfId="1" applyNumberFormat="1" applyFont="1" applyFill="1" applyBorder="1" applyAlignment="1">
      <alignment horizontal="center" vertical="top" wrapText="1"/>
    </xf>
    <xf numFmtId="164" fontId="4" fillId="3" borderId="17" xfId="1" applyNumberFormat="1" applyFont="1" applyFill="1" applyBorder="1" applyAlignment="1">
      <alignment horizontal="center" vertical="top" wrapText="1"/>
    </xf>
    <xf numFmtId="165" fontId="4" fillId="3" borderId="18" xfId="1" applyFont="1" applyFill="1" applyBorder="1" applyAlignment="1">
      <alignment horizontal="center" vertical="center" wrapText="1"/>
    </xf>
    <xf numFmtId="165" fontId="4" fillId="3" borderId="12" xfId="1" applyFont="1" applyFill="1" applyBorder="1" applyAlignment="1">
      <alignment horizontal="center" vertical="center" wrapText="1"/>
    </xf>
    <xf numFmtId="9" fontId="26" fillId="6" borderId="22" xfId="2" applyFont="1" applyFill="1" applyBorder="1" applyAlignment="1">
      <alignment horizontal="center" vertical="center"/>
    </xf>
    <xf numFmtId="9" fontId="26" fillId="6" borderId="8" xfId="2" applyFont="1" applyFill="1" applyBorder="1" applyAlignment="1">
      <alignment horizontal="center" vertical="center"/>
    </xf>
    <xf numFmtId="9" fontId="26" fillId="6" borderId="2" xfId="2" applyFont="1" applyFill="1" applyBorder="1" applyAlignment="1">
      <alignment horizontal="center" vertical="center"/>
    </xf>
    <xf numFmtId="9" fontId="26" fillId="6" borderId="10" xfId="2" applyFont="1" applyFill="1" applyBorder="1" applyAlignment="1">
      <alignment horizontal="center" vertical="center"/>
    </xf>
    <xf numFmtId="9" fontId="26" fillId="6" borderId="0" xfId="2" applyFont="1" applyFill="1" applyAlignment="1">
      <alignment horizontal="center" vertical="center"/>
    </xf>
    <xf numFmtId="9" fontId="26" fillId="6" borderId="11" xfId="2" applyFont="1" applyFill="1" applyBorder="1" applyAlignment="1">
      <alignment horizontal="center" vertical="center"/>
    </xf>
    <xf numFmtId="9" fontId="26" fillId="6" borderId="13" xfId="2" applyFont="1" applyFill="1" applyBorder="1" applyAlignment="1">
      <alignment horizontal="center" vertical="center"/>
    </xf>
    <xf numFmtId="9" fontId="26" fillId="6" borderId="14" xfId="2" applyFont="1" applyFill="1" applyBorder="1" applyAlignment="1">
      <alignment horizontal="center" vertical="center"/>
    </xf>
    <xf numFmtId="9" fontId="26" fillId="6" borderId="15" xfId="2" applyFont="1" applyFill="1" applyBorder="1" applyAlignment="1">
      <alignment horizontal="center" vertical="center"/>
    </xf>
    <xf numFmtId="164" fontId="7" fillId="3" borderId="15" xfId="1" applyNumberFormat="1" applyFont="1" applyFill="1" applyBorder="1" applyAlignment="1">
      <alignment horizontal="center" vertical="center"/>
    </xf>
    <xf numFmtId="164" fontId="7" fillId="3" borderId="21" xfId="1" applyNumberFormat="1" applyFont="1" applyFill="1" applyBorder="1" applyAlignment="1">
      <alignment horizontal="center" vertical="center"/>
    </xf>
    <xf numFmtId="164" fontId="4" fillId="6" borderId="22" xfId="1" applyNumberFormat="1" applyFont="1" applyFill="1" applyBorder="1" applyAlignment="1">
      <alignment horizontal="center" vertical="center" wrapText="1"/>
    </xf>
    <xf numFmtId="164" fontId="4" fillId="6" borderId="2" xfId="1" applyNumberFormat="1" applyFont="1" applyFill="1" applyBorder="1" applyAlignment="1">
      <alignment horizontal="center" vertical="center" wrapText="1"/>
    </xf>
    <xf numFmtId="164" fontId="74" fillId="3" borderId="3" xfId="1" applyNumberFormat="1" applyFont="1" applyFill="1" applyBorder="1" applyAlignment="1">
      <alignment horizontal="center" vertical="top" wrapText="1"/>
    </xf>
    <xf numFmtId="164" fontId="74" fillId="3" borderId="17" xfId="1" applyNumberFormat="1" applyFont="1" applyFill="1" applyBorder="1" applyAlignment="1">
      <alignment horizontal="center" vertical="top" wrapText="1"/>
    </xf>
    <xf numFmtId="164" fontId="26" fillId="0" borderId="4" xfId="1" applyNumberFormat="1" applyFont="1" applyBorder="1" applyAlignment="1">
      <alignment horizontal="center" vertical="center" wrapText="1"/>
    </xf>
    <xf numFmtId="164" fontId="26" fillId="0" borderId="5" xfId="1" applyNumberFormat="1" applyFont="1" applyBorder="1" applyAlignment="1">
      <alignment horizontal="center" vertical="center" wrapText="1"/>
    </xf>
    <xf numFmtId="164" fontId="26" fillId="0" borderId="6" xfId="1" applyNumberFormat="1" applyFont="1" applyBorder="1" applyAlignment="1">
      <alignment horizontal="center" vertical="center" wrapText="1"/>
    </xf>
    <xf numFmtId="164" fontId="26" fillId="6" borderId="4" xfId="1" applyNumberFormat="1" applyFont="1" applyFill="1" applyBorder="1" applyAlignment="1">
      <alignment horizontal="center" vertical="center" wrapText="1"/>
    </xf>
    <xf numFmtId="164" fontId="26" fillId="6" borderId="5" xfId="1" applyNumberFormat="1" applyFont="1" applyFill="1" applyBorder="1" applyAlignment="1">
      <alignment horizontal="center" vertical="center" wrapText="1"/>
    </xf>
    <xf numFmtId="164" fontId="26" fillId="6" borderId="6" xfId="1" applyNumberFormat="1" applyFont="1" applyFill="1" applyBorder="1" applyAlignment="1">
      <alignment horizontal="center" vertical="center" wrapText="1"/>
    </xf>
    <xf numFmtId="164" fontId="15" fillId="6" borderId="4" xfId="1" applyNumberFormat="1" applyFont="1" applyFill="1" applyBorder="1" applyAlignment="1">
      <alignment horizontal="center" vertical="center" wrapText="1"/>
    </xf>
    <xf numFmtId="164" fontId="15" fillId="6" borderId="5" xfId="1" applyNumberFormat="1" applyFont="1" applyFill="1" applyBorder="1" applyAlignment="1">
      <alignment horizontal="center" vertical="center" wrapText="1"/>
    </xf>
    <xf numFmtId="164" fontId="15" fillId="6" borderId="6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P4" zoomScale="130" zoomScaleNormal="130" zoomScaleSheetLayoutView="70" workbookViewId="0">
      <selection activeCell="BW25" sqref="BW25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59"/>
      <c r="B3" s="354"/>
      <c r="C3" s="354"/>
      <c r="D3" s="354"/>
      <c r="E3" s="354"/>
      <c r="F3" s="354"/>
      <c r="G3" s="354"/>
      <c r="H3" s="354"/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  <c r="AD3" s="354"/>
      <c r="AE3" s="354"/>
      <c r="AF3" s="354"/>
      <c r="AG3" s="354"/>
      <c r="AH3" s="354"/>
      <c r="AI3" s="354"/>
      <c r="AJ3" s="354"/>
      <c r="AK3" s="354"/>
      <c r="AL3" s="354"/>
      <c r="AM3" s="354"/>
      <c r="AN3" s="354"/>
      <c r="AO3" s="354"/>
      <c r="AP3" s="354"/>
      <c r="AQ3" s="354"/>
      <c r="AR3" s="354"/>
      <c r="AS3" s="354"/>
      <c r="AT3" s="354"/>
      <c r="AU3" s="354"/>
      <c r="AV3" s="354"/>
      <c r="AW3" s="354"/>
      <c r="AX3" s="354"/>
      <c r="AY3" s="354"/>
      <c r="AZ3" s="354"/>
      <c r="BA3" s="354"/>
      <c r="BB3" s="354"/>
      <c r="BC3" s="354"/>
      <c r="BD3" s="354"/>
      <c r="BE3" s="354"/>
      <c r="BF3" s="354"/>
      <c r="BG3" s="354"/>
      <c r="BH3" s="354"/>
      <c r="BI3" s="354"/>
      <c r="BJ3" s="354"/>
      <c r="BK3" s="354"/>
      <c r="BL3" s="354"/>
      <c r="BM3" s="354"/>
      <c r="BN3" s="354"/>
      <c r="BO3" s="354"/>
      <c r="BP3" s="354"/>
      <c r="BQ3" s="354"/>
      <c r="BR3" s="354"/>
      <c r="BS3" s="354"/>
      <c r="BT3" s="354"/>
      <c r="BU3" s="354"/>
      <c r="BV3" s="205"/>
      <c r="BW3" s="353" t="s">
        <v>2</v>
      </c>
      <c r="BX3" s="354"/>
      <c r="BY3" s="354"/>
      <c r="BZ3" s="354"/>
      <c r="CA3" s="354"/>
      <c r="CB3" s="354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54"/>
      <c r="BX4" s="354"/>
      <c r="BY4" s="354"/>
      <c r="BZ4" s="354"/>
      <c r="CA4" s="354"/>
      <c r="CB4" s="354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54"/>
      <c r="BX5" s="354"/>
      <c r="BY5" s="354"/>
      <c r="BZ5" s="354"/>
      <c r="CA5" s="354"/>
      <c r="CB5" s="354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54"/>
      <c r="BX6" s="354"/>
      <c r="BY6" s="354"/>
      <c r="BZ6" s="354"/>
      <c r="CA6" s="354"/>
      <c r="CB6" s="354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52" t="s">
        <v>4</v>
      </c>
      <c r="B8" s="361" t="s">
        <v>5</v>
      </c>
      <c r="C8" s="334" t="s">
        <v>6</v>
      </c>
      <c r="D8" s="341" t="s">
        <v>7</v>
      </c>
      <c r="E8" s="341" t="s">
        <v>8</v>
      </c>
      <c r="F8" s="334" t="s">
        <v>9</v>
      </c>
      <c r="G8" s="379" t="s">
        <v>10</v>
      </c>
      <c r="H8" s="382" t="s">
        <v>11</v>
      </c>
      <c r="I8" s="382" t="s">
        <v>12</v>
      </c>
      <c r="J8" s="349" t="s">
        <v>13</v>
      </c>
      <c r="K8" s="377" t="s">
        <v>14</v>
      </c>
      <c r="L8" s="378"/>
      <c r="M8" s="378"/>
      <c r="N8" s="378"/>
      <c r="O8" s="378"/>
      <c r="P8" s="378"/>
      <c r="Q8" s="378"/>
      <c r="R8" s="378"/>
      <c r="S8" s="378"/>
      <c r="T8" s="378"/>
      <c r="U8" s="378"/>
      <c r="V8" s="378"/>
      <c r="W8" s="378"/>
      <c r="X8" s="378"/>
      <c r="Y8" s="383" t="s">
        <v>15</v>
      </c>
      <c r="Z8" s="378"/>
      <c r="AA8" s="378"/>
      <c r="AB8" s="378"/>
      <c r="AC8" s="378"/>
      <c r="AD8" s="378"/>
      <c r="AE8" s="378"/>
      <c r="AF8" s="378"/>
      <c r="AG8" s="378"/>
      <c r="AH8" s="378"/>
      <c r="AI8" s="378"/>
      <c r="AJ8" s="378"/>
      <c r="AK8" s="378"/>
      <c r="AL8" s="378"/>
      <c r="AM8" s="378"/>
      <c r="AN8" s="378"/>
      <c r="AO8" s="384"/>
      <c r="AP8" s="349" t="s">
        <v>16</v>
      </c>
      <c r="AQ8" s="349" t="s">
        <v>17</v>
      </c>
      <c r="AR8" s="349" t="s">
        <v>18</v>
      </c>
      <c r="AS8" s="349" t="s">
        <v>19</v>
      </c>
      <c r="AT8" s="349" t="s">
        <v>20</v>
      </c>
      <c r="AU8" s="349" t="s">
        <v>21</v>
      </c>
      <c r="AV8" s="334" t="s">
        <v>22</v>
      </c>
      <c r="AW8" s="358" t="s">
        <v>23</v>
      </c>
      <c r="AX8" s="390" t="s">
        <v>24</v>
      </c>
      <c r="AY8" s="386" t="s">
        <v>25</v>
      </c>
      <c r="AZ8" s="378"/>
      <c r="BA8" s="378"/>
      <c r="BB8" s="378"/>
      <c r="BC8" s="378"/>
      <c r="BD8" s="378"/>
      <c r="BE8" s="378"/>
      <c r="BF8" s="378"/>
      <c r="BG8" s="378"/>
      <c r="BH8" s="378"/>
      <c r="BI8" s="378"/>
      <c r="BJ8" s="378"/>
      <c r="BK8" s="378"/>
      <c r="BL8" s="378"/>
      <c r="BM8" s="378"/>
      <c r="BN8" s="378"/>
      <c r="BO8" s="378"/>
      <c r="BP8" s="378"/>
      <c r="BQ8" s="384"/>
      <c r="BR8" s="391" t="s">
        <v>26</v>
      </c>
      <c r="BS8" s="372"/>
      <c r="BT8" s="334" t="s">
        <v>27</v>
      </c>
      <c r="BU8" s="387" t="s">
        <v>28</v>
      </c>
      <c r="BV8" s="3"/>
      <c r="BW8" s="337" t="s">
        <v>29</v>
      </c>
      <c r="BX8" s="362" t="s">
        <v>30</v>
      </c>
      <c r="BY8" s="363"/>
      <c r="BZ8" s="363"/>
      <c r="CA8" s="364"/>
      <c r="CB8" s="392" t="s">
        <v>31</v>
      </c>
      <c r="CC8" s="355" t="s">
        <v>32</v>
      </c>
      <c r="CD8" s="355" t="s">
        <v>33</v>
      </c>
      <c r="CH8" s="150"/>
      <c r="CI8" s="150"/>
    </row>
    <row r="9" spans="1:87" s="213" customFormat="1" ht="19.25" customHeight="1">
      <c r="A9" s="346"/>
      <c r="B9" s="335"/>
      <c r="C9" s="335"/>
      <c r="D9" s="335"/>
      <c r="E9" s="335"/>
      <c r="F9" s="335"/>
      <c r="G9" s="380"/>
      <c r="H9" s="346"/>
      <c r="I9" s="346"/>
      <c r="J9" s="350"/>
      <c r="K9" s="345" t="s">
        <v>34</v>
      </c>
      <c r="L9" s="345" t="s">
        <v>35</v>
      </c>
      <c r="M9" s="345" t="s">
        <v>36</v>
      </c>
      <c r="N9" s="345" t="s">
        <v>37</v>
      </c>
      <c r="O9" s="345" t="s">
        <v>38</v>
      </c>
      <c r="P9" s="345" t="s">
        <v>39</v>
      </c>
      <c r="Q9" s="345" t="s">
        <v>40</v>
      </c>
      <c r="R9" s="345" t="s">
        <v>41</v>
      </c>
      <c r="S9" s="345" t="s">
        <v>42</v>
      </c>
      <c r="T9" s="345" t="s">
        <v>43</v>
      </c>
      <c r="U9" s="345" t="s">
        <v>44</v>
      </c>
      <c r="V9" s="371" t="s">
        <v>45</v>
      </c>
      <c r="W9" s="372"/>
      <c r="X9" s="345" t="s">
        <v>46</v>
      </c>
      <c r="Y9" s="340" t="s">
        <v>154</v>
      </c>
      <c r="Z9" s="340" t="s">
        <v>48</v>
      </c>
      <c r="AA9" s="340" t="s">
        <v>49</v>
      </c>
      <c r="AB9" s="340" t="s">
        <v>50</v>
      </c>
      <c r="AC9" s="340" t="s">
        <v>51</v>
      </c>
      <c r="AD9" s="340" t="s">
        <v>52</v>
      </c>
      <c r="AE9" s="340" t="s">
        <v>53</v>
      </c>
      <c r="AF9" s="340" t="s">
        <v>54</v>
      </c>
      <c r="AG9" s="340" t="s">
        <v>55</v>
      </c>
      <c r="AH9" s="340" t="s">
        <v>56</v>
      </c>
      <c r="AI9" s="340" t="s">
        <v>57</v>
      </c>
      <c r="AJ9" s="385" t="s">
        <v>58</v>
      </c>
      <c r="AK9" s="387" t="s">
        <v>59</v>
      </c>
      <c r="AL9" s="390" t="s">
        <v>60</v>
      </c>
      <c r="AM9" s="340" t="s">
        <v>61</v>
      </c>
      <c r="AN9" s="334" t="s">
        <v>62</v>
      </c>
      <c r="AO9" s="334" t="s">
        <v>63</v>
      </c>
      <c r="AP9" s="350"/>
      <c r="AQ9" s="350"/>
      <c r="AR9" s="350"/>
      <c r="AS9" s="350"/>
      <c r="AT9" s="350"/>
      <c r="AU9" s="350"/>
      <c r="AV9" s="335"/>
      <c r="AW9" s="350"/>
      <c r="AX9" s="380"/>
      <c r="AY9" s="394" t="s">
        <v>25</v>
      </c>
      <c r="AZ9" s="395"/>
      <c r="BA9" s="395"/>
      <c r="BB9" s="395"/>
      <c r="BC9" s="395"/>
      <c r="BD9" s="395"/>
      <c r="BE9" s="395"/>
      <c r="BF9" s="395"/>
      <c r="BG9" s="395"/>
      <c r="BH9" s="395"/>
      <c r="BI9" s="395"/>
      <c r="BJ9" s="395"/>
      <c r="BK9" s="395"/>
      <c r="BL9" s="396"/>
      <c r="BM9" s="394" t="s">
        <v>64</v>
      </c>
      <c r="BN9" s="395"/>
      <c r="BO9" s="395"/>
      <c r="BP9" s="395"/>
      <c r="BQ9" s="396"/>
      <c r="BR9" s="348" t="s">
        <v>65</v>
      </c>
      <c r="BS9" s="348" t="s">
        <v>66</v>
      </c>
      <c r="BT9" s="335"/>
      <c r="BU9" s="388"/>
      <c r="BV9" s="3"/>
      <c r="BW9" s="338"/>
      <c r="BX9" s="365"/>
      <c r="BY9" s="366"/>
      <c r="BZ9" s="366"/>
      <c r="CA9" s="367"/>
      <c r="CB9" s="335"/>
      <c r="CC9" s="356"/>
      <c r="CD9" s="356"/>
      <c r="CH9" s="150"/>
      <c r="CI9" s="150"/>
    </row>
    <row r="10" spans="1:87" s="214" customFormat="1" ht="19.25" customHeight="1">
      <c r="A10" s="346"/>
      <c r="B10" s="335"/>
      <c r="C10" s="335"/>
      <c r="D10" s="335"/>
      <c r="E10" s="335"/>
      <c r="F10" s="335"/>
      <c r="G10" s="380"/>
      <c r="H10" s="346"/>
      <c r="I10" s="346"/>
      <c r="J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73"/>
      <c r="W10" s="374"/>
      <c r="X10" s="346"/>
      <c r="Y10" s="335"/>
      <c r="Z10" s="335"/>
      <c r="AA10" s="335"/>
      <c r="AB10" s="335"/>
      <c r="AC10" s="335"/>
      <c r="AD10" s="335"/>
      <c r="AE10" s="335"/>
      <c r="AF10" s="335"/>
      <c r="AG10" s="335"/>
      <c r="AH10" s="335"/>
      <c r="AI10" s="335"/>
      <c r="AJ10" s="380"/>
      <c r="AK10" s="388"/>
      <c r="AL10" s="380"/>
      <c r="AM10" s="335"/>
      <c r="AN10" s="335"/>
      <c r="AO10" s="335"/>
      <c r="AP10" s="350"/>
      <c r="AQ10" s="350"/>
      <c r="AR10" s="350"/>
      <c r="AS10" s="350"/>
      <c r="AT10" s="350"/>
      <c r="AU10" s="350"/>
      <c r="AV10" s="335"/>
      <c r="AW10" s="350"/>
      <c r="AX10" s="380"/>
      <c r="AY10" s="29" t="s">
        <v>67</v>
      </c>
      <c r="AZ10" s="29" t="s">
        <v>68</v>
      </c>
      <c r="BA10" s="29" t="s">
        <v>69</v>
      </c>
      <c r="BB10" s="360" t="s">
        <v>70</v>
      </c>
      <c r="BC10" s="343" t="s">
        <v>71</v>
      </c>
      <c r="BD10" s="343" t="s">
        <v>72</v>
      </c>
      <c r="BE10" s="342" t="s">
        <v>73</v>
      </c>
      <c r="BF10" s="342" t="s">
        <v>74</v>
      </c>
      <c r="BG10" s="351" t="s">
        <v>75</v>
      </c>
      <c r="BH10" s="343" t="s">
        <v>76</v>
      </c>
      <c r="BI10" s="375" t="s">
        <v>77</v>
      </c>
      <c r="BJ10" s="342" t="s">
        <v>78</v>
      </c>
      <c r="BK10" s="342" t="s">
        <v>79</v>
      </c>
      <c r="BL10" s="334" t="s">
        <v>80</v>
      </c>
      <c r="BM10" s="343" t="s">
        <v>81</v>
      </c>
      <c r="BN10" s="358" t="s">
        <v>82</v>
      </c>
      <c r="BO10" s="343" t="s">
        <v>83</v>
      </c>
      <c r="BP10" s="358" t="s">
        <v>84</v>
      </c>
      <c r="BQ10" s="358" t="s">
        <v>85</v>
      </c>
      <c r="BR10" s="346"/>
      <c r="BS10" s="346"/>
      <c r="BT10" s="335"/>
      <c r="BU10" s="388"/>
      <c r="BV10" s="3"/>
      <c r="BW10" s="338"/>
      <c r="BX10" s="368"/>
      <c r="BY10" s="369"/>
      <c r="BZ10" s="369"/>
      <c r="CA10" s="370"/>
      <c r="CB10" s="335"/>
      <c r="CC10" s="356"/>
      <c r="CD10" s="356"/>
      <c r="CE10" s="228" t="s">
        <v>3</v>
      </c>
      <c r="CH10" s="150"/>
      <c r="CI10" s="150"/>
    </row>
    <row r="11" spans="1:87" s="214" customFormat="1" ht="38.25" customHeight="1">
      <c r="A11" s="347"/>
      <c r="B11" s="336"/>
      <c r="C11" s="336"/>
      <c r="D11" s="336"/>
      <c r="E11" s="336"/>
      <c r="F11" s="336"/>
      <c r="G11" s="381"/>
      <c r="H11" s="347"/>
      <c r="I11" s="347"/>
      <c r="J11" s="344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178" t="s">
        <v>86</v>
      </c>
      <c r="W11" s="178" t="s">
        <v>87</v>
      </c>
      <c r="X11" s="347"/>
      <c r="Y11" s="336"/>
      <c r="Z11" s="336"/>
      <c r="AA11" s="336"/>
      <c r="AB11" s="336"/>
      <c r="AC11" s="336"/>
      <c r="AD11" s="336"/>
      <c r="AE11" s="336"/>
      <c r="AF11" s="336"/>
      <c r="AG11" s="336"/>
      <c r="AH11" s="336"/>
      <c r="AI11" s="336"/>
      <c r="AJ11" s="381"/>
      <c r="AK11" s="389"/>
      <c r="AL11" s="381"/>
      <c r="AM11" s="336"/>
      <c r="AN11" s="336"/>
      <c r="AO11" s="336"/>
      <c r="AP11" s="344"/>
      <c r="AQ11" s="344"/>
      <c r="AR11" s="344"/>
      <c r="AS11" s="344"/>
      <c r="AT11" s="344"/>
      <c r="AU11" s="344"/>
      <c r="AV11" s="336"/>
      <c r="AW11" s="344"/>
      <c r="AX11" s="381"/>
      <c r="AY11" s="229" t="s">
        <v>88</v>
      </c>
      <c r="AZ11" s="229" t="s">
        <v>89</v>
      </c>
      <c r="BA11" s="229" t="s">
        <v>90</v>
      </c>
      <c r="BB11" s="336"/>
      <c r="BC11" s="344"/>
      <c r="BD11" s="344"/>
      <c r="BE11" s="336"/>
      <c r="BF11" s="336"/>
      <c r="BG11" s="347"/>
      <c r="BH11" s="344"/>
      <c r="BI11" s="376"/>
      <c r="BJ11" s="336"/>
      <c r="BK11" s="336"/>
      <c r="BL11" s="336"/>
      <c r="BM11" s="344"/>
      <c r="BN11" s="344"/>
      <c r="BO11" s="344"/>
      <c r="BP11" s="344"/>
      <c r="BQ11" s="344"/>
      <c r="BR11" s="347"/>
      <c r="BS11" s="347"/>
      <c r="BT11" s="336"/>
      <c r="BU11" s="389"/>
      <c r="BV11" s="3"/>
      <c r="BW11" s="339"/>
      <c r="BX11" s="237" t="s">
        <v>91</v>
      </c>
      <c r="BY11" s="237" t="s">
        <v>92</v>
      </c>
      <c r="BZ11" s="237" t="s">
        <v>93</v>
      </c>
      <c r="CA11" s="238" t="s">
        <v>94</v>
      </c>
      <c r="CB11" s="393"/>
      <c r="CC11" s="357"/>
      <c r="CD11" s="357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5" priority="80"/>
    <cfRule type="duplicateValues" dxfId="24" priority="81"/>
  </conditionalFormatting>
  <conditionalFormatting sqref="B1:B5 B7:B12 B15:B25 C12:CD12 D13:F13 J13:BK13 BM13:CD13 B37:B1048576 B27:B35">
    <cfRule type="duplicateValues" dxfId="23" priority="94"/>
  </conditionalFormatting>
  <conditionalFormatting sqref="BL13">
    <cfRule type="duplicateValues" dxfId="22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0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418"/>
      <c r="AW3" s="418"/>
      <c r="AX3" s="418"/>
      <c r="AY3" s="418"/>
      <c r="AZ3" s="418"/>
      <c r="BA3" s="418"/>
      <c r="BB3" s="418"/>
      <c r="BC3" s="418"/>
      <c r="BD3" s="418"/>
      <c r="BE3" s="418"/>
      <c r="BF3" s="418"/>
      <c r="BG3" s="418"/>
      <c r="BH3" s="418"/>
      <c r="BI3" s="418"/>
      <c r="BJ3" s="418"/>
      <c r="BK3" s="418"/>
      <c r="BL3" s="418"/>
      <c r="BM3" s="418"/>
      <c r="BN3" s="418"/>
      <c r="BO3" s="418"/>
      <c r="BP3" s="418"/>
      <c r="BQ3" s="418"/>
      <c r="BR3" s="418"/>
      <c r="BS3" s="418"/>
      <c r="BT3" s="418"/>
      <c r="BU3" s="418"/>
      <c r="BW3" s="417" t="s">
        <v>2</v>
      </c>
      <c r="BX3" s="418"/>
      <c r="BY3" s="418"/>
      <c r="BZ3" s="418"/>
      <c r="CA3" s="418"/>
      <c r="CB3" s="418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8"/>
      <c r="BX4" s="418"/>
      <c r="BY4" s="418"/>
      <c r="BZ4" s="418"/>
      <c r="CA4" s="418"/>
      <c r="CB4" s="418"/>
      <c r="CC4" s="42"/>
      <c r="CD4" s="42"/>
    </row>
    <row r="5" spans="1:87" s="45" customFormat="1">
      <c r="A5" s="405" t="s">
        <v>4</v>
      </c>
      <c r="B5" s="416" t="s">
        <v>5</v>
      </c>
      <c r="C5" s="404" t="s">
        <v>6</v>
      </c>
      <c r="D5" s="411" t="s">
        <v>7</v>
      </c>
      <c r="E5" s="411" t="s">
        <v>8</v>
      </c>
      <c r="F5" s="404" t="s">
        <v>9</v>
      </c>
      <c r="G5" s="404" t="s">
        <v>10</v>
      </c>
      <c r="H5" s="334" t="s">
        <v>11</v>
      </c>
      <c r="I5" s="334" t="s">
        <v>12</v>
      </c>
      <c r="J5" s="404" t="s">
        <v>13</v>
      </c>
      <c r="K5" s="40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4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404" t="s">
        <v>16</v>
      </c>
      <c r="AQ5" s="404" t="s">
        <v>17</v>
      </c>
      <c r="AR5" s="404" t="s">
        <v>18</v>
      </c>
      <c r="AS5" s="404" t="s">
        <v>19</v>
      </c>
      <c r="AT5" s="404" t="s">
        <v>20</v>
      </c>
      <c r="AU5" s="404" t="s">
        <v>21</v>
      </c>
      <c r="AV5" s="404" t="s">
        <v>22</v>
      </c>
      <c r="AW5" s="404" t="s">
        <v>23</v>
      </c>
      <c r="AX5" s="404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1"/>
      <c r="BQ5" s="402"/>
      <c r="BR5" s="421" t="s">
        <v>26</v>
      </c>
      <c r="BS5" s="414"/>
      <c r="BT5" s="400" t="s">
        <v>27</v>
      </c>
      <c r="BU5" s="432" t="s">
        <v>28</v>
      </c>
      <c r="BW5" s="433" t="s">
        <v>29</v>
      </c>
      <c r="BX5" s="422" t="s">
        <v>30</v>
      </c>
      <c r="BY5" s="423"/>
      <c r="BZ5" s="423"/>
      <c r="CA5" s="414"/>
      <c r="CB5" s="434" t="s">
        <v>31</v>
      </c>
      <c r="CC5" s="419" t="s">
        <v>32</v>
      </c>
      <c r="CD5" s="419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12" t="s">
        <v>34</v>
      </c>
      <c r="L6" s="412" t="s">
        <v>35</v>
      </c>
      <c r="M6" s="412" t="s">
        <v>36</v>
      </c>
      <c r="N6" s="412" t="s">
        <v>37</v>
      </c>
      <c r="O6" s="412" t="s">
        <v>38</v>
      </c>
      <c r="P6" s="412" t="s">
        <v>39</v>
      </c>
      <c r="Q6" s="412" t="s">
        <v>40</v>
      </c>
      <c r="R6" s="412" t="s">
        <v>41</v>
      </c>
      <c r="S6" s="412" t="s">
        <v>42</v>
      </c>
      <c r="T6" s="412" t="s">
        <v>43</v>
      </c>
      <c r="U6" s="412" t="s">
        <v>44</v>
      </c>
      <c r="V6" s="413" t="s">
        <v>45</v>
      </c>
      <c r="W6" s="414"/>
      <c r="X6" s="412" t="s">
        <v>46</v>
      </c>
      <c r="Y6" s="404" t="s">
        <v>47</v>
      </c>
      <c r="Z6" s="404" t="s">
        <v>48</v>
      </c>
      <c r="AA6" s="404" t="s">
        <v>49</v>
      </c>
      <c r="AB6" s="404" t="s">
        <v>50</v>
      </c>
      <c r="AC6" s="334" t="s">
        <v>51</v>
      </c>
      <c r="AD6" s="334" t="s">
        <v>52</v>
      </c>
      <c r="AE6" s="334" t="s">
        <v>53</v>
      </c>
      <c r="AF6" s="334" t="s">
        <v>54</v>
      </c>
      <c r="AG6" s="404" t="s">
        <v>55</v>
      </c>
      <c r="AH6" s="334" t="s">
        <v>56</v>
      </c>
      <c r="AI6" s="334" t="s">
        <v>57</v>
      </c>
      <c r="AJ6" s="404" t="s">
        <v>58</v>
      </c>
      <c r="AK6" s="406" t="s">
        <v>59</v>
      </c>
      <c r="AL6" s="404" t="s">
        <v>60</v>
      </c>
      <c r="AM6" s="404" t="s">
        <v>61</v>
      </c>
      <c r="AN6" s="410" t="s">
        <v>62</v>
      </c>
      <c r="AO6" s="404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1"/>
      <c r="BK6" s="401"/>
      <c r="BL6" s="402"/>
      <c r="BM6" s="400" t="s">
        <v>64</v>
      </c>
      <c r="BN6" s="401"/>
      <c r="BO6" s="401"/>
      <c r="BP6" s="401"/>
      <c r="BQ6" s="402"/>
      <c r="BR6" s="397" t="s">
        <v>65</v>
      </c>
      <c r="BS6" s="397" t="s">
        <v>66</v>
      </c>
      <c r="BT6" s="398"/>
      <c r="BU6" s="407"/>
      <c r="BW6" s="425"/>
      <c r="BX6" s="407"/>
      <c r="BY6" s="424"/>
      <c r="BZ6" s="424"/>
      <c r="CA6" s="425"/>
      <c r="CB6" s="398"/>
      <c r="CC6" s="398"/>
      <c r="CD6" s="398"/>
      <c r="CH6" s="46"/>
      <c r="CI6" s="47"/>
    </row>
    <row r="7" spans="1:87" s="48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15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00" t="s">
        <v>70</v>
      </c>
      <c r="BC7" s="403" t="s">
        <v>71</v>
      </c>
      <c r="BD7" s="403" t="s">
        <v>72</v>
      </c>
      <c r="BE7" s="429" t="s">
        <v>73</v>
      </c>
      <c r="BF7" s="403" t="s">
        <v>74</v>
      </c>
      <c r="BG7" s="403" t="s">
        <v>75</v>
      </c>
      <c r="BH7" s="403" t="s">
        <v>76</v>
      </c>
      <c r="BI7" s="403" t="s">
        <v>77</v>
      </c>
      <c r="BJ7" s="403" t="s">
        <v>78</v>
      </c>
      <c r="BK7" s="403" t="s">
        <v>79</v>
      </c>
      <c r="BL7" s="431" t="s">
        <v>80</v>
      </c>
      <c r="BM7" s="403" t="s">
        <v>81</v>
      </c>
      <c r="BN7" s="400" t="s">
        <v>82</v>
      </c>
      <c r="BO7" s="403" t="s">
        <v>83</v>
      </c>
      <c r="BP7" s="400" t="s">
        <v>84</v>
      </c>
      <c r="BQ7" s="400" t="s">
        <v>85</v>
      </c>
      <c r="BR7" s="398"/>
      <c r="BS7" s="398"/>
      <c r="BT7" s="398"/>
      <c r="BU7" s="407"/>
      <c r="BW7" s="425"/>
      <c r="BX7" s="426"/>
      <c r="BY7" s="427"/>
      <c r="BZ7" s="427"/>
      <c r="CA7" s="428"/>
      <c r="CB7" s="398"/>
      <c r="CC7" s="398"/>
      <c r="CD7" s="398"/>
      <c r="CH7" s="46"/>
      <c r="CI7" s="47"/>
    </row>
    <row r="8" spans="1:87" s="48" customFormat="1" ht="12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8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8"/>
      <c r="BW8" s="428"/>
      <c r="BX8" s="23" t="s">
        <v>91</v>
      </c>
      <c r="BY8" s="23" t="s">
        <v>92</v>
      </c>
      <c r="BZ8" s="23" t="s">
        <v>93</v>
      </c>
      <c r="CA8" s="24" t="s">
        <v>94</v>
      </c>
      <c r="CB8" s="420"/>
      <c r="CC8" s="420"/>
      <c r="CD8" s="420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21" priority="54"/>
  </conditionalFormatting>
  <conditionalFormatting sqref="B1:B9 B12:B16 B20:B1048576 C9:BU9">
    <cfRule type="duplicateValues" dxfId="20" priority="49"/>
    <cfRule type="duplicateValues" dxfId="19" priority="6"/>
  </conditionalFormatting>
  <conditionalFormatting sqref="B19:C19">
    <cfRule type="duplicateValues" dxfId="18" priority="1"/>
    <cfRule type="duplicateValues" dxfId="17" priority="3"/>
    <cfRule type="duplicateValues" dxfId="16" priority="2"/>
  </conditionalFormatting>
  <conditionalFormatting sqref="BL10">
    <cfRule type="duplicateValues" dxfId="15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AD15" activePane="bottomRight" state="frozen"/>
      <selection pane="topRight" activeCell="E18" sqref="E18"/>
      <selection pane="bottomLeft" activeCell="E18" sqref="E18"/>
      <selection pane="bottomRight" activeCell="AD26" sqref="AD26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40"/>
      <c r="B3" s="439"/>
      <c r="C3" s="439"/>
      <c r="D3" s="439"/>
      <c r="E3" s="439"/>
      <c r="F3" s="439"/>
      <c r="G3" s="439"/>
      <c r="H3" s="439"/>
      <c r="I3" s="439"/>
      <c r="J3" s="439"/>
      <c r="K3" s="439"/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  <c r="AA3" s="439"/>
      <c r="AB3" s="439"/>
      <c r="AC3" s="439"/>
      <c r="AD3" s="439"/>
      <c r="AE3" s="439"/>
      <c r="AF3" s="439"/>
      <c r="AG3" s="439"/>
      <c r="AH3" s="439"/>
      <c r="AI3" s="439"/>
      <c r="AJ3" s="439"/>
      <c r="AK3" s="439"/>
      <c r="AL3" s="439"/>
      <c r="AM3" s="439"/>
      <c r="AN3" s="439"/>
      <c r="AO3" s="439"/>
      <c r="AP3" s="439"/>
      <c r="AQ3" s="439"/>
      <c r="AR3" s="439"/>
      <c r="AS3" s="439"/>
      <c r="AT3" s="439"/>
      <c r="AU3" s="439"/>
      <c r="AV3" s="439"/>
      <c r="AW3" s="439"/>
      <c r="AX3" s="439"/>
      <c r="AY3" s="439"/>
      <c r="AZ3" s="439"/>
      <c r="BA3" s="439"/>
      <c r="BB3" s="439"/>
      <c r="BC3" s="439"/>
      <c r="BD3" s="439"/>
      <c r="BE3" s="439"/>
      <c r="BF3" s="439"/>
      <c r="BG3" s="439"/>
      <c r="BH3" s="439"/>
      <c r="BI3" s="439"/>
      <c r="BJ3" s="439"/>
      <c r="BK3" s="439"/>
      <c r="BL3" s="439"/>
      <c r="BM3" s="439"/>
      <c r="BN3" s="439"/>
      <c r="BO3" s="439"/>
      <c r="BP3" s="439"/>
      <c r="BQ3" s="439"/>
      <c r="BR3" s="439"/>
      <c r="BS3" s="439"/>
      <c r="BT3" s="439"/>
      <c r="BU3" s="438" t="s">
        <v>2</v>
      </c>
      <c r="BV3" s="439"/>
      <c r="BW3" s="439"/>
      <c r="BX3" s="439"/>
      <c r="BY3" s="439"/>
      <c r="BZ3" s="439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39"/>
      <c r="BV4" s="439"/>
      <c r="BW4" s="439"/>
      <c r="BX4" s="439"/>
      <c r="BY4" s="439"/>
      <c r="BZ4" s="439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39"/>
      <c r="BV5" s="439"/>
      <c r="BW5" s="439"/>
      <c r="BX5" s="439"/>
      <c r="BY5" s="439"/>
      <c r="BZ5" s="439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39"/>
      <c r="BV6" s="439"/>
      <c r="BW6" s="439"/>
      <c r="BX6" s="439"/>
      <c r="BY6" s="439"/>
      <c r="BZ6" s="439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330" customFormat="1" ht="19.25" customHeight="1">
      <c r="A8" s="442" t="s">
        <v>4</v>
      </c>
      <c r="B8" s="443" t="s">
        <v>5</v>
      </c>
      <c r="C8" s="444" t="s">
        <v>162</v>
      </c>
      <c r="D8" s="445" t="s">
        <v>163</v>
      </c>
      <c r="E8" s="445" t="s">
        <v>164</v>
      </c>
      <c r="F8" s="446" t="s">
        <v>142</v>
      </c>
      <c r="G8" s="447" t="s">
        <v>165</v>
      </c>
      <c r="H8" s="448" t="s">
        <v>166</v>
      </c>
      <c r="I8" s="448" t="s">
        <v>167</v>
      </c>
      <c r="J8" s="447" t="s">
        <v>168</v>
      </c>
      <c r="K8" s="435" t="s">
        <v>14</v>
      </c>
      <c r="L8" s="436"/>
      <c r="M8" s="436"/>
      <c r="N8" s="436"/>
      <c r="O8" s="436"/>
      <c r="P8" s="436"/>
      <c r="Q8" s="436"/>
      <c r="R8" s="436"/>
      <c r="S8" s="436"/>
      <c r="T8" s="436"/>
      <c r="U8" s="436"/>
      <c r="V8" s="436"/>
      <c r="W8" s="436"/>
      <c r="X8" s="436"/>
      <c r="Y8" s="513" t="s">
        <v>200</v>
      </c>
      <c r="Z8" s="514"/>
      <c r="AA8" s="514"/>
      <c r="AB8" s="514"/>
      <c r="AC8" s="514"/>
      <c r="AD8" s="514"/>
      <c r="AE8" s="514"/>
      <c r="AF8" s="514"/>
      <c r="AG8" s="514"/>
      <c r="AH8" s="514"/>
      <c r="AI8" s="514"/>
      <c r="AJ8" s="514"/>
      <c r="AK8" s="514"/>
      <c r="AL8" s="514"/>
      <c r="AM8" s="514"/>
      <c r="AN8" s="514"/>
      <c r="AO8" s="515"/>
      <c r="AP8" s="447" t="s">
        <v>201</v>
      </c>
      <c r="AQ8" s="447" t="s">
        <v>202</v>
      </c>
      <c r="AR8" s="447" t="s">
        <v>203</v>
      </c>
      <c r="AS8" s="447" t="s">
        <v>204</v>
      </c>
      <c r="AT8" s="447" t="s">
        <v>205</v>
      </c>
      <c r="AU8" s="447" t="s">
        <v>206</v>
      </c>
      <c r="AV8" s="444" t="s">
        <v>207</v>
      </c>
      <c r="AW8" s="470" t="s">
        <v>208</v>
      </c>
      <c r="AX8" s="444" t="s">
        <v>24</v>
      </c>
      <c r="AY8" s="510" t="s">
        <v>235</v>
      </c>
      <c r="AZ8" s="511"/>
      <c r="BA8" s="511"/>
      <c r="BB8" s="511"/>
      <c r="BC8" s="511"/>
      <c r="BD8" s="511"/>
      <c r="BE8" s="511"/>
      <c r="BF8" s="511"/>
      <c r="BG8" s="511"/>
      <c r="BH8" s="511"/>
      <c r="BI8" s="511"/>
      <c r="BJ8" s="511"/>
      <c r="BK8" s="511"/>
      <c r="BL8" s="511"/>
      <c r="BM8" s="511"/>
      <c r="BN8" s="511"/>
      <c r="BO8" s="511"/>
      <c r="BP8" s="512"/>
      <c r="BQ8" s="503" t="s">
        <v>220</v>
      </c>
      <c r="BR8" s="504"/>
      <c r="BS8" s="444" t="s">
        <v>221</v>
      </c>
      <c r="BT8" s="444" t="s">
        <v>222</v>
      </c>
      <c r="BU8" s="337" t="s">
        <v>223</v>
      </c>
      <c r="BV8" s="492" t="s">
        <v>232</v>
      </c>
      <c r="BW8" s="493"/>
      <c r="BX8" s="493"/>
      <c r="BY8" s="494"/>
      <c r="BZ8" s="419" t="s">
        <v>228</v>
      </c>
      <c r="CA8" s="419" t="s">
        <v>229</v>
      </c>
      <c r="CB8" s="419" t="s">
        <v>230</v>
      </c>
      <c r="CF8" s="331"/>
      <c r="CG8" s="331"/>
    </row>
    <row r="9" spans="1:85" s="330" customFormat="1" ht="19.25" customHeight="1">
      <c r="A9" s="449"/>
      <c r="B9" s="450"/>
      <c r="C9" s="451"/>
      <c r="D9" s="452"/>
      <c r="E9" s="452"/>
      <c r="F9" s="453"/>
      <c r="G9" s="454"/>
      <c r="H9" s="455"/>
      <c r="I9" s="455"/>
      <c r="J9" s="454"/>
      <c r="K9" s="466" t="s">
        <v>169</v>
      </c>
      <c r="L9" s="466" t="s">
        <v>170</v>
      </c>
      <c r="M9" s="466" t="s">
        <v>171</v>
      </c>
      <c r="N9" s="466" t="s">
        <v>172</v>
      </c>
      <c r="O9" s="466" t="s">
        <v>173</v>
      </c>
      <c r="P9" s="466" t="s">
        <v>174</v>
      </c>
      <c r="Q9" s="466" t="s">
        <v>175</v>
      </c>
      <c r="R9" s="466" t="s">
        <v>176</v>
      </c>
      <c r="S9" s="466" t="s">
        <v>177</v>
      </c>
      <c r="T9" s="466" t="s">
        <v>178</v>
      </c>
      <c r="U9" s="466" t="s">
        <v>179</v>
      </c>
      <c r="V9" s="462" t="s">
        <v>180</v>
      </c>
      <c r="W9" s="463"/>
      <c r="X9" s="466" t="s">
        <v>183</v>
      </c>
      <c r="Y9" s="467" t="s">
        <v>47</v>
      </c>
      <c r="Z9" s="467" t="s">
        <v>184</v>
      </c>
      <c r="AA9" s="467" t="s">
        <v>185</v>
      </c>
      <c r="AB9" s="467" t="s">
        <v>186</v>
      </c>
      <c r="AC9" s="467" t="s">
        <v>187</v>
      </c>
      <c r="AD9" s="467" t="s">
        <v>188</v>
      </c>
      <c r="AE9" s="467" t="s">
        <v>189</v>
      </c>
      <c r="AF9" s="467" t="s">
        <v>190</v>
      </c>
      <c r="AG9" s="467" t="s">
        <v>191</v>
      </c>
      <c r="AH9" s="467" t="s">
        <v>192</v>
      </c>
      <c r="AI9" s="467" t="s">
        <v>193</v>
      </c>
      <c r="AJ9" s="468" t="s">
        <v>194</v>
      </c>
      <c r="AK9" s="469" t="s">
        <v>195</v>
      </c>
      <c r="AL9" s="470" t="s">
        <v>196</v>
      </c>
      <c r="AM9" s="467" t="s">
        <v>197</v>
      </c>
      <c r="AN9" s="444" t="s">
        <v>198</v>
      </c>
      <c r="AO9" s="444" t="s">
        <v>199</v>
      </c>
      <c r="AP9" s="454"/>
      <c r="AQ9" s="454"/>
      <c r="AR9" s="454"/>
      <c r="AS9" s="454"/>
      <c r="AT9" s="454"/>
      <c r="AU9" s="454"/>
      <c r="AV9" s="451"/>
      <c r="AW9" s="475"/>
      <c r="AX9" s="451"/>
      <c r="AY9" s="507" t="s">
        <v>234</v>
      </c>
      <c r="AZ9" s="508"/>
      <c r="BA9" s="508"/>
      <c r="BB9" s="508"/>
      <c r="BC9" s="508"/>
      <c r="BD9" s="508"/>
      <c r="BE9" s="508"/>
      <c r="BF9" s="508"/>
      <c r="BG9" s="508"/>
      <c r="BH9" s="508"/>
      <c r="BI9" s="508"/>
      <c r="BJ9" s="509"/>
      <c r="BK9" s="507" t="s">
        <v>233</v>
      </c>
      <c r="BL9" s="508"/>
      <c r="BM9" s="508"/>
      <c r="BN9" s="508"/>
      <c r="BO9" s="508"/>
      <c r="BP9" s="509"/>
      <c r="BQ9" s="451" t="s">
        <v>65</v>
      </c>
      <c r="BR9" s="451" t="s">
        <v>219</v>
      </c>
      <c r="BS9" s="451"/>
      <c r="BT9" s="451"/>
      <c r="BU9" s="501"/>
      <c r="BV9" s="495"/>
      <c r="BW9" s="496"/>
      <c r="BX9" s="496"/>
      <c r="BY9" s="497"/>
      <c r="BZ9" s="490"/>
      <c r="CA9" s="490"/>
      <c r="CB9" s="490"/>
      <c r="CF9" s="331"/>
      <c r="CG9" s="331"/>
    </row>
    <row r="10" spans="1:85" s="332" customFormat="1" ht="19.25" customHeight="1">
      <c r="A10" s="449"/>
      <c r="B10" s="450"/>
      <c r="C10" s="451"/>
      <c r="D10" s="452"/>
      <c r="E10" s="452"/>
      <c r="F10" s="453"/>
      <c r="G10" s="454"/>
      <c r="H10" s="455"/>
      <c r="I10" s="455"/>
      <c r="J10" s="454"/>
      <c r="K10" s="471"/>
      <c r="L10" s="471"/>
      <c r="M10" s="471"/>
      <c r="N10" s="471"/>
      <c r="O10" s="471"/>
      <c r="P10" s="471"/>
      <c r="Q10" s="471"/>
      <c r="R10" s="471"/>
      <c r="S10" s="471"/>
      <c r="T10" s="471"/>
      <c r="U10" s="471"/>
      <c r="V10" s="464"/>
      <c r="W10" s="465"/>
      <c r="X10" s="471"/>
      <c r="Y10" s="472"/>
      <c r="Z10" s="472"/>
      <c r="AA10" s="472"/>
      <c r="AB10" s="472"/>
      <c r="AC10" s="472"/>
      <c r="AD10" s="472"/>
      <c r="AE10" s="472"/>
      <c r="AF10" s="472"/>
      <c r="AG10" s="472"/>
      <c r="AH10" s="472"/>
      <c r="AI10" s="472"/>
      <c r="AJ10" s="473"/>
      <c r="AK10" s="474"/>
      <c r="AL10" s="475"/>
      <c r="AM10" s="472"/>
      <c r="AN10" s="451"/>
      <c r="AO10" s="451"/>
      <c r="AP10" s="454"/>
      <c r="AQ10" s="454"/>
      <c r="AR10" s="454"/>
      <c r="AS10" s="454"/>
      <c r="AT10" s="454"/>
      <c r="AU10" s="454"/>
      <c r="AV10" s="451"/>
      <c r="AW10" s="475"/>
      <c r="AX10" s="451"/>
      <c r="AY10" s="329" t="s">
        <v>67</v>
      </c>
      <c r="AZ10" s="329" t="s">
        <v>68</v>
      </c>
      <c r="BA10" s="329" t="s">
        <v>69</v>
      </c>
      <c r="BB10" s="505" t="s">
        <v>209</v>
      </c>
      <c r="BC10" s="484" t="s">
        <v>71</v>
      </c>
      <c r="BD10" s="484" t="s">
        <v>210</v>
      </c>
      <c r="BE10" s="482" t="s">
        <v>145</v>
      </c>
      <c r="BF10" s="482" t="s">
        <v>211</v>
      </c>
      <c r="BG10" s="482" t="s">
        <v>212</v>
      </c>
      <c r="BH10" s="484" t="s">
        <v>76</v>
      </c>
      <c r="BI10" s="482" t="s">
        <v>79</v>
      </c>
      <c r="BJ10" s="488" t="s">
        <v>213</v>
      </c>
      <c r="BK10" s="484" t="s">
        <v>214</v>
      </c>
      <c r="BL10" s="486" t="s">
        <v>215</v>
      </c>
      <c r="BM10" s="484" t="s">
        <v>216</v>
      </c>
      <c r="BN10" s="486" t="s">
        <v>217</v>
      </c>
      <c r="BO10" s="486" t="s">
        <v>218</v>
      </c>
      <c r="BP10" s="444" t="s">
        <v>85</v>
      </c>
      <c r="BQ10" s="451"/>
      <c r="BR10" s="451"/>
      <c r="BS10" s="451"/>
      <c r="BT10" s="451"/>
      <c r="BU10" s="502"/>
      <c r="BV10" s="498"/>
      <c r="BW10" s="499"/>
      <c r="BX10" s="499"/>
      <c r="BY10" s="500"/>
      <c r="BZ10" s="491"/>
      <c r="CA10" s="491"/>
      <c r="CB10" s="491"/>
      <c r="CC10" s="228" t="s">
        <v>231</v>
      </c>
      <c r="CF10" s="331"/>
      <c r="CG10" s="331"/>
    </row>
    <row r="11" spans="1:85" s="332" customFormat="1" ht="38.25" customHeight="1">
      <c r="A11" s="456"/>
      <c r="B11" s="457"/>
      <c r="C11" s="437"/>
      <c r="D11" s="458"/>
      <c r="E11" s="458"/>
      <c r="F11" s="459"/>
      <c r="G11" s="460"/>
      <c r="H11" s="461"/>
      <c r="I11" s="461"/>
      <c r="J11" s="460"/>
      <c r="K11" s="476"/>
      <c r="L11" s="476"/>
      <c r="M11" s="476"/>
      <c r="N11" s="476"/>
      <c r="O11" s="476"/>
      <c r="P11" s="476"/>
      <c r="Q11" s="476"/>
      <c r="R11" s="476"/>
      <c r="S11" s="476"/>
      <c r="T11" s="476"/>
      <c r="U11" s="476"/>
      <c r="V11" s="481" t="s">
        <v>181</v>
      </c>
      <c r="W11" s="481" t="s">
        <v>182</v>
      </c>
      <c r="X11" s="476"/>
      <c r="Y11" s="477"/>
      <c r="Z11" s="477"/>
      <c r="AA11" s="477"/>
      <c r="AB11" s="477"/>
      <c r="AC11" s="477"/>
      <c r="AD11" s="477"/>
      <c r="AE11" s="477"/>
      <c r="AF11" s="477"/>
      <c r="AG11" s="477"/>
      <c r="AH11" s="477"/>
      <c r="AI11" s="477"/>
      <c r="AJ11" s="478"/>
      <c r="AK11" s="479"/>
      <c r="AL11" s="480"/>
      <c r="AM11" s="477"/>
      <c r="AN11" s="437"/>
      <c r="AO11" s="437"/>
      <c r="AP11" s="460"/>
      <c r="AQ11" s="460"/>
      <c r="AR11" s="460"/>
      <c r="AS11" s="460"/>
      <c r="AT11" s="460"/>
      <c r="AU11" s="460"/>
      <c r="AV11" s="437"/>
      <c r="AW11" s="480"/>
      <c r="AX11" s="437"/>
      <c r="AY11" s="229" t="s">
        <v>88</v>
      </c>
      <c r="AZ11" s="229" t="s">
        <v>89</v>
      </c>
      <c r="BA11" s="229" t="s">
        <v>90</v>
      </c>
      <c r="BB11" s="506"/>
      <c r="BC11" s="485"/>
      <c r="BD11" s="485"/>
      <c r="BE11" s="483"/>
      <c r="BF11" s="483"/>
      <c r="BG11" s="483"/>
      <c r="BH11" s="485"/>
      <c r="BI11" s="483"/>
      <c r="BJ11" s="489"/>
      <c r="BK11" s="485"/>
      <c r="BL11" s="487"/>
      <c r="BM11" s="485"/>
      <c r="BN11" s="487"/>
      <c r="BO11" s="487"/>
      <c r="BP11" s="437"/>
      <c r="BQ11" s="437"/>
      <c r="BR11" s="437"/>
      <c r="BS11" s="437"/>
      <c r="BT11" s="437"/>
      <c r="BU11" s="502"/>
      <c r="BV11" s="237" t="s">
        <v>224</v>
      </c>
      <c r="BW11" s="237" t="s">
        <v>225</v>
      </c>
      <c r="BX11" s="237" t="s">
        <v>226</v>
      </c>
      <c r="BY11" s="238" t="s">
        <v>227</v>
      </c>
      <c r="BZ11" s="491"/>
      <c r="CA11" s="491"/>
      <c r="CB11" s="491"/>
      <c r="CC11" s="227">
        <v>25</v>
      </c>
      <c r="CD11" s="333"/>
      <c r="CF11" s="331"/>
      <c r="CG11" s="331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>G15*(K15+L15)/26</f>
        <v>4027692.3076923075</v>
      </c>
      <c r="Z15" s="323">
        <f t="shared" ref="Z15:Z21" si="6">M15*G15/26</f>
        <v>0</v>
      </c>
      <c r="AA15" s="323">
        <f t="shared" ref="AA15:AA21" si="7">G15*N15/26</f>
        <v>0</v>
      </c>
      <c r="AB15" s="323">
        <f t="shared" ref="AB15:AB21" si="8">G15*O15/26</f>
        <v>732307.69230769225</v>
      </c>
      <c r="AC15" s="323">
        <f t="shared" ref="AC15:AC21" si="9">G15*P15*150%/26</f>
        <v>0</v>
      </c>
      <c r="AD15" s="323">
        <f t="shared" ref="AD15:AD21" si="10">G15*Q15/26*200%</f>
        <v>0</v>
      </c>
      <c r="AE15" s="323">
        <f t="shared" ref="AE15:AE21" si="11">G15*R15/26*300%</f>
        <v>0</v>
      </c>
      <c r="AF15" s="323">
        <f t="shared" ref="AF15:AF21" si="12">IF(F15="LT",0,(G15+H15)/26*S15*30%)</f>
        <v>0</v>
      </c>
      <c r="AG15" s="323">
        <f t="shared" ref="AG15:AG21" si="13">T15*G15/23/8</f>
        <v>0</v>
      </c>
      <c r="AH15" s="323">
        <f t="shared" ref="AH15:AH21" si="14">BZ15/26*U15</f>
        <v>0</v>
      </c>
      <c r="AI15" s="323">
        <f t="shared" ref="AI15:AI21" si="15">G15*V15/26</f>
        <v>0</v>
      </c>
      <c r="AJ15" s="323"/>
      <c r="AK15" s="323">
        <f t="shared" ref="AK15:AK21" si="16">BX15*L15/26</f>
        <v>0</v>
      </c>
      <c r="AL15" s="323"/>
      <c r="AM15" s="323">
        <f t="shared" ref="AM15:AM21" si="17">X15*CB15</f>
        <v>0</v>
      </c>
      <c r="AN15" s="323">
        <f>H15/26*(K15+L15)</f>
        <v>0</v>
      </c>
      <c r="AO15" s="323">
        <f t="shared" ref="AO15:AO21" si="18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19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0">ROUND(IF($AX15="x",($G15+$H15)*AY$11,0),0)</f>
        <v>761600</v>
      </c>
      <c r="AZ15" s="326">
        <f t="shared" si="20"/>
        <v>142800</v>
      </c>
      <c r="BA15" s="326">
        <f t="shared" si="20"/>
        <v>95200</v>
      </c>
      <c r="BB15" s="326">
        <f t="shared" ref="BB15:BB21" si="21">SUM(AY15:BA15)</f>
        <v>999600</v>
      </c>
      <c r="BC15" s="326"/>
      <c r="BD15" s="326"/>
      <c r="BE15" s="326">
        <f t="shared" ref="BE15:BE21" si="22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3">AV15-BF15+AW15</f>
        <v>28867961.538461544</v>
      </c>
      <c r="BH15" s="326">
        <v>3</v>
      </c>
      <c r="BI15" s="326">
        <f t="shared" ref="BI15:BI21" si="24">BG15-BB15-BC15+BD15-BH15*4400000-IF(E15="CT",11000000,0)</f>
        <v>14668361.538461544</v>
      </c>
      <c r="BJ15" s="327">
        <f t="shared" ref="BJ15:BJ21" si="25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6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7">+BU15*5%</f>
        <v>3000000</v>
      </c>
      <c r="BZ15" s="327">
        <f t="shared" ref="BZ15:BZ21" si="28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ref="Y16:Y21" si="29">G16*(K16+L16)/26</f>
        <v>3424615.3846153845</v>
      </c>
      <c r="Z16" s="249">
        <f t="shared" si="6"/>
        <v>163076.92307692306</v>
      </c>
      <c r="AA16" s="249">
        <f t="shared" si="7"/>
        <v>0</v>
      </c>
      <c r="AB16" s="249">
        <f t="shared" si="8"/>
        <v>652307.69230769225</v>
      </c>
      <c r="AC16" s="249">
        <f t="shared" si="9"/>
        <v>0</v>
      </c>
      <c r="AD16" s="249">
        <f t="shared" si="10"/>
        <v>0</v>
      </c>
      <c r="AE16" s="249">
        <f t="shared" si="11"/>
        <v>0</v>
      </c>
      <c r="AF16" s="249">
        <f t="shared" si="12"/>
        <v>0</v>
      </c>
      <c r="AG16" s="249">
        <f t="shared" si="13"/>
        <v>0</v>
      </c>
      <c r="AH16" s="249">
        <f t="shared" si="14"/>
        <v>0</v>
      </c>
      <c r="AI16" s="249">
        <f t="shared" si="15"/>
        <v>0</v>
      </c>
      <c r="AJ16" s="249"/>
      <c r="AK16" s="249">
        <f t="shared" si="16"/>
        <v>0</v>
      </c>
      <c r="AL16" s="249"/>
      <c r="AM16" s="249">
        <f t="shared" si="17"/>
        <v>0</v>
      </c>
      <c r="AN16" s="249">
        <f t="shared" ref="AN16:AN21" si="30">H16/26*K16</f>
        <v>0</v>
      </c>
      <c r="AO16" s="249">
        <f t="shared" si="18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19"/>
        <v>27378461.53846154</v>
      </c>
      <c r="AW16" s="249"/>
      <c r="AX16" s="249" t="s">
        <v>101</v>
      </c>
      <c r="AY16" s="251">
        <f t="shared" si="20"/>
        <v>678400</v>
      </c>
      <c r="AZ16" s="251">
        <f t="shared" si="20"/>
        <v>127200</v>
      </c>
      <c r="BA16" s="251">
        <f t="shared" si="20"/>
        <v>84800</v>
      </c>
      <c r="BB16" s="251">
        <f t="shared" si="21"/>
        <v>890400</v>
      </c>
      <c r="BC16" s="251"/>
      <c r="BD16" s="251"/>
      <c r="BE16" s="251">
        <f t="shared" si="22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3"/>
        <v>22659692.307692308</v>
      </c>
      <c r="BH16" s="251"/>
      <c r="BI16" s="251">
        <f t="shared" si="24"/>
        <v>10769292.307692308</v>
      </c>
      <c r="BJ16" s="243">
        <f t="shared" si="25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6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7"/>
        <v>2000000</v>
      </c>
      <c r="BZ16" s="243">
        <f>SUM(BU16:BY16)</f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29"/>
        <v>3308461.5384615385</v>
      </c>
      <c r="Z17" s="249">
        <f t="shared" si="6"/>
        <v>0</v>
      </c>
      <c r="AA17" s="249">
        <f t="shared" si="7"/>
        <v>0</v>
      </c>
      <c r="AB17" s="249">
        <f t="shared" si="8"/>
        <v>601538.4615384615</v>
      </c>
      <c r="AC17" s="249">
        <f t="shared" si="9"/>
        <v>0</v>
      </c>
      <c r="AD17" s="249">
        <f t="shared" si="10"/>
        <v>0</v>
      </c>
      <c r="AE17" s="249">
        <f t="shared" si="11"/>
        <v>3609230.769230769</v>
      </c>
      <c r="AF17" s="249">
        <f t="shared" si="12"/>
        <v>0</v>
      </c>
      <c r="AG17" s="249">
        <f t="shared" si="13"/>
        <v>0</v>
      </c>
      <c r="AH17" s="249">
        <f t="shared" si="14"/>
        <v>0</v>
      </c>
      <c r="AI17" s="249">
        <f t="shared" si="15"/>
        <v>0</v>
      </c>
      <c r="AJ17" s="249"/>
      <c r="AK17" s="249">
        <f t="shared" si="16"/>
        <v>0</v>
      </c>
      <c r="AL17" s="249"/>
      <c r="AM17" s="249">
        <f t="shared" si="17"/>
        <v>0</v>
      </c>
      <c r="AN17" s="249">
        <f t="shared" si="30"/>
        <v>126923.07692307694</v>
      </c>
      <c r="AO17" s="249">
        <f t="shared" si="18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19"/>
        <v>29175384.615384616</v>
      </c>
      <c r="AW17" s="249"/>
      <c r="AX17" s="249" t="s">
        <v>101</v>
      </c>
      <c r="AY17" s="251">
        <f t="shared" si="20"/>
        <v>649600</v>
      </c>
      <c r="AZ17" s="251">
        <f t="shared" si="20"/>
        <v>121800</v>
      </c>
      <c r="BA17" s="251">
        <f t="shared" si="20"/>
        <v>81200</v>
      </c>
      <c r="BB17" s="251">
        <f t="shared" si="21"/>
        <v>852600</v>
      </c>
      <c r="BC17" s="251"/>
      <c r="BD17" s="251"/>
      <c r="BE17" s="251">
        <f t="shared" si="22"/>
        <v>78200</v>
      </c>
      <c r="BF17" s="251">
        <f t="shared" si="31"/>
        <v>4852307.692307692</v>
      </c>
      <c r="BG17" s="251">
        <f t="shared" si="23"/>
        <v>24323076.923076924</v>
      </c>
      <c r="BH17" s="251"/>
      <c r="BI17" s="251">
        <f t="shared" si="24"/>
        <v>12470476.923076924</v>
      </c>
      <c r="BJ17" s="243">
        <f t="shared" si="25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6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7"/>
        <v>2000000</v>
      </c>
      <c r="BZ17" s="243">
        <f t="shared" si="28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29"/>
        <v>2822884.6153846155</v>
      </c>
      <c r="Z18" s="249">
        <f t="shared" si="6"/>
        <v>134423.07692307694</v>
      </c>
      <c r="AA18" s="249">
        <f t="shared" si="7"/>
        <v>0</v>
      </c>
      <c r="AB18" s="249">
        <f t="shared" si="8"/>
        <v>537692.30769230775</v>
      </c>
      <c r="AC18" s="249">
        <f t="shared" si="9"/>
        <v>0</v>
      </c>
      <c r="AD18" s="249">
        <f t="shared" si="10"/>
        <v>0</v>
      </c>
      <c r="AE18" s="249">
        <f t="shared" si="11"/>
        <v>0</v>
      </c>
      <c r="AF18" s="249">
        <f t="shared" si="12"/>
        <v>0</v>
      </c>
      <c r="AG18" s="249">
        <f t="shared" si="13"/>
        <v>0</v>
      </c>
      <c r="AH18" s="249">
        <f t="shared" si="14"/>
        <v>0</v>
      </c>
      <c r="AI18" s="249">
        <f t="shared" si="15"/>
        <v>0</v>
      </c>
      <c r="AJ18" s="249"/>
      <c r="AK18" s="249">
        <f t="shared" si="16"/>
        <v>0</v>
      </c>
      <c r="AL18" s="249"/>
      <c r="AM18" s="249">
        <f t="shared" si="17"/>
        <v>0</v>
      </c>
      <c r="AN18" s="249">
        <f t="shared" si="30"/>
        <v>0</v>
      </c>
      <c r="AO18" s="249">
        <f t="shared" si="18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19"/>
        <v>14374230.76923077</v>
      </c>
      <c r="AW18" s="249"/>
      <c r="AX18" s="249" t="s">
        <v>101</v>
      </c>
      <c r="AY18" s="251">
        <f t="shared" si="20"/>
        <v>559200</v>
      </c>
      <c r="AZ18" s="251">
        <f t="shared" si="20"/>
        <v>104850</v>
      </c>
      <c r="BA18" s="251">
        <f t="shared" si="20"/>
        <v>69900</v>
      </c>
      <c r="BB18" s="251">
        <f t="shared" si="21"/>
        <v>733950</v>
      </c>
      <c r="BC18" s="251"/>
      <c r="BD18" s="251"/>
      <c r="BE18" s="251">
        <f t="shared" si="22"/>
        <v>69900</v>
      </c>
      <c r="BF18" s="251">
        <f t="shared" si="31"/>
        <v>2768134.6153846155</v>
      </c>
      <c r="BG18" s="251">
        <f t="shared" si="23"/>
        <v>11606096.153846154</v>
      </c>
      <c r="BH18" s="251"/>
      <c r="BI18" s="251">
        <f t="shared" si="24"/>
        <v>-127853.84615384601</v>
      </c>
      <c r="BJ18" s="243">
        <f t="shared" si="25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6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7"/>
        <v>1150000</v>
      </c>
      <c r="BZ18" s="243">
        <f t="shared" si="28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29"/>
        <v>2051923.076923077</v>
      </c>
      <c r="Z19" s="249">
        <f t="shared" si="6"/>
        <v>0</v>
      </c>
      <c r="AA19" s="249">
        <f t="shared" si="7"/>
        <v>0</v>
      </c>
      <c r="AB19" s="249">
        <f t="shared" si="8"/>
        <v>373076.92307692306</v>
      </c>
      <c r="AC19" s="249">
        <f t="shared" si="9"/>
        <v>0</v>
      </c>
      <c r="AD19" s="249">
        <f t="shared" si="10"/>
        <v>0</v>
      </c>
      <c r="AE19" s="249">
        <f t="shared" si="11"/>
        <v>2238461.5384615385</v>
      </c>
      <c r="AF19" s="249">
        <f t="shared" si="12"/>
        <v>0</v>
      </c>
      <c r="AG19" s="249">
        <f t="shared" si="13"/>
        <v>0</v>
      </c>
      <c r="AH19" s="249">
        <f t="shared" si="14"/>
        <v>0</v>
      </c>
      <c r="AI19" s="249">
        <f t="shared" si="15"/>
        <v>0</v>
      </c>
      <c r="AJ19" s="249"/>
      <c r="AK19" s="249">
        <f t="shared" si="16"/>
        <v>0</v>
      </c>
      <c r="AL19" s="249"/>
      <c r="AM19" s="249">
        <f t="shared" si="17"/>
        <v>0</v>
      </c>
      <c r="AN19" s="249">
        <f t="shared" si="30"/>
        <v>126923.07692307694</v>
      </c>
      <c r="AO19" s="249">
        <f t="shared" si="18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19"/>
        <v>8058076.9230769221</v>
      </c>
      <c r="AW19" s="249"/>
      <c r="AX19" s="249" t="s">
        <v>101</v>
      </c>
      <c r="AY19" s="251">
        <f t="shared" si="20"/>
        <v>412000</v>
      </c>
      <c r="AZ19" s="251">
        <f t="shared" si="20"/>
        <v>77250</v>
      </c>
      <c r="BA19" s="251">
        <f t="shared" si="20"/>
        <v>51500</v>
      </c>
      <c r="BB19" s="251">
        <f t="shared" si="21"/>
        <v>540750</v>
      </c>
      <c r="BC19" s="251"/>
      <c r="BD19" s="251"/>
      <c r="BE19" s="251">
        <f t="shared" si="22"/>
        <v>48500</v>
      </c>
      <c r="BF19" s="251">
        <f t="shared" si="31"/>
        <v>1684711.5384615383</v>
      </c>
      <c r="BG19" s="251">
        <f t="shared" si="23"/>
        <v>6373365.384615384</v>
      </c>
      <c r="BH19" s="251"/>
      <c r="BI19" s="251">
        <f t="shared" si="24"/>
        <v>-5167384.615384616</v>
      </c>
      <c r="BJ19" s="243">
        <f t="shared" si="25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6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7"/>
        <v>550000</v>
      </c>
      <c r="BZ19" s="243">
        <f t="shared" si="28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29"/>
        <v>2560384.6153846155</v>
      </c>
      <c r="Z20" s="249">
        <f t="shared" si="6"/>
        <v>121923.07692307692</v>
      </c>
      <c r="AA20" s="249">
        <f t="shared" si="7"/>
        <v>0</v>
      </c>
      <c r="AB20" s="249">
        <f t="shared" si="8"/>
        <v>487692.30769230769</v>
      </c>
      <c r="AC20" s="249">
        <f t="shared" si="9"/>
        <v>0</v>
      </c>
      <c r="AD20" s="249">
        <f t="shared" si="10"/>
        <v>0</v>
      </c>
      <c r="AE20" s="249">
        <f t="shared" si="11"/>
        <v>0</v>
      </c>
      <c r="AF20" s="249">
        <f t="shared" si="12"/>
        <v>0</v>
      </c>
      <c r="AG20" s="249">
        <f t="shared" si="13"/>
        <v>0</v>
      </c>
      <c r="AH20" s="249">
        <f t="shared" si="14"/>
        <v>0</v>
      </c>
      <c r="AI20" s="249">
        <f t="shared" si="15"/>
        <v>0</v>
      </c>
      <c r="AJ20" s="249"/>
      <c r="AK20" s="249">
        <f t="shared" si="16"/>
        <v>0</v>
      </c>
      <c r="AL20" s="249"/>
      <c r="AM20" s="249">
        <f t="shared" si="17"/>
        <v>0</v>
      </c>
      <c r="AN20" s="249">
        <f t="shared" si="30"/>
        <v>0</v>
      </c>
      <c r="AO20" s="249">
        <f t="shared" si="18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19"/>
        <v>13464134.615384616</v>
      </c>
      <c r="AW20" s="249"/>
      <c r="AX20" s="249" t="s">
        <v>101</v>
      </c>
      <c r="AY20" s="251">
        <f t="shared" si="20"/>
        <v>507200</v>
      </c>
      <c r="AZ20" s="251">
        <f t="shared" si="20"/>
        <v>95100</v>
      </c>
      <c r="BA20" s="251">
        <f t="shared" si="20"/>
        <v>63400</v>
      </c>
      <c r="BB20" s="251">
        <f t="shared" si="21"/>
        <v>665700</v>
      </c>
      <c r="BC20" s="251"/>
      <c r="BD20" s="251"/>
      <c r="BE20" s="251">
        <f t="shared" si="22"/>
        <v>63400</v>
      </c>
      <c r="BF20" s="251">
        <f t="shared" si="31"/>
        <v>2631620.192307692</v>
      </c>
      <c r="BG20" s="251">
        <f t="shared" si="23"/>
        <v>10832514.423076924</v>
      </c>
      <c r="BH20" s="251"/>
      <c r="BI20" s="251">
        <f t="shared" si="24"/>
        <v>-833185.57692307606</v>
      </c>
      <c r="BJ20" s="243">
        <f t="shared" si="25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6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7"/>
        <v>1150000</v>
      </c>
      <c r="BZ20" s="243">
        <f t="shared" si="28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29"/>
        <v>2682307.6923076925</v>
      </c>
      <c r="Z21" s="249">
        <f t="shared" si="6"/>
        <v>0</v>
      </c>
      <c r="AA21" s="249">
        <f t="shared" si="7"/>
        <v>0</v>
      </c>
      <c r="AB21" s="249">
        <f t="shared" si="8"/>
        <v>487692.30769230769</v>
      </c>
      <c r="AC21" s="249">
        <f t="shared" si="9"/>
        <v>0</v>
      </c>
      <c r="AD21" s="249">
        <f t="shared" si="10"/>
        <v>0</v>
      </c>
      <c r="AE21" s="249">
        <f t="shared" si="11"/>
        <v>2926153.846153846</v>
      </c>
      <c r="AF21" s="249">
        <f t="shared" si="12"/>
        <v>0</v>
      </c>
      <c r="AG21" s="249">
        <f t="shared" si="13"/>
        <v>0</v>
      </c>
      <c r="AH21" s="249">
        <f t="shared" si="14"/>
        <v>0</v>
      </c>
      <c r="AI21" s="249">
        <f t="shared" si="15"/>
        <v>0</v>
      </c>
      <c r="AJ21" s="249"/>
      <c r="AK21" s="249">
        <f t="shared" si="16"/>
        <v>0</v>
      </c>
      <c r="AL21" s="249"/>
      <c r="AM21" s="249">
        <f t="shared" si="17"/>
        <v>0</v>
      </c>
      <c r="AN21" s="249">
        <f t="shared" si="30"/>
        <v>126923.07692307694</v>
      </c>
      <c r="AO21" s="249">
        <f t="shared" si="18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19"/>
        <v>13032307.692307692</v>
      </c>
      <c r="AW21" s="249"/>
      <c r="AX21" s="249" t="s">
        <v>101</v>
      </c>
      <c r="AY21" s="251">
        <f t="shared" si="20"/>
        <v>531200</v>
      </c>
      <c r="AZ21" s="251">
        <f t="shared" si="20"/>
        <v>99600</v>
      </c>
      <c r="BA21" s="251">
        <f t="shared" si="20"/>
        <v>66400</v>
      </c>
      <c r="BB21" s="251">
        <f t="shared" si="21"/>
        <v>697200</v>
      </c>
      <c r="BC21" s="251"/>
      <c r="BD21" s="251"/>
      <c r="BE21" s="251">
        <f t="shared" si="22"/>
        <v>63400</v>
      </c>
      <c r="BF21" s="251">
        <f t="shared" si="31"/>
        <v>2430846.153846154</v>
      </c>
      <c r="BG21" s="251">
        <f t="shared" si="23"/>
        <v>10601461.538461538</v>
      </c>
      <c r="BH21" s="251"/>
      <c r="BI21" s="251">
        <f t="shared" si="24"/>
        <v>-1095738.461538462</v>
      </c>
      <c r="BJ21" s="243">
        <f t="shared" si="25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6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7"/>
        <v>850000</v>
      </c>
      <c r="BZ21" s="243">
        <f t="shared" si="28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H8:H11"/>
    <mergeCell ref="J8:J11"/>
    <mergeCell ref="AT8:AT11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AG9:AG11"/>
    <mergeCell ref="Z9:Z11"/>
    <mergeCell ref="AD9:AD11"/>
    <mergeCell ref="BG10:BG11"/>
    <mergeCell ref="V9:W10"/>
    <mergeCell ref="X9:X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AY9:BJ9"/>
    <mergeCell ref="BT8:BT11"/>
    <mergeCell ref="E8:E11"/>
    <mergeCell ref="G8:G11"/>
    <mergeCell ref="BU3:BZ6"/>
    <mergeCell ref="AU8:AU11"/>
    <mergeCell ref="BS8:BS11"/>
    <mergeCell ref="BK9:BP9"/>
    <mergeCell ref="BV8:BY10"/>
    <mergeCell ref="BI10:BI11"/>
    <mergeCell ref="AV8:AV11"/>
    <mergeCell ref="BR9:BR11"/>
    <mergeCell ref="BM10:BM11"/>
    <mergeCell ref="BN10:BN11"/>
    <mergeCell ref="BP10:BP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BQ9:BQ11"/>
    <mergeCell ref="AR8:AR11"/>
    <mergeCell ref="I8:I11"/>
    <mergeCell ref="BK10:BK11"/>
    <mergeCell ref="AP8:AP11"/>
    <mergeCell ref="R9:R11"/>
    <mergeCell ref="A8:A11"/>
    <mergeCell ref="AS8:AS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C8:C11"/>
    <mergeCell ref="AQ8:AQ11"/>
    <mergeCell ref="U9:U11"/>
  </mergeCells>
  <conditionalFormatting sqref="B1:B7 B22:B1048576 B12:BT12">
    <cfRule type="duplicateValues" dxfId="14" priority="98"/>
  </conditionalFormatting>
  <conditionalFormatting sqref="B1:B7 B22:B1048576 D13:F13 J13:BI13 BK13:CB13 B12:CB12">
    <cfRule type="duplicateValues" dxfId="13" priority="101"/>
  </conditionalFormatting>
  <conditionalFormatting sqref="B15:B21">
    <cfRule type="duplicateValues" dxfId="12" priority="3"/>
    <cfRule type="duplicateValues" dxfId="11" priority="4"/>
    <cfRule type="duplicateValues" dxfId="10" priority="5"/>
  </conditionalFormatting>
  <conditionalFormatting sqref="BJ13">
    <cfRule type="duplicateValues" dxfId="9" priority="6"/>
  </conditionalFormatting>
  <conditionalFormatting sqref="B8:B11">
    <cfRule type="duplicateValues" dxfId="1" priority="2"/>
  </conditionalFormatting>
  <conditionalFormatting sqref="B8:B11">
    <cfRule type="duplicateValues" dxfId="0" priority="1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0"/>
      <c r="B3" s="418"/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  <c r="N3" s="418"/>
      <c r="O3" s="418"/>
      <c r="P3" s="418"/>
      <c r="Q3" s="418"/>
      <c r="R3" s="418"/>
      <c r="S3" s="418"/>
      <c r="T3" s="418"/>
      <c r="U3" s="418"/>
      <c r="V3" s="418"/>
      <c r="W3" s="418"/>
      <c r="X3" s="418"/>
      <c r="Y3" s="418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  <c r="AR3" s="418"/>
      <c r="AS3" s="418"/>
      <c r="AT3" s="418"/>
      <c r="AU3" s="418"/>
      <c r="AV3" s="418"/>
      <c r="AW3" s="418"/>
      <c r="AX3" s="418"/>
      <c r="AY3" s="418"/>
      <c r="AZ3" s="418"/>
      <c r="BA3" s="418"/>
      <c r="BB3" s="418"/>
      <c r="BC3" s="418"/>
      <c r="BD3" s="418"/>
      <c r="BE3" s="418"/>
      <c r="BF3" s="418"/>
      <c r="BG3" s="418"/>
      <c r="BH3" s="418"/>
      <c r="BI3" s="418"/>
      <c r="BJ3" s="418"/>
      <c r="BK3" s="418"/>
      <c r="BL3" s="418"/>
      <c r="BM3" s="418"/>
      <c r="BN3" s="418"/>
      <c r="BO3" s="418"/>
      <c r="BP3" s="418"/>
      <c r="BQ3" s="418"/>
      <c r="BR3" s="418"/>
      <c r="BS3" s="418"/>
      <c r="BT3" s="418"/>
      <c r="BU3" s="418"/>
      <c r="BW3" s="417" t="s">
        <v>2</v>
      </c>
      <c r="BX3" s="418"/>
      <c r="BY3" s="418"/>
      <c r="BZ3" s="418"/>
      <c r="CA3" s="418"/>
      <c r="CB3" s="418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8"/>
      <c r="BX4" s="418"/>
      <c r="BY4" s="418"/>
      <c r="BZ4" s="418"/>
      <c r="CA4" s="418"/>
      <c r="CB4" s="418"/>
      <c r="CC4" s="42"/>
      <c r="CD4" s="42"/>
    </row>
    <row r="5" spans="1:87" s="45" customFormat="1">
      <c r="A5" s="405" t="s">
        <v>4</v>
      </c>
      <c r="B5" s="416" t="s">
        <v>5</v>
      </c>
      <c r="C5" s="404" t="s">
        <v>6</v>
      </c>
      <c r="D5" s="411" t="s">
        <v>141</v>
      </c>
      <c r="E5" s="411" t="s">
        <v>8</v>
      </c>
      <c r="F5" s="441" t="s">
        <v>142</v>
      </c>
      <c r="G5" s="404" t="s">
        <v>10</v>
      </c>
      <c r="H5" s="334" t="s">
        <v>11</v>
      </c>
      <c r="I5" s="334" t="s">
        <v>12</v>
      </c>
      <c r="J5" s="404" t="s">
        <v>13</v>
      </c>
      <c r="K5" s="40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4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404" t="s">
        <v>16</v>
      </c>
      <c r="AQ5" s="404" t="s">
        <v>17</v>
      </c>
      <c r="AR5" s="404" t="s">
        <v>18</v>
      </c>
      <c r="AS5" s="404" t="s">
        <v>19</v>
      </c>
      <c r="AT5" s="404" t="s">
        <v>20</v>
      </c>
      <c r="AU5" s="404" t="s">
        <v>21</v>
      </c>
      <c r="AV5" s="404" t="s">
        <v>22</v>
      </c>
      <c r="AW5" s="404" t="s">
        <v>23</v>
      </c>
      <c r="AX5" s="404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2"/>
      <c r="BQ5" s="421" t="s">
        <v>26</v>
      </c>
      <c r="BR5" s="414"/>
      <c r="BS5" s="400" t="s">
        <v>143</v>
      </c>
      <c r="BT5" s="400" t="s">
        <v>27</v>
      </c>
      <c r="BU5" s="432" t="s">
        <v>28</v>
      </c>
      <c r="BW5" s="433" t="s">
        <v>29</v>
      </c>
      <c r="BX5" s="422" t="s">
        <v>30</v>
      </c>
      <c r="BY5" s="423"/>
      <c r="BZ5" s="423"/>
      <c r="CA5" s="414"/>
      <c r="CB5" s="434" t="s">
        <v>31</v>
      </c>
      <c r="CC5" s="419" t="s">
        <v>32</v>
      </c>
      <c r="CD5" s="419" t="s">
        <v>33</v>
      </c>
      <c r="CH5" s="46"/>
      <c r="CI5" s="47"/>
    </row>
    <row r="6" spans="1:87" s="45" customFormat="1">
      <c r="A6" s="398"/>
      <c r="B6" s="398"/>
      <c r="C6" s="398"/>
      <c r="D6" s="398"/>
      <c r="E6" s="398"/>
      <c r="F6" s="398"/>
      <c r="G6" s="398"/>
      <c r="H6" s="398"/>
      <c r="I6" s="398"/>
      <c r="J6" s="398"/>
      <c r="K6" s="412" t="s">
        <v>34</v>
      </c>
      <c r="L6" s="412" t="s">
        <v>35</v>
      </c>
      <c r="M6" s="412" t="s">
        <v>36</v>
      </c>
      <c r="N6" s="412" t="s">
        <v>37</v>
      </c>
      <c r="O6" s="412" t="s">
        <v>38</v>
      </c>
      <c r="P6" s="412" t="s">
        <v>39</v>
      </c>
      <c r="Q6" s="412" t="s">
        <v>40</v>
      </c>
      <c r="R6" s="412" t="s">
        <v>41</v>
      </c>
      <c r="S6" s="412" t="s">
        <v>42</v>
      </c>
      <c r="T6" s="412" t="s">
        <v>43</v>
      </c>
      <c r="U6" s="412" t="s">
        <v>44</v>
      </c>
      <c r="V6" s="413" t="s">
        <v>45</v>
      </c>
      <c r="W6" s="414"/>
      <c r="X6" s="412" t="s">
        <v>46</v>
      </c>
      <c r="Y6" s="404" t="s">
        <v>47</v>
      </c>
      <c r="Z6" s="404" t="s">
        <v>48</v>
      </c>
      <c r="AA6" s="404" t="s">
        <v>49</v>
      </c>
      <c r="AB6" s="404" t="s">
        <v>50</v>
      </c>
      <c r="AC6" s="334" t="s">
        <v>51</v>
      </c>
      <c r="AD6" s="334" t="s">
        <v>144</v>
      </c>
      <c r="AE6" s="334" t="s">
        <v>53</v>
      </c>
      <c r="AF6" s="334" t="s">
        <v>54</v>
      </c>
      <c r="AG6" s="404" t="s">
        <v>55</v>
      </c>
      <c r="AH6" s="334" t="s">
        <v>56</v>
      </c>
      <c r="AI6" s="334" t="s">
        <v>57</v>
      </c>
      <c r="AJ6" s="404" t="s">
        <v>58</v>
      </c>
      <c r="AK6" s="406" t="s">
        <v>59</v>
      </c>
      <c r="AL6" s="404" t="s">
        <v>60</v>
      </c>
      <c r="AM6" s="404" t="s">
        <v>61</v>
      </c>
      <c r="AN6" s="410" t="s">
        <v>62</v>
      </c>
      <c r="AO6" s="404" t="s">
        <v>63</v>
      </c>
      <c r="AP6" s="398"/>
      <c r="AQ6" s="398"/>
      <c r="AR6" s="398"/>
      <c r="AS6" s="398"/>
      <c r="AT6" s="398"/>
      <c r="AU6" s="398"/>
      <c r="AV6" s="398"/>
      <c r="AW6" s="398"/>
      <c r="AX6" s="398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2"/>
      <c r="BK6" s="400" t="s">
        <v>64</v>
      </c>
      <c r="BL6" s="401"/>
      <c r="BM6" s="401"/>
      <c r="BN6" s="401"/>
      <c r="BO6" s="401"/>
      <c r="BP6" s="402"/>
      <c r="BQ6" s="397" t="s">
        <v>65</v>
      </c>
      <c r="BR6" s="397" t="s">
        <v>66</v>
      </c>
      <c r="BS6" s="398"/>
      <c r="BT6" s="398"/>
      <c r="BU6" s="407"/>
      <c r="BW6" s="425"/>
      <c r="BX6" s="407"/>
      <c r="BY6" s="424"/>
      <c r="BZ6" s="424"/>
      <c r="CA6" s="425"/>
      <c r="CB6" s="398"/>
      <c r="CC6" s="398"/>
      <c r="CD6" s="398"/>
      <c r="CH6" s="46"/>
      <c r="CI6" s="47"/>
    </row>
    <row r="7" spans="1:87" s="45" customFormat="1" ht="12">
      <c r="A7" s="398"/>
      <c r="B7" s="398"/>
      <c r="C7" s="398"/>
      <c r="D7" s="398"/>
      <c r="E7" s="398"/>
      <c r="F7" s="398"/>
      <c r="G7" s="398"/>
      <c r="H7" s="398"/>
      <c r="I7" s="398"/>
      <c r="J7" s="398"/>
      <c r="K7" s="398"/>
      <c r="L7" s="398"/>
      <c r="M7" s="398"/>
      <c r="N7" s="398"/>
      <c r="O7" s="398"/>
      <c r="P7" s="398"/>
      <c r="Q7" s="398"/>
      <c r="R7" s="398"/>
      <c r="S7" s="398"/>
      <c r="T7" s="398"/>
      <c r="U7" s="398"/>
      <c r="V7" s="408"/>
      <c r="W7" s="415"/>
      <c r="X7" s="398"/>
      <c r="Y7" s="398"/>
      <c r="Z7" s="398"/>
      <c r="AA7" s="398"/>
      <c r="AB7" s="398"/>
      <c r="AC7" s="398"/>
      <c r="AD7" s="398"/>
      <c r="AE7" s="398"/>
      <c r="AF7" s="398"/>
      <c r="AG7" s="398"/>
      <c r="AH7" s="398"/>
      <c r="AI7" s="398"/>
      <c r="AJ7" s="398"/>
      <c r="AK7" s="407"/>
      <c r="AL7" s="398"/>
      <c r="AM7" s="398"/>
      <c r="AN7" s="398"/>
      <c r="AO7" s="398"/>
      <c r="AP7" s="398"/>
      <c r="AQ7" s="398"/>
      <c r="AR7" s="398"/>
      <c r="AS7" s="398"/>
      <c r="AT7" s="398"/>
      <c r="AU7" s="398"/>
      <c r="AV7" s="398"/>
      <c r="AW7" s="398"/>
      <c r="AX7" s="398"/>
      <c r="AY7" s="29" t="s">
        <v>67</v>
      </c>
      <c r="AZ7" s="29" t="s">
        <v>68</v>
      </c>
      <c r="BA7" s="29" t="s">
        <v>69</v>
      </c>
      <c r="BB7" s="400" t="s">
        <v>70</v>
      </c>
      <c r="BC7" s="403" t="s">
        <v>71</v>
      </c>
      <c r="BD7" s="403" t="s">
        <v>72</v>
      </c>
      <c r="BE7" s="403" t="s">
        <v>145</v>
      </c>
      <c r="BF7" s="403" t="s">
        <v>74</v>
      </c>
      <c r="BG7" s="403" t="s">
        <v>75</v>
      </c>
      <c r="BH7" s="403" t="s">
        <v>76</v>
      </c>
      <c r="BI7" s="403" t="s">
        <v>79</v>
      </c>
      <c r="BJ7" s="431" t="s">
        <v>80</v>
      </c>
      <c r="BK7" s="403" t="s">
        <v>81</v>
      </c>
      <c r="BL7" s="400" t="s">
        <v>82</v>
      </c>
      <c r="BM7" s="403" t="s">
        <v>83</v>
      </c>
      <c r="BN7" s="400" t="s">
        <v>84</v>
      </c>
      <c r="BO7" s="400" t="s">
        <v>146</v>
      </c>
      <c r="BP7" s="400" t="s">
        <v>85</v>
      </c>
      <c r="BQ7" s="398"/>
      <c r="BR7" s="398"/>
      <c r="BS7" s="398"/>
      <c r="BT7" s="398"/>
      <c r="BU7" s="407"/>
      <c r="BW7" s="425"/>
      <c r="BX7" s="426"/>
      <c r="BY7" s="427"/>
      <c r="BZ7" s="427"/>
      <c r="CA7" s="428"/>
      <c r="CB7" s="398"/>
      <c r="CC7" s="398"/>
      <c r="CD7" s="398"/>
      <c r="CH7" s="46"/>
      <c r="CI7" s="47"/>
    </row>
    <row r="8" spans="1:87" s="45" customFormat="1" ht="22.5" customHeight="1">
      <c r="A8" s="399"/>
      <c r="B8" s="399"/>
      <c r="C8" s="399"/>
      <c r="D8" s="399"/>
      <c r="E8" s="399"/>
      <c r="F8" s="399"/>
      <c r="G8" s="399"/>
      <c r="H8" s="399"/>
      <c r="I8" s="399"/>
      <c r="J8" s="399"/>
      <c r="K8" s="399"/>
      <c r="L8" s="399"/>
      <c r="M8" s="399"/>
      <c r="N8" s="399"/>
      <c r="O8" s="399"/>
      <c r="P8" s="399"/>
      <c r="Q8" s="399"/>
      <c r="R8" s="399"/>
      <c r="S8" s="399"/>
      <c r="T8" s="399"/>
      <c r="U8" s="399"/>
      <c r="V8" s="49" t="s">
        <v>86</v>
      </c>
      <c r="W8" s="49" t="s">
        <v>87</v>
      </c>
      <c r="X8" s="399"/>
      <c r="Y8" s="399"/>
      <c r="Z8" s="399"/>
      <c r="AA8" s="399"/>
      <c r="AB8" s="399"/>
      <c r="AC8" s="399"/>
      <c r="AD8" s="399"/>
      <c r="AE8" s="399"/>
      <c r="AF8" s="399"/>
      <c r="AG8" s="399"/>
      <c r="AH8" s="399"/>
      <c r="AI8" s="399"/>
      <c r="AJ8" s="399"/>
      <c r="AK8" s="408"/>
      <c r="AL8" s="399"/>
      <c r="AM8" s="399"/>
      <c r="AN8" s="399"/>
      <c r="AO8" s="399"/>
      <c r="AP8" s="399"/>
      <c r="AQ8" s="399"/>
      <c r="AR8" s="399"/>
      <c r="AS8" s="399"/>
      <c r="AT8" s="399"/>
      <c r="AU8" s="399"/>
      <c r="AV8" s="399"/>
      <c r="AW8" s="399"/>
      <c r="AX8" s="399"/>
      <c r="AY8" s="30" t="s">
        <v>88</v>
      </c>
      <c r="AZ8" s="30" t="s">
        <v>89</v>
      </c>
      <c r="BA8" s="30" t="s">
        <v>90</v>
      </c>
      <c r="BB8" s="399"/>
      <c r="BC8" s="399"/>
      <c r="BD8" s="399"/>
      <c r="BE8" s="399"/>
      <c r="BF8" s="399"/>
      <c r="BG8" s="399"/>
      <c r="BH8" s="399"/>
      <c r="BI8" s="399"/>
      <c r="BJ8" s="399"/>
      <c r="BK8" s="399"/>
      <c r="BL8" s="399"/>
      <c r="BM8" s="399"/>
      <c r="BN8" s="399"/>
      <c r="BO8" s="399"/>
      <c r="BP8" s="399"/>
      <c r="BQ8" s="399"/>
      <c r="BR8" s="399"/>
      <c r="BS8" s="399"/>
      <c r="BT8" s="399"/>
      <c r="BU8" s="408"/>
      <c r="BW8" s="428"/>
      <c r="BX8" s="23" t="s">
        <v>91</v>
      </c>
      <c r="BY8" s="23" t="s">
        <v>92</v>
      </c>
      <c r="BZ8" s="23" t="s">
        <v>93</v>
      </c>
      <c r="CA8" s="24" t="s">
        <v>94</v>
      </c>
      <c r="CB8" s="420"/>
      <c r="CC8" s="420"/>
      <c r="CD8" s="420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O6:AO8"/>
    <mergeCell ref="BF7:BF8"/>
    <mergeCell ref="CB5:CB8"/>
    <mergeCell ref="BT5:BT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N6:N8"/>
    <mergeCell ref="AU5:AU8"/>
    <mergeCell ref="BH7:BH8"/>
    <mergeCell ref="BI7:BI8"/>
    <mergeCell ref="K5:X5"/>
    <mergeCell ref="Q6:Q8"/>
    <mergeCell ref="AC6:AC8"/>
    <mergeCell ref="AL6:AL8"/>
    <mergeCell ref="BX5:CA7"/>
    <mergeCell ref="BQ6:BQ8"/>
    <mergeCell ref="Y5:AO5"/>
    <mergeCell ref="AN6:AN8"/>
    <mergeCell ref="BG7:BG8"/>
    <mergeCell ref="BQ5:BR5"/>
    <mergeCell ref="BK7:BK8"/>
    <mergeCell ref="BK6:BP6"/>
    <mergeCell ref="BN7:BN8"/>
    <mergeCell ref="BP7:BP8"/>
  </mergeCells>
  <conditionalFormatting sqref="B1:B9 B12:B16 B20:B1048576 C9:BU9 D10:F10 J10:BI10 BK10:BU10 BW9:CD10">
    <cfRule type="duplicateValues" dxfId="8" priority="68"/>
  </conditionalFormatting>
  <conditionalFormatting sqref="B1:B9 B12:B16 B20:B1048576 C9:BU9">
    <cfRule type="duplicateValues" dxfId="7" priority="63"/>
    <cfRule type="duplicateValues" dxfId="6" priority="6"/>
  </conditionalFormatting>
  <conditionalFormatting sqref="B19">
    <cfRule type="duplicateValues" dxfId="5" priority="1"/>
    <cfRule type="duplicateValues" dxfId="4" priority="3"/>
    <cfRule type="duplicateValues" dxfId="3" priority="2"/>
  </conditionalFormatting>
  <conditionalFormatting sqref="BJ10">
    <cfRule type="duplicateValues" dxfId="2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2026-01-20T08:37:42Z</dcterms:modified>
</cp:coreProperties>
</file>