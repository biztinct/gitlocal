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"/>
    </mc:Choice>
  </mc:AlternateContent>
  <xr:revisionPtr revIDLastSave="0" documentId="13_ncr:1_{93FCCE33-83B2-AC44-AE4B-AF03E5282C1E}" xr6:coauthVersionLast="47" xr6:coauthVersionMax="47" xr10:uidLastSave="{00000000-0000-0000-0000-000000000000}"/>
  <bookViews>
    <workbookView xWindow="160" yWindow="640" windowWidth="38100" windowHeight="20800" tabRatio="650" xr2:uid="{00000000-000D-0000-FFFF-FFFF00000000}"/>
  </bookViews>
  <sheets>
    <sheet name="Template Payroll" sheetId="439" r:id="rId1"/>
    <sheet name="PC cơm " sheetId="430" r:id="rId2"/>
    <sheet name="TimeTB 2" sheetId="340" r:id="rId3"/>
    <sheet name=" TimeTB 1" sheetId="328" r:id="rId4"/>
    <sheet name="OT" sheetId="440" r:id="rId5"/>
    <sheet name="NS" sheetId="5" r:id="rId6"/>
    <sheet name="Others" sheetId="366" r:id="rId7"/>
    <sheet name="Incentive" sheetId="347" r:id="rId8"/>
    <sheet name="Benefit tính thuế" sheetId="348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">"SQRT"</definedName>
    <definedName name="______f5" hidden="1">{"'Sheet1'!$L$16"}</definedName>
    <definedName name="______NSO2" hidden="1">{"'Sheet1'!$L$16"}</definedName>
    <definedName name="_____KDX3">[1]!_____KDX3</definedName>
    <definedName name="_____NSO2" hidden="1">{"'Sheet1'!$L$16"}</definedName>
    <definedName name="____KDX3">#N/A</definedName>
    <definedName name="____NSO2" hidden="1">{"'Sheet1'!$L$16"}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uy2" hidden="1">{"'Sheet1'!$L$16"}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nm._FilterDatabase" localSheetId="7">Incentive!#REF!</definedName>
    <definedName name="__xlnm._FilterDatabase" localSheetId="5">NS!#REF!</definedName>
    <definedName name="__xlnm._FilterDatabase_1" localSheetId="3">#REF!</definedName>
    <definedName name="__xlnm._FilterDatabase_1" localSheetId="7">#REF!</definedName>
    <definedName name="__xlnm._FilterDatabase_1">#REF!</definedName>
    <definedName name="__xlnm._FilterDatabase_1_1">#REF!</definedName>
    <definedName name="__xlnm._FilterDatabase_2" localSheetId="3">#REF!</definedName>
    <definedName name="__xlnm._FilterDatabase_2" localSheetId="7">#REF!</definedName>
    <definedName name="__xlnm._FilterDatabase_2">#REF!</definedName>
    <definedName name="__xlnm._FilterDatabase_3" localSheetId="3">#REF!</definedName>
    <definedName name="__xlnm._FilterDatabase_3" localSheetId="7">#REF!</definedName>
    <definedName name="__xlnm._FilterDatabase_3">#REF!</definedName>
    <definedName name="__xlnm._FilterDatabase_4" localSheetId="3">#REF!</definedName>
    <definedName name="__xlnm._FilterDatabase_4" localSheetId="7">#REF!</definedName>
    <definedName name="__xlnm._FilterDatabase_4">#REF!</definedName>
    <definedName name="__xlnm._FilterDatabase_5" localSheetId="3">#REF!</definedName>
    <definedName name="__xlnm._FilterDatabase_5" localSheetId="7">#REF!</definedName>
    <definedName name="__xlnm._FilterDatabase_5">#REF!</definedName>
    <definedName name="__xlnm._FilterDatabase_6" localSheetId="7">#REF!</definedName>
    <definedName name="__xlnm._FilterDatabase_6">#REF!</definedName>
    <definedName name="__xlnm._FilterDatabase_7" localSheetId="3">#REF!</definedName>
    <definedName name="__xlnm._FilterDatabase_7" localSheetId="7">#REF!</definedName>
    <definedName name="__xlnm._FilterDatabase_7">#REF!</definedName>
    <definedName name="__xlnm.Print_Area" localSheetId="7">Incentive!$A$1:$G$6</definedName>
    <definedName name="__xlnm.Print_Titles" localSheetId="7">(Incentive!$A:$F,Incentive!$1:$1)</definedName>
    <definedName name="__xlnm.Print_Titles" localSheetId="5">NS!$1:$1</definedName>
    <definedName name="__Y2" hidden="1">{"'Sheet1'!$L$16"}</definedName>
    <definedName name="_?">#REF!</definedName>
    <definedName name="_??">#N/A</definedName>
    <definedName name="_??????">#REF!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>BlankMacro1</definedName>
    <definedName name="_17_??????">#REF!</definedName>
    <definedName name="_18_?1">#N/A</definedName>
    <definedName name="_19_??????3">BlankMacro1</definedName>
    <definedName name="_19_?271">#N/A</definedName>
    <definedName name="_2">#REF!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_?">#REF!</definedName>
    <definedName name="_30TEÂN_KHAÙCH_HAØ">#REF!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Ａ４">#N/A</definedName>
    <definedName name="_aA1">#REF!</definedName>
    <definedName name="_aA2">#REF!</definedName>
    <definedName name="_aA3">#REF!</definedName>
    <definedName name="_aO">_a1O,_a2O,_a3O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bac1">#REF!</definedName>
    <definedName name="_bac2">#REF!</definedName>
    <definedName name="_Bal02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C1244ㅁ1430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5" hidden="1">{"'Sheet1'!$L$16"}</definedName>
    <definedName name="_Fill" hidden="1">[2]외주현황.wq1!$A$403:$A$435</definedName>
    <definedName name="_xlnm._FilterDatabase" localSheetId="3">' TimeTB 1'!$A$3:$P$10</definedName>
    <definedName name="_xlnm._FilterDatabase" localSheetId="8" hidden="1">'Benefit tính thuế'!$A$1:$G$18</definedName>
    <definedName name="_xlnm._FilterDatabase" localSheetId="7" hidden="1">Incentive!$A$1:$J$5</definedName>
    <definedName name="_xlnm._FilterDatabase" localSheetId="5" hidden="1">NS!$A$1:$F$5</definedName>
    <definedName name="_xlnm._FilterDatabase" localSheetId="6" hidden="1">Others!$A$7:$F$9</definedName>
    <definedName name="_xlnm._FilterDatabase" localSheetId="1" hidden="1">'PC cơm '!$A$2:$L$4</definedName>
    <definedName name="_xlnm._FilterDatabase" localSheetId="0" hidden="1">'Template Payroll'!$A$4:$CG$6</definedName>
    <definedName name="_xlnm._FilterDatabase" localSheetId="2">'TimeTB 2'!$A$3:$S$5</definedName>
    <definedName name="_xlnm._FilterDatabase" hidden="1">'[2]#REF'!$A$6:$H$6</definedName>
    <definedName name="_G1">{"th152.xls"}</definedName>
    <definedName name="_G2" hidden="1">{"'Sheet1'!$L$16"}</definedName>
    <definedName name="_GIA1">#REF!</definedName>
    <definedName name="_gon4">#REF!</definedName>
    <definedName name="_H1" hidden="1">{"'Sheet1'!$L$16"}</definedName>
    <definedName name="_hom2">#REF!</definedName>
    <definedName name="_hom4">#N/A</definedName>
    <definedName name="_huy2" hidden="1">{"'Sheet1'!$L$16"}</definedName>
    <definedName name="_HX1">{"th152.xls"}</definedName>
    <definedName name="_itt0405">#REF!</definedName>
    <definedName name="_Iw1">#REF!</definedName>
    <definedName name="_j35015">#REF!</definedName>
    <definedName name="_KDX3">[3]!_KDX3</definedName>
    <definedName name="_Key1" hidden="1">[2]외주현황.wq1!$E$403:$E$455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C12">#REF!</definedName>
    <definedName name="_MAC46">#REF!</definedName>
    <definedName name="_MAG1">#REF!</definedName>
    <definedName name="_mau03" hidden="1">{"'Sheet1'!$L$16"}</definedName>
    <definedName name="_Nam1">#REF!</definedName>
    <definedName name="_nc151">#REF!</definedName>
    <definedName name="_nc30">#REF!</definedName>
    <definedName name="_nc32">#REF!</definedName>
    <definedName name="_nc35">#REF!</definedName>
    <definedName name="_nc37">#REF!</definedName>
    <definedName name="_nc40">#REF!</definedName>
    <definedName name="_nc45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T1" hidden="1">{"'Sheet1'!$L$16"}</definedName>
    <definedName name="_tz593">#REF!</definedName>
    <definedName name="_VL100">#REF!</definedName>
    <definedName name="_VL200">#REF!</definedName>
    <definedName name="_VL250">#REF!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 localSheetId="7">#REF!</definedName>
    <definedName name="a">#REF!</definedName>
    <definedName name="Á">!#REF!</definedName>
    <definedName name="â">!#REF!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 localSheetId="3">#REF!</definedName>
    <definedName name="AA" localSheetId="7">#REF!</definedName>
    <definedName name="AA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 hidden="1">{"'Sheet1'!$L$16"}</definedName>
    <definedName name="aaaaaaaasad" hidden="1">{0}</definedName>
    <definedName name="áàdsgfgfdg" hidden="1">{0}</definedName>
    <definedName name="Âaìo_moïng_cäüt_âáút_C2__r_1m__sáu_1m">#REF!</definedName>
    <definedName name="AAS">#REF!</definedName>
    <definedName name="ab" hidden="1">{"'Sheet1'!$L$16"}</definedName>
    <definedName name="ABCD">#REF!</definedName>
    <definedName name="ABDD" hidden="1">{#N/A,#N/A,FALSE,"단축1";#N/A,#N/A,FALSE,"단축2";#N/A,#N/A,FALSE,"단축3";#N/A,#N/A,FALSE,"장축";#N/A,#N/A,FALSE,"4WD"}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d" hidden="1">#REF!</definedName>
    <definedName name="ád" hidden="1">#REF!</definedName>
    <definedName name="ÁDASD" hidden="1">{"'Sheet1'!$L$16"}</definedName>
    <definedName name="Address">#REF!</definedName>
    <definedName name="ADSA">{"th152.xls"}</definedName>
    <definedName name="ADSA_1">NA()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2">{"th152.xls"}</definedName>
    <definedName name="anhung2_1">NA()</definedName>
    <definedName name="anpha">#REF!</definedName>
    <definedName name="ANTOAN" hidden="1">{"'Sheet1'!$L$16"}</definedName>
    <definedName name="AO" localSheetId="3">#REF!</definedName>
    <definedName name="AO" localSheetId="7">#REF!</definedName>
    <definedName name="AO">#REF!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D">#REF!</definedName>
    <definedName name="assa">#N/A</definedName>
    <definedName name="ASSU">#N/A</definedName>
    <definedName name="ATP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23RTDKDK">#REF!</definedName>
    <definedName name="ba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do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CNXT152153">#REF!</definedName>
    <definedName name="BCNXT155156">#REF!</definedName>
    <definedName name="Bcthu">#REF!</definedName>
    <definedName name="bd">#REF!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g" hidden="1">{"'Sheet1'!$L$16"}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HANH1">#REF!</definedName>
    <definedName name="BINHTHANH2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[4]Ds!$B$9:$L$28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hvhgh">!#REF!</definedName>
    <definedName name="bn" hidden="1">{"'Sheet1'!$L$16"}</definedName>
    <definedName name="bnc">#REF!</definedName>
    <definedName name="BNO">#REF!</definedName>
    <definedName name="BODY">#N/A</definedName>
    <definedName name="BOM">#REF!</definedName>
    <definedName name="book1" hidden="1">{"'Sheet1'!$L$16"}</definedName>
    <definedName name="book2" hidden="1">{"'Sheet1'!$L$16"}</definedName>
    <definedName name="BOQ">#REF!</definedName>
    <definedName name="bp">#REF!</definedName>
    <definedName name="Broker_Rate">#REF!</definedName>
    <definedName name="bRTDKDK">#REF!</definedName>
    <definedName name="brush">#REF!</definedName>
    <definedName name="bs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P">#REF!</definedName>
    <definedName name="Budget">#REF!</definedName>
    <definedName name="Budget05">#REF!</definedName>
    <definedName name="BUN2V">#REF!</definedName>
    <definedName name="buoc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P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CAU">298161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eilingsalary" localSheetId="5">"#REF!"</definedName>
    <definedName name="ceilingsalary">"#REF!"</definedName>
    <definedName name="celltips_area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[3]!Choices_Wrapper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NKH" hidden="1">{"'Sheet1'!$L$16"}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m">BlankMacro1</definedName>
    <definedName name="COMMON">#REF!</definedName>
    <definedName name="comong">#REF!</definedName>
    <definedName name="Company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ST_EQ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PYLONEDZ04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VC100">#REF!</definedName>
    <definedName name="CPVC35">#REF!</definedName>
    <definedName name="CPVCDN">#REF!</definedName>
    <definedName name="cracker">#REF!</definedName>
    <definedName name="CRD">#REF!</definedName>
    <definedName name="Credit" hidden="1">{"'Sheet1'!$L$16"}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u">#REF!</definedName>
    <definedName name="CU_LY">#REF!</definedName>
    <definedName name="CUC">!#REF!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t">#REF!</definedName>
    <definedName name="CX">#REF!</definedName>
    <definedName name="cxm">#REF!</definedName>
    <definedName name="cxvx">!#REF!</definedName>
    <definedName name="cy">#REF!</definedName>
    <definedName name="D" localSheetId="5">"#REF!"</definedName>
    <definedName name="D">"#REF!"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m">#REF!</definedName>
    <definedName name="danducsan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t_dao_mong">#REF!</definedName>
    <definedName name="Dat_dao_muong_cap">#REF!</definedName>
    <definedName name="DATA" localSheetId="3">OFFSET(#REF!,0,0,COUNTA(#REF!)-1,COUNTA(#REF!)-1)</definedName>
    <definedName name="DATA" localSheetId="7">OFFSET(#REF!,0,0,COUNTA(#REF!)-1,COUNTA(#REF!)-1)</definedName>
    <definedName name="DATA">OFFSET(#REF!,0,0,COUNTA(#REF!)-1,COUNTA(#REF!)-1)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EN">[5]TEN!$A$1:$J$447</definedName>
    <definedName name="DATAÙ">#REF!</definedName>
    <definedName name="DATB">#REF!</definedName>
    <definedName name="date">#REF!</definedName>
    <definedName name="DATP">#REF!</definedName>
    <definedName name="DAWB">#REF!</definedName>
    <definedName name="DAWP">#REF!</definedName>
    <definedName name="dayinmonth" localSheetId="3">#REF!</definedName>
    <definedName name="dayinmonth" localSheetId="7">#REF!</definedName>
    <definedName name="dayinmonth">#REF!</definedName>
    <definedName name="daymonth" localSheetId="3">[6]Payroll!$XEP$19:$XES$32</definedName>
    <definedName name="daymonth" localSheetId="7">[6]Payroll!$XEP$19:$XES$32</definedName>
    <definedName name="daymonth" localSheetId="0">'Template Payroll'!#REF!</definedName>
    <definedName name="daymonth">[6]Payroll!$XEP$19:$XES$32</definedName>
    <definedName name="daysinmonth" localSheetId="5">"#REF!"</definedName>
    <definedName name="daysinmonth">"#REF!"</definedName>
    <definedName name="dbt">#REF!</definedName>
    <definedName name="DC_TD">#N/A</definedName>
    <definedName name="dche">#REF!</definedName>
    <definedName name="Dd" hidden="1">#REF!</definedName>
    <definedName name="dd4x6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en">#REF!</definedName>
    <definedName name="ddia">#REF!</definedName>
    <definedName name="Dec">#REF!</definedName>
    <definedName name="Demur_CST">#REF!</definedName>
    <definedName name="den_bu">#REF!</definedName>
    <definedName name="DERW">[0]!BTRAM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f" hidden="1">{"'Sheet1'!$L$16"}</definedName>
    <definedName name="dfbfsdngngfdn" hidden="1">{"'Sheet1'!$L$16"}</definedName>
    <definedName name="dfdf">{"th152.xls"}</definedName>
    <definedName name="dfdfgffg" hidden="1">{"'Sheet1'!$L$16"}</definedName>
    <definedName name="DFF" hidden="1">{#N/A,#N/A,FALSE,"단축1";#N/A,#N/A,FALSE,"단축2";#N/A,#N/A,FALSE,"단축3";#N/A,#N/A,FALSE,"장축";#N/A,#N/A,FALSE,"4WD"}</definedName>
    <definedName name="DFJFFJ">#REF!</definedName>
    <definedName name="dflt6">[7]INNOVA!$D$28</definedName>
    <definedName name="DFST0405">#REF!</definedName>
    <definedName name="dg">#REF!</definedName>
    <definedName name="dg_66">#REF!</definedName>
    <definedName name="DGAGA" hidden="1">{"'Sheet1'!$L$16"}</definedName>
    <definedName name="DGBBHop">#REF!</definedName>
    <definedName name="DGCTI592">#REF!</definedName>
    <definedName name="DGFSF">!#REF!</definedName>
    <definedName name="dgnc">#REF!</definedName>
    <definedName name="DGTV">#REF!</definedName>
    <definedName name="dgvl">#REF!</definedName>
    <definedName name="DGVT">#REF!</definedName>
    <definedName name="dh">#REF!</definedName>
    <definedName name="dhfhslfksjflsf">!#REF!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oi">#REF!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'[8]Danh sach'!#REF!</definedName>
    <definedName name="DOLLAR">#N/A</definedName>
    <definedName name="DOM">[3]!DOM</definedName>
    <definedName name="DOMUSAGER">[3]!DOMUSAGER</definedName>
    <definedName name="DOMUSA저장">[3]!DOMUSA저장</definedName>
    <definedName name="DOM전장">[3]!DOM전장</definedName>
    <definedName name="DON_HANG" localSheetId="7">'[9]Staff Data'!$J$4:$J$5</definedName>
    <definedName name="DON_HANG">'[9]Staff Data'!$J$4:$J$5</definedName>
    <definedName name="Dong_coc_cu">#REF!</definedName>
    <definedName name="DONVI">#N/A</definedName>
    <definedName name="DoorWindow">#REF!</definedName>
    <definedName name="dothang" localSheetId="5">"#REF!"</definedName>
    <definedName name="dothang">"#REF!"</definedName>
    <definedName name="dotim" localSheetId="5">"#REF!"</definedName>
    <definedName name="dotim">"#REF!"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bs">{"th152.xls"}</definedName>
    <definedName name="dsbs_1">NA()</definedName>
    <definedName name="dsct3pnc">#REF!</definedName>
    <definedName name="dsct3pvl">#REF!</definedName>
    <definedName name="DSNL">{"th152.xls"}</definedName>
    <definedName name="DSNL_1">NA()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t">#REF!</definedName>
    <definedName name="DTBH">#REF!</definedName>
    <definedName name="dtc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Z">#REF!</definedName>
    <definedName name="DZCT_VLNC">#N/A</definedName>
    <definedName name="E0RTRKE24.57RTRKE290.175.69RTRK">#REF!</definedName>
    <definedName name="ea">#REF!</definedName>
    <definedName name="eae">!#REF!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x">#REF!</definedName>
    <definedName name="FB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egfdvbdg">{"Book1","BoQ2.XLS"}</definedName>
    <definedName name="FEEEEEEEEEEEEE" hidden="1">#REF!</definedName>
    <definedName name="FEWFERGFER">[0]!_a1O,[0]!_a2O,[0]!_a3O</definedName>
    <definedName name="FF">#REF!</definedName>
    <definedName name="fff" hidden="1">{#N/A,#N/A,FALSE,"사업"}</definedName>
    <definedName name="fffff" hidden="1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SDUEI">{"th152.xls"}</definedName>
    <definedName name="FGASDUEI_1">NA()</definedName>
    <definedName name="fgdfd">!#REF!</definedName>
    <definedName name="fgdgd">!#REF!</definedName>
    <definedName name="FGF">2</definedName>
    <definedName name="fggfg">[0]!_a1Z,[0]!_a2Z,[0]!_a3Z</definedName>
    <definedName name="FGHJ" hidden="1">{#N/A,#N/A,FALSE,"단축1";#N/A,#N/A,FALSE,"단축2";#N/A,#N/A,FALSE,"단축3";#N/A,#N/A,FALSE,"장축";#N/A,#N/A,FALSE,"4WD"}</definedName>
    <definedName name="fgPRRKRKRKTBTB1RT">#REF!</definedName>
    <definedName name="FGR12C15TBTB1RTDKDK">#REF!</definedName>
    <definedName name="fgTBTB3RTDKDK">#REF!</definedName>
    <definedName name="fgTBTB4RTDKDK">#REF!</definedName>
    <definedName name="FGtbtbspspsprtdkdk">#REF!</definedName>
    <definedName name="Fi">#REF!</definedName>
    <definedName name="FinishWork">#REF!</definedName>
    <definedName name="FIT">BlankMacro1</definedName>
    <definedName name="FITT2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asd" hidden="1">#REF!</definedName>
    <definedName name="FSÑFS">_a1O,_a2O,_a3O</definedName>
    <definedName name="fu">#N/A</definedName>
    <definedName name="fv">#REF!</definedName>
    <definedName name="FWEFWE" hidden="1">{#N/A,#N/A,FALSE,"단축1";#N/A,#N/A,FALSE,"단축2";#N/A,#N/A,FALSE,"단축3";#N/A,#N/A,FALSE,"장축";#N/A,#N/A,FALSE,"4WD"}</definedName>
    <definedName name="FXXDXD">!#REF!</definedName>
    <definedName name="FY">#N/A</definedName>
    <definedName name="fzgÐg">{"Thuxm2.xls","Sheet1"}</definedName>
    <definedName name="G" hidden="1">#REF!</definedName>
    <definedName name="G_C">#N/A</definedName>
    <definedName name="G_ME">#REF!</definedName>
    <definedName name="g_탩Y">#REF!</definedName>
    <definedName name="g...Be_ton_dÀ">#N/A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chi">#REF!</definedName>
    <definedName name="gcm">#REF!</definedName>
    <definedName name="gd">#REF!</definedName>
    <definedName name="gđ">!#REF!</definedName>
    <definedName name="GDDCLTDZ22">#REF!</definedName>
    <definedName name="GDHKFGK">{"th152.xls"}</definedName>
    <definedName name="GDS" hidden="1">{"'Sheet1'!$L$16"}</definedName>
    <definedName name="geff">#REF!</definedName>
    <definedName name="GELALL">[3]!GELALL</definedName>
    <definedName name="GELALL전장2">[3]!GELALL전장2</definedName>
    <definedName name="GER">[3]!GER</definedName>
    <definedName name="GER전장">[3]!GER전장</definedName>
    <definedName name="GFDGFSDAG">#N/A</definedName>
    <definedName name="GFDS" hidden="1">{#N/A,#N/A,FALSE,"단축1";#N/A,#N/A,FALSE,"단축2";#N/A,#N/A,FALSE,"단축3";#N/A,#N/A,FALSE,"장축";#N/A,#N/A,FALSE,"4WD"}</definedName>
    <definedName name="gfggdfd" hidden="1">{"'Sheet1'!$L$16"}</definedName>
    <definedName name="gfhcgh">!#REF!</definedName>
    <definedName name="GFST04">#REF!</definedName>
    <definedName name="GG">#REF!</definedName>
    <definedName name="ggfs" hidden="1">#REF!</definedName>
    <definedName name="GGG">#REF!</definedName>
    <definedName name="gggd">!#REF!</definedName>
    <definedName name="GGGG" hidden="1">#REF!</definedName>
    <definedName name="GGGGG" hidden="1">#REF!</definedName>
    <definedName name="gggggg">#REF!</definedName>
    <definedName name="GGGGGGGG">#N/A</definedName>
    <definedName name="GGH">14</definedName>
    <definedName name="GH">#REF!</definedName>
    <definedName name="ghfgxx">!#REF!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ocong">#REF!</definedName>
    <definedName name="giotuoi">#REF!</definedName>
    <definedName name="gipa5">#N/A</definedName>
    <definedName name="GJ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tc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jgvjvv">!#REF!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11A01K">#REF!</definedName>
    <definedName name="h7.5">#N/A</definedName>
    <definedName name="h8.5">#N/A</definedName>
    <definedName name="ha">#REF!</definedName>
    <definedName name="hang">#REF!</definedName>
    <definedName name="hanh" hidden="1">{"'Sheet1'!$L$16"}</definedName>
    <definedName name="hanoi">#REF!</definedName>
    <definedName name="hc">#REF!</definedName>
    <definedName name="HChong">#REF!</definedName>
    <definedName name="HCM">#REF!</definedName>
    <definedName name="hd">#REF!</definedName>
    <definedName name="Heä_soá_laép_xaø_H">1.7</definedName>
    <definedName name="heä_soá_sình_laày">#REF!</definedName>
    <definedName name="Height">30</definedName>
    <definedName name="heso">#REF!</definedName>
    <definedName name="hfhf">!#REF!</definedName>
    <definedName name="hg">#REF!</definedName>
    <definedName name="HGFHHHHHHHHHJ">[0]!_a1O,[0]!_a2O,[0]!_a3O</definedName>
    <definedName name="HGHB">{"th152.xls"}</definedName>
    <definedName name="HGHB_1">NA()</definedName>
    <definedName name="hghfhfg">!#REF!</definedName>
    <definedName name="HGHGHG">#N/A</definedName>
    <definedName name="hgjifjg" hidden="1">{"'Sheet1'!$L$16"}</definedName>
    <definedName name="HH">#REF!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entai">'[10]Employees data'!$CZ$2</definedName>
    <definedName name="Hinh_thuc">#REF!</definedName>
    <definedName name="hjhj">{"th152.xls"}</definedName>
    <definedName name="hjjkl" hidden="1">{"'Sheet1'!$L$16"}</definedName>
    <definedName name="HM">#REF!</definedName>
    <definedName name="HMC_COST">#REF!</definedName>
    <definedName name="HO">#REF!</definedName>
    <definedName name="hoa">OFFSET(!#REF!,0,0,COUNTA(!#REF!)-1,COUNTA(!#REF!)-1)</definedName>
    <definedName name="HOAA">OFFSET(!#REF!,0,0,COUNTA(!#REF!)-1,COUNTA(!#REF!)-1)</definedName>
    <definedName name="hoae">OFFSET(!#REF!,0,0,COUNTA(!#REF!)-1,COUNTA(!#REF!)-1)</definedName>
    <definedName name="hoaee">OFFSET(!#REF!,0,0,COUNTA(!#REF!)-1,COUNTA(!#REF!)-1)</definedName>
    <definedName name="hoanb">!#REF!</definedName>
    <definedName name="hoc">55000</definedName>
    <definedName name="HOCMON">#REF!</definedName>
    <definedName name="HOME_MANP">#REF!</definedName>
    <definedName name="HOMEOFFICE_COST">#REF!</definedName>
    <definedName name="hong">[0]!_a1O,[0]!_a2O,[0]!_a3O</definedName>
    <definedName name="hòng">[0]!_a1Z,[0]!_a2Z,[0]!_a3Z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hasuyas" hidden="1">{#N/A,#N/A,FALSE,"단축1";#N/A,#N/A,FALSE,"단축2";#N/A,#N/A,FALSE,"단축3";#N/A,#N/A,FALSE,"장축";#N/A,#N/A,FALSE,"4WD"}</definedName>
    <definedName name="huy" hidden="1">{"'Sheet1'!$L$16"}</definedName>
    <definedName name="huy_1" hidden="1">{"'Sheet1'!$L$16"}</definedName>
    <definedName name="HUYEN_HOC_MON" localSheetId="3">#REF!</definedName>
    <definedName name="HUYEN_HOC_MON" localSheetId="7">#REF!</definedName>
    <definedName name="HUYEN_HOC_MON">#REF!</definedName>
    <definedName name="HUYEN_NHA_BE" localSheetId="3">#REF!</definedName>
    <definedName name="HUYEN_NHA_BE" localSheetId="7">#REF!</definedName>
    <definedName name="HUYEN_NHA_BE">#REF!</definedName>
    <definedName name="HUYHAN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YYY" hidden="1">#REF!</definedName>
    <definedName name="J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J">#REF!</definedName>
    <definedName name="JJJ">#N/A</definedName>
    <definedName name="JJJJ" hidden="1">#REF!</definedName>
    <definedName name="jkljkjlkj" hidden="1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o">#REF!</definedName>
    <definedName name="KEY" hidden="1">#REF!</definedName>
    <definedName name="KeyFigure">#REF!</definedName>
    <definedName name="Kg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'[8]Danh sach'!#REF!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K">#REF!</definedName>
    <definedName name="kl" hidden="1">{#N/A,#N/A,FALSE,"기초1"}</definedName>
    <definedName name="KL_C">#N/A</definedName>
    <definedName name="kl_ME">#REF!</definedName>
    <definedName name="KLC">#REF!</definedName>
    <definedName name="KLD">#REF!</definedName>
    <definedName name="kldd1p">#REF!</definedName>
    <definedName name="KLTHDN">#REF!</definedName>
    <definedName name="KLVANKHUON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fh">!#REF!</definedName>
    <definedName name="lạnhlk">!#REF!</definedName>
    <definedName name="lanhto">#REF!</definedName>
    <definedName name="lansfhksfshkl">!#REF!</definedName>
    <definedName name="Lap_dat">#N/A</definedName>
    <definedName name="Lap_dat_td">#N/A</definedName>
    <definedName name="Lap_xa_neo">#N/A</definedName>
    <definedName name="Lapmay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[3]!LC3차서</definedName>
    <definedName name="LCA">#REF!</definedName>
    <definedName name="lcb">[4]Ds!$F$4</definedName>
    <definedName name="leak">#REF!</definedName>
    <definedName name="leak10">#REF!</definedName>
    <definedName name="lee">#N/A</definedName>
    <definedName name="LENS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kjhfh">!#REF!</definedName>
    <definedName name="lll" hidden="1">{"'Sheet1'!$L$16"}</definedName>
    <definedName name="llll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ai_TD">#REF!</definedName>
    <definedName name="Local_AVG_Price">#REF!</definedName>
    <definedName name="lón2">#REF!</definedName>
    <definedName name="lón3">#REF!</definedName>
    <definedName name="lón5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tdbgt">#REF!</definedName>
    <definedName name="ltre">#REF!</definedName>
    <definedName name="luan" hidden="1">{"'Sheet1'!$L$16"}</definedName>
    <definedName name="luong" localSheetId="5">"#REF!"</definedName>
    <definedName name="luong">"#REF!"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6">#N/A</definedName>
    <definedName name="MADG">#REF!</definedName>
    <definedName name="MADL">#REF!</definedName>
    <definedName name="MAG">#REF!</definedName>
    <definedName name="MAHANG">#REF!</definedName>
    <definedName name="mai">!#REF!</definedName>
    <definedName name="maicuc">!#REF!</definedName>
    <definedName name="MAJ_CON_EQP">#REF!</definedName>
    <definedName name="MAKH">#REF!</definedName>
    <definedName name="MAKH1">#REF!</definedName>
    <definedName name="MAMS">#REF!</definedName>
    <definedName name="MAMS1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[11]Data!$I$4:$I$11230</definedName>
    <definedName name="MaQuan">[11]Data!$F$4:$F$713</definedName>
    <definedName name="MaQuanHe">[12]Data!$L$4:$L$7</definedName>
    <definedName name="MaQuocGia">[11]Data!$J$4:$J$5</definedName>
    <definedName name="MART0405">#REF!</definedName>
    <definedName name="Masonry">#REF!</definedName>
    <definedName name="MASP">#REF!</definedName>
    <definedName name="MASP1">#REF!</definedName>
    <definedName name="master" localSheetId="5">"#REF!"</definedName>
    <definedName name="master">"#REF!"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PX3">[3]!MIPX3</definedName>
    <definedName name="MM">#REF!</definedName>
    <definedName name="MN12DZ22">#REF!</definedName>
    <definedName name="MN15DZ22">#REF!</definedName>
    <definedName name="MN18DZ22">#REF!</definedName>
    <definedName name="MNPP">#REF!</definedName>
    <definedName name="mo" hidden="1">{"'Sheet1'!$L$16"}</definedName>
    <definedName name="MOLD">#REF!</definedName>
    <definedName name="MON">#N/A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T2DZ22">#REF!</definedName>
    <definedName name="MT3DZ22">#REF!</definedName>
    <definedName name="MTC">#REF!</definedName>
    <definedName name="MTCMB">#REF!</definedName>
    <definedName name="MTMAC12">#REF!</definedName>
    <definedName name="mtram">#REF!</definedName>
    <definedName name="MT대수">#REF!</definedName>
    <definedName name="MUA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#REF!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m" hidden="1">#REF!</definedName>
    <definedName name="NAME">#REF!</definedName>
    <definedName name="namerange">#REF!</definedName>
    <definedName name="NB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othilehong">[0]!_a1O,[0]!_a2O,[0]!_a3O</definedName>
    <definedName name="NH">#REF!</definedName>
    <definedName name="Nh_n_cáng">#REF!</definedName>
    <definedName name="NHAÂN_COÂNG">[0]!BTRAM</definedName>
    <definedName name="NHAÄP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[0]!_a1O,[0]!_a2O,[0]!_a3O</definedName>
    <definedName name="NHot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...TrÀt__câ_lìp_bÀm_dÛnh_bÂng_XM">#N/A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T">!#REF!</definedName>
    <definedName name="ot_ID" localSheetId="3">"#REF!"</definedName>
    <definedName name="ot_ID" localSheetId="7">"#REF!"</definedName>
    <definedName name="ot_ID" localSheetId="5">NS!$A:$A</definedName>
    <definedName name="ot_ID" localSheetId="0">#REF!</definedName>
    <definedName name="ot_ID">"#REF!"</definedName>
    <definedName name="ot_total" localSheetId="3">"#REF!"</definedName>
    <definedName name="ot_total" localSheetId="7">"#REF!"</definedName>
    <definedName name="ot_total" localSheetId="5">#N/A</definedName>
    <definedName name="ot_total" localSheetId="0">#REF!</definedName>
    <definedName name="ot_total">"#REF!"</definedName>
    <definedName name="ot_untax" localSheetId="3">"#REF!"</definedName>
    <definedName name="ot_untax" localSheetId="7">"#REF!"</definedName>
    <definedName name="ot_untax" localSheetId="5">#N/A</definedName>
    <definedName name="ot_untax" localSheetId="0">#REF!</definedName>
    <definedName name="ot_untax">"#REF!"</definedName>
    <definedName name="otDetail_150" localSheetId="3">"#REF!"</definedName>
    <definedName name="otDetail_150" localSheetId="7">"#REF!"</definedName>
    <definedName name="otDetail_150" localSheetId="5">#N/A</definedName>
    <definedName name="otDetail_150" localSheetId="0">#REF!</definedName>
    <definedName name="otDetail_150">"#REF!"</definedName>
    <definedName name="otDetail_200" localSheetId="3">"#REF!"</definedName>
    <definedName name="otDetail_200" localSheetId="7">"#REF!"</definedName>
    <definedName name="otDetail_200" localSheetId="5">#N/A</definedName>
    <definedName name="otDetail_200" localSheetId="0">#REF!</definedName>
    <definedName name="otDetail_200">"#REF!"</definedName>
    <definedName name="otDetail_215" localSheetId="3">"#REF!"</definedName>
    <definedName name="otDetail_215" localSheetId="7">"#REF!"</definedName>
    <definedName name="otDetail_215" localSheetId="5">#N/A</definedName>
    <definedName name="otDetail_215" localSheetId="0">#REF!</definedName>
    <definedName name="otDetail_215">"#REF!"</definedName>
    <definedName name="otDetail_280" localSheetId="3">"#REF!"</definedName>
    <definedName name="otDetail_280" localSheetId="7">"#REF!"</definedName>
    <definedName name="otDetail_280" localSheetId="5">#N/A</definedName>
    <definedName name="otDetail_280" localSheetId="0">#REF!</definedName>
    <definedName name="otDetail_280">"#REF!"</definedName>
    <definedName name="otDetail_300" localSheetId="3">"#REF!"</definedName>
    <definedName name="otDetail_300" localSheetId="7">"#REF!"</definedName>
    <definedName name="otDetail_300" localSheetId="5">#N/A</definedName>
    <definedName name="otDetail_300" localSheetId="0">#REF!</definedName>
    <definedName name="otDetail_300">"#REF!"</definedName>
    <definedName name="otDetail_410" localSheetId="3">"#REF!"</definedName>
    <definedName name="otDetail_410" localSheetId="7">"#REF!"</definedName>
    <definedName name="otDetail_410" localSheetId="5">#N/A</definedName>
    <definedName name="otDetail_410" localSheetId="0">#REF!</definedName>
    <definedName name="otDetail_410">"#REF!"</definedName>
    <definedName name="OtDetail_Name" localSheetId="3">"#REF!"</definedName>
    <definedName name="OtDetail_Name" localSheetId="7">"#REF!"</definedName>
    <definedName name="OtDetail_Name" localSheetId="5">#N/A</definedName>
    <definedName name="OtDetail_Name" localSheetId="0">#REF!</definedName>
    <definedName name="OtDetail_Name">"#REF!"</definedName>
    <definedName name="outdia2">#REF!</definedName>
    <definedName name="OUTER">#REF!</definedName>
    <definedName name="overtime" localSheetId="5">"#REF!"</definedName>
    <definedName name="overtime">"#REF!"</definedName>
    <definedName name="oxy">#REF!</definedName>
    <definedName name="O행">#REF!</definedName>
    <definedName name="p" localSheetId="3">#REF!</definedName>
    <definedName name="p" localSheetId="7">#REF!</definedName>
    <definedName name="p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RT">#REF!</definedName>
    <definedName name="payroll" localSheetId="3">[13]Payroll!#REF!</definedName>
    <definedName name="payroll" localSheetId="7">Incentive!#REF!</definedName>
    <definedName name="payroll" localSheetId="5">[14]Payroll!$C$20:$AQ$82</definedName>
    <definedName name="payroll" localSheetId="0">'Template Payroll'!#REF!</definedName>
    <definedName name="payroll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CKER_PACKER" localSheetId="7">OFFSET('[9]Staff Data'!$G$7,0,0,COUNTA('[9]Staff Data'!$G:$G)-1,1)</definedName>
    <definedName name="PICKER_PACKER">OFFSET('[9]Staff Data'!$G$7,0,0,COUNTA('[9]Staff Data'!$G:$G)-1,1)</definedName>
    <definedName name="PileType">#REF!</definedName>
    <definedName name="PIP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TH">#REF!</definedName>
    <definedName name="PL재질명">#REF!</definedName>
    <definedName name="PMT_TRM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>BlankMacro1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7">Incentive!$A$1:$J$6</definedName>
    <definedName name="_xlnm.Print_Area" localSheetId="2">'TimeTB 2'!$B$1:$S$27</definedName>
    <definedName name="_xlnm.Print_Area">#REF!</definedName>
    <definedName name="PRINT_AREA_MI">#REF!</definedName>
    <definedName name="PRINT_AREA_MI1">#REF!</definedName>
    <definedName name="Print_CEM_cc5">#REF!</definedName>
    <definedName name="_xlnm.Print_Titles" localSheetId="3">' TimeTB 1'!$1:$3</definedName>
    <definedName name="_xlnm.Print_Titles" localSheetId="7">Incentive!$A:$F,Incentive!$1:$1</definedName>
    <definedName name="_xlnm.Print_Titles" localSheetId="5">NS!$1:$1</definedName>
    <definedName name="_xlnm.Print_Titles" localSheetId="1">'PC cơm '!$1:$2</definedName>
    <definedName name="_xlnm.Print_Titles" localSheetId="0">'Template Payroll'!$A:$H,'Template Payroll'!$4:$4</definedName>
    <definedName name="_xlnm.Print_Titles" localSheetId="2">'TimeTB 2'!$1:$3</definedName>
    <definedName name="_xlnm.Print_Titles">#N/A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 hidden="1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u">#REF!</definedName>
    <definedName name="QUAN_1" localSheetId="3">#REF!</definedName>
    <definedName name="QUAN_1" localSheetId="7">#REF!</definedName>
    <definedName name="QUAN_1">#REF!</definedName>
    <definedName name="QUAN_10" localSheetId="3">#REF!</definedName>
    <definedName name="QUAN_10" localSheetId="7">#REF!</definedName>
    <definedName name="QUAN_10">#REF!</definedName>
    <definedName name="QUAN_11" localSheetId="3">#REF!</definedName>
    <definedName name="QUAN_11" localSheetId="7">#REF!</definedName>
    <definedName name="QUAN_11">#REF!</definedName>
    <definedName name="QUAN_12" localSheetId="3">#REF!</definedName>
    <definedName name="QUAN_12" localSheetId="7">#REF!</definedName>
    <definedName name="QUAN_12">#REF!</definedName>
    <definedName name="QUAN_13">!#REF!</definedName>
    <definedName name="quan_13lan">!#REF!</definedName>
    <definedName name="quan_14">!#REF!</definedName>
    <definedName name="quan_17">!#REF!</definedName>
    <definedName name="QUAN_2" localSheetId="3">#REF!</definedName>
    <definedName name="QUAN_2" localSheetId="7">#REF!</definedName>
    <definedName name="QUAN_2">#REF!</definedName>
    <definedName name="quan_21">!#REF!</definedName>
    <definedName name="QUAN_3" localSheetId="3">#REF!</definedName>
    <definedName name="QUAN_3" localSheetId="7">#REF!</definedName>
    <definedName name="QUAN_3">#REF!</definedName>
    <definedName name="QUẬN_3">!#REF!</definedName>
    <definedName name="QUAN_4" localSheetId="3">#REF!</definedName>
    <definedName name="QUAN_4" localSheetId="7">#REF!</definedName>
    <definedName name="QUAN_4">#REF!</definedName>
    <definedName name="QUAN_41">!#REF!</definedName>
    <definedName name="QUAN_5" localSheetId="3">#REF!</definedName>
    <definedName name="QUAN_5" localSheetId="7">#REF!</definedName>
    <definedName name="QUAN_5">#REF!</definedName>
    <definedName name="QUAN_6" localSheetId="3">#REF!</definedName>
    <definedName name="QUAN_6" localSheetId="7">#REF!</definedName>
    <definedName name="QUAN_6">#REF!</definedName>
    <definedName name="QUAN_7" localSheetId="3">#REF!</definedName>
    <definedName name="QUAN_7" localSheetId="7">#REF!</definedName>
    <definedName name="QUAN_7">#REF!</definedName>
    <definedName name="QUAN_8" localSheetId="3">#REF!</definedName>
    <definedName name="QUAN_8" localSheetId="7">#REF!</definedName>
    <definedName name="QUAN_8">#REF!</definedName>
    <definedName name="QUAN_9" localSheetId="3">#REF!</definedName>
    <definedName name="QUAN_9" localSheetId="7">#REF!</definedName>
    <definedName name="QUAN_9">#REF!</definedName>
    <definedName name="QUAN_BINH_TAN" localSheetId="3">#REF!</definedName>
    <definedName name="QUAN_BINH_TAN" localSheetId="7">#REF!</definedName>
    <definedName name="QUAN_BINH_TAN">#REF!</definedName>
    <definedName name="QUAN_BINH_THANH" localSheetId="3">#REF!</definedName>
    <definedName name="QUAN_BINH_THANH" localSheetId="7">#REF!</definedName>
    <definedName name="QUAN_BINH_THANH">#REF!</definedName>
    <definedName name="QUAN_GO_VAP" localSheetId="3">#REF!</definedName>
    <definedName name="QUAN_GO_VAP" localSheetId="7">#REF!</definedName>
    <definedName name="QUAN_GO_VAP">#REF!</definedName>
    <definedName name="QUAN_PHU_NHUAN" localSheetId="3">#REF!</definedName>
    <definedName name="QUAN_PHU_NHUAN" localSheetId="7">#REF!</definedName>
    <definedName name="QUAN_PHU_NHUAN">#REF!</definedName>
    <definedName name="QUAN_TAN_BINH" localSheetId="3">#REF!</definedName>
    <definedName name="QUAN_TAN_BINH" localSheetId="7">#REF!</definedName>
    <definedName name="QUAN_TAN_BINH">#REF!</definedName>
    <definedName name="QUAN_TAN_PHU" localSheetId="3">#REF!</definedName>
    <definedName name="QUAN_TAN_PHU" localSheetId="7">#REF!</definedName>
    <definedName name="QUAN_TAN_PHU">#REF!</definedName>
    <definedName name="QUAN_THU_DUC" localSheetId="3">#REF!</definedName>
    <definedName name="QUAN_THU_DUC" localSheetId="7">#REF!</definedName>
    <definedName name="QUAN_THU_DUC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[15]Data!$L$4:$L$7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TE">#REF!</definedName>
    <definedName name="RawData">#REF!</definedName>
    <definedName name="RawHeader">#REF!</definedName>
    <definedName name="rb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Area" hidden="1">#REF!</definedName>
    <definedName name="rd">#REF!</definedName>
    <definedName name="rd_cost">#REF!</definedName>
    <definedName name="rd_rate">#REF!</definedName>
    <definedName name="record">#REF!</definedName>
    <definedName name="_xlnm.Recorder">#REF!</definedName>
    <definedName name="RECOUT">#N/A</definedName>
    <definedName name="RET" hidden="1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IB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W">#REF!</definedName>
    <definedName name="royalty">#REF!</definedName>
    <definedName name="royalty_rate">#REF!</definedName>
    <definedName name="RRR" hidden="1">{#N/A,#N/A,FALSE,"사업"}</definedName>
    <definedName name="rss">!#REF!</definedName>
    <definedName name="RTCLCRCRCRCRCRCRDLRTDKDK">#REF!</definedName>
    <definedName name="RTCLDLRTDK">#REF!</definedName>
    <definedName name="RT울산시RTDKDK">#REF!</definedName>
    <definedName name="R행">#REF!</definedName>
    <definedName name="s">#REF!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#REF!</definedName>
    <definedName name="sâ" hidden="1">{"'Sheet1'!$L$16"}</definedName>
    <definedName name="SAD" hidden="1">#REF!</definedName>
    <definedName name="san">#REF!</definedName>
    <definedName name="SANPHAM">#REF!</definedName>
    <definedName name="sâs" hidden="1">{"'Sheet1'!$L$16"}</definedName>
    <definedName name="satt">#REF!</definedName>
    <definedName name="SBEND">#REF!</definedName>
    <definedName name="SBLANK">#REF!</definedName>
    <definedName name="sbv">#REF!</definedName>
    <definedName name="SBVrate" localSheetId="5">"#REF!"</definedName>
    <definedName name="SBVrate">"#REF!"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T_BKTC">#REF!</definedName>
    <definedName name="sd1p">#REF!</definedName>
    <definedName name="sd3p">#REF!</definedName>
    <definedName name="sdafasdf" hidden="1">#REF!</definedName>
    <definedName name="SDMONG">#REF!</definedName>
    <definedName name="SDRAW">#REF!</definedName>
    <definedName name="SEDI">#REF!</definedName>
    <definedName name="SEQ">#REF!</definedName>
    <definedName name="SFORM">#REF!</definedName>
    <definedName name="sg">#N/A</definedName>
    <definedName name="sg1.">#N/A</definedName>
    <definedName name="sg2.">#N/A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IPPER" localSheetId="7">OFFSET('[9]Staff Data'!$C$4,0,0,COUNTA('[9]Staff Data'!$C:$C)-1,1)</definedName>
    <definedName name="SHIPPER">OFFSET('[9]Staff Data'!$C$4,0,0,COUNTA('[9]Staff Data'!$C:$C)-1,1)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ZE">#REF!</definedName>
    <definedName name="SJ00S">#REF!</definedName>
    <definedName name="sk">#REF!</definedName>
    <definedName name="SKBFAHUGHUR" hidden="1">#REF!</definedName>
    <definedName name="SL_CRD">#REF!</definedName>
    <definedName name="SL_CRS">#REF!</definedName>
    <definedName name="SL_CS">#REF!</definedName>
    <definedName name="SL_DD">#REF!</definedName>
    <definedName name="slg">#REF!</definedName>
    <definedName name="slk">#REF!</definedName>
    <definedName name="sll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[4]Ds!$F$5</definedName>
    <definedName name="snack">#REF!</definedName>
    <definedName name="SO">#REF!</definedName>
    <definedName name="soc3p">#REF!</definedName>
    <definedName name="socando">#REF!</definedName>
    <definedName name="Socialrate" localSheetId="5">"#REF!"</definedName>
    <definedName name="Socialrate">"#REF!"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s" hidden="1">{"'Sheet1'!$L$16"}</definedName>
    <definedName name="SSEPARAT">#REF!</definedName>
    <definedName name="SSRR">#N/A</definedName>
    <definedName name="sss" hidden="1">{"'Sheet1'!$L$16"}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epValue">0.000315629990474312</definedName>
    <definedName name="STRIM">#REF!</definedName>
    <definedName name="Stt">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[0]!BTRAM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dao">#REF!</definedName>
    <definedName name="TAI" hidden="1">{"'Sheet1'!$L$16"}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>#REF!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ck">#REF!</definedName>
    <definedName name="TenPhuong">[11]Data!$G$4:$G$11230</definedName>
    <definedName name="TenQuan">[11]Data!$D$4:$D$713</definedName>
    <definedName name="TenQuocGia">[12]Data!$J$4:$J$5</definedName>
    <definedName name="TenTinh">[11]Data!$B$4:$B$67</definedName>
    <definedName name="TG">#REF!</definedName>
    <definedName name="th">#REF!</definedName>
    <definedName name="TH4B">#N/A</definedName>
    <definedName name="TH4S">#N/A</definedName>
    <definedName name="tha" hidden="1">{"'Sheet1'!$L$16"}</definedName>
    <definedName name="Thamchieu" localSheetId="3">#N/A</definedName>
    <definedName name="Thamchieu" localSheetId="7">#N/A</definedName>
    <definedName name="Thamchieu" localSheetId="0">'[16]Bang tham chieu'!$B$2:$D$9</definedName>
    <definedName name="Thamchieu">#N/A</definedName>
    <definedName name="thang">#REF!</definedName>
    <definedName name="ThanhPhan">'[8]Danh sach'!#REF!</definedName>
    <definedName name="thanhtien">#REF!</definedName>
    <definedName name="THCB">{"th152.xls"}</definedName>
    <definedName name="THDGia">#REF!</definedName>
    <definedName name="THDGia1">#REF!</definedName>
    <definedName name="THEME_CODE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'[17]THƯ VIỆN'!$C$10:$I$1844</definedName>
    <definedName name="THUDUC1">#REF!</definedName>
    <definedName name="THUDUC2">#REF!</definedName>
    <definedName name="thue">#REF!</definedName>
    <definedName name="Thuong">'[8]Danh sach'!#REF!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[3]!TM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thep">#REF!</definedName>
    <definedName name="tongthetich">#REF!</definedName>
    <definedName name="TOOL_AID">#REF!</definedName>
    <definedName name="TOP">#REF!</definedName>
    <definedName name="TORK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t">#REF!</definedName>
    <definedName name="trungthu">#REF!</definedName>
    <definedName name="ts">#REF!</definedName>
    <definedName name="tsI">#REF!</definedName>
    <definedName name="TT" hidden="1">{"'Sheet1'!$L$16"}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u...Mèc_trang_trÛ">#N/A</definedName>
    <definedName name="uhe" hidden="1">{"'Sheet1'!$L$16"}</definedName>
    <definedName name="UIII" hidden="1">{"'Sheet1'!$L$16"}</definedName>
    <definedName name="Unit_FLGHT_CST">#REF!</definedName>
    <definedName name="UNIT_FWDG_CST">#REF!</definedName>
    <definedName name="unitt">BlankMacro1</definedName>
    <definedName name="UnPKG_CST">#REF!</definedName>
    <definedName name="USD">#REF!</definedName>
    <definedName name="ut">BlankMacro1</definedName>
    <definedName name="UTILITY_SPECIFICATION">#N/A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>#REF!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dxgcffch">!#REF!</definedName>
    <definedName name="VGFBGFNHGF">[18]!_a1O,[18]!_a2O,[18]!_a3O</definedName>
    <definedName name="Viet" hidden="1">{"'Sheet1'!$L$16"}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u" localSheetId="5">"#REF!"</definedName>
    <definedName name="vu">"#REF!"</definedName>
    <definedName name="VÙ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L">#REF!</definedName>
    <definedName name="vungxuatk">#REF!</definedName>
    <definedName name="vungxuatl">#REF!</definedName>
    <definedName name="VV">#REF!</definedName>
    <definedName name="vvx">!#REF!</definedName>
    <definedName name="vx" hidden="1">{"'Sheet1'!$L$16"}</definedName>
    <definedName name="vxdgdxgdg">!#REF!</definedName>
    <definedName name="Vxl">#REF!</definedName>
    <definedName name="Vxl_Vtb">#REF!</definedName>
    <definedName name="vxvxv">!#REF!</definedName>
    <definedName name="V행">#REF!</definedName>
    <definedName name="W">#REF!</definedName>
    <definedName name="WEFWEFREW">#N/A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orkingdays" localSheetId="5">"#REF!"</definedName>
    <definedName name="workingdays">"#REF!"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UTRAMDZ22">#REF!</definedName>
    <definedName name="XDDZ22">#REF!</definedName>
    <definedName name="XDGHDZ22">#REF!</definedName>
    <definedName name="XDHDZ22">#REF!</definedName>
    <definedName name="xdra">#N/A</definedName>
    <definedName name="XDTDZ22">#REF!</definedName>
    <definedName name="Xeploai">'[8]Danh sach'!#REF!</definedName>
    <definedName name="XET" localSheetId="3">[19]Payroll!#REF!</definedName>
    <definedName name="XET" localSheetId="7">Incentive!#REF!</definedName>
    <definedName name="XET" localSheetId="0">'Template Payroll'!#REF!</definedName>
    <definedName name="XET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 localSheetId="7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ZĐ">!#REF!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{#N/A,#N/A,FALSE,"기초2"}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 hidden="1">{#N/A,#N/A,FALSE,"기초1"}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[3]!전장DOM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366" l="1"/>
  <c r="F9" i="366" s="1"/>
  <c r="E8" i="366"/>
  <c r="F8" i="366" s="1"/>
  <c r="D4" i="440" l="1"/>
  <c r="D5" i="440"/>
  <c r="D6" i="440"/>
  <c r="D7" i="440"/>
  <c r="D8" i="440"/>
  <c r="D9" i="440"/>
  <c r="D10" i="440"/>
  <c r="D3" i="440"/>
  <c r="R9" i="440" l="1"/>
  <c r="O9" i="440"/>
  <c r="L9" i="440"/>
  <c r="P9" i="440"/>
  <c r="M9" i="440"/>
  <c r="N9" i="440"/>
  <c r="K9" i="440"/>
  <c r="P8" i="440"/>
  <c r="M8" i="440"/>
  <c r="O8" i="440"/>
  <c r="R8" i="440"/>
  <c r="N8" i="440"/>
  <c r="K8" i="440"/>
  <c r="L8" i="440"/>
  <c r="O3" i="440"/>
  <c r="L3" i="440"/>
  <c r="P3" i="440"/>
  <c r="M3" i="440"/>
  <c r="N3" i="440"/>
  <c r="K3" i="440"/>
  <c r="P7" i="440"/>
  <c r="M7" i="440"/>
  <c r="R7" i="440"/>
  <c r="N7" i="440"/>
  <c r="K7" i="440"/>
  <c r="O7" i="440"/>
  <c r="L7" i="440"/>
  <c r="N5" i="440"/>
  <c r="K5" i="440"/>
  <c r="O5" i="440"/>
  <c r="L5" i="440"/>
  <c r="P5" i="440"/>
  <c r="M5" i="440"/>
  <c r="R5" i="440"/>
  <c r="R10" i="440"/>
  <c r="O10" i="440"/>
  <c r="P10" i="440"/>
  <c r="M10" i="440"/>
  <c r="N10" i="440"/>
  <c r="K10" i="440"/>
  <c r="L10" i="440"/>
  <c r="M6" i="440"/>
  <c r="N6" i="440"/>
  <c r="K6" i="440"/>
  <c r="O6" i="440"/>
  <c r="L6" i="440"/>
  <c r="P6" i="440"/>
  <c r="R6" i="440"/>
  <c r="M4" i="440"/>
  <c r="N4" i="440"/>
  <c r="K4" i="440"/>
  <c r="O4" i="440"/>
  <c r="L4" i="440"/>
  <c r="R4" i="440"/>
  <c r="P4" i="440"/>
  <c r="BN7" i="439"/>
  <c r="BN8" i="439"/>
  <c r="BN9" i="439"/>
  <c r="BN10" i="439"/>
  <c r="BN11" i="439"/>
  <c r="BN12" i="439"/>
  <c r="BN13" i="439"/>
  <c r="BN6" i="439"/>
  <c r="AH7" i="439"/>
  <c r="AH11" i="439"/>
  <c r="AH12" i="439"/>
  <c r="AH13" i="439"/>
  <c r="AG7" i="439"/>
  <c r="AG8" i="439"/>
  <c r="AG9" i="439"/>
  <c r="AG10" i="439"/>
  <c r="AG6" i="439"/>
  <c r="Q5" i="440" l="1"/>
  <c r="S5" i="440" s="1"/>
  <c r="Q6" i="440"/>
  <c r="S6" i="440" s="1"/>
  <c r="Q3" i="440"/>
  <c r="Q9" i="440"/>
  <c r="S9" i="440" s="1"/>
  <c r="Q10" i="440"/>
  <c r="S10" i="440" s="1"/>
  <c r="Q4" i="440"/>
  <c r="S4" i="440" s="1"/>
  <c r="Q7" i="440"/>
  <c r="S7" i="440" s="1"/>
  <c r="Q8" i="440"/>
  <c r="S8" i="440" s="1"/>
  <c r="N7" i="439"/>
  <c r="N8" i="439"/>
  <c r="N9" i="439"/>
  <c r="N10" i="439"/>
  <c r="N11" i="439"/>
  <c r="N12" i="439"/>
  <c r="N13" i="439"/>
  <c r="N6" i="439"/>
  <c r="CG5" i="439" l="1"/>
  <c r="BB25" i="439" s="1"/>
  <c r="CH5" i="439"/>
  <c r="BD25" i="439"/>
  <c r="AN7" i="439" l="1"/>
  <c r="AN8" i="439"/>
  <c r="AN9" i="439"/>
  <c r="AN10" i="439"/>
  <c r="AN11" i="439"/>
  <c r="AN12" i="439"/>
  <c r="AN6" i="439"/>
  <c r="D3" i="5" l="1"/>
  <c r="F3" i="5" s="1"/>
  <c r="AB7" i="439" s="1"/>
  <c r="D4" i="5"/>
  <c r="F4" i="5" s="1"/>
  <c r="AB8" i="439" s="1"/>
  <c r="D5" i="5"/>
  <c r="F5" i="5" s="1"/>
  <c r="AB9" i="439" s="1"/>
  <c r="D6" i="5"/>
  <c r="F6" i="5" s="1"/>
  <c r="D7" i="5"/>
  <c r="F7" i="5" s="1"/>
  <c r="D8" i="5"/>
  <c r="F8" i="5" s="1"/>
  <c r="D9" i="5"/>
  <c r="F9" i="5" s="1"/>
  <c r="D2" i="5"/>
  <c r="F4" i="430"/>
  <c r="F5" i="430"/>
  <c r="I5" i="430" s="1"/>
  <c r="F6" i="430"/>
  <c r="I6" i="430" s="1"/>
  <c r="F7" i="430"/>
  <c r="I7" i="430" s="1"/>
  <c r="F8" i="430"/>
  <c r="I8" i="430" s="1"/>
  <c r="F9" i="430"/>
  <c r="I9" i="430" s="1"/>
  <c r="F10" i="430"/>
  <c r="I10" i="430" s="1"/>
  <c r="F3" i="430"/>
  <c r="E7" i="430"/>
  <c r="H7" i="430" s="1"/>
  <c r="E9" i="430"/>
  <c r="H9" i="430" s="1"/>
  <c r="E10" i="430"/>
  <c r="H10" i="430" s="1"/>
  <c r="P7" i="439"/>
  <c r="P8" i="439"/>
  <c r="P9" i="439"/>
  <c r="P11" i="439"/>
  <c r="P6" i="439"/>
  <c r="G10" i="430"/>
  <c r="J10" i="430" s="1"/>
  <c r="G9" i="430"/>
  <c r="J9" i="430" s="1"/>
  <c r="G8" i="430"/>
  <c r="J8" i="430" s="1"/>
  <c r="E8" i="430"/>
  <c r="H8" i="430" s="1"/>
  <c r="G7" i="430"/>
  <c r="J7" i="430" s="1"/>
  <c r="G6" i="430"/>
  <c r="J6" i="430" s="1"/>
  <c r="E6" i="430"/>
  <c r="H6" i="430" s="1"/>
  <c r="G5" i="430"/>
  <c r="J5" i="430" s="1"/>
  <c r="E5" i="430"/>
  <c r="H5" i="430" s="1"/>
  <c r="L6" i="439"/>
  <c r="L7" i="439"/>
  <c r="L9" i="439"/>
  <c r="L10" i="439"/>
  <c r="L11" i="439"/>
  <c r="L12" i="439"/>
  <c r="L8" i="439"/>
  <c r="L13" i="439"/>
  <c r="BL13" i="439"/>
  <c r="BK13" i="439"/>
  <c r="BJ13" i="439"/>
  <c r="AY13" i="439"/>
  <c r="AX13" i="439"/>
  <c r="AU13" i="439"/>
  <c r="AP13" i="439"/>
  <c r="AN13" i="439"/>
  <c r="AM13" i="439"/>
  <c r="AF13" i="439"/>
  <c r="BL8" i="439"/>
  <c r="BK8" i="439"/>
  <c r="AP8" i="439"/>
  <c r="AM8" i="439"/>
  <c r="AF8" i="439"/>
  <c r="BL12" i="439"/>
  <c r="BK12" i="439"/>
  <c r="AP12" i="439"/>
  <c r="AM12" i="439"/>
  <c r="AF12" i="439"/>
  <c r="BL11" i="439"/>
  <c r="BK11" i="439"/>
  <c r="AP11" i="439"/>
  <c r="AM11" i="439"/>
  <c r="AF11" i="439"/>
  <c r="BL10" i="439"/>
  <c r="BK10" i="439"/>
  <c r="BJ10" i="439"/>
  <c r="AY10" i="439"/>
  <c r="AX10" i="439"/>
  <c r="AU10" i="439"/>
  <c r="AP10" i="439"/>
  <c r="AM10" i="439"/>
  <c r="AF10" i="439"/>
  <c r="BL9" i="439"/>
  <c r="BK9" i="439"/>
  <c r="BJ9" i="439"/>
  <c r="AP9" i="439"/>
  <c r="AM9" i="439"/>
  <c r="AF9" i="439"/>
  <c r="BL7" i="439"/>
  <c r="BK7" i="439"/>
  <c r="AP7" i="439"/>
  <c r="AM7" i="439"/>
  <c r="AF7" i="439"/>
  <c r="AF6" i="439"/>
  <c r="AH6" i="439"/>
  <c r="AM6" i="439"/>
  <c r="AP6" i="439"/>
  <c r="BK6" i="439"/>
  <c r="BL6" i="439"/>
  <c r="H9" i="5" l="1"/>
  <c r="AB13" i="439"/>
  <c r="H8" i="5"/>
  <c r="AB12" i="439"/>
  <c r="H7" i="5"/>
  <c r="AB11" i="439"/>
  <c r="H6" i="5"/>
  <c r="AB10" i="439"/>
  <c r="H5" i="5"/>
  <c r="H4" i="5"/>
  <c r="H3" i="5"/>
  <c r="M9" i="340"/>
  <c r="O9" i="340" s="1"/>
  <c r="O11" i="439" s="1"/>
  <c r="Q11" i="439" s="1"/>
  <c r="R11" i="439" s="1"/>
  <c r="M10" i="340"/>
  <c r="O10" i="340" s="1"/>
  <c r="O12" i="439" s="1"/>
  <c r="Q12" i="439" s="1"/>
  <c r="M7" i="340"/>
  <c r="O7" i="340" s="1"/>
  <c r="O9" i="439" s="1"/>
  <c r="T9" i="439" s="1"/>
  <c r="M11" i="340"/>
  <c r="O11" i="340" s="1"/>
  <c r="O13" i="439" s="1"/>
  <c r="Q13" i="439" s="1"/>
  <c r="M6" i="340"/>
  <c r="O6" i="340" s="1"/>
  <c r="M8" i="340"/>
  <c r="O8" i="340" s="1"/>
  <c r="O10" i="439" s="1"/>
  <c r="Q10" i="439" s="1"/>
  <c r="S11" i="439"/>
  <c r="S9" i="439"/>
  <c r="BQ13" i="439"/>
  <c r="P12" i="439"/>
  <c r="BQ10" i="439"/>
  <c r="S12" i="439"/>
  <c r="S7" i="439"/>
  <c r="S8" i="439"/>
  <c r="S6" i="439"/>
  <c r="G4" i="5" l="1"/>
  <c r="AL8" i="439"/>
  <c r="G5" i="5"/>
  <c r="AL9" i="439"/>
  <c r="G7" i="5"/>
  <c r="AL11" i="439"/>
  <c r="G8" i="5"/>
  <c r="AL12" i="439"/>
  <c r="G3" i="5"/>
  <c r="AL7" i="439"/>
  <c r="G6" i="5"/>
  <c r="AL10" i="439"/>
  <c r="G9" i="5"/>
  <c r="AL13" i="439"/>
  <c r="T10" i="439"/>
  <c r="U9" i="439"/>
  <c r="T12" i="439"/>
  <c r="U12" i="439" s="1"/>
  <c r="E4" i="366"/>
  <c r="O8" i="439"/>
  <c r="Q9" i="439"/>
  <c r="R9" i="439" s="1"/>
  <c r="T11" i="439"/>
  <c r="U11" i="439" s="1"/>
  <c r="T13" i="439"/>
  <c r="R12" i="439"/>
  <c r="Q8" i="439" l="1"/>
  <c r="R8" i="439" s="1"/>
  <c r="T8" i="439"/>
  <c r="U8" i="439" s="1"/>
  <c r="G4" i="430" l="1"/>
  <c r="R3" i="440" l="1"/>
  <c r="AA6" i="439" l="1"/>
  <c r="S3" i="440" l="1"/>
  <c r="AK6" i="439" s="1"/>
  <c r="G3" i="430" l="1"/>
  <c r="E3" i="430"/>
  <c r="E4" i="430"/>
  <c r="BG9" i="439" l="1"/>
  <c r="BG6" i="439"/>
  <c r="BG7" i="439"/>
  <c r="BG11" i="439"/>
  <c r="BG13" i="439"/>
  <c r="BG10" i="439"/>
  <c r="BG12" i="439"/>
  <c r="BG8" i="439"/>
  <c r="BF9" i="439"/>
  <c r="BF6" i="439"/>
  <c r="BF10" i="439"/>
  <c r="BF11" i="439"/>
  <c r="BF7" i="439"/>
  <c r="BF13" i="439"/>
  <c r="BF12" i="439"/>
  <c r="BF8" i="439"/>
  <c r="AQ10" i="439" l="1"/>
  <c r="BB10" i="439"/>
  <c r="BA10" i="439"/>
  <c r="AR10" i="439"/>
  <c r="BC7" i="439"/>
  <c r="BD7" i="439"/>
  <c r="AS7" i="439"/>
  <c r="AQ9" i="439"/>
  <c r="AR9" i="439"/>
  <c r="BA9" i="439"/>
  <c r="BB9" i="439"/>
  <c r="BD12" i="439"/>
  <c r="AS12" i="439"/>
  <c r="BC12" i="439"/>
  <c r="AS13" i="439"/>
  <c r="BD13" i="439"/>
  <c r="BC13" i="439"/>
  <c r="AS6" i="439"/>
  <c r="BD6" i="439"/>
  <c r="BC6" i="439"/>
  <c r="BJ11" i="439"/>
  <c r="BA11" i="439"/>
  <c r="AQ11" i="439"/>
  <c r="AR11" i="439"/>
  <c r="BB11" i="439"/>
  <c r="BJ6" i="439"/>
  <c r="BB6" i="439"/>
  <c r="AQ6" i="439"/>
  <c r="BA6" i="439"/>
  <c r="AR6" i="439"/>
  <c r="AS8" i="439"/>
  <c r="BD8" i="439"/>
  <c r="BC8" i="439"/>
  <c r="AS10" i="439"/>
  <c r="AT10" i="439" s="1"/>
  <c r="BD10" i="439"/>
  <c r="BC10" i="439"/>
  <c r="BA8" i="439"/>
  <c r="BJ8" i="439"/>
  <c r="AQ8" i="439"/>
  <c r="AR8" i="439"/>
  <c r="BB8" i="439"/>
  <c r="BD11" i="439"/>
  <c r="BC11" i="439"/>
  <c r="AS11" i="439"/>
  <c r="AR12" i="439"/>
  <c r="BJ12" i="439"/>
  <c r="AQ12" i="439"/>
  <c r="BA12" i="439"/>
  <c r="BB12" i="439"/>
  <c r="BB13" i="439"/>
  <c r="BA13" i="439"/>
  <c r="AQ13" i="439"/>
  <c r="AR13" i="439"/>
  <c r="BB7" i="439"/>
  <c r="AR7" i="439"/>
  <c r="AQ7" i="439"/>
  <c r="BJ7" i="439"/>
  <c r="BA7" i="439"/>
  <c r="BD9" i="439"/>
  <c r="BC9" i="439"/>
  <c r="AS9" i="439"/>
  <c r="AT8" i="439" l="1"/>
  <c r="BE12" i="439"/>
  <c r="AT11" i="439"/>
  <c r="BE7" i="439"/>
  <c r="BE11" i="439"/>
  <c r="AT13" i="439"/>
  <c r="AT7" i="439"/>
  <c r="AT6" i="439"/>
  <c r="BE10" i="439"/>
  <c r="BE13" i="439"/>
  <c r="BE9" i="439"/>
  <c r="BE6" i="439"/>
  <c r="AT9" i="439"/>
  <c r="BE8" i="439"/>
  <c r="AT12" i="439"/>
  <c r="G5" i="348" l="1"/>
  <c r="G4" i="348"/>
  <c r="G3" i="348"/>
  <c r="G2" i="348"/>
  <c r="E27" i="366"/>
  <c r="A26" i="366"/>
  <c r="G25" i="366"/>
  <c r="H25" i="366" s="1"/>
  <c r="D25" i="366"/>
  <c r="F25" i="366" s="1"/>
  <c r="C25" i="366"/>
  <c r="A25" i="366"/>
  <c r="G24" i="366"/>
  <c r="H24" i="366" s="1"/>
  <c r="D24" i="366"/>
  <c r="F24" i="366" s="1"/>
  <c r="C24" i="366"/>
  <c r="A24" i="366"/>
  <c r="G23" i="366"/>
  <c r="H23" i="366" s="1"/>
  <c r="D23" i="366"/>
  <c r="F23" i="366" s="1"/>
  <c r="C23" i="366"/>
  <c r="A23" i="366"/>
  <c r="G22" i="366"/>
  <c r="H22" i="366" s="1"/>
  <c r="D22" i="366"/>
  <c r="F22" i="366" s="1"/>
  <c r="C22" i="366"/>
  <c r="A22" i="366"/>
  <c r="A9" i="366"/>
  <c r="F5" i="366"/>
  <c r="G4" i="347"/>
  <c r="AG13" i="439" s="1"/>
  <c r="K4" i="347"/>
  <c r="K3" i="347"/>
  <c r="K2" i="347"/>
  <c r="F10" i="328"/>
  <c r="F9" i="328"/>
  <c r="F8" i="328"/>
  <c r="F7" i="328"/>
  <c r="F6" i="328"/>
  <c r="S5" i="328"/>
  <c r="A5" i="340"/>
  <c r="A6" i="340" s="1"/>
  <c r="A7" i="340" s="1"/>
  <c r="A8" i="340" s="1"/>
  <c r="A9" i="340" s="1"/>
  <c r="A10" i="340" s="1"/>
  <c r="A11" i="340" s="1"/>
  <c r="J4" i="430"/>
  <c r="I4" i="430"/>
  <c r="H4" i="430"/>
  <c r="J3" i="430"/>
  <c r="I3" i="430"/>
  <c r="H3" i="430"/>
  <c r="K3" i="430" l="1"/>
  <c r="L4" i="347"/>
  <c r="G3" i="347"/>
  <c r="AG12" i="439" s="1"/>
  <c r="G2" i="347"/>
  <c r="AH10" i="439"/>
  <c r="K4" i="430"/>
  <c r="Y7" i="439" s="1"/>
  <c r="M4" i="340"/>
  <c r="M5" i="340"/>
  <c r="O5" i="340" s="1"/>
  <c r="O7" i="439" s="1"/>
  <c r="F27" i="366"/>
  <c r="AG11" i="439" l="1"/>
  <c r="Y6" i="439"/>
  <c r="AU6" i="439" s="1"/>
  <c r="BQ6" i="439" s="1"/>
  <c r="O4" i="340"/>
  <c r="O6" i="439" s="1"/>
  <c r="Q7" i="439"/>
  <c r="R7" i="439" s="1"/>
  <c r="T7" i="439"/>
  <c r="U7" i="439" s="1"/>
  <c r="Z6" i="439"/>
  <c r="F4" i="366"/>
  <c r="AH8" i="439" s="1"/>
  <c r="L2" i="347"/>
  <c r="L3" i="347"/>
  <c r="Q6" i="439" l="1"/>
  <c r="R6" i="439" s="1"/>
  <c r="T6" i="439"/>
  <c r="U6" i="439" s="1"/>
  <c r="AH9" i="439"/>
  <c r="F2" i="5"/>
  <c r="AB6" i="439" s="1"/>
  <c r="H2" i="5" l="1"/>
  <c r="AL6" i="439" s="1"/>
  <c r="G2" i="5" l="1"/>
  <c r="P13" i="439" l="1"/>
  <c r="R13" i="439" s="1"/>
  <c r="S13" i="439"/>
  <c r="U13" i="439" s="1"/>
  <c r="P10" i="439"/>
  <c r="R10" i="439" s="1"/>
  <c r="S10" i="439"/>
  <c r="U10" i="439" s="1"/>
  <c r="AU7" i="439" l="1"/>
  <c r="BQ7" i="439" s="1"/>
  <c r="Z7" i="439"/>
  <c r="K9" i="430" l="1"/>
  <c r="Y12" i="439" s="1"/>
  <c r="K8" i="430"/>
  <c r="Y11" i="439" s="1"/>
  <c r="K10" i="430"/>
  <c r="Y13" i="439" s="1"/>
  <c r="Z13" i="439" s="1"/>
  <c r="K7" i="430"/>
  <c r="Y10" i="439" s="1"/>
  <c r="Z10" i="439" s="1"/>
  <c r="K6" i="430"/>
  <c r="Y9" i="439" s="1"/>
  <c r="K5" i="430"/>
  <c r="Y8" i="439" s="1"/>
  <c r="AU9" i="439" l="1"/>
  <c r="BQ9" i="439" s="1"/>
  <c r="Z9" i="439"/>
  <c r="AU8" i="439"/>
  <c r="BQ8" i="439" s="1"/>
  <c r="Z8" i="439"/>
  <c r="AU11" i="439"/>
  <c r="BQ11" i="439" s="1"/>
  <c r="Z11" i="439"/>
  <c r="Z12" i="439"/>
  <c r="AU12" i="439"/>
  <c r="BQ12" i="439" s="1"/>
  <c r="AJ6" i="439"/>
  <c r="AV6" i="439" s="1"/>
  <c r="AW6" i="439" s="1"/>
  <c r="AX6" i="439" l="1"/>
  <c r="AY6" i="439"/>
  <c r="AZ6" i="439" l="1"/>
  <c r="BM6" i="439" s="1"/>
  <c r="BR6" i="439" l="1"/>
  <c r="AK10" i="439" l="1"/>
  <c r="AK7" i="439"/>
  <c r="AA8" i="439"/>
  <c r="AJ8" i="439" s="1"/>
  <c r="AA7" i="439"/>
  <c r="AJ7" i="439" s="1"/>
  <c r="AK13" i="439"/>
  <c r="AA13" i="439"/>
  <c r="AJ13" i="439" s="1"/>
  <c r="AK11" i="439"/>
  <c r="AK9" i="439"/>
  <c r="AA9" i="439"/>
  <c r="AJ9" i="439" s="1"/>
  <c r="AK8" i="439"/>
  <c r="AK12" i="439"/>
  <c r="AA12" i="439"/>
  <c r="AJ12" i="439" s="1"/>
  <c r="AA11" i="439"/>
  <c r="AJ11" i="439" s="1"/>
  <c r="AV9" i="439" l="1"/>
  <c r="AW9" i="439"/>
  <c r="AX9" i="439" s="1"/>
  <c r="AV12" i="439"/>
  <c r="AW12" i="439" s="1"/>
  <c r="AY12" i="439" s="1"/>
  <c r="AV13" i="439"/>
  <c r="AW13" i="439" s="1"/>
  <c r="AZ13" i="439" s="1"/>
  <c r="BR13" i="439" s="1"/>
  <c r="AV8" i="439"/>
  <c r="AW8" i="439" s="1"/>
  <c r="AV11" i="439"/>
  <c r="AW11" i="439" s="1"/>
  <c r="AV7" i="439"/>
  <c r="AW7" i="439" s="1"/>
  <c r="AA10" i="439"/>
  <c r="AJ10" i="439" s="1"/>
  <c r="AX12" i="439" l="1"/>
  <c r="AZ12" i="439" s="1"/>
  <c r="BM12" i="439" s="1"/>
  <c r="AY9" i="439"/>
  <c r="AZ9" i="439" s="1"/>
  <c r="AV10" i="439"/>
  <c r="AW10" i="439" s="1"/>
  <c r="AZ10" i="439" s="1"/>
  <c r="BR10" i="439" s="1"/>
  <c r="AX11" i="439"/>
  <c r="AY11" i="439"/>
  <c r="AY8" i="439"/>
  <c r="AX8" i="439"/>
  <c r="AY7" i="439"/>
  <c r="AX7" i="439"/>
  <c r="BM13" i="439"/>
  <c r="AZ8" i="439" l="1"/>
  <c r="BR12" i="439"/>
  <c r="BM9" i="439"/>
  <c r="BR9" i="439"/>
  <c r="AZ11" i="439"/>
  <c r="BR11" i="439" s="1"/>
  <c r="AZ7" i="439"/>
  <c r="BR7" i="439" s="1"/>
  <c r="BR8" i="439"/>
  <c r="BM8" i="439"/>
  <c r="BM10" i="439"/>
  <c r="BM11" i="439" l="1"/>
  <c r="BM7" i="43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duyen</author>
  </authors>
  <commentList>
    <comment ref="BT4" authorId="0" shapeId="0" xr:uid="{40AD2205-CFB7-4C2E-86E8-CD001C7B73FE}">
      <text>
        <r>
          <rPr>
            <b/>
            <sz val="9"/>
            <color rgb="FF000000"/>
            <rFont val="Tahoma"/>
            <family val="2"/>
          </rPr>
          <t>duyen: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0: lũy tiến
</t>
        </r>
        <r>
          <rPr>
            <sz val="9"/>
            <color rgb="FF000000"/>
            <rFont val="Tahoma"/>
            <family val="2"/>
          </rPr>
          <t>1: toàn phần</t>
        </r>
      </text>
    </comment>
  </commentList>
</comments>
</file>

<file path=xl/sharedStrings.xml><?xml version="1.0" encoding="utf-8"?>
<sst xmlns="http://schemas.openxmlformats.org/spreadsheetml/2006/main" count="411" uniqueCount="239">
  <si>
    <t>DATE:</t>
  </si>
  <si>
    <t>Qty.</t>
  </si>
  <si>
    <t>Tax rate</t>
  </si>
  <si>
    <t>Min Tax</t>
  </si>
  <si>
    <t>Net salary</t>
  </si>
  <si>
    <t>Total Reduction</t>
  </si>
  <si>
    <t>Total  obligation of employee</t>
  </si>
  <si>
    <t>Email</t>
  </si>
  <si>
    <t>No.</t>
  </si>
  <si>
    <t>Emp.Code</t>
  </si>
  <si>
    <t>Full Name</t>
  </si>
  <si>
    <t>Division</t>
  </si>
  <si>
    <t>Dept.</t>
  </si>
  <si>
    <t>Position</t>
  </si>
  <si>
    <t>Responsibility Allows</t>
  </si>
  <si>
    <t>Transportation Allows</t>
  </si>
  <si>
    <t>Mob Allows</t>
  </si>
  <si>
    <t>Meal Allows</t>
  </si>
  <si>
    <t>Overtime</t>
  </si>
  <si>
    <t>Manager</t>
  </si>
  <si>
    <t>Security</t>
  </si>
  <si>
    <t>Assistant</t>
  </si>
  <si>
    <t>Staff</t>
  </si>
  <si>
    <t>No</t>
  </si>
  <si>
    <t>Overtime taxable</t>
  </si>
  <si>
    <t>OT.Untaxable</t>
  </si>
  <si>
    <t>Emp. Code</t>
  </si>
  <si>
    <t>Full name</t>
  </si>
  <si>
    <t>Department</t>
  </si>
  <si>
    <t>Holiday</t>
  </si>
  <si>
    <t>Name</t>
  </si>
  <si>
    <t xml:space="preserve">Total hour night shift </t>
  </si>
  <si>
    <t>Dept</t>
  </si>
  <si>
    <t>ML</t>
  </si>
  <si>
    <t>CL</t>
  </si>
  <si>
    <t>1/2CL</t>
  </si>
  <si>
    <t>X</t>
  </si>
  <si>
    <t>OFF</t>
  </si>
  <si>
    <t>Tổng ngày Off</t>
  </si>
  <si>
    <t>Total days/month</t>
  </si>
  <si>
    <t>Compensation</t>
  </si>
  <si>
    <t>OT
Sunday</t>
  </si>
  <si>
    <t>OT
Holiday</t>
  </si>
  <si>
    <t>Bộ Phận</t>
  </si>
  <si>
    <t>REMARK</t>
  </si>
  <si>
    <t xml:space="preserve">Joining date
</t>
  </si>
  <si>
    <t>Self-
deduction</t>
  </si>
  <si>
    <t xml:space="preserve">Total
payment
(VND)
</t>
  </si>
  <si>
    <t>Nghỉ việc</t>
  </si>
  <si>
    <t>PP. Center</t>
  </si>
  <si>
    <t>Joinging date</t>
  </si>
  <si>
    <t xml:space="preserve">Incentive 
</t>
  </si>
  <si>
    <t>Total</t>
  </si>
  <si>
    <t>Bill</t>
  </si>
  <si>
    <t>Cashier incentive</t>
  </si>
  <si>
    <t>AL</t>
  </si>
  <si>
    <t>SL1</t>
  </si>
  <si>
    <t>UP</t>
  </si>
  <si>
    <t>Cashier</t>
  </si>
  <si>
    <t>CC</t>
  </si>
  <si>
    <t>FP</t>
  </si>
  <si>
    <t>Maternity leave / Nghỉ thai sản</t>
  </si>
  <si>
    <t>Children care leave / Nghỉ con ốm/ vợ sinh (hưởng BHXH)</t>
  </si>
  <si>
    <t>LL</t>
  </si>
  <si>
    <t>Lactation leave/ Về sớm/đi trễ 1 tiếng/nghỉ 1 ngày sau 7 ngày làm việc</t>
  </si>
  <si>
    <t>SL2</t>
  </si>
  <si>
    <t>Sabbatical leave /Nghỉ để đi học/nâng cao kiến thức, đi công tác</t>
  </si>
  <si>
    <t>Code</t>
  </si>
  <si>
    <t>Sub. Dept</t>
  </si>
  <si>
    <t>Job Title</t>
  </si>
  <si>
    <t>Cashier Staff</t>
  </si>
  <si>
    <t>PP.Shipper</t>
  </si>
  <si>
    <t>Thâm niên CASHIER bổ sung</t>
  </si>
  <si>
    <t>1/2AL</t>
  </si>
  <si>
    <t>Security Staff</t>
  </si>
  <si>
    <t>Gross</t>
  </si>
  <si>
    <t>ALs</t>
  </si>
  <si>
    <t xml:space="preserve">Thâm niên CASHIER </t>
  </si>
  <si>
    <t>24/10/2022</t>
  </si>
  <si>
    <t>12/10/2016</t>
  </si>
  <si>
    <t>19/12/2022</t>
  </si>
  <si>
    <t>22/06/2022</t>
  </si>
  <si>
    <t xml:space="preserve">2. Thâm niên CASHIER </t>
  </si>
  <si>
    <t>1/2UP</t>
  </si>
  <si>
    <t>HL</t>
  </si>
  <si>
    <t>Nghĩ Lễ, Tết</t>
  </si>
  <si>
    <t>Nghỉ 1 ngày OFFca hàng tuần</t>
  </si>
  <si>
    <t xml:space="preserve"> Annual Leave/ Nghỉ phép năm 01 ngày</t>
  </si>
  <si>
    <t>1/2 Annual Leave/ Nghỉ phép năm 1/2 ngày + Đi làm 1/2 ngày</t>
  </si>
  <si>
    <t>Full paid leave for personal affairs/Nghỉ việc riêng có hưởng lương 01 ngày (kết hôn, tang chế...)</t>
  </si>
  <si>
    <t>Unpaid leave/ Nghỉ việc riêng không hưởng lương 01 ngày</t>
  </si>
  <si>
    <t>1/2 Unpaid leave/ Nghỉ việc không hưởng lương 1/2 ngày + Đi làm 1/2 ngày</t>
  </si>
  <si>
    <t>Sick leave / Nghỉ bệnh (hưởng BHXH)</t>
  </si>
  <si>
    <t>Compensation leave ( in-lieu day-off)/ Nghỉ bù 1 ngày</t>
  </si>
  <si>
    <t xml:space="preserve"> 1/2 Compensation leave ( in-lieu day-off)/ Nghỉ bù 1/2 ngày + Đi làm 1/2 ngày</t>
  </si>
  <si>
    <t>Nghỉ hưởng lương
 (Nghỉ Phép/ Nghỉ Bù/ Nghỉ chế độ/ Nghỉ Lễ)</t>
  </si>
  <si>
    <t>Amount</t>
  </si>
  <si>
    <t>Shipper Staff</t>
  </si>
  <si>
    <t>27/07/2015</t>
  </si>
  <si>
    <t>Corporate Function Manager</t>
  </si>
  <si>
    <t>OT 
untaxable</t>
  </si>
  <si>
    <t>Obligation Health Insurance Employer</t>
  </si>
  <si>
    <t>Obligation Health Insurance Employee</t>
  </si>
  <si>
    <t>Trade Union
(Company)</t>
  </si>
  <si>
    <t>Trade Union
(Employee)</t>
  </si>
  <si>
    <t>PIT payable last year</t>
  </si>
  <si>
    <t xml:space="preserve">Government funds </t>
  </si>
  <si>
    <t>Job title</t>
  </si>
  <si>
    <t>Bonus</t>
  </si>
  <si>
    <t>AL Remain</t>
  </si>
  <si>
    <t>Rest of annual leave</t>
  </si>
  <si>
    <t>Incentives</t>
  </si>
  <si>
    <t>Store Manager - Emart Phan Van Tri</t>
  </si>
  <si>
    <t>QA Assistant</t>
  </si>
  <si>
    <t xml:space="preserve"> Total Actual All Allows</t>
  </si>
  <si>
    <t>3. Ngày phép/công bổ sung (AL payment)</t>
  </si>
  <si>
    <t>Income 
Salary</t>
  </si>
  <si>
    <t>Efficiency salary</t>
  </si>
  <si>
    <t xml:space="preserve">Working day current month
 </t>
  </si>
  <si>
    <t>Total 
Actual 
Basic Salary</t>
  </si>
  <si>
    <t>Working day
last month
 (21-25)</t>
  </si>
  <si>
    <t>Actual
 Basic Salary last month
 (21-25)</t>
  </si>
  <si>
    <t>Efficiency salary Advance
last month
 (21-25)</t>
  </si>
  <si>
    <t>Total 
Efficiency salary Advance</t>
  </si>
  <si>
    <t>Severance pay</t>
  </si>
  <si>
    <t xml:space="preserve">Total 
Gross Salary </t>
  </si>
  <si>
    <t>Night shift
untaxable</t>
  </si>
  <si>
    <t>Support Funeral Fund</t>
  </si>
  <si>
    <t>AMT</t>
  </si>
  <si>
    <t>Đi làm 01 ngày</t>
  </si>
  <si>
    <t>Quy định ký hiệu chấm công</t>
  </si>
  <si>
    <t>ID No</t>
  </si>
  <si>
    <t>Joning Date</t>
  </si>
  <si>
    <t>Basic 
Salary</t>
  </si>
  <si>
    <t>Standard working day</t>
  </si>
  <si>
    <t>Night shift</t>
  </si>
  <si>
    <t>Acting 
Allowance</t>
  </si>
  <si>
    <t>Other 
Allowance</t>
  </si>
  <si>
    <t>Severance pay untaxable</t>
  </si>
  <si>
    <t>Social Ins.
8%</t>
  </si>
  <si>
    <t>Health Ins.
1.5%</t>
  </si>
  <si>
    <t>Jobless Ins.
1%</t>
  </si>
  <si>
    <t>Total Ins.
Employees paid 10.5%</t>
  </si>
  <si>
    <t>Lunch
Max
(730,000đ)</t>
  </si>
  <si>
    <t>Taxable income</t>
  </si>
  <si>
    <t>Assessable income</t>
  </si>
  <si>
    <t>Monthly PIT
개인소득세</t>
  </si>
  <si>
    <t>Social Ins.
17%</t>
  </si>
  <si>
    <t>Health Ins.
3%</t>
  </si>
  <si>
    <t>Accident &amp; occupational disease
0.5%</t>
  </si>
  <si>
    <t>Total Ins. Employer paid
21.5%</t>
  </si>
  <si>
    <t>Insurance salary 
(SI &amp; HI)</t>
  </si>
  <si>
    <t>Insurance salary
(Jobless)</t>
  </si>
  <si>
    <t>Benefit TAX</t>
  </si>
  <si>
    <t>Store Management</t>
  </si>
  <si>
    <t>Cooperate Function</t>
  </si>
  <si>
    <t xml:space="preserve">Quality Assurance </t>
  </si>
  <si>
    <t>PVT2500113</t>
  </si>
  <si>
    <t>PVT2500114</t>
  </si>
  <si>
    <t>PVT2500115</t>
  </si>
  <si>
    <t>PVT2500116</t>
  </si>
  <si>
    <t>PVT2500117</t>
  </si>
  <si>
    <t>PVT - Store Manager</t>
  </si>
  <si>
    <t>PVT - Cooperate Function</t>
  </si>
  <si>
    <t xml:space="preserve">PVT - Quality Assurance </t>
  </si>
  <si>
    <t>PVT - Security</t>
  </si>
  <si>
    <t>PVT - Operation</t>
  </si>
  <si>
    <t>Phụ cấp điều phối</t>
  </si>
  <si>
    <t>Ngày công tính lương</t>
  </si>
  <si>
    <t xml:space="preserve">PVT - Cashier </t>
  </si>
  <si>
    <t>Actual 
Basic Salary current month</t>
  </si>
  <si>
    <t xml:space="preserve">Efficiency salary Advance current month </t>
  </si>
  <si>
    <t>Gift (10%)</t>
  </si>
  <si>
    <t>SLA2500111</t>
  </si>
  <si>
    <t>PHI2500112</t>
  </si>
  <si>
    <t>PVT2500118</t>
  </si>
  <si>
    <t>Income salary</t>
  </si>
  <si>
    <t xml:space="preserve">
Payment night shift 
 </t>
  </si>
  <si>
    <t xml:space="preserve">
Night shift taxable </t>
  </si>
  <si>
    <t xml:space="preserve">
Night shift untax  </t>
  </si>
  <si>
    <t xml:space="preserve">TEAMPLATE PAYROLL </t>
  </si>
  <si>
    <t>Nguyễn Thị Hà</t>
  </si>
  <si>
    <t>Phùng Mạnh Hà</t>
  </si>
  <si>
    <t>Nguyễn Đức Khánh</t>
  </si>
  <si>
    <t>Nguyễn Sơn Tùng</t>
  </si>
  <si>
    <t>Nguyễn Quang Cường</t>
  </si>
  <si>
    <t>Phạm Đức Kiên</t>
  </si>
  <si>
    <t>Nguyễn Văn Quân</t>
  </si>
  <si>
    <t>Ngô Văn Tuấn</t>
  </si>
  <si>
    <t>Join Date</t>
  </si>
  <si>
    <t>Dept/Div</t>
  </si>
  <si>
    <t>Actual work days (excl. Holidays)</t>
  </si>
  <si>
    <t>OT days ≥ 4 hours</t>
  </si>
  <si>
    <t>Work days on Holidays</t>
  </si>
  <si>
    <t>Amount for actual work days (excl. Holidays)</t>
  </si>
  <si>
    <t>Amount for OT days ≥ 4 hours</t>
  </si>
  <si>
    <t>Amount for work on Holidays</t>
  </si>
  <si>
    <t>Total Amount</t>
  </si>
  <si>
    <t>Notes</t>
  </si>
  <si>
    <t>Total OFF days</t>
  </si>
  <si>
    <t>Unpaid leave</t>
  </si>
  <si>
    <t>Actual working days</t>
  </si>
  <si>
    <t>Work adjustment</t>
  </si>
  <si>
    <t>Total paid workdays</t>
  </si>
  <si>
    <t>Total working days paid regular meals</t>
  </si>
  <si>
    <t>Total working days pay for meals during Tet holidays</t>
  </si>
  <si>
    <t>Total workdays pay for overtime meals</t>
  </si>
  <si>
    <t>Note</t>
  </si>
  <si>
    <t>Monthly bonus</t>
  </si>
  <si>
    <t>Birthday (Company)</t>
  </si>
  <si>
    <t>Seniority</t>
  </si>
  <si>
    <t>Total taxable benefits</t>
  </si>
  <si>
    <t>Paid Leave (Annual Leave / Compensatory Leave / Policy Leave / Public Holiday)</t>
  </si>
  <si>
    <t>Total Paid Leave Days</t>
  </si>
  <si>
    <t>Total Unpaid Leave Days</t>
  </si>
  <si>
    <t>Actual Working Days</t>
  </si>
  <si>
    <t>SALARY CALCULATION DAYS</t>
  </si>
  <si>
    <t>Hour_150</t>
  </si>
  <si>
    <t>Hour_215</t>
  </si>
  <si>
    <t>Hour_200</t>
  </si>
  <si>
    <t>Hour_280</t>
  </si>
  <si>
    <t>Hour_300</t>
  </si>
  <si>
    <t>Hour_410</t>
  </si>
  <si>
    <t>OTPay_150</t>
  </si>
  <si>
    <t>OTPay_215</t>
  </si>
  <si>
    <t>OTPay_200</t>
  </si>
  <si>
    <t>OTPay_280</t>
  </si>
  <si>
    <t>OTPay_300</t>
  </si>
  <si>
    <t>OTPay_410</t>
  </si>
  <si>
    <t>Admin Supervisor - Store Division</t>
  </si>
  <si>
    <t>HR Supervisor - Store Division</t>
  </si>
  <si>
    <t>HR Staff - Store Divison</t>
  </si>
  <si>
    <t>Treasury Staff</t>
  </si>
  <si>
    <t xml:space="preserve">Hr/Admin </t>
  </si>
  <si>
    <t>Participates in Social Insurance</t>
  </si>
  <si>
    <t>Subject to PIT</t>
  </si>
  <si>
    <t>Trade Union Participation</t>
  </si>
  <si>
    <t>Funeral Fund Participation</t>
  </si>
  <si>
    <t>Number of Funerals incurred in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</si>
</sst>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(* #,##0.00_);_(* \(#,##0.00\);_(* &quot;-&quot;??_);_(@_)"/>
    <numFmt numFmtId="164" formatCode="_-* #,##0.00\ _₫_-;\-* #,##0.00\ _₫_-;_-* &quot;-&quot;??\ _₫_-;_-@_-"/>
    <numFmt numFmtId="165" formatCode="_-* #,##0.00\ _₫_-;\-* #,##0.00\ _₫_-;_-* \-??\ _₫_-;_-@_-"/>
    <numFmt numFmtId="166" formatCode="_(* #,##0.00_);_(* \(#,##0.00\);_(* \-??_);_(@_)"/>
    <numFmt numFmtId="167" formatCode="_(* #,##0_);_(* \(#,##0\);_(* \-??_);_(@_)"/>
    <numFmt numFmtId="169" formatCode="0.0"/>
    <numFmt numFmtId="170" formatCode="_(* #,##0.0_);_(* \(#,##0.0\);_(* \-??_);_(@_)"/>
    <numFmt numFmtId="171" formatCode="_(* #,##0_);_(* \(#,##0\);_(* &quot;-&quot;??_);_(@_)"/>
    <numFmt numFmtId="172" formatCode="[$-409]mmmm\ d\,\ yyyy;@"/>
    <numFmt numFmtId="173" formatCode="_-* #,##0.0\ _₫_-;\-* #,##0.0\ _₫_-;_-* &quot;-&quot;??\ _₫_-;_-@_-"/>
    <numFmt numFmtId="174" formatCode="_(* #,##0.0_);_(* \(#,##0.0\);_(* &quot;-&quot;??_);_(@_)"/>
    <numFmt numFmtId="175" formatCode="_-* #,##0.00_-;\-* #,##0.00_-;_-* &quot;-&quot;??_-;_-@_-"/>
    <numFmt numFmtId="176" formatCode="[$-409]d\-mmm\-yy;@"/>
    <numFmt numFmtId="177" formatCode="_-* #,##0_-;\-* #,##0_-;_-* &quot;-&quot;??_-;_-@_-"/>
    <numFmt numFmtId="178" formatCode="&quot; &quot;#,##0.00&quot; &quot;;&quot; (&quot;#,##0.00&quot;)&quot;;&quot; -&quot;00&quot; &quot;;&quot; &quot;@&quot; &quot;"/>
    <numFmt numFmtId="179" formatCode="_(* #,##0_);_(* \(#,##0\);_(* &quot;-&quot;?_);_(@_)"/>
    <numFmt numFmtId="180" formatCode="[$-1010000]d/m/yyyy;@"/>
    <numFmt numFmtId="181" formatCode="&quot; &quot;#,##0&quot; &quot;;&quot; (&quot;#,##0&quot;)&quot;;&quot; -&quot;00&quot; &quot;;&quot; &quot;@&quot; &quot;"/>
    <numFmt numFmtId="182" formatCode="dd\/mm\/yyyy"/>
    <numFmt numFmtId="183" formatCode="&quot; &quot;#,##0.0&quot; &quot;;&quot; (&quot;#,##0.0&quot;)&quot;;&quot; -&quot;00.0&quot; &quot;;&quot; &quot;@&quot; &quot;"/>
    <numFmt numFmtId="184" formatCode="0.0%"/>
    <numFmt numFmtId="185" formatCode="&quot; &quot;#,##0&quot; &quot;;&quot;-&quot;#,##0&quot; &quot;;&quot; -&quot;00&quot; &quot;;&quot; &quot;@&quot; &quot;"/>
  </numFmts>
  <fonts count="314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angal"/>
      <family val="2"/>
    </font>
    <font>
      <b/>
      <sz val="11"/>
      <color indexed="8"/>
      <name val="Times New Roman"/>
      <family val="1"/>
      <charset val="1"/>
    </font>
    <font>
      <u/>
      <sz val="11"/>
      <color indexed="12"/>
      <name val="Calibri"/>
      <family val="3"/>
      <charset val="129"/>
    </font>
    <font>
      <sz val="11"/>
      <color indexed="8"/>
      <name val="Calibri"/>
      <family val="2"/>
      <charset val="1"/>
    </font>
    <font>
      <sz val="10"/>
      <name val="Arial"/>
      <family val="2"/>
      <charset val="1"/>
    </font>
    <font>
      <sz val="11"/>
      <color indexed="8"/>
      <name val="Calibri"/>
      <family val="2"/>
      <charset val="163"/>
    </font>
    <font>
      <sz val="11"/>
      <color indexed="8"/>
      <name val="Calibri"/>
      <family val="3"/>
      <charset val="129"/>
    </font>
    <font>
      <sz val="11"/>
      <color indexed="8"/>
      <name val="Tahoma"/>
      <family val="2"/>
      <charset val="1"/>
    </font>
    <font>
      <sz val="11"/>
      <color indexed="8"/>
      <name val="Tahoma"/>
      <family val="2"/>
      <charset val="163"/>
    </font>
    <font>
      <sz val="11"/>
      <name val="돋움"/>
      <family val="2"/>
      <charset val="129"/>
    </font>
    <font>
      <sz val="11"/>
      <name val="돋움"/>
      <family val="3"/>
      <charset val="129"/>
    </font>
    <font>
      <sz val="11"/>
      <color indexed="8"/>
      <name val="Times New Roman"/>
      <family val="1"/>
      <charset val="1"/>
    </font>
    <font>
      <sz val="11"/>
      <color indexed="9"/>
      <name val="Calibri"/>
      <family val="2"/>
      <charset val="1"/>
    </font>
    <font>
      <sz val="10"/>
      <color indexed="8"/>
      <name val="Times New Roman"/>
      <family val="1"/>
      <charset val="1"/>
    </font>
    <font>
      <sz val="10"/>
      <name val="Times New Roman"/>
      <family val="1"/>
      <charset val="1"/>
    </font>
    <font>
      <sz val="9"/>
      <name val="Times New Roman"/>
      <family val="1"/>
      <charset val="1"/>
    </font>
    <font>
      <i/>
      <sz val="9"/>
      <name val="Times New Roman"/>
      <family val="1"/>
      <charset val="163"/>
    </font>
    <font>
      <sz val="11"/>
      <color indexed="9"/>
      <name val="Tahoma"/>
      <family val="2"/>
      <charset val="1"/>
    </font>
    <font>
      <sz val="11"/>
      <color indexed="8"/>
      <name val="Times New Roman"/>
      <family val="2"/>
      <charset val="1"/>
    </font>
    <font>
      <sz val="11"/>
      <color theme="0"/>
      <name val="Calibri"/>
      <family val="2"/>
      <scheme val="minor"/>
    </font>
    <font>
      <sz val="11"/>
      <name val="Times New Roman"/>
      <family val="1"/>
    </font>
    <font>
      <sz val="12"/>
      <name val="Times New Roman"/>
      <family val="1"/>
    </font>
    <font>
      <b/>
      <sz val="9"/>
      <name val="Times New Roman"/>
      <family val="1"/>
    </font>
    <font>
      <sz val="11"/>
      <color theme="0"/>
      <name val="Times New Roman"/>
      <family val="2"/>
    </font>
    <font>
      <sz val="10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theme="1"/>
      <name val="Tahoma"/>
      <family val="2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2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sz val="10"/>
      <name val="MS Sans Serif"/>
      <family val="2"/>
    </font>
    <font>
      <b/>
      <sz val="11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color rgb="FF000000"/>
      <name val="Calibri"/>
      <family val="2"/>
    </font>
    <font>
      <sz val="11"/>
      <color rgb="FF9C0006"/>
      <name val="Calibri"/>
      <family val="2"/>
    </font>
    <font>
      <sz val="11"/>
      <color rgb="FFFFFFFF"/>
      <name val="Calibri"/>
      <family val="2"/>
    </font>
    <font>
      <sz val="10"/>
      <color rgb="FF000000"/>
      <name val="MS Sans Serif"/>
    </font>
    <font>
      <sz val="11"/>
      <color rgb="FF000000"/>
      <name val="Tahoma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9"/>
      <name val="Arial"/>
      <family val="2"/>
    </font>
    <font>
      <sz val="13"/>
      <name val="Times New Roman"/>
      <family val="1"/>
    </font>
    <font>
      <sz val="10"/>
      <color indexed="8"/>
      <name val="Times New Roman"/>
      <family val="1"/>
    </font>
    <font>
      <i/>
      <sz val="10"/>
      <name val="Times New Roman"/>
      <family val="1"/>
    </font>
    <font>
      <sz val="12"/>
      <color rgb="FF374151"/>
      <name val="Arial"/>
      <family val="2"/>
    </font>
    <font>
      <u/>
      <sz val="11"/>
      <name val="Times New Roman"/>
      <family val="1"/>
    </font>
    <font>
      <sz val="9"/>
      <name val="Times New Roman"/>
      <family val="1"/>
    </font>
    <font>
      <sz val="11"/>
      <name val="Calibri"/>
      <family val="2"/>
      <scheme val="minor"/>
    </font>
    <font>
      <sz val="18"/>
      <name val="Calibri"/>
      <family val="2"/>
      <scheme val="minor"/>
    </font>
    <font>
      <sz val="8.5500000000000007"/>
      <color rgb="FF374151"/>
      <name val="Arial"/>
      <family val="2"/>
    </font>
    <font>
      <b/>
      <sz val="28"/>
      <name val="Times New Roman"/>
      <family val="1"/>
    </font>
    <font>
      <sz val="14"/>
      <name val="Times New Roman"/>
      <family val="1"/>
    </font>
    <font>
      <sz val="10"/>
      <name val="Mangal"/>
      <family val="1"/>
    </font>
    <font>
      <sz val="10"/>
      <color rgb="FF00B0F0"/>
      <name val="Times New Roman"/>
      <family val="1"/>
    </font>
    <font>
      <i/>
      <sz val="9"/>
      <name val="Times New Roman"/>
      <family val="1"/>
    </font>
    <font>
      <sz val="12"/>
      <color rgb="FF000000"/>
      <name val="Times New Roman"/>
      <family val="1"/>
    </font>
    <font>
      <sz val="12"/>
      <color rgb="FF00B0F0"/>
      <name val="Times New Roman"/>
      <family val="1"/>
    </font>
    <font>
      <sz val="11"/>
      <color indexed="8"/>
      <name val="Times New Roman"/>
      <family val="1"/>
    </font>
    <font>
      <b/>
      <sz val="18"/>
      <name val="Times New Roman"/>
      <family val="1"/>
    </font>
    <font>
      <sz val="18"/>
      <color rgb="FF00B0F0"/>
      <name val="Mangal"/>
      <family val="2"/>
    </font>
    <font>
      <b/>
      <sz val="18"/>
      <color rgb="FF00B0F0"/>
      <name val="Times New Roman"/>
      <family val="1"/>
    </font>
    <font>
      <b/>
      <sz val="10"/>
      <color rgb="FFFF0000"/>
      <name val="Times New Roman"/>
      <family val="1"/>
    </font>
    <font>
      <b/>
      <sz val="9"/>
      <color rgb="FFFF0000"/>
      <name val="Times New Roman"/>
      <family val="1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0"/>
      <color theme="1"/>
      <name val="Times New Roman"/>
      <family val="1"/>
    </font>
  </fonts>
  <fills count="28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15"/>
        <bgColor indexed="53"/>
      </patternFill>
    </fill>
    <fill>
      <patternFill patternType="solid">
        <fgColor indexed="48"/>
        <bgColor indexed="49"/>
      </patternFill>
    </fill>
    <fill>
      <patternFill patternType="solid">
        <fgColor indexed="25"/>
        <bgColor indexed="61"/>
      </patternFill>
    </fill>
    <fill>
      <patternFill patternType="solid">
        <fgColor indexed="54"/>
        <bgColor indexed="23"/>
      </patternFill>
    </fill>
    <fill>
      <patternFill patternType="solid">
        <fgColor indexed="49"/>
        <bgColor indexed="48"/>
      </patternFill>
    </fill>
    <fill>
      <patternFill patternType="solid">
        <fgColor indexed="52"/>
        <bgColor indexed="51"/>
      </patternFill>
    </fill>
    <fill>
      <patternFill patternType="solid">
        <fgColor indexed="9"/>
        <bgColor indexed="35"/>
      </patternFill>
    </fill>
    <fill>
      <patternFill patternType="solid">
        <fgColor theme="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35"/>
      </patternFill>
    </fill>
    <fill>
      <patternFill patternType="solid">
        <fgColor rgb="FFFFC7CE"/>
        <bgColor rgb="FFFFC7CE"/>
      </patternFill>
    </fill>
    <fill>
      <patternFill patternType="solid">
        <fgColor rgb="FF8EA9DB"/>
        <bgColor rgb="FF8EA9DB"/>
      </patternFill>
    </fill>
    <fill>
      <patternFill patternType="solid">
        <fgColor rgb="FF3366FF"/>
        <bgColor rgb="FF3366FF"/>
      </patternFill>
    </fill>
    <fill>
      <patternFill patternType="solid">
        <fgColor theme="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E0C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</fills>
  <borders count="8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44"/>
      </top>
      <bottom/>
      <diagonal/>
    </border>
    <border>
      <left/>
      <right/>
      <top style="thin">
        <color indexed="4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8000"/>
      </left>
      <right style="thin">
        <color rgb="FF008000"/>
      </right>
      <top style="thin">
        <color indexed="64"/>
      </top>
      <bottom style="thin">
        <color rgb="FF008000"/>
      </bottom>
      <diagonal/>
    </border>
    <border>
      <left style="thin">
        <color rgb="FF008000"/>
      </left>
      <right style="thin">
        <color indexed="64"/>
      </right>
      <top style="thin">
        <color indexed="64"/>
      </top>
      <bottom style="thin">
        <color rgb="FF008000"/>
      </bottom>
      <diagonal/>
    </border>
    <border>
      <left style="thin">
        <color rgb="FF008000"/>
      </left>
      <right style="thin">
        <color rgb="FF008000"/>
      </right>
      <top style="thin">
        <color rgb="FF008000"/>
      </top>
      <bottom style="thin">
        <color rgb="FF008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rgb="FF008000"/>
      </left>
      <right style="thin">
        <color rgb="FF008000"/>
      </right>
      <top/>
      <bottom style="thin">
        <color rgb="FF008000"/>
      </bottom>
      <diagonal/>
    </border>
    <border>
      <left/>
      <right/>
      <top style="thin">
        <color indexed="64"/>
      </top>
      <bottom/>
      <diagonal/>
    </border>
    <border>
      <left style="thin">
        <color rgb="FF008000"/>
      </left>
      <right/>
      <top/>
      <bottom style="thin">
        <color rgb="FF008000"/>
      </bottom>
      <diagonal/>
    </border>
  </borders>
  <cellStyleXfs count="6034">
    <xf numFmtId="0" fontId="0" fillId="0" borderId="0"/>
    <xf numFmtId="166" fontId="236" fillId="0" borderId="0" applyFill="0" applyBorder="0" applyAlignment="0" applyProtection="0"/>
    <xf numFmtId="165" fontId="236" fillId="0" borderId="0" applyFill="0" applyBorder="0" applyAlignment="0" applyProtection="0"/>
    <xf numFmtId="166" fontId="236" fillId="0" borderId="0" applyFill="0" applyBorder="0" applyAlignment="0" applyProtection="0"/>
    <xf numFmtId="166" fontId="236" fillId="0" borderId="0" applyFill="0" applyBorder="0" applyAlignment="0" applyProtection="0"/>
    <xf numFmtId="166" fontId="236" fillId="0" borderId="0" applyFill="0" applyBorder="0" applyAlignment="0" applyProtection="0"/>
    <xf numFmtId="166" fontId="236" fillId="0" borderId="0" applyFill="0" applyBorder="0" applyAlignment="0" applyProtection="0"/>
    <xf numFmtId="0" fontId="237" fillId="2" borderId="1">
      <alignment horizontal="center" vertical="center"/>
    </xf>
    <xf numFmtId="0" fontId="243" fillId="3" borderId="0" applyNumberFormat="0" applyBorder="0" applyAlignment="0" applyProtection="0"/>
    <xf numFmtId="0" fontId="248" fillId="4" borderId="0" applyNumberFormat="0" applyBorder="0" applyAlignment="0" applyProtection="0"/>
    <xf numFmtId="0" fontId="253" fillId="5" borderId="0" applyNumberFormat="0" applyBorder="0" applyAlignment="0" applyProtection="0"/>
    <xf numFmtId="0" fontId="253" fillId="6" borderId="0" applyNumberFormat="0" applyBorder="0" applyAlignment="0" applyProtection="0"/>
    <xf numFmtId="0" fontId="253" fillId="7" borderId="0" applyNumberFormat="0" applyBorder="0" applyAlignment="0" applyProtection="0"/>
    <xf numFmtId="0" fontId="253" fillId="8" borderId="0" applyNumberFormat="0" applyBorder="0" applyAlignment="0" applyProtection="0"/>
    <xf numFmtId="0" fontId="254" fillId="0" borderId="0"/>
    <xf numFmtId="0" fontId="238" fillId="0" borderId="0" applyNumberFormat="0" applyFill="0" applyBorder="0" applyAlignment="0" applyProtection="0"/>
    <xf numFmtId="0" fontId="239" fillId="0" borderId="0"/>
    <xf numFmtId="0" fontId="240" fillId="0" borderId="0"/>
    <xf numFmtId="0" fontId="241" fillId="0" borderId="0"/>
    <xf numFmtId="0" fontId="239" fillId="0" borderId="0"/>
    <xf numFmtId="0" fontId="242" fillId="0" borderId="0"/>
    <xf numFmtId="0" fontId="243" fillId="0" borderId="0"/>
    <xf numFmtId="0" fontId="239" fillId="0" borderId="0"/>
    <xf numFmtId="0" fontId="244" fillId="0" borderId="0"/>
    <xf numFmtId="0" fontId="242" fillId="0" borderId="0"/>
    <xf numFmtId="0" fontId="245" fillId="0" borderId="0"/>
    <xf numFmtId="0" fontId="246" fillId="0" borderId="0"/>
    <xf numFmtId="0" fontId="235" fillId="0" borderId="0"/>
    <xf numFmtId="43" fontId="235" fillId="0" borderId="0" applyFont="0" applyFill="0" applyBorder="0" applyAlignment="0" applyProtection="0"/>
    <xf numFmtId="0" fontId="261" fillId="0" borderId="0"/>
    <xf numFmtId="0" fontId="262" fillId="0" borderId="0"/>
    <xf numFmtId="43" fontId="262" fillId="0" borderId="0" applyFont="0" applyFill="0" applyBorder="0" applyAlignment="0" applyProtection="0"/>
    <xf numFmtId="0" fontId="234" fillId="0" borderId="0"/>
    <xf numFmtId="0" fontId="234" fillId="11" borderId="0" applyNumberFormat="0" applyBorder="0" applyAlignment="0" applyProtection="0"/>
    <xf numFmtId="0" fontId="233" fillId="0" borderId="0"/>
    <xf numFmtId="0" fontId="262" fillId="0" borderId="0"/>
    <xf numFmtId="0" fontId="233" fillId="0" borderId="0"/>
    <xf numFmtId="0" fontId="233" fillId="0" borderId="0"/>
    <xf numFmtId="164" fontId="233" fillId="0" borderId="0" applyFont="0" applyFill="0" applyBorder="0" applyAlignment="0" applyProtection="0"/>
    <xf numFmtId="43" fontId="233" fillId="0" borderId="0" applyFont="0" applyFill="0" applyBorder="0" applyAlignment="0" applyProtection="0"/>
    <xf numFmtId="0" fontId="265" fillId="0" borderId="0"/>
    <xf numFmtId="0" fontId="259" fillId="13" borderId="0" applyNumberFormat="0" applyBorder="0" applyAlignment="0" applyProtection="0"/>
    <xf numFmtId="0" fontId="259" fillId="12" borderId="0" applyNumberFormat="0" applyBorder="0" applyAlignment="0" applyProtection="0"/>
    <xf numFmtId="0" fontId="259" fillId="10" borderId="0" applyNumberFormat="0" applyBorder="0" applyAlignment="0" applyProtection="0"/>
    <xf numFmtId="0" fontId="259" fillId="14" borderId="0" applyNumberFormat="0" applyBorder="0" applyAlignment="0" applyProtection="0"/>
    <xf numFmtId="0" fontId="265" fillId="11" borderId="0" applyNumberFormat="0" applyBorder="0" applyAlignment="0" applyProtection="0"/>
    <xf numFmtId="0" fontId="266" fillId="0" borderId="0"/>
    <xf numFmtId="43" fontId="232" fillId="0" borderId="0" applyFont="0" applyFill="0" applyBorder="0" applyAlignment="0" applyProtection="0"/>
    <xf numFmtId="0" fontId="231" fillId="0" borderId="0"/>
    <xf numFmtId="43" fontId="231" fillId="0" borderId="0" applyFont="0" applyFill="0" applyBorder="0" applyAlignment="0" applyProtection="0"/>
    <xf numFmtId="0" fontId="261" fillId="0" borderId="0"/>
    <xf numFmtId="0" fontId="230" fillId="0" borderId="0"/>
    <xf numFmtId="43" fontId="230" fillId="0" borderId="0" applyFont="0" applyFill="0" applyBorder="0" applyAlignment="0" applyProtection="0"/>
    <xf numFmtId="0" fontId="229" fillId="0" borderId="0"/>
    <xf numFmtId="0" fontId="228" fillId="0" borderId="0"/>
    <xf numFmtId="43" fontId="228" fillId="0" borderId="0" applyFont="0" applyFill="0" applyBorder="0" applyAlignment="0" applyProtection="0"/>
    <xf numFmtId="0" fontId="267" fillId="0" borderId="0"/>
    <xf numFmtId="0" fontId="228" fillId="0" borderId="0"/>
    <xf numFmtId="43" fontId="228" fillId="0" borderId="0" applyFont="0" applyFill="0" applyBorder="0" applyAlignment="0" applyProtection="0"/>
    <xf numFmtId="43" fontId="227" fillId="0" borderId="0" applyFont="0" applyFill="0" applyBorder="0" applyAlignment="0" applyProtection="0"/>
    <xf numFmtId="0" fontId="226" fillId="0" borderId="0"/>
    <xf numFmtId="0" fontId="225" fillId="0" borderId="0"/>
    <xf numFmtId="43" fontId="225" fillId="0" borderId="0" applyFont="0" applyFill="0" applyBorder="0" applyAlignment="0" applyProtection="0"/>
    <xf numFmtId="43" fontId="224" fillId="0" borderId="0" applyFont="0" applyFill="0" applyBorder="0" applyAlignment="0" applyProtection="0"/>
    <xf numFmtId="0" fontId="223" fillId="0" borderId="0"/>
    <xf numFmtId="164" fontId="223" fillId="0" borderId="0" applyFont="0" applyFill="0" applyBorder="0" applyAlignment="0" applyProtection="0"/>
    <xf numFmtId="43" fontId="223" fillId="0" borderId="0" applyFont="0" applyFill="0" applyBorder="0" applyAlignment="0" applyProtection="0"/>
    <xf numFmtId="0" fontId="223" fillId="0" borderId="0"/>
    <xf numFmtId="0" fontId="222" fillId="0" borderId="0"/>
    <xf numFmtId="0" fontId="221" fillId="0" borderId="0"/>
    <xf numFmtId="0" fontId="270" fillId="0" borderId="0">
      <alignment vertical="center"/>
    </xf>
    <xf numFmtId="175" fontId="270" fillId="0" borderId="0" applyFont="0" applyFill="0" applyBorder="0" applyAlignment="0" applyProtection="0">
      <alignment vertical="center"/>
    </xf>
    <xf numFmtId="0" fontId="220" fillId="0" borderId="0"/>
    <xf numFmtId="43" fontId="220" fillId="0" borderId="0" applyFont="0" applyFill="0" applyBorder="0" applyAlignment="0" applyProtection="0"/>
    <xf numFmtId="0" fontId="219" fillId="0" borderId="0"/>
    <xf numFmtId="0" fontId="218" fillId="0" borderId="0"/>
    <xf numFmtId="43" fontId="218" fillId="0" borderId="0" applyFont="0" applyFill="0" applyBorder="0" applyAlignment="0" applyProtection="0"/>
    <xf numFmtId="0" fontId="218" fillId="0" borderId="0"/>
    <xf numFmtId="164" fontId="218" fillId="0" borderId="0" applyFont="0" applyFill="0" applyBorder="0" applyAlignment="0" applyProtection="0"/>
    <xf numFmtId="43" fontId="218" fillId="0" borderId="0" applyFont="0" applyFill="0" applyBorder="0" applyAlignment="0" applyProtection="0"/>
    <xf numFmtId="0" fontId="218" fillId="0" borderId="0"/>
    <xf numFmtId="0" fontId="217" fillId="0" borderId="0"/>
    <xf numFmtId="164" fontId="217" fillId="0" borderId="0" applyFont="0" applyFill="0" applyBorder="0" applyAlignment="0" applyProtection="0"/>
    <xf numFmtId="43" fontId="217" fillId="0" borderId="0" applyFont="0" applyFill="0" applyBorder="0" applyAlignment="0" applyProtection="0"/>
    <xf numFmtId="0" fontId="217" fillId="0" borderId="0"/>
    <xf numFmtId="0" fontId="216" fillId="0" borderId="0"/>
    <xf numFmtId="43" fontId="216" fillId="0" borderId="0" applyFont="0" applyFill="0" applyBorder="0" applyAlignment="0" applyProtection="0"/>
    <xf numFmtId="0" fontId="215" fillId="0" borderId="0"/>
    <xf numFmtId="43" fontId="215" fillId="0" borderId="0" applyFont="0" applyFill="0" applyBorder="0" applyAlignment="0" applyProtection="0"/>
    <xf numFmtId="0" fontId="271" fillId="0" borderId="0"/>
    <xf numFmtId="43" fontId="214" fillId="0" borderId="0" applyFont="0" applyFill="0" applyBorder="0" applyAlignment="0" applyProtection="0"/>
    <xf numFmtId="0" fontId="213" fillId="0" borderId="0"/>
    <xf numFmtId="0" fontId="212" fillId="0" borderId="0"/>
    <xf numFmtId="43" fontId="212" fillId="0" borderId="0" applyFont="0" applyFill="0" applyBorder="0" applyAlignment="0" applyProtection="0"/>
    <xf numFmtId="0" fontId="211" fillId="0" borderId="0"/>
    <xf numFmtId="43" fontId="211" fillId="0" borderId="0" applyFont="0" applyFill="0" applyBorder="0" applyAlignment="0" applyProtection="0"/>
    <xf numFmtId="0" fontId="211" fillId="0" borderId="0"/>
    <xf numFmtId="164" fontId="211" fillId="0" borderId="0" applyFont="0" applyFill="0" applyBorder="0" applyAlignment="0" applyProtection="0"/>
    <xf numFmtId="43" fontId="211" fillId="0" borderId="0" applyFont="0" applyFill="0" applyBorder="0" applyAlignment="0" applyProtection="0"/>
    <xf numFmtId="0" fontId="211" fillId="0" borderId="0"/>
    <xf numFmtId="0" fontId="272" fillId="0" borderId="0"/>
    <xf numFmtId="43" fontId="210" fillId="0" borderId="0" applyFont="0" applyFill="0" applyBorder="0" applyAlignment="0" applyProtection="0"/>
    <xf numFmtId="0" fontId="209" fillId="0" borderId="0"/>
    <xf numFmtId="0" fontId="208" fillId="0" borderId="0"/>
    <xf numFmtId="43" fontId="208" fillId="0" borderId="0" applyFont="0" applyFill="0" applyBorder="0" applyAlignment="0" applyProtection="0"/>
    <xf numFmtId="0" fontId="207" fillId="0" borderId="0"/>
    <xf numFmtId="164" fontId="207" fillId="0" borderId="0" applyFont="0" applyFill="0" applyBorder="0" applyAlignment="0" applyProtection="0"/>
    <xf numFmtId="43" fontId="207" fillId="0" borderId="0" applyFont="0" applyFill="0" applyBorder="0" applyAlignment="0" applyProtection="0"/>
    <xf numFmtId="0" fontId="207" fillId="0" borderId="0"/>
    <xf numFmtId="0" fontId="206" fillId="0" borderId="0"/>
    <xf numFmtId="0" fontId="205" fillId="0" borderId="0"/>
    <xf numFmtId="0" fontId="204" fillId="0" borderId="0"/>
    <xf numFmtId="164" fontId="204" fillId="0" borderId="0" applyFont="0" applyFill="0" applyBorder="0" applyAlignment="0" applyProtection="0"/>
    <xf numFmtId="43" fontId="204" fillId="0" borderId="0" applyFont="0" applyFill="0" applyBorder="0" applyAlignment="0" applyProtection="0"/>
    <xf numFmtId="0" fontId="204" fillId="0" borderId="0"/>
    <xf numFmtId="0" fontId="203" fillId="0" borderId="0"/>
    <xf numFmtId="164" fontId="203" fillId="0" borderId="0" applyFont="0" applyFill="0" applyBorder="0" applyAlignment="0" applyProtection="0"/>
    <xf numFmtId="43" fontId="203" fillId="0" borderId="0" applyFont="0" applyFill="0" applyBorder="0" applyAlignment="0" applyProtection="0"/>
    <xf numFmtId="0" fontId="203" fillId="0" borderId="0"/>
    <xf numFmtId="0" fontId="202" fillId="0" borderId="0"/>
    <xf numFmtId="43" fontId="202" fillId="0" borderId="0" applyFont="0" applyFill="0" applyBorder="0" applyAlignment="0" applyProtection="0"/>
    <xf numFmtId="0" fontId="273" fillId="0" borderId="0"/>
    <xf numFmtId="0" fontId="201" fillId="0" borderId="0"/>
    <xf numFmtId="164" fontId="201" fillId="0" borderId="0" applyFont="0" applyFill="0" applyBorder="0" applyAlignment="0" applyProtection="0"/>
    <xf numFmtId="43" fontId="201" fillId="0" borderId="0" applyFont="0" applyFill="0" applyBorder="0" applyAlignment="0" applyProtection="0"/>
    <xf numFmtId="0" fontId="201" fillId="0" borderId="0"/>
    <xf numFmtId="0" fontId="200" fillId="0" borderId="0"/>
    <xf numFmtId="0" fontId="199" fillId="0" borderId="0"/>
    <xf numFmtId="43" fontId="199" fillId="0" borderId="0" applyFont="0" applyFill="0" applyBorder="0" applyAlignment="0" applyProtection="0"/>
    <xf numFmtId="0" fontId="240" fillId="0" borderId="0"/>
    <xf numFmtId="0" fontId="198" fillId="0" borderId="0"/>
    <xf numFmtId="164" fontId="198" fillId="0" borderId="0" applyFont="0" applyFill="0" applyBorder="0" applyAlignment="0" applyProtection="0"/>
    <xf numFmtId="43" fontId="198" fillId="0" borderId="0" applyFont="0" applyFill="0" applyBorder="0" applyAlignment="0" applyProtection="0"/>
    <xf numFmtId="0" fontId="198" fillId="0" borderId="0"/>
    <xf numFmtId="0" fontId="197" fillId="0" borderId="0"/>
    <xf numFmtId="43" fontId="197" fillId="0" borderId="0" applyFont="0" applyFill="0" applyBorder="0" applyAlignment="0" applyProtection="0"/>
    <xf numFmtId="43" fontId="196" fillId="0" borderId="0" applyFont="0" applyFill="0" applyBorder="0" applyAlignment="0" applyProtection="0"/>
    <xf numFmtId="0" fontId="196" fillId="0" borderId="0"/>
    <xf numFmtId="0" fontId="195" fillId="0" borderId="0"/>
    <xf numFmtId="43" fontId="195" fillId="0" borderId="0" applyFont="0" applyFill="0" applyBorder="0" applyAlignment="0" applyProtection="0"/>
    <xf numFmtId="0" fontId="195" fillId="0" borderId="0"/>
    <xf numFmtId="164" fontId="195" fillId="0" borderId="0" applyFont="0" applyFill="0" applyBorder="0" applyAlignment="0" applyProtection="0"/>
    <xf numFmtId="43" fontId="195" fillId="0" borderId="0" applyFont="0" applyFill="0" applyBorder="0" applyAlignment="0" applyProtection="0"/>
    <xf numFmtId="0" fontId="195" fillId="0" borderId="0"/>
    <xf numFmtId="0" fontId="194" fillId="0" borderId="0"/>
    <xf numFmtId="43" fontId="194" fillId="0" borderId="0" applyFont="0" applyFill="0" applyBorder="0" applyAlignment="0" applyProtection="0"/>
    <xf numFmtId="0" fontId="193" fillId="0" borderId="0"/>
    <xf numFmtId="164" fontId="193" fillId="0" borderId="0" applyFont="0" applyFill="0" applyBorder="0" applyAlignment="0" applyProtection="0"/>
    <xf numFmtId="43" fontId="193" fillId="0" borderId="0" applyFont="0" applyFill="0" applyBorder="0" applyAlignment="0" applyProtection="0"/>
    <xf numFmtId="0" fontId="193" fillId="0" borderId="0"/>
    <xf numFmtId="43" fontId="261" fillId="0" borderId="0" applyFont="0" applyFill="0" applyBorder="0" applyAlignment="0" applyProtection="0"/>
    <xf numFmtId="0" fontId="192" fillId="0" borderId="0"/>
    <xf numFmtId="43" fontId="192" fillId="0" borderId="0" applyFont="0" applyFill="0" applyBorder="0" applyAlignment="0" applyProtection="0"/>
    <xf numFmtId="0" fontId="191" fillId="0" borderId="0"/>
    <xf numFmtId="0" fontId="261" fillId="0" borderId="0"/>
    <xf numFmtId="0" fontId="190" fillId="0" borderId="0"/>
    <xf numFmtId="164" fontId="190" fillId="0" borderId="0" applyFont="0" applyFill="0" applyBorder="0" applyAlignment="0" applyProtection="0"/>
    <xf numFmtId="43" fontId="190" fillId="0" borderId="0" applyFont="0" applyFill="0" applyBorder="0" applyAlignment="0" applyProtection="0"/>
    <xf numFmtId="0" fontId="190" fillId="0" borderId="0"/>
    <xf numFmtId="0" fontId="189" fillId="0" borderId="0"/>
    <xf numFmtId="43" fontId="189" fillId="0" borderId="0" applyFont="0" applyFill="0" applyBorder="0" applyAlignment="0" applyProtection="0"/>
    <xf numFmtId="0" fontId="188" fillId="0" borderId="0"/>
    <xf numFmtId="0" fontId="188" fillId="0" borderId="0"/>
    <xf numFmtId="164" fontId="188" fillId="0" borderId="0" applyFont="0" applyFill="0" applyBorder="0" applyAlignment="0" applyProtection="0"/>
    <xf numFmtId="43" fontId="188" fillId="0" borderId="0" applyFont="0" applyFill="0" applyBorder="0" applyAlignment="0" applyProtection="0"/>
    <xf numFmtId="0" fontId="188" fillId="0" borderId="0"/>
    <xf numFmtId="0" fontId="275" fillId="0" borderId="0"/>
    <xf numFmtId="0" fontId="188" fillId="0" borderId="0"/>
    <xf numFmtId="0" fontId="187" fillId="0" borderId="0"/>
    <xf numFmtId="0" fontId="187" fillId="0" borderId="0"/>
    <xf numFmtId="43" fontId="187" fillId="0" borderId="0" applyFont="0" applyFill="0" applyBorder="0" applyAlignment="0" applyProtection="0"/>
    <xf numFmtId="0" fontId="186" fillId="0" borderId="0"/>
    <xf numFmtId="43" fontId="186" fillId="0" borderId="0" applyFont="0" applyFill="0" applyBorder="0" applyAlignment="0" applyProtection="0"/>
    <xf numFmtId="0" fontId="185" fillId="0" borderId="0"/>
    <xf numFmtId="0" fontId="185" fillId="0" borderId="0"/>
    <xf numFmtId="43" fontId="185" fillId="0" borderId="0" applyFont="0" applyFill="0" applyBorder="0" applyAlignment="0" applyProtection="0"/>
    <xf numFmtId="0" fontId="184" fillId="0" borderId="0"/>
    <xf numFmtId="164" fontId="184" fillId="0" borderId="0" applyFont="0" applyFill="0" applyBorder="0" applyAlignment="0" applyProtection="0"/>
    <xf numFmtId="43" fontId="184" fillId="0" borderId="0" applyFont="0" applyFill="0" applyBorder="0" applyAlignment="0" applyProtection="0"/>
    <xf numFmtId="0" fontId="184" fillId="0" borderId="0"/>
    <xf numFmtId="0" fontId="184" fillId="0" borderId="0"/>
    <xf numFmtId="0" fontId="183" fillId="0" borderId="0"/>
    <xf numFmtId="0" fontId="237" fillId="2" borderId="6">
      <alignment horizontal="center" vertical="center"/>
    </xf>
    <xf numFmtId="0" fontId="182" fillId="0" borderId="0"/>
    <xf numFmtId="0" fontId="181" fillId="0" borderId="0"/>
    <xf numFmtId="0" fontId="181" fillId="0" borderId="0"/>
    <xf numFmtId="43" fontId="181" fillId="0" borderId="0" applyFont="0" applyFill="0" applyBorder="0" applyAlignment="0" applyProtection="0"/>
    <xf numFmtId="0" fontId="180" fillId="0" borderId="0"/>
    <xf numFmtId="0" fontId="179" fillId="0" borderId="0"/>
    <xf numFmtId="0" fontId="178" fillId="0" borderId="0"/>
    <xf numFmtId="164" fontId="178" fillId="0" borderId="0" applyFont="0" applyFill="0" applyBorder="0" applyAlignment="0" applyProtection="0"/>
    <xf numFmtId="43" fontId="178" fillId="0" borderId="0" applyFont="0" applyFill="0" applyBorder="0" applyAlignment="0" applyProtection="0"/>
    <xf numFmtId="0" fontId="178" fillId="0" borderId="0"/>
    <xf numFmtId="0" fontId="178" fillId="0" borderId="0"/>
    <xf numFmtId="0" fontId="177" fillId="0" borderId="0"/>
    <xf numFmtId="0" fontId="176" fillId="0" borderId="0"/>
    <xf numFmtId="0" fontId="176" fillId="0" borderId="0"/>
    <xf numFmtId="43" fontId="176" fillId="0" borderId="0" applyFont="0" applyFill="0" applyBorder="0" applyAlignment="0" applyProtection="0"/>
    <xf numFmtId="0" fontId="175" fillId="0" borderId="0"/>
    <xf numFmtId="164" fontId="175" fillId="0" borderId="0" applyFont="0" applyFill="0" applyBorder="0" applyAlignment="0" applyProtection="0"/>
    <xf numFmtId="0" fontId="174" fillId="0" borderId="0"/>
    <xf numFmtId="0" fontId="174" fillId="0" borderId="0"/>
    <xf numFmtId="43" fontId="174" fillId="0" borderId="0" applyFont="0" applyFill="0" applyBorder="0" applyAlignment="0" applyProtection="0"/>
    <xf numFmtId="0" fontId="173" fillId="0" borderId="0"/>
    <xf numFmtId="164" fontId="173" fillId="0" borderId="0" applyFont="0" applyFill="0" applyBorder="0" applyAlignment="0" applyProtection="0"/>
    <xf numFmtId="43" fontId="173" fillId="0" borderId="0" applyFont="0" applyFill="0" applyBorder="0" applyAlignment="0" applyProtection="0"/>
    <xf numFmtId="0" fontId="173" fillId="0" borderId="0"/>
    <xf numFmtId="0" fontId="173" fillId="0" borderId="0"/>
    <xf numFmtId="0" fontId="172" fillId="0" borderId="0"/>
    <xf numFmtId="0" fontId="171" fillId="0" borderId="0"/>
    <xf numFmtId="0" fontId="171" fillId="0" borderId="0"/>
    <xf numFmtId="43" fontId="171" fillId="0" borderId="0" applyFont="0" applyFill="0" applyBorder="0" applyAlignment="0" applyProtection="0"/>
    <xf numFmtId="0" fontId="170" fillId="0" borderId="0"/>
    <xf numFmtId="164" fontId="170" fillId="0" borderId="0" applyFont="0" applyFill="0" applyBorder="0" applyAlignment="0" applyProtection="0"/>
    <xf numFmtId="0" fontId="169" fillId="0" borderId="0"/>
    <xf numFmtId="0" fontId="169" fillId="0" borderId="0"/>
    <xf numFmtId="43" fontId="169" fillId="0" borderId="0" applyFont="0" applyFill="0" applyBorder="0" applyAlignment="0" applyProtection="0"/>
    <xf numFmtId="0" fontId="168" fillId="0" borderId="0"/>
    <xf numFmtId="164" fontId="168" fillId="0" borderId="0" applyFont="0" applyFill="0" applyBorder="0" applyAlignment="0" applyProtection="0"/>
    <xf numFmtId="43" fontId="168" fillId="0" borderId="0" applyFont="0" applyFill="0" applyBorder="0" applyAlignment="0" applyProtection="0"/>
    <xf numFmtId="0" fontId="168" fillId="0" borderId="0"/>
    <xf numFmtId="0" fontId="168" fillId="0" borderId="0"/>
    <xf numFmtId="0" fontId="167" fillId="0" borderId="0"/>
    <xf numFmtId="164" fontId="167" fillId="0" borderId="0" applyFont="0" applyFill="0" applyBorder="0" applyAlignment="0" applyProtection="0"/>
    <xf numFmtId="0" fontId="166" fillId="0" borderId="0"/>
    <xf numFmtId="0" fontId="166" fillId="0" borderId="0"/>
    <xf numFmtId="43" fontId="166" fillId="0" borderId="0" applyFont="0" applyFill="0" applyBorder="0" applyAlignment="0" applyProtection="0"/>
    <xf numFmtId="0" fontId="165" fillId="0" borderId="0"/>
    <xf numFmtId="0" fontId="164" fillId="0" borderId="0"/>
    <xf numFmtId="164" fontId="164" fillId="0" borderId="0" applyFont="0" applyFill="0" applyBorder="0" applyAlignment="0" applyProtection="0"/>
    <xf numFmtId="43" fontId="164" fillId="0" borderId="0" applyFont="0" applyFill="0" applyBorder="0" applyAlignment="0" applyProtection="0"/>
    <xf numFmtId="0" fontId="164" fillId="0" borderId="0"/>
    <xf numFmtId="0" fontId="164" fillId="0" borderId="0"/>
    <xf numFmtId="0" fontId="163" fillId="0" borderId="0"/>
    <xf numFmtId="164" fontId="163" fillId="0" borderId="0" applyFont="0" applyFill="0" applyBorder="0" applyAlignment="0" applyProtection="0"/>
    <xf numFmtId="0" fontId="162" fillId="0" borderId="0"/>
    <xf numFmtId="0" fontId="162" fillId="0" borderId="0"/>
    <xf numFmtId="43" fontId="162" fillId="0" borderId="0" applyFont="0" applyFill="0" applyBorder="0" applyAlignment="0" applyProtection="0"/>
    <xf numFmtId="0" fontId="161" fillId="0" borderId="0"/>
    <xf numFmtId="0" fontId="161" fillId="0" borderId="0"/>
    <xf numFmtId="43" fontId="161" fillId="0" borderId="0" applyFont="0" applyFill="0" applyBorder="0" applyAlignment="0" applyProtection="0"/>
    <xf numFmtId="0" fontId="160" fillId="0" borderId="0"/>
    <xf numFmtId="164" fontId="160" fillId="0" borderId="0" applyFont="0" applyFill="0" applyBorder="0" applyAlignment="0" applyProtection="0"/>
    <xf numFmtId="43" fontId="160" fillId="0" borderId="0" applyFont="0" applyFill="0" applyBorder="0" applyAlignment="0" applyProtection="0"/>
    <xf numFmtId="0" fontId="160" fillId="0" borderId="0"/>
    <xf numFmtId="0" fontId="160" fillId="0" borderId="0"/>
    <xf numFmtId="175" fontId="159" fillId="0" borderId="0" applyFont="0" applyFill="0" applyBorder="0" applyAlignment="0" applyProtection="0"/>
    <xf numFmtId="0" fontId="159" fillId="0" borderId="0"/>
    <xf numFmtId="0" fontId="158" fillId="0" borderId="0"/>
    <xf numFmtId="0" fontId="158" fillId="0" borderId="0"/>
    <xf numFmtId="43" fontId="158" fillId="0" borderId="0" applyFont="0" applyFill="0" applyBorder="0" applyAlignment="0" applyProtection="0"/>
    <xf numFmtId="0" fontId="157" fillId="0" borderId="0"/>
    <xf numFmtId="164" fontId="157" fillId="0" borderId="0" applyFont="0" applyFill="0" applyBorder="0" applyAlignment="0" applyProtection="0"/>
    <xf numFmtId="0" fontId="157" fillId="0" borderId="0"/>
    <xf numFmtId="164" fontId="157" fillId="0" borderId="0" applyFont="0" applyFill="0" applyBorder="0" applyAlignment="0" applyProtection="0"/>
    <xf numFmtId="43" fontId="157" fillId="0" borderId="0" applyFont="0" applyFill="0" applyBorder="0" applyAlignment="0" applyProtection="0"/>
    <xf numFmtId="0" fontId="157" fillId="0" borderId="0"/>
    <xf numFmtId="0" fontId="157" fillId="0" borderId="0"/>
    <xf numFmtId="0" fontId="156" fillId="0" borderId="0"/>
    <xf numFmtId="175" fontId="156" fillId="0" borderId="0" applyFont="0" applyFill="0" applyBorder="0" applyAlignment="0" applyProtection="0"/>
    <xf numFmtId="0" fontId="155" fillId="0" borderId="0"/>
    <xf numFmtId="0" fontId="155" fillId="0" borderId="0"/>
    <xf numFmtId="43" fontId="155" fillId="0" borderId="0" applyFont="0" applyFill="0" applyBorder="0" applyAlignment="0" applyProtection="0"/>
    <xf numFmtId="0" fontId="154" fillId="0" borderId="0"/>
    <xf numFmtId="164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0" fontId="154" fillId="0" borderId="0"/>
    <xf numFmtId="0" fontId="154" fillId="0" borderId="0"/>
    <xf numFmtId="175" fontId="154" fillId="0" borderId="0" applyFont="0" applyFill="0" applyBorder="0" applyAlignment="0" applyProtection="0"/>
    <xf numFmtId="0" fontId="153" fillId="0" borderId="0"/>
    <xf numFmtId="164" fontId="153" fillId="0" borderId="0" applyFont="0" applyFill="0" applyBorder="0" applyAlignment="0" applyProtection="0"/>
    <xf numFmtId="0" fontId="152" fillId="0" borderId="0"/>
    <xf numFmtId="0" fontId="152" fillId="0" borderId="0"/>
    <xf numFmtId="43" fontId="152" fillId="0" borderId="0" applyFont="0" applyFill="0" applyBorder="0" applyAlignment="0" applyProtection="0"/>
    <xf numFmtId="0" fontId="151" fillId="0" borderId="0"/>
    <xf numFmtId="0" fontId="151" fillId="0" borderId="0"/>
    <xf numFmtId="43" fontId="151" fillId="0" borderId="0" applyFont="0" applyFill="0" applyBorder="0" applyAlignment="0" applyProtection="0"/>
    <xf numFmtId="0" fontId="150" fillId="0" borderId="0"/>
    <xf numFmtId="175" fontId="150" fillId="0" borderId="0" applyFont="0" applyFill="0" applyBorder="0" applyAlignment="0" applyProtection="0"/>
    <xf numFmtId="0" fontId="149" fillId="0" borderId="0"/>
    <xf numFmtId="164" fontId="149" fillId="0" borderId="0" applyFont="0" applyFill="0" applyBorder="0" applyAlignment="0" applyProtection="0"/>
    <xf numFmtId="43" fontId="149" fillId="0" borderId="0" applyFont="0" applyFill="0" applyBorder="0" applyAlignment="0" applyProtection="0"/>
    <xf numFmtId="0" fontId="149" fillId="0" borderId="0"/>
    <xf numFmtId="0" fontId="149" fillId="0" borderId="0"/>
    <xf numFmtId="0" fontId="148" fillId="0" borderId="0"/>
    <xf numFmtId="0" fontId="148" fillId="0" borderId="0"/>
    <xf numFmtId="43" fontId="148" fillId="0" borderId="0" applyFont="0" applyFill="0" applyBorder="0" applyAlignment="0" applyProtection="0"/>
    <xf numFmtId="0" fontId="147" fillId="0" borderId="0"/>
    <xf numFmtId="164" fontId="147" fillId="0" borderId="0" applyFont="0" applyFill="0" applyBorder="0" applyAlignment="0" applyProtection="0"/>
    <xf numFmtId="0" fontId="146" fillId="0" borderId="0"/>
    <xf numFmtId="0" fontId="146" fillId="0" borderId="0"/>
    <xf numFmtId="43" fontId="146" fillId="0" borderId="0" applyFont="0" applyFill="0" applyBorder="0" applyAlignment="0" applyProtection="0"/>
    <xf numFmtId="0" fontId="145" fillId="0" borderId="0"/>
    <xf numFmtId="43" fontId="145" fillId="0" borderId="0" applyFont="0" applyFill="0" applyBorder="0" applyAlignment="0" applyProtection="0"/>
    <xf numFmtId="0" fontId="269" fillId="18" borderId="7">
      <alignment horizontal="center" vertical="center"/>
    </xf>
    <xf numFmtId="0" fontId="144" fillId="0" borderId="0"/>
    <xf numFmtId="164" fontId="144" fillId="0" borderId="0" applyFont="0" applyFill="0" applyBorder="0" applyAlignment="0" applyProtection="0"/>
    <xf numFmtId="43" fontId="144" fillId="0" borderId="0" applyFont="0" applyFill="0" applyBorder="0" applyAlignment="0" applyProtection="0"/>
    <xf numFmtId="0" fontId="144" fillId="0" borderId="0"/>
    <xf numFmtId="0" fontId="144" fillId="0" borderId="0"/>
    <xf numFmtId="175" fontId="144" fillId="0" borderId="0" applyFont="0" applyFill="0" applyBorder="0" applyAlignment="0" applyProtection="0"/>
    <xf numFmtId="0" fontId="143" fillId="0" borderId="0"/>
    <xf numFmtId="0" fontId="143" fillId="0" borderId="0"/>
    <xf numFmtId="0" fontId="143" fillId="0" borderId="0"/>
    <xf numFmtId="43" fontId="143" fillId="0" borderId="0" applyFont="0" applyFill="0" applyBorder="0" applyAlignment="0" applyProtection="0"/>
    <xf numFmtId="0" fontId="142" fillId="0" borderId="0"/>
    <xf numFmtId="164" fontId="142" fillId="0" borderId="0" applyFont="0" applyFill="0" applyBorder="0" applyAlignment="0" applyProtection="0"/>
    <xf numFmtId="43" fontId="142" fillId="0" borderId="0" applyFont="0" applyFill="0" applyBorder="0" applyAlignment="0" applyProtection="0"/>
    <xf numFmtId="0" fontId="142" fillId="0" borderId="0"/>
    <xf numFmtId="0" fontId="142" fillId="0" borderId="0"/>
    <xf numFmtId="0" fontId="141" fillId="0" borderId="0"/>
    <xf numFmtId="164" fontId="141" fillId="0" borderId="0" applyFont="0" applyFill="0" applyBorder="0" applyAlignment="0" applyProtection="0"/>
    <xf numFmtId="0" fontId="140" fillId="0" borderId="0"/>
    <xf numFmtId="175" fontId="140" fillId="0" borderId="0" applyFont="0" applyFill="0" applyBorder="0" applyAlignment="0" applyProtection="0"/>
    <xf numFmtId="0" fontId="139" fillId="0" borderId="0"/>
    <xf numFmtId="0" fontId="139" fillId="0" borderId="0"/>
    <xf numFmtId="0" fontId="139" fillId="0" borderId="0"/>
    <xf numFmtId="43" fontId="139" fillId="0" borderId="0" applyFont="0" applyFill="0" applyBorder="0" applyAlignment="0" applyProtection="0"/>
    <xf numFmtId="0" fontId="138" fillId="0" borderId="0"/>
    <xf numFmtId="175" fontId="138" fillId="0" borderId="0" applyFont="0" applyFill="0" applyBorder="0" applyAlignment="0" applyProtection="0"/>
    <xf numFmtId="0" fontId="137" fillId="0" borderId="0"/>
    <xf numFmtId="164" fontId="137" fillId="0" borderId="0" applyFont="0" applyFill="0" applyBorder="0" applyAlignment="0" applyProtection="0"/>
    <xf numFmtId="43" fontId="137" fillId="0" borderId="0" applyFont="0" applyFill="0" applyBorder="0" applyAlignment="0" applyProtection="0"/>
    <xf numFmtId="0" fontId="137" fillId="0" borderId="0"/>
    <xf numFmtId="0" fontId="137" fillId="0" borderId="0"/>
    <xf numFmtId="0" fontId="136" fillId="0" borderId="0"/>
    <xf numFmtId="0" fontId="136" fillId="0" borderId="0"/>
    <xf numFmtId="43" fontId="136" fillId="0" borderId="0" applyFont="0" applyFill="0" applyBorder="0" applyAlignment="0" applyProtection="0"/>
    <xf numFmtId="0" fontId="135" fillId="0" borderId="0"/>
    <xf numFmtId="0" fontId="135" fillId="0" borderId="0"/>
    <xf numFmtId="0" fontId="135" fillId="0" borderId="0"/>
    <xf numFmtId="43" fontId="135" fillId="0" borderId="0" applyFont="0" applyFill="0" applyBorder="0" applyAlignment="0" applyProtection="0"/>
    <xf numFmtId="0" fontId="134" fillId="0" borderId="0"/>
    <xf numFmtId="0" fontId="134" fillId="0" borderId="0"/>
    <xf numFmtId="43" fontId="134" fillId="0" borderId="0" applyFont="0" applyFill="0" applyBorder="0" applyAlignment="0" applyProtection="0"/>
    <xf numFmtId="0" fontId="133" fillId="0" borderId="0"/>
    <xf numFmtId="175" fontId="133" fillId="0" borderId="0" applyFont="0" applyFill="0" applyBorder="0" applyAlignment="0" applyProtection="0"/>
    <xf numFmtId="0" fontId="132" fillId="0" borderId="0"/>
    <xf numFmtId="164" fontId="132" fillId="0" borderId="0" applyFont="0" applyFill="0" applyBorder="0" applyAlignment="0" applyProtection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1" fillId="0" borderId="0"/>
    <xf numFmtId="164" fontId="131" fillId="0" borderId="0" applyFont="0" applyFill="0" applyBorder="0" applyAlignment="0" applyProtection="0"/>
    <xf numFmtId="0" fontId="130" fillId="0" borderId="0"/>
    <xf numFmtId="0" fontId="130" fillId="0" borderId="0"/>
    <xf numFmtId="43" fontId="130" fillId="0" borderId="0" applyFont="0" applyFill="0" applyBorder="0" applyAlignment="0" applyProtection="0"/>
    <xf numFmtId="0" fontId="130" fillId="0" borderId="0"/>
    <xf numFmtId="0" fontId="129" fillId="0" borderId="0"/>
    <xf numFmtId="164" fontId="129" fillId="0" borderId="0" applyFont="0" applyFill="0" applyBorder="0" applyAlignment="0" applyProtection="0"/>
    <xf numFmtId="43" fontId="129" fillId="0" borderId="0" applyFont="0" applyFill="0" applyBorder="0" applyAlignment="0" applyProtection="0"/>
    <xf numFmtId="0" fontId="129" fillId="0" borderId="0"/>
    <xf numFmtId="0" fontId="129" fillId="0" borderId="0"/>
    <xf numFmtId="175" fontId="129" fillId="0" borderId="0" applyFont="0" applyFill="0" applyBorder="0" applyAlignment="0" applyProtection="0"/>
    <xf numFmtId="0" fontId="128" fillId="0" borderId="0"/>
    <xf numFmtId="164" fontId="128" fillId="0" borderId="0" applyFont="0" applyFill="0" applyBorder="0" applyAlignment="0" applyProtection="0"/>
    <xf numFmtId="0" fontId="127" fillId="0" borderId="0"/>
    <xf numFmtId="0" fontId="127" fillId="0" borderId="0"/>
    <xf numFmtId="0" fontId="127" fillId="0" borderId="0"/>
    <xf numFmtId="43" fontId="127" fillId="0" borderId="0" applyFont="0" applyFill="0" applyBorder="0" applyAlignment="0" applyProtection="0"/>
    <xf numFmtId="0" fontId="126" fillId="0" borderId="0"/>
    <xf numFmtId="175" fontId="126" fillId="0" borderId="0" applyFont="0" applyFill="0" applyBorder="0" applyAlignment="0" applyProtection="0"/>
    <xf numFmtId="0" fontId="125" fillId="0" borderId="0"/>
    <xf numFmtId="164" fontId="125" fillId="0" borderId="0" applyFont="0" applyFill="0" applyBorder="0" applyAlignment="0" applyProtection="0"/>
    <xf numFmtId="0" fontId="124" fillId="0" borderId="0"/>
    <xf numFmtId="164" fontId="124" fillId="0" borderId="0" applyFont="0" applyFill="0" applyBorder="0" applyAlignment="0" applyProtection="0"/>
    <xf numFmtId="43" fontId="124" fillId="0" borderId="0" applyFont="0" applyFill="0" applyBorder="0" applyAlignment="0" applyProtection="0"/>
    <xf numFmtId="0" fontId="124" fillId="0" borderId="0"/>
    <xf numFmtId="0" fontId="124" fillId="0" borderId="0"/>
    <xf numFmtId="0" fontId="123" fillId="0" borderId="0"/>
    <xf numFmtId="0" fontId="123" fillId="0" borderId="0"/>
    <xf numFmtId="43" fontId="123" fillId="0" borderId="0" applyFont="0" applyFill="0" applyBorder="0" applyAlignment="0" applyProtection="0"/>
    <xf numFmtId="0" fontId="123" fillId="0" borderId="0"/>
    <xf numFmtId="0" fontId="122" fillId="0" borderId="0"/>
    <xf numFmtId="175" fontId="122" fillId="0" borderId="0" applyFont="0" applyFill="0" applyBorder="0" applyAlignment="0" applyProtection="0"/>
    <xf numFmtId="164" fontId="122" fillId="0" borderId="0" applyFont="0" applyFill="0" applyBorder="0" applyAlignment="0" applyProtection="0"/>
    <xf numFmtId="0" fontId="121" fillId="0" borderId="0"/>
    <xf numFmtId="164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0" fontId="121" fillId="0" borderId="0"/>
    <xf numFmtId="0" fontId="121" fillId="0" borderId="0"/>
    <xf numFmtId="0" fontId="120" fillId="0" borderId="0"/>
    <xf numFmtId="0" fontId="120" fillId="0" borderId="0"/>
    <xf numFmtId="43" fontId="120" fillId="0" borderId="0" applyFont="0" applyFill="0" applyBorder="0" applyAlignment="0" applyProtection="0"/>
    <xf numFmtId="0" fontId="120" fillId="0" borderId="0"/>
    <xf numFmtId="0" fontId="119" fillId="0" borderId="0"/>
    <xf numFmtId="164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0" fontId="119" fillId="0" borderId="0"/>
    <xf numFmtId="0" fontId="119" fillId="0" borderId="0"/>
    <xf numFmtId="0" fontId="118" fillId="0" borderId="0"/>
    <xf numFmtId="164" fontId="118" fillId="0" borderId="0" applyFont="0" applyFill="0" applyBorder="0" applyAlignment="0" applyProtection="0"/>
    <xf numFmtId="0" fontId="117" fillId="0" borderId="0"/>
    <xf numFmtId="0" fontId="117" fillId="0" borderId="0"/>
    <xf numFmtId="43" fontId="117" fillId="0" borderId="0" applyFont="0" applyFill="0" applyBorder="0" applyAlignment="0" applyProtection="0"/>
    <xf numFmtId="0" fontId="117" fillId="0" borderId="0"/>
    <xf numFmtId="175" fontId="117" fillId="0" borderId="0" applyFont="0" applyFill="0" applyBorder="0" applyAlignment="0" applyProtection="0"/>
    <xf numFmtId="0" fontId="116" fillId="0" borderId="0"/>
    <xf numFmtId="0" fontId="116" fillId="0" borderId="0"/>
    <xf numFmtId="43" fontId="116" fillId="0" borderId="0" applyFont="0" applyFill="0" applyBorder="0" applyAlignment="0" applyProtection="0"/>
    <xf numFmtId="0" fontId="115" fillId="0" borderId="0"/>
    <xf numFmtId="164" fontId="115" fillId="0" borderId="0" applyFont="0" applyFill="0" applyBorder="0" applyAlignment="0" applyProtection="0"/>
    <xf numFmtId="175" fontId="115" fillId="0" borderId="0" applyFont="0" applyFill="0" applyBorder="0" applyAlignment="0" applyProtection="0"/>
    <xf numFmtId="0" fontId="114" fillId="0" borderId="0"/>
    <xf numFmtId="164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0" fontId="114" fillId="0" borderId="0"/>
    <xf numFmtId="0" fontId="114" fillId="0" borderId="0"/>
    <xf numFmtId="0" fontId="113" fillId="0" borderId="0"/>
    <xf numFmtId="0" fontId="113" fillId="0" borderId="0"/>
    <xf numFmtId="43" fontId="113" fillId="0" borderId="0" applyFont="0" applyFill="0" applyBorder="0" applyAlignment="0" applyProtection="0"/>
    <xf numFmtId="0" fontId="113" fillId="0" borderId="0"/>
    <xf numFmtId="0" fontId="112" fillId="0" borderId="0"/>
    <xf numFmtId="164" fontId="112" fillId="0" borderId="0" applyFont="0" applyFill="0" applyBorder="0" applyAlignment="0" applyProtection="0"/>
    <xf numFmtId="43" fontId="112" fillId="0" borderId="0" applyFont="0" applyFill="0" applyBorder="0" applyAlignment="0" applyProtection="0"/>
    <xf numFmtId="0" fontId="112" fillId="0" borderId="0"/>
    <xf numFmtId="0" fontId="112" fillId="0" borderId="0"/>
    <xf numFmtId="175" fontId="112" fillId="0" borderId="0" applyFont="0" applyFill="0" applyBorder="0" applyAlignment="0" applyProtection="0"/>
    <xf numFmtId="0" fontId="111" fillId="0" borderId="0"/>
    <xf numFmtId="164" fontId="111" fillId="0" borderId="0" applyFont="0" applyFill="0" applyBorder="0" applyAlignment="0" applyProtection="0"/>
    <xf numFmtId="0" fontId="110" fillId="0" borderId="0"/>
    <xf numFmtId="0" fontId="110" fillId="0" borderId="0"/>
    <xf numFmtId="43" fontId="110" fillId="0" borderId="0" applyFont="0" applyFill="0" applyBorder="0" applyAlignment="0" applyProtection="0"/>
    <xf numFmtId="0" fontId="110" fillId="0" borderId="0"/>
    <xf numFmtId="0" fontId="109" fillId="0" borderId="0"/>
    <xf numFmtId="164" fontId="109" fillId="0" borderId="0" applyFont="0" applyFill="0" applyBorder="0" applyAlignment="0" applyProtection="0"/>
    <xf numFmtId="0" fontId="109" fillId="0" borderId="0"/>
    <xf numFmtId="164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175" fontId="109" fillId="0" borderId="0" applyFont="0" applyFill="0" applyBorder="0" applyAlignment="0" applyProtection="0"/>
    <xf numFmtId="0" fontId="109" fillId="0" borderId="0"/>
    <xf numFmtId="0" fontId="108" fillId="0" borderId="0"/>
    <xf numFmtId="164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175" fontId="108" fillId="0" borderId="0" applyFont="0" applyFill="0" applyBorder="0" applyAlignment="0" applyProtection="0"/>
    <xf numFmtId="0" fontId="107" fillId="0" borderId="0"/>
    <xf numFmtId="175" fontId="107" fillId="0" borderId="0" applyFont="0" applyFill="0" applyBorder="0" applyAlignment="0" applyProtection="0"/>
    <xf numFmtId="164" fontId="107" fillId="0" borderId="0" applyFont="0" applyFill="0" applyBorder="0" applyAlignment="0" applyProtection="0"/>
    <xf numFmtId="0" fontId="106" fillId="0" borderId="0"/>
    <xf numFmtId="0" fontId="106" fillId="0" borderId="0"/>
    <xf numFmtId="43" fontId="106" fillId="0" borderId="0" applyFont="0" applyFill="0" applyBorder="0" applyAlignment="0" applyProtection="0"/>
    <xf numFmtId="0" fontId="105" fillId="0" borderId="0"/>
    <xf numFmtId="0" fontId="105" fillId="0" borderId="0"/>
    <xf numFmtId="43" fontId="105" fillId="0" borderId="0" applyFont="0" applyFill="0" applyBorder="0" applyAlignment="0" applyProtection="0"/>
    <xf numFmtId="0" fontId="105" fillId="0" borderId="0"/>
    <xf numFmtId="0" fontId="104" fillId="0" borderId="0"/>
    <xf numFmtId="43" fontId="104" fillId="0" borderId="0" applyFont="0" applyFill="0" applyBorder="0" applyAlignment="0" applyProtection="0"/>
    <xf numFmtId="0" fontId="269" fillId="18" borderId="12">
      <alignment horizontal="center" vertical="center"/>
    </xf>
    <xf numFmtId="0" fontId="103" fillId="0" borderId="0"/>
    <xf numFmtId="164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103" fillId="0" borderId="0"/>
    <xf numFmtId="0" fontId="103" fillId="0" borderId="0"/>
    <xf numFmtId="0" fontId="102" fillId="0" borderId="0"/>
    <xf numFmtId="175" fontId="102" fillId="0" borderId="0" applyFont="0" applyFill="0" applyBorder="0" applyAlignment="0" applyProtection="0"/>
    <xf numFmtId="0" fontId="101" fillId="0" borderId="0"/>
    <xf numFmtId="0" fontId="101" fillId="0" borderId="0"/>
    <xf numFmtId="43" fontId="101" fillId="0" borderId="0" applyFont="0" applyFill="0" applyBorder="0" applyAlignment="0" applyProtection="0"/>
    <xf numFmtId="164" fontId="101" fillId="0" borderId="0" applyFont="0" applyFill="0" applyBorder="0" applyAlignment="0" applyProtection="0"/>
    <xf numFmtId="0" fontId="100" fillId="0" borderId="0"/>
    <xf numFmtId="0" fontId="100" fillId="0" borderId="0"/>
    <xf numFmtId="43" fontId="100" fillId="0" borderId="0" applyFont="0" applyFill="0" applyBorder="0" applyAlignment="0" applyProtection="0"/>
    <xf numFmtId="0" fontId="100" fillId="0" borderId="0"/>
    <xf numFmtId="0" fontId="99" fillId="0" borderId="0"/>
    <xf numFmtId="164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0" fontId="99" fillId="0" borderId="0"/>
    <xf numFmtId="0" fontId="99" fillId="0" borderId="0"/>
    <xf numFmtId="0" fontId="98" fillId="0" borderId="0"/>
    <xf numFmtId="0" fontId="98" fillId="0" borderId="0"/>
    <xf numFmtId="43" fontId="98" fillId="0" borderId="0" applyFont="0" applyFill="0" applyBorder="0" applyAlignment="0" applyProtection="0"/>
    <xf numFmtId="0" fontId="97" fillId="0" borderId="0"/>
    <xf numFmtId="175" fontId="97" fillId="0" borderId="0" applyFont="0" applyFill="0" applyBorder="0" applyAlignment="0" applyProtection="0"/>
    <xf numFmtId="164" fontId="97" fillId="0" borderId="0" applyFont="0" applyFill="0" applyBorder="0" applyAlignment="0" applyProtection="0"/>
    <xf numFmtId="0" fontId="96" fillId="0" borderId="0"/>
    <xf numFmtId="0" fontId="96" fillId="0" borderId="0"/>
    <xf numFmtId="43" fontId="96" fillId="0" borderId="0" applyFont="0" applyFill="0" applyBorder="0" applyAlignment="0" applyProtection="0"/>
    <xf numFmtId="0" fontId="96" fillId="0" borderId="0"/>
    <xf numFmtId="0" fontId="95" fillId="0" borderId="0"/>
    <xf numFmtId="175" fontId="95" fillId="0" borderId="0" applyFont="0" applyFill="0" applyBorder="0" applyAlignment="0" applyProtection="0"/>
    <xf numFmtId="0" fontId="228" fillId="0" borderId="0"/>
    <xf numFmtId="0" fontId="94" fillId="0" borderId="0"/>
    <xf numFmtId="164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0" fontId="94" fillId="0" borderId="0"/>
    <xf numFmtId="0" fontId="94" fillId="0" borderId="0"/>
    <xf numFmtId="0" fontId="93" fillId="0" borderId="0"/>
    <xf numFmtId="164" fontId="93" fillId="0" borderId="0" applyFont="0" applyFill="0" applyBorder="0" applyAlignment="0" applyProtection="0"/>
    <xf numFmtId="0" fontId="92" fillId="0" borderId="0"/>
    <xf numFmtId="0" fontId="92" fillId="0" borderId="0"/>
    <xf numFmtId="43" fontId="92" fillId="0" borderId="0" applyFont="0" applyFill="0" applyBorder="0" applyAlignment="0" applyProtection="0"/>
    <xf numFmtId="0" fontId="92" fillId="0" borderId="0"/>
    <xf numFmtId="0" fontId="91" fillId="0" borderId="0"/>
    <xf numFmtId="164" fontId="91" fillId="0" borderId="0" applyFont="0" applyFill="0" applyBorder="0" applyAlignment="0" applyProtection="0"/>
    <xf numFmtId="43" fontId="91" fillId="0" borderId="0" applyFont="0" applyFill="0" applyBorder="0" applyAlignment="0" applyProtection="0"/>
    <xf numFmtId="0" fontId="91" fillId="0" borderId="0"/>
    <xf numFmtId="0" fontId="91" fillId="0" borderId="0"/>
    <xf numFmtId="0" fontId="90" fillId="0" borderId="0"/>
    <xf numFmtId="175" fontId="90" fillId="0" borderId="0" applyFont="0" applyFill="0" applyBorder="0" applyAlignment="0" applyProtection="0"/>
    <xf numFmtId="0" fontId="89" fillId="0" borderId="0"/>
    <xf numFmtId="0" fontId="89" fillId="0" borderId="0"/>
    <xf numFmtId="43" fontId="89" fillId="0" borderId="0" applyFont="0" applyFill="0" applyBorder="0" applyAlignment="0" applyProtection="0"/>
    <xf numFmtId="0" fontId="89" fillId="0" borderId="0"/>
    <xf numFmtId="0" fontId="88" fillId="0" borderId="0"/>
    <xf numFmtId="164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0" fontId="88" fillId="0" borderId="0"/>
    <xf numFmtId="0" fontId="88" fillId="0" borderId="0"/>
    <xf numFmtId="175" fontId="88" fillId="0" borderId="0" applyFont="0" applyFill="0" applyBorder="0" applyAlignment="0" applyProtection="0"/>
    <xf numFmtId="0" fontId="87" fillId="0" borderId="0"/>
    <xf numFmtId="164" fontId="87" fillId="0" borderId="0" applyFont="0" applyFill="0" applyBorder="0" applyAlignment="0" applyProtection="0"/>
    <xf numFmtId="0" fontId="86" fillId="0" borderId="0"/>
    <xf numFmtId="0" fontId="86" fillId="0" borderId="0"/>
    <xf numFmtId="43" fontId="86" fillId="0" borderId="0" applyFont="0" applyFill="0" applyBorder="0" applyAlignment="0" applyProtection="0"/>
    <xf numFmtId="0" fontId="86" fillId="0" borderId="0"/>
    <xf numFmtId="0" fontId="85" fillId="0" borderId="0"/>
    <xf numFmtId="164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0" fontId="85" fillId="0" borderId="0"/>
    <xf numFmtId="0" fontId="85" fillId="0" borderId="0"/>
    <xf numFmtId="0" fontId="84" fillId="0" borderId="0"/>
    <xf numFmtId="175" fontId="84" fillId="0" borderId="0" applyFont="0" applyFill="0" applyBorder="0" applyAlignment="0" applyProtection="0"/>
    <xf numFmtId="0" fontId="83" fillId="0" borderId="0"/>
    <xf numFmtId="0" fontId="83" fillId="0" borderId="0"/>
    <xf numFmtId="43" fontId="83" fillId="0" borderId="0" applyFont="0" applyFill="0" applyBorder="0" applyAlignment="0" applyProtection="0"/>
    <xf numFmtId="0" fontId="83" fillId="0" borderId="0"/>
    <xf numFmtId="0" fontId="82" fillId="0" borderId="0"/>
    <xf numFmtId="164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0" fontId="82" fillId="0" borderId="0"/>
    <xf numFmtId="0" fontId="82" fillId="0" borderId="0"/>
    <xf numFmtId="175" fontId="82" fillId="0" borderId="0" applyFont="0" applyFill="0" applyBorder="0" applyAlignment="0" applyProtection="0"/>
    <xf numFmtId="0" fontId="81" fillId="0" borderId="0"/>
    <xf numFmtId="0" fontId="81" fillId="0" borderId="0"/>
    <xf numFmtId="43" fontId="81" fillId="0" borderId="0" applyFont="0" applyFill="0" applyBorder="0" applyAlignment="0" applyProtection="0"/>
    <xf numFmtId="164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0" fontId="81" fillId="0" borderId="0"/>
    <xf numFmtId="0" fontId="80" fillId="0" borderId="0"/>
    <xf numFmtId="0" fontId="80" fillId="0" borderId="0"/>
    <xf numFmtId="43" fontId="80" fillId="0" borderId="0" applyFont="0" applyFill="0" applyBorder="0" applyAlignment="0" applyProtection="0"/>
    <xf numFmtId="0" fontId="80" fillId="0" borderId="0"/>
    <xf numFmtId="0" fontId="79" fillId="0" borderId="0"/>
    <xf numFmtId="175" fontId="79" fillId="0" borderId="0" applyFont="0" applyFill="0" applyBorder="0" applyAlignment="0" applyProtection="0"/>
    <xf numFmtId="0" fontId="78" fillId="0" borderId="0"/>
    <xf numFmtId="164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0" fontId="78" fillId="0" borderId="0"/>
    <xf numFmtId="0" fontId="78" fillId="0" borderId="0"/>
    <xf numFmtId="0" fontId="77" fillId="0" borderId="0"/>
    <xf numFmtId="0" fontId="77" fillId="0" borderId="0"/>
    <xf numFmtId="43" fontId="77" fillId="0" borderId="0" applyFont="0" applyFill="0" applyBorder="0" applyAlignment="0" applyProtection="0"/>
    <xf numFmtId="0" fontId="76" fillId="0" borderId="0"/>
    <xf numFmtId="164" fontId="76" fillId="0" borderId="0" applyFont="0" applyFill="0" applyBorder="0" applyAlignment="0" applyProtection="0"/>
    <xf numFmtId="0" fontId="75" fillId="0" borderId="0"/>
    <xf numFmtId="0" fontId="75" fillId="0" borderId="0"/>
    <xf numFmtId="43" fontId="75" fillId="0" borderId="0" applyFont="0" applyFill="0" applyBorder="0" applyAlignment="0" applyProtection="0"/>
    <xf numFmtId="0" fontId="75" fillId="0" borderId="0"/>
    <xf numFmtId="0" fontId="74" fillId="0" borderId="0"/>
    <xf numFmtId="164" fontId="74" fillId="0" borderId="0" applyFont="0" applyFill="0" applyBorder="0" applyAlignment="0" applyProtection="0"/>
    <xf numFmtId="0" fontId="73" fillId="0" borderId="0"/>
    <xf numFmtId="16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0" fontId="73" fillId="0" borderId="0"/>
    <xf numFmtId="0" fontId="73" fillId="0" borderId="0"/>
    <xf numFmtId="0" fontId="72" fillId="0" borderId="0"/>
    <xf numFmtId="175" fontId="72" fillId="0" borderId="0" applyFont="0" applyFill="0" applyBorder="0" applyAlignment="0" applyProtection="0"/>
    <xf numFmtId="0" fontId="71" fillId="0" borderId="0"/>
    <xf numFmtId="0" fontId="71" fillId="0" borderId="0"/>
    <xf numFmtId="43" fontId="71" fillId="0" borderId="0" applyFont="0" applyFill="0" applyBorder="0" applyAlignment="0" applyProtection="0"/>
    <xf numFmtId="0" fontId="71" fillId="0" borderId="0"/>
    <xf numFmtId="0" fontId="70" fillId="0" borderId="0"/>
    <xf numFmtId="0" fontId="70" fillId="0" borderId="0"/>
    <xf numFmtId="43" fontId="70" fillId="0" borderId="0" applyFont="0" applyFill="0" applyBorder="0" applyAlignment="0" applyProtection="0"/>
    <xf numFmtId="0" fontId="70" fillId="0" borderId="0"/>
    <xf numFmtId="164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0" fontId="69" fillId="0" borderId="0"/>
    <xf numFmtId="175" fontId="69" fillId="0" borderId="0" applyFont="0" applyFill="0" applyBorder="0" applyAlignment="0" applyProtection="0"/>
    <xf numFmtId="0" fontId="69" fillId="0" borderId="0"/>
    <xf numFmtId="164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0" fontId="69" fillId="0" borderId="0"/>
    <xf numFmtId="0" fontId="69" fillId="0" borderId="0"/>
    <xf numFmtId="164" fontId="261" fillId="0" borderId="0" applyFont="0" applyFill="0" applyBorder="0" applyAlignment="0" applyProtection="0"/>
    <xf numFmtId="0" fontId="68" fillId="0" borderId="0"/>
    <xf numFmtId="164" fontId="68" fillId="0" borderId="0" applyFont="0" applyFill="0" applyBorder="0" applyAlignment="0" applyProtection="0"/>
    <xf numFmtId="43" fontId="68" fillId="0" borderId="0" applyFont="0" applyFill="0" applyBorder="0" applyAlignment="0" applyProtection="0"/>
    <xf numFmtId="0" fontId="68" fillId="0" borderId="0"/>
    <xf numFmtId="0" fontId="67" fillId="0" borderId="0"/>
    <xf numFmtId="0" fontId="67" fillId="0" borderId="0"/>
    <xf numFmtId="43" fontId="67" fillId="0" borderId="0" applyFont="0" applyFill="0" applyBorder="0" applyAlignment="0" applyProtection="0"/>
    <xf numFmtId="0" fontId="66" fillId="0" borderId="0"/>
    <xf numFmtId="0" fontId="66" fillId="0" borderId="0"/>
    <xf numFmtId="0" fontId="66" fillId="0" borderId="0"/>
    <xf numFmtId="43" fontId="66" fillId="0" borderId="0" applyFont="0" applyFill="0" applyBorder="0" applyAlignment="0" applyProtection="0"/>
    <xf numFmtId="0" fontId="66" fillId="0" borderId="0"/>
    <xf numFmtId="43" fontId="66" fillId="0" borderId="0" applyFont="0" applyFill="0" applyBorder="0" applyAlignment="0" applyProtection="0"/>
    <xf numFmtId="0" fontId="65" fillId="0" borderId="0"/>
    <xf numFmtId="175" fontId="65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0" fontId="64" fillId="0" borderId="0"/>
    <xf numFmtId="0" fontId="63" fillId="0" borderId="0"/>
    <xf numFmtId="175" fontId="63" fillId="0" borderId="0" applyFont="0" applyFill="0" applyBorder="0" applyAlignment="0" applyProtection="0"/>
    <xf numFmtId="0" fontId="62" fillId="0" borderId="0"/>
    <xf numFmtId="43" fontId="62" fillId="0" borderId="0" applyFont="0" applyFill="0" applyBorder="0" applyAlignment="0" applyProtection="0"/>
    <xf numFmtId="0" fontId="61" fillId="0" borderId="0"/>
    <xf numFmtId="0" fontId="61" fillId="0" borderId="0"/>
    <xf numFmtId="43" fontId="61" fillId="0" borderId="0" applyFont="0" applyFill="0" applyBorder="0" applyAlignment="0" applyProtection="0"/>
    <xf numFmtId="0" fontId="61" fillId="0" borderId="0"/>
    <xf numFmtId="0" fontId="60" fillId="0" borderId="0"/>
    <xf numFmtId="43" fontId="60" fillId="0" borderId="0" applyFont="0" applyFill="0" applyBorder="0" applyAlignment="0" applyProtection="0"/>
    <xf numFmtId="0" fontId="269" fillId="18" borderId="13">
      <alignment horizontal="center" vertical="center"/>
    </xf>
    <xf numFmtId="0" fontId="59" fillId="0" borderId="0"/>
    <xf numFmtId="164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0" fontId="59" fillId="0" borderId="0"/>
    <xf numFmtId="0" fontId="58" fillId="0" borderId="0"/>
    <xf numFmtId="164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0" fontId="241" fillId="0" borderId="0"/>
    <xf numFmtId="0" fontId="58" fillId="0" borderId="0"/>
    <xf numFmtId="165" fontId="236" fillId="0" borderId="0" applyFill="0" applyBorder="0" applyAlignment="0" applyProtection="0"/>
    <xf numFmtId="0" fontId="277" fillId="0" borderId="0"/>
    <xf numFmtId="0" fontId="58" fillId="0" borderId="0"/>
    <xf numFmtId="0" fontId="278" fillId="0" borderId="0"/>
    <xf numFmtId="0" fontId="57" fillId="0" borderId="0"/>
    <xf numFmtId="0" fontId="57" fillId="0" borderId="0"/>
    <xf numFmtId="0" fontId="279" fillId="0" borderId="0"/>
    <xf numFmtId="0" fontId="56" fillId="0" borderId="0"/>
    <xf numFmtId="0" fontId="56" fillId="0" borderId="0"/>
    <xf numFmtId="43" fontId="56" fillId="0" borderId="0" applyFont="0" applyFill="0" applyBorder="0" applyAlignment="0" applyProtection="0"/>
    <xf numFmtId="0" fontId="55" fillId="0" borderId="0"/>
    <xf numFmtId="0" fontId="54" fillId="0" borderId="0"/>
    <xf numFmtId="43" fontId="54" fillId="0" borderId="0" applyFont="0" applyFill="0" applyBorder="0" applyAlignment="0" applyProtection="0"/>
    <xf numFmtId="0" fontId="53" fillId="0" borderId="0"/>
    <xf numFmtId="0" fontId="53" fillId="0" borderId="0"/>
    <xf numFmtId="43" fontId="53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0" fontId="281" fillId="0" borderId="0"/>
    <xf numFmtId="178" fontId="281" fillId="0" borderId="0" applyFont="0" applyFill="0" applyBorder="0" applyAlignment="0" applyProtection="0"/>
    <xf numFmtId="0" fontId="282" fillId="20" borderId="0" applyNumberFormat="0" applyBorder="0" applyAlignment="0" applyProtection="0"/>
    <xf numFmtId="0" fontId="281" fillId="21" borderId="0" applyNumberFormat="0" applyFont="0" applyBorder="0" applyAlignment="0" applyProtection="0"/>
    <xf numFmtId="0" fontId="282" fillId="20" borderId="0" applyNumberFormat="0" applyBorder="0" applyAlignment="0" applyProtection="0"/>
    <xf numFmtId="178" fontId="281" fillId="0" borderId="0" applyFont="0" applyFill="0" applyBorder="0" applyAlignment="0" applyProtection="0"/>
    <xf numFmtId="0" fontId="283" fillId="22" borderId="0" applyNumberFormat="0" applyBorder="0" applyAlignment="0" applyProtection="0"/>
    <xf numFmtId="0" fontId="284" fillId="0" borderId="0" applyNumberFormat="0" applyBorder="0" applyProtection="0"/>
    <xf numFmtId="0" fontId="281" fillId="0" borderId="0" applyNumberFormat="0" applyFont="0" applyBorder="0" applyProtection="0"/>
    <xf numFmtId="0" fontId="281" fillId="0" borderId="0" applyNumberFormat="0" applyFont="0" applyBorder="0" applyProtection="0"/>
    <xf numFmtId="0" fontId="281" fillId="0" borderId="0" applyNumberFormat="0" applyFont="0" applyBorder="0" applyProtection="0"/>
    <xf numFmtId="0" fontId="285" fillId="0" borderId="0" applyNumberFormat="0" applyBorder="0" applyProtection="0"/>
    <xf numFmtId="0" fontId="51" fillId="0" borderId="0"/>
    <xf numFmtId="43" fontId="51" fillId="0" borderId="0" applyFont="0" applyFill="0" applyBorder="0" applyAlignment="0" applyProtection="0"/>
    <xf numFmtId="0" fontId="51" fillId="0" borderId="0"/>
    <xf numFmtId="166" fontId="236" fillId="0" borderId="0" applyFill="0" applyBorder="0" applyAlignment="0" applyProtection="0"/>
    <xf numFmtId="0" fontId="237" fillId="2" borderId="20">
      <alignment horizontal="center" vertical="center"/>
    </xf>
    <xf numFmtId="0" fontId="50" fillId="0" borderId="0"/>
    <xf numFmtId="43" fontId="50" fillId="0" borderId="0"/>
    <xf numFmtId="0" fontId="269" fillId="18" borderId="14">
      <alignment horizontal="center" vertical="center"/>
    </xf>
    <xf numFmtId="0" fontId="255" fillId="23" borderId="0"/>
    <xf numFmtId="0" fontId="286" fillId="0" borderId="0">
      <alignment vertical="top"/>
      <protection locked="0"/>
    </xf>
    <xf numFmtId="0" fontId="50" fillId="0" borderId="0"/>
    <xf numFmtId="0" fontId="49" fillId="0" borderId="0"/>
    <xf numFmtId="0" fontId="228" fillId="0" borderId="0"/>
    <xf numFmtId="43" fontId="49" fillId="0" borderId="0" applyFont="0" applyFill="0" applyBorder="0" applyAlignment="0" applyProtection="0"/>
    <xf numFmtId="175" fontId="228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287" fillId="0" borderId="0"/>
    <xf numFmtId="43" fontId="281" fillId="0" borderId="0" applyFont="0" applyFill="0" applyBorder="0" applyAlignment="0" applyProtection="0"/>
    <xf numFmtId="0" fontId="48" fillId="0" borderId="0"/>
    <xf numFmtId="43" fontId="48" fillId="0" borderId="0"/>
    <xf numFmtId="0" fontId="269" fillId="18" borderId="23">
      <alignment horizontal="center" vertical="center"/>
    </xf>
    <xf numFmtId="0" fontId="48" fillId="0" borderId="0"/>
    <xf numFmtId="0" fontId="47" fillId="0" borderId="0"/>
    <xf numFmtId="43" fontId="47" fillId="0" borderId="0"/>
    <xf numFmtId="0" fontId="47" fillId="0" borderId="0"/>
    <xf numFmtId="43" fontId="47" fillId="0" borderId="0"/>
    <xf numFmtId="0" fontId="47" fillId="0" borderId="0"/>
    <xf numFmtId="43" fontId="46" fillId="0" borderId="0"/>
    <xf numFmtId="0" fontId="46" fillId="0" borderId="0"/>
    <xf numFmtId="0" fontId="46" fillId="0" borderId="0"/>
    <xf numFmtId="0" fontId="46" fillId="0" borderId="0"/>
    <xf numFmtId="43" fontId="46" fillId="0" borderId="0"/>
    <xf numFmtId="0" fontId="45" fillId="0" borderId="0"/>
    <xf numFmtId="43" fontId="45" fillId="0" borderId="0"/>
    <xf numFmtId="0" fontId="45" fillId="0" borderId="0"/>
    <xf numFmtId="0" fontId="45" fillId="0" borderId="0"/>
    <xf numFmtId="0" fontId="45" fillId="0" borderId="0"/>
    <xf numFmtId="43" fontId="45" fillId="0" borderId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0" fontId="44" fillId="0" borderId="0"/>
    <xf numFmtId="43" fontId="44" fillId="0" borderId="0"/>
    <xf numFmtId="0" fontId="269" fillId="18" borderId="31">
      <alignment horizontal="center" vertical="center"/>
    </xf>
    <xf numFmtId="0" fontId="44" fillId="0" borderId="0"/>
    <xf numFmtId="0" fontId="43" fillId="0" borderId="0"/>
    <xf numFmtId="43" fontId="43" fillId="0" borderId="0" applyFont="0" applyFill="0" applyBorder="0" applyAlignment="0" applyProtection="0"/>
    <xf numFmtId="0" fontId="269" fillId="18" borderId="31">
      <alignment horizontal="center" vertical="center"/>
    </xf>
    <xf numFmtId="0" fontId="255" fillId="23" borderId="0" applyNumberFormat="0" applyBorder="0" applyAlignment="0" applyProtection="0"/>
    <xf numFmtId="0" fontId="42" fillId="0" borderId="0"/>
    <xf numFmtId="43" fontId="42" fillId="0" borderId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43" fontId="41" fillId="0" borderId="0"/>
    <xf numFmtId="0" fontId="41" fillId="0" borderId="0"/>
    <xf numFmtId="0" fontId="41" fillId="0" borderId="0"/>
    <xf numFmtId="0" fontId="269" fillId="18" borderId="31">
      <alignment horizontal="center" vertical="center"/>
    </xf>
    <xf numFmtId="0" fontId="40" fillId="0" borderId="0"/>
    <xf numFmtId="43" fontId="40" fillId="0" borderId="0"/>
    <xf numFmtId="0" fontId="40" fillId="0" borderId="0"/>
    <xf numFmtId="0" fontId="39" fillId="0" borderId="0"/>
    <xf numFmtId="0" fontId="39" fillId="0" borderId="0"/>
    <xf numFmtId="164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39" fillId="0" borderId="0"/>
    <xf numFmtId="0" fontId="39" fillId="0" borderId="0"/>
    <xf numFmtId="0" fontId="38" fillId="0" borderId="0"/>
    <xf numFmtId="43" fontId="38" fillId="0" borderId="0"/>
    <xf numFmtId="0" fontId="38" fillId="0" borderId="0"/>
    <xf numFmtId="0" fontId="38" fillId="0" borderId="0"/>
    <xf numFmtId="43" fontId="38" fillId="0" borderId="0"/>
    <xf numFmtId="0" fontId="37" fillId="0" borderId="0"/>
    <xf numFmtId="43" fontId="37" fillId="0" borderId="0"/>
    <xf numFmtId="0" fontId="37" fillId="0" borderId="0"/>
    <xf numFmtId="43" fontId="37" fillId="0" borderId="0"/>
    <xf numFmtId="0" fontId="37" fillId="0" borderId="0"/>
    <xf numFmtId="0" fontId="37" fillId="0" borderId="0"/>
    <xf numFmtId="43" fontId="37" fillId="0" borderId="0"/>
    <xf numFmtId="0" fontId="36" fillId="0" borderId="0"/>
    <xf numFmtId="43" fontId="35" fillId="0" borderId="0"/>
    <xf numFmtId="0" fontId="35" fillId="0" borderId="0"/>
    <xf numFmtId="0" fontId="35" fillId="0" borderId="0"/>
    <xf numFmtId="0" fontId="35" fillId="0" borderId="0"/>
    <xf numFmtId="43" fontId="35" fillId="0" borderId="0"/>
    <xf numFmtId="0" fontId="35" fillId="0" borderId="0"/>
    <xf numFmtId="0" fontId="34" fillId="0" borderId="0"/>
    <xf numFmtId="43" fontId="34" fillId="0" borderId="0"/>
    <xf numFmtId="43" fontId="34" fillId="0" borderId="0"/>
    <xf numFmtId="0" fontId="34" fillId="0" borderId="0"/>
    <xf numFmtId="0" fontId="34" fillId="0" borderId="0"/>
    <xf numFmtId="43" fontId="34" fillId="0" borderId="0"/>
    <xf numFmtId="0" fontId="34" fillId="0" borderId="0"/>
    <xf numFmtId="0" fontId="34" fillId="0" borderId="0"/>
    <xf numFmtId="0" fontId="34" fillId="0" borderId="0"/>
    <xf numFmtId="43" fontId="34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/>
    <xf numFmtId="0" fontId="277" fillId="0" borderId="0"/>
    <xf numFmtId="166" fontId="236" fillId="0" borderId="0" applyFill="0" applyBorder="0" applyAlignment="0" applyProtection="0"/>
    <xf numFmtId="0" fontId="237" fillId="2" borderId="34">
      <alignment horizontal="center" vertical="center"/>
    </xf>
    <xf numFmtId="0" fontId="33" fillId="0" borderId="0"/>
    <xf numFmtId="43" fontId="33" fillId="0" borderId="0" applyFont="0" applyFill="0" applyBorder="0" applyAlignment="0" applyProtection="0"/>
    <xf numFmtId="0" fontId="228" fillId="0" borderId="0"/>
    <xf numFmtId="43" fontId="228" fillId="0" borderId="0" applyFont="0" applyFill="0" applyBorder="0" applyAlignment="0" applyProtection="0"/>
    <xf numFmtId="0" fontId="33" fillId="0" borderId="0"/>
    <xf numFmtId="0" fontId="33" fillId="11" borderId="0" applyNumberFormat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261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261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261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261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237" fillId="2" borderId="34">
      <alignment horizontal="center" vertical="center"/>
    </xf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237" fillId="2" borderId="34">
      <alignment horizontal="center" vertical="center"/>
    </xf>
    <xf numFmtId="0" fontId="33" fillId="0" borderId="0"/>
    <xf numFmtId="43" fontId="33" fillId="0" borderId="0"/>
    <xf numFmtId="0" fontId="269" fillId="18" borderId="31">
      <alignment horizontal="center" vertical="center"/>
    </xf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281" fillId="0" borderId="0"/>
    <xf numFmtId="0" fontId="33" fillId="0" borderId="0"/>
    <xf numFmtId="43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43" fontId="33" fillId="0" borderId="0"/>
    <xf numFmtId="0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/>
    <xf numFmtId="43" fontId="33" fillId="0" borderId="0"/>
    <xf numFmtId="0" fontId="33" fillId="0" borderId="0"/>
    <xf numFmtId="0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43" fontId="32" fillId="0" borderId="0"/>
    <xf numFmtId="0" fontId="32" fillId="0" borderId="0"/>
    <xf numFmtId="0" fontId="32" fillId="0" borderId="0"/>
    <xf numFmtId="43" fontId="32" fillId="0" borderId="0"/>
    <xf numFmtId="43" fontId="31" fillId="0" borderId="0"/>
    <xf numFmtId="0" fontId="31" fillId="0" borderId="0"/>
    <xf numFmtId="0" fontId="31" fillId="0" borderId="0"/>
    <xf numFmtId="43" fontId="31" fillId="0" borderId="0"/>
    <xf numFmtId="0" fontId="31" fillId="0" borderId="0"/>
    <xf numFmtId="0" fontId="31" fillId="0" borderId="0"/>
    <xf numFmtId="0" fontId="31" fillId="0" borderId="0"/>
    <xf numFmtId="43" fontId="31" fillId="0" borderId="0"/>
    <xf numFmtId="0" fontId="31" fillId="0" borderId="0"/>
    <xf numFmtId="0" fontId="31" fillId="0" borderId="0"/>
    <xf numFmtId="43" fontId="31" fillId="0" borderId="0"/>
    <xf numFmtId="0" fontId="30" fillId="0" borderId="0"/>
    <xf numFmtId="43" fontId="30" fillId="0" borderId="0"/>
    <xf numFmtId="0" fontId="30" fillId="0" borderId="0"/>
    <xf numFmtId="0" fontId="30" fillId="0" borderId="0"/>
    <xf numFmtId="43" fontId="30" fillId="0" borderId="0"/>
    <xf numFmtId="0" fontId="30" fillId="0" borderId="0"/>
    <xf numFmtId="43" fontId="29" fillId="0" borderId="0"/>
    <xf numFmtId="0" fontId="29" fillId="0" borderId="0"/>
    <xf numFmtId="0" fontId="269" fillId="18" borderId="35">
      <alignment horizontal="center" vertical="center"/>
    </xf>
    <xf numFmtId="0" fontId="29" fillId="0" borderId="0"/>
    <xf numFmtId="0" fontId="29" fillId="0" borderId="0"/>
    <xf numFmtId="43" fontId="29" fillId="0" borderId="0"/>
    <xf numFmtId="0" fontId="29" fillId="0" borderId="0"/>
    <xf numFmtId="0" fontId="28" fillId="0" borderId="0"/>
    <xf numFmtId="43" fontId="28" fillId="0" borderId="0"/>
    <xf numFmtId="0" fontId="269" fillId="18" borderId="36">
      <alignment horizontal="center" vertical="center"/>
    </xf>
    <xf numFmtId="0" fontId="28" fillId="0" borderId="0"/>
    <xf numFmtId="43" fontId="28" fillId="0" borderId="0"/>
    <xf numFmtId="0" fontId="28" fillId="0" borderId="0"/>
    <xf numFmtId="0" fontId="28" fillId="0" borderId="0"/>
    <xf numFmtId="0" fontId="28" fillId="0" borderId="0"/>
    <xf numFmtId="43" fontId="28" fillId="0" borderId="0"/>
    <xf numFmtId="0" fontId="28" fillId="0" borderId="0"/>
    <xf numFmtId="0" fontId="28" fillId="0" borderId="0"/>
    <xf numFmtId="43" fontId="28" fillId="0" borderId="0"/>
    <xf numFmtId="43" fontId="28" fillId="0" borderId="0"/>
    <xf numFmtId="0" fontId="28" fillId="0" borderId="0"/>
    <xf numFmtId="0" fontId="28" fillId="0" borderId="0"/>
    <xf numFmtId="43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43" fontId="27" fillId="0" borderId="0"/>
    <xf numFmtId="0" fontId="27" fillId="0" borderId="0"/>
    <xf numFmtId="0" fontId="27" fillId="0" borderId="0"/>
    <xf numFmtId="0" fontId="27" fillId="0" borderId="0"/>
    <xf numFmtId="43" fontId="27" fillId="0" borderId="0"/>
    <xf numFmtId="0" fontId="27" fillId="0" borderId="0"/>
    <xf numFmtId="0" fontId="27" fillId="0" borderId="0"/>
    <xf numFmtId="43" fontId="27" fillId="0" borderId="0"/>
    <xf numFmtId="43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43" fontId="26" fillId="0" borderId="0"/>
    <xf numFmtId="0" fontId="26" fillId="0" borderId="0"/>
    <xf numFmtId="0" fontId="26" fillId="0" borderId="0"/>
    <xf numFmtId="0" fontId="26" fillId="0" borderId="0"/>
    <xf numFmtId="43" fontId="26" fillId="0" borderId="0"/>
    <xf numFmtId="0" fontId="26" fillId="0" borderId="0"/>
    <xf numFmtId="0" fontId="26" fillId="0" borderId="0"/>
    <xf numFmtId="0" fontId="26" fillId="0" borderId="0"/>
    <xf numFmtId="43" fontId="26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69" fillId="18" borderId="35">
      <alignment horizontal="center" vertical="center"/>
    </xf>
    <xf numFmtId="0" fontId="25" fillId="0" borderId="0"/>
    <xf numFmtId="43" fontId="24" fillId="0" borderId="0"/>
    <xf numFmtId="0" fontId="24" fillId="0" borderId="0"/>
    <xf numFmtId="0" fontId="24" fillId="0" borderId="0"/>
    <xf numFmtId="0" fontId="24" fillId="0" borderId="0"/>
    <xf numFmtId="43" fontId="24" fillId="0" borderId="0"/>
    <xf numFmtId="0" fontId="24" fillId="0" borderId="0"/>
    <xf numFmtId="0" fontId="24" fillId="0" borderId="0"/>
    <xf numFmtId="0" fontId="24" fillId="0" borderId="0"/>
    <xf numFmtId="43" fontId="24" fillId="0" borderId="0"/>
    <xf numFmtId="0" fontId="24" fillId="0" borderId="0"/>
    <xf numFmtId="43" fontId="24" fillId="0" borderId="0"/>
    <xf numFmtId="0" fontId="24" fillId="0" borderId="0"/>
    <xf numFmtId="0" fontId="24" fillId="0" borderId="0"/>
    <xf numFmtId="0" fontId="24" fillId="0" borderId="0"/>
    <xf numFmtId="43" fontId="24" fillId="0" borderId="0"/>
    <xf numFmtId="0" fontId="23" fillId="0" borderId="0"/>
    <xf numFmtId="43" fontId="23" fillId="0" borderId="0"/>
    <xf numFmtId="0" fontId="23" fillId="0" borderId="0"/>
    <xf numFmtId="43" fontId="23" fillId="0" borderId="0"/>
    <xf numFmtId="0" fontId="23" fillId="0" borderId="0"/>
    <xf numFmtId="0" fontId="23" fillId="0" borderId="0"/>
    <xf numFmtId="0" fontId="23" fillId="0" borderId="0"/>
    <xf numFmtId="43" fontId="23" fillId="0" borderId="0"/>
    <xf numFmtId="0" fontId="23" fillId="0" borderId="0"/>
    <xf numFmtId="0" fontId="23" fillId="0" borderId="0"/>
    <xf numFmtId="43" fontId="23" fillId="0" borderId="0"/>
    <xf numFmtId="43" fontId="23" fillId="0" borderId="0"/>
    <xf numFmtId="0" fontId="23" fillId="0" borderId="0"/>
    <xf numFmtId="0" fontId="23" fillId="0" borderId="0"/>
    <xf numFmtId="0" fontId="22" fillId="0" borderId="0"/>
    <xf numFmtId="43" fontId="22" fillId="0" borderId="0"/>
    <xf numFmtId="0" fontId="22" fillId="0" borderId="0"/>
    <xf numFmtId="43" fontId="22" fillId="0" borderId="0"/>
    <xf numFmtId="0" fontId="22" fillId="0" borderId="0"/>
    <xf numFmtId="43" fontId="22" fillId="0" borderId="0"/>
    <xf numFmtId="0" fontId="22" fillId="0" borderId="0"/>
    <xf numFmtId="0" fontId="22" fillId="0" borderId="0"/>
    <xf numFmtId="0" fontId="22" fillId="0" borderId="0"/>
    <xf numFmtId="43" fontId="22" fillId="0" borderId="0"/>
    <xf numFmtId="0" fontId="22" fillId="0" borderId="0"/>
    <xf numFmtId="43" fontId="22" fillId="0" borderId="0"/>
    <xf numFmtId="0" fontId="22" fillId="0" borderId="0"/>
    <xf numFmtId="0" fontId="22" fillId="0" borderId="0"/>
    <xf numFmtId="0" fontId="22" fillId="0" borderId="0"/>
    <xf numFmtId="43" fontId="22" fillId="0" borderId="0"/>
    <xf numFmtId="43" fontId="22" fillId="0" borderId="0"/>
    <xf numFmtId="0" fontId="22" fillId="0" borderId="0"/>
    <xf numFmtId="0" fontId="22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237" fillId="2" borderId="38">
      <alignment horizontal="center" vertical="center"/>
    </xf>
    <xf numFmtId="0" fontId="19" fillId="11" borderId="0" applyNumberFormat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11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69" fillId="18" borderId="44">
      <alignment horizontal="center" vertical="center"/>
    </xf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37" fillId="2" borderId="38">
      <alignment horizontal="center" vertical="center"/>
    </xf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269" fillId="18" borderId="39">
      <alignment horizontal="center" vertical="center"/>
    </xf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269" fillId="18" borderId="39">
      <alignment horizontal="center" vertical="center"/>
    </xf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269" fillId="18" borderId="39">
      <alignment horizontal="center" vertical="center"/>
    </xf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237" fillId="2" borderId="38">
      <alignment horizontal="center" vertical="center"/>
    </xf>
    <xf numFmtId="0" fontId="19" fillId="0" borderId="0"/>
    <xf numFmtId="43" fontId="19" fillId="0" borderId="0"/>
    <xf numFmtId="0" fontId="269" fillId="18" borderId="39">
      <alignment horizontal="center" vertical="center"/>
    </xf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69" fillId="18" borderId="36">
      <alignment horizontal="center" vertical="center"/>
    </xf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/>
    <xf numFmtId="0" fontId="269" fillId="18" borderId="36">
      <alignment horizontal="center" vertical="center"/>
    </xf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269" fillId="18" borderId="36">
      <alignment horizontal="center" vertical="center"/>
    </xf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/>
    <xf numFmtId="0" fontId="19" fillId="0" borderId="0"/>
    <xf numFmtId="0" fontId="269" fillId="18" borderId="36">
      <alignment horizontal="center" vertical="center"/>
    </xf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0" fontId="237" fillId="2" borderId="40">
      <alignment horizontal="center" vertical="center"/>
    </xf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11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37" fillId="2" borderId="40">
      <alignment horizontal="center" vertical="center"/>
    </xf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237" fillId="2" borderId="40">
      <alignment horizontal="center" vertical="center"/>
    </xf>
    <xf numFmtId="0" fontId="19" fillId="0" borderId="0"/>
    <xf numFmtId="43" fontId="19" fillId="0" borderId="0"/>
    <xf numFmtId="0" fontId="269" fillId="18" borderId="36">
      <alignment horizontal="center" vertical="center"/>
    </xf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269" fillId="18" borderId="36">
      <alignment horizontal="center" vertical="center"/>
    </xf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269" fillId="18" borderId="36">
      <alignment horizontal="center" vertical="center"/>
    </xf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269" fillId="18" borderId="41">
      <alignment horizontal="center" vertical="center"/>
    </xf>
    <xf numFmtId="0" fontId="269" fillId="18" borderId="43">
      <alignment horizontal="center" vertical="center"/>
    </xf>
    <xf numFmtId="0" fontId="269" fillId="18" borderId="41">
      <alignment horizontal="center" vertical="center"/>
    </xf>
    <xf numFmtId="0" fontId="269" fillId="18" borderId="43">
      <alignment horizontal="center" vertical="center"/>
    </xf>
    <xf numFmtId="0" fontId="269" fillId="18" borderId="41">
      <alignment horizontal="center" vertical="center"/>
    </xf>
    <xf numFmtId="0" fontId="269" fillId="18" borderId="41">
      <alignment horizontal="center" vertical="center"/>
    </xf>
    <xf numFmtId="0" fontId="269" fillId="18" borderId="41">
      <alignment horizontal="center" vertical="center"/>
    </xf>
    <xf numFmtId="0" fontId="269" fillId="18" borderId="44">
      <alignment horizontal="center" vertical="center"/>
    </xf>
    <xf numFmtId="0" fontId="269" fillId="18" borderId="43">
      <alignment horizontal="center" vertical="center"/>
    </xf>
    <xf numFmtId="0" fontId="269" fillId="18" borderId="44">
      <alignment horizontal="center" vertical="center"/>
    </xf>
    <xf numFmtId="0" fontId="237" fillId="2" borderId="42">
      <alignment horizontal="center" vertical="center"/>
    </xf>
    <xf numFmtId="0" fontId="269" fillId="18" borderId="44">
      <alignment horizontal="center" vertical="center"/>
    </xf>
    <xf numFmtId="0" fontId="237" fillId="2" borderId="42">
      <alignment horizontal="center" vertical="center"/>
    </xf>
    <xf numFmtId="0" fontId="237" fillId="2" borderId="42">
      <alignment horizontal="center" vertical="center"/>
    </xf>
    <xf numFmtId="0" fontId="269" fillId="18" borderId="43">
      <alignment horizontal="center" vertical="center"/>
    </xf>
    <xf numFmtId="0" fontId="269" fillId="18" borderId="44">
      <alignment horizontal="center" vertical="center"/>
    </xf>
    <xf numFmtId="0" fontId="269" fillId="18" borderId="44">
      <alignment horizontal="center" vertical="center"/>
    </xf>
    <xf numFmtId="0" fontId="269" fillId="18" borderId="44">
      <alignment horizontal="center" vertical="center"/>
    </xf>
    <xf numFmtId="0" fontId="269" fillId="18" borderId="44">
      <alignment horizontal="center" vertical="center"/>
    </xf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237" fillId="2" borderId="46">
      <alignment horizontal="center" vertical="center"/>
    </xf>
    <xf numFmtId="0" fontId="18" fillId="11" borderId="0" applyNumberFormat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11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37" fillId="2" borderId="46">
      <alignment horizontal="center" vertical="center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269" fillId="18" borderId="47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269" fillId="18" borderId="47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269" fillId="18" borderId="47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237" fillId="2" borderId="46">
      <alignment horizontal="center" vertical="center"/>
    </xf>
    <xf numFmtId="0" fontId="18" fillId="0" borderId="0"/>
    <xf numFmtId="43" fontId="18" fillId="0" borderId="0"/>
    <xf numFmtId="0" fontId="269" fillId="18" borderId="47">
      <alignment horizontal="center" vertical="center"/>
    </xf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43" fontId="18" fillId="0" borderId="0"/>
    <xf numFmtId="0" fontId="237" fillId="2" borderId="48">
      <alignment horizontal="center" vertical="center"/>
    </xf>
    <xf numFmtId="0" fontId="18" fillId="0" borderId="0"/>
    <xf numFmtId="43" fontId="18" fillId="0" borderId="0" applyFont="0" applyFill="0" applyBorder="0" applyAlignment="0" applyProtection="0"/>
    <xf numFmtId="0" fontId="237" fillId="2" borderId="52">
      <alignment horizontal="center" vertical="center"/>
    </xf>
    <xf numFmtId="0" fontId="18" fillId="0" borderId="0"/>
    <xf numFmtId="0" fontId="18" fillId="11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37" fillId="2" borderId="48">
      <alignment horizontal="center" vertical="center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237" fillId="2" borderId="48">
      <alignment horizontal="center" vertical="center"/>
    </xf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237" fillId="2" borderId="48">
      <alignment horizontal="center" vertical="center"/>
    </xf>
    <xf numFmtId="0" fontId="18" fillId="11" borderId="0" applyNumberFormat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11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69" fillId="18" borderId="51">
      <alignment horizontal="center" vertical="center"/>
    </xf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37" fillId="2" borderId="48">
      <alignment horizontal="center" vertical="center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269" fillId="18" borderId="49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269" fillId="18" borderId="49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269" fillId="18" borderId="49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237" fillId="2" borderId="48">
      <alignment horizontal="center" vertical="center"/>
    </xf>
    <xf numFmtId="0" fontId="18" fillId="0" borderId="0"/>
    <xf numFmtId="43" fontId="18" fillId="0" borderId="0"/>
    <xf numFmtId="0" fontId="269" fillId="18" borderId="49">
      <alignment horizontal="center" vertical="center"/>
    </xf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237" fillId="2" borderId="48">
      <alignment horizontal="center" vertical="center"/>
    </xf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11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37" fillId="2" borderId="48">
      <alignment horizontal="center" vertical="center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237" fillId="2" borderId="48">
      <alignment horizontal="center" vertical="center"/>
    </xf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269" fillId="18" borderId="49">
      <alignment horizontal="center" vertical="center"/>
    </xf>
    <xf numFmtId="0" fontId="269" fillId="18" borderId="51">
      <alignment horizontal="center" vertical="center"/>
    </xf>
    <xf numFmtId="0" fontId="269" fillId="18" borderId="49">
      <alignment horizontal="center" vertical="center"/>
    </xf>
    <xf numFmtId="0" fontId="269" fillId="18" borderId="51">
      <alignment horizontal="center" vertical="center"/>
    </xf>
    <xf numFmtId="0" fontId="269" fillId="18" borderId="49">
      <alignment horizontal="center" vertical="center"/>
    </xf>
    <xf numFmtId="0" fontId="269" fillId="18" borderId="49">
      <alignment horizontal="center" vertical="center"/>
    </xf>
    <xf numFmtId="0" fontId="269" fillId="18" borderId="49">
      <alignment horizontal="center" vertical="center"/>
    </xf>
    <xf numFmtId="0" fontId="269" fillId="18" borderId="51">
      <alignment horizontal="center" vertical="center"/>
    </xf>
    <xf numFmtId="0" fontId="269" fillId="18" borderId="51">
      <alignment horizontal="center" vertical="center"/>
    </xf>
    <xf numFmtId="0" fontId="269" fillId="18" borderId="51">
      <alignment horizontal="center" vertical="center"/>
    </xf>
    <xf numFmtId="0" fontId="237" fillId="2" borderId="50">
      <alignment horizontal="center" vertical="center"/>
    </xf>
    <xf numFmtId="0" fontId="269" fillId="18" borderId="51">
      <alignment horizontal="center" vertical="center"/>
    </xf>
    <xf numFmtId="0" fontId="237" fillId="2" borderId="50">
      <alignment horizontal="center" vertical="center"/>
    </xf>
    <xf numFmtId="0" fontId="237" fillId="2" borderId="50">
      <alignment horizontal="center" vertical="center"/>
    </xf>
    <xf numFmtId="0" fontId="269" fillId="18" borderId="51">
      <alignment horizontal="center" vertical="center"/>
    </xf>
    <xf numFmtId="0" fontId="269" fillId="18" borderId="51">
      <alignment horizontal="center" vertical="center"/>
    </xf>
    <xf numFmtId="0" fontId="269" fillId="18" borderId="51">
      <alignment horizontal="center" vertical="center"/>
    </xf>
    <xf numFmtId="0" fontId="269" fillId="18" borderId="51">
      <alignment horizontal="center" vertical="center"/>
    </xf>
    <xf numFmtId="0" fontId="269" fillId="18" borderId="51">
      <alignment horizontal="center" vertical="center"/>
    </xf>
    <xf numFmtId="0" fontId="237" fillId="2" borderId="52">
      <alignment horizontal="center" vertical="center"/>
    </xf>
    <xf numFmtId="0" fontId="269" fillId="18" borderId="53">
      <alignment horizontal="center" vertical="center"/>
    </xf>
    <xf numFmtId="0" fontId="269" fillId="18" borderId="53">
      <alignment horizontal="center" vertical="center"/>
    </xf>
    <xf numFmtId="0" fontId="269" fillId="18" borderId="53">
      <alignment horizontal="center" vertical="center"/>
    </xf>
    <xf numFmtId="0" fontId="237" fillId="2" borderId="54">
      <alignment horizontal="center" vertical="center"/>
    </xf>
    <xf numFmtId="0" fontId="237" fillId="2" borderId="54">
      <alignment horizontal="center" vertical="center"/>
    </xf>
    <xf numFmtId="0" fontId="237" fillId="2" borderId="54">
      <alignment horizontal="center" vertical="center"/>
    </xf>
    <xf numFmtId="0" fontId="269" fillId="18" borderId="53">
      <alignment horizontal="center" vertical="center"/>
    </xf>
    <xf numFmtId="0" fontId="269" fillId="18" borderId="53">
      <alignment horizontal="center" vertical="center"/>
    </xf>
    <xf numFmtId="0" fontId="269" fillId="18" borderId="53">
      <alignment horizontal="center" vertical="center"/>
    </xf>
    <xf numFmtId="0" fontId="269" fillId="18" borderId="53">
      <alignment horizontal="center" vertical="center"/>
    </xf>
    <xf numFmtId="0" fontId="237" fillId="2" borderId="45">
      <alignment horizontal="center" vertical="center"/>
    </xf>
    <xf numFmtId="0" fontId="269" fillId="18" borderId="56">
      <alignment horizontal="center" vertical="center"/>
    </xf>
    <xf numFmtId="0" fontId="237" fillId="2" borderId="45">
      <alignment horizontal="center" vertical="center"/>
    </xf>
    <xf numFmtId="0" fontId="269" fillId="18" borderId="55">
      <alignment horizontal="center" vertical="center"/>
    </xf>
    <xf numFmtId="0" fontId="269" fillId="18" borderId="55">
      <alignment horizontal="center" vertical="center"/>
    </xf>
    <xf numFmtId="0" fontId="269" fillId="18" borderId="55">
      <alignment horizontal="center" vertical="center"/>
    </xf>
    <xf numFmtId="0" fontId="237" fillId="2" borderId="45">
      <alignment horizontal="center" vertical="center"/>
    </xf>
    <xf numFmtId="0" fontId="269" fillId="18" borderId="55">
      <alignment horizontal="center" vertical="center"/>
    </xf>
    <xf numFmtId="0" fontId="269" fillId="18" borderId="53">
      <alignment horizontal="center" vertical="center"/>
    </xf>
    <xf numFmtId="0" fontId="269" fillId="18" borderId="53">
      <alignment horizontal="center" vertical="center"/>
    </xf>
    <xf numFmtId="0" fontId="269" fillId="18" borderId="53">
      <alignment horizontal="center" vertical="center"/>
    </xf>
    <xf numFmtId="0" fontId="269" fillId="18" borderId="53">
      <alignment horizontal="center" vertical="center"/>
    </xf>
    <xf numFmtId="0" fontId="237" fillId="2" borderId="45">
      <alignment horizontal="center" vertical="center"/>
    </xf>
    <xf numFmtId="0" fontId="237" fillId="2" borderId="45">
      <alignment horizontal="center" vertical="center"/>
    </xf>
    <xf numFmtId="0" fontId="237" fillId="2" borderId="45">
      <alignment horizontal="center" vertical="center"/>
    </xf>
    <xf numFmtId="0" fontId="269" fillId="18" borderId="53">
      <alignment horizontal="center" vertical="center"/>
    </xf>
    <xf numFmtId="0" fontId="269" fillId="18" borderId="53">
      <alignment horizontal="center" vertical="center"/>
    </xf>
    <xf numFmtId="0" fontId="269" fillId="18" borderId="53">
      <alignment horizontal="center" vertical="center"/>
    </xf>
    <xf numFmtId="0" fontId="269" fillId="18" borderId="55">
      <alignment horizontal="center" vertical="center"/>
    </xf>
    <xf numFmtId="0" fontId="269" fillId="18" borderId="56">
      <alignment horizontal="center" vertical="center"/>
    </xf>
    <xf numFmtId="0" fontId="269" fillId="18" borderId="55">
      <alignment horizontal="center" vertical="center"/>
    </xf>
    <xf numFmtId="0" fontId="269" fillId="18" borderId="56">
      <alignment horizontal="center" vertical="center"/>
    </xf>
    <xf numFmtId="0" fontId="269" fillId="18" borderId="55">
      <alignment horizontal="center" vertical="center"/>
    </xf>
    <xf numFmtId="0" fontId="269" fillId="18" borderId="55">
      <alignment horizontal="center" vertical="center"/>
    </xf>
    <xf numFmtId="0" fontId="269" fillId="18" borderId="55">
      <alignment horizontal="center" vertical="center"/>
    </xf>
    <xf numFmtId="0" fontId="269" fillId="18" borderId="56">
      <alignment horizontal="center" vertical="center"/>
    </xf>
    <xf numFmtId="0" fontId="269" fillId="18" borderId="56">
      <alignment horizontal="center" vertical="center"/>
    </xf>
    <xf numFmtId="0" fontId="269" fillId="18" borderId="56">
      <alignment horizontal="center" vertical="center"/>
    </xf>
    <xf numFmtId="0" fontId="237" fillId="2" borderId="52">
      <alignment horizontal="center" vertical="center"/>
    </xf>
    <xf numFmtId="0" fontId="269" fillId="18" borderId="56">
      <alignment horizontal="center" vertical="center"/>
    </xf>
    <xf numFmtId="0" fontId="237" fillId="2" borderId="52">
      <alignment horizontal="center" vertical="center"/>
    </xf>
    <xf numFmtId="0" fontId="237" fillId="2" borderId="52">
      <alignment horizontal="center" vertical="center"/>
    </xf>
    <xf numFmtId="0" fontId="269" fillId="18" borderId="56">
      <alignment horizontal="center" vertical="center"/>
    </xf>
    <xf numFmtId="0" fontId="269" fillId="18" borderId="56">
      <alignment horizontal="center" vertical="center"/>
    </xf>
    <xf numFmtId="0" fontId="269" fillId="18" borderId="56">
      <alignment horizontal="center" vertical="center"/>
    </xf>
    <xf numFmtId="0" fontId="269" fillId="18" borderId="56">
      <alignment horizontal="center" vertical="center"/>
    </xf>
    <xf numFmtId="0" fontId="269" fillId="18" borderId="56">
      <alignment horizontal="center" vertical="center"/>
    </xf>
    <xf numFmtId="43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7" fillId="0" borderId="0"/>
    <xf numFmtId="0" fontId="17" fillId="0" borderId="0"/>
    <xf numFmtId="0" fontId="17" fillId="0" borderId="0"/>
    <xf numFmtId="0" fontId="17" fillId="0" borderId="0"/>
    <xf numFmtId="43" fontId="17" fillId="0" borderId="0"/>
    <xf numFmtId="0" fontId="17" fillId="0" borderId="0"/>
    <xf numFmtId="0" fontId="17" fillId="0" borderId="0"/>
    <xf numFmtId="0" fontId="17" fillId="0" borderId="0"/>
    <xf numFmtId="43" fontId="17" fillId="0" borderId="0"/>
    <xf numFmtId="0" fontId="17" fillId="0" borderId="0"/>
    <xf numFmtId="43" fontId="17" fillId="0" borderId="0"/>
    <xf numFmtId="0" fontId="17" fillId="0" borderId="0"/>
    <xf numFmtId="43" fontId="17" fillId="0" borderId="0"/>
    <xf numFmtId="0" fontId="17" fillId="0" borderId="0"/>
    <xf numFmtId="0" fontId="17" fillId="0" borderId="0"/>
    <xf numFmtId="43" fontId="17" fillId="0" borderId="0"/>
    <xf numFmtId="43" fontId="16" fillId="0" borderId="0"/>
    <xf numFmtId="0" fontId="16" fillId="0" borderId="0"/>
    <xf numFmtId="0" fontId="16" fillId="0" borderId="0"/>
    <xf numFmtId="0" fontId="236" fillId="0" borderId="0" applyFill="0" applyBorder="0" applyAlignment="0" applyProtection="0"/>
    <xf numFmtId="43" fontId="16" fillId="0" borderId="0"/>
    <xf numFmtId="0" fontId="16" fillId="0" borderId="0"/>
    <xf numFmtId="0" fontId="16" fillId="0" borderId="0"/>
    <xf numFmtId="0" fontId="16" fillId="0" borderId="0"/>
    <xf numFmtId="43" fontId="16" fillId="0" borderId="0"/>
    <xf numFmtId="0" fontId="16" fillId="0" borderId="0"/>
    <xf numFmtId="0" fontId="16" fillId="0" borderId="0"/>
    <xf numFmtId="0" fontId="16" fillId="0" borderId="0"/>
    <xf numFmtId="43" fontId="16" fillId="0" borderId="0"/>
    <xf numFmtId="0" fontId="16" fillId="0" borderId="0"/>
    <xf numFmtId="0" fontId="16" fillId="0" borderId="0"/>
    <xf numFmtId="43" fontId="16" fillId="0" borderId="0"/>
    <xf numFmtId="0" fontId="15" fillId="0" borderId="0"/>
    <xf numFmtId="43" fontId="15" fillId="0" borderId="0"/>
    <xf numFmtId="0" fontId="15" fillId="0" borderId="0"/>
    <xf numFmtId="43" fontId="15" fillId="0" borderId="0"/>
    <xf numFmtId="0" fontId="15" fillId="0" borderId="0"/>
    <xf numFmtId="0" fontId="15" fillId="0" borderId="0"/>
    <xf numFmtId="0" fontId="15" fillId="0" borderId="0"/>
    <xf numFmtId="43" fontId="15" fillId="0" borderId="0"/>
    <xf numFmtId="0" fontId="15" fillId="0" borderId="0"/>
    <xf numFmtId="0" fontId="15" fillId="0" borderId="0"/>
    <xf numFmtId="43" fontId="15" fillId="0" borderId="0"/>
    <xf numFmtId="43" fontId="15" fillId="0" borderId="0"/>
    <xf numFmtId="0" fontId="15" fillId="0" borderId="0"/>
    <xf numFmtId="0" fontId="15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43" fontId="14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43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43" fontId="12" fillId="0" borderId="0"/>
    <xf numFmtId="0" fontId="11" fillId="0" borderId="0"/>
    <xf numFmtId="43" fontId="11" fillId="0" borderId="0"/>
    <xf numFmtId="0" fontId="269" fillId="18" borderId="62">
      <alignment horizontal="center" vertical="center"/>
    </xf>
    <xf numFmtId="9" fontId="11" fillId="0" borderId="0"/>
    <xf numFmtId="0" fontId="10" fillId="0" borderId="0"/>
    <xf numFmtId="43" fontId="10" fillId="0" borderId="0"/>
    <xf numFmtId="9" fontId="10" fillId="0" borderId="0"/>
    <xf numFmtId="0" fontId="9" fillId="0" borderId="0"/>
    <xf numFmtId="0" fontId="9" fillId="0" borderId="0"/>
    <xf numFmtId="0" fontId="8" fillId="0" borderId="0"/>
    <xf numFmtId="17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7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69" fillId="18" borderId="66">
      <alignment horizontal="center" vertical="center"/>
    </xf>
    <xf numFmtId="9" fontId="7" fillId="0" borderId="0"/>
    <xf numFmtId="0" fontId="269" fillId="18" borderId="67">
      <alignment horizontal="center" vertical="center"/>
    </xf>
    <xf numFmtId="0" fontId="7" fillId="0" borderId="0"/>
    <xf numFmtId="43" fontId="7" fillId="0" borderId="0"/>
    <xf numFmtId="43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/>
    <xf numFmtId="0" fontId="6" fillId="0" borderId="0"/>
    <xf numFmtId="0" fontId="281" fillId="0" borderId="0"/>
    <xf numFmtId="0" fontId="5" fillId="0" borderId="0"/>
    <xf numFmtId="43" fontId="5" fillId="0" borderId="0"/>
    <xf numFmtId="9" fontId="5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3" fillId="0" borderId="0"/>
    <xf numFmtId="0" fontId="3" fillId="0" borderId="0"/>
    <xf numFmtId="9" fontId="3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/>
    <xf numFmtId="43" fontId="2" fillId="0" borderId="0"/>
    <xf numFmtId="0" fontId="1" fillId="0" borderId="0"/>
    <xf numFmtId="43" fontId="1" fillId="0" borderId="0"/>
    <xf numFmtId="9" fontId="1" fillId="0" borderId="0"/>
  </cellStyleXfs>
  <cellXfs count="354">
    <xf numFmtId="0" fontId="0" fillId="0" borderId="0" xfId="0"/>
    <xf numFmtId="0" fontId="257" fillId="0" borderId="0" xfId="623" applyFont="1" applyAlignment="1">
      <alignment vertical="center"/>
    </xf>
    <xf numFmtId="0" fontId="256" fillId="0" borderId="0" xfId="623" applyFont="1" applyAlignment="1">
      <alignment horizontal="center" vertical="center"/>
    </xf>
    <xf numFmtId="0" fontId="256" fillId="17" borderId="0" xfId="623" applyFont="1" applyFill="1" applyAlignment="1">
      <alignment vertical="center"/>
    </xf>
    <xf numFmtId="0" fontId="256" fillId="0" borderId="0" xfId="623" applyFont="1" applyAlignment="1">
      <alignment vertical="center"/>
    </xf>
    <xf numFmtId="0" fontId="247" fillId="0" borderId="0" xfId="629" applyFont="1"/>
    <xf numFmtId="0" fontId="280" fillId="0" borderId="0" xfId="0" applyFont="1"/>
    <xf numFmtId="0" fontId="247" fillId="19" borderId="0" xfId="629" applyFont="1" applyFill="1" applyAlignment="1">
      <alignment vertical="center"/>
    </xf>
    <xf numFmtId="14" fontId="247" fillId="0" borderId="0" xfId="629" applyNumberFormat="1" applyFont="1" applyAlignment="1">
      <alignment horizontal="center"/>
    </xf>
    <xf numFmtId="0" fontId="249" fillId="0" borderId="0" xfId="629" applyFont="1" applyAlignment="1">
      <alignment horizontal="center"/>
    </xf>
    <xf numFmtId="0" fontId="257" fillId="0" borderId="23" xfId="623" applyFont="1" applyBorder="1" applyAlignment="1">
      <alignment horizontal="center" vertical="center"/>
    </xf>
    <xf numFmtId="0" fontId="257" fillId="0" borderId="23" xfId="627" applyFont="1" applyBorder="1" applyAlignment="1">
      <alignment vertical="center"/>
    </xf>
    <xf numFmtId="169" fontId="257" fillId="0" borderId="29" xfId="626" applyNumberFormat="1" applyFont="1" applyBorder="1" applyAlignment="1">
      <alignment horizontal="center" vertical="center"/>
    </xf>
    <xf numFmtId="0" fontId="250" fillId="19" borderId="36" xfId="0" applyFont="1" applyFill="1" applyBorder="1" applyAlignment="1">
      <alignment horizontal="center" wrapText="1"/>
    </xf>
    <xf numFmtId="0" fontId="257" fillId="0" borderId="36" xfId="623" applyFont="1" applyBorder="1" applyAlignment="1">
      <alignment horizontal="center" vertical="center"/>
    </xf>
    <xf numFmtId="0" fontId="257" fillId="0" borderId="37" xfId="623" applyFont="1" applyBorder="1" applyAlignment="1">
      <alignment horizontal="center" vertical="center"/>
    </xf>
    <xf numFmtId="14" fontId="256" fillId="16" borderId="23" xfId="623" applyNumberFormat="1" applyFont="1" applyFill="1" applyBorder="1" applyAlignment="1">
      <alignment vertical="center"/>
    </xf>
    <xf numFmtId="14" fontId="256" fillId="16" borderId="37" xfId="623" applyNumberFormat="1" applyFont="1" applyFill="1" applyBorder="1" applyAlignment="1">
      <alignment vertical="center"/>
    </xf>
    <xf numFmtId="14" fontId="256" fillId="16" borderId="36" xfId="623" applyNumberFormat="1" applyFont="1" applyFill="1" applyBorder="1" applyAlignment="1">
      <alignment vertical="center"/>
    </xf>
    <xf numFmtId="0" fontId="257" fillId="0" borderId="59" xfId="623" applyFont="1" applyBorder="1" applyAlignment="1">
      <alignment horizontal="center" vertical="center"/>
    </xf>
    <xf numFmtId="0" fontId="250" fillId="19" borderId="59" xfId="0" applyFont="1" applyFill="1" applyBorder="1" applyAlignment="1">
      <alignment horizontal="center" wrapText="1"/>
    </xf>
    <xf numFmtId="0" fontId="257" fillId="0" borderId="59" xfId="627" applyFont="1" applyBorder="1" applyAlignment="1">
      <alignment vertical="center"/>
    </xf>
    <xf numFmtId="14" fontId="256" fillId="16" borderId="59" xfId="623" applyNumberFormat="1" applyFont="1" applyFill="1" applyBorder="1" applyAlignment="1">
      <alignment vertical="center"/>
    </xf>
    <xf numFmtId="0" fontId="4" fillId="0" borderId="0" xfId="6020"/>
    <xf numFmtId="0" fontId="274" fillId="0" borderId="67" xfId="6020" applyFont="1" applyBorder="1"/>
    <xf numFmtId="171" fontId="274" fillId="0" borderId="67" xfId="6021" applyNumberFormat="1" applyFont="1" applyBorder="1"/>
    <xf numFmtId="171" fontId="268" fillId="0" borderId="67" xfId="6020" applyNumberFormat="1" applyFont="1" applyBorder="1"/>
    <xf numFmtId="167" fontId="257" fillId="0" borderId="67" xfId="1" applyNumberFormat="1" applyFont="1" applyBorder="1"/>
    <xf numFmtId="0" fontId="274" fillId="0" borderId="67" xfId="6020" applyFont="1" applyBorder="1" applyAlignment="1">
      <alignment shrinkToFit="1"/>
    </xf>
    <xf numFmtId="14" fontId="274" fillId="0" borderId="67" xfId="6020" applyNumberFormat="1" applyFont="1" applyBorder="1"/>
    <xf numFmtId="0" fontId="1" fillId="0" borderId="0" xfId="6020" applyFont="1"/>
    <xf numFmtId="0" fontId="276" fillId="0" borderId="68" xfId="6031" applyFont="1" applyBorder="1" applyAlignment="1">
      <alignment wrapText="1"/>
    </xf>
    <xf numFmtId="0" fontId="256" fillId="0" borderId="0" xfId="6031" applyFont="1"/>
    <xf numFmtId="0" fontId="256" fillId="0" borderId="0" xfId="6031" applyFont="1" applyAlignment="1">
      <alignment shrinkToFit="1"/>
    </xf>
    <xf numFmtId="171" fontId="256" fillId="0" borderId="0" xfId="6032" applyNumberFormat="1" applyFont="1"/>
    <xf numFmtId="0" fontId="276" fillId="0" borderId="0" xfId="6031" applyFont="1"/>
    <xf numFmtId="0" fontId="263" fillId="0" borderId="0" xfId="666" applyFont="1" applyFill="1" applyAlignment="1">
      <alignment horizontal="center" vertical="center" wrapText="1"/>
    </xf>
    <xf numFmtId="0" fontId="276" fillId="0" borderId="62" xfId="0" applyFont="1" applyBorder="1" applyAlignment="1">
      <alignment horizontal="center"/>
    </xf>
    <xf numFmtId="0" fontId="250" fillId="0" borderId="0" xfId="0" applyFont="1" applyAlignment="1">
      <alignment horizontal="center" wrapText="1"/>
    </xf>
    <xf numFmtId="170" fontId="236" fillId="0" borderId="0" xfId="1" applyNumberFormat="1" applyFill="1" applyAlignment="1">
      <alignment horizontal="right"/>
    </xf>
    <xf numFmtId="14" fontId="0" fillId="0" borderId="0" xfId="0" applyNumberFormat="1"/>
    <xf numFmtId="0" fontId="0" fillId="0" borderId="0" xfId="0" applyAlignment="1">
      <alignment shrinkToFit="1"/>
    </xf>
    <xf numFmtId="171" fontId="0" fillId="0" borderId="0" xfId="0" applyNumberFormat="1"/>
    <xf numFmtId="0" fontId="256" fillId="0" borderId="60" xfId="0" applyFont="1" applyBorder="1" applyAlignment="1">
      <alignment horizontal="left"/>
    </xf>
    <xf numFmtId="0" fontId="256" fillId="0" borderId="61" xfId="0" applyFont="1" applyBorder="1" applyAlignment="1">
      <alignment horizontal="left"/>
    </xf>
    <xf numFmtId="14" fontId="256" fillId="0" borderId="61" xfId="0" applyNumberFormat="1" applyFont="1" applyBorder="1" applyAlignment="1">
      <alignment horizontal="left"/>
    </xf>
    <xf numFmtId="182" fontId="294" fillId="0" borderId="0" xfId="0" applyNumberFormat="1" applyFont="1" applyAlignment="1">
      <alignment horizontal="left" wrapText="1"/>
    </xf>
    <xf numFmtId="14" fontId="294" fillId="0" borderId="0" xfId="0" applyNumberFormat="1" applyFont="1" applyAlignment="1">
      <alignment horizontal="left" wrapText="1"/>
    </xf>
    <xf numFmtId="180" fontId="294" fillId="0" borderId="0" xfId="0" quotePrefix="1" applyNumberFormat="1" applyFont="1" applyAlignment="1">
      <alignment horizontal="left" wrapText="1"/>
    </xf>
    <xf numFmtId="180" fontId="294" fillId="0" borderId="0" xfId="0" applyNumberFormat="1" applyFont="1" applyAlignment="1">
      <alignment horizontal="left" wrapText="1"/>
    </xf>
    <xf numFmtId="0" fontId="256" fillId="17" borderId="0" xfId="623" applyFont="1" applyFill="1" applyAlignment="1">
      <alignment horizontal="center" vertical="center"/>
    </xf>
    <xf numFmtId="0" fontId="260" fillId="16" borderId="65" xfId="6031" applyFont="1" applyFill="1" applyBorder="1" applyAlignment="1">
      <alignment horizontal="left" vertical="center"/>
    </xf>
    <xf numFmtId="0" fontId="257" fillId="0" borderId="67" xfId="6020" applyFont="1" applyBorder="1" applyAlignment="1">
      <alignment shrinkToFit="1"/>
    </xf>
    <xf numFmtId="0" fontId="260" fillId="24" borderId="0" xfId="0" applyFont="1" applyFill="1" applyAlignment="1">
      <alignment horizontal="center" vertical="center"/>
    </xf>
    <xf numFmtId="0" fontId="260" fillId="25" borderId="0" xfId="0" applyFont="1" applyFill="1" applyAlignment="1">
      <alignment horizontal="center" vertical="center"/>
    </xf>
    <xf numFmtId="0" fontId="289" fillId="0" borderId="67" xfId="697" applyFont="1" applyBorder="1" applyAlignment="1">
      <alignment horizontal="left" vertical="center"/>
    </xf>
    <xf numFmtId="177" fontId="257" fillId="0" borderId="67" xfId="672" applyNumberFormat="1" applyFont="1" applyFill="1" applyBorder="1" applyAlignment="1">
      <alignment horizontal="left" vertical="center" wrapText="1"/>
    </xf>
    <xf numFmtId="171" fontId="257" fillId="0" borderId="67" xfId="3" applyNumberFormat="1" applyFont="1" applyFill="1" applyBorder="1" applyAlignment="1">
      <alignment horizontal="left" vertical="center" wrapText="1"/>
    </xf>
    <xf numFmtId="0" fontId="295" fillId="0" borderId="0" xfId="669" applyFont="1"/>
    <xf numFmtId="171" fontId="256" fillId="0" borderId="67" xfId="1" applyNumberFormat="1" applyFont="1" applyFill="1" applyBorder="1"/>
    <xf numFmtId="171" fontId="256" fillId="0" borderId="67" xfId="669" applyNumberFormat="1" applyFont="1" applyBorder="1"/>
    <xf numFmtId="0" fontId="296" fillId="0" borderId="0" xfId="669" applyFont="1"/>
    <xf numFmtId="0" fontId="251" fillId="0" borderId="0" xfId="0" applyFont="1" applyAlignment="1">
      <alignment vertical="center"/>
    </xf>
    <xf numFmtId="0" fontId="290" fillId="0" borderId="67" xfId="0" applyFont="1" applyBorder="1" applyAlignment="1">
      <alignment horizontal="center" vertical="center" wrapText="1"/>
    </xf>
    <xf numFmtId="14" fontId="260" fillId="0" borderId="67" xfId="0" applyNumberFormat="1" applyFont="1" applyBorder="1" applyAlignment="1">
      <alignment vertical="center"/>
    </xf>
    <xf numFmtId="171" fontId="264" fillId="0" borderId="67" xfId="1" applyNumberFormat="1" applyFont="1" applyFill="1" applyBorder="1"/>
    <xf numFmtId="0" fontId="252" fillId="0" borderId="0" xfId="0" applyFont="1" applyAlignment="1">
      <alignment horizontal="center" vertical="center"/>
    </xf>
    <xf numFmtId="0" fontId="251" fillId="0" borderId="0" xfId="0" applyFont="1"/>
    <xf numFmtId="3" fontId="251" fillId="0" borderId="0" xfId="0" applyNumberFormat="1" applyFont="1"/>
    <xf numFmtId="4" fontId="251" fillId="0" borderId="0" xfId="0" applyNumberFormat="1" applyFont="1"/>
    <xf numFmtId="0" fontId="260" fillId="0" borderId="65" xfId="6031" applyFont="1" applyBorder="1" applyAlignment="1">
      <alignment horizontal="left" vertical="center"/>
    </xf>
    <xf numFmtId="0" fontId="260" fillId="0" borderId="65" xfId="6031" applyFont="1" applyBorder="1" applyAlignment="1">
      <alignment horizontal="left" vertical="center" shrinkToFit="1"/>
    </xf>
    <xf numFmtId="0" fontId="260" fillId="0" borderId="65" xfId="6031" applyFont="1" applyBorder="1" applyAlignment="1">
      <alignment horizontal="center" vertical="center"/>
    </xf>
    <xf numFmtId="0" fontId="260" fillId="0" borderId="65" xfId="6031" applyFont="1" applyBorder="1" applyAlignment="1">
      <alignment vertical="center"/>
    </xf>
    <xf numFmtId="171" fontId="260" fillId="0" borderId="65" xfId="6032" applyNumberFormat="1" applyFont="1" applyBorder="1" applyAlignment="1">
      <alignment vertical="center"/>
    </xf>
    <xf numFmtId="174" fontId="260" fillId="0" borderId="65" xfId="6032" applyNumberFormat="1" applyFont="1" applyBorder="1" applyAlignment="1">
      <alignment vertical="center"/>
    </xf>
    <xf numFmtId="171" fontId="260" fillId="0" borderId="65" xfId="6032" applyNumberFormat="1" applyFont="1" applyBorder="1" applyAlignment="1">
      <alignment horizontal="center" vertical="center"/>
    </xf>
    <xf numFmtId="171" fontId="260" fillId="0" borderId="65" xfId="6031" applyNumberFormat="1" applyFont="1" applyBorder="1" applyAlignment="1">
      <alignment vertical="center"/>
    </xf>
    <xf numFmtId="9" fontId="260" fillId="0" borderId="65" xfId="6032" applyNumberFormat="1" applyFont="1" applyBorder="1" applyAlignment="1">
      <alignment vertical="center"/>
    </xf>
    <xf numFmtId="171" fontId="260" fillId="0" borderId="65" xfId="6032" quotePrefix="1" applyNumberFormat="1" applyFont="1" applyBorder="1" applyAlignment="1">
      <alignment vertical="center"/>
    </xf>
    <xf numFmtId="171" fontId="291" fillId="0" borderId="65" xfId="6032" applyNumberFormat="1" applyFont="1" applyBorder="1" applyAlignment="1">
      <alignment vertical="center"/>
    </xf>
    <xf numFmtId="171" fontId="291" fillId="0" borderId="65" xfId="6031" applyNumberFormat="1" applyFont="1" applyBorder="1" applyAlignment="1">
      <alignment vertical="center"/>
    </xf>
    <xf numFmtId="171" fontId="256" fillId="0" borderId="65" xfId="6031" applyNumberFormat="1" applyFont="1" applyBorder="1" applyAlignment="1">
      <alignment vertical="center"/>
    </xf>
    <xf numFmtId="1" fontId="256" fillId="0" borderId="65" xfId="6031" applyNumberFormat="1" applyFont="1" applyBorder="1" applyAlignment="1">
      <alignment vertical="center"/>
    </xf>
    <xf numFmtId="0" fontId="293" fillId="0" borderId="65" xfId="667" applyFont="1" applyBorder="1" applyAlignment="1" applyProtection="1">
      <alignment vertical="center"/>
    </xf>
    <xf numFmtId="0" fontId="256" fillId="0" borderId="0" xfId="6031" applyFont="1" applyAlignment="1">
      <alignment vertical="center"/>
    </xf>
    <xf numFmtId="176" fontId="260" fillId="0" borderId="67" xfId="627" applyNumberFormat="1" applyFont="1" applyBorder="1" applyAlignment="1">
      <alignment horizontal="left" vertical="center" wrapText="1"/>
    </xf>
    <xf numFmtId="0" fontId="298" fillId="0" borderId="0" xfId="6031" applyFont="1"/>
    <xf numFmtId="172" fontId="276" fillId="0" borderId="0" xfId="6031" applyNumberFormat="1" applyFont="1" applyAlignment="1">
      <alignment horizontal="center"/>
    </xf>
    <xf numFmtId="172" fontId="276" fillId="0" borderId="0" xfId="6031" applyNumberFormat="1" applyFont="1" applyAlignment="1">
      <alignment shrinkToFit="1"/>
    </xf>
    <xf numFmtId="0" fontId="276" fillId="0" borderId="0" xfId="6031" applyFont="1" applyAlignment="1">
      <alignment horizontal="center"/>
    </xf>
    <xf numFmtId="14" fontId="260" fillId="0" borderId="65" xfId="6031" applyNumberFormat="1" applyFont="1" applyBorder="1" applyAlignment="1">
      <alignment horizontal="center" vertical="center"/>
    </xf>
    <xf numFmtId="0" fontId="263" fillId="15" borderId="63" xfId="666" applyFont="1" applyFill="1" applyBorder="1" applyAlignment="1">
      <alignment horizontal="center" vertical="center" wrapText="1"/>
    </xf>
    <xf numFmtId="0" fontId="263" fillId="15" borderId="63" xfId="666" applyFont="1" applyFill="1" applyBorder="1" applyAlignment="1">
      <alignment horizontal="center" vertical="center" shrinkToFit="1"/>
    </xf>
    <xf numFmtId="184" fontId="263" fillId="15" borderId="63" xfId="6033" applyNumberFormat="1" applyFont="1" applyFill="1" applyBorder="1" applyAlignment="1">
      <alignment horizontal="center" vertical="center" wrapText="1"/>
    </xf>
    <xf numFmtId="0" fontId="258" fillId="15" borderId="63" xfId="666" applyFont="1" applyFill="1" applyBorder="1" applyAlignment="1">
      <alignment horizontal="center" vertical="center" wrapText="1"/>
    </xf>
    <xf numFmtId="0" fontId="263" fillId="15" borderId="64" xfId="666" applyFont="1" applyFill="1" applyBorder="1" applyAlignment="1">
      <alignment horizontal="center" vertical="center" wrapText="1"/>
    </xf>
    <xf numFmtId="0" fontId="260" fillId="26" borderId="65" xfId="6031" applyFont="1" applyFill="1" applyBorder="1" applyAlignment="1">
      <alignment horizontal="left" vertical="center"/>
    </xf>
    <xf numFmtId="0" fontId="260" fillId="26" borderId="65" xfId="6031" applyFont="1" applyFill="1" applyBorder="1" applyAlignment="1">
      <alignment horizontal="left" vertical="center" shrinkToFit="1"/>
    </xf>
    <xf numFmtId="0" fontId="260" fillId="26" borderId="65" xfId="6031" applyFont="1" applyFill="1" applyBorder="1" applyAlignment="1">
      <alignment horizontal="center" vertical="center"/>
    </xf>
    <xf numFmtId="0" fontId="260" fillId="26" borderId="65" xfId="6031" applyFont="1" applyFill="1" applyBorder="1" applyAlignment="1">
      <alignment vertical="center"/>
    </xf>
    <xf numFmtId="167" fontId="260" fillId="26" borderId="53" xfId="1" applyNumberFormat="1" applyFont="1" applyFill="1" applyBorder="1" applyAlignment="1" applyProtection="1">
      <alignment vertical="center"/>
    </xf>
    <xf numFmtId="171" fontId="260" fillId="26" borderId="65" xfId="6032" applyNumberFormat="1" applyFont="1" applyFill="1" applyBorder="1" applyAlignment="1">
      <alignment vertical="center"/>
    </xf>
    <xf numFmtId="174" fontId="260" fillId="26" borderId="65" xfId="6032" applyNumberFormat="1" applyFont="1" applyFill="1" applyBorder="1" applyAlignment="1">
      <alignment vertical="center"/>
    </xf>
    <xf numFmtId="171" fontId="260" fillId="26" borderId="65" xfId="6032" applyNumberFormat="1" applyFont="1" applyFill="1" applyBorder="1" applyAlignment="1">
      <alignment horizontal="center" vertical="center"/>
    </xf>
    <xf numFmtId="171" fontId="260" fillId="26" borderId="65" xfId="6031" applyNumberFormat="1" applyFont="1" applyFill="1" applyBorder="1" applyAlignment="1">
      <alignment vertical="center"/>
    </xf>
    <xf numFmtId="9" fontId="260" fillId="26" borderId="65" xfId="6032" applyNumberFormat="1" applyFont="1" applyFill="1" applyBorder="1" applyAlignment="1">
      <alignment vertical="center"/>
    </xf>
    <xf numFmtId="171" fontId="260" fillId="26" borderId="65" xfId="6032" quotePrefix="1" applyNumberFormat="1" applyFont="1" applyFill="1" applyBorder="1" applyAlignment="1">
      <alignment vertical="center"/>
    </xf>
    <xf numFmtId="171" fontId="291" fillId="26" borderId="65" xfId="6032" applyNumberFormat="1" applyFont="1" applyFill="1" applyBorder="1" applyAlignment="1">
      <alignment vertical="center"/>
    </xf>
    <xf numFmtId="171" fontId="291" fillId="26" borderId="65" xfId="6031" applyNumberFormat="1" applyFont="1" applyFill="1" applyBorder="1" applyAlignment="1">
      <alignment vertical="center"/>
    </xf>
    <xf numFmtId="171" fontId="256" fillId="26" borderId="65" xfId="6031" applyNumberFormat="1" applyFont="1" applyFill="1" applyBorder="1" applyAlignment="1">
      <alignment vertical="center"/>
    </xf>
    <xf numFmtId="1" fontId="256" fillId="26" borderId="65" xfId="6031" applyNumberFormat="1" applyFont="1" applyFill="1" applyBorder="1" applyAlignment="1">
      <alignment vertical="center"/>
    </xf>
    <xf numFmtId="0" fontId="293" fillId="26" borderId="65" xfId="667" applyFont="1" applyFill="1" applyBorder="1" applyAlignment="1" applyProtection="1">
      <alignment vertical="center"/>
    </xf>
    <xf numFmtId="0" fontId="292" fillId="15" borderId="0" xfId="0" applyFont="1" applyFill="1" applyAlignment="1">
      <alignment wrapText="1"/>
    </xf>
    <xf numFmtId="0" fontId="274" fillId="26" borderId="67" xfId="6020" applyFont="1" applyFill="1" applyBorder="1"/>
    <xf numFmtId="14" fontId="274" fillId="26" borderId="67" xfId="6020" applyNumberFormat="1" applyFont="1" applyFill="1" applyBorder="1"/>
    <xf numFmtId="0" fontId="274" fillId="26" borderId="67" xfId="6020" applyFont="1" applyFill="1" applyBorder="1" applyAlignment="1">
      <alignment shrinkToFit="1"/>
    </xf>
    <xf numFmtId="167" fontId="257" fillId="26" borderId="67" xfId="1" applyNumberFormat="1" applyFont="1" applyFill="1" applyBorder="1"/>
    <xf numFmtId="171" fontId="274" fillId="26" borderId="67" xfId="6021" applyNumberFormat="1" applyFont="1" applyFill="1" applyBorder="1"/>
    <xf numFmtId="171" fontId="268" fillId="26" borderId="67" xfId="6020" applyNumberFormat="1" applyFont="1" applyFill="1" applyBorder="1"/>
    <xf numFmtId="0" fontId="256" fillId="0" borderId="0" xfId="0" applyFont="1"/>
    <xf numFmtId="0" fontId="250" fillId="0" borderId="36" xfId="0" applyFont="1" applyBorder="1" applyAlignment="1">
      <alignment horizontal="center" vertical="center" wrapText="1"/>
    </xf>
    <xf numFmtId="176" fontId="260" fillId="0" borderId="36" xfId="627" applyNumberFormat="1" applyFont="1" applyBorder="1" applyAlignment="1">
      <alignment horizontal="left" vertical="center" wrapText="1"/>
    </xf>
    <xf numFmtId="176" fontId="260" fillId="0" borderId="36" xfId="627" applyNumberFormat="1" applyFont="1" applyBorder="1" applyAlignment="1">
      <alignment horizontal="right" vertical="center" wrapText="1"/>
    </xf>
    <xf numFmtId="176" fontId="260" fillId="0" borderId="36" xfId="627" applyNumberFormat="1" applyFont="1" applyBorder="1" applyAlignment="1">
      <alignment horizontal="left" vertical="center" shrinkToFit="1"/>
    </xf>
    <xf numFmtId="0" fontId="250" fillId="0" borderId="67" xfId="0" applyFont="1" applyBorder="1" applyAlignment="1">
      <alignment horizontal="center" vertical="center" wrapText="1"/>
    </xf>
    <xf numFmtId="176" fontId="260" fillId="0" borderId="67" xfId="627" applyNumberFormat="1" applyFont="1" applyBorder="1" applyAlignment="1">
      <alignment horizontal="right" vertical="center" wrapText="1"/>
    </xf>
    <xf numFmtId="176" fontId="260" fillId="0" borderId="67" xfId="627" applyNumberFormat="1" applyFont="1" applyBorder="1" applyAlignment="1">
      <alignment horizontal="left" vertical="center" shrinkToFit="1"/>
    </xf>
    <xf numFmtId="0" fontId="256" fillId="0" borderId="0" xfId="0" applyFont="1" applyAlignment="1">
      <alignment shrinkToFit="1"/>
    </xf>
    <xf numFmtId="14" fontId="256" fillId="0" borderId="0" xfId="0" applyNumberFormat="1" applyFont="1"/>
    <xf numFmtId="1" fontId="236" fillId="0" borderId="14" xfId="1" applyNumberFormat="1" applyFill="1" applyBorder="1" applyAlignment="1">
      <alignment horizontal="center"/>
    </xf>
    <xf numFmtId="167" fontId="236" fillId="0" borderId="37" xfId="1" applyNumberFormat="1" applyFill="1" applyBorder="1"/>
    <xf numFmtId="1" fontId="236" fillId="0" borderId="67" xfId="1" applyNumberFormat="1" applyFill="1" applyBorder="1" applyAlignment="1">
      <alignment horizontal="center"/>
    </xf>
    <xf numFmtId="167" fontId="236" fillId="0" borderId="67" xfId="1" applyNumberFormat="1" applyFill="1" applyBorder="1"/>
    <xf numFmtId="169" fontId="236" fillId="0" borderId="67" xfId="1" applyNumberFormat="1" applyFill="1" applyBorder="1" applyAlignment="1">
      <alignment horizontal="center"/>
    </xf>
    <xf numFmtId="14" fontId="260" fillId="0" borderId="67" xfId="0" applyNumberFormat="1" applyFont="1" applyBorder="1" applyAlignment="1">
      <alignment horizontal="center" vertical="center"/>
    </xf>
    <xf numFmtId="14" fontId="250" fillId="0" borderId="31" xfId="0" applyNumberFormat="1" applyFont="1" applyBorder="1" applyAlignment="1">
      <alignment horizontal="center"/>
    </xf>
    <xf numFmtId="0" fontId="256" fillId="0" borderId="33" xfId="0" applyFont="1" applyBorder="1" applyAlignment="1">
      <alignment horizontal="center" vertical="center"/>
    </xf>
    <xf numFmtId="0" fontId="256" fillId="0" borderId="22" xfId="0" applyFont="1" applyBorder="1" applyAlignment="1">
      <alignment horizontal="center" vertical="center"/>
    </xf>
    <xf numFmtId="169" fontId="256" fillId="0" borderId="22" xfId="0" quotePrefix="1" applyNumberFormat="1" applyFont="1" applyBorder="1" applyAlignment="1">
      <alignment horizontal="center" vertical="center"/>
    </xf>
    <xf numFmtId="169" fontId="300" fillId="0" borderId="14" xfId="1" applyNumberFormat="1" applyFont="1" applyFill="1" applyBorder="1" applyAlignment="1">
      <alignment horizontal="center"/>
    </xf>
    <xf numFmtId="169" fontId="300" fillId="0" borderId="67" xfId="1" applyNumberFormat="1" applyFont="1" applyFill="1" applyBorder="1" applyAlignment="1">
      <alignment horizontal="center"/>
    </xf>
    <xf numFmtId="169" fontId="256" fillId="0" borderId="22" xfId="0" applyNumberFormat="1" applyFont="1" applyBorder="1" applyAlignment="1">
      <alignment horizontal="center" vertical="center"/>
    </xf>
    <xf numFmtId="14" fontId="250" fillId="0" borderId="67" xfId="0" applyNumberFormat="1" applyFont="1" applyBorder="1" applyAlignment="1">
      <alignment horizontal="center"/>
    </xf>
    <xf numFmtId="0" fontId="299" fillId="0" borderId="0" xfId="0" applyFont="1"/>
    <xf numFmtId="0" fontId="256" fillId="0" borderId="62" xfId="0" applyFont="1" applyBorder="1" applyAlignment="1">
      <alignment horizontal="center"/>
    </xf>
    <xf numFmtId="0" fontId="250" fillId="26" borderId="36" xfId="0" applyFont="1" applyFill="1" applyBorder="1" applyAlignment="1">
      <alignment horizontal="center" vertical="center" wrapText="1"/>
    </xf>
    <xf numFmtId="176" fontId="260" fillId="26" borderId="36" xfId="627" applyNumberFormat="1" applyFont="1" applyFill="1" applyBorder="1" applyAlignment="1">
      <alignment horizontal="left" vertical="center" wrapText="1"/>
    </xf>
    <xf numFmtId="176" fontId="260" fillId="26" borderId="36" xfId="627" applyNumberFormat="1" applyFont="1" applyFill="1" applyBorder="1" applyAlignment="1">
      <alignment horizontal="right" vertical="center" wrapText="1"/>
    </xf>
    <xf numFmtId="176" fontId="260" fillId="26" borderId="36" xfId="627" applyNumberFormat="1" applyFont="1" applyFill="1" applyBorder="1" applyAlignment="1">
      <alignment horizontal="left" vertical="center" shrinkToFit="1"/>
    </xf>
    <xf numFmtId="14" fontId="250" fillId="26" borderId="31" xfId="0" applyNumberFormat="1" applyFont="1" applyFill="1" applyBorder="1" applyAlignment="1">
      <alignment horizontal="center"/>
    </xf>
    <xf numFmtId="0" fontId="256" fillId="26" borderId="33" xfId="0" applyFont="1" applyFill="1" applyBorder="1" applyAlignment="1">
      <alignment horizontal="center" vertical="center"/>
    </xf>
    <xf numFmtId="0" fontId="256" fillId="26" borderId="22" xfId="0" applyFont="1" applyFill="1" applyBorder="1" applyAlignment="1">
      <alignment horizontal="center" vertical="center"/>
    </xf>
    <xf numFmtId="169" fontId="256" fillId="26" borderId="22" xfId="0" quotePrefix="1" applyNumberFormat="1" applyFont="1" applyFill="1" applyBorder="1" applyAlignment="1">
      <alignment horizontal="center" vertical="center"/>
    </xf>
    <xf numFmtId="1" fontId="236" fillId="26" borderId="14" xfId="1" applyNumberFormat="1" applyFill="1" applyBorder="1" applyAlignment="1">
      <alignment horizontal="center"/>
    </xf>
    <xf numFmtId="169" fontId="300" fillId="26" borderId="14" xfId="1" applyNumberFormat="1" applyFont="1" applyFill="1" applyBorder="1" applyAlignment="1">
      <alignment horizontal="center"/>
    </xf>
    <xf numFmtId="169" fontId="300" fillId="26" borderId="67" xfId="1" applyNumberFormat="1" applyFont="1" applyFill="1" applyBorder="1" applyAlignment="1">
      <alignment horizontal="center"/>
    </xf>
    <xf numFmtId="167" fontId="236" fillId="26" borderId="37" xfId="1" applyNumberFormat="1" applyFill="1" applyBorder="1"/>
    <xf numFmtId="173" fontId="257" fillId="0" borderId="23" xfId="628" applyNumberFormat="1" applyFont="1" applyFill="1" applyBorder="1" applyAlignment="1">
      <alignment vertical="center"/>
    </xf>
    <xf numFmtId="0" fontId="260" fillId="0" borderId="0" xfId="0" applyFont="1" applyAlignment="1">
      <alignment horizontal="center" vertical="center"/>
    </xf>
    <xf numFmtId="0" fontId="0" fillId="0" borderId="36" xfId="0" applyBorder="1"/>
    <xf numFmtId="170" fontId="236" fillId="0" borderId="0" xfId="1" applyNumberFormat="1" applyAlignment="1">
      <alignment horizontal="right"/>
    </xf>
    <xf numFmtId="0" fontId="0" fillId="16" borderId="0" xfId="0" applyFill="1"/>
    <xf numFmtId="3" fontId="260" fillId="0" borderId="67" xfId="0" applyNumberFormat="1" applyFont="1" applyBorder="1" applyAlignment="1">
      <alignment vertical="center"/>
    </xf>
    <xf numFmtId="166" fontId="250" fillId="0" borderId="5" xfId="1" applyFont="1" applyFill="1" applyBorder="1" applyAlignment="1" applyProtection="1">
      <alignment vertical="center"/>
    </xf>
    <xf numFmtId="9" fontId="301" fillId="0" borderId="1" xfId="0" applyNumberFormat="1" applyFont="1" applyBorder="1" applyAlignment="1">
      <alignment vertical="center" wrapText="1"/>
    </xf>
    <xf numFmtId="0" fontId="250" fillId="0" borderId="84" xfId="0" applyFont="1" applyBorder="1" applyAlignment="1">
      <alignment horizontal="center" vertical="center" wrapText="1"/>
    </xf>
    <xf numFmtId="14" fontId="250" fillId="0" borderId="67" xfId="0" applyNumberFormat="1" applyFont="1" applyBorder="1" applyAlignment="1">
      <alignment vertical="center"/>
    </xf>
    <xf numFmtId="4" fontId="260" fillId="15" borderId="15" xfId="0" applyNumberFormat="1" applyFont="1" applyFill="1" applyBorder="1" applyAlignment="1">
      <alignment vertical="center" wrapText="1"/>
    </xf>
    <xf numFmtId="4" fontId="260" fillId="15" borderId="16" xfId="0" applyNumberFormat="1" applyFont="1" applyFill="1" applyBorder="1" applyAlignment="1">
      <alignment vertical="center" wrapText="1"/>
    </xf>
    <xf numFmtId="4" fontId="260" fillId="15" borderId="17" xfId="0" applyNumberFormat="1" applyFont="1" applyFill="1" applyBorder="1" applyAlignment="1">
      <alignment vertical="center" wrapText="1"/>
    </xf>
    <xf numFmtId="0" fontId="260" fillId="26" borderId="58" xfId="0" applyFont="1" applyFill="1" applyBorder="1" applyAlignment="1">
      <alignment horizontal="center" vertical="center" wrapText="1"/>
    </xf>
    <xf numFmtId="14" fontId="260" fillId="26" borderId="0" xfId="0" applyNumberFormat="1" applyFont="1" applyFill="1" applyAlignment="1">
      <alignment vertical="center"/>
    </xf>
    <xf numFmtId="3" fontId="260" fillId="26" borderId="67" xfId="0" applyNumberFormat="1" applyFont="1" applyFill="1" applyBorder="1" applyAlignment="1">
      <alignment vertical="center"/>
    </xf>
    <xf numFmtId="166" fontId="260" fillId="26" borderId="8" xfId="1" applyFont="1" applyFill="1" applyBorder="1" applyAlignment="1" applyProtection="1">
      <alignment vertical="center"/>
    </xf>
    <xf numFmtId="166" fontId="260" fillId="26" borderId="2" xfId="1" applyFont="1" applyFill="1" applyBorder="1" applyAlignment="1" applyProtection="1">
      <alignment vertical="center"/>
    </xf>
    <xf numFmtId="167" fontId="260" fillId="26" borderId="1" xfId="1" applyNumberFormat="1" applyFont="1" applyFill="1" applyBorder="1" applyAlignment="1" applyProtection="1">
      <alignment vertical="center"/>
    </xf>
    <xf numFmtId="167" fontId="291" fillId="26" borderId="1" xfId="1" applyNumberFormat="1" applyFont="1" applyFill="1" applyBorder="1" applyAlignment="1" applyProtection="1">
      <alignment vertical="center"/>
    </xf>
    <xf numFmtId="167" fontId="291" fillId="26" borderId="2" xfId="1" applyNumberFormat="1" applyFont="1" applyFill="1" applyBorder="1" applyAlignment="1" applyProtection="1">
      <alignment vertical="center"/>
    </xf>
    <xf numFmtId="167" fontId="260" fillId="26" borderId="2" xfId="1" applyNumberFormat="1" applyFont="1" applyFill="1" applyBorder="1" applyAlignment="1" applyProtection="1">
      <alignment vertical="center"/>
    </xf>
    <xf numFmtId="0" fontId="260" fillId="15" borderId="63" xfId="666" applyFont="1" applyFill="1" applyBorder="1" applyAlignment="1">
      <alignment horizontal="center" vertical="center" wrapText="1"/>
    </xf>
    <xf numFmtId="0" fontId="290" fillId="15" borderId="69" xfId="0" applyFont="1" applyFill="1" applyBorder="1" applyAlignment="1">
      <alignment vertical="center" wrapText="1"/>
    </xf>
    <xf numFmtId="3" fontId="290" fillId="15" borderId="69" xfId="0" applyNumberFormat="1" applyFont="1" applyFill="1" applyBorder="1" applyAlignment="1">
      <alignment vertical="center" wrapText="1"/>
    </xf>
    <xf numFmtId="0" fontId="290" fillId="15" borderId="69" xfId="0" applyFont="1" applyFill="1" applyBorder="1" applyAlignment="1">
      <alignment horizontal="center" vertical="center" wrapText="1"/>
    </xf>
    <xf numFmtId="9" fontId="290" fillId="15" borderId="69" xfId="0" applyNumberFormat="1" applyFont="1" applyFill="1" applyBorder="1" applyAlignment="1">
      <alignment horizontal="center" vertical="center" wrapText="1"/>
    </xf>
    <xf numFmtId="170" fontId="260" fillId="0" borderId="67" xfId="1" applyNumberFormat="1" applyFont="1" applyFill="1" applyBorder="1" applyAlignment="1" applyProtection="1">
      <alignment vertical="center"/>
    </xf>
    <xf numFmtId="171" fontId="302" fillId="0" borderId="67" xfId="0" applyNumberFormat="1" applyFont="1" applyBorder="1" applyAlignment="1">
      <alignment horizontal="center" vertical="center"/>
    </xf>
    <xf numFmtId="0" fontId="302" fillId="0" borderId="0" xfId="0" applyFont="1" applyAlignment="1">
      <alignment horizontal="center" vertical="center"/>
    </xf>
    <xf numFmtId="0" fontId="294" fillId="0" borderId="0" xfId="0" applyFont="1"/>
    <xf numFmtId="3" fontId="294" fillId="0" borderId="0" xfId="0" applyNumberFormat="1" applyFont="1"/>
    <xf numFmtId="4" fontId="294" fillId="0" borderId="0" xfId="0" applyNumberFormat="1" applyFont="1"/>
    <xf numFmtId="0" fontId="290" fillId="26" borderId="67" xfId="0" applyFont="1" applyFill="1" applyBorder="1" applyAlignment="1">
      <alignment horizontal="center" vertical="center" wrapText="1"/>
    </xf>
    <xf numFmtId="14" fontId="260" fillId="26" borderId="67" xfId="0" applyNumberFormat="1" applyFont="1" applyFill="1" applyBorder="1" applyAlignment="1">
      <alignment vertical="center"/>
    </xf>
    <xf numFmtId="170" fontId="260" fillId="26" borderId="67" xfId="1" applyNumberFormat="1" applyFont="1" applyFill="1" applyBorder="1" applyAlignment="1" applyProtection="1">
      <alignment vertical="center"/>
    </xf>
    <xf numFmtId="171" fontId="264" fillId="26" borderId="67" xfId="1" applyNumberFormat="1" applyFont="1" applyFill="1" applyBorder="1"/>
    <xf numFmtId="171" fontId="302" fillId="26" borderId="67" xfId="0" applyNumberFormat="1" applyFont="1" applyFill="1" applyBorder="1" applyAlignment="1">
      <alignment horizontal="center" vertical="center"/>
    </xf>
    <xf numFmtId="0" fontId="260" fillId="0" borderId="14" xfId="629" applyFont="1" applyBorder="1" applyAlignment="1">
      <alignment horizontal="right" wrapText="1"/>
    </xf>
    <xf numFmtId="0" fontId="260" fillId="0" borderId="14" xfId="629" applyFont="1" applyBorder="1" applyAlignment="1">
      <alignment vertical="center"/>
    </xf>
    <xf numFmtId="14" fontId="260" fillId="0" borderId="14" xfId="629" applyNumberFormat="1" applyFont="1" applyBorder="1" applyAlignment="1">
      <alignment vertical="center"/>
    </xf>
    <xf numFmtId="167" fontId="260" fillId="0" borderId="14" xfId="629" applyNumberFormat="1" applyFont="1" applyBorder="1" applyAlignment="1">
      <alignment vertical="center"/>
    </xf>
    <xf numFmtId="0" fontId="260" fillId="0" borderId="31" xfId="629" applyFont="1" applyBorder="1" applyAlignment="1">
      <alignment horizontal="right" wrapText="1"/>
    </xf>
    <xf numFmtId="14" fontId="260" fillId="0" borderId="31" xfId="629" applyNumberFormat="1" applyFont="1" applyBorder="1" applyAlignment="1">
      <alignment vertical="center"/>
    </xf>
    <xf numFmtId="0" fontId="260" fillId="0" borderId="31" xfId="629" applyFont="1" applyBorder="1" applyAlignment="1">
      <alignment vertical="center"/>
    </xf>
    <xf numFmtId="167" fontId="260" fillId="0" borderId="31" xfId="629" applyNumberFormat="1" applyFont="1" applyBorder="1" applyAlignment="1">
      <alignment vertical="center"/>
    </xf>
    <xf numFmtId="0" fontId="256" fillId="0" borderId="0" xfId="629" applyFont="1"/>
    <xf numFmtId="0" fontId="256" fillId="0" borderId="0" xfId="629" applyFont="1" applyAlignment="1">
      <alignment horizontal="center"/>
    </xf>
    <xf numFmtId="14" fontId="256" fillId="0" borderId="0" xfId="629" applyNumberFormat="1" applyFont="1" applyAlignment="1">
      <alignment horizontal="center"/>
    </xf>
    <xf numFmtId="0" fontId="260" fillId="0" borderId="0" xfId="629" applyFont="1" applyAlignment="1">
      <alignment horizontal="center"/>
    </xf>
    <xf numFmtId="0" fontId="256" fillId="0" borderId="0" xfId="629" applyFont="1" applyAlignment="1">
      <alignment vertical="center"/>
    </xf>
    <xf numFmtId="167" fontId="256" fillId="0" borderId="0" xfId="629" applyNumberFormat="1" applyFont="1" applyAlignment="1">
      <alignment vertical="center"/>
    </xf>
    <xf numFmtId="0" fontId="257" fillId="15" borderId="14" xfId="629" applyFont="1" applyFill="1" applyBorder="1" applyAlignment="1">
      <alignment horizontal="center" vertical="center" wrapText="1"/>
    </xf>
    <xf numFmtId="0" fontId="260" fillId="26" borderId="14" xfId="629" applyFont="1" applyFill="1" applyBorder="1" applyAlignment="1">
      <alignment horizontal="right" wrapText="1"/>
    </xf>
    <xf numFmtId="0" fontId="260" fillId="26" borderId="14" xfId="629" applyFont="1" applyFill="1" applyBorder="1" applyAlignment="1">
      <alignment vertical="center"/>
    </xf>
    <xf numFmtId="14" fontId="260" fillId="26" borderId="14" xfId="629" applyNumberFormat="1" applyFont="1" applyFill="1" applyBorder="1" applyAlignment="1">
      <alignment vertical="center"/>
    </xf>
    <xf numFmtId="167" fontId="260" fillId="26" borderId="14" xfId="629" applyNumberFormat="1" applyFont="1" applyFill="1" applyBorder="1" applyAlignment="1">
      <alignment vertical="center"/>
    </xf>
    <xf numFmtId="167" fontId="257" fillId="0" borderId="31" xfId="712" applyNumberFormat="1" applyFont="1" applyFill="1" applyBorder="1" applyAlignment="1">
      <alignment horizontal="center"/>
    </xf>
    <xf numFmtId="167" fontId="257" fillId="0" borderId="10" xfId="712" applyNumberFormat="1" applyFont="1" applyFill="1" applyBorder="1" applyAlignment="1">
      <alignment horizontal="center" vertical="center"/>
    </xf>
    <xf numFmtId="167" fontId="257" fillId="0" borderId="10" xfId="1" applyNumberFormat="1" applyFont="1" applyFill="1" applyBorder="1" applyAlignment="1">
      <alignment horizontal="center"/>
    </xf>
    <xf numFmtId="43" fontId="257" fillId="0" borderId="10" xfId="1" applyNumberFormat="1" applyFont="1" applyFill="1" applyBorder="1" applyAlignment="1">
      <alignment horizontal="center"/>
    </xf>
    <xf numFmtId="167" fontId="257" fillId="0" borderId="31" xfId="1" applyNumberFormat="1" applyFont="1" applyFill="1" applyBorder="1" applyAlignment="1">
      <alignment horizontal="left"/>
    </xf>
    <xf numFmtId="167" fontId="257" fillId="0" borderId="31" xfId="1" applyNumberFormat="1" applyFont="1" applyFill="1" applyBorder="1" applyAlignment="1">
      <alignment horizontal="center"/>
    </xf>
    <xf numFmtId="171" fontId="257" fillId="0" borderId="31" xfId="1" applyNumberFormat="1" applyFont="1" applyFill="1" applyBorder="1" applyAlignment="1">
      <alignment horizontal="center"/>
    </xf>
    <xf numFmtId="171" fontId="257" fillId="0" borderId="36" xfId="1" applyNumberFormat="1" applyFont="1" applyFill="1" applyBorder="1" applyAlignment="1">
      <alignment horizontal="center"/>
    </xf>
    <xf numFmtId="0" fontId="295" fillId="0" borderId="0" xfId="709" applyFont="1"/>
    <xf numFmtId="0" fontId="257" fillId="0" borderId="31" xfId="711" applyFont="1" applyBorder="1" applyAlignment="1">
      <alignment horizontal="center" vertical="center"/>
    </xf>
    <xf numFmtId="0" fontId="256" fillId="0" borderId="31" xfId="709" applyFont="1" applyBorder="1"/>
    <xf numFmtId="179" fontId="257" fillId="0" borderId="31" xfId="711" applyNumberFormat="1" applyFont="1" applyBorder="1" applyAlignment="1">
      <alignment horizontal="center"/>
    </xf>
    <xf numFmtId="0" fontId="257" fillId="0" borderId="0" xfId="711" applyFont="1" applyAlignment="1">
      <alignment horizontal="left"/>
    </xf>
    <xf numFmtId="0" fontId="257" fillId="0" borderId="31" xfId="711" applyFont="1" applyBorder="1" applyAlignment="1">
      <alignment horizontal="center"/>
    </xf>
    <xf numFmtId="0" fontId="257" fillId="0" borderId="31" xfId="711" applyFont="1" applyBorder="1" applyAlignment="1">
      <alignment horizontal="left" wrapText="1"/>
    </xf>
    <xf numFmtId="0" fontId="257" fillId="0" borderId="31" xfId="711" applyFont="1" applyBorder="1" applyAlignment="1">
      <alignment horizontal="center" vertical="center" wrapText="1"/>
    </xf>
    <xf numFmtId="0" fontId="257" fillId="0" borderId="4" xfId="711" applyFont="1" applyBorder="1" applyAlignment="1">
      <alignment horizontal="center"/>
    </xf>
    <xf numFmtId="0" fontId="257" fillId="0" borderId="10" xfId="711" applyFont="1" applyBorder="1" applyAlignment="1">
      <alignment horizontal="left"/>
    </xf>
    <xf numFmtId="0" fontId="257" fillId="0" borderId="32" xfId="711" applyFont="1" applyBorder="1" applyAlignment="1">
      <alignment horizontal="center"/>
    </xf>
    <xf numFmtId="0" fontId="257" fillId="0" borderId="32" xfId="711" applyFont="1" applyBorder="1" applyAlignment="1">
      <alignment horizontal="left"/>
    </xf>
    <xf numFmtId="0" fontId="257" fillId="0" borderId="10" xfId="581" applyFont="1" applyBorder="1" applyAlignment="1">
      <alignment horizontal="center"/>
    </xf>
    <xf numFmtId="0" fontId="257" fillId="0" borderId="31" xfId="711" applyFont="1" applyBorder="1" applyAlignment="1">
      <alignment horizontal="left"/>
    </xf>
    <xf numFmtId="169" fontId="257" fillId="0" borderId="31" xfId="581" applyNumberFormat="1" applyFont="1" applyBorder="1" applyAlignment="1">
      <alignment horizontal="center"/>
    </xf>
    <xf numFmtId="169" fontId="295" fillId="0" borderId="0" xfId="709" applyNumberFormat="1" applyFont="1"/>
    <xf numFmtId="43" fontId="295" fillId="0" borderId="0" xfId="709" applyNumberFormat="1" applyFont="1"/>
    <xf numFmtId="169" fontId="257" fillId="0" borderId="36" xfId="581" applyNumberFormat="1" applyFont="1" applyBorder="1" applyAlignment="1">
      <alignment horizontal="center"/>
    </xf>
    <xf numFmtId="169" fontId="257" fillId="0" borderId="56" xfId="581" applyNumberFormat="1" applyFont="1" applyBorder="1" applyAlignment="1">
      <alignment horizontal="center"/>
    </xf>
    <xf numFmtId="0" fontId="257" fillId="0" borderId="31" xfId="581" applyFont="1" applyBorder="1" applyAlignment="1">
      <alignment horizontal="center"/>
    </xf>
    <xf numFmtId="0" fontId="257" fillId="0" borderId="24" xfId="711" applyFont="1" applyBorder="1"/>
    <xf numFmtId="0" fontId="257" fillId="0" borderId="25" xfId="711" applyFont="1" applyBorder="1"/>
    <xf numFmtId="0" fontId="257" fillId="0" borderId="26" xfId="711" applyFont="1" applyBorder="1"/>
    <xf numFmtId="0" fontId="295" fillId="0" borderId="36" xfId="709" applyFont="1" applyBorder="1"/>
    <xf numFmtId="167" fontId="236" fillId="0" borderId="36" xfId="1" applyNumberFormat="1" applyFill="1" applyBorder="1"/>
    <xf numFmtId="169" fontId="257" fillId="0" borderId="31" xfId="709" applyNumberFormat="1" applyFont="1" applyBorder="1" applyAlignment="1">
      <alignment horizontal="center" vertical="center"/>
    </xf>
    <xf numFmtId="0" fontId="257" fillId="0" borderId="11" xfId="711" applyFont="1" applyBorder="1"/>
    <xf numFmtId="0" fontId="257" fillId="0" borderId="4" xfId="711" applyFont="1" applyBorder="1" applyAlignment="1">
      <alignment wrapText="1"/>
    </xf>
    <xf numFmtId="0" fontId="257" fillId="0" borderId="4" xfId="711" applyFont="1" applyBorder="1" applyAlignment="1">
      <alignment horizontal="left"/>
    </xf>
    <xf numFmtId="0" fontId="0" fillId="0" borderId="56" xfId="0" applyBorder="1"/>
    <xf numFmtId="183" fontId="257" fillId="0" borderId="31" xfId="711" applyNumberFormat="1" applyFont="1" applyBorder="1" applyAlignment="1">
      <alignment horizontal="center"/>
    </xf>
    <xf numFmtId="181" fontId="257" fillId="0" borderId="31" xfId="711" applyNumberFormat="1" applyFont="1" applyBorder="1" applyAlignment="1">
      <alignment horizontal="center"/>
    </xf>
    <xf numFmtId="0" fontId="256" fillId="26" borderId="31" xfId="709" applyFont="1" applyFill="1" applyBorder="1" applyAlignment="1">
      <alignment vertical="center"/>
    </xf>
    <xf numFmtId="0" fontId="257" fillId="26" borderId="31" xfId="711" applyFont="1" applyFill="1" applyBorder="1" applyAlignment="1">
      <alignment horizontal="center" vertical="center"/>
    </xf>
    <xf numFmtId="179" fontId="257" fillId="26" borderId="31" xfId="711" applyNumberFormat="1" applyFont="1" applyFill="1" applyBorder="1" applyAlignment="1">
      <alignment horizontal="center" vertical="center"/>
    </xf>
    <xf numFmtId="167" fontId="257" fillId="26" borderId="31" xfId="712" applyNumberFormat="1" applyFont="1" applyFill="1" applyBorder="1" applyAlignment="1">
      <alignment vertical="center"/>
    </xf>
    <xf numFmtId="0" fontId="257" fillId="15" borderId="67" xfId="0" applyFont="1" applyFill="1" applyBorder="1" applyAlignment="1">
      <alignment horizontal="center" vertical="center"/>
    </xf>
    <xf numFmtId="0" fontId="257" fillId="15" borderId="67" xfId="0" applyFont="1" applyFill="1" applyBorder="1" applyAlignment="1">
      <alignment horizontal="center" vertical="center" wrapText="1"/>
    </xf>
    <xf numFmtId="0" fontId="257" fillId="15" borderId="67" xfId="669" applyFont="1" applyFill="1" applyBorder="1" applyAlignment="1">
      <alignment horizontal="center" vertical="center" wrapText="1"/>
    </xf>
    <xf numFmtId="0" fontId="289" fillId="26" borderId="67" xfId="697" applyFont="1" applyFill="1" applyBorder="1" applyAlignment="1">
      <alignment horizontal="left" vertical="center"/>
    </xf>
    <xf numFmtId="171" fontId="256" fillId="26" borderId="67" xfId="1" applyNumberFormat="1" applyFont="1" applyFill="1" applyBorder="1"/>
    <xf numFmtId="177" fontId="257" fillId="26" borderId="67" xfId="672" applyNumberFormat="1" applyFont="1" applyFill="1" applyBorder="1" applyAlignment="1">
      <alignment horizontal="left" vertical="center" wrapText="1"/>
    </xf>
    <xf numFmtId="171" fontId="257" fillId="26" borderId="67" xfId="3" applyNumberFormat="1" applyFont="1" applyFill="1" applyBorder="1" applyAlignment="1">
      <alignment horizontal="left" vertical="center" wrapText="1"/>
    </xf>
    <xf numFmtId="171" fontId="256" fillId="26" borderId="67" xfId="669" applyNumberFormat="1" applyFont="1" applyFill="1" applyBorder="1"/>
    <xf numFmtId="185" fontId="304" fillId="0" borderId="30" xfId="6021" applyNumberFormat="1" applyFont="1" applyBorder="1" applyAlignment="1">
      <alignment horizontal="center" vertical="center"/>
    </xf>
    <xf numFmtId="0" fontId="260" fillId="15" borderId="14" xfId="9" applyFont="1" applyFill="1" applyBorder="1" applyAlignment="1" applyProtection="1">
      <alignment horizontal="center" vertical="center"/>
    </xf>
    <xf numFmtId="0" fontId="260" fillId="15" borderId="19" xfId="9" applyFont="1" applyFill="1" applyBorder="1" applyAlignment="1" applyProtection="1">
      <alignment horizontal="center" wrapText="1"/>
    </xf>
    <xf numFmtId="14" fontId="256" fillId="15" borderId="21" xfId="629" applyNumberFormat="1" applyFont="1" applyFill="1" applyBorder="1" applyAlignment="1">
      <alignment horizontal="center" vertical="center"/>
    </xf>
    <xf numFmtId="0" fontId="260" fillId="15" borderId="18" xfId="9" applyFont="1" applyFill="1" applyBorder="1" applyAlignment="1" applyProtection="1">
      <alignment horizontal="center" vertical="center"/>
    </xf>
    <xf numFmtId="0" fontId="305" fillId="9" borderId="0" xfId="629" applyFont="1" applyFill="1"/>
    <xf numFmtId="0" fontId="306" fillId="0" borderId="0" xfId="666" applyFont="1" applyFill="1" applyAlignment="1">
      <alignment horizontal="center" vertical="center"/>
    </xf>
    <xf numFmtId="0" fontId="306" fillId="0" borderId="0" xfId="666" applyFont="1" applyFill="1" applyAlignment="1">
      <alignment horizontal="center" vertical="center" shrinkToFit="1"/>
    </xf>
    <xf numFmtId="0" fontId="306" fillId="0" borderId="0" xfId="666" applyFont="1" applyFill="1" applyAlignment="1">
      <alignment horizontal="center" vertical="center" wrapText="1"/>
    </xf>
    <xf numFmtId="0" fontId="306" fillId="0" borderId="0" xfId="6031" applyFont="1"/>
    <xf numFmtId="0" fontId="306" fillId="0" borderId="0" xfId="6008" applyFont="1" applyFill="1" applyBorder="1" applyAlignment="1">
      <alignment horizontal="center" vertical="center" wrapText="1"/>
    </xf>
    <xf numFmtId="167" fontId="307" fillId="0" borderId="67" xfId="1" applyNumberFormat="1" applyFont="1" applyFill="1" applyBorder="1" applyAlignment="1">
      <alignment horizontal="center" vertical="center" wrapText="1"/>
    </xf>
    <xf numFmtId="10" fontId="308" fillId="0" borderId="67" xfId="6008" applyNumberFormat="1" applyFont="1" applyFill="1">
      <alignment horizontal="center" vertical="center"/>
    </xf>
    <xf numFmtId="10" fontId="306" fillId="0" borderId="0" xfId="6008" applyNumberFormat="1" applyFont="1" applyFill="1" applyBorder="1">
      <alignment horizontal="center" vertical="center"/>
    </xf>
    <xf numFmtId="0" fontId="306" fillId="0" borderId="0" xfId="6008" applyFont="1" applyFill="1" applyBorder="1">
      <alignment horizontal="center" vertical="center"/>
    </xf>
    <xf numFmtId="0" fontId="308" fillId="0" borderId="0" xfId="6008" applyFont="1" applyFill="1" applyBorder="1" applyAlignment="1">
      <alignment horizontal="center" vertical="center" wrapText="1"/>
    </xf>
    <xf numFmtId="0" fontId="309" fillId="15" borderId="63" xfId="666" applyFont="1" applyFill="1" applyBorder="1" applyAlignment="1">
      <alignment horizontal="center" vertical="center" wrapText="1"/>
    </xf>
    <xf numFmtId="0" fontId="310" fillId="15" borderId="63" xfId="666" applyFont="1" applyFill="1" applyBorder="1" applyAlignment="1">
      <alignment horizontal="center" vertical="center" wrapText="1"/>
    </xf>
    <xf numFmtId="0" fontId="256" fillId="0" borderId="0" xfId="6008" applyFont="1" applyFill="1" applyBorder="1" applyAlignment="1">
      <alignment horizontal="center" vertical="center" wrapText="1"/>
    </xf>
    <xf numFmtId="0" fontId="313" fillId="15" borderId="18" xfId="9" applyFont="1" applyFill="1" applyBorder="1" applyAlignment="1" applyProtection="1">
      <alignment horizontal="center" vertical="center" wrapText="1"/>
    </xf>
    <xf numFmtId="0" fontId="263" fillId="0" borderId="86" xfId="666" applyFont="1" applyFill="1" applyBorder="1" applyAlignment="1">
      <alignment horizontal="center" vertical="center" wrapText="1"/>
    </xf>
    <xf numFmtId="0" fontId="263" fillId="0" borderId="86" xfId="666" applyFont="1" applyFill="1" applyBorder="1" applyAlignment="1">
      <alignment horizontal="center" vertical="center" shrinkToFit="1"/>
    </xf>
    <xf numFmtId="0" fontId="309" fillId="0" borderId="87" xfId="666" applyFont="1" applyFill="1" applyBorder="1" applyAlignment="1">
      <alignment horizontal="center" vertical="center" wrapText="1"/>
    </xf>
    <xf numFmtId="0" fontId="309" fillId="0" borderId="86" xfId="666" applyFont="1" applyFill="1" applyBorder="1" applyAlignment="1">
      <alignment horizontal="center" vertical="center" wrapText="1"/>
    </xf>
    <xf numFmtId="184" fontId="263" fillId="0" borderId="86" xfId="6033" applyNumberFormat="1" applyFont="1" applyBorder="1" applyAlignment="1">
      <alignment horizontal="center" vertical="center" wrapText="1"/>
    </xf>
    <xf numFmtId="0" fontId="258" fillId="0" borderId="86" xfId="666" applyFont="1" applyFill="1" applyBorder="1" applyAlignment="1">
      <alignment horizontal="center" vertical="center" wrapText="1"/>
    </xf>
    <xf numFmtId="0" fontId="310" fillId="0" borderId="86" xfId="666" applyFont="1" applyFill="1" applyBorder="1" applyAlignment="1">
      <alignment horizontal="center" vertical="center" wrapText="1"/>
    </xf>
    <xf numFmtId="0" fontId="263" fillId="0" borderId="88" xfId="666" applyFont="1" applyFill="1" applyBorder="1" applyAlignment="1">
      <alignment horizontal="center" vertical="center" wrapText="1"/>
    </xf>
    <xf numFmtId="0" fontId="276" fillId="0" borderId="0" xfId="6031" applyFont="1" applyAlignment="1">
      <alignment wrapText="1"/>
    </xf>
    <xf numFmtId="167" fontId="260" fillId="0" borderId="1" xfId="1" applyNumberFormat="1" applyFont="1" applyFill="1" applyBorder="1" applyAlignment="1" applyProtection="1">
      <alignment vertical="center"/>
    </xf>
    <xf numFmtId="167" fontId="257" fillId="0" borderId="31" xfId="712" applyNumberFormat="1" applyFont="1" applyFill="1" applyBorder="1" applyAlignment="1">
      <alignment vertical="center"/>
    </xf>
    <xf numFmtId="0" fontId="260" fillId="27" borderId="65" xfId="0" applyFont="1" applyFill="1" applyBorder="1" applyAlignment="1">
      <alignment horizontal="left" vertical="center" shrinkToFit="1"/>
    </xf>
    <xf numFmtId="0" fontId="260" fillId="0" borderId="86" xfId="0" applyFont="1" applyBorder="1" applyAlignment="1">
      <alignment horizontal="left" vertical="center" shrinkToFit="1"/>
    </xf>
    <xf numFmtId="0" fontId="257" fillId="26" borderId="23" xfId="623" applyFont="1" applyFill="1" applyBorder="1" applyAlignment="1">
      <alignment horizontal="center" vertical="center"/>
    </xf>
    <xf numFmtId="14" fontId="256" fillId="26" borderId="23" xfId="623" applyNumberFormat="1" applyFont="1" applyFill="1" applyBorder="1" applyAlignment="1">
      <alignment vertical="center"/>
    </xf>
    <xf numFmtId="169" fontId="257" fillId="26" borderId="29" xfId="626" applyNumberFormat="1" applyFont="1" applyFill="1" applyBorder="1" applyAlignment="1">
      <alignment horizontal="center" vertical="center"/>
    </xf>
    <xf numFmtId="173" fontId="257" fillId="26" borderId="23" xfId="628" applyNumberFormat="1" applyFont="1" applyFill="1" applyBorder="1" applyAlignment="1">
      <alignment vertical="center"/>
    </xf>
    <xf numFmtId="167" fontId="291" fillId="0" borderId="1" xfId="1" applyNumberFormat="1" applyFont="1" applyFill="1" applyBorder="1" applyAlignment="1" applyProtection="1">
      <alignment vertical="center"/>
    </xf>
    <xf numFmtId="167" fontId="291" fillId="0" borderId="2" xfId="1" applyNumberFormat="1" applyFont="1" applyFill="1" applyBorder="1" applyAlignment="1" applyProtection="1">
      <alignment vertical="center"/>
    </xf>
    <xf numFmtId="167" fontId="260" fillId="0" borderId="2" xfId="1" applyNumberFormat="1" applyFont="1" applyFill="1" applyBorder="1" applyAlignment="1" applyProtection="1">
      <alignment vertical="center"/>
    </xf>
    <xf numFmtId="179" fontId="257" fillId="0" borderId="31" xfId="711" applyNumberFormat="1" applyFont="1" applyBorder="1" applyAlignment="1">
      <alignment horizontal="center" vertical="center"/>
    </xf>
    <xf numFmtId="0" fontId="276" fillId="0" borderId="0" xfId="6031" applyFont="1" applyAlignment="1">
      <alignment horizontal="center"/>
    </xf>
    <xf numFmtId="0" fontId="292" fillId="15" borderId="72" xfId="0" applyFont="1" applyFill="1" applyBorder="1" applyAlignment="1">
      <alignment horizontal="center" wrapText="1"/>
    </xf>
    <xf numFmtId="0" fontId="292" fillId="15" borderId="76" xfId="0" applyFont="1" applyFill="1" applyBorder="1" applyAlignment="1">
      <alignment horizontal="center" wrapText="1"/>
    </xf>
    <xf numFmtId="0" fontId="303" fillId="15" borderId="30" xfId="6020" applyFont="1" applyFill="1" applyBorder="1" applyAlignment="1">
      <alignment horizontal="center" vertical="center"/>
    </xf>
    <xf numFmtId="0" fontId="303" fillId="15" borderId="73" xfId="6020" applyFont="1" applyFill="1" applyBorder="1" applyAlignment="1">
      <alignment horizontal="center" vertical="center"/>
    </xf>
    <xf numFmtId="0" fontId="303" fillId="15" borderId="22" xfId="6020" applyFont="1" applyFill="1" applyBorder="1" applyAlignment="1">
      <alignment horizontal="center" vertical="center"/>
    </xf>
    <xf numFmtId="0" fontId="0" fillId="15" borderId="74" xfId="0" applyFill="1" applyBorder="1"/>
    <xf numFmtId="0" fontId="303" fillId="15" borderId="22" xfId="6020" applyFont="1" applyFill="1" applyBorder="1" applyAlignment="1">
      <alignment horizontal="center" vertical="center" wrapText="1"/>
    </xf>
    <xf numFmtId="0" fontId="292" fillId="15" borderId="70" xfId="0" applyFont="1" applyFill="1" applyBorder="1" applyAlignment="1">
      <alignment horizontal="center" wrapText="1"/>
    </xf>
    <xf numFmtId="0" fontId="292" fillId="15" borderId="73" xfId="0" applyFont="1" applyFill="1" applyBorder="1" applyAlignment="1">
      <alignment horizontal="center" wrapText="1"/>
    </xf>
    <xf numFmtId="0" fontId="292" fillId="15" borderId="71" xfId="0" applyFont="1" applyFill="1" applyBorder="1" applyAlignment="1">
      <alignment horizontal="center" wrapText="1"/>
    </xf>
    <xf numFmtId="0" fontId="292" fillId="15" borderId="75" xfId="0" applyFont="1" applyFill="1" applyBorder="1" applyAlignment="1">
      <alignment horizontal="center" wrapText="1"/>
    </xf>
    <xf numFmtId="0" fontId="260" fillId="15" borderId="78" xfId="0" applyFont="1" applyFill="1" applyBorder="1" applyAlignment="1">
      <alignment horizontal="center" vertical="center" wrapText="1"/>
    </xf>
    <xf numFmtId="0" fontId="0" fillId="15" borderId="3" xfId="0" applyFill="1" applyBorder="1"/>
    <xf numFmtId="0" fontId="0" fillId="15" borderId="57" xfId="0" applyFill="1" applyBorder="1"/>
    <xf numFmtId="0" fontId="299" fillId="15" borderId="68" xfId="36" applyFont="1" applyFill="1" applyBorder="1" applyAlignment="1">
      <alignment horizontal="center" vertical="center" wrapText="1"/>
    </xf>
    <xf numFmtId="0" fontId="299" fillId="15" borderId="0" xfId="36" applyFont="1" applyFill="1" applyAlignment="1">
      <alignment horizontal="center" vertical="center" wrapText="1"/>
    </xf>
    <xf numFmtId="0" fontId="299" fillId="15" borderId="83" xfId="36" applyFont="1" applyFill="1" applyBorder="1" applyAlignment="1">
      <alignment horizontal="center" vertical="center" wrapText="1"/>
    </xf>
    <xf numFmtId="0" fontId="260" fillId="15" borderId="77" xfId="36" applyFont="1" applyFill="1" applyBorder="1" applyAlignment="1">
      <alignment horizontal="center" vertical="center" wrapText="1"/>
    </xf>
    <xf numFmtId="0" fontId="260" fillId="15" borderId="32" xfId="36" applyFont="1" applyFill="1" applyBorder="1" applyAlignment="1">
      <alignment horizontal="center" vertical="center" wrapText="1"/>
    </xf>
    <xf numFmtId="0" fontId="260" fillId="15" borderId="10" xfId="36" applyFont="1" applyFill="1" applyBorder="1" applyAlignment="1">
      <alignment horizontal="center" vertical="center" wrapText="1"/>
    </xf>
    <xf numFmtId="0" fontId="288" fillId="15" borderId="10" xfId="0" applyFont="1" applyFill="1" applyBorder="1" applyAlignment="1">
      <alignment horizontal="center" vertical="center" wrapText="1"/>
    </xf>
    <xf numFmtId="0" fontId="0" fillId="15" borderId="32" xfId="0" applyFill="1" applyBorder="1"/>
    <xf numFmtId="0" fontId="0" fillId="15" borderId="10" xfId="0" applyFill="1" applyBorder="1"/>
    <xf numFmtId="14" fontId="260" fillId="15" borderId="67" xfId="36" applyNumberFormat="1" applyFont="1" applyFill="1" applyBorder="1" applyAlignment="1">
      <alignment horizontal="center" vertical="center" wrapText="1"/>
    </xf>
    <xf numFmtId="0" fontId="260" fillId="15" borderId="82" xfId="623" applyFont="1" applyFill="1" applyBorder="1" applyAlignment="1">
      <alignment horizontal="center" vertical="center" wrapText="1"/>
    </xf>
    <xf numFmtId="0" fontId="260" fillId="15" borderId="32" xfId="623" applyFont="1" applyFill="1" applyBorder="1" applyAlignment="1">
      <alignment horizontal="center" vertical="center" wrapText="1"/>
    </xf>
    <xf numFmtId="0" fontId="260" fillId="15" borderId="10" xfId="623" applyFont="1" applyFill="1" applyBorder="1" applyAlignment="1">
      <alignment horizontal="center" vertical="center" wrapText="1"/>
    </xf>
    <xf numFmtId="0" fontId="260" fillId="15" borderId="27" xfId="623" applyFont="1" applyFill="1" applyBorder="1" applyAlignment="1">
      <alignment horizontal="center" vertical="center" wrapText="1"/>
    </xf>
    <xf numFmtId="0" fontId="0" fillId="0" borderId="32" xfId="0" applyBorder="1"/>
    <xf numFmtId="0" fontId="0" fillId="0" borderId="10" xfId="0" applyBorder="1"/>
    <xf numFmtId="0" fontId="297" fillId="15" borderId="32" xfId="0" applyFont="1" applyFill="1" applyBorder="1" applyAlignment="1">
      <alignment horizontal="center"/>
    </xf>
    <xf numFmtId="0" fontId="297" fillId="15" borderId="10" xfId="0" applyFont="1" applyFill="1" applyBorder="1" applyAlignment="1">
      <alignment horizontal="center"/>
    </xf>
    <xf numFmtId="0" fontId="257" fillId="15" borderId="28" xfId="623" applyFont="1" applyFill="1" applyBorder="1" applyAlignment="1">
      <alignment horizontal="center" vertical="center" wrapText="1"/>
    </xf>
    <xf numFmtId="0" fontId="0" fillId="0" borderId="79" xfId="0" applyBorder="1"/>
    <xf numFmtId="0" fontId="0" fillId="0" borderId="80" xfId="0" applyBorder="1"/>
    <xf numFmtId="4" fontId="260" fillId="15" borderId="69" xfId="0" applyNumberFormat="1" applyFont="1" applyFill="1" applyBorder="1" applyAlignment="1">
      <alignment horizontal="center" vertical="center" wrapText="1"/>
    </xf>
    <xf numFmtId="4" fontId="260" fillId="15" borderId="5" xfId="0" applyNumberFormat="1" applyFont="1" applyFill="1" applyBorder="1" applyAlignment="1">
      <alignment horizontal="center" vertical="center" wrapText="1"/>
    </xf>
    <xf numFmtId="0" fontId="260" fillId="15" borderId="0" xfId="666" applyFont="1" applyFill="1" applyAlignment="1">
      <alignment horizontal="center" vertical="center" wrapText="1"/>
    </xf>
    <xf numFmtId="0" fontId="260" fillId="15" borderId="9" xfId="666" applyFont="1" applyFill="1" applyBorder="1" applyAlignment="1">
      <alignment horizontal="center" vertical="center" wrapText="1"/>
    </xf>
    <xf numFmtId="0" fontId="260" fillId="15" borderId="0" xfId="0" applyFont="1" applyFill="1" applyAlignment="1">
      <alignment horizontal="center" vertical="center" wrapText="1"/>
    </xf>
    <xf numFmtId="0" fontId="260" fillId="15" borderId="4" xfId="0" applyFont="1" applyFill="1" applyBorder="1" applyAlignment="1">
      <alignment horizontal="center" vertical="center" wrapText="1"/>
    </xf>
    <xf numFmtId="0" fontId="260" fillId="15" borderId="81" xfId="0" applyFont="1" applyFill="1" applyBorder="1" applyAlignment="1">
      <alignment horizontal="center" vertical="center" wrapText="1"/>
    </xf>
    <xf numFmtId="0" fontId="260" fillId="15" borderId="69" xfId="0" applyFont="1" applyFill="1" applyBorder="1" applyAlignment="1">
      <alignment horizontal="center" vertical="center" wrapText="1"/>
    </xf>
    <xf numFmtId="0" fontId="260" fillId="15" borderId="85" xfId="0" applyFont="1" applyFill="1" applyBorder="1" applyAlignment="1">
      <alignment horizontal="center" vertical="center" wrapText="1"/>
    </xf>
    <xf numFmtId="0" fontId="257" fillId="15" borderId="31" xfId="711" applyFont="1" applyFill="1" applyBorder="1" applyAlignment="1">
      <alignment horizontal="center" vertical="center"/>
    </xf>
  </cellXfs>
  <cellStyles count="6034">
    <cellStyle name="40% - Accent3 2" xfId="33" xr:uid="{00000000-0005-0000-0000-000001000000}"/>
    <cellStyle name="40% - Accent3 2 2" xfId="774" xr:uid="{00000000-0005-0000-0000-000002000000}"/>
    <cellStyle name="40% - Accent3 2 2 2" xfId="2226" xr:uid="{A4A32928-8CF7-4190-9344-83D9825A6B33}"/>
    <cellStyle name="40% - Accent3 2 2 2 2" xfId="5082" xr:uid="{8125183E-6A5E-4C5A-B828-6926316E0D93}"/>
    <cellStyle name="40% - Accent3 2 2 3" xfId="3664" xr:uid="{FE8E4A6B-02B1-4643-9966-3411869D4691}"/>
    <cellStyle name="40% - Accent3 2 3" xfId="1578" xr:uid="{876D8142-DC42-428D-A247-C8CF73620F21}"/>
    <cellStyle name="40% - Accent3 2 3 2" xfId="4438" xr:uid="{5CA90B2A-A467-4446-AAC8-C9FC9F4BBBEE}"/>
    <cellStyle name="40% - Accent3 2 4" xfId="3023" xr:uid="{F188118F-BF77-40A6-B7F9-9FE22C61E7CD}"/>
    <cellStyle name="40% - Accent3 3" xfId="45" xr:uid="{00000000-0005-0000-0000-000003000000}"/>
    <cellStyle name="40% - Accent3 4" xfId="1574" xr:uid="{DE38F329-3E85-47A7-844F-DE92DC717062}"/>
    <cellStyle name="40% - Accent3 4 2" xfId="4434" xr:uid="{E6FA29AE-70DA-4479-B369-EA0536B9AC96}"/>
    <cellStyle name="40% - Accent3 5" xfId="3019" xr:uid="{BBD0A701-90D6-4306-B541-B9D80FFDE17B}"/>
    <cellStyle name="Accent1 2" xfId="666" xr:uid="{00000000-0005-0000-0000-000004000000}"/>
    <cellStyle name="Accent1 2 2" xfId="706" xr:uid="{00000000-0005-0000-0000-000005000000}"/>
    <cellStyle name="Accent2 2" xfId="43" xr:uid="{00000000-0005-0000-0000-000007000000}"/>
    <cellStyle name="Accent4 2" xfId="42" xr:uid="{00000000-0005-0000-0000-000009000000}"/>
    <cellStyle name="Accent5 2" xfId="41" xr:uid="{00000000-0005-0000-0000-00000B000000}"/>
    <cellStyle name="Accent6 2" xfId="44" xr:uid="{00000000-0005-0000-0000-00000D000000}"/>
    <cellStyle name="cf1" xfId="648" xr:uid="{00000000-0005-0000-0000-00000E000000}"/>
    <cellStyle name="cf2" xfId="649" xr:uid="{00000000-0005-0000-0000-00000F000000}"/>
    <cellStyle name="cf3" xfId="650" xr:uid="{00000000-0005-0000-0000-000010000000}"/>
    <cellStyle name="Comma" xfId="1" builtinId="3"/>
    <cellStyle name="Comma 10" xfId="63" xr:uid="{00000000-0005-0000-0000-000012000000}"/>
    <cellStyle name="Comma 10 2" xfId="791" xr:uid="{00000000-0005-0000-0000-000013000000}"/>
    <cellStyle name="Comma 10 2 2" xfId="2242" xr:uid="{D9E0DD95-62DF-4C6B-8B40-89F4BC1EFDF9}"/>
    <cellStyle name="Comma 10 2 2 2" xfId="5098" xr:uid="{05DF9FF5-E97C-4669-926E-B6A1DFC591FD}"/>
    <cellStyle name="Comma 10 2 3" xfId="3680" xr:uid="{5334453A-C54F-47CF-BB8E-13836B5EA4AC}"/>
    <cellStyle name="Comma 10 3" xfId="1594" xr:uid="{3DE3FF0A-3A83-4B0E-9C99-DEA0F8120248}"/>
    <cellStyle name="Comma 10 3 2" xfId="4454" xr:uid="{18806713-D31D-4B15-842E-F16E9FDE468F}"/>
    <cellStyle name="Comma 10 4" xfId="3039" xr:uid="{450AAFA8-752A-43E9-B6F7-C608FB51D5F8}"/>
    <cellStyle name="Comma 100" xfId="557" xr:uid="{00000000-0005-0000-0000-000014000000}"/>
    <cellStyle name="Comma 100 2" xfId="1276" xr:uid="{00000000-0005-0000-0000-000015000000}"/>
    <cellStyle name="Comma 100 2 2" xfId="2724" xr:uid="{EAF49FE6-2AB0-4270-8B85-0ECBAB89B2D0}"/>
    <cellStyle name="Comma 100 2 2 2" xfId="5580" xr:uid="{F6503B31-8F1E-493D-837A-6D735905F142}"/>
    <cellStyle name="Comma 100 2 3" xfId="4162" xr:uid="{A2197C55-C92D-41C1-91C5-288F15CA0552}"/>
    <cellStyle name="Comma 100 3" xfId="2079" xr:uid="{A099488A-88FB-40FB-B368-3C8514393057}"/>
    <cellStyle name="Comma 100 3 2" xfId="4939" xr:uid="{A2DC9AD4-2C35-40AF-9473-270281B1EF28}"/>
    <cellStyle name="Comma 100 4" xfId="3523" xr:uid="{A3461A3A-310C-4D8C-B45D-90037377B094}"/>
    <cellStyle name="Comma 101" xfId="560" xr:uid="{00000000-0005-0000-0000-000016000000}"/>
    <cellStyle name="Comma 101 2" xfId="1279" xr:uid="{00000000-0005-0000-0000-000017000000}"/>
    <cellStyle name="Comma 101 2 2" xfId="2727" xr:uid="{16E68536-A35D-42DF-B69C-D7970191701B}"/>
    <cellStyle name="Comma 101 2 2 2" xfId="5583" xr:uid="{47B32792-7C46-414D-B409-DB4A1ECF71F4}"/>
    <cellStyle name="Comma 101 2 3" xfId="4165" xr:uid="{35EE3653-0CC0-49AD-8CA9-DFAAF3ECE3FD}"/>
    <cellStyle name="Comma 101 3" xfId="2082" xr:uid="{8FE3B485-F484-4DF1-9770-98CD787F4A2B}"/>
    <cellStyle name="Comma 101 3 2" xfId="4942" xr:uid="{4EF0C655-4004-4CCC-AEC7-5532E8D4462E}"/>
    <cellStyle name="Comma 101 4" xfId="3526" xr:uid="{0ADC0613-1343-4B00-89E6-3B19A00DEADD}"/>
    <cellStyle name="Comma 102" xfId="563" xr:uid="{00000000-0005-0000-0000-000018000000}"/>
    <cellStyle name="Comma 102 2" xfId="1282" xr:uid="{00000000-0005-0000-0000-000019000000}"/>
    <cellStyle name="Comma 102 2 2" xfId="2730" xr:uid="{A397FE26-1D37-4392-9040-B1ECC8E63876}"/>
    <cellStyle name="Comma 102 2 2 2" xfId="5586" xr:uid="{1F9A73CF-8911-4211-BD92-9BD1348F1889}"/>
    <cellStyle name="Comma 102 2 3" xfId="4168" xr:uid="{E6AB9DEE-47A0-4017-BDBA-58599EF7C9C4}"/>
    <cellStyle name="Comma 102 3" xfId="2085" xr:uid="{54DABFF9-78CD-4AC8-8081-24DCAAF45C11}"/>
    <cellStyle name="Comma 102 3 2" xfId="4945" xr:uid="{B238E71D-64BC-4DEE-BAD2-F65564D37BBD}"/>
    <cellStyle name="Comma 102 4" xfId="3529" xr:uid="{4A8175B3-E8D8-4427-A086-9F511218DE7D}"/>
    <cellStyle name="Comma 103" xfId="573" xr:uid="{00000000-0005-0000-0000-00001A000000}"/>
    <cellStyle name="Comma 103 2" xfId="601" xr:uid="{00000000-0005-0000-0000-00001B000000}"/>
    <cellStyle name="Comma 103 2 2" xfId="1319" xr:uid="{00000000-0005-0000-0000-00001C000000}"/>
    <cellStyle name="Comma 103 2 2 2" xfId="2767" xr:uid="{628516E5-F32D-4EAC-88CC-3FF10B12AF90}"/>
    <cellStyle name="Comma 103 2 2 2 2" xfId="5623" xr:uid="{A6E6A5EB-2D5A-46E9-AA4B-9574E17B9177}"/>
    <cellStyle name="Comma 103 2 2 3" xfId="4205" xr:uid="{D7D82F51-B67F-454B-88D3-BA96DD157CA2}"/>
    <cellStyle name="Comma 103 2 3" xfId="2122" xr:uid="{C4ABE135-B1D2-4DC0-87E4-EFA860807D76}"/>
    <cellStyle name="Comma 103 2 3 2" xfId="4982" xr:uid="{1D1D7019-2A47-4625-88E8-E05B93C598D7}"/>
    <cellStyle name="Comma 103 2 4" xfId="3566" xr:uid="{D12A3134-14EF-4468-A75F-5CC61CCCD4E1}"/>
    <cellStyle name="Comma 103 3" xfId="1292" xr:uid="{00000000-0005-0000-0000-00001D000000}"/>
    <cellStyle name="Comma 103 3 2" xfId="2740" xr:uid="{565219D3-F6C3-4D0B-B5FD-727F292DA37F}"/>
    <cellStyle name="Comma 103 3 2 2" xfId="5596" xr:uid="{4F621327-2004-4D55-B264-63718EF9BD2C}"/>
    <cellStyle name="Comma 103 3 3" xfId="4178" xr:uid="{E34D784E-3ED6-4672-B839-F5F148A7FE89}"/>
    <cellStyle name="Comma 103 4" xfId="2095" xr:uid="{BCA3622D-BA68-4027-A4D6-022BFA09A503}"/>
    <cellStyle name="Comma 103 4 2" xfId="4955" xr:uid="{DFCD6FC8-CFB1-495D-A1AF-6C7B803B969C}"/>
    <cellStyle name="Comma 103 5" xfId="3539" xr:uid="{240121AC-F81B-4D9E-BDF5-36A7F2F742C8}"/>
    <cellStyle name="Comma 104" xfId="577" xr:uid="{00000000-0005-0000-0000-00001E000000}"/>
    <cellStyle name="Comma 104 2" xfId="1296" xr:uid="{00000000-0005-0000-0000-00001F000000}"/>
    <cellStyle name="Comma 104 2 2" xfId="2744" xr:uid="{63AB434D-49D2-443B-AB10-0D81E182A42A}"/>
    <cellStyle name="Comma 104 2 2 2" xfId="5600" xr:uid="{A5329CE4-AB18-424E-8A8C-5B17F20482E9}"/>
    <cellStyle name="Comma 104 2 3" xfId="4182" xr:uid="{A92D8AC3-F2E1-4E56-B4D8-2A67CB74B8E2}"/>
    <cellStyle name="Comma 104 3" xfId="2099" xr:uid="{6CC0B6DF-0AFD-4E8D-8C67-2941EFC44E67}"/>
    <cellStyle name="Comma 104 3 2" xfId="4959" xr:uid="{B28FEBC6-FF12-4D76-9D9C-6B5D2C5A9BD6}"/>
    <cellStyle name="Comma 104 4" xfId="3543" xr:uid="{CEA330A7-A79A-4E83-810B-89D5886B7D16}"/>
    <cellStyle name="Comma 105" xfId="588" xr:uid="{00000000-0005-0000-0000-000020000000}"/>
    <cellStyle name="Comma 106" xfId="595" xr:uid="{00000000-0005-0000-0000-000021000000}"/>
    <cellStyle name="Comma 106 2" xfId="1313" xr:uid="{00000000-0005-0000-0000-000022000000}"/>
    <cellStyle name="Comma 106 2 2" xfId="2761" xr:uid="{A551185D-04EB-4642-BD5E-80F901A9B619}"/>
    <cellStyle name="Comma 106 2 2 2" xfId="5617" xr:uid="{8E65EC87-E75B-4A9B-9D1C-083F01159827}"/>
    <cellStyle name="Comma 106 2 3" xfId="4199" xr:uid="{93E91823-FF25-4A4F-AE80-0CE03DD85008}"/>
    <cellStyle name="Comma 106 3" xfId="2116" xr:uid="{29754D28-089A-4A9D-AC92-A2B686376965}"/>
    <cellStyle name="Comma 106 3 2" xfId="4976" xr:uid="{A679AA5C-0521-4D69-8116-F27AF4E92479}"/>
    <cellStyle name="Comma 106 4" xfId="3560" xr:uid="{9493EBEF-EEAB-4BBE-897E-24F2FBEC0647}"/>
    <cellStyle name="Comma 107" xfId="599" xr:uid="{00000000-0005-0000-0000-000023000000}"/>
    <cellStyle name="Comma 107 2" xfId="1317" xr:uid="{00000000-0005-0000-0000-000024000000}"/>
    <cellStyle name="Comma 107 2 2" xfId="2765" xr:uid="{4F4F29D2-0248-495E-A1FC-4BBACB29AAA1}"/>
    <cellStyle name="Comma 107 2 2 2" xfId="5621" xr:uid="{FD251947-7A6D-42CD-8465-5F3312F69352}"/>
    <cellStyle name="Comma 107 2 3" xfId="4203" xr:uid="{802FEAE1-D463-413F-918B-4C1D57E7C4D1}"/>
    <cellStyle name="Comma 107 3" xfId="2120" xr:uid="{C33BC9C9-5DE2-4C97-9785-C1064BC6FC8A}"/>
    <cellStyle name="Comma 107 3 2" xfId="4980" xr:uid="{69EA02C0-15A9-4CBF-B272-368837346E1F}"/>
    <cellStyle name="Comma 107 4" xfId="3564" xr:uid="{908A4A46-FB3B-47C3-BEFE-906486D6B22C}"/>
    <cellStyle name="Comma 108" xfId="606" xr:uid="{00000000-0005-0000-0000-000025000000}"/>
    <cellStyle name="Comma 108 2" xfId="1324" xr:uid="{00000000-0005-0000-0000-000026000000}"/>
    <cellStyle name="Comma 108 2 2" xfId="2772" xr:uid="{C02CCA41-EB12-4396-8841-CDC100097A67}"/>
    <cellStyle name="Comma 108 2 2 2" xfId="5628" xr:uid="{25B64A0A-AEB8-4521-AD6D-B1F75253605B}"/>
    <cellStyle name="Comma 108 2 3" xfId="4210" xr:uid="{08582330-1613-4229-9A84-FB106C8B972B}"/>
    <cellStyle name="Comma 108 3" xfId="2127" xr:uid="{3107F9E3-A667-4E3C-9A3D-98A0B0D9CD6B}"/>
    <cellStyle name="Comma 108 3 2" xfId="4987" xr:uid="{5D45B0A5-8A9D-4DFB-878E-72048191096C}"/>
    <cellStyle name="Comma 108 4" xfId="3571" xr:uid="{4AA9958D-6F8A-4D17-8057-2B885E4437D6}"/>
    <cellStyle name="Comma 109" xfId="611" xr:uid="{00000000-0005-0000-0000-000027000000}"/>
    <cellStyle name="Comma 109 2" xfId="1329" xr:uid="{00000000-0005-0000-0000-000028000000}"/>
    <cellStyle name="Comma 109 2 2" xfId="2777" xr:uid="{767590A1-987A-40E8-A5B2-0DAB62621CD9}"/>
    <cellStyle name="Comma 109 2 2 2" xfId="5633" xr:uid="{C2799139-137C-4847-B8BD-82DEC90C2410}"/>
    <cellStyle name="Comma 109 2 3" xfId="4215" xr:uid="{76D61C38-E741-4CAC-B63D-6752EDD6E2E8}"/>
    <cellStyle name="Comma 109 3" xfId="2132" xr:uid="{BED96DF2-545A-4220-8D65-DBA639675A84}"/>
    <cellStyle name="Comma 109 3 2" xfId="4992" xr:uid="{E30D3005-9ABF-4937-9319-39FC07CA7780}"/>
    <cellStyle name="Comma 109 4" xfId="3576" xr:uid="{E28F2293-A14D-4E2D-B468-6DECB73E8DAE}"/>
    <cellStyle name="Comma 11" xfId="71" xr:uid="{00000000-0005-0000-0000-000029000000}"/>
    <cellStyle name="Comma 110" xfId="614" xr:uid="{00000000-0005-0000-0000-00002A000000}"/>
    <cellStyle name="Comma 110 2" xfId="1332" xr:uid="{00000000-0005-0000-0000-00002B000000}"/>
    <cellStyle name="Comma 110 2 2" xfId="2780" xr:uid="{1B95485C-CD90-4011-ACBA-212874870E97}"/>
    <cellStyle name="Comma 110 2 2 2" xfId="5636" xr:uid="{75CA8EA0-0D9F-44A3-9CBB-F0D2C356CAA4}"/>
    <cellStyle name="Comma 110 2 3" xfId="4218" xr:uid="{95928238-888C-4852-A40C-6041EE947929}"/>
    <cellStyle name="Comma 110 3" xfId="2135" xr:uid="{C63E156E-13C1-4825-AB08-3F9495250953}"/>
    <cellStyle name="Comma 110 3 2" xfId="4995" xr:uid="{5E89A63D-FDA1-49DE-ADE7-5C38577C7609}"/>
    <cellStyle name="Comma 110 4" xfId="3579" xr:uid="{79E054B6-CA47-4EE9-B087-FF4CF5847A09}"/>
    <cellStyle name="Comma 111" xfId="637" xr:uid="{00000000-0005-0000-0000-00002C000000}"/>
    <cellStyle name="Comma 111 2" xfId="1351" xr:uid="{00000000-0005-0000-0000-00002D000000}"/>
    <cellStyle name="Comma 111 2 2" xfId="2799" xr:uid="{8B78185D-ADA7-4F53-B85F-D8C94B7C7391}"/>
    <cellStyle name="Comma 111 2 2 2" xfId="5655" xr:uid="{B230424C-4BDF-4705-A112-EC1BEE19065A}"/>
    <cellStyle name="Comma 111 2 3" xfId="4237" xr:uid="{9D41AAFB-6ADA-46E0-B54B-3D21AB7977D9}"/>
    <cellStyle name="Comma 111 3" xfId="2155" xr:uid="{49B6710A-EC1B-4BF5-AB56-42DB6B89FEAF}"/>
    <cellStyle name="Comma 111 3 2" xfId="5015" xr:uid="{565D3C0D-F827-4C7D-9076-221CC1D234A3}"/>
    <cellStyle name="Comma 111 4" xfId="3599" xr:uid="{542B1911-29E5-4B67-9C92-155AEF346134}"/>
    <cellStyle name="Comma 112" xfId="640" xr:uid="{00000000-0005-0000-0000-00002E000000}"/>
    <cellStyle name="Comma 112 2" xfId="1354" xr:uid="{00000000-0005-0000-0000-00002F000000}"/>
    <cellStyle name="Comma 112 2 2" xfId="2802" xr:uid="{3FD78218-771D-4754-A0E8-B426DE5FFF7F}"/>
    <cellStyle name="Comma 112 2 2 2" xfId="5658" xr:uid="{AF53A495-210B-4E77-ABFD-CB7F61AC8079}"/>
    <cellStyle name="Comma 112 2 3" xfId="4240" xr:uid="{31863564-355A-4891-83CA-0A0F23804976}"/>
    <cellStyle name="Comma 112 3" xfId="2158" xr:uid="{D85AE49D-D52F-4AB7-80A0-361BE6179FE7}"/>
    <cellStyle name="Comma 112 3 2" xfId="5018" xr:uid="{32590D2C-D8EC-4BCB-AE6E-E8186B931EA7}"/>
    <cellStyle name="Comma 112 4" xfId="3602" xr:uid="{9552C7AA-0323-42DD-848D-1A8F700DFC1F}"/>
    <cellStyle name="Comma 113" xfId="643" xr:uid="{00000000-0005-0000-0000-000030000000}"/>
    <cellStyle name="Comma 113 2" xfId="1357" xr:uid="{00000000-0005-0000-0000-000031000000}"/>
    <cellStyle name="Comma 113 2 2" xfId="2805" xr:uid="{3711150A-656E-41AE-B0BE-C474797905A4}"/>
    <cellStyle name="Comma 113 2 2 2" xfId="5661" xr:uid="{89B0B3AC-394C-45A3-AA27-3CA1F28BF7F5}"/>
    <cellStyle name="Comma 113 2 3" xfId="4243" xr:uid="{F53F847F-5419-48D0-AA4C-EBECE41F04FE}"/>
    <cellStyle name="Comma 113 3" xfId="2161" xr:uid="{CBEE8E6E-440A-4DA3-9745-5C7C68EF8870}"/>
    <cellStyle name="Comma 113 3 2" xfId="5021" xr:uid="{D3E83CAD-5924-457F-A35B-70DB64E90C5E}"/>
    <cellStyle name="Comma 113 4" xfId="3605" xr:uid="{535A9BCE-F3C3-49C8-870B-1C90DB993305}"/>
    <cellStyle name="Comma 114" xfId="645" xr:uid="{00000000-0005-0000-0000-000032000000}"/>
    <cellStyle name="Comma 114 2" xfId="1359" xr:uid="{00000000-0005-0000-0000-000033000000}"/>
    <cellStyle name="Comma 114 2 2" xfId="2807" xr:uid="{240CC4F1-4DB5-4D61-BF2D-51942B9B0AFA}"/>
    <cellStyle name="Comma 114 2 2 2" xfId="5663" xr:uid="{1C8FF613-A868-4737-B5B2-ABBBBA66A0C8}"/>
    <cellStyle name="Comma 114 2 3" xfId="4245" xr:uid="{AE642F33-563D-411A-AF6A-4C63C3DFBFDE}"/>
    <cellStyle name="Comma 114 3" xfId="2163" xr:uid="{A36E6CE0-5C9B-443B-BA59-717A4CBAB7CC}"/>
    <cellStyle name="Comma 114 3 2" xfId="5023" xr:uid="{9F9E182D-7A49-4943-9D8E-5813B568272D}"/>
    <cellStyle name="Comma 114 4" xfId="3607" xr:uid="{420630AE-DAC9-44D5-A706-65E2B91E6305}"/>
    <cellStyle name="Comma 115" xfId="647" xr:uid="{00000000-0005-0000-0000-000034000000}"/>
    <cellStyle name="Comma 116" xfId="659" xr:uid="{00000000-0005-0000-0000-000035000000}"/>
    <cellStyle name="Comma 116 2" xfId="1361" xr:uid="{00000000-0005-0000-0000-000036000000}"/>
    <cellStyle name="Comma 116 2 2" xfId="2809" xr:uid="{C629E6BB-95DB-4361-9A68-97EFF2042894}"/>
    <cellStyle name="Comma 116 2 2 2" xfId="5665" xr:uid="{184DE98A-7013-4CD5-82AE-006E1D055E60}"/>
    <cellStyle name="Comma 116 2 3" xfId="4247" xr:uid="{7C09170A-6B39-40BC-88B0-B36CB9319114}"/>
    <cellStyle name="Comma 116 3" xfId="2165" xr:uid="{67601BAC-7E61-44E6-BC38-ADAC9A80CA16}"/>
    <cellStyle name="Comma 116 3 2" xfId="5025" xr:uid="{AC91F8A4-EC4A-4D71-AA86-BBAB4BF85513}"/>
    <cellStyle name="Comma 116 4" xfId="3609" xr:uid="{79798A78-400A-467E-85A7-721A8C90CEA9}"/>
    <cellStyle name="Comma 117" xfId="664" xr:uid="{00000000-0005-0000-0000-000037000000}"/>
    <cellStyle name="Comma 117 2" xfId="1365" xr:uid="{00000000-0005-0000-0000-000038000000}"/>
    <cellStyle name="Comma 117 2 2" xfId="2813" xr:uid="{3814F696-6BCF-4E34-A1CE-194D38C04CEC}"/>
    <cellStyle name="Comma 117 2 2 2" xfId="5669" xr:uid="{A729E13E-4B9D-4D6C-8875-1491FD3181D8}"/>
    <cellStyle name="Comma 117 2 3" xfId="4251" xr:uid="{AD2F99F1-AC4D-4659-B97A-D966EA86A34C}"/>
    <cellStyle name="Comma 117 3" xfId="2169" xr:uid="{F3D90B15-94F6-4F0F-89F7-0DE2D5C58589}"/>
    <cellStyle name="Comma 117 3 2" xfId="5029" xr:uid="{D74C9B6E-4895-4082-B5F0-85D24EC5DCDD}"/>
    <cellStyle name="Comma 117 4" xfId="3613" xr:uid="{632FFC05-7A37-46DC-86BD-A5357977D749}"/>
    <cellStyle name="Comma 118" xfId="671" xr:uid="{00000000-0005-0000-0000-000039000000}"/>
    <cellStyle name="Comma 118 2" xfId="1369" xr:uid="{00000000-0005-0000-0000-00003A000000}"/>
    <cellStyle name="Comma 118 2 2" xfId="2817" xr:uid="{DE43C1F8-8072-4BC8-8AE9-75DB8D4531E9}"/>
    <cellStyle name="Comma 118 2 2 2" xfId="5672" xr:uid="{D3B3FE55-87EF-4445-A22E-A7B4942F88E9}"/>
    <cellStyle name="Comma 118 2 3" xfId="4254" xr:uid="{D0358C39-0A40-43D4-BA53-8AFF8D29C2A9}"/>
    <cellStyle name="Comma 118 3" xfId="2173" xr:uid="{54A7560C-FF42-41C1-9F16-55A5878CF067}"/>
    <cellStyle name="Comma 118 3 2" xfId="5033" xr:uid="{B54003B5-920D-406D-974F-1C3A06DF98F0}"/>
    <cellStyle name="Comma 118 4" xfId="3617" xr:uid="{D53B8FD8-A1C3-4245-A26A-3AEB26D333DB}"/>
    <cellStyle name="Comma 119" xfId="675" xr:uid="{00000000-0005-0000-0000-00003B000000}"/>
    <cellStyle name="Comma 12" xfId="73" xr:uid="{00000000-0005-0000-0000-00003C000000}"/>
    <cellStyle name="Comma 12 2" xfId="799" xr:uid="{00000000-0005-0000-0000-00003D000000}"/>
    <cellStyle name="Comma 12 2 2" xfId="2250" xr:uid="{E775565D-B793-4F0E-920C-B6BABB3E9EC8}"/>
    <cellStyle name="Comma 12 2 2 2" xfId="5106" xr:uid="{DC3DE09F-D8FC-44CA-AA23-EE91913E0324}"/>
    <cellStyle name="Comma 12 2 3" xfId="3688" xr:uid="{0D73A105-8D11-462D-9843-20C1BBC28276}"/>
    <cellStyle name="Comma 12 3" xfId="1603" xr:uid="{9717FACF-1FA8-467A-9762-2B2A990637E8}"/>
    <cellStyle name="Comma 12 3 2" xfId="4463" xr:uid="{F54829C6-B1B9-4A2F-962D-B06B5089387C}"/>
    <cellStyle name="Comma 12 4" xfId="3047" xr:uid="{0B213360-5E4E-4F82-A957-D49F13C81F84}"/>
    <cellStyle name="Comma 120" xfId="677" xr:uid="{00000000-0005-0000-0000-00003E000000}"/>
    <cellStyle name="Comma 120 2" xfId="683" xr:uid="{00000000-0005-0000-0000-00003F000000}"/>
    <cellStyle name="Comma 120 2 2" xfId="689" xr:uid="{00000000-0005-0000-0000-000040000000}"/>
    <cellStyle name="Comma 120 2 2 2" xfId="695" xr:uid="{00000000-0005-0000-0000-000041000000}"/>
    <cellStyle name="Comma 120 2 2 2 2" xfId="730" xr:uid="{00000000-0005-0000-0000-000042000000}"/>
    <cellStyle name="Comma 120 2 2 2 2 2" xfId="737" xr:uid="{00000000-0005-0000-0000-000043000000}"/>
    <cellStyle name="Comma 120 2 2 2 2 2 2" xfId="754" xr:uid="{00000000-0005-0000-0000-000044000000}"/>
    <cellStyle name="Comma 120 2 2 2 2 2 2 2" xfId="765" xr:uid="{00000000-0005-0000-0000-000045000000}"/>
    <cellStyle name="Comma 120 2 2 2 2 2 2 2 2" xfId="1422" xr:uid="{00000000-0005-0000-0000-000046000000}"/>
    <cellStyle name="Comma 120 2 2 2 2 2 2 2 2 2" xfId="1433" xr:uid="{00000000-0005-0000-0000-000047000000}"/>
    <cellStyle name="Comma 120 2 2 2 2 2 2 2 2 2 10" xfId="5953" xr:uid="{C791619F-CE13-400E-B4EF-A94B594F0EBE}"/>
    <cellStyle name="Comma 120 2 2 2 2 2 2 2 2 2 11" xfId="5969" xr:uid="{53D31B48-8651-405C-87DB-5BD26250BAC1}"/>
    <cellStyle name="Comma 120 2 2 2 2 2 2 2 2 2 12" xfId="5987" xr:uid="{96A0AB60-110A-4563-A717-FF519EB50D12}"/>
    <cellStyle name="Comma 120 2 2 2 2 2 2 2 2 2 2" xfId="1458" xr:uid="{00000000-0005-0000-0000-000048000000}"/>
    <cellStyle name="Comma 120 2 2 2 2 2 2 2 2 2 2 2" xfId="2886" xr:uid="{29D1FFE8-B3FE-446A-96CA-5B0FAC7C7A2E}"/>
    <cellStyle name="Comma 120 2 2 2 2 2 2 2 2 2 2 2 2" xfId="5740" xr:uid="{9DF18B9D-A8F5-4AD4-8061-6D81C6D32436}"/>
    <cellStyle name="Comma 120 2 2 2 2 2 2 2 2 2 2 3" xfId="4319" xr:uid="{A44AB6E2-E58B-4DA5-B8CC-75C3191BF4EC}"/>
    <cellStyle name="Comma 120 2 2 2 2 2 2 2 2 2 3" xfId="1475" xr:uid="{00000000-0005-0000-0000-000049000000}"/>
    <cellStyle name="Comma 120 2 2 2 2 2 2 2 2 2 3 2" xfId="2903" xr:uid="{DDA12D6D-EC72-4838-ACD3-D18AE2FBE68C}"/>
    <cellStyle name="Comma 120 2 2 2 2 2 2 2 2 2 3 2 2" xfId="5757" xr:uid="{EABF0F42-A54D-4399-9464-AC929AB4F09F}"/>
    <cellStyle name="Comma 120 2 2 2 2 2 2 2 2 2 3 3" xfId="4336" xr:uid="{54BF8B28-EB12-4CA2-AC85-27A6B8DF736F}"/>
    <cellStyle name="Comma 120 2 2 2 2 2 2 2 2 2 4" xfId="1489" xr:uid="{00000000-0005-0000-0000-00004A000000}"/>
    <cellStyle name="Comma 120 2 2 2 2 2 2 2 2 2 4 2" xfId="1509" xr:uid="{00000000-0005-0000-0000-00004B000000}"/>
    <cellStyle name="Comma 120 2 2 2 2 2 2 2 2 2 4 2 2" xfId="1539" xr:uid="{00000000-0005-0000-0000-00004C000000}"/>
    <cellStyle name="Comma 120 2 2 2 2 2 2 2 2 2 4 2 2 2" xfId="2967" xr:uid="{B426E782-C606-484D-B7C7-6C75420F22D2}"/>
    <cellStyle name="Comma 120 2 2 2 2 2 2 2 2 2 4 2 2 2 2" xfId="5820" xr:uid="{ECBD05CD-DBB1-4834-B108-EA49F0DDC381}"/>
    <cellStyle name="Comma 120 2 2 2 2 2 2 2 2 2 4 2 2 3" xfId="4399" xr:uid="{B8E06B83-AD02-4DE2-AB33-59130E6B1615}"/>
    <cellStyle name="Comma 120 2 2 2 2 2 2 2 2 2 4 2 3" xfId="2937" xr:uid="{06BF883D-19C2-4C91-A96E-4F7CF0475910}"/>
    <cellStyle name="Comma 120 2 2 2 2 2 2 2 2 2 4 2 3 2" xfId="5790" xr:uid="{B6C4654A-BDE0-43FD-94EA-FD44920FFBD4}"/>
    <cellStyle name="Comma 120 2 2 2 2 2 2 2 2 2 4 2 4" xfId="4369" xr:uid="{53EC48DE-7C3F-47E9-8BEC-31EECE23D5D3}"/>
    <cellStyle name="Comma 120 2 2 2 2 2 2 2 2 2 4 3" xfId="2917" xr:uid="{78FAB586-8F08-4FE4-A7A9-CD7465D5063B}"/>
    <cellStyle name="Comma 120 2 2 2 2 2 2 2 2 2 4 3 2" xfId="5771" xr:uid="{B0FFEE4E-B055-4206-8D5C-9B3A7CE0BB79}"/>
    <cellStyle name="Comma 120 2 2 2 2 2 2 2 2 2 4 4" xfId="4350" xr:uid="{4EACAF0B-64F8-4B94-853B-1617C40587DA}"/>
    <cellStyle name="Comma 120 2 2 2 2 2 2 2 2 2 5" xfId="1520" xr:uid="{00000000-0005-0000-0000-00004D000000}"/>
    <cellStyle name="Comma 120 2 2 2 2 2 2 2 2 2 5 2" xfId="2948" xr:uid="{84AE408A-2F88-4B89-ADB3-C68CB612143C}"/>
    <cellStyle name="Comma 120 2 2 2 2 2 2 2 2 2 5 2 2" xfId="5801" xr:uid="{08A77DB3-998C-4BFD-A10A-EE3A4E384627}"/>
    <cellStyle name="Comma 120 2 2 2 2 2 2 2 2 2 5 3" xfId="4380" xr:uid="{AD38BB8E-A842-46CE-8EB6-A19FED80397F}"/>
    <cellStyle name="Comma 120 2 2 2 2 2 2 2 2 2 6" xfId="1556" xr:uid="{8253A540-0172-4BC2-9B42-8487CC93A86E}"/>
    <cellStyle name="Comma 120 2 2 2 2 2 2 2 2 2 6 2" xfId="2984" xr:uid="{DB826BAF-C868-4296-B4B5-21137C2BD0F5}"/>
    <cellStyle name="Comma 120 2 2 2 2 2 2 2 2 2 6 2 2" xfId="5837" xr:uid="{072CE27A-3E56-48D6-BCE2-AF2F5C9B754C}"/>
    <cellStyle name="Comma 120 2 2 2 2 2 2 2 2 2 6 3" xfId="4416" xr:uid="{6B4D29C2-1B18-42C8-B891-3A08AA8DD1FD}"/>
    <cellStyle name="Comma 120 2 2 2 2 2 2 2 2 2 7" xfId="1572" xr:uid="{DEE624DC-6718-42F5-B92B-7F16A855457D}"/>
    <cellStyle name="Comma 120 2 2 2 2 2 2 2 2 2 7 2" xfId="4432" xr:uid="{3000490B-3150-45D8-948B-76BC751D8E48}"/>
    <cellStyle name="Comma 120 2 2 2 2 2 2 2 2 2 8" xfId="3014" xr:uid="{A487A14C-DE15-42BE-9DF0-D9819853F0DE}"/>
    <cellStyle name="Comma 120 2 2 2 2 2 2 2 2 2 8 2" xfId="5926" xr:uid="{3FF83245-3E72-4792-BA7A-3E10B1273DB1}"/>
    <cellStyle name="Comma 120 2 2 2 2 2 2 2 2 2 9" xfId="5942" xr:uid="{80EC03F3-59DE-42EE-BD3C-FFD24D9AF896}"/>
    <cellStyle name="Comma 120 2 2 2 3" xfId="6014" xr:uid="{7C49288D-8D16-4CC0-8C95-24E93135087D}"/>
    <cellStyle name="Comma 120 2 2 2 4" xfId="6029" xr:uid="{33D9DCBE-9EC7-45C3-A615-87B12F09672D}"/>
    <cellStyle name="Comma 121" xfId="681" xr:uid="{00000000-0005-0000-0000-00004E000000}"/>
    <cellStyle name="Comma 121 2" xfId="1373" xr:uid="{00000000-0005-0000-0000-00004F000000}"/>
    <cellStyle name="Comma 121 2 2" xfId="2820" xr:uid="{917568AB-9AC6-4545-8A5C-B16A6F2498DF}"/>
    <cellStyle name="Comma 121 2 2 2" xfId="5675" xr:uid="{72CE7ED5-E604-42B2-86A5-2EF643D6945C}"/>
    <cellStyle name="Comma 121 2 3" xfId="4257" xr:uid="{2831FE18-3B53-4172-8158-E39BBFC2F389}"/>
    <cellStyle name="Comma 121 3" xfId="2177" xr:uid="{396075BE-B3B2-41E6-A934-451CAE282861}"/>
    <cellStyle name="Comma 121 3 2" xfId="5036" xr:uid="{DC907BD2-1B7C-493C-BE84-7B1032150833}"/>
    <cellStyle name="Comma 121 4" xfId="3620" xr:uid="{2AC80FAB-7CF3-48B8-A298-A37E855D3D11}"/>
    <cellStyle name="Comma 122" xfId="685" xr:uid="{00000000-0005-0000-0000-000050000000}"/>
    <cellStyle name="Comma 122 2" xfId="1375" xr:uid="{00000000-0005-0000-0000-000051000000}"/>
    <cellStyle name="Comma 122 2 2" xfId="2822" xr:uid="{BDAAE1F1-02EF-4F72-9BD7-465AB6EF5061}"/>
    <cellStyle name="Comma 122 2 2 2" xfId="5677" xr:uid="{0022E413-E8C1-4967-BC9F-4A0759D61114}"/>
    <cellStyle name="Comma 122 2 3" xfId="4259" xr:uid="{31F52AC2-005B-4E6E-AFD6-E65A5AA61E92}"/>
    <cellStyle name="Comma 122 3" xfId="2179" xr:uid="{29A09EAC-5EFC-4C85-AD12-47E12B7AFB89}"/>
    <cellStyle name="Comma 122 3 2" xfId="5038" xr:uid="{25379CA0-BA40-467A-972F-143DE1E07499}"/>
    <cellStyle name="Comma 122 4" xfId="3622" xr:uid="{07535A3C-F145-49D6-A07B-4CFD8D0191E6}"/>
    <cellStyle name="Comma 123" xfId="691" xr:uid="{00000000-0005-0000-0000-000052000000}"/>
    <cellStyle name="Comma 123 2" xfId="1378" xr:uid="{00000000-0005-0000-0000-000053000000}"/>
    <cellStyle name="Comma 123 2 2" xfId="2825" xr:uid="{77395894-852F-4BFE-A22A-B489692B10F8}"/>
    <cellStyle name="Comma 123 2 2 2" xfId="5680" xr:uid="{189EDD11-1A58-476F-8C22-85EA5109AA69}"/>
    <cellStyle name="Comma 123 2 3" xfId="4262" xr:uid="{95BD69B0-4B3E-43E9-92F9-28D463E8378F}"/>
    <cellStyle name="Comma 123 3" xfId="2182" xr:uid="{4878B9C9-8016-4FB5-BE31-8F622316BF02}"/>
    <cellStyle name="Comma 123 3 2" xfId="5041" xr:uid="{04017480-7E3F-4293-9F74-CD7E928DF5B3}"/>
    <cellStyle name="Comma 123 4" xfId="3625" xr:uid="{9BD781DA-BBFF-4637-80F3-DF1C3EDEAABE}"/>
    <cellStyle name="Comma 124" xfId="698" xr:uid="{00000000-0005-0000-0000-000054000000}"/>
    <cellStyle name="Comma 124 2" xfId="1382" xr:uid="{00000000-0005-0000-0000-000055000000}"/>
    <cellStyle name="Comma 124 2 2" xfId="2829" xr:uid="{410E7445-3215-410E-A4C6-752CD7AAE73D}"/>
    <cellStyle name="Comma 124 2 2 2" xfId="5684" xr:uid="{2B7AA9D4-4510-4612-AA19-B77BBF95E215}"/>
    <cellStyle name="Comma 124 2 3" xfId="4266" xr:uid="{67410E64-403A-436D-8CE2-89373FDC9F72}"/>
    <cellStyle name="Comma 124 3" xfId="2186" xr:uid="{B97B7041-43A2-4834-ACA6-97BBADB0D9BD}"/>
    <cellStyle name="Comma 124 3 2" xfId="5045" xr:uid="{38696EED-31D0-47BF-AEC6-BCE382BA323B}"/>
    <cellStyle name="Comma 124 4" xfId="3629" xr:uid="{D084E154-2CB7-40BE-83D5-D4D378B8CC46}"/>
    <cellStyle name="Comma 125" xfId="700" xr:uid="{00000000-0005-0000-0000-000056000000}"/>
    <cellStyle name="Comma 125 2" xfId="1384" xr:uid="{00000000-0005-0000-0000-000057000000}"/>
    <cellStyle name="Comma 125 2 2" xfId="2831" xr:uid="{AE1133E8-AE85-4942-92AE-D8BA7106784D}"/>
    <cellStyle name="Comma 125 2 2 2" xfId="5686" xr:uid="{E645200E-BAD3-4D1E-966E-3ABCF8C59880}"/>
    <cellStyle name="Comma 125 2 3" xfId="4268" xr:uid="{FEE372FD-4D6E-4C6E-A2A7-25A0246CF6F1}"/>
    <cellStyle name="Comma 125 3" xfId="2188" xr:uid="{7F538160-DF32-46F6-B3D4-EDCE05F7ABCC}"/>
    <cellStyle name="Comma 125 3 2" xfId="5047" xr:uid="{0C6ECDF2-3207-42DA-95BB-2457C9AA8DAA}"/>
    <cellStyle name="Comma 125 4" xfId="3631" xr:uid="{513D8090-C47F-4695-99BB-242066B61B23}"/>
    <cellStyle name="Comma 126" xfId="708" xr:uid="{00000000-0005-0000-0000-000058000000}"/>
    <cellStyle name="Comma 126 2" xfId="1389" xr:uid="{00000000-0005-0000-0000-000059000000}"/>
    <cellStyle name="Comma 126 2 2" xfId="2836" xr:uid="{A0C06B0E-6464-4AB0-A866-B820542708FD}"/>
    <cellStyle name="Comma 126 2 2 2" xfId="5691" xr:uid="{D3934836-6FC7-40FA-8127-4B4587C316CE}"/>
    <cellStyle name="Comma 126 2 3" xfId="4273" xr:uid="{F980B925-9A55-4C63-97FF-6FAF04D81881}"/>
    <cellStyle name="Comma 126 3" xfId="2195" xr:uid="{CE643CA6-ECA1-4643-B740-2A1C1426EFA1}"/>
    <cellStyle name="Comma 126 3 2" xfId="5052" xr:uid="{F36DB217-8065-4899-9692-DE5558BC75ED}"/>
    <cellStyle name="Comma 126 4" xfId="3636" xr:uid="{3E8E8657-939C-4B17-8E14-C3AEB01F0C09}"/>
    <cellStyle name="Comma 127" xfId="712" xr:uid="{00000000-0005-0000-0000-00005A000000}"/>
    <cellStyle name="Comma 127 2" xfId="1393" xr:uid="{00000000-0005-0000-0000-00005B000000}"/>
    <cellStyle name="Comma 127 2 2" xfId="2840" xr:uid="{ABF61F1D-F299-43A4-A0E7-D1E92BF3A828}"/>
    <cellStyle name="Comma 127 2 2 2" xfId="5695" xr:uid="{8322D26B-582B-4253-A98A-E726090F8209}"/>
    <cellStyle name="Comma 127 2 3" xfId="4277" xr:uid="{0B8E72C6-2759-4BD5-A885-E629A9856FF2}"/>
    <cellStyle name="Comma 127 3" xfId="2199" xr:uid="{DA63FAD7-6BB2-478D-9A59-4AA497838B13}"/>
    <cellStyle name="Comma 127 3 2" xfId="5056" xr:uid="{34D06544-5DD7-46E0-9802-D10FEB14DA11}"/>
    <cellStyle name="Comma 127 4" xfId="3640" xr:uid="{19DC1C59-AF39-4B8F-9B94-94F81A0FF910}"/>
    <cellStyle name="Comma 128" xfId="713" xr:uid="{00000000-0005-0000-0000-00005C000000}"/>
    <cellStyle name="Comma 128 2" xfId="1394" xr:uid="{00000000-0005-0000-0000-00005D000000}"/>
    <cellStyle name="Comma 128 2 2" xfId="2841" xr:uid="{9CFD5375-B182-4DF3-ACF0-CAC3F3C03481}"/>
    <cellStyle name="Comma 128 2 2 2" xfId="5696" xr:uid="{F2DE4CE6-435D-4267-9AEA-18A141AA63E5}"/>
    <cellStyle name="Comma 128 2 3" xfId="4278" xr:uid="{D7D24C64-1142-4F7F-8CD4-D4F59DEDDE09}"/>
    <cellStyle name="Comma 128 3" xfId="2200" xr:uid="{43206C4B-E823-41CB-950F-204FF056FAEA}"/>
    <cellStyle name="Comma 128 3 2" xfId="5057" xr:uid="{22C56F2A-98C9-483F-ACD5-F53BF3D8F390}"/>
    <cellStyle name="Comma 128 4" xfId="3641" xr:uid="{E2AE9C58-3CEF-4175-88FD-267124DAEEED}"/>
    <cellStyle name="Comma 129" xfId="718" xr:uid="{00000000-0005-0000-0000-00005E000000}"/>
    <cellStyle name="Comma 129 2" xfId="1397" xr:uid="{00000000-0005-0000-0000-00005F000000}"/>
    <cellStyle name="Comma 129 2 2" xfId="2844" xr:uid="{255E9CA4-2F6A-4A8A-B7A7-528142941CCD}"/>
    <cellStyle name="Comma 129 2 2 2" xfId="5699" xr:uid="{AEE1F0E4-EF3F-48BC-8861-1760B27AFA76}"/>
    <cellStyle name="Comma 129 2 3" xfId="4281" xr:uid="{CABC86E3-874D-45E9-B37A-923BE9F9CAFD}"/>
    <cellStyle name="Comma 129 3" xfId="2204" xr:uid="{43F49483-56A8-487C-92AD-72CFDEE6F1A8}"/>
    <cellStyle name="Comma 129 3 2" xfId="5060" xr:uid="{1BF0C015-FCAA-4B16-B869-089307C95291}"/>
    <cellStyle name="Comma 129 4" xfId="3644" xr:uid="{022020E7-A86D-4799-9CDB-C91F632AD40A}"/>
    <cellStyle name="Comma 13" xfId="76" xr:uid="{00000000-0005-0000-0000-000060000000}"/>
    <cellStyle name="Comma 13 2" xfId="802" xr:uid="{00000000-0005-0000-0000-000061000000}"/>
    <cellStyle name="Comma 13 2 2" xfId="2253" xr:uid="{2D3827BC-8DE3-470B-ABC1-A3251280C65A}"/>
    <cellStyle name="Comma 13 2 2 2" xfId="5109" xr:uid="{F9FB87AB-0FC4-4F6D-9407-663CA41F042E}"/>
    <cellStyle name="Comma 13 2 3" xfId="3691" xr:uid="{F19C8663-6669-4B9B-B71B-75A75DCFB43F}"/>
    <cellStyle name="Comma 13 3" xfId="1606" xr:uid="{C5634B0D-9B85-4FA1-8623-FAD58CCB7EDF}"/>
    <cellStyle name="Comma 13 3 2" xfId="4466" xr:uid="{1D754967-740B-4292-B663-9A7CB6E2C3B5}"/>
    <cellStyle name="Comma 13 4" xfId="3050" xr:uid="{0BAEA212-C808-493D-9F10-B0FD1F5B0F95}"/>
    <cellStyle name="Comma 130" xfId="727" xr:uid="{00000000-0005-0000-0000-000062000000}"/>
    <cellStyle name="Comma 130 2" xfId="734" xr:uid="{00000000-0005-0000-0000-000063000000}"/>
    <cellStyle name="Comma 130 2 2" xfId="1406" xr:uid="{00000000-0005-0000-0000-000064000000}"/>
    <cellStyle name="Comma 130 2 2 2" xfId="2853" xr:uid="{567F9398-CAAA-48CE-A086-0E5BAC490302}"/>
    <cellStyle name="Comma 130 2 2 2 2" xfId="5708" xr:uid="{B2B65CC8-AA0E-43C8-A14B-997AFB3A5A9D}"/>
    <cellStyle name="Comma 130 2 2 3" xfId="4290" xr:uid="{F7515D81-EA6E-4FC3-859A-BEC1F96759C2}"/>
    <cellStyle name="Comma 130 2 3" xfId="2213" xr:uid="{05D5DEB7-936B-4201-9BEB-963352C1DD09}"/>
    <cellStyle name="Comma 130 2 3 2" xfId="5069" xr:uid="{9C492490-60B3-464F-990C-D2E48F3D1A19}"/>
    <cellStyle name="Comma 130 2 4" xfId="3653" xr:uid="{A73FE5C7-3012-48D5-B880-E7DB7BFD75B0}"/>
    <cellStyle name="Comma 130 3" xfId="743" xr:uid="{00000000-0005-0000-0000-000065000000}"/>
    <cellStyle name="Comma 130 3 2" xfId="750" xr:uid="{00000000-0005-0000-0000-000066000000}"/>
    <cellStyle name="Comma 130 3 2 2" xfId="760" xr:uid="{00000000-0005-0000-0000-000067000000}"/>
    <cellStyle name="Comma 130 3 2 2 2" xfId="1419" xr:uid="{00000000-0005-0000-0000-000068000000}"/>
    <cellStyle name="Comma 130 3 2 2 2 2" xfId="1430" xr:uid="{00000000-0005-0000-0000-000069000000}"/>
    <cellStyle name="Comma 130 3 2 2 2 2 10" xfId="5950" xr:uid="{F58D7890-382F-4061-A81C-8ECEA97D5FB5}"/>
    <cellStyle name="Comma 130 3 2 2 2 2 11" xfId="5966" xr:uid="{B985DDF0-C9B5-4FA4-BA63-9CF4296E6A61}"/>
    <cellStyle name="Comma 130 3 2 2 2 2 12" xfId="5984" xr:uid="{DD5276F0-6439-4364-A3BC-CDF7A0784BAB}"/>
    <cellStyle name="Comma 130 3 2 2 2 2 2" xfId="1455" xr:uid="{00000000-0005-0000-0000-00006A000000}"/>
    <cellStyle name="Comma 130 3 2 2 2 2 2 2" xfId="2883" xr:uid="{20780A21-B21C-4EA4-ACD7-3C0A4D5444C9}"/>
    <cellStyle name="Comma 130 3 2 2 2 2 2 2 2" xfId="5737" xr:uid="{ECD9148E-F1F6-48D5-AEBF-AD3EAB7DD5EE}"/>
    <cellStyle name="Comma 130 3 2 2 2 2 2 3" xfId="4316" xr:uid="{85AD12CF-25CF-4E87-AED4-AA5F2F277F28}"/>
    <cellStyle name="Comma 130 3 2 2 2 2 3" xfId="1472" xr:uid="{00000000-0005-0000-0000-00006B000000}"/>
    <cellStyle name="Comma 130 3 2 2 2 2 3 2" xfId="2900" xr:uid="{EAB2CC31-B860-4B53-9186-02A81D42F555}"/>
    <cellStyle name="Comma 130 3 2 2 2 2 3 2 2" xfId="5754" xr:uid="{01FAA63A-9D64-4CD8-8411-CA615DE98EA2}"/>
    <cellStyle name="Comma 130 3 2 2 2 2 3 3" xfId="4333" xr:uid="{A9C28271-5617-4C90-97F5-AF8AB961FBB7}"/>
    <cellStyle name="Comma 130 3 2 2 2 2 4" xfId="1485" xr:uid="{00000000-0005-0000-0000-00006C000000}"/>
    <cellStyle name="Comma 130 3 2 2 2 2 4 2" xfId="1505" xr:uid="{00000000-0005-0000-0000-00006D000000}"/>
    <cellStyle name="Comma 130 3 2 2 2 2 4 2 2" xfId="1535" xr:uid="{00000000-0005-0000-0000-00006E000000}"/>
    <cellStyle name="Comma 130 3 2 2 2 2 4 2 2 2" xfId="2963" xr:uid="{8441228A-0E96-40FE-ADFD-B7A1A92F6794}"/>
    <cellStyle name="Comma 130 3 2 2 2 2 4 2 2 2 2" xfId="5816" xr:uid="{F3E7889E-04D6-4AB7-A1DB-AF37424D60FA}"/>
    <cellStyle name="Comma 130 3 2 2 2 2 4 2 2 3" xfId="4395" xr:uid="{303C7EAD-4E74-4CE9-8AB1-6FACB2679AE2}"/>
    <cellStyle name="Comma 130 3 2 2 2 2 4 2 3" xfId="2933" xr:uid="{5FE71B27-2D93-461C-BD49-93463EACF0D6}"/>
    <cellStyle name="Comma 130 3 2 2 2 2 4 2 3 2" xfId="5786" xr:uid="{515D186D-D259-4668-BA68-BFD23AAAA51B}"/>
    <cellStyle name="Comma 130 3 2 2 2 2 4 2 3 2 2" xfId="5921" xr:uid="{8DAD51E6-5039-4A97-A402-5A6ED388587C}"/>
    <cellStyle name="Comma 130 3 2 2 2 2 4 2 4" xfId="4365" xr:uid="{6C4F31DF-D3C6-49E4-B1AF-E075A42BF581}"/>
    <cellStyle name="Comma 130 3 2 2 2 2 4 3" xfId="2913" xr:uid="{56716B53-71E6-4C2F-AC68-CC18FB22C7C8}"/>
    <cellStyle name="Comma 130 3 2 2 2 2 4 3 2" xfId="5767" xr:uid="{1DC2F0E0-68E2-4D5D-9F79-9204429C7BA1}"/>
    <cellStyle name="Comma 130 3 2 2 2 2 4 4" xfId="4346" xr:uid="{2C4E1741-021B-46D0-A5DA-D1447FF7A99C}"/>
    <cellStyle name="Comma 130 3 2 2 2 2 5" xfId="1517" xr:uid="{00000000-0005-0000-0000-00006F000000}"/>
    <cellStyle name="Comma 130 3 2 2 2 2 5 2" xfId="2945" xr:uid="{D82A4B8F-B8E9-4F90-ABEC-D9D8DB42343A}"/>
    <cellStyle name="Comma 130 3 2 2 2 2 5 2 2" xfId="5798" xr:uid="{D580D5DC-650E-47EF-BDE5-5BB1989D7964}"/>
    <cellStyle name="Comma 130 3 2 2 2 2 5 3" xfId="4377" xr:uid="{2FC5A120-049F-46F0-91BD-2656B6EE4C4D}"/>
    <cellStyle name="Comma 130 3 2 2 2 2 6" xfId="1553" xr:uid="{A38B5591-B23E-496D-87E2-938AB6957790}"/>
    <cellStyle name="Comma 130 3 2 2 2 2 6 2" xfId="2981" xr:uid="{5B358A9C-0739-434A-B6B6-22AB0E208161}"/>
    <cellStyle name="Comma 130 3 2 2 2 2 6 2 2" xfId="5834" xr:uid="{D8CB4337-BCD9-4790-9188-4496CCDCD34E}"/>
    <cellStyle name="Comma 130 3 2 2 2 2 6 3" xfId="4413" xr:uid="{583943A4-C45A-4755-86CB-C1566C82766C}"/>
    <cellStyle name="Comma 130 3 2 2 2 2 7" xfId="1569" xr:uid="{009788A5-FABA-40FC-A4B3-5BEDDA330E32}"/>
    <cellStyle name="Comma 130 3 2 2 2 2 7 2" xfId="4429" xr:uid="{E453C829-A40D-4BB3-B977-A02AC66E4993}"/>
    <cellStyle name="Comma 130 3 2 2 2 2 8" xfId="3011" xr:uid="{96B5CB8B-B21A-421D-8C30-E1C9E0A3C2D5}"/>
    <cellStyle name="Comma 130 3 2 2 2 2 8 2" xfId="5923" xr:uid="{26A48C99-BBCC-4BDE-89E6-B602A8CEA3B2}"/>
    <cellStyle name="Comma 130 3 2 2 2 2 9" xfId="5939" xr:uid="{61E21570-2907-4746-9C34-8C5F41A75F79}"/>
    <cellStyle name="Comma 130 3 2 3" xfId="1438" xr:uid="{00000000-0005-0000-0000-000070000000}"/>
    <cellStyle name="Comma 130 3 2 3 2" xfId="2867" xr:uid="{8A5A1E77-3CAB-4502-9D0F-DD1EE6BF78A0}"/>
    <cellStyle name="Comma 130 3 2 3 2 2" xfId="5722" xr:uid="{883101B8-E3E6-4AEF-9EB5-4F196D990778}"/>
    <cellStyle name="Comma 130 3 2 3 3" xfId="4302" xr:uid="{52D020C4-DBC3-403A-A151-24D07258919C}"/>
    <cellStyle name="Comma 130 3 2 4" xfId="1445" xr:uid="{00000000-0005-0000-0000-000071000000}"/>
    <cellStyle name="Comma 130 3 2 4 2" xfId="2874" xr:uid="{C118AD11-C6FE-4C13-A659-B290B233D7AC}"/>
    <cellStyle name="Comma 130 3 2 4 2 2" xfId="5728" xr:uid="{1DD00E08-2FD5-4E7E-BF90-088FD7DBD5C1}"/>
    <cellStyle name="Comma 130 3 2 4 3" xfId="4307" xr:uid="{AFE8A55E-9F79-45D6-ADBC-9463807BF3F5}"/>
    <cellStyle name="Comma 131" xfId="732" xr:uid="{00000000-0005-0000-0000-000072000000}"/>
    <cellStyle name="Comma 131 2" xfId="1405" xr:uid="{00000000-0005-0000-0000-000073000000}"/>
    <cellStyle name="Comma 131 2 2" xfId="2852" xr:uid="{4FC9106A-37A7-43E7-8602-6A427D355CAB}"/>
    <cellStyle name="Comma 131 2 2 2" xfId="5707" xr:uid="{9C4F8751-5638-4B3E-9DDB-50E1656B5D1C}"/>
    <cellStyle name="Comma 131 2 3" xfId="4289" xr:uid="{B68B1860-6942-4EA6-B754-D1AD2BC696D1}"/>
    <cellStyle name="Comma 131 3" xfId="2212" xr:uid="{275AC301-88F6-4D6E-884F-851BD54C02ED}"/>
    <cellStyle name="Comma 131 3 2" xfId="5068" xr:uid="{C031A835-8CD8-4C3E-94A7-541AFC49A02C}"/>
    <cellStyle name="Comma 131 4" xfId="3652" xr:uid="{E6A5064F-E6AA-45C6-B9FA-CDD960EE2B87}"/>
    <cellStyle name="Comma 132" xfId="739" xr:uid="{00000000-0005-0000-0000-000074000000}"/>
    <cellStyle name="Comma 132 2" xfId="747" xr:uid="{00000000-0005-0000-0000-000075000000}"/>
    <cellStyle name="Comma 132 2 2" xfId="1411" xr:uid="{00000000-0005-0000-0000-000076000000}"/>
    <cellStyle name="Comma 132 2 2 2" xfId="2858" xr:uid="{DF300B30-307C-4823-AE24-DF68FF4B5041}"/>
    <cellStyle name="Comma 132 2 2 2 2" xfId="5713" xr:uid="{E75CA167-E4EB-49B9-9566-E15987678E96}"/>
    <cellStyle name="Comma 132 2 2 3" xfId="4295" xr:uid="{329B0A0E-0C49-4C26-AABB-EC7ECA276A14}"/>
    <cellStyle name="Comma 132 2 3" xfId="2219" xr:uid="{52AC2C1A-F1F0-409B-B261-982AE6F82A4E}"/>
    <cellStyle name="Comma 132 2 3 2" xfId="5075" xr:uid="{C6F8B211-A492-415B-A9B2-5F77EEB20149}"/>
    <cellStyle name="Comma 132 2 4" xfId="3658" xr:uid="{69E0EBDB-1865-4052-B4C9-75BA909A2456}"/>
    <cellStyle name="Comma 132 3" xfId="1409" xr:uid="{00000000-0005-0000-0000-000077000000}"/>
    <cellStyle name="Comma 132 3 2" xfId="2856" xr:uid="{DCD21687-7B1A-426F-A395-56E9F49D58C4}"/>
    <cellStyle name="Comma 132 3 2 2" xfId="5711" xr:uid="{4C2C8414-C288-4804-9B5F-9D78FF89B4E1}"/>
    <cellStyle name="Comma 132 3 3" xfId="4293" xr:uid="{99CEF99E-6329-4F52-803D-148832259345}"/>
    <cellStyle name="Comma 132 4" xfId="2216" xr:uid="{99D7F65B-CC37-4D67-88A8-C5B88426C155}"/>
    <cellStyle name="Comma 132 4 2" xfId="5072" xr:uid="{76E26813-BE95-4D12-B6D4-C40D1910ABF0}"/>
    <cellStyle name="Comma 132 5" xfId="3656" xr:uid="{71377464-E7CA-4696-B3E9-A573784BD36A}"/>
    <cellStyle name="Comma 133" xfId="746" xr:uid="{00000000-0005-0000-0000-000078000000}"/>
    <cellStyle name="Comma 133 2" xfId="1410" xr:uid="{00000000-0005-0000-0000-000079000000}"/>
    <cellStyle name="Comma 133 2 2" xfId="2857" xr:uid="{46164CCE-408D-4DB5-95AD-0B3DD64DCE10}"/>
    <cellStyle name="Comma 133 2 2 2" xfId="5712" xr:uid="{FEA11BA0-1BF6-4816-BF7A-4E6AEA410AC0}"/>
    <cellStyle name="Comma 133 2 3" xfId="4294" xr:uid="{74EE970E-B462-436F-8E70-5081F49C67C5}"/>
    <cellStyle name="Comma 133 3" xfId="2218" xr:uid="{F870C095-4E08-43D7-97A6-83156DDBE20E}"/>
    <cellStyle name="Comma 133 3 2" xfId="5074" xr:uid="{9B23BB8C-A9F4-4D0C-A339-4281B7BF5599}"/>
    <cellStyle name="Comma 133 4" xfId="3657" xr:uid="{C3957BCC-5133-452E-AD0C-3C796D2D5790}"/>
    <cellStyle name="Comma 134" xfId="755" xr:uid="{00000000-0005-0000-0000-00007A000000}"/>
    <cellStyle name="Comma 134 2" xfId="1412" xr:uid="{00000000-0005-0000-0000-00007B000000}"/>
    <cellStyle name="Comma 134 2 2" xfId="1426" xr:uid="{00000000-0005-0000-0000-00007C000000}"/>
    <cellStyle name="Comma 134 2 2 10" xfId="5946" xr:uid="{8051634C-0640-4BD3-8375-65CC34BCA690}"/>
    <cellStyle name="Comma 134 2 2 11" xfId="5962" xr:uid="{00B374CC-0317-4583-B8AE-C5AE7306221B}"/>
    <cellStyle name="Comma 134 2 2 12" xfId="5980" xr:uid="{9D9BF083-FA5D-4ED7-A847-AFCAE78BEC63}"/>
    <cellStyle name="Comma 134 2 2 2" xfId="1451" xr:uid="{00000000-0005-0000-0000-00007D000000}"/>
    <cellStyle name="Comma 134 2 2 2 2" xfId="2879" xr:uid="{E3FBBF08-D166-475F-BF09-0B6FBADA50C9}"/>
    <cellStyle name="Comma 134 2 2 2 2 2" xfId="5733" xr:uid="{33AC9983-A899-48FA-B320-C05FD056B59C}"/>
    <cellStyle name="Comma 134 2 2 2 3" xfId="4312" xr:uid="{025DE99E-85A1-482E-AF1E-D4F575E698F4}"/>
    <cellStyle name="Comma 134 2 2 3" xfId="1468" xr:uid="{00000000-0005-0000-0000-00007E000000}"/>
    <cellStyle name="Comma 134 2 2 3 2" xfId="1503" xr:uid="{00000000-0005-0000-0000-00007F000000}"/>
    <cellStyle name="Comma 134 2 2 3 2 2" xfId="1533" xr:uid="{00000000-0005-0000-0000-000080000000}"/>
    <cellStyle name="Comma 134 2 2 3 2 2 2" xfId="2961" xr:uid="{76C08B66-62B8-4AF0-82AC-F034ECC8B8F1}"/>
    <cellStyle name="Comma 134 2 2 3 2 2 2 2" xfId="5814" xr:uid="{7567C8CA-BF75-4D5F-984F-BA6323F4CA79}"/>
    <cellStyle name="Comma 134 2 2 3 2 2 3" xfId="4393" xr:uid="{4FFDFB3F-ED75-4510-8558-5421369BEAA5}"/>
    <cellStyle name="Comma 134 2 2 3 2 3" xfId="2931" xr:uid="{07F2EAA7-44FF-4AB2-8D09-E4D6C17E1446}"/>
    <cellStyle name="Comma 134 2 2 3 2 3 2" xfId="5784" xr:uid="{A5D6FFDA-979E-43AA-A073-52BB68EE9548}"/>
    <cellStyle name="Comma 134 2 2 3 2 4" xfId="4363" xr:uid="{9D269A12-4808-48A3-90A8-DB9E6B82F1B5}"/>
    <cellStyle name="Comma 134 2 2 3 3" xfId="2896" xr:uid="{1E36B5F2-38B8-4882-B183-7220B9C07E87}"/>
    <cellStyle name="Comma 134 2 2 3 3 2" xfId="5750" xr:uid="{335F1A1E-A22F-42FA-97EF-6F6FA68962E8}"/>
    <cellStyle name="Comma 134 2 2 3 4" xfId="4329" xr:uid="{A9B69C68-0B9E-4714-87D7-EB0CDE92DA01}"/>
    <cellStyle name="Comma 134 2 2 4" xfId="1481" xr:uid="{00000000-0005-0000-0000-000081000000}"/>
    <cellStyle name="Comma 134 2 2 4 2" xfId="1499" xr:uid="{00000000-0005-0000-0000-000082000000}"/>
    <cellStyle name="Comma 134 2 2 4 2 2" xfId="1529" xr:uid="{00000000-0005-0000-0000-000083000000}"/>
    <cellStyle name="Comma 134 2 2 4 2 2 2" xfId="2957" xr:uid="{AE2773C7-1EC5-40F3-9D1D-21143C7B3222}"/>
    <cellStyle name="Comma 134 2 2 4 2 2 2 2" xfId="5810" xr:uid="{2512A235-324F-4035-83C5-B059D55D83FA}"/>
    <cellStyle name="Comma 134 2 2 4 2 2 2 2 2" xfId="5911" xr:uid="{1C7A4398-BB72-4917-B4E4-CB73A505F70B}"/>
    <cellStyle name="Comma 134 2 2 4 2 2 3" xfId="4389" xr:uid="{77E2D4A9-44C7-42B2-B60B-291CEE61A91D}"/>
    <cellStyle name="Comma 134 2 2 4 2 3" xfId="2927" xr:uid="{CD38C7CE-1E02-4C56-AF6E-580C6291A7D5}"/>
    <cellStyle name="Comma 134 2 2 4 2 3 2" xfId="5780" xr:uid="{8A57BE7E-9AD7-4783-B502-21A0A4036220}"/>
    <cellStyle name="Comma 134 2 2 4 2 3 2 2" xfId="5919" xr:uid="{5BAED230-4574-48BF-B244-E84E7976C334}"/>
    <cellStyle name="Comma 134 2 2 4 2 4" xfId="4359" xr:uid="{8B892B46-F9D6-4E50-B04D-CEBA2C865025}"/>
    <cellStyle name="Comma 134 2 2 4 3" xfId="2909" xr:uid="{D9783E68-DCB8-4CCC-BBAF-744ADD813DBC}"/>
    <cellStyle name="Comma 134 2 2 4 3 2" xfId="5763" xr:uid="{5C34D3EF-5674-495C-B3C3-5BBEC62B5ACA}"/>
    <cellStyle name="Comma 134 2 2 4 4" xfId="4342" xr:uid="{C8A29567-D4FD-4254-9F2F-A596FC95C1A3}"/>
    <cellStyle name="Comma 134 2 2 5" xfId="1513" xr:uid="{00000000-0005-0000-0000-000084000000}"/>
    <cellStyle name="Comma 134 2 2 5 2" xfId="2941" xr:uid="{487FB439-E8D5-4105-875E-849B47D39C2A}"/>
    <cellStyle name="Comma 134 2 2 5 2 2" xfId="5794" xr:uid="{648344B8-1C56-4A49-A377-B42F2C1B1E96}"/>
    <cellStyle name="Comma 134 2 2 5 3" xfId="4373" xr:uid="{55431448-0429-4CDC-8336-90024A0064C8}"/>
    <cellStyle name="Comma 134 2 2 6" xfId="1549" xr:uid="{A75E3041-EC8B-4141-9A2F-C894F424F2CB}"/>
    <cellStyle name="Comma 134 2 2 6 2" xfId="2977" xr:uid="{E4F2F91D-1587-4BE6-816E-B3B2072BE423}"/>
    <cellStyle name="Comma 134 2 2 6 2 2" xfId="5830" xr:uid="{BC94583E-DD1A-4AF2-A98C-5D2D087665F4}"/>
    <cellStyle name="Comma 134 2 2 6 3" xfId="4409" xr:uid="{C0C87E87-0BDE-4907-A96F-A1F404AF3380}"/>
    <cellStyle name="Comma 134 2 2 7" xfId="1565" xr:uid="{2541B762-1942-4246-A89C-BC65369411D1}"/>
    <cellStyle name="Comma 134 2 2 7 2" xfId="4425" xr:uid="{E065DA8E-25CF-492A-8923-C4BDFFFAA585}"/>
    <cellStyle name="Comma 134 2 2 8" xfId="3007" xr:uid="{51E43833-C0AB-4C38-B648-8C4FFA3DBB69}"/>
    <cellStyle name="Comma 134 2 2 8 2" xfId="5915" xr:uid="{58C72751-38F5-423C-870B-6AC213994FCB}"/>
    <cellStyle name="Comma 134 2 2 9" xfId="5935" xr:uid="{5E64D871-E750-470C-A87B-202EE14F2212}"/>
    <cellStyle name="Comma 135" xfId="767" xr:uid="{00000000-0005-0000-0000-000085000000}"/>
    <cellStyle name="Comma 136" xfId="1423" xr:uid="{00000000-0005-0000-0000-000086000000}"/>
    <cellStyle name="Comma 136 2" xfId="2861" xr:uid="{C3C95E07-4CFA-4A9F-AB54-E349BF5DF3DB}"/>
    <cellStyle name="Comma 136 2 2" xfId="5716" xr:uid="{384C5496-7F55-4439-AF72-56A841814E08}"/>
    <cellStyle name="Comma 136 3" xfId="4296" xr:uid="{495A28FF-491E-44B3-82B2-29FF4C3E83E0}"/>
    <cellStyle name="Comma 137" xfId="1435" xr:uid="{00000000-0005-0000-0000-000087000000}"/>
    <cellStyle name="Comma 137 2" xfId="2864" xr:uid="{5984468B-15BD-4864-9C0B-3F3F6063D895}"/>
    <cellStyle name="Comma 137 2 2" xfId="5719" xr:uid="{F6A24B7D-DF3F-4812-9DA7-C4A3A488678E}"/>
    <cellStyle name="Comma 137 3" xfId="4299" xr:uid="{C4536D22-9709-472E-90C2-CA0305BB0C33}"/>
    <cellStyle name="Comma 138" xfId="1440" xr:uid="{00000000-0005-0000-0000-000088000000}"/>
    <cellStyle name="Comma 138 10" xfId="5905" xr:uid="{F5CFCA6E-72FD-4F7B-996F-C1D6A75DA2F9}"/>
    <cellStyle name="Comma 138 11" xfId="5931" xr:uid="{86B0D371-6A8A-4D26-BE7C-A9C590D3C1ED}"/>
    <cellStyle name="Comma 138 12" xfId="5954" xr:uid="{E0D21E33-E362-400C-B5A4-843CFF0245D5}"/>
    <cellStyle name="Comma 138 2" xfId="1459" xr:uid="{00000000-0005-0000-0000-000089000000}"/>
    <cellStyle name="Comma 138 2 2" xfId="2887" xr:uid="{FCC9EA21-B24E-4B11-93E8-DCE998FF2FED}"/>
    <cellStyle name="Comma 138 2 2 2" xfId="5741" xr:uid="{D6FDBBD9-0B62-45BB-A804-FD8E9EB87DFC}"/>
    <cellStyle name="Comma 138 2 3" xfId="4320" xr:uid="{B14B4359-93FD-4DC7-8CBE-D463733A2D6D}"/>
    <cellStyle name="Comma 138 3" xfId="1462" xr:uid="{00000000-0005-0000-0000-00008A000000}"/>
    <cellStyle name="Comma 138 3 2" xfId="1476" xr:uid="{00000000-0005-0000-0000-00008B000000}"/>
    <cellStyle name="Comma 138 3 2 2" xfId="1495" xr:uid="{00000000-0005-0000-0000-00008C000000}"/>
    <cellStyle name="Comma 138 3 2 2 2" xfId="2923" xr:uid="{86DBEA9A-2AEC-47E8-A445-4D22B96D4196}"/>
    <cellStyle name="Comma 138 3 2 2 2 2" xfId="5776" xr:uid="{5B1092F2-9675-4C68-9C3B-C9F9A47C1821}"/>
    <cellStyle name="Comma 138 3 2 2 3" xfId="4355" xr:uid="{D36D7179-C427-4B15-BC5F-2E0923B1908D}"/>
    <cellStyle name="Comma 138 3 2 3" xfId="2904" xr:uid="{6C615059-DFE9-4F9C-87A2-34C46386EAA7}"/>
    <cellStyle name="Comma 138 3 2 3 2" xfId="5758" xr:uid="{F33AD430-55D0-4EAE-B061-61B911D46B3E}"/>
    <cellStyle name="Comma 138 3 2 4" xfId="4337" xr:uid="{F843F9A5-F627-4E56-B5B9-BFE3BB97B956}"/>
    <cellStyle name="Comma 138 3 3" xfId="2890" xr:uid="{92E7AAF4-DF15-4D9A-A1C4-6F1F8FB8B64F}"/>
    <cellStyle name="Comma 138 3 3 2" xfId="5744" xr:uid="{905B1CE4-D389-4C96-9795-B7A36D5C1D5C}"/>
    <cellStyle name="Comma 138 3 4" xfId="4323" xr:uid="{0B91776F-508D-40AA-981D-5A8E87B575FE}"/>
    <cellStyle name="Comma 138 4" xfId="1521" xr:uid="{00000000-0005-0000-0000-00008D000000}"/>
    <cellStyle name="Comma 138 4 2" xfId="2949" xr:uid="{A24C4FDA-921C-4B42-BEC8-999C3C774352}"/>
    <cellStyle name="Comma 138 4 2 2" xfId="5802" xr:uid="{52206C31-D174-467E-BFE3-F7BC7D368754}"/>
    <cellStyle name="Comma 138 4 3" xfId="4381" xr:uid="{016BE64E-1169-41AD-A220-B6B25D297577}"/>
    <cellStyle name="Comma 138 5" xfId="1540" xr:uid="{00000000-0005-0000-0000-00008E000000}"/>
    <cellStyle name="Comma 138 5 2" xfId="2968" xr:uid="{CF09DF45-E62A-4F6E-8099-0AC024A1269B}"/>
    <cellStyle name="Comma 138 5 2 2" xfId="5821" xr:uid="{596BF448-9C11-4479-A932-6C829D700AC3}"/>
    <cellStyle name="Comma 138 5 3" xfId="4400" xr:uid="{88AC72D8-8E36-4E42-A86A-79EA4CFDC59F}"/>
    <cellStyle name="Comma 138 6" xfId="1543" xr:uid="{89B6A0C3-EBEE-44DE-A703-9503051C5CE3}"/>
    <cellStyle name="Comma 138 6 2" xfId="2971" xr:uid="{962D54C7-B7D4-452E-B21E-318786A0DAF6}"/>
    <cellStyle name="Comma 138 6 2 2" xfId="5824" xr:uid="{2543EFA0-607D-4442-8D84-B2ECF86E40CC}"/>
    <cellStyle name="Comma 138 6 3" xfId="4403" xr:uid="{0AE218B2-92E3-46E9-8970-100FEBE9446A}"/>
    <cellStyle name="Comma 138 7" xfId="1557" xr:uid="{31CAAB11-43BD-4CD7-9844-DFAB4E168BF3}"/>
    <cellStyle name="Comma 138 7 2" xfId="4417" xr:uid="{F7B2F88E-4F08-4361-833E-C316F58F2684}"/>
    <cellStyle name="Comma 138 8" xfId="2869" xr:uid="{2CCA96C1-8EAE-4F6B-96B3-E0629F39EDFD}"/>
    <cellStyle name="Comma 138 8 2" xfId="5724" xr:uid="{A0C99C98-646F-4DA0-9ACE-776114AAD1FE}"/>
    <cellStyle name="Comma 138 9" xfId="3015" xr:uid="{70A8EF93-E714-437A-AF94-72FA21C9A3D9}"/>
    <cellStyle name="Comma 139" xfId="1448" xr:uid="{00000000-0005-0000-0000-00008F000000}"/>
    <cellStyle name="Comma 139 2" xfId="2877" xr:uid="{89181689-FE30-4B97-9ACF-B11A69BBF17E}"/>
    <cellStyle name="Comma 139 2 2" xfId="5731" xr:uid="{2123FE04-419D-4970-9012-2D3555B4B1DF}"/>
    <cellStyle name="Comma 139 3" xfId="4310" xr:uid="{FBCF2DA0-0BAE-4C9E-9043-CBA84EB4905A}"/>
    <cellStyle name="Comma 14" xfId="86" xr:uid="{00000000-0005-0000-0000-000090000000}"/>
    <cellStyle name="Comma 14 2" xfId="812" xr:uid="{00000000-0005-0000-0000-000091000000}"/>
    <cellStyle name="Comma 14 2 2" xfId="2263" xr:uid="{A1DE8E51-EF66-407A-A18B-E037DB332AB4}"/>
    <cellStyle name="Comma 14 2 2 2" xfId="5119" xr:uid="{4E906E71-BD1A-47F9-B31F-63984AF36679}"/>
    <cellStyle name="Comma 14 2 3" xfId="3701" xr:uid="{730FB3B9-B2A0-450C-9076-F8DF70E5E209}"/>
    <cellStyle name="Comma 14 3" xfId="1616" xr:uid="{8A26FB97-99D2-40DB-B548-F87CDC6FD3DD}"/>
    <cellStyle name="Comma 14 3 2" xfId="4476" xr:uid="{CB81EE59-5737-43B5-9381-71E853A7813E}"/>
    <cellStyle name="Comma 14 4" xfId="3060" xr:uid="{E3C80E25-FDB1-487B-AE15-F69E33A3BB75}"/>
    <cellStyle name="Comma 140" xfId="1511" xr:uid="{00000000-0005-0000-0000-000092000000}"/>
    <cellStyle name="Comma 140 2" xfId="1527" xr:uid="{00000000-0005-0000-0000-000093000000}"/>
    <cellStyle name="Comma 140 2 2" xfId="2955" xr:uid="{425CB5A2-7A2C-43F7-A6F0-179945E1C74E}"/>
    <cellStyle name="Comma 140 2 2 2" xfId="5808" xr:uid="{FD4D86EB-88A8-453B-AF71-A5A31828BEAD}"/>
    <cellStyle name="Comma 140 2 3" xfId="4387" xr:uid="{30904806-0CFD-43DA-A4CA-B0DC2CAFB0F5}"/>
    <cellStyle name="Comma 140 3" xfId="2939" xr:uid="{75B1D1FD-41DF-445B-8911-6CD30AFC59A0}"/>
    <cellStyle name="Comma 140 3 2" xfId="5792" xr:uid="{621496B6-7296-47B3-9DF0-1D1A9E29872D}"/>
    <cellStyle name="Comma 140 4" xfId="4371" xr:uid="{7BF87D77-16D3-4394-BC84-24CD3D15BE5E}"/>
    <cellStyle name="Comma 141" xfId="1525" xr:uid="{00000000-0005-0000-0000-000094000000}"/>
    <cellStyle name="Comma 141 2" xfId="2953" xr:uid="{AD8E0145-6306-4D27-B51B-205C25CC1B11}"/>
    <cellStyle name="Comma 141 2 2" xfId="5806" xr:uid="{3A3837F7-48B9-4560-A6BB-0E344D74F12F}"/>
    <cellStyle name="Comma 141 3" xfId="4385" xr:uid="{0B5854AF-979B-4A18-B012-C6F561034189}"/>
    <cellStyle name="Comma 142" xfId="1563" xr:uid="{84C6F93C-66ED-4164-B539-92185F3E76B3}"/>
    <cellStyle name="Comma 142 2" xfId="4423" xr:uid="{F1CDBF0D-89E5-4D19-95F4-AFFD62F928BE}"/>
    <cellStyle name="Comma 143" xfId="3005" xr:uid="{56420024-1DF3-497A-A5EF-42D997B5660F}"/>
    <cellStyle name="Comma 144" xfId="5944" xr:uid="{79A471E2-0234-42BF-A26A-669343814E9E}"/>
    <cellStyle name="Comma 145" xfId="5957" xr:uid="{1B5F4499-8252-4B79-9CFE-BD385DFBB052}"/>
    <cellStyle name="Comma 146" xfId="5971" xr:uid="{6293B845-FA20-428C-A20F-F7B3D14A5FE8}"/>
    <cellStyle name="Comma 147" xfId="5975" xr:uid="{6EB98590-479C-4615-9B93-346EAFE08C7A}"/>
    <cellStyle name="Comma 148" xfId="5989" xr:uid="{8399BDF0-2192-434B-95BA-02F94C9E3E4D}"/>
    <cellStyle name="Comma 148 2" xfId="6010" xr:uid="{CC4B095B-6F1F-45D3-BCB9-81285D82CBC0}"/>
    <cellStyle name="Comma 149" xfId="5993" xr:uid="{2A7D9C6D-1CB3-4186-A790-C0CD78C90272}"/>
    <cellStyle name="Comma 15" xfId="88" xr:uid="{00000000-0005-0000-0000-000095000000}"/>
    <cellStyle name="Comma 15 2" xfId="814" xr:uid="{00000000-0005-0000-0000-000096000000}"/>
    <cellStyle name="Comma 15 2 2" xfId="2265" xr:uid="{4F812DCC-DA67-419B-8A8D-0FAD71DDE524}"/>
    <cellStyle name="Comma 15 2 2 2" xfId="5121" xr:uid="{43460F70-F235-4284-8EAD-821CB09E200F}"/>
    <cellStyle name="Comma 15 2 3" xfId="3703" xr:uid="{A17AFC58-8545-4008-9907-8C56179763FE}"/>
    <cellStyle name="Comma 15 3" xfId="1618" xr:uid="{66154BDC-5BAA-487E-8E63-F24AB53159D1}"/>
    <cellStyle name="Comma 15 3 2" xfId="4478" xr:uid="{F044E396-76B4-41E7-8B98-A028286E853F}"/>
    <cellStyle name="Comma 15 4" xfId="3062" xr:uid="{18233F24-E903-44FA-B5C8-3AFA28EC9821}"/>
    <cellStyle name="Comma 150" xfId="5998" xr:uid="{BA6F4F0E-5A7F-4B06-87B1-E668E642BD57}"/>
    <cellStyle name="Comma 151" xfId="6001" xr:uid="{14FF36EF-A3B1-4561-AB14-4BEDB4F34A06}"/>
    <cellStyle name="Comma 152" xfId="6018" xr:uid="{B674DF81-7F69-480D-BC6E-9DA4166A8F4A}"/>
    <cellStyle name="Comma 153" xfId="6021" xr:uid="{A61C104D-BDE5-4DD0-9321-8CD1444B0D94}"/>
    <cellStyle name="Comma 154" xfId="6023" xr:uid="{275EB3AE-95CE-451B-BB1B-2480115CFF7C}"/>
    <cellStyle name="Comma 155" xfId="6032" xr:uid="{AA51CE9A-F1A9-4689-9CC3-67B09FD49307}"/>
    <cellStyle name="Comma 16" xfId="90" xr:uid="{00000000-0005-0000-0000-000097000000}"/>
    <cellStyle name="Comma 16 2" xfId="816" xr:uid="{00000000-0005-0000-0000-000098000000}"/>
    <cellStyle name="Comma 16 2 2" xfId="2266" xr:uid="{0B161DF3-90FF-4052-A237-C4FE1588A5BD}"/>
    <cellStyle name="Comma 16 2 2 2" xfId="5122" xr:uid="{0C6E677A-A5FB-4293-B6F0-76BF58DF1C2F}"/>
    <cellStyle name="Comma 16 2 3" xfId="3704" xr:uid="{B28FE741-DCDE-4158-A8E6-9D3AD69D5064}"/>
    <cellStyle name="Comma 16 3" xfId="1619" xr:uid="{3EC91FC8-6975-498D-91AF-FB94BB8DECC6}"/>
    <cellStyle name="Comma 16 3 2" xfId="4479" xr:uid="{C22B9E24-0158-4CE8-904D-F7EE6986BBC5}"/>
    <cellStyle name="Comma 16 4" xfId="3063" xr:uid="{12DEA15B-23C4-4650-BECB-C9E731F00245}"/>
    <cellStyle name="Comma 17" xfId="93" xr:uid="{00000000-0005-0000-0000-000099000000}"/>
    <cellStyle name="Comma 17 2" xfId="819" xr:uid="{00000000-0005-0000-0000-00009A000000}"/>
    <cellStyle name="Comma 17 2 2" xfId="2269" xr:uid="{075D6B81-D14D-40D8-9E66-BFE3C6E61986}"/>
    <cellStyle name="Comma 17 2 2 2" xfId="5125" xr:uid="{E8676A86-0DF3-4D38-B6EF-2D318E3F5358}"/>
    <cellStyle name="Comma 17 2 3" xfId="3707" xr:uid="{37BCECD5-046C-434D-91E9-B5550AF5C6FD}"/>
    <cellStyle name="Comma 17 3" xfId="1622" xr:uid="{292EB9E0-DC3D-43AF-835F-8988B50D6F53}"/>
    <cellStyle name="Comma 17 3 2" xfId="4482" xr:uid="{B956CCE6-94E3-45D5-9724-1AA6B9D64052}"/>
    <cellStyle name="Comma 17 4" xfId="3066" xr:uid="{C6ADF7A6-289A-4EBA-B00F-96DB029ECB10}"/>
    <cellStyle name="Comma 18" xfId="95" xr:uid="{00000000-0005-0000-0000-00009B000000}"/>
    <cellStyle name="Comma 18 2" xfId="821" xr:uid="{00000000-0005-0000-0000-00009C000000}"/>
    <cellStyle name="Comma 18 2 2" xfId="2271" xr:uid="{AD4766E1-AFE0-43AA-AA23-AB3F06B08144}"/>
    <cellStyle name="Comma 18 2 2 2" xfId="5127" xr:uid="{92EA17E9-295A-4B0C-8080-61702C95A079}"/>
    <cellStyle name="Comma 18 2 3" xfId="3709" xr:uid="{F4D2AF30-989C-4D13-8FCE-DA7B70B29B30}"/>
    <cellStyle name="Comma 18 3" xfId="1624" xr:uid="{5894F41A-8C63-4D9D-BFF9-E11957214557}"/>
    <cellStyle name="Comma 18 3 2" xfId="4484" xr:uid="{B75E5870-CBCA-498C-97C2-01E78F2F0D3B}"/>
    <cellStyle name="Comma 18 4" xfId="3068" xr:uid="{F80DA9D8-3D15-4BBE-A173-94D6441C0BC0}"/>
    <cellStyle name="Comma 19" xfId="101" xr:uid="{00000000-0005-0000-0000-00009D000000}"/>
    <cellStyle name="Comma 19 2" xfId="827" xr:uid="{00000000-0005-0000-0000-00009E000000}"/>
    <cellStyle name="Comma 19 2 2" xfId="2276" xr:uid="{BF3DDC61-7162-42FD-A1A5-8538E140F84B}"/>
    <cellStyle name="Comma 19 2 2 2" xfId="5132" xr:uid="{B9CD2E3D-6A6C-4948-B22C-00775CA70CA7}"/>
    <cellStyle name="Comma 19 2 3" xfId="3714" xr:uid="{FC27C556-B276-4172-AF7B-F1DDC589ABD8}"/>
    <cellStyle name="Comma 19 3" xfId="1629" xr:uid="{C3BE4555-73A0-4C20-8D4B-76708330A928}"/>
    <cellStyle name="Comma 19 3 2" xfId="4489" xr:uid="{5C87B79C-0070-463C-81A5-8D5D97DA71CA}"/>
    <cellStyle name="Comma 19 4" xfId="3073" xr:uid="{F44B8BD7-4F56-4745-976E-31A6AA38CE1F}"/>
    <cellStyle name="Comma 2" xfId="2" xr:uid="{00000000-0005-0000-0000-00009F000000}"/>
    <cellStyle name="Comma 2 10" xfId="112" xr:uid="{00000000-0005-0000-0000-0000A0000000}"/>
    <cellStyle name="Comma 2 10 2" xfId="838" xr:uid="{00000000-0005-0000-0000-0000A1000000}"/>
    <cellStyle name="Comma 2 10 2 2" xfId="2287" xr:uid="{01053FBF-2C60-435C-9B64-DF2F595D76DB}"/>
    <cellStyle name="Comma 2 10 2 2 2" xfId="5143" xr:uid="{E5FF0B49-0053-4E6F-868B-E035E9681CB2}"/>
    <cellStyle name="Comma 2 10 2 3" xfId="3725" xr:uid="{F677EA1A-21B3-4437-9B93-6D7779ED39D4}"/>
    <cellStyle name="Comma 2 10 3" xfId="1640" xr:uid="{23F9AE50-94EC-4FCD-AC4D-20FD96D65504}"/>
    <cellStyle name="Comma 2 10 3 2" xfId="4500" xr:uid="{32F5A1BA-EEE2-413B-AF51-F7C739B4F31C}"/>
    <cellStyle name="Comma 2 10 4" xfId="3084" xr:uid="{0B6592F3-F00B-4E7E-B54F-65DAF9CDC44D}"/>
    <cellStyle name="Comma 2 11" xfId="116" xr:uid="{00000000-0005-0000-0000-0000A2000000}"/>
    <cellStyle name="Comma 2 11 2" xfId="842" xr:uid="{00000000-0005-0000-0000-0000A3000000}"/>
    <cellStyle name="Comma 2 11 2 2" xfId="2291" xr:uid="{740994BD-71D2-430D-9719-21046F5037AD}"/>
    <cellStyle name="Comma 2 11 2 2 2" xfId="5147" xr:uid="{7FAC73EC-A537-48E4-BFE4-CB3A36BCA7B3}"/>
    <cellStyle name="Comma 2 11 2 3" xfId="3729" xr:uid="{4993165B-B30B-47B6-B015-39DC45DEECEA}"/>
    <cellStyle name="Comma 2 11 3" xfId="1644" xr:uid="{ADAE7788-9109-4B30-A76F-99E5C9ECE2D5}"/>
    <cellStyle name="Comma 2 11 3 2" xfId="4504" xr:uid="{DE46D716-C5AB-44D9-993E-6BA0BA8F7D60}"/>
    <cellStyle name="Comma 2 11 4" xfId="3088" xr:uid="{596DB8AE-3273-4ED1-9D1B-8B49F716FFF6}"/>
    <cellStyle name="Comma 2 12" xfId="123" xr:uid="{00000000-0005-0000-0000-0000A4000000}"/>
    <cellStyle name="Comma 2 12 2" xfId="849" xr:uid="{00000000-0005-0000-0000-0000A5000000}"/>
    <cellStyle name="Comma 2 12 2 2" xfId="2297" xr:uid="{6ADAA4FE-AD83-44FB-847E-A845F310F5C8}"/>
    <cellStyle name="Comma 2 12 2 2 2" xfId="5153" xr:uid="{5826BE5F-7900-4188-A291-567CCF9BE394}"/>
    <cellStyle name="Comma 2 12 2 3" xfId="3735" xr:uid="{061AD660-2BA4-4C31-90CE-116FA817C871}"/>
    <cellStyle name="Comma 2 12 3" xfId="1650" xr:uid="{474B855B-F395-46AF-9118-8770CF75D38D}"/>
    <cellStyle name="Comma 2 12 3 2" xfId="4510" xr:uid="{B7D2B27B-C8A9-487C-AB87-D935A5814AD2}"/>
    <cellStyle name="Comma 2 12 4" xfId="3094" xr:uid="{AAA7A5EB-66E6-420B-BE14-4D999DBE4B53}"/>
    <cellStyle name="Comma 2 13" xfId="131" xr:uid="{00000000-0005-0000-0000-0000A6000000}"/>
    <cellStyle name="Comma 2 13 2" xfId="856" xr:uid="{00000000-0005-0000-0000-0000A7000000}"/>
    <cellStyle name="Comma 2 13 2 2" xfId="2304" xr:uid="{955C134D-2805-471A-907C-630B7FD20CBC}"/>
    <cellStyle name="Comma 2 13 2 2 2" xfId="5160" xr:uid="{933ACF15-F493-4CA8-9B40-73F8DFD88EF8}"/>
    <cellStyle name="Comma 2 13 2 3" xfId="3742" xr:uid="{40212B40-B98F-4DD7-8022-7DE8153F3E28}"/>
    <cellStyle name="Comma 2 13 3" xfId="1657" xr:uid="{FE411CCF-25EE-4686-BA4A-1B054E8C24CD}"/>
    <cellStyle name="Comma 2 13 3 2" xfId="4517" xr:uid="{F5766E52-BD3D-4EF7-A4E5-EC154C0E1D75}"/>
    <cellStyle name="Comma 2 13 4" xfId="3101" xr:uid="{C2BBDEA5-F3D7-4B0D-9F74-1C21F124BE2B}"/>
    <cellStyle name="Comma 2 14" xfId="141" xr:uid="{00000000-0005-0000-0000-0000A8000000}"/>
    <cellStyle name="Comma 2 14 2" xfId="866" xr:uid="{00000000-0005-0000-0000-0000A9000000}"/>
    <cellStyle name="Comma 2 14 2 2" xfId="2314" xr:uid="{93ACBA32-0111-4BBB-A1DF-CC00137172C7}"/>
    <cellStyle name="Comma 2 14 2 2 2" xfId="5170" xr:uid="{47AE7A70-CFC4-43F5-A8FB-9DE6FB520DD7}"/>
    <cellStyle name="Comma 2 14 2 3" xfId="3752" xr:uid="{C7EDD4D7-417F-4418-8921-CACC8F2F4AE3}"/>
    <cellStyle name="Comma 2 14 3" xfId="1667" xr:uid="{967E8434-4042-474E-8574-5BA8466F99C5}"/>
    <cellStyle name="Comma 2 14 3 2" xfId="4527" xr:uid="{7C306F0A-319C-433B-A4E0-A05A653A4F7F}"/>
    <cellStyle name="Comma 2 14 4" xfId="3111" xr:uid="{84E2AD6A-B2EC-416B-A711-9DCCDF861C80}"/>
    <cellStyle name="Comma 2 15" xfId="147" xr:uid="{00000000-0005-0000-0000-0000AA000000}"/>
    <cellStyle name="Comma 2 15 2" xfId="872" xr:uid="{00000000-0005-0000-0000-0000AB000000}"/>
    <cellStyle name="Comma 2 15 2 2" xfId="2320" xr:uid="{8A868C78-93B2-4206-8D95-D97E2A066708}"/>
    <cellStyle name="Comma 2 15 2 2 2" xfId="5176" xr:uid="{45234E62-DCB4-4E33-8723-6A635F014205}"/>
    <cellStyle name="Comma 2 15 2 3" xfId="3758" xr:uid="{2564ED03-A3FF-42C4-B1A2-07A559B8713D}"/>
    <cellStyle name="Comma 2 15 3" xfId="1673" xr:uid="{0B60B731-2811-418D-8E58-39DD15088EBD}"/>
    <cellStyle name="Comma 2 15 3 2" xfId="4533" xr:uid="{1863F766-80DA-41A1-A38B-537D624C7A60}"/>
    <cellStyle name="Comma 2 15 4" xfId="3117" xr:uid="{90B8A0DE-ADDE-4709-8FDA-75E70B20BF9D}"/>
    <cellStyle name="Comma 2 16" xfId="156" xr:uid="{00000000-0005-0000-0000-0000AC000000}"/>
    <cellStyle name="Comma 2 16 2" xfId="879" xr:uid="{00000000-0005-0000-0000-0000AD000000}"/>
    <cellStyle name="Comma 2 16 2 2" xfId="2327" xr:uid="{4EB079DA-C6CD-497E-82E4-4FFDE5E41315}"/>
    <cellStyle name="Comma 2 16 2 2 2" xfId="5183" xr:uid="{4A8D19EC-68EB-4DEB-B319-2CDBE8F02517}"/>
    <cellStyle name="Comma 2 16 2 3" xfId="3765" xr:uid="{823F9E21-81C2-48FE-AC26-12AACE6B7A2D}"/>
    <cellStyle name="Comma 2 16 3" xfId="1680" xr:uid="{364808ED-9D6D-4B55-95DE-1F71F3AAAE80}"/>
    <cellStyle name="Comma 2 16 3 2" xfId="4540" xr:uid="{0C273004-77D3-4905-97B9-6DB87313160F}"/>
    <cellStyle name="Comma 2 16 4" xfId="3124" xr:uid="{35D0DCF0-E4A4-41CC-AAEF-39E3AD112398}"/>
    <cellStyle name="Comma 2 17" xfId="163" xr:uid="{00000000-0005-0000-0000-0000AE000000}"/>
    <cellStyle name="Comma 2 17 2" xfId="886" xr:uid="{00000000-0005-0000-0000-0000AF000000}"/>
    <cellStyle name="Comma 2 17 2 2" xfId="2334" xr:uid="{2D50C83B-127F-4F53-923E-EC59A4C047B9}"/>
    <cellStyle name="Comma 2 17 2 2 2" xfId="5190" xr:uid="{99835E4E-D6E4-47AD-A263-C858BC1F30A0}"/>
    <cellStyle name="Comma 2 17 2 3" xfId="3772" xr:uid="{FB398CAC-CC2A-4002-A95C-7BECCC404E06}"/>
    <cellStyle name="Comma 2 17 3" xfId="1687" xr:uid="{44BB5A6C-E129-42B4-A46A-4F30D9D05E9A}"/>
    <cellStyle name="Comma 2 17 3 2" xfId="4547" xr:uid="{8EE5FB4B-C2A3-40A1-809E-2CCD99CA7CDF}"/>
    <cellStyle name="Comma 2 17 4" xfId="3131" xr:uid="{F61BA3EC-A889-420A-BFEA-00FD557BD65E}"/>
    <cellStyle name="Comma 2 18" xfId="177" xr:uid="{00000000-0005-0000-0000-0000B0000000}"/>
    <cellStyle name="Comma 2 18 2" xfId="899" xr:uid="{00000000-0005-0000-0000-0000B1000000}"/>
    <cellStyle name="Comma 2 18 2 2" xfId="2347" xr:uid="{014BECAC-E8E9-46AA-AD7F-87BDD64658C0}"/>
    <cellStyle name="Comma 2 18 2 2 2" xfId="5203" xr:uid="{7ED38F9D-89A3-41B7-9CE7-B15ED2C88811}"/>
    <cellStyle name="Comma 2 18 2 3" xfId="3785" xr:uid="{CDD69746-041F-481D-89D7-9888099563B3}"/>
    <cellStyle name="Comma 2 18 3" xfId="1700" xr:uid="{65BB5ED7-218E-46A7-9718-7D2CAF971EDD}"/>
    <cellStyle name="Comma 2 18 3 2" xfId="4560" xr:uid="{4ED3E1F3-D08E-4209-9674-5926429D053E}"/>
    <cellStyle name="Comma 2 18 4" xfId="3144" xr:uid="{9418EBB6-104D-4CFE-885A-E5EE0E335176}"/>
    <cellStyle name="Comma 2 19" xfId="190" xr:uid="{00000000-0005-0000-0000-0000B2000000}"/>
    <cellStyle name="Comma 2 19 2" xfId="912" xr:uid="{00000000-0005-0000-0000-0000B3000000}"/>
    <cellStyle name="Comma 2 19 2 2" xfId="2360" xr:uid="{5D834273-773D-4734-B20F-FA2664B0E635}"/>
    <cellStyle name="Comma 2 19 2 2 2" xfId="5216" xr:uid="{C3C1E122-0C77-4B18-84BE-127659EB5FF7}"/>
    <cellStyle name="Comma 2 19 2 3" xfId="3798" xr:uid="{7AC447AA-1A39-46AB-BDC6-53FA142CB920}"/>
    <cellStyle name="Comma 2 19 3" xfId="1713" xr:uid="{4E84CF56-F31A-4CE7-8C5B-7746A9CDA70D}"/>
    <cellStyle name="Comma 2 19 3 2" xfId="4573" xr:uid="{2445FD5A-1229-4F8B-AD55-88F43D099785}"/>
    <cellStyle name="Comma 2 19 4" xfId="3157" xr:uid="{AB4B3FFB-66E9-4D9E-9693-93CFDFE04DFD}"/>
    <cellStyle name="Comma 2 2" xfId="3" xr:uid="{00000000-0005-0000-0000-0000B4000000}"/>
    <cellStyle name="Comma 2 2 10" xfId="124" xr:uid="{00000000-0005-0000-0000-0000B5000000}"/>
    <cellStyle name="Comma 2 2 10 2" xfId="850" xr:uid="{00000000-0005-0000-0000-0000B6000000}"/>
    <cellStyle name="Comma 2 2 10 2 2" xfId="2298" xr:uid="{AB2A3412-C4BA-4242-8D2E-385B8D0ED5C4}"/>
    <cellStyle name="Comma 2 2 10 2 2 2" xfId="5154" xr:uid="{BBCF7E3D-81E1-4C71-A840-FF3AB7D974D3}"/>
    <cellStyle name="Comma 2 2 10 2 3" xfId="3736" xr:uid="{B91A8717-B379-445B-9B53-3D0125AFCF63}"/>
    <cellStyle name="Comma 2 2 10 3" xfId="1651" xr:uid="{CD16EC78-B30E-41A7-B835-999C8C8C9410}"/>
    <cellStyle name="Comma 2 2 10 3 2" xfId="4511" xr:uid="{C0D24221-6EDD-4F14-BE1A-9C0B135B4524}"/>
    <cellStyle name="Comma 2 2 10 4" xfId="3095" xr:uid="{5BA587FC-8377-489D-99F2-A0E6AEA059C2}"/>
    <cellStyle name="Comma 2 2 11" xfId="132" xr:uid="{00000000-0005-0000-0000-0000B7000000}"/>
    <cellStyle name="Comma 2 2 11 2" xfId="857" xr:uid="{00000000-0005-0000-0000-0000B8000000}"/>
    <cellStyle name="Comma 2 2 11 2 2" xfId="2305" xr:uid="{A36DD5E7-E9BF-444B-8113-D4486A39E963}"/>
    <cellStyle name="Comma 2 2 11 2 2 2" xfId="5161" xr:uid="{E5DAC97D-E936-4180-825B-6AB8A8FC6899}"/>
    <cellStyle name="Comma 2 2 11 2 3" xfId="3743" xr:uid="{CA204B7F-2549-43B7-AD19-60C81E132AE9}"/>
    <cellStyle name="Comma 2 2 11 3" xfId="1658" xr:uid="{B95E7A42-D527-4E3C-8C74-A3D40B149370}"/>
    <cellStyle name="Comma 2 2 11 3 2" xfId="4518" xr:uid="{DF51EEB2-265F-450C-A6F7-21C9BD166622}"/>
    <cellStyle name="Comma 2 2 11 4" xfId="3102" xr:uid="{9183A535-C76D-4B4E-AECA-C5B2162140AB}"/>
    <cellStyle name="Comma 2 2 12" xfId="142" xr:uid="{00000000-0005-0000-0000-0000B9000000}"/>
    <cellStyle name="Comma 2 2 12 2" xfId="867" xr:uid="{00000000-0005-0000-0000-0000BA000000}"/>
    <cellStyle name="Comma 2 2 12 2 2" xfId="2315" xr:uid="{93FD28D8-AA9A-4493-84B9-ACF3DFD851B5}"/>
    <cellStyle name="Comma 2 2 12 2 2 2" xfId="5171" xr:uid="{DFA21476-7A80-45B9-B150-CF5FBB386F38}"/>
    <cellStyle name="Comma 2 2 12 2 3" xfId="3753" xr:uid="{BCCB8776-691C-48DA-8173-DF548FA9B0CA}"/>
    <cellStyle name="Comma 2 2 12 3" xfId="1668" xr:uid="{853F2F98-2537-4A4C-A338-3A09683C00D4}"/>
    <cellStyle name="Comma 2 2 12 3 2" xfId="4528" xr:uid="{7D2D9564-8433-4FAD-8BB2-46601BE9FA41}"/>
    <cellStyle name="Comma 2 2 12 4" xfId="3112" xr:uid="{A6143F46-67CB-4513-8686-AC9A8596E919}"/>
    <cellStyle name="Comma 2 2 13" xfId="148" xr:uid="{00000000-0005-0000-0000-0000BB000000}"/>
    <cellStyle name="Comma 2 2 13 2" xfId="873" xr:uid="{00000000-0005-0000-0000-0000BC000000}"/>
    <cellStyle name="Comma 2 2 13 2 2" xfId="2321" xr:uid="{2019D3DC-88F9-40FA-ADB1-40F7CC3DAE27}"/>
    <cellStyle name="Comma 2 2 13 2 2 2" xfId="5177" xr:uid="{1B41A5BB-C51C-4C7E-886E-98DB2360D0E8}"/>
    <cellStyle name="Comma 2 2 13 2 3" xfId="3759" xr:uid="{D3627397-82A9-4E36-9A0A-A1F6E67DB15E}"/>
    <cellStyle name="Comma 2 2 13 3" xfId="1674" xr:uid="{C9F631AF-86D7-44A1-A19B-CADFC8CCAFEB}"/>
    <cellStyle name="Comma 2 2 13 3 2" xfId="4534" xr:uid="{2BC84858-BBD5-4F83-B96C-10CC8CFC1953}"/>
    <cellStyle name="Comma 2 2 13 4" xfId="3118" xr:uid="{BAEAA33F-9E21-455A-B461-3A83961C248E}"/>
    <cellStyle name="Comma 2 2 14" xfId="157" xr:uid="{00000000-0005-0000-0000-0000BD000000}"/>
    <cellStyle name="Comma 2 2 14 2" xfId="880" xr:uid="{00000000-0005-0000-0000-0000BE000000}"/>
    <cellStyle name="Comma 2 2 14 2 2" xfId="2328" xr:uid="{18378A8B-3241-45AF-A6AC-289EC3320546}"/>
    <cellStyle name="Comma 2 2 14 2 2 2" xfId="5184" xr:uid="{CC91A969-F20D-4174-B056-7456679BD300}"/>
    <cellStyle name="Comma 2 2 14 2 3" xfId="3766" xr:uid="{314A6F3E-29E8-419E-B874-3B20A874104D}"/>
    <cellStyle name="Comma 2 2 14 3" xfId="1681" xr:uid="{ECE45AD8-23EA-46B1-BC7D-71041334CC0D}"/>
    <cellStyle name="Comma 2 2 14 3 2" xfId="4541" xr:uid="{C2B65B99-348B-4159-BD6F-8DB1C2AD6279}"/>
    <cellStyle name="Comma 2 2 14 4" xfId="3125" xr:uid="{436B0E66-0554-4E2A-AC40-D470F938D7A5}"/>
    <cellStyle name="Comma 2 2 15" xfId="164" xr:uid="{00000000-0005-0000-0000-0000BF000000}"/>
    <cellStyle name="Comma 2 2 15 2" xfId="887" xr:uid="{00000000-0005-0000-0000-0000C0000000}"/>
    <cellStyle name="Comma 2 2 15 2 2" xfId="2335" xr:uid="{E6C6B1B9-6356-4037-A086-BEA023E128D7}"/>
    <cellStyle name="Comma 2 2 15 2 2 2" xfId="5191" xr:uid="{6B2EB9A2-2D87-4679-98B9-1CA435ABB44E}"/>
    <cellStyle name="Comma 2 2 15 2 3" xfId="3773" xr:uid="{D6087155-9DEE-4AC4-9E29-7CB0DB6182B3}"/>
    <cellStyle name="Comma 2 2 15 3" xfId="1688" xr:uid="{0FA7C1A6-0387-441D-9256-B1DE0A800785}"/>
    <cellStyle name="Comma 2 2 15 3 2" xfId="4548" xr:uid="{E688B1A4-A243-485D-9041-51CB695A99E3}"/>
    <cellStyle name="Comma 2 2 15 4" xfId="3132" xr:uid="{BE0753C0-D323-44A3-A834-C224F622EA94}"/>
    <cellStyle name="Comma 2 2 16" xfId="178" xr:uid="{00000000-0005-0000-0000-0000C1000000}"/>
    <cellStyle name="Comma 2 2 16 2" xfId="900" xr:uid="{00000000-0005-0000-0000-0000C2000000}"/>
    <cellStyle name="Comma 2 2 16 2 2" xfId="2348" xr:uid="{CF1A6CDA-23D8-48B6-8A59-BF4E76AA46A5}"/>
    <cellStyle name="Comma 2 2 16 2 2 2" xfId="5204" xr:uid="{5AB425BC-9540-490B-A3F3-AC59B6CE00D4}"/>
    <cellStyle name="Comma 2 2 16 2 3" xfId="3786" xr:uid="{E6FFC02D-9381-4D98-BC06-C27A6C0FB435}"/>
    <cellStyle name="Comma 2 2 16 3" xfId="1701" xr:uid="{100DA24E-23A8-4A0D-9B47-4A6309F3BDD6}"/>
    <cellStyle name="Comma 2 2 16 3 2" xfId="4561" xr:uid="{8D4F518C-FF45-4241-A9D6-106218CF7EFC}"/>
    <cellStyle name="Comma 2 2 16 4" xfId="3145" xr:uid="{F4A0BB3C-65BE-4CAB-B952-76E81EB5976E}"/>
    <cellStyle name="Comma 2 2 17" xfId="191" xr:uid="{00000000-0005-0000-0000-0000C3000000}"/>
    <cellStyle name="Comma 2 2 17 2" xfId="913" xr:uid="{00000000-0005-0000-0000-0000C4000000}"/>
    <cellStyle name="Comma 2 2 17 2 2" xfId="2361" xr:uid="{20D72A1E-9E85-48D8-8DD1-D6AB60A81F4D}"/>
    <cellStyle name="Comma 2 2 17 2 2 2" xfId="5217" xr:uid="{B40053BF-AD41-4099-A8A3-1E1CC20264E6}"/>
    <cellStyle name="Comma 2 2 17 2 3" xfId="3799" xr:uid="{F52527D3-4473-4D39-A869-F1B11E335FDC}"/>
    <cellStyle name="Comma 2 2 17 3" xfId="1714" xr:uid="{D6950DE5-F533-4DF3-BDFC-2EE4F1DC8A66}"/>
    <cellStyle name="Comma 2 2 17 3 2" xfId="4574" xr:uid="{FF0D1F81-0938-4466-84BC-B3D7C4BB7127}"/>
    <cellStyle name="Comma 2 2 17 4" xfId="3158" xr:uid="{821EDA6C-985B-4FA6-9E8D-8B62D4CDAE00}"/>
    <cellStyle name="Comma 2 2 18" xfId="205" xr:uid="{00000000-0005-0000-0000-0000C5000000}"/>
    <cellStyle name="Comma 2 2 18 2" xfId="927" xr:uid="{00000000-0005-0000-0000-0000C6000000}"/>
    <cellStyle name="Comma 2 2 18 2 2" xfId="2375" xr:uid="{5224EE1E-DAB4-4B9B-A8B7-FF7BAA9912D1}"/>
    <cellStyle name="Comma 2 2 18 2 2 2" xfId="5231" xr:uid="{574D2DFB-312A-4DC8-9232-9B8E2FFEAD52}"/>
    <cellStyle name="Comma 2 2 18 2 3" xfId="3813" xr:uid="{886FBA89-603C-4FEF-8891-41ABAC32EF74}"/>
    <cellStyle name="Comma 2 2 18 3" xfId="1728" xr:uid="{D779DCBD-5513-429A-B929-472AF495CF6C}"/>
    <cellStyle name="Comma 2 2 18 3 2" xfId="4588" xr:uid="{F528B406-BEBA-4140-B660-2E0923399244}"/>
    <cellStyle name="Comma 2 2 18 4" xfId="3172" xr:uid="{CE2F81DD-2693-4558-99C6-033FD0CBE811}"/>
    <cellStyle name="Comma 2 2 19" xfId="219" xr:uid="{00000000-0005-0000-0000-0000C7000000}"/>
    <cellStyle name="Comma 2 2 19 2" xfId="941" xr:uid="{00000000-0005-0000-0000-0000C8000000}"/>
    <cellStyle name="Comma 2 2 19 2 2" xfId="2389" xr:uid="{78261563-5D88-4BFA-8B91-0F285497BF82}"/>
    <cellStyle name="Comma 2 2 19 2 2 2" xfId="5245" xr:uid="{F5FCE24B-7F70-4DDE-945B-2BBB9A8DE518}"/>
    <cellStyle name="Comma 2 2 19 2 3" xfId="3827" xr:uid="{D04FF6DA-8B12-49A4-9EAA-EE5AAC943540}"/>
    <cellStyle name="Comma 2 2 19 3" xfId="1742" xr:uid="{5EE6D372-C1AC-4B22-BF5E-AAB39A24A07B}"/>
    <cellStyle name="Comma 2 2 19 3 2" xfId="4602" xr:uid="{D347926C-E8CA-4C09-8861-047435070A08}"/>
    <cellStyle name="Comma 2 2 19 4" xfId="3186" xr:uid="{A87B09A0-C168-4E5F-976B-55CD7F631317}"/>
    <cellStyle name="Comma 2 2 2" xfId="39" xr:uid="{00000000-0005-0000-0000-0000C9000000}"/>
    <cellStyle name="Comma 2 2 2 2" xfId="591" xr:uid="{00000000-0005-0000-0000-0000CA000000}"/>
    <cellStyle name="Comma 2 2 2 2 2" xfId="1309" xr:uid="{00000000-0005-0000-0000-0000CB000000}"/>
    <cellStyle name="Comma 2 2 2 2 2 2" xfId="2757" xr:uid="{310A3133-C798-4B23-A139-2DDE1B214592}"/>
    <cellStyle name="Comma 2 2 2 2 2 2 2" xfId="5613" xr:uid="{4C12F7ED-BC16-4416-B239-87AD56A8FE66}"/>
    <cellStyle name="Comma 2 2 2 2 2 3" xfId="4195" xr:uid="{6E76BDE3-F6FD-4DA7-8CAF-9BC397309F85}"/>
    <cellStyle name="Comma 2 2 2 2 3" xfId="2112" xr:uid="{3191FC13-DE7A-41EA-BBE6-6073349E5984}"/>
    <cellStyle name="Comma 2 2 2 2 3 2" xfId="4972" xr:uid="{51CE84A6-AB82-4933-9062-91E68E5A34B0}"/>
    <cellStyle name="Comma 2 2 2 2 4" xfId="3556" xr:uid="{3DF9EEC0-6D3E-41B0-8DF5-300A98709AC3}"/>
    <cellStyle name="Comma 2 2 2 3" xfId="621" xr:uid="{00000000-0005-0000-0000-0000CC000000}"/>
    <cellStyle name="Comma 2 2 2 3 2" xfId="625" xr:uid="{00000000-0005-0000-0000-0000CD000000}"/>
    <cellStyle name="Comma 2 2 2 3 2 2" xfId="1342" xr:uid="{00000000-0005-0000-0000-0000CE000000}"/>
    <cellStyle name="Comma 2 2 2 3 2 2 2" xfId="2790" xr:uid="{37E7BCB4-1EF1-4227-9760-7EE110AC94F9}"/>
    <cellStyle name="Comma 2 2 2 3 2 2 2 2" xfId="5646" xr:uid="{896312D2-D92B-4D49-A01B-FA7DB5AF1614}"/>
    <cellStyle name="Comma 2 2 2 3 2 2 3" xfId="4228" xr:uid="{5E2132EE-23F3-43D5-80E1-B96563A199C0}"/>
    <cellStyle name="Comma 2 2 2 3 2 3" xfId="2146" xr:uid="{CC085249-413E-4EFC-8693-2EC1F3E695B6}"/>
    <cellStyle name="Comma 2 2 2 3 2 3 2" xfId="5006" xr:uid="{F033F29B-A515-4956-B5E3-5920D4F1EC39}"/>
    <cellStyle name="Comma 2 2 2 3 2 4" xfId="3590" xr:uid="{8E18ED6C-BF73-4EC9-A4B2-27102D2D929B}"/>
    <cellStyle name="Comma 2 2 2 3 3" xfId="1338" xr:uid="{00000000-0005-0000-0000-0000CF000000}"/>
    <cellStyle name="Comma 2 2 2 3 3 2" xfId="2786" xr:uid="{AF54410C-BDEB-4143-B3EE-98AFB075FA46}"/>
    <cellStyle name="Comma 2 2 2 3 3 2 2" xfId="5642" xr:uid="{24192E73-50EA-4129-BF16-C07B2FD84A5B}"/>
    <cellStyle name="Comma 2 2 2 3 3 3" xfId="4224" xr:uid="{174820FD-315E-4921-85EA-425E186109CF}"/>
    <cellStyle name="Comma 2 2 2 3 4" xfId="2142" xr:uid="{304A981E-C887-49F0-A16D-7A107EE2C75C}"/>
    <cellStyle name="Comma 2 2 2 3 4 2" xfId="5002" xr:uid="{EF791F43-06D1-4DF2-BCF6-C6DCBED2A4A8}"/>
    <cellStyle name="Comma 2 2 2 3 5" xfId="3586" xr:uid="{9B9D582B-C4AF-4F82-8C20-44CB818636C6}"/>
    <cellStyle name="Comma 2 2 2 4" xfId="779" xr:uid="{00000000-0005-0000-0000-0000D0000000}"/>
    <cellStyle name="Comma 2 2 2 4 2" xfId="2231" xr:uid="{50F3B8BA-A657-404C-B20D-9EED7AC21463}"/>
    <cellStyle name="Comma 2 2 2 4 2 2" xfId="5087" xr:uid="{A5ADB34A-B536-4253-81A4-36FB19A26335}"/>
    <cellStyle name="Comma 2 2 2 4 3" xfId="3669" xr:uid="{3E124A37-E03B-40F3-A3CC-BDC55CB13280}"/>
    <cellStyle name="Comma 2 2 2 5" xfId="1583" xr:uid="{AB33B224-6904-4800-BCA1-5CC320793389}"/>
    <cellStyle name="Comma 2 2 2 5 2" xfId="4443" xr:uid="{72FEE5BB-1663-4260-BEAA-FCC7B64EF665}"/>
    <cellStyle name="Comma 2 2 2 6" xfId="3028" xr:uid="{46FC4D5E-5341-42FD-8F66-E63FCF99C34D}"/>
    <cellStyle name="Comma 2 2 20" xfId="230" xr:uid="{00000000-0005-0000-0000-0000D1000000}"/>
    <cellStyle name="Comma 2 2 20 2" xfId="952" xr:uid="{00000000-0005-0000-0000-0000D2000000}"/>
    <cellStyle name="Comma 2 2 20 2 2" xfId="2400" xr:uid="{195BD293-8CED-4D60-BF30-9158D5C5A2EE}"/>
    <cellStyle name="Comma 2 2 20 2 2 2" xfId="5256" xr:uid="{0D380BB4-0354-49BA-9328-B6EF53D58960}"/>
    <cellStyle name="Comma 2 2 20 2 3" xfId="3838" xr:uid="{25F03CD2-9BC7-4F16-AA76-C2B8D5D94585}"/>
    <cellStyle name="Comma 2 2 20 3" xfId="1753" xr:uid="{7766EB7F-B98C-4DA7-AE9D-98B2D578082F}"/>
    <cellStyle name="Comma 2 2 20 3 2" xfId="4613" xr:uid="{C3A39A66-0CF2-4839-9ED7-94493E033794}"/>
    <cellStyle name="Comma 2 2 20 4" xfId="3197" xr:uid="{A9AD77DC-8843-4F32-8AA8-2F47256584F5}"/>
    <cellStyle name="Comma 2 2 21" xfId="243" xr:uid="{00000000-0005-0000-0000-0000D3000000}"/>
    <cellStyle name="Comma 2 2 21 2" xfId="965" xr:uid="{00000000-0005-0000-0000-0000D4000000}"/>
    <cellStyle name="Comma 2 2 21 2 2" xfId="2413" xr:uid="{2842EDE7-BD8A-41FD-BA52-CEECE0BBC254}"/>
    <cellStyle name="Comma 2 2 21 2 2 2" xfId="5269" xr:uid="{FDFA63C4-FF0A-4543-A019-2B68ABCEAEDC}"/>
    <cellStyle name="Comma 2 2 21 2 3" xfId="3851" xr:uid="{198C1A11-FD0E-4D5E-A649-084E4E18C7B8}"/>
    <cellStyle name="Comma 2 2 21 3" xfId="1766" xr:uid="{4F9361DE-65EE-4E53-8829-5F510F356B49}"/>
    <cellStyle name="Comma 2 2 21 3 2" xfId="4626" xr:uid="{5BDC69D3-C6DD-4427-B9B0-E9B9748A7D61}"/>
    <cellStyle name="Comma 2 2 21 4" xfId="3210" xr:uid="{7D5DAEC3-0D5B-4A9E-8458-9C50EF28CBC7}"/>
    <cellStyle name="Comma 2 2 22" xfId="255" xr:uid="{00000000-0005-0000-0000-0000D5000000}"/>
    <cellStyle name="Comma 2 2 22 2" xfId="977" xr:uid="{00000000-0005-0000-0000-0000D6000000}"/>
    <cellStyle name="Comma 2 2 22 2 2" xfId="2425" xr:uid="{93F4B6A5-1105-4371-9A58-D1F2303E3A5A}"/>
    <cellStyle name="Comma 2 2 22 2 2 2" xfId="5281" xr:uid="{DE8E3082-63DB-49A7-A94F-9DBB46C99A1C}"/>
    <cellStyle name="Comma 2 2 22 2 3" xfId="3863" xr:uid="{DB4B0AE9-E72D-46EE-832C-8BDE7F8ED27D}"/>
    <cellStyle name="Comma 2 2 22 3" xfId="1778" xr:uid="{E2CBA457-AB5E-4924-815F-8231BE06F3A2}"/>
    <cellStyle name="Comma 2 2 22 3 2" xfId="4638" xr:uid="{F887636B-FC19-4463-8B64-8FE840338AEE}"/>
    <cellStyle name="Comma 2 2 22 4" xfId="3222" xr:uid="{05C2E826-D204-4073-813B-89B5FFB5D05F}"/>
    <cellStyle name="Comma 2 2 23" xfId="265" xr:uid="{00000000-0005-0000-0000-0000D7000000}"/>
    <cellStyle name="Comma 2 2 23 2" xfId="987" xr:uid="{00000000-0005-0000-0000-0000D8000000}"/>
    <cellStyle name="Comma 2 2 23 2 2" xfId="2435" xr:uid="{1B493F8E-E90A-4E79-ACB4-0191C09B7A2D}"/>
    <cellStyle name="Comma 2 2 23 2 2 2" xfId="5291" xr:uid="{FBADFF1A-8B5D-447C-B8D8-C917922E7F67}"/>
    <cellStyle name="Comma 2 2 23 2 3" xfId="3873" xr:uid="{95FD350F-32D5-40D9-83F0-FC00D5CC0736}"/>
    <cellStyle name="Comma 2 2 23 3" xfId="1788" xr:uid="{B0551F61-2545-4485-A1AF-97722631BDBB}"/>
    <cellStyle name="Comma 2 2 23 3 2" xfId="4648" xr:uid="{1EDF79E5-2757-4070-B98F-9733E1C7EA95}"/>
    <cellStyle name="Comma 2 2 23 4" xfId="3232" xr:uid="{C41A52C1-64BA-4393-A959-1AF37E8512E8}"/>
    <cellStyle name="Comma 2 2 24" xfId="281" xr:uid="{00000000-0005-0000-0000-0000D9000000}"/>
    <cellStyle name="Comma 2 2 24 2" xfId="1003" xr:uid="{00000000-0005-0000-0000-0000DA000000}"/>
    <cellStyle name="Comma 2 2 24 2 2" xfId="2451" xr:uid="{4546C4F1-BF8A-4265-97EA-128333BBAAA9}"/>
    <cellStyle name="Comma 2 2 24 2 2 2" xfId="5307" xr:uid="{81A402FB-3181-4D2B-AAB7-C48E3511B185}"/>
    <cellStyle name="Comma 2 2 24 2 3" xfId="3889" xr:uid="{F1A3D697-D096-4C05-9F67-741D03E93C53}"/>
    <cellStyle name="Comma 2 2 24 3" xfId="1804" xr:uid="{291F9633-E1B4-4083-839B-6543D5749A5F}"/>
    <cellStyle name="Comma 2 2 24 3 2" xfId="4664" xr:uid="{3FCFF0AF-0266-418F-8DDE-F520F1A5296B}"/>
    <cellStyle name="Comma 2 2 24 4" xfId="3248" xr:uid="{2BBE2713-9684-4595-81EF-1B1BF42886B9}"/>
    <cellStyle name="Comma 2 2 25" xfId="297" xr:uid="{00000000-0005-0000-0000-0000DB000000}"/>
    <cellStyle name="Comma 2 2 25 2" xfId="1018" xr:uid="{00000000-0005-0000-0000-0000DC000000}"/>
    <cellStyle name="Comma 2 2 25 2 2" xfId="2466" xr:uid="{2A83C73B-DB98-4111-B2EE-6388016CA94A}"/>
    <cellStyle name="Comma 2 2 25 2 2 2" xfId="5322" xr:uid="{E5EA9E91-20E4-490E-B014-95E88DCCA43B}"/>
    <cellStyle name="Comma 2 2 25 2 3" xfId="3904" xr:uid="{C0C96DE4-3527-4682-83D4-D7AAD334982E}"/>
    <cellStyle name="Comma 2 2 25 3" xfId="1820" xr:uid="{2BAB870D-7C6E-4FDF-B867-97CDAF18A0C4}"/>
    <cellStyle name="Comma 2 2 25 3 2" xfId="4680" xr:uid="{18FE6C0E-4D2E-4DD9-99E7-5EEC20D4C1A2}"/>
    <cellStyle name="Comma 2 2 25 4" xfId="3264" xr:uid="{E3C83B4E-BF6D-467F-B1FD-D235DE936EF1}"/>
    <cellStyle name="Comma 2 2 26" xfId="307" xr:uid="{00000000-0005-0000-0000-0000DD000000}"/>
    <cellStyle name="Comma 2 2 26 2" xfId="1028" xr:uid="{00000000-0005-0000-0000-0000DE000000}"/>
    <cellStyle name="Comma 2 2 26 2 2" xfId="2476" xr:uid="{4A7A6C48-3340-48D9-8DB9-052944EA1DFA}"/>
    <cellStyle name="Comma 2 2 26 2 2 2" xfId="5332" xr:uid="{2A54D7C3-0433-45A9-965F-3712DCFDC9E0}"/>
    <cellStyle name="Comma 2 2 26 2 3" xfId="3914" xr:uid="{BE32D4FE-1D56-48BF-86EB-B4B2A38ACF7D}"/>
    <cellStyle name="Comma 2 2 26 3" xfId="1830" xr:uid="{3CD7D8F5-9896-408B-9C7E-06F22B4386DA}"/>
    <cellStyle name="Comma 2 2 26 3 2" xfId="4690" xr:uid="{5FD0714B-0F57-4261-B0EC-682763C37E0E}"/>
    <cellStyle name="Comma 2 2 26 4" xfId="3274" xr:uid="{4DB9DB77-1CEF-468F-B7B5-CDB9A4982AA7}"/>
    <cellStyle name="Comma 2 2 27" xfId="322" xr:uid="{00000000-0005-0000-0000-0000DF000000}"/>
    <cellStyle name="Comma 2 2 27 2" xfId="1043" xr:uid="{00000000-0005-0000-0000-0000E0000000}"/>
    <cellStyle name="Comma 2 2 27 2 2" xfId="2491" xr:uid="{629A8A8B-B07E-4750-9903-0B6DAEC9D87A}"/>
    <cellStyle name="Comma 2 2 27 2 2 2" xfId="5347" xr:uid="{212DCA49-C196-49F7-B797-5ABAA2E4FA28}"/>
    <cellStyle name="Comma 2 2 27 2 3" xfId="3929" xr:uid="{309BC4B0-F227-4557-B21B-BB55A40663B5}"/>
    <cellStyle name="Comma 2 2 27 3" xfId="1845" xr:uid="{7C4232F3-0659-410F-AD33-F4593251403A}"/>
    <cellStyle name="Comma 2 2 27 3 2" xfId="4705" xr:uid="{456FABFE-355B-41C9-A2A5-1EE40B775C8F}"/>
    <cellStyle name="Comma 2 2 27 4" xfId="3289" xr:uid="{B0E21B12-82C3-4EB6-A0F0-F4A976076B93}"/>
    <cellStyle name="Comma 2 2 28" xfId="339" xr:uid="{00000000-0005-0000-0000-0000E1000000}"/>
    <cellStyle name="Comma 2 2 28 2" xfId="1060" xr:uid="{00000000-0005-0000-0000-0000E2000000}"/>
    <cellStyle name="Comma 2 2 28 2 2" xfId="2508" xr:uid="{36F0B527-35BE-42DD-94DA-56DE28AC1616}"/>
    <cellStyle name="Comma 2 2 28 2 2 2" xfId="5364" xr:uid="{33057088-3FAD-4857-9797-B24D46D683DF}"/>
    <cellStyle name="Comma 2 2 28 2 3" xfId="3946" xr:uid="{A9A9045C-1C16-4C4C-AA51-2E548A5537D3}"/>
    <cellStyle name="Comma 2 2 28 3" xfId="1862" xr:uid="{6ABBF185-7125-4F13-9F55-802C713EC312}"/>
    <cellStyle name="Comma 2 2 28 3 2" xfId="4722" xr:uid="{7CE994B0-7C44-4BD8-B37B-5BC474B2712D}"/>
    <cellStyle name="Comma 2 2 28 4" xfId="3306" xr:uid="{981A3334-0E15-472E-9FEF-B144D8ACBB9F}"/>
    <cellStyle name="Comma 2 2 29" xfId="350" xr:uid="{00000000-0005-0000-0000-0000E3000000}"/>
    <cellStyle name="Comma 2 2 29 2" xfId="1071" xr:uid="{00000000-0005-0000-0000-0000E4000000}"/>
    <cellStyle name="Comma 2 2 29 2 2" xfId="2519" xr:uid="{8E306184-6C10-4F3C-800D-955DCD1649C2}"/>
    <cellStyle name="Comma 2 2 29 2 2 2" xfId="5375" xr:uid="{36E8C9A0-ED48-4F7A-B7EF-B0BB9FD49DE7}"/>
    <cellStyle name="Comma 2 2 29 2 3" xfId="3957" xr:uid="{7319526A-5A79-4005-8F25-22964C71CFAC}"/>
    <cellStyle name="Comma 2 2 29 3" xfId="1873" xr:uid="{24F7B30B-EA3C-40BE-BE54-039F01A9C3EC}"/>
    <cellStyle name="Comma 2 2 29 3 2" xfId="4733" xr:uid="{7A516A1E-145E-4CF9-8122-2363571CC1F4}"/>
    <cellStyle name="Comma 2 2 29 4" xfId="3317" xr:uid="{631CED04-A2B8-48BD-ABE0-D3EA4E73794C}"/>
    <cellStyle name="Comma 2 2 3" xfId="66" xr:uid="{00000000-0005-0000-0000-0000E5000000}"/>
    <cellStyle name="Comma 2 2 3 2" xfId="794" xr:uid="{00000000-0005-0000-0000-0000E6000000}"/>
    <cellStyle name="Comma 2 2 3 2 2" xfId="2245" xr:uid="{EB4C1623-77D9-45F5-AAB2-315C763F378B}"/>
    <cellStyle name="Comma 2 2 3 2 2 2" xfId="5101" xr:uid="{63CE8BCB-3788-4405-891B-2DCA6B9602A9}"/>
    <cellStyle name="Comma 2 2 3 2 3" xfId="3683" xr:uid="{7DA7FDD6-96E7-4F05-97B5-F187EEF3B6A0}"/>
    <cellStyle name="Comma 2 2 3 3" xfId="1597" xr:uid="{E84F21CB-5F6E-4698-9ECB-42D4E7F3703E}"/>
    <cellStyle name="Comma 2 2 3 3 2" xfId="4457" xr:uid="{B2B12A2C-2617-4FDB-A00D-5A9860CDA043}"/>
    <cellStyle name="Comma 2 2 3 4" xfId="3042" xr:uid="{8AFBB8EE-2423-4694-ABE8-2D1170EF47E7}"/>
    <cellStyle name="Comma 2 2 30" xfId="366" xr:uid="{00000000-0005-0000-0000-0000E7000000}"/>
    <cellStyle name="Comma 2 2 30 2" xfId="1087" xr:uid="{00000000-0005-0000-0000-0000E8000000}"/>
    <cellStyle name="Comma 2 2 30 2 2" xfId="2535" xr:uid="{CC37E5C7-3228-43DC-9EC2-FD4798BE1BAF}"/>
    <cellStyle name="Comma 2 2 30 2 2 2" xfId="5391" xr:uid="{A3D51A80-E82E-4652-A490-171182087AB5}"/>
    <cellStyle name="Comma 2 2 30 2 3" xfId="3973" xr:uid="{22829F6B-0551-412A-938B-B73B24A1FC46}"/>
    <cellStyle name="Comma 2 2 30 3" xfId="1889" xr:uid="{945EE6EE-4D71-456D-9235-091F48BF864C}"/>
    <cellStyle name="Comma 2 2 30 3 2" xfId="4749" xr:uid="{32CA997A-4F23-4603-BA0A-6768042125DE}"/>
    <cellStyle name="Comma 2 2 30 4" xfId="3333" xr:uid="{F91899C9-BD5C-46AC-8A1A-7E4B6810CD23}"/>
    <cellStyle name="Comma 2 2 31" xfId="378" xr:uid="{00000000-0005-0000-0000-0000E9000000}"/>
    <cellStyle name="Comma 2 2 31 2" xfId="1099" xr:uid="{00000000-0005-0000-0000-0000EA000000}"/>
    <cellStyle name="Comma 2 2 31 2 2" xfId="2547" xr:uid="{DC2E4A3B-F513-4666-8AE0-FD1D8E6BB587}"/>
    <cellStyle name="Comma 2 2 31 2 2 2" xfId="5403" xr:uid="{4C5BB0A6-0FF0-45E5-99F6-948CA640B7C7}"/>
    <cellStyle name="Comma 2 2 31 2 3" xfId="3985" xr:uid="{D26636B9-617A-4496-86D2-7607167D7DC0}"/>
    <cellStyle name="Comma 2 2 31 3" xfId="1901" xr:uid="{9E5F4571-33CB-4C96-8E83-99C11FACD1BB}"/>
    <cellStyle name="Comma 2 2 31 3 2" xfId="4761" xr:uid="{6F3DD961-A536-4DEA-892B-F85848255874}"/>
    <cellStyle name="Comma 2 2 31 4" xfId="3345" xr:uid="{4778DAF4-B38D-4456-B187-FDA8F16D2CB2}"/>
    <cellStyle name="Comma 2 2 32" xfId="387" xr:uid="{00000000-0005-0000-0000-0000EB000000}"/>
    <cellStyle name="Comma 2 2 32 2" xfId="1108" xr:uid="{00000000-0005-0000-0000-0000EC000000}"/>
    <cellStyle name="Comma 2 2 32 2 2" xfId="2556" xr:uid="{FC739C9C-6799-4A28-B215-07D88D21C059}"/>
    <cellStyle name="Comma 2 2 32 2 2 2" xfId="5412" xr:uid="{1ED12D47-4FFA-448D-ADE3-98DFD7449390}"/>
    <cellStyle name="Comma 2 2 32 2 3" xfId="3994" xr:uid="{55DC1F3A-CAAE-4A15-BE83-5990CD2421C7}"/>
    <cellStyle name="Comma 2 2 32 3" xfId="1910" xr:uid="{4B24F559-068B-4CA3-A605-35F0CAAB8E14}"/>
    <cellStyle name="Comma 2 2 32 3 2" xfId="4770" xr:uid="{1208B2A3-00D0-477C-B4D3-AD680A3F82AB}"/>
    <cellStyle name="Comma 2 2 32 4" xfId="3354" xr:uid="{7B2056CC-1068-4251-8FE0-2A1C66C7B734}"/>
    <cellStyle name="Comma 2 2 33" xfId="405" xr:uid="{00000000-0005-0000-0000-0000ED000000}"/>
    <cellStyle name="Comma 2 2 33 2" xfId="1126" xr:uid="{00000000-0005-0000-0000-0000EE000000}"/>
    <cellStyle name="Comma 2 2 33 2 2" xfId="2574" xr:uid="{DAC44276-FBD5-4C82-AB1C-D700FDCB7E21}"/>
    <cellStyle name="Comma 2 2 33 2 2 2" xfId="5430" xr:uid="{59EA807A-4C05-498B-845D-FED9A19907F0}"/>
    <cellStyle name="Comma 2 2 33 2 3" xfId="4012" xr:uid="{0B880E50-E3E8-4EBC-B463-D582750B08C3}"/>
    <cellStyle name="Comma 2 2 33 3" xfId="1928" xr:uid="{B6379B08-87A8-43EE-8925-425CDDD01423}"/>
    <cellStyle name="Comma 2 2 33 3 2" xfId="4788" xr:uid="{DD127AF5-DDC4-408D-8BE7-47034BC39D24}"/>
    <cellStyle name="Comma 2 2 33 4" xfId="3372" xr:uid="{1EB7061D-B55D-4EE0-B2A0-B0CD7381DE11}"/>
    <cellStyle name="Comma 2 2 34" xfId="414" xr:uid="{00000000-0005-0000-0000-0000EF000000}"/>
    <cellStyle name="Comma 2 2 34 2" xfId="1135" xr:uid="{00000000-0005-0000-0000-0000F0000000}"/>
    <cellStyle name="Comma 2 2 34 2 2" xfId="2583" xr:uid="{C523C4D9-0E5B-4DE6-86A1-C98A9A5D5536}"/>
    <cellStyle name="Comma 2 2 34 2 2 2" xfId="5439" xr:uid="{A495352C-DE00-4964-A9F9-C1CEC15597D7}"/>
    <cellStyle name="Comma 2 2 34 2 3" xfId="4021" xr:uid="{5C2570AF-B95A-4175-ABC3-17964E358A1F}"/>
    <cellStyle name="Comma 2 2 34 3" xfId="1937" xr:uid="{3841C2AA-D85C-4288-9432-7D44EA4524CA}"/>
    <cellStyle name="Comma 2 2 34 3 2" xfId="4797" xr:uid="{CF5469B6-8325-4EE8-9A33-1FF587D96DC0}"/>
    <cellStyle name="Comma 2 2 34 4" xfId="3381" xr:uid="{C71979C4-84CE-4BD2-AD09-B9CAA4DFC9BF}"/>
    <cellStyle name="Comma 2 2 35" xfId="428" xr:uid="{00000000-0005-0000-0000-0000F1000000}"/>
    <cellStyle name="Comma 2 2 35 2" xfId="1149" xr:uid="{00000000-0005-0000-0000-0000F2000000}"/>
    <cellStyle name="Comma 2 2 35 2 2" xfId="2597" xr:uid="{194D72F0-50E1-4392-A9FE-9950D21940CA}"/>
    <cellStyle name="Comma 2 2 35 2 2 2" xfId="5453" xr:uid="{310326AB-1290-4FFF-98CC-E37C564679D8}"/>
    <cellStyle name="Comma 2 2 35 2 3" xfId="4035" xr:uid="{8AA9FE40-BE9B-4C84-90FE-50A2FA459B34}"/>
    <cellStyle name="Comma 2 2 35 3" xfId="1951" xr:uid="{BA28C067-0D2E-4E1B-8292-99FB4CF73EF4}"/>
    <cellStyle name="Comma 2 2 35 3 2" xfId="4811" xr:uid="{DA53F088-DEEB-450C-8265-3AFDB9E8A64E}"/>
    <cellStyle name="Comma 2 2 35 4" xfId="3395" xr:uid="{5FB07EEE-85E5-49BE-A9D2-3FE6C866C33C}"/>
    <cellStyle name="Comma 2 2 36" xfId="435" xr:uid="{00000000-0005-0000-0000-0000F3000000}"/>
    <cellStyle name="Comma 2 2 36 2" xfId="1156" xr:uid="{00000000-0005-0000-0000-0000F4000000}"/>
    <cellStyle name="Comma 2 2 36 2 2" xfId="2604" xr:uid="{6B4E845B-8F23-412D-B754-C4C58F71AD5E}"/>
    <cellStyle name="Comma 2 2 36 2 2 2" xfId="5460" xr:uid="{EFDE29E7-7290-4FFB-BC08-9B2EAFC9C076}"/>
    <cellStyle name="Comma 2 2 36 2 3" xfId="4042" xr:uid="{95A1E1B7-0996-42D3-B7B4-7D9CD97280F9}"/>
    <cellStyle name="Comma 2 2 36 3" xfId="1958" xr:uid="{24439840-9A41-4F89-B221-2EC2E622F428}"/>
    <cellStyle name="Comma 2 2 36 3 2" xfId="4818" xr:uid="{CCA1675C-1633-4A13-A613-08934CB639B6}"/>
    <cellStyle name="Comma 2 2 36 4" xfId="3402" xr:uid="{5CB2F48C-9A54-4E3A-B697-D57BD8B49DDE}"/>
    <cellStyle name="Comma 2 2 37" xfId="454" xr:uid="{00000000-0005-0000-0000-0000F5000000}"/>
    <cellStyle name="Comma 2 2 37 2" xfId="1174" xr:uid="{00000000-0005-0000-0000-0000F6000000}"/>
    <cellStyle name="Comma 2 2 37 2 2" xfId="2622" xr:uid="{CE9B6661-5464-42A4-9B2F-CC1857610D01}"/>
    <cellStyle name="Comma 2 2 37 2 2 2" xfId="5478" xr:uid="{AB03FE65-E692-4A09-9EB1-CB09AC38A8A7}"/>
    <cellStyle name="Comma 2 2 37 2 3" xfId="4060" xr:uid="{626716DB-5E65-48FA-9837-9D417F244086}"/>
    <cellStyle name="Comma 2 2 37 3" xfId="1977" xr:uid="{21EF1D98-5665-4C2C-861D-663296BA759A}"/>
    <cellStyle name="Comma 2 2 37 3 2" xfId="4837" xr:uid="{F564AC67-D603-4BFE-9843-5FBFE47C8447}"/>
    <cellStyle name="Comma 2 2 37 4" xfId="3421" xr:uid="{FCA6DEC5-C7F3-460C-A5AF-14EDE8C9A25E}"/>
    <cellStyle name="Comma 2 2 38" xfId="469" xr:uid="{00000000-0005-0000-0000-0000F7000000}"/>
    <cellStyle name="Comma 2 2 38 2" xfId="1189" xr:uid="{00000000-0005-0000-0000-0000F8000000}"/>
    <cellStyle name="Comma 2 2 38 2 2" xfId="2637" xr:uid="{18469857-BEE8-4988-AE56-79A593B2EDF6}"/>
    <cellStyle name="Comma 2 2 38 2 2 2" xfId="5493" xr:uid="{16CBAF9D-E56F-4B3C-9FE5-EF22C79B1B54}"/>
    <cellStyle name="Comma 2 2 38 2 3" xfId="4075" xr:uid="{2FF1EC53-630B-4377-84E2-14304061BB08}"/>
    <cellStyle name="Comma 2 2 38 3" xfId="1992" xr:uid="{689B0E66-E6A5-4CCA-92DF-C28CD5FCA159}"/>
    <cellStyle name="Comma 2 2 38 3 2" xfId="4852" xr:uid="{04E890F0-240D-4F16-91D8-30717A5EC4AE}"/>
    <cellStyle name="Comma 2 2 38 4" xfId="3436" xr:uid="{1211F3B7-4783-4BAC-9BDC-551C78C8E062}"/>
    <cellStyle name="Comma 2 2 39" xfId="487" xr:uid="{00000000-0005-0000-0000-0000F9000000}"/>
    <cellStyle name="Comma 2 2 39 2" xfId="1206" xr:uid="{00000000-0005-0000-0000-0000FA000000}"/>
    <cellStyle name="Comma 2 2 39 2 2" xfId="2654" xr:uid="{7D882DBD-F549-4E05-A518-FEB9E2F9742B}"/>
    <cellStyle name="Comma 2 2 39 2 2 2" xfId="5510" xr:uid="{0222E743-382A-41FA-BB0E-A7DC4627A953}"/>
    <cellStyle name="Comma 2 2 39 2 3" xfId="4092" xr:uid="{37955525-5C12-4C5A-94DE-F7EE7FEC0214}"/>
    <cellStyle name="Comma 2 2 39 3" xfId="2009" xr:uid="{21DE57E5-1F44-4DB1-96BD-A2EE87DCF860}"/>
    <cellStyle name="Comma 2 2 39 3 2" xfId="4869" xr:uid="{0A361014-2547-4A3F-811F-F749A31BD450}"/>
    <cellStyle name="Comma 2 2 39 4" xfId="3453" xr:uid="{D09D7187-DEE6-4F97-A4C8-A6D7742B7F4F}"/>
    <cellStyle name="Comma 2 2 4" xfId="79" xr:uid="{00000000-0005-0000-0000-0000FB000000}"/>
    <cellStyle name="Comma 2 2 4 2" xfId="805" xr:uid="{00000000-0005-0000-0000-0000FC000000}"/>
    <cellStyle name="Comma 2 2 4 2 2" xfId="2256" xr:uid="{37A28096-F812-450E-85B9-B7A013AA8FA1}"/>
    <cellStyle name="Comma 2 2 4 2 2 2" xfId="5112" xr:uid="{BEED5038-2562-4474-BED2-C48A07D66C48}"/>
    <cellStyle name="Comma 2 2 4 2 3" xfId="3694" xr:uid="{7D01FB19-26D5-4E49-BD52-0AE05E4D0EB0}"/>
    <cellStyle name="Comma 2 2 4 3" xfId="1609" xr:uid="{8B9FE16F-4E57-4E46-AA67-779EA45241B8}"/>
    <cellStyle name="Comma 2 2 4 3 2" xfId="4469" xr:uid="{E3DD647B-86D9-44B0-9DAC-ADF17F371FFF}"/>
    <cellStyle name="Comma 2 2 4 4" xfId="3053" xr:uid="{64F6AE50-BA3E-40B6-890E-0464BB5EB8AF}"/>
    <cellStyle name="Comma 2 2 40" xfId="498" xr:uid="{00000000-0005-0000-0000-0000FD000000}"/>
    <cellStyle name="Comma 2 2 40 2" xfId="1217" xr:uid="{00000000-0005-0000-0000-0000FE000000}"/>
    <cellStyle name="Comma 2 2 40 2 2" xfId="2665" xr:uid="{205C6B17-44DA-489D-8527-267B976A1714}"/>
    <cellStyle name="Comma 2 2 40 2 2 2" xfId="5521" xr:uid="{6FEE518C-D429-46D6-9F19-02D117319DA3}"/>
    <cellStyle name="Comma 2 2 40 2 3" xfId="4103" xr:uid="{1E447F59-74C2-42FA-BC67-14F8EA19E17B}"/>
    <cellStyle name="Comma 2 2 40 3" xfId="2020" xr:uid="{5ACC2B7A-4235-4D46-9202-C46FF112B372}"/>
    <cellStyle name="Comma 2 2 40 3 2" xfId="4880" xr:uid="{4DF2BDA3-2B48-4FCC-A836-1D84A25D6FC0}"/>
    <cellStyle name="Comma 2 2 40 4" xfId="3464" xr:uid="{9A57BDD1-BACD-4FA7-8917-86D491917845}"/>
    <cellStyle name="Comma 2 2 41" xfId="509" xr:uid="{00000000-0005-0000-0000-0000FF000000}"/>
    <cellStyle name="Comma 2 2 41 2" xfId="1228" xr:uid="{00000000-0005-0000-0000-000000010000}"/>
    <cellStyle name="Comma 2 2 41 2 2" xfId="2676" xr:uid="{6B70D9E3-737A-4BF8-8670-B73FE5BDC5E7}"/>
    <cellStyle name="Comma 2 2 41 2 2 2" xfId="5532" xr:uid="{C2C869E2-3A94-43E9-8C3E-2728D2B725ED}"/>
    <cellStyle name="Comma 2 2 41 2 3" xfId="4114" xr:uid="{234D3807-A003-4850-A978-5F148F8B7E1B}"/>
    <cellStyle name="Comma 2 2 41 3" xfId="2031" xr:uid="{5C23CD23-D8D0-4286-B78E-F005EC332FD5}"/>
    <cellStyle name="Comma 2 2 41 3 2" xfId="4891" xr:uid="{50D2E11A-68CF-4D9E-ABB3-5400C1B3AEE3}"/>
    <cellStyle name="Comma 2 2 41 4" xfId="3475" xr:uid="{5860C480-D7C1-4501-83A1-970819FD08EA}"/>
    <cellStyle name="Comma 2 2 42" xfId="521" xr:uid="{00000000-0005-0000-0000-000001010000}"/>
    <cellStyle name="Comma 2 2 42 2" xfId="1240" xr:uid="{00000000-0005-0000-0000-000002010000}"/>
    <cellStyle name="Comma 2 2 42 2 2" xfId="2688" xr:uid="{A4BEDA43-F39E-4B6D-BBFC-DBF4A9352D9B}"/>
    <cellStyle name="Comma 2 2 42 2 2 2" xfId="5544" xr:uid="{5D1F273A-9934-4E91-B4A8-424731A6E552}"/>
    <cellStyle name="Comma 2 2 42 2 3" xfId="4126" xr:uid="{2FD208BD-906E-4A7F-A98C-B4CA4B394401}"/>
    <cellStyle name="Comma 2 2 42 3" xfId="2043" xr:uid="{01D09693-DE11-4154-9232-C1E7A3529ABD}"/>
    <cellStyle name="Comma 2 2 42 3 2" xfId="4903" xr:uid="{04490039-5C90-409D-B48E-CC31676825FA}"/>
    <cellStyle name="Comma 2 2 42 4" xfId="3487" xr:uid="{9107C316-85F0-412E-A75D-31A4F2CF90F2}"/>
    <cellStyle name="Comma 2 2 43" xfId="532" xr:uid="{00000000-0005-0000-0000-000003010000}"/>
    <cellStyle name="Comma 2 2 43 2" xfId="1251" xr:uid="{00000000-0005-0000-0000-000004010000}"/>
    <cellStyle name="Comma 2 2 43 2 2" xfId="2699" xr:uid="{021F9096-55C7-46F3-8600-B1E49A8C1EA2}"/>
    <cellStyle name="Comma 2 2 43 2 2 2" xfId="5555" xr:uid="{2788EDA3-74F5-4A7E-ABE2-47B2BC7FD752}"/>
    <cellStyle name="Comma 2 2 43 2 3" xfId="4137" xr:uid="{CFD4D2C5-C2E2-4DA8-88BD-F24AE90387EA}"/>
    <cellStyle name="Comma 2 2 43 3" xfId="2054" xr:uid="{B631F453-2673-406E-BAB4-45C9267D86C5}"/>
    <cellStyle name="Comma 2 2 43 3 2" xfId="4914" xr:uid="{F5FF2F65-25ED-40ED-838F-34273D1ED497}"/>
    <cellStyle name="Comma 2 2 43 4" xfId="3498" xr:uid="{F6CEA62D-F6D7-4163-B0AB-6A8A18CC6A81}"/>
    <cellStyle name="Comma 2 2 44" xfId="540" xr:uid="{00000000-0005-0000-0000-000005010000}"/>
    <cellStyle name="Comma 2 2 44 2" xfId="1259" xr:uid="{00000000-0005-0000-0000-000006010000}"/>
    <cellStyle name="Comma 2 2 44 2 2" xfId="2707" xr:uid="{09EACA04-F059-41BD-BB8F-49AB0CF5B968}"/>
    <cellStyle name="Comma 2 2 44 2 2 2" xfId="5563" xr:uid="{E27EB74F-5945-41A0-915E-35F744BE9F83}"/>
    <cellStyle name="Comma 2 2 44 2 3" xfId="4145" xr:uid="{F679A676-487C-4CFA-830E-CD7BCEC549B3}"/>
    <cellStyle name="Comma 2 2 44 3" xfId="2062" xr:uid="{EBCEA04D-2786-4159-A880-715B9F9288C3}"/>
    <cellStyle name="Comma 2 2 44 3 2" xfId="4922" xr:uid="{3B266E81-9EC9-4DB4-9653-B88C588CCF6C}"/>
    <cellStyle name="Comma 2 2 44 4" xfId="3506" xr:uid="{98822042-897B-4759-AD44-74B6DA7DBBA4}"/>
    <cellStyle name="Comma 2 2 45" xfId="550" xr:uid="{00000000-0005-0000-0000-000007010000}"/>
    <cellStyle name="Comma 2 2 45 2" xfId="1269" xr:uid="{00000000-0005-0000-0000-000008010000}"/>
    <cellStyle name="Comma 2 2 45 2 2" xfId="2717" xr:uid="{13162A8A-A6B3-4DDF-B9EF-ACA84D314FFE}"/>
    <cellStyle name="Comma 2 2 45 2 2 2" xfId="5573" xr:uid="{EA5BC9C9-9817-4AD4-A83B-FF5518F410D0}"/>
    <cellStyle name="Comma 2 2 45 2 3" xfId="4155" xr:uid="{15E3C99A-CF21-43B6-8399-3FCE5E2480BA}"/>
    <cellStyle name="Comma 2 2 45 3" xfId="2072" xr:uid="{CD54CB61-11A3-412E-A425-CFF4818C0CCA}"/>
    <cellStyle name="Comma 2 2 45 3 2" xfId="4932" xr:uid="{62F32036-B953-4154-8626-FB79D7E6A130}"/>
    <cellStyle name="Comma 2 2 45 4" xfId="3516" xr:uid="{C41B1503-E99E-4EC4-A6D9-09836EB0404E}"/>
    <cellStyle name="Comma 2 2 46" xfId="566" xr:uid="{00000000-0005-0000-0000-000009010000}"/>
    <cellStyle name="Comma 2 2 46 2" xfId="1285" xr:uid="{00000000-0005-0000-0000-00000A010000}"/>
    <cellStyle name="Comma 2 2 46 2 2" xfId="2733" xr:uid="{487D59F3-0750-4C55-BE87-F98748B526C3}"/>
    <cellStyle name="Comma 2 2 46 2 2 2" xfId="5589" xr:uid="{CBF7BE76-DAD0-4583-BADD-288D1CE39CD3}"/>
    <cellStyle name="Comma 2 2 46 2 3" xfId="4171" xr:uid="{5E311761-29AF-4199-9A12-E76637E9CCA6}"/>
    <cellStyle name="Comma 2 2 46 3" xfId="2088" xr:uid="{1C4F0D39-17AE-45F0-A152-F49EAC19B337}"/>
    <cellStyle name="Comma 2 2 46 3 2" xfId="4948" xr:uid="{DB981EB4-2D18-49CB-BCCC-266B0B523985}"/>
    <cellStyle name="Comma 2 2 46 4" xfId="3532" xr:uid="{90F4F8A5-F5B3-4811-8D04-2448EBF3BD2B}"/>
    <cellStyle name="Comma 2 2 47" xfId="580" xr:uid="{00000000-0005-0000-0000-00000B010000}"/>
    <cellStyle name="Comma 2 2 47 2" xfId="1299" xr:uid="{00000000-0005-0000-0000-00000C010000}"/>
    <cellStyle name="Comma 2 2 47 2 2" xfId="2747" xr:uid="{40E0C530-A21A-4AEA-A4A3-B6A4689166E3}"/>
    <cellStyle name="Comma 2 2 47 2 2 2" xfId="5603" xr:uid="{50FBB770-08B0-4A30-8FFF-83C4FFA34505}"/>
    <cellStyle name="Comma 2 2 47 2 3" xfId="4185" xr:uid="{790C0D69-72BC-4311-8E58-177A5F106144}"/>
    <cellStyle name="Comma 2 2 47 3" xfId="2102" xr:uid="{509F0DB7-FAC1-4188-B395-013B52232AC9}"/>
    <cellStyle name="Comma 2 2 47 3 2" xfId="4962" xr:uid="{50914BEA-42DF-4FDF-9DC7-4E03059DFF08}"/>
    <cellStyle name="Comma 2 2 47 4" xfId="3546" xr:uid="{A24C10A5-3A8D-4607-A76B-5BF3A4DAA3FA}"/>
    <cellStyle name="Comma 2 2 48" xfId="585" xr:uid="{00000000-0005-0000-0000-00000D010000}"/>
    <cellStyle name="Comma 2 2 48 2" xfId="1304" xr:uid="{00000000-0005-0000-0000-00000E010000}"/>
    <cellStyle name="Comma 2 2 48 2 2" xfId="2752" xr:uid="{CA1D4F68-A835-47FB-9F68-E6A254420AA6}"/>
    <cellStyle name="Comma 2 2 48 2 2 2" xfId="5608" xr:uid="{092F43FF-81C6-42E4-998F-8F0C2B342835}"/>
    <cellStyle name="Comma 2 2 48 2 3" xfId="4190" xr:uid="{4DBA9527-7AB6-4F89-88BB-B2914D35DF84}"/>
    <cellStyle name="Comma 2 2 48 3" xfId="2107" xr:uid="{ED98C205-A7A5-4378-AFED-6DE1E446249F}"/>
    <cellStyle name="Comma 2 2 48 3 2" xfId="4967" xr:uid="{B357B409-0A8A-4A64-9B76-BDDE0E1D5FBE}"/>
    <cellStyle name="Comma 2 2 48 4" xfId="3551" xr:uid="{C980C26E-65AC-4D4E-A3AC-B29A351AFB29}"/>
    <cellStyle name="Comma 2 2 49" xfId="723" xr:uid="{00000000-0005-0000-0000-00000F010000}"/>
    <cellStyle name="Comma 2 2 49 2" xfId="1402" xr:uid="{00000000-0005-0000-0000-000010010000}"/>
    <cellStyle name="Comma 2 2 49 2 2" xfId="2849" xr:uid="{E90F9B85-F0A9-41BF-9E23-911ED283A08D}"/>
    <cellStyle name="Comma 2 2 49 2 2 2" xfId="5704" xr:uid="{6BB2CBC4-61B3-4730-8DDF-CDF3C9958D45}"/>
    <cellStyle name="Comma 2 2 49 2 3" xfId="4286" xr:uid="{064ED49B-0EBD-4FDA-B164-8C49F7CDE18A}"/>
    <cellStyle name="Comma 2 2 49 3" xfId="2209" xr:uid="{006911B1-517F-4B10-B0D1-43068DE2F952}"/>
    <cellStyle name="Comma 2 2 49 3 2" xfId="5065" xr:uid="{378A50AB-139E-4A3D-8AAF-80A2045F9F54}"/>
    <cellStyle name="Comma 2 2 49 4" xfId="3649" xr:uid="{B12B4688-54EB-46C1-B74B-994E484CFA8F}"/>
    <cellStyle name="Comma 2 2 5" xfId="83" xr:uid="{00000000-0005-0000-0000-000011010000}"/>
    <cellStyle name="Comma 2 2 5 2" xfId="809" xr:uid="{00000000-0005-0000-0000-000012010000}"/>
    <cellStyle name="Comma 2 2 5 2 2" xfId="2260" xr:uid="{9C2D27CE-ADE8-4955-AA32-C8D0387B2FEA}"/>
    <cellStyle name="Comma 2 2 5 2 2 2" xfId="5116" xr:uid="{CEC00BBD-EC14-436B-9C97-048C33BE9868}"/>
    <cellStyle name="Comma 2 2 5 2 3" xfId="3698" xr:uid="{DF95116C-F6BE-4018-B80A-74CC893BF63C}"/>
    <cellStyle name="Comma 2 2 5 3" xfId="1613" xr:uid="{1D35970D-570A-4F5F-8EEC-63FB9EFFADFA}"/>
    <cellStyle name="Comma 2 2 5 3 2" xfId="4473" xr:uid="{D522A8A0-8646-445A-9F0E-3B1D91F95B26}"/>
    <cellStyle name="Comma 2 2 5 4" xfId="3057" xr:uid="{4A23D2CE-DFC2-48C9-AE2B-6E602FDCE225}"/>
    <cellStyle name="Comma 2 2 6" xfId="98" xr:uid="{00000000-0005-0000-0000-000013010000}"/>
    <cellStyle name="Comma 2 2 6 2" xfId="824" xr:uid="{00000000-0005-0000-0000-000014010000}"/>
    <cellStyle name="Comma 2 2 6 2 2" xfId="2274" xr:uid="{4638F0FF-03D1-4EDD-B804-8D8313A3A237}"/>
    <cellStyle name="Comma 2 2 6 2 2 2" xfId="5130" xr:uid="{DE0AF118-36C1-41B5-9DE5-F1FB61BD5737}"/>
    <cellStyle name="Comma 2 2 6 2 3" xfId="3712" xr:uid="{5F9C9300-CC94-4D5B-89CC-9997C922F991}"/>
    <cellStyle name="Comma 2 2 6 3" xfId="1627" xr:uid="{7D30D825-5C1C-458C-9C1D-240C50C280C7}"/>
    <cellStyle name="Comma 2 2 6 3 2" xfId="4487" xr:uid="{905FD2D4-8802-45DC-AA6A-D13FE40B2DD2}"/>
    <cellStyle name="Comma 2 2 6 4" xfId="3071" xr:uid="{720FA729-CCDC-4BAE-A387-42B789ACF510}"/>
    <cellStyle name="Comma 2 2 7" xfId="107" xr:uid="{00000000-0005-0000-0000-000015010000}"/>
    <cellStyle name="Comma 2 2 7 2" xfId="833" xr:uid="{00000000-0005-0000-0000-000016010000}"/>
    <cellStyle name="Comma 2 2 7 2 2" xfId="2282" xr:uid="{B65EF3B1-2D0E-41FC-A74C-BE65B1D7F1A1}"/>
    <cellStyle name="Comma 2 2 7 2 2 2" xfId="5138" xr:uid="{B7A01637-59A4-4A67-A186-3E4A2604CD06}"/>
    <cellStyle name="Comma 2 2 7 2 3" xfId="3720" xr:uid="{78526E33-4FE7-4B90-8DB1-64BB8EA85228}"/>
    <cellStyle name="Comma 2 2 7 3" xfId="1635" xr:uid="{6E038988-3825-4B78-9550-63DB8974E26A}"/>
    <cellStyle name="Comma 2 2 7 3 2" xfId="4495" xr:uid="{3BC45D7B-2636-4F93-936F-A50C0F039294}"/>
    <cellStyle name="Comma 2 2 7 4" xfId="3079" xr:uid="{C967337B-D4C0-4B68-B86C-F898C494DAB5}"/>
    <cellStyle name="Comma 2 2 8" xfId="113" xr:uid="{00000000-0005-0000-0000-000017010000}"/>
    <cellStyle name="Comma 2 2 8 2" xfId="839" xr:uid="{00000000-0005-0000-0000-000018010000}"/>
    <cellStyle name="Comma 2 2 8 2 2" xfId="2288" xr:uid="{B6537B78-CDE3-43E4-A6A2-EDF18100ABF1}"/>
    <cellStyle name="Comma 2 2 8 2 2 2" xfId="5144" xr:uid="{98F6BB43-D387-4A6C-B898-B089798095D4}"/>
    <cellStyle name="Comma 2 2 8 2 3" xfId="3726" xr:uid="{4EA7223F-4193-4611-9DF0-70231E93687A}"/>
    <cellStyle name="Comma 2 2 8 3" xfId="1641" xr:uid="{57E6C5E6-524C-4B57-8DF8-CBD7001F70FB}"/>
    <cellStyle name="Comma 2 2 8 3 2" xfId="4501" xr:uid="{BB6D7311-8C2B-4597-B111-46AC419237A7}"/>
    <cellStyle name="Comma 2 2 8 4" xfId="3085" xr:uid="{3E5159EC-D0E3-4B03-9965-5AD38B2327EF}"/>
    <cellStyle name="Comma 2 2 9" xfId="117" xr:uid="{00000000-0005-0000-0000-000019010000}"/>
    <cellStyle name="Comma 2 2 9 2" xfId="843" xr:uid="{00000000-0005-0000-0000-00001A010000}"/>
    <cellStyle name="Comma 2 2 9 2 2" xfId="2292" xr:uid="{89580B86-909E-4707-828D-C10490C453D6}"/>
    <cellStyle name="Comma 2 2 9 2 2 2" xfId="5148" xr:uid="{30674FB3-087D-4798-BC59-E5225E4EC5D5}"/>
    <cellStyle name="Comma 2 2 9 2 3" xfId="3730" xr:uid="{07B12CE4-7940-4B39-9A3B-87AB94E57F15}"/>
    <cellStyle name="Comma 2 2 9 3" xfId="1645" xr:uid="{BF201F24-2B4B-4DB1-9A72-FE3D3357F60B}"/>
    <cellStyle name="Comma 2 2 9 3 2" xfId="4505" xr:uid="{7EB864A2-3A06-4D21-9187-26AFD6E127D6}"/>
    <cellStyle name="Comma 2 2 9 4" xfId="3089" xr:uid="{B13CFC89-6885-4002-B919-BFC3CFB1C950}"/>
    <cellStyle name="Comma 2 20" xfId="204" xr:uid="{00000000-0005-0000-0000-00001B010000}"/>
    <cellStyle name="Comma 2 20 2" xfId="926" xr:uid="{00000000-0005-0000-0000-00001C010000}"/>
    <cellStyle name="Comma 2 20 2 2" xfId="2374" xr:uid="{BFA48181-24AC-4C72-8179-288DC22385FD}"/>
    <cellStyle name="Comma 2 20 2 2 2" xfId="5230" xr:uid="{8DBF0364-94AC-4B10-8C67-54A5640DAAD2}"/>
    <cellStyle name="Comma 2 20 2 3" xfId="3812" xr:uid="{97EE83B5-3F77-4CA6-8989-409FD8694F46}"/>
    <cellStyle name="Comma 2 20 3" xfId="1727" xr:uid="{71B5B48E-4E7F-43E2-BD24-1D4A11EDF529}"/>
    <cellStyle name="Comma 2 20 3 2" xfId="4587" xr:uid="{FCE0FF6A-B401-4C26-A114-D497B63BFB1B}"/>
    <cellStyle name="Comma 2 20 4" xfId="3171" xr:uid="{E5A709C7-EAFB-496E-9443-2E5A0BA313A2}"/>
    <cellStyle name="Comma 2 21" xfId="218" xr:uid="{00000000-0005-0000-0000-00001D010000}"/>
    <cellStyle name="Comma 2 21 2" xfId="940" xr:uid="{00000000-0005-0000-0000-00001E010000}"/>
    <cellStyle name="Comma 2 21 2 2" xfId="2388" xr:uid="{D54DC7E4-2591-4FE4-871E-797970EDDE37}"/>
    <cellStyle name="Comma 2 21 2 2 2" xfId="5244" xr:uid="{401D5022-A384-4664-B44C-2B02011574E5}"/>
    <cellStyle name="Comma 2 21 2 3" xfId="3826" xr:uid="{03544D3D-1679-49E3-9E37-3CD36B1BCB59}"/>
    <cellStyle name="Comma 2 21 3" xfId="1741" xr:uid="{BA8291E7-1254-4AC8-9656-A6B244645366}"/>
    <cellStyle name="Comma 2 21 3 2" xfId="4601" xr:uid="{E6C31E64-E55F-4870-B1AF-BFC722A04184}"/>
    <cellStyle name="Comma 2 21 4" xfId="3185" xr:uid="{969E9FA3-0059-42A3-8DBF-8355CF140CF0}"/>
    <cellStyle name="Comma 2 22" xfId="229" xr:uid="{00000000-0005-0000-0000-00001F010000}"/>
    <cellStyle name="Comma 2 22 2" xfId="951" xr:uid="{00000000-0005-0000-0000-000020010000}"/>
    <cellStyle name="Comma 2 22 2 2" xfId="2399" xr:uid="{87D4DEA5-C78C-45E7-8AC1-ED76C2E62FCA}"/>
    <cellStyle name="Comma 2 22 2 2 2" xfId="5255" xr:uid="{35CDC46C-09C7-4FF5-9FF8-87EA0A01A051}"/>
    <cellStyle name="Comma 2 22 2 3" xfId="3837" xr:uid="{AE7C69E0-114D-4058-B3C5-113AFA166E48}"/>
    <cellStyle name="Comma 2 22 3" xfId="1752" xr:uid="{D46F609D-0CD3-45BC-A06C-318105953F41}"/>
    <cellStyle name="Comma 2 22 3 2" xfId="4612" xr:uid="{7E7EB405-D600-48C5-A9C5-9FD2A8EC70C9}"/>
    <cellStyle name="Comma 2 22 4" xfId="3196" xr:uid="{03E2F15E-8E2D-424F-91A3-958F8D8D4F86}"/>
    <cellStyle name="Comma 2 23" xfId="242" xr:uid="{00000000-0005-0000-0000-000021010000}"/>
    <cellStyle name="Comma 2 23 2" xfId="964" xr:uid="{00000000-0005-0000-0000-000022010000}"/>
    <cellStyle name="Comma 2 23 2 2" xfId="2412" xr:uid="{35362157-4F03-4979-A1E0-490B47A10BB1}"/>
    <cellStyle name="Comma 2 23 2 2 2" xfId="5268" xr:uid="{72804493-0440-45CB-91AA-5F8367618D73}"/>
    <cellStyle name="Comma 2 23 2 3" xfId="3850" xr:uid="{9BDE617E-56CC-46ED-9070-ADC792A506AA}"/>
    <cellStyle name="Comma 2 23 3" xfId="1765" xr:uid="{622BBDA0-25D4-452A-9EF9-D409AC5D2A72}"/>
    <cellStyle name="Comma 2 23 3 2" xfId="4625" xr:uid="{CA229E77-F030-4D48-A978-721A3E9BF7FB}"/>
    <cellStyle name="Comma 2 23 4" xfId="3209" xr:uid="{8231EE81-DBFB-4C7A-88EE-C44365CBC830}"/>
    <cellStyle name="Comma 2 24" xfId="254" xr:uid="{00000000-0005-0000-0000-000023010000}"/>
    <cellStyle name="Comma 2 24 2" xfId="976" xr:uid="{00000000-0005-0000-0000-000024010000}"/>
    <cellStyle name="Comma 2 24 2 2" xfId="2424" xr:uid="{028F0CC1-BB9C-485E-B06A-88BDD2618C1C}"/>
    <cellStyle name="Comma 2 24 2 2 2" xfId="5280" xr:uid="{6C7E0BDB-41DF-464E-85E5-69C89D66291F}"/>
    <cellStyle name="Comma 2 24 2 3" xfId="3862" xr:uid="{74B4F9D9-0120-4A69-9A4B-4BA21CDE3A44}"/>
    <cellStyle name="Comma 2 24 3" xfId="1777" xr:uid="{2F169286-4BB4-4CD3-84D4-483107410E29}"/>
    <cellStyle name="Comma 2 24 3 2" xfId="4637" xr:uid="{ABC63B7B-EA17-4641-BCE2-99D4ACA0CCE4}"/>
    <cellStyle name="Comma 2 24 4" xfId="3221" xr:uid="{95A5B4B8-D4F8-4097-AF42-1BD112FD6303}"/>
    <cellStyle name="Comma 2 25" xfId="264" xr:uid="{00000000-0005-0000-0000-000025010000}"/>
    <cellStyle name="Comma 2 25 2" xfId="986" xr:uid="{00000000-0005-0000-0000-000026010000}"/>
    <cellStyle name="Comma 2 25 2 2" xfId="2434" xr:uid="{A104CFFC-834E-4643-990E-EB33E76831B4}"/>
    <cellStyle name="Comma 2 25 2 2 2" xfId="5290" xr:uid="{30830DF0-39DB-408E-B277-AADD28B19481}"/>
    <cellStyle name="Comma 2 25 2 3" xfId="3872" xr:uid="{00C948E1-9CC9-4D4D-90FE-B53A64B97E3E}"/>
    <cellStyle name="Comma 2 25 3" xfId="1787" xr:uid="{75A51BCE-8C5B-44D2-957D-AE282EE911F1}"/>
    <cellStyle name="Comma 2 25 3 2" xfId="4647" xr:uid="{B374387B-4C53-4DA3-A3EB-9CCFA7B5AC68}"/>
    <cellStyle name="Comma 2 25 4" xfId="3231" xr:uid="{1A548D64-0B36-4CAC-B856-1E8A613CB97E}"/>
    <cellStyle name="Comma 2 26" xfId="280" xr:uid="{00000000-0005-0000-0000-000027010000}"/>
    <cellStyle name="Comma 2 26 2" xfId="1002" xr:uid="{00000000-0005-0000-0000-000028010000}"/>
    <cellStyle name="Comma 2 26 2 2" xfId="2450" xr:uid="{174AC6EE-F2AB-40C6-942D-C05EC3321CB8}"/>
    <cellStyle name="Comma 2 26 2 2 2" xfId="5306" xr:uid="{F95648C7-038A-49AB-A1B5-191019DC6BDA}"/>
    <cellStyle name="Comma 2 26 2 3" xfId="3888" xr:uid="{66ECEE53-76F4-402F-ADC8-CFD9A1520948}"/>
    <cellStyle name="Comma 2 26 3" xfId="1803" xr:uid="{28BD3442-F1ED-4929-87A2-BF452BA2D15F}"/>
    <cellStyle name="Comma 2 26 3 2" xfId="4663" xr:uid="{5A0AD0CB-3961-4397-90E3-92D4C2C53351}"/>
    <cellStyle name="Comma 2 26 4" xfId="3247" xr:uid="{B2C45E58-1361-4E5B-841F-BD8F085102A5}"/>
    <cellStyle name="Comma 2 27" xfId="296" xr:uid="{00000000-0005-0000-0000-000029010000}"/>
    <cellStyle name="Comma 2 27 2" xfId="1017" xr:uid="{00000000-0005-0000-0000-00002A010000}"/>
    <cellStyle name="Comma 2 27 2 2" xfId="2465" xr:uid="{1347F590-64AF-4818-B2D3-F55839C47E49}"/>
    <cellStyle name="Comma 2 27 2 2 2" xfId="5321" xr:uid="{9508E786-A6C5-4F35-B25D-7F53A0C032D5}"/>
    <cellStyle name="Comma 2 27 2 3" xfId="3903" xr:uid="{AFD109C5-3F7F-4A32-9471-13267FC25578}"/>
    <cellStyle name="Comma 2 27 3" xfId="1819" xr:uid="{B05A3EC2-795D-48CB-A2DF-4CCCC127DC1F}"/>
    <cellStyle name="Comma 2 27 3 2" xfId="4679" xr:uid="{0D0E06F2-529E-42C2-A62A-52CAE49F8E23}"/>
    <cellStyle name="Comma 2 27 4" xfId="3263" xr:uid="{BB8A82AD-970E-4D9F-B9CB-564887391D09}"/>
    <cellStyle name="Comma 2 28" xfId="306" xr:uid="{00000000-0005-0000-0000-00002B010000}"/>
    <cellStyle name="Comma 2 28 2" xfId="1027" xr:uid="{00000000-0005-0000-0000-00002C010000}"/>
    <cellStyle name="Comma 2 28 2 2" xfId="2475" xr:uid="{55F5B9BF-7CBF-46DC-836A-79A94750879B}"/>
    <cellStyle name="Comma 2 28 2 2 2" xfId="5331" xr:uid="{45CC7DEE-0426-4D22-B3A3-24F1AA7F8347}"/>
    <cellStyle name="Comma 2 28 2 3" xfId="3913" xr:uid="{303ECB5F-8048-4D8B-9AB1-FCF5458BAFCD}"/>
    <cellStyle name="Comma 2 28 3" xfId="1829" xr:uid="{297B634A-42D9-41FA-9F74-989521BDD3B4}"/>
    <cellStyle name="Comma 2 28 3 2" xfId="4689" xr:uid="{150A00D8-96DF-4AA7-A65A-8A7D4A8E3DAC}"/>
    <cellStyle name="Comma 2 28 4" xfId="3273" xr:uid="{592505FC-F6F1-4025-BF83-F91B10AE929A}"/>
    <cellStyle name="Comma 2 29" xfId="319" xr:uid="{00000000-0005-0000-0000-00002D010000}"/>
    <cellStyle name="Comma 2 29 2" xfId="1040" xr:uid="{00000000-0005-0000-0000-00002E010000}"/>
    <cellStyle name="Comma 2 29 2 2" xfId="2488" xr:uid="{891729FE-1FAF-4AA9-92AE-DDBDA518DC6D}"/>
    <cellStyle name="Comma 2 29 2 2 2" xfId="5344" xr:uid="{BA029614-0A85-4685-AAA7-68F2C97D73FD}"/>
    <cellStyle name="Comma 2 29 2 3" xfId="3926" xr:uid="{AAD36F5D-07AA-4FD7-8B50-7460ED29C704}"/>
    <cellStyle name="Comma 2 29 3" xfId="1842" xr:uid="{D267078F-FA8B-49A0-A075-6452991C3CA9}"/>
    <cellStyle name="Comma 2 29 3 2" xfId="4702" xr:uid="{FAA7994A-A98E-44AE-9C5E-609F2A6AE8DC}"/>
    <cellStyle name="Comma 2 29 4" xfId="3286" xr:uid="{78FEB73D-2246-4DD6-8F9F-0B3FCC06180D}"/>
    <cellStyle name="Comma 2 3" xfId="4" xr:uid="{00000000-0005-0000-0000-00002F010000}"/>
    <cellStyle name="Comma 2 30" xfId="321" xr:uid="{00000000-0005-0000-0000-000030010000}"/>
    <cellStyle name="Comma 2 30 2" xfId="1042" xr:uid="{00000000-0005-0000-0000-000031010000}"/>
    <cellStyle name="Comma 2 30 2 2" xfId="2490" xr:uid="{B0ED7101-FE63-4AC2-A771-684CC8ECC39C}"/>
    <cellStyle name="Comma 2 30 2 2 2" xfId="5346" xr:uid="{C79BCCDF-DDC2-491C-9E69-EA4BE3A8D763}"/>
    <cellStyle name="Comma 2 30 2 3" xfId="3928" xr:uid="{46424FC7-7CA9-4374-8B8A-53DEC064D0A3}"/>
    <cellStyle name="Comma 2 30 3" xfId="1844" xr:uid="{2EB7B881-D292-4636-A677-A9C2C2E99256}"/>
    <cellStyle name="Comma 2 30 3 2" xfId="4704" xr:uid="{EB53101D-2C8B-44E4-ACA1-DECDDF52920B}"/>
    <cellStyle name="Comma 2 30 4" xfId="3288" xr:uid="{B777119B-FAE1-4B07-BBE6-D4A2955AB0E0}"/>
    <cellStyle name="Comma 2 31" xfId="336" xr:uid="{00000000-0005-0000-0000-000032010000}"/>
    <cellStyle name="Comma 2 31 2" xfId="1057" xr:uid="{00000000-0005-0000-0000-000033010000}"/>
    <cellStyle name="Comma 2 31 2 2" xfId="2505" xr:uid="{795B40AD-6E75-40CF-802C-4250FB440925}"/>
    <cellStyle name="Comma 2 31 2 2 2" xfId="5361" xr:uid="{4DCBF60D-8B26-457F-B89E-994AEF401681}"/>
    <cellStyle name="Comma 2 31 2 3" xfId="3943" xr:uid="{E9A3195D-F65D-40B4-B24B-F86DA1457500}"/>
    <cellStyle name="Comma 2 31 3" xfId="1859" xr:uid="{B138AF52-D884-4D75-9C5D-709D1F17CF41}"/>
    <cellStyle name="Comma 2 31 3 2" xfId="4719" xr:uid="{E1A3C977-9D52-46E2-9165-893FCC5626B2}"/>
    <cellStyle name="Comma 2 31 4" xfId="3303" xr:uid="{EB859A73-8C5D-44DE-AF9B-D7EAE421EB8A}"/>
    <cellStyle name="Comma 2 32" xfId="338" xr:uid="{00000000-0005-0000-0000-000034010000}"/>
    <cellStyle name="Comma 2 32 2" xfId="1059" xr:uid="{00000000-0005-0000-0000-000035010000}"/>
    <cellStyle name="Comma 2 32 2 2" xfId="2507" xr:uid="{ACC92445-63F3-4C2B-9BD3-3BFBD1A26D33}"/>
    <cellStyle name="Comma 2 32 2 2 2" xfId="5363" xr:uid="{71995B6B-AD3F-41BE-B2A2-45B5543AA2D4}"/>
    <cellStyle name="Comma 2 32 2 3" xfId="3945" xr:uid="{4EFA287F-DC4E-47CD-B8EC-4D8CED67F568}"/>
    <cellStyle name="Comma 2 32 3" xfId="1861" xr:uid="{9B687346-EB0E-4FBE-8526-FA06DA563407}"/>
    <cellStyle name="Comma 2 32 3 2" xfId="4721" xr:uid="{B5B460CA-5087-4DF7-8308-9E64730BC952}"/>
    <cellStyle name="Comma 2 32 4" xfId="3305" xr:uid="{91A1E92B-D816-4FA0-B92F-783A959F8A23}"/>
    <cellStyle name="Comma 2 33" xfId="349" xr:uid="{00000000-0005-0000-0000-000036010000}"/>
    <cellStyle name="Comma 2 33 2" xfId="1070" xr:uid="{00000000-0005-0000-0000-000037010000}"/>
    <cellStyle name="Comma 2 33 2 2" xfId="2518" xr:uid="{28091A83-A311-407B-928A-61DA1E9FAE63}"/>
    <cellStyle name="Comma 2 33 2 2 2" xfId="5374" xr:uid="{D81CABA6-F3B2-4B06-8EE2-0ADE6FEE6981}"/>
    <cellStyle name="Comma 2 33 2 3" xfId="3956" xr:uid="{C0F92E2C-0DA0-4BE0-A76B-4F4213A00569}"/>
    <cellStyle name="Comma 2 33 3" xfId="1872" xr:uid="{83A5A7F2-7FB2-4DC8-9607-57FF8784225D}"/>
    <cellStyle name="Comma 2 33 3 2" xfId="4732" xr:uid="{49E37F7E-AC7D-4C2E-BBE0-48FD975B9C48}"/>
    <cellStyle name="Comma 2 33 4" xfId="3316" xr:uid="{D80914EC-8284-41F1-8326-E22D2A460049}"/>
    <cellStyle name="Comma 2 34" xfId="353" xr:uid="{00000000-0005-0000-0000-000038010000}"/>
    <cellStyle name="Comma 2 34 2" xfId="1074" xr:uid="{00000000-0005-0000-0000-000039010000}"/>
    <cellStyle name="Comma 2 34 2 2" xfId="2522" xr:uid="{DC915239-8CA4-4B6F-80F7-A770CEC2C170}"/>
    <cellStyle name="Comma 2 34 2 2 2" xfId="5378" xr:uid="{2039D716-A9B9-4ADD-8C98-9EB60CB40108}"/>
    <cellStyle name="Comma 2 34 2 3" xfId="3960" xr:uid="{239F041F-BF9A-4814-9DC0-946F17943D49}"/>
    <cellStyle name="Comma 2 34 3" xfId="1876" xr:uid="{2D7D6758-D7ED-4E75-93C4-30C0B18F0EB8}"/>
    <cellStyle name="Comma 2 34 3 2" xfId="4736" xr:uid="{8A7FA5DA-26EA-4541-9864-119A4F6B0089}"/>
    <cellStyle name="Comma 2 34 4" xfId="3320" xr:uid="{9FE135BC-1959-4AD6-9675-046801B1245A}"/>
    <cellStyle name="Comma 2 35" xfId="361" xr:uid="{00000000-0005-0000-0000-00003A010000}"/>
    <cellStyle name="Comma 2 35 2" xfId="1082" xr:uid="{00000000-0005-0000-0000-00003B010000}"/>
    <cellStyle name="Comma 2 35 2 2" xfId="2530" xr:uid="{8C74ACDB-65C6-474A-9A7E-408BB427302D}"/>
    <cellStyle name="Comma 2 35 2 2 2" xfId="5386" xr:uid="{C3940D61-C6E4-40CF-A962-8413B873BE40}"/>
    <cellStyle name="Comma 2 35 2 3" xfId="3968" xr:uid="{3CC9A97C-A403-4579-B21A-7A34A55DD8AF}"/>
    <cellStyle name="Comma 2 35 3" xfId="1884" xr:uid="{DAF4C14C-9BBD-4FA6-BDD8-22DCA2A9F7C1}"/>
    <cellStyle name="Comma 2 35 3 2" xfId="4744" xr:uid="{3B18AF83-0371-481D-B30F-510F1F9647CD}"/>
    <cellStyle name="Comma 2 35 4" xfId="3328" xr:uid="{F365C364-376B-4B15-8D3E-D7C8B39221E2}"/>
    <cellStyle name="Comma 2 36" xfId="365" xr:uid="{00000000-0005-0000-0000-00003C010000}"/>
    <cellStyle name="Comma 2 36 2" xfId="1086" xr:uid="{00000000-0005-0000-0000-00003D010000}"/>
    <cellStyle name="Comma 2 36 2 2" xfId="2534" xr:uid="{F29CBDC6-4F52-40EB-9D49-6FB3526DA3BA}"/>
    <cellStyle name="Comma 2 36 2 2 2" xfId="5390" xr:uid="{63224DDD-C596-446B-9182-28D0C5033C04}"/>
    <cellStyle name="Comma 2 36 2 3" xfId="3972" xr:uid="{ADF0F59B-84BE-43AB-ABD4-957D3A4D905D}"/>
    <cellStyle name="Comma 2 36 3" xfId="1888" xr:uid="{F0F2D549-01D0-4A7B-8F18-89BA895B943F}"/>
    <cellStyle name="Comma 2 36 3 2" xfId="4748" xr:uid="{464607C0-2137-473F-A25C-8F8B70FD6A40}"/>
    <cellStyle name="Comma 2 36 4" xfId="3332" xr:uid="{B0445D77-1E37-4E26-8517-F2A0D9F9D658}"/>
    <cellStyle name="Comma 2 37" xfId="374" xr:uid="{00000000-0005-0000-0000-00003E010000}"/>
    <cellStyle name="Comma 2 37 2" xfId="1095" xr:uid="{00000000-0005-0000-0000-00003F010000}"/>
    <cellStyle name="Comma 2 37 2 2" xfId="2543" xr:uid="{C3C176F8-10EB-41FB-8F62-863547B7E1A4}"/>
    <cellStyle name="Comma 2 37 2 2 2" xfId="5399" xr:uid="{C325CA19-34B2-4AFB-BD2B-D1A9DED9BED0}"/>
    <cellStyle name="Comma 2 37 2 3" xfId="3981" xr:uid="{4A1BCA7E-E470-4A32-93A4-5DE63BF0451E}"/>
    <cellStyle name="Comma 2 37 3" xfId="1897" xr:uid="{980D73F0-8DF1-4B38-95A4-66A88AD3206B}"/>
    <cellStyle name="Comma 2 37 3 2" xfId="4757" xr:uid="{A0ABC861-EAAC-4478-A83D-BC34A8878A61}"/>
    <cellStyle name="Comma 2 37 4" xfId="3341" xr:uid="{C1C42BEA-23E6-4DF1-ACE3-3FAF195F9CB9}"/>
    <cellStyle name="Comma 2 38" xfId="377" xr:uid="{00000000-0005-0000-0000-000040010000}"/>
    <cellStyle name="Comma 2 38 2" xfId="1098" xr:uid="{00000000-0005-0000-0000-000041010000}"/>
    <cellStyle name="Comma 2 38 2 2" xfId="2546" xr:uid="{0101DC31-6FC6-487E-817F-A5BFA633E4BE}"/>
    <cellStyle name="Comma 2 38 2 2 2" xfId="5402" xr:uid="{A37FDBAC-B53A-42E9-A672-ED383FB0483B}"/>
    <cellStyle name="Comma 2 38 2 3" xfId="3984" xr:uid="{8556B0BC-7411-448B-83F8-F9B1BB1635F5}"/>
    <cellStyle name="Comma 2 38 3" xfId="1900" xr:uid="{1499C8A2-7C35-4D71-BE48-746FF9C7942B}"/>
    <cellStyle name="Comma 2 38 3 2" xfId="4760" xr:uid="{A47372BF-A41D-4DFC-9348-0C5724A16686}"/>
    <cellStyle name="Comma 2 38 4" xfId="3344" xr:uid="{D4597B2E-6740-4C5C-ABAB-DBC7AF546A5E}"/>
    <cellStyle name="Comma 2 39" xfId="386" xr:uid="{00000000-0005-0000-0000-000042010000}"/>
    <cellStyle name="Comma 2 39 2" xfId="1107" xr:uid="{00000000-0005-0000-0000-000043010000}"/>
    <cellStyle name="Comma 2 39 2 2" xfId="2555" xr:uid="{D22EDE3D-ED42-411F-BAB8-E62BC8B0E0A8}"/>
    <cellStyle name="Comma 2 39 2 2 2" xfId="5411" xr:uid="{1C153BEC-B569-4670-B6D7-A373A805666F}"/>
    <cellStyle name="Comma 2 39 2 3" xfId="3993" xr:uid="{5F74A060-7212-4DED-915F-0DC33C58625E}"/>
    <cellStyle name="Comma 2 39 3" xfId="1909" xr:uid="{0CC448E4-AE7E-4D4D-9552-C34854A2DE83}"/>
    <cellStyle name="Comma 2 39 3 2" xfId="4769" xr:uid="{21CD6D64-8706-4010-970F-A464DDCCB700}"/>
    <cellStyle name="Comma 2 39 4" xfId="3353" xr:uid="{886B2FEF-EE06-48C9-8BBF-EC709F61670D}"/>
    <cellStyle name="Comma 2 4" xfId="38" xr:uid="{00000000-0005-0000-0000-000044010000}"/>
    <cellStyle name="Comma 2 4 2" xfId="590" xr:uid="{00000000-0005-0000-0000-000045010000}"/>
    <cellStyle name="Comma 2 4 2 2" xfId="1308" xr:uid="{00000000-0005-0000-0000-000046010000}"/>
    <cellStyle name="Comma 2 4 2 2 2" xfId="2756" xr:uid="{A2D42DAA-7DB5-4C9A-AFC4-F2B17A263D5A}"/>
    <cellStyle name="Comma 2 4 2 2 2 2" xfId="5612" xr:uid="{A34AAE61-BB32-4681-97BC-78CD5FDB105C}"/>
    <cellStyle name="Comma 2 4 2 2 3" xfId="4194" xr:uid="{E06EE46E-3888-4AF4-BDC2-0550E97F1FCC}"/>
    <cellStyle name="Comma 2 4 2 2 4" xfId="5930" xr:uid="{6912B6DB-EB64-47F5-9DA0-9C5CD7A01287}"/>
    <cellStyle name="Comma 2 4 2 3" xfId="2111" xr:uid="{DD87DBF2-F100-43A3-9056-683AC0DB94A1}"/>
    <cellStyle name="Comma 2 4 2 3 2" xfId="4971" xr:uid="{6AFA05E3-3150-4B17-A901-57748F12B7DF}"/>
    <cellStyle name="Comma 2 4 2 4" xfId="3555" xr:uid="{9F4B2B7C-71A2-407D-8401-F48D3ABC8657}"/>
    <cellStyle name="Comma 2 4 3" xfId="620" xr:uid="{00000000-0005-0000-0000-000047010000}"/>
    <cellStyle name="Comma 2 4 3 2" xfId="624" xr:uid="{00000000-0005-0000-0000-000048010000}"/>
    <cellStyle name="Comma 2 4 3 2 2" xfId="1341" xr:uid="{00000000-0005-0000-0000-000049010000}"/>
    <cellStyle name="Comma 2 4 3 2 2 2" xfId="2789" xr:uid="{B66F6FAA-6D15-4D0D-8DA4-774C1B46A58C}"/>
    <cellStyle name="Comma 2 4 3 2 2 2 2" xfId="5645" xr:uid="{B4A7D62A-D963-4395-91F5-8593D25475F0}"/>
    <cellStyle name="Comma 2 4 3 2 2 3" xfId="4227" xr:uid="{CE4FB86D-57EB-4E29-BA82-CA06251B94EF}"/>
    <cellStyle name="Comma 2 4 3 2 3" xfId="2145" xr:uid="{4EEAE87E-DDA7-40BC-8739-55D8DCAE6AE5}"/>
    <cellStyle name="Comma 2 4 3 2 3 2" xfId="5005" xr:uid="{E9A87D4F-7BFE-4048-9CB0-85CC5266DD2B}"/>
    <cellStyle name="Comma 2 4 3 2 4" xfId="3589" xr:uid="{9B95F546-09E1-4B2C-BB40-348E52C367A0}"/>
    <cellStyle name="Comma 2 4 3 3" xfId="1337" xr:uid="{00000000-0005-0000-0000-00004A010000}"/>
    <cellStyle name="Comma 2 4 3 3 2" xfId="2785" xr:uid="{2489C594-4C5D-46B3-9480-F859BE2DFB4F}"/>
    <cellStyle name="Comma 2 4 3 3 2 2" xfId="5641" xr:uid="{57A5C21A-BF1E-4FC2-8209-B49553E82953}"/>
    <cellStyle name="Comma 2 4 3 3 3" xfId="4223" xr:uid="{05F9A2FB-2286-455D-9670-AC43145E75A8}"/>
    <cellStyle name="Comma 2 4 3 4" xfId="2141" xr:uid="{7EC7CAD6-F40B-441D-B9F4-757E7C36BDA5}"/>
    <cellStyle name="Comma 2 4 3 4 2" xfId="5001" xr:uid="{5313D1CC-E1A4-49C8-BC44-2E03A64A9EBA}"/>
    <cellStyle name="Comma 2 4 3 5" xfId="3585" xr:uid="{8D7D0874-7392-4332-9663-5EFADC0A2DF0}"/>
    <cellStyle name="Comma 2 4 4" xfId="628" xr:uid="{00000000-0005-0000-0000-00004B010000}"/>
    <cellStyle name="Comma 2 4 5" xfId="778" xr:uid="{00000000-0005-0000-0000-00004C010000}"/>
    <cellStyle name="Comma 2 4 5 2" xfId="2230" xr:uid="{A58184F1-F33B-438A-B8CA-D457C58AFE24}"/>
    <cellStyle name="Comma 2 4 5 2 2" xfId="5086" xr:uid="{615C9C92-D22F-4881-819B-96F38FA45109}"/>
    <cellStyle name="Comma 2 4 5 3" xfId="3668" xr:uid="{0CECD5C2-6C52-4035-8843-2E71D8B5046A}"/>
    <cellStyle name="Comma 2 4 6" xfId="1582" xr:uid="{2DE10F36-6B44-437B-AEC7-A51FB529E75D}"/>
    <cellStyle name="Comma 2 4 6 2" xfId="4442" xr:uid="{4976F330-C9C3-44F9-A248-51AAFDE203D6}"/>
    <cellStyle name="Comma 2 4 7" xfId="3027" xr:uid="{EADB55A5-7E44-497B-82D6-DDA8531FE182}"/>
    <cellStyle name="Comma 2 40" xfId="396" xr:uid="{00000000-0005-0000-0000-00004D010000}"/>
    <cellStyle name="Comma 2 40 2" xfId="1117" xr:uid="{00000000-0005-0000-0000-00004E010000}"/>
    <cellStyle name="Comma 2 40 2 2" xfId="2565" xr:uid="{CC0B34B7-8086-4323-B6BD-F33C575D63DF}"/>
    <cellStyle name="Comma 2 40 2 2 2" xfId="5421" xr:uid="{C64638B5-C3FC-4B69-AEB3-C010C0B2BC51}"/>
    <cellStyle name="Comma 2 40 2 3" xfId="4003" xr:uid="{12EE3280-9FDE-40C6-AB38-38F5D03628F9}"/>
    <cellStyle name="Comma 2 40 3" xfId="1919" xr:uid="{622CAA60-5DF1-4FEE-941A-1C7C1DA0AEF2}"/>
    <cellStyle name="Comma 2 40 3 2" xfId="4779" xr:uid="{53B4170D-A51A-4AD5-BF8F-5A8BFD829EAC}"/>
    <cellStyle name="Comma 2 40 4" xfId="3363" xr:uid="{0495E1CD-C339-4646-98C9-9A915F3232F5}"/>
    <cellStyle name="Comma 2 41" xfId="402" xr:uid="{00000000-0005-0000-0000-00004F010000}"/>
    <cellStyle name="Comma 2 41 2" xfId="1123" xr:uid="{00000000-0005-0000-0000-000050010000}"/>
    <cellStyle name="Comma 2 41 2 2" xfId="2571" xr:uid="{66E1FD87-AFBA-4F1E-9CED-1924B3123FA6}"/>
    <cellStyle name="Comma 2 41 2 2 2" xfId="5427" xr:uid="{BE55B6DE-0685-43D1-BC3C-341532B35B8B}"/>
    <cellStyle name="Comma 2 41 2 3" xfId="4009" xr:uid="{49264B0B-FFEB-4EA0-9FB7-4952AA6E25FF}"/>
    <cellStyle name="Comma 2 41 3" xfId="1925" xr:uid="{6BF60CD6-EF74-4AF1-807A-5AE470299CB1}"/>
    <cellStyle name="Comma 2 41 3 2" xfId="4785" xr:uid="{37F99816-C974-46AC-A33D-513483C57B1C}"/>
    <cellStyle name="Comma 2 41 4" xfId="3369" xr:uid="{6AED34B9-AD3E-4C72-B0A3-54B0E32827DF}"/>
    <cellStyle name="Comma 2 42" xfId="404" xr:uid="{00000000-0005-0000-0000-000051010000}"/>
    <cellStyle name="Comma 2 42 2" xfId="1125" xr:uid="{00000000-0005-0000-0000-000052010000}"/>
    <cellStyle name="Comma 2 42 2 2" xfId="2573" xr:uid="{68462046-2FAF-47C7-B4DC-F1C2381511A1}"/>
    <cellStyle name="Comma 2 42 2 2 2" xfId="5429" xr:uid="{62EECAF6-6739-470F-A547-C7F4A4F70CFC}"/>
    <cellStyle name="Comma 2 42 2 3" xfId="4011" xr:uid="{5144C2F1-C42D-4089-88A5-D715558B88E7}"/>
    <cellStyle name="Comma 2 42 3" xfId="1927" xr:uid="{D008CD6E-2B6C-4447-90A0-96C3917A762E}"/>
    <cellStyle name="Comma 2 42 3 2" xfId="4787" xr:uid="{5B4B770F-C709-4436-AA04-18863286825B}"/>
    <cellStyle name="Comma 2 42 4" xfId="3371" xr:uid="{E4627EFB-63F7-4951-B0B5-44D6539FCF08}"/>
    <cellStyle name="Comma 2 43" xfId="413" xr:uid="{00000000-0005-0000-0000-000053010000}"/>
    <cellStyle name="Comma 2 43 2" xfId="1134" xr:uid="{00000000-0005-0000-0000-000054010000}"/>
    <cellStyle name="Comma 2 43 2 2" xfId="2582" xr:uid="{3BC3C799-B7AE-46FE-985C-AD278A6B8732}"/>
    <cellStyle name="Comma 2 43 2 2 2" xfId="5438" xr:uid="{F9F0912C-0952-47DC-9338-2E9B74E02FB0}"/>
    <cellStyle name="Comma 2 43 2 3" xfId="4020" xr:uid="{C6A4CD1F-86EE-401A-AF53-85D7DE5C6886}"/>
    <cellStyle name="Comma 2 43 3" xfId="1936" xr:uid="{8E53940E-60D2-438B-A068-CE366F10FB6B}"/>
    <cellStyle name="Comma 2 43 3 2" xfId="4796" xr:uid="{1DAF11AF-78FA-45C8-8F79-016CDC9812B8}"/>
    <cellStyle name="Comma 2 43 4" xfId="3380" xr:uid="{5E52E6AA-C750-420D-9F29-2F0993560DD7}"/>
    <cellStyle name="Comma 2 44" xfId="417" xr:uid="{00000000-0005-0000-0000-000055010000}"/>
    <cellStyle name="Comma 2 44 2" xfId="1138" xr:uid="{00000000-0005-0000-0000-000056010000}"/>
    <cellStyle name="Comma 2 44 2 2" xfId="2586" xr:uid="{3E3428AA-00C7-447D-841F-232155AEF7CE}"/>
    <cellStyle name="Comma 2 44 2 2 2" xfId="5442" xr:uid="{D24022D8-B848-4FD6-B5D7-4B8E7A657A0A}"/>
    <cellStyle name="Comma 2 44 2 3" xfId="4024" xr:uid="{281139A1-B7D0-4110-8271-D5ED60F312EC}"/>
    <cellStyle name="Comma 2 44 3" xfId="1940" xr:uid="{974F6F62-2790-4156-AEED-E02D7C838362}"/>
    <cellStyle name="Comma 2 44 3 2" xfId="4800" xr:uid="{A2C1D02F-2CA6-45C6-98DD-9B2306B45570}"/>
    <cellStyle name="Comma 2 44 4" xfId="3384" xr:uid="{465848D7-BCA6-4AED-9C1A-81E5CFF02610}"/>
    <cellStyle name="Comma 2 45" xfId="427" xr:uid="{00000000-0005-0000-0000-000057010000}"/>
    <cellStyle name="Comma 2 45 2" xfId="1148" xr:uid="{00000000-0005-0000-0000-000058010000}"/>
    <cellStyle name="Comma 2 45 2 2" xfId="2596" xr:uid="{7125D47C-E096-496F-BF6A-5D25DB19301A}"/>
    <cellStyle name="Comma 2 45 2 2 2" xfId="5452" xr:uid="{654F8D71-9643-47B3-AAD2-3CBE6C56051E}"/>
    <cellStyle name="Comma 2 45 2 3" xfId="4034" xr:uid="{39A7E255-94E2-430C-BB14-5DA6EA6F9005}"/>
    <cellStyle name="Comma 2 45 3" xfId="1950" xr:uid="{C0FBB702-6CB3-40A6-81BD-F614CCE36580}"/>
    <cellStyle name="Comma 2 45 3 2" xfId="4810" xr:uid="{E5ABB17F-E3F7-4A8A-9C38-DEDDC32A465F}"/>
    <cellStyle name="Comma 2 45 4" xfId="3394" xr:uid="{FB0E4B2B-9BBC-4DB0-A0DE-A0467B44BFBB}"/>
    <cellStyle name="Comma 2 46" xfId="431" xr:uid="{00000000-0005-0000-0000-000059010000}"/>
    <cellStyle name="Comma 2 46 2" xfId="1152" xr:uid="{00000000-0005-0000-0000-00005A010000}"/>
    <cellStyle name="Comma 2 46 2 2" xfId="2600" xr:uid="{E13C4E6B-D79D-499C-974B-1BED332F09BA}"/>
    <cellStyle name="Comma 2 46 2 2 2" xfId="5456" xr:uid="{0D844C20-CB7D-4320-82F8-C880F8DB8DD3}"/>
    <cellStyle name="Comma 2 46 2 3" xfId="4038" xr:uid="{3E28DADB-8556-41B3-97BC-C33FCB08396D}"/>
    <cellStyle name="Comma 2 46 3" xfId="1954" xr:uid="{8C7DA9EA-1ADE-425C-8AD8-24BC1A672F02}"/>
    <cellStyle name="Comma 2 46 3 2" xfId="4814" xr:uid="{767FAC77-2B52-40A3-BE09-DC4A73FD5512}"/>
    <cellStyle name="Comma 2 46 4" xfId="3398" xr:uid="{4A3F901B-DED4-40C8-B026-99CADA6DC4B0}"/>
    <cellStyle name="Comma 2 47" xfId="434" xr:uid="{00000000-0005-0000-0000-00005B010000}"/>
    <cellStyle name="Comma 2 47 2" xfId="1155" xr:uid="{00000000-0005-0000-0000-00005C010000}"/>
    <cellStyle name="Comma 2 47 2 2" xfId="2603" xr:uid="{41706C4F-3671-42E9-90A4-5D20ECC522C0}"/>
    <cellStyle name="Comma 2 47 2 2 2" xfId="5459" xr:uid="{017C338C-5C1B-4197-B06B-38BBE55B392C}"/>
    <cellStyle name="Comma 2 47 2 3" xfId="4041" xr:uid="{B233844E-2F99-41E8-8631-7ED88123F62B}"/>
    <cellStyle name="Comma 2 47 3" xfId="1957" xr:uid="{151CB459-FB72-4FCC-AA25-AF1967DA7B0E}"/>
    <cellStyle name="Comma 2 47 3 2" xfId="4817" xr:uid="{B185BF1C-F393-4924-9606-5A368106EE96}"/>
    <cellStyle name="Comma 2 47 4" xfId="3401" xr:uid="{F70E039A-FF24-4308-9CB8-E2A7D1677AC9}"/>
    <cellStyle name="Comma 2 48" xfId="438" xr:uid="{00000000-0005-0000-0000-00005D010000}"/>
    <cellStyle name="Comma 2 48 2" xfId="1159" xr:uid="{00000000-0005-0000-0000-00005E010000}"/>
    <cellStyle name="Comma 2 48 2 2" xfId="2607" xr:uid="{AB8383E8-058F-4688-9CEE-A7E6CF9DA45A}"/>
    <cellStyle name="Comma 2 48 2 2 2" xfId="5463" xr:uid="{BF0E9D3F-A235-41A0-9ACC-D4DB6737215B}"/>
    <cellStyle name="Comma 2 48 2 3" xfId="4045" xr:uid="{C6046527-9FC1-4D84-A20D-A0519E9A56FC}"/>
    <cellStyle name="Comma 2 48 3" xfId="1961" xr:uid="{152E1C3B-F4E9-47AC-873E-04718D72ACA4}"/>
    <cellStyle name="Comma 2 48 3 2" xfId="4821" xr:uid="{E439FE14-C53A-44C1-B95B-9DAE24E571F4}"/>
    <cellStyle name="Comma 2 48 4" xfId="3405" xr:uid="{21326918-6227-4BE3-9440-4F098B75188E}"/>
    <cellStyle name="Comma 2 49" xfId="440" xr:uid="{00000000-0005-0000-0000-00005F010000}"/>
    <cellStyle name="Comma 2 49 2" xfId="1161" xr:uid="{00000000-0005-0000-0000-000060010000}"/>
    <cellStyle name="Comma 2 49 2 2" xfId="2609" xr:uid="{55D2B32E-E528-43DE-A394-19DEBF696244}"/>
    <cellStyle name="Comma 2 49 2 2 2" xfId="5465" xr:uid="{B0CF3265-2E13-4B17-94F8-DF95E0DA8E1D}"/>
    <cellStyle name="Comma 2 49 2 3" xfId="4047" xr:uid="{FAD9AAAB-F348-4148-9978-4EAA12222A38}"/>
    <cellStyle name="Comma 2 49 3" xfId="1963" xr:uid="{1786F03C-110C-49C0-83AC-50D135ED0346}"/>
    <cellStyle name="Comma 2 49 3 2" xfId="4823" xr:uid="{BF85F030-1F1B-4A84-B5AC-B8506C780F25}"/>
    <cellStyle name="Comma 2 49 4" xfId="3407" xr:uid="{61E90A50-8DE2-405B-94F2-B4D33F2F9FA6}"/>
    <cellStyle name="Comma 2 5" xfId="65" xr:uid="{00000000-0005-0000-0000-000061010000}"/>
    <cellStyle name="Comma 2 5 2" xfId="793" xr:uid="{00000000-0005-0000-0000-000062010000}"/>
    <cellStyle name="Comma 2 5 2 2" xfId="2244" xr:uid="{905AB354-3F3F-46E7-91FE-7FA54C7DCE9D}"/>
    <cellStyle name="Comma 2 5 2 2 2" xfId="5100" xr:uid="{EFAB73BB-59BD-4258-8172-AE2ECC500CCE}"/>
    <cellStyle name="Comma 2 5 2 3" xfId="3682" xr:uid="{F1E2CFAF-67FC-4D9C-904D-37ADA5DE7E66}"/>
    <cellStyle name="Comma 2 5 3" xfId="1596" xr:uid="{236A0CC9-BA5C-47E0-BB87-F8CCAB39E9E3}"/>
    <cellStyle name="Comma 2 5 3 2" xfId="4456" xr:uid="{51B03385-2DE1-4C5D-8236-F8EF89116BF3}"/>
    <cellStyle name="Comma 2 5 4" xfId="3041" xr:uid="{12355417-0A05-47BE-BB0F-C48AE7984074}"/>
    <cellStyle name="Comma 2 50" xfId="453" xr:uid="{00000000-0005-0000-0000-000063010000}"/>
    <cellStyle name="Comma 2 50 2" xfId="1173" xr:uid="{00000000-0005-0000-0000-000064010000}"/>
    <cellStyle name="Comma 2 50 2 2" xfId="2621" xr:uid="{91F58C94-7F67-441D-8AC3-481243B66951}"/>
    <cellStyle name="Comma 2 50 2 2 2" xfId="5477" xr:uid="{79812FA4-E8A2-42F5-AC2C-EABEC4AAC61B}"/>
    <cellStyle name="Comma 2 50 2 3" xfId="4059" xr:uid="{CFF0EDE4-CE55-489E-9087-21496AF48563}"/>
    <cellStyle name="Comma 2 50 3" xfId="1976" xr:uid="{BFFF67F9-3161-4D6B-942D-C1FABB9BF74D}"/>
    <cellStyle name="Comma 2 50 3 2" xfId="4836" xr:uid="{4D83AF37-3EAC-4ABF-99E1-76BE534794F8}"/>
    <cellStyle name="Comma 2 50 4" xfId="3420" xr:uid="{DAD09580-3676-4D73-B296-7D52BD365F23}"/>
    <cellStyle name="Comma 2 51" xfId="458" xr:uid="{00000000-0005-0000-0000-000065010000}"/>
    <cellStyle name="Comma 2 51 2" xfId="1178" xr:uid="{00000000-0005-0000-0000-000066010000}"/>
    <cellStyle name="Comma 2 51 2 2" xfId="2626" xr:uid="{4D95AE24-4D6A-42E0-B75C-C7C2CACA4F5E}"/>
    <cellStyle name="Comma 2 51 2 2 2" xfId="5482" xr:uid="{0D326BD8-AF96-48BD-86AB-DB476737ACCF}"/>
    <cellStyle name="Comma 2 51 2 3" xfId="4064" xr:uid="{19DBA4DC-CAAD-4060-88A2-2C1638D939A9}"/>
    <cellStyle name="Comma 2 51 3" xfId="1981" xr:uid="{6EA9B890-86BE-48FF-A009-268923C92E63}"/>
    <cellStyle name="Comma 2 51 3 2" xfId="4841" xr:uid="{2C4A6E9B-0B8F-4589-936A-FE00E0FF69C0}"/>
    <cellStyle name="Comma 2 51 4" xfId="3425" xr:uid="{711C4427-CE94-4D0C-9871-4087C1B6C0B2}"/>
    <cellStyle name="Comma 2 52" xfId="468" xr:uid="{00000000-0005-0000-0000-000067010000}"/>
    <cellStyle name="Comma 2 52 2" xfId="1188" xr:uid="{00000000-0005-0000-0000-000068010000}"/>
    <cellStyle name="Comma 2 52 2 2" xfId="2636" xr:uid="{8BCCD0D5-3A31-438C-A9DA-A7942CD15686}"/>
    <cellStyle name="Comma 2 52 2 2 2" xfId="5492" xr:uid="{767834F3-D8B0-44F5-A4CD-2429C26F1E38}"/>
    <cellStyle name="Comma 2 52 2 3" xfId="4074" xr:uid="{1AE5E115-E9A5-4575-B436-D073BF784522}"/>
    <cellStyle name="Comma 2 52 3" xfId="1991" xr:uid="{53CF83FA-1002-4994-8956-E5899F1E0EBE}"/>
    <cellStyle name="Comma 2 52 3 2" xfId="4851" xr:uid="{F5E0928E-CD8E-4E3C-9988-BDB4FEFA94A5}"/>
    <cellStyle name="Comma 2 52 4" xfId="3435" xr:uid="{F8745A6F-6901-434C-B53F-C7C492A4A6A2}"/>
    <cellStyle name="Comma 2 53" xfId="476" xr:uid="{00000000-0005-0000-0000-000069010000}"/>
    <cellStyle name="Comma 2 53 2" xfId="1196" xr:uid="{00000000-0005-0000-0000-00006A010000}"/>
    <cellStyle name="Comma 2 53 2 2" xfId="2644" xr:uid="{3BC432F8-BBDF-4578-BA98-041278C2EEE1}"/>
    <cellStyle name="Comma 2 53 2 2 2" xfId="5500" xr:uid="{DD9E9F4D-125D-4705-8C91-F4DA8BE247A0}"/>
    <cellStyle name="Comma 2 53 2 3" xfId="4082" xr:uid="{F3022A5D-D43C-453C-8B21-4DE938CF229A}"/>
    <cellStyle name="Comma 2 53 3" xfId="1999" xr:uid="{4A9F9CBC-C83B-4CA1-A162-4A9EA4C810B1}"/>
    <cellStyle name="Comma 2 53 3 2" xfId="4859" xr:uid="{95644418-C90C-4FE5-98AC-E31E22315A49}"/>
    <cellStyle name="Comma 2 53 4" xfId="3443" xr:uid="{693BB9B4-2EA7-4B3A-9434-F1D75C40CCC9}"/>
    <cellStyle name="Comma 2 54" xfId="483" xr:uid="{00000000-0005-0000-0000-00006B010000}"/>
    <cellStyle name="Comma 2 54 2" xfId="1203" xr:uid="{00000000-0005-0000-0000-00006C010000}"/>
    <cellStyle name="Comma 2 54 2 2" xfId="2651" xr:uid="{A322ACE4-7E2B-4A1F-B5DB-8A0875C7F2FA}"/>
    <cellStyle name="Comma 2 54 2 2 2" xfId="5507" xr:uid="{EDD0ACD7-463D-40A2-BF44-82611F6B5818}"/>
    <cellStyle name="Comma 2 54 2 3" xfId="4089" xr:uid="{6B8F8C68-EE36-4362-A0BB-FA4CCA13CD38}"/>
    <cellStyle name="Comma 2 54 3" xfId="2006" xr:uid="{A540C2E5-4EC4-4ECC-B0BE-1802314C8A28}"/>
    <cellStyle name="Comma 2 54 3 2" xfId="4866" xr:uid="{82C848F6-BD01-474B-A2D7-AE96000B1A62}"/>
    <cellStyle name="Comma 2 54 4" xfId="3450" xr:uid="{C1504556-2C52-4523-9EA3-474168BA5D91}"/>
    <cellStyle name="Comma 2 55" xfId="486" xr:uid="{00000000-0005-0000-0000-00006D010000}"/>
    <cellStyle name="Comma 2 55 2" xfId="1205" xr:uid="{00000000-0005-0000-0000-00006E010000}"/>
    <cellStyle name="Comma 2 55 2 2" xfId="2653" xr:uid="{BCB398AC-D649-4051-908C-470B5420535C}"/>
    <cellStyle name="Comma 2 55 2 2 2" xfId="5509" xr:uid="{14AD9C4C-4BF4-4B4D-A6A5-3CF9B457B9E7}"/>
    <cellStyle name="Comma 2 55 2 3" xfId="4091" xr:uid="{47DF3A39-ED49-43C9-B59D-5920E2DF9505}"/>
    <cellStyle name="Comma 2 55 3" xfId="2008" xr:uid="{CFC8CAE6-9EF2-4CE8-AB8B-1E87786471AA}"/>
    <cellStyle name="Comma 2 55 3 2" xfId="4868" xr:uid="{F71EF405-844C-4FEE-82A6-0F8F4802A65E}"/>
    <cellStyle name="Comma 2 55 4" xfId="3452" xr:uid="{9C39D8EF-6CC5-4548-8120-43213D1E02E3}"/>
    <cellStyle name="Comma 2 56" xfId="497" xr:uid="{00000000-0005-0000-0000-00006F010000}"/>
    <cellStyle name="Comma 2 56 2" xfId="1216" xr:uid="{00000000-0005-0000-0000-000070010000}"/>
    <cellStyle name="Comma 2 56 2 2" xfId="2664" xr:uid="{2AAA9817-B559-49B5-A557-CACA2EC45455}"/>
    <cellStyle name="Comma 2 56 2 2 2" xfId="5520" xr:uid="{C83AEB7B-4C22-4605-B334-B5381EE2E420}"/>
    <cellStyle name="Comma 2 56 2 3" xfId="4102" xr:uid="{E50937D1-CB2A-4D84-971A-CAED25730E41}"/>
    <cellStyle name="Comma 2 56 3" xfId="2019" xr:uid="{D2A09565-003A-4CE1-B2D5-589CAF214ADB}"/>
    <cellStyle name="Comma 2 56 3 2" xfId="4879" xr:uid="{6D974B63-4A0C-403A-B32E-35CAF56039AA}"/>
    <cellStyle name="Comma 2 56 4" xfId="3463" xr:uid="{C44F6503-4EB2-4AFD-BF65-AD2086D771EC}"/>
    <cellStyle name="Comma 2 57" xfId="502" xr:uid="{00000000-0005-0000-0000-000071010000}"/>
    <cellStyle name="Comma 2 57 2" xfId="1221" xr:uid="{00000000-0005-0000-0000-000072010000}"/>
    <cellStyle name="Comma 2 57 2 2" xfId="2669" xr:uid="{2BCFF89D-8182-463A-BAEB-5A07AA1A384D}"/>
    <cellStyle name="Comma 2 57 2 2 2" xfId="5525" xr:uid="{A4021046-3D32-4E28-976D-342C16F18AAE}"/>
    <cellStyle name="Comma 2 57 2 3" xfId="4107" xr:uid="{7E8A3131-31E4-4A91-8269-00586478E8FC}"/>
    <cellStyle name="Comma 2 57 3" xfId="2024" xr:uid="{6817F96C-404B-41AB-8A69-ABDC616DA47A}"/>
    <cellStyle name="Comma 2 57 3 2" xfId="4884" xr:uid="{9E8188B5-5C4D-483D-844A-471306626DA5}"/>
    <cellStyle name="Comma 2 57 4" xfId="3468" xr:uid="{E4361089-D46F-4F08-8944-E57F1B4E88D8}"/>
    <cellStyle name="Comma 2 58" xfId="508" xr:uid="{00000000-0005-0000-0000-000073010000}"/>
    <cellStyle name="Comma 2 58 2" xfId="1227" xr:uid="{00000000-0005-0000-0000-000074010000}"/>
    <cellStyle name="Comma 2 58 2 2" xfId="2675" xr:uid="{D877E409-272E-45AA-9C4C-5EC207256386}"/>
    <cellStyle name="Comma 2 58 2 2 2" xfId="5531" xr:uid="{ED51A6F9-93C6-4256-A521-6116AA215056}"/>
    <cellStyle name="Comma 2 58 2 3" xfId="4113" xr:uid="{6BEC3D53-9CAC-4869-89E1-53F13C3F221B}"/>
    <cellStyle name="Comma 2 58 3" xfId="2030" xr:uid="{31334220-2857-404A-A330-5911BEE9278C}"/>
    <cellStyle name="Comma 2 58 3 2" xfId="4890" xr:uid="{83C0C511-C77A-4D7B-8E29-AE39B351B68D}"/>
    <cellStyle name="Comma 2 58 4" xfId="3474" xr:uid="{C35B0D28-F327-4384-A64A-24996FAAC0AC}"/>
    <cellStyle name="Comma 2 59" xfId="512" xr:uid="{00000000-0005-0000-0000-000075010000}"/>
    <cellStyle name="Comma 2 59 2" xfId="1231" xr:uid="{00000000-0005-0000-0000-000076010000}"/>
    <cellStyle name="Comma 2 59 2 2" xfId="2679" xr:uid="{84279127-9399-4B00-BA75-A756BCF5E345}"/>
    <cellStyle name="Comma 2 59 2 2 2" xfId="5535" xr:uid="{380E09D7-E766-4AEB-A0BF-9180CBFEDC07}"/>
    <cellStyle name="Comma 2 59 2 3" xfId="4117" xr:uid="{7522932B-F1AB-4095-953C-0141A79D1F3A}"/>
    <cellStyle name="Comma 2 59 3" xfId="2034" xr:uid="{768ED36A-8863-473C-B2AF-A620C0FB6F7D}"/>
    <cellStyle name="Comma 2 59 3 2" xfId="4894" xr:uid="{E687F5D0-9712-4A4A-9FAC-764225EE0489}"/>
    <cellStyle name="Comma 2 59 4" xfId="3478" xr:uid="{961BBEA4-2D8D-4082-B395-F298BBE01C2E}"/>
    <cellStyle name="Comma 2 6" xfId="78" xr:uid="{00000000-0005-0000-0000-000077010000}"/>
    <cellStyle name="Comma 2 6 2" xfId="804" xr:uid="{00000000-0005-0000-0000-000078010000}"/>
    <cellStyle name="Comma 2 6 2 2" xfId="2255" xr:uid="{14587792-998C-4B4F-8366-D588A0A5896B}"/>
    <cellStyle name="Comma 2 6 2 2 2" xfId="5111" xr:uid="{A74FEE3C-DCFD-4E3E-A839-868767C661FF}"/>
    <cellStyle name="Comma 2 6 2 3" xfId="3693" xr:uid="{30C8E784-DE58-473E-8CE9-5B113157FC9C}"/>
    <cellStyle name="Comma 2 6 3" xfId="1608" xr:uid="{D575945B-430C-4892-A188-632E0BF538EA}"/>
    <cellStyle name="Comma 2 6 3 2" xfId="4468" xr:uid="{2F6B73A4-3A0B-466B-A059-A4E8B3C5EF06}"/>
    <cellStyle name="Comma 2 6 4" xfId="3052" xr:uid="{2B6A68FB-36BF-43D2-9AAD-D1615D5C8F61}"/>
    <cellStyle name="Comma 2 60" xfId="520" xr:uid="{00000000-0005-0000-0000-000079010000}"/>
    <cellStyle name="Comma 2 60 2" xfId="1239" xr:uid="{00000000-0005-0000-0000-00007A010000}"/>
    <cellStyle name="Comma 2 60 2 2" xfId="2687" xr:uid="{7D9D8FD1-9302-470A-ADEA-7A63A64B0AE4}"/>
    <cellStyle name="Comma 2 60 2 2 2" xfId="5543" xr:uid="{44692A12-7DE1-4E95-88BD-D29487ABC6F6}"/>
    <cellStyle name="Comma 2 60 2 3" xfId="4125" xr:uid="{3D89B9B6-D93A-4523-B6AB-819690595582}"/>
    <cellStyle name="Comma 2 60 3" xfId="2042" xr:uid="{4A93D3D5-9C04-4BB2-A289-B5E1E3CDF496}"/>
    <cellStyle name="Comma 2 60 3 2" xfId="4902" xr:uid="{5C192B31-4F77-4EEC-AF0C-A33877212092}"/>
    <cellStyle name="Comma 2 60 4" xfId="3486" xr:uid="{62089767-6377-4F2E-A22A-4252E36F0B74}"/>
    <cellStyle name="Comma 2 61" xfId="525" xr:uid="{00000000-0005-0000-0000-00007B010000}"/>
    <cellStyle name="Comma 2 61 2" xfId="1244" xr:uid="{00000000-0005-0000-0000-00007C010000}"/>
    <cellStyle name="Comma 2 61 2 2" xfId="2692" xr:uid="{27A7DE5E-7DD4-4B99-98E6-AB28F1B336A2}"/>
    <cellStyle name="Comma 2 61 2 2 2" xfId="5548" xr:uid="{63980B98-F093-41B2-A86A-DF5C71178D84}"/>
    <cellStyle name="Comma 2 61 2 3" xfId="4130" xr:uid="{0CAAB612-B338-4E4B-A2DA-0B28F99D1778}"/>
    <cellStyle name="Comma 2 61 3" xfId="2047" xr:uid="{02FF8619-1BE7-4460-A459-CE81704CAFC5}"/>
    <cellStyle name="Comma 2 61 3 2" xfId="4907" xr:uid="{56F6FC1E-62B6-4478-B4E2-8C335693BDF3}"/>
    <cellStyle name="Comma 2 61 4" xfId="3491" xr:uid="{B7CC1CC0-45F3-4FB8-BA73-CCB1D63CB43B}"/>
    <cellStyle name="Comma 2 62" xfId="531" xr:uid="{00000000-0005-0000-0000-00007D010000}"/>
    <cellStyle name="Comma 2 62 2" xfId="1250" xr:uid="{00000000-0005-0000-0000-00007E010000}"/>
    <cellStyle name="Comma 2 62 2 2" xfId="2698" xr:uid="{E252549A-0ED2-4AEB-A863-4705925CF03C}"/>
    <cellStyle name="Comma 2 62 2 2 2" xfId="5554" xr:uid="{4406D96E-5E51-419F-9028-2A294631CA2F}"/>
    <cellStyle name="Comma 2 62 2 3" xfId="4136" xr:uid="{646C897A-2028-42FC-9BFF-16A1E15411CB}"/>
    <cellStyle name="Comma 2 62 3" xfId="2053" xr:uid="{BFF0D8B4-10D6-4A41-BF91-75086B9DD929}"/>
    <cellStyle name="Comma 2 62 3 2" xfId="4913" xr:uid="{93911FA1-93BC-4E51-AC5C-CDE1DA0BEDBB}"/>
    <cellStyle name="Comma 2 62 4" xfId="3497" xr:uid="{B3685C2C-7320-4388-93BB-C50F666D96DF}"/>
    <cellStyle name="Comma 2 63" xfId="535" xr:uid="{00000000-0005-0000-0000-00007F010000}"/>
    <cellStyle name="Comma 2 63 2" xfId="1254" xr:uid="{00000000-0005-0000-0000-000080010000}"/>
    <cellStyle name="Comma 2 63 2 2" xfId="2702" xr:uid="{83CB3F39-1D3B-4ED6-B949-5CB3CBCCF36A}"/>
    <cellStyle name="Comma 2 63 2 2 2" xfId="5558" xr:uid="{4E63A25B-A575-4056-834D-CE6737001078}"/>
    <cellStyle name="Comma 2 63 2 3" xfId="4140" xr:uid="{55605149-4020-454E-9AD6-4C8DF2D951DF}"/>
    <cellStyle name="Comma 2 63 3" xfId="2057" xr:uid="{AA66D0F6-7AD8-4222-A2BC-3C1E517B8529}"/>
    <cellStyle name="Comma 2 63 3 2" xfId="4917" xr:uid="{48BD3FA1-4A1E-42A0-8A05-3FBF65204AE4}"/>
    <cellStyle name="Comma 2 63 4" xfId="3501" xr:uid="{F9E2470A-63DE-456D-A02C-1635A9861E4F}"/>
    <cellStyle name="Comma 2 64" xfId="539" xr:uid="{00000000-0005-0000-0000-000081010000}"/>
    <cellStyle name="Comma 2 64 2" xfId="1258" xr:uid="{00000000-0005-0000-0000-000082010000}"/>
    <cellStyle name="Comma 2 64 2 2" xfId="2706" xr:uid="{965CB9E1-BADB-4A48-ADB9-25CEDD99687E}"/>
    <cellStyle name="Comma 2 64 2 2 2" xfId="5562" xr:uid="{8142B171-FDEC-4849-B463-9D11C0FF7DBC}"/>
    <cellStyle name="Comma 2 64 2 3" xfId="4144" xr:uid="{FB7BDB51-F30B-4002-9992-7BC67533B162}"/>
    <cellStyle name="Comma 2 64 3" xfId="2061" xr:uid="{40023DD1-8423-4114-B38F-9BC59F5C187F}"/>
    <cellStyle name="Comma 2 64 3 2" xfId="4921" xr:uid="{D87AAAF0-87D0-47F8-835D-960E8852EAD1}"/>
    <cellStyle name="Comma 2 64 4" xfId="3505" xr:uid="{42C63BB9-592F-41EB-9D2C-E881EA3FA0D3}"/>
    <cellStyle name="Comma 2 65" xfId="547" xr:uid="{00000000-0005-0000-0000-000083010000}"/>
    <cellStyle name="Comma 2 65 2" xfId="1266" xr:uid="{00000000-0005-0000-0000-000084010000}"/>
    <cellStyle name="Comma 2 65 2 2" xfId="2714" xr:uid="{C183417C-215D-440D-AC38-40A73BF72FFE}"/>
    <cellStyle name="Comma 2 65 2 2 2" xfId="5570" xr:uid="{2B72C051-72F8-4422-AE8C-E739ABCA02D4}"/>
    <cellStyle name="Comma 2 65 2 3" xfId="4152" xr:uid="{C1D51F3B-B572-4500-8B9D-264ECD0132B9}"/>
    <cellStyle name="Comma 2 65 3" xfId="2069" xr:uid="{9C3798CB-8294-4E09-B5D5-1398D43BA384}"/>
    <cellStyle name="Comma 2 65 3 2" xfId="4929" xr:uid="{C34B4A3A-AC8D-4040-8149-4119E3F4A65E}"/>
    <cellStyle name="Comma 2 65 4" xfId="3513" xr:uid="{680D207F-54C1-486B-996C-78EEC2E5211E}"/>
    <cellStyle name="Comma 2 66" xfId="549" xr:uid="{00000000-0005-0000-0000-000085010000}"/>
    <cellStyle name="Comma 2 66 2" xfId="1268" xr:uid="{00000000-0005-0000-0000-000086010000}"/>
    <cellStyle name="Comma 2 66 2 2" xfId="2716" xr:uid="{DC294C5E-88D8-4885-B1EA-C8D4A91F9BE8}"/>
    <cellStyle name="Comma 2 66 2 2 2" xfId="5572" xr:uid="{C47F5F53-5DDF-4F89-92D1-EDE334C03931}"/>
    <cellStyle name="Comma 2 66 2 3" xfId="4154" xr:uid="{1ADB4E6A-EFA8-4ECA-B591-56DDA966258B}"/>
    <cellStyle name="Comma 2 66 3" xfId="2071" xr:uid="{77FBFCFB-3496-4FD8-94BB-86C8A169EED0}"/>
    <cellStyle name="Comma 2 66 3 2" xfId="4931" xr:uid="{5F9ED97C-E11A-42C5-B234-849D17783F58}"/>
    <cellStyle name="Comma 2 66 4" xfId="3515" xr:uid="{FE597CF2-C379-495E-ADDC-674B9EC93007}"/>
    <cellStyle name="Comma 2 67" xfId="565" xr:uid="{00000000-0005-0000-0000-000087010000}"/>
    <cellStyle name="Comma 2 67 2" xfId="1284" xr:uid="{00000000-0005-0000-0000-000088010000}"/>
    <cellStyle name="Comma 2 67 2 2" xfId="2732" xr:uid="{989A55A5-FEBF-4649-B94D-66856C9DDA42}"/>
    <cellStyle name="Comma 2 67 2 2 2" xfId="5588" xr:uid="{E0462271-A4C2-4776-AE21-BBF3B82FD263}"/>
    <cellStyle name="Comma 2 67 2 3" xfId="4170" xr:uid="{8EDAD296-8D3B-459B-A539-5B314BC3CEA3}"/>
    <cellStyle name="Comma 2 67 3" xfId="2087" xr:uid="{0518211A-6FE9-4656-903D-8FE6D1FF7DE5}"/>
    <cellStyle name="Comma 2 67 3 2" xfId="4947" xr:uid="{56A029C9-6F5A-4484-9821-86B081FFB6AF}"/>
    <cellStyle name="Comma 2 67 4" xfId="3531" xr:uid="{70547BA6-92FD-428D-AE39-DA77A389A27D}"/>
    <cellStyle name="Comma 2 68" xfId="570" xr:uid="{00000000-0005-0000-0000-000089010000}"/>
    <cellStyle name="Comma 2 68 2" xfId="1289" xr:uid="{00000000-0005-0000-0000-00008A010000}"/>
    <cellStyle name="Comma 2 68 2 2" xfId="2737" xr:uid="{E28C5285-E5BE-49E9-99C4-7B24F0CA6B90}"/>
    <cellStyle name="Comma 2 68 2 2 2" xfId="5593" xr:uid="{E9234942-5647-48AE-A33C-DEC98E8B3C54}"/>
    <cellStyle name="Comma 2 68 2 3" xfId="4175" xr:uid="{20806328-91A5-4217-84F4-E1F8F9A46E42}"/>
    <cellStyle name="Comma 2 68 3" xfId="2092" xr:uid="{7B6BB819-BABB-4B5B-B5D6-D8D3D3DB8F92}"/>
    <cellStyle name="Comma 2 68 3 2" xfId="4952" xr:uid="{08D485A5-E02B-4D12-BFE1-A8722C30743F}"/>
    <cellStyle name="Comma 2 68 4" xfId="3536" xr:uid="{82F890C2-1550-4422-8CFF-9C826457269C}"/>
    <cellStyle name="Comma 2 69" xfId="579" xr:uid="{00000000-0005-0000-0000-00008B010000}"/>
    <cellStyle name="Comma 2 69 2" xfId="1298" xr:uid="{00000000-0005-0000-0000-00008C010000}"/>
    <cellStyle name="Comma 2 69 2 2" xfId="2746" xr:uid="{6E711B88-3B54-4EF3-9452-F9BD1B7C382D}"/>
    <cellStyle name="Comma 2 69 2 2 2" xfId="5602" xr:uid="{309B3523-E2FE-4AFE-9D87-BCDED53C45E5}"/>
    <cellStyle name="Comma 2 69 2 3" xfId="4184" xr:uid="{255D6428-6724-4FE4-8008-7C3D8F06C8CE}"/>
    <cellStyle name="Comma 2 69 3" xfId="2101" xr:uid="{90510297-12F3-4190-9236-8B7FBBC6ABB7}"/>
    <cellStyle name="Comma 2 69 3 2" xfId="4961" xr:uid="{D4564CD9-1031-48D1-94E7-6D8130EF17E7}"/>
    <cellStyle name="Comma 2 69 4" xfId="3545" xr:uid="{D3550097-F9EE-4D33-A3A0-358A1B31DB37}"/>
    <cellStyle name="Comma 2 7" xfId="82" xr:uid="{00000000-0005-0000-0000-00008D010000}"/>
    <cellStyle name="Comma 2 7 2" xfId="808" xr:uid="{00000000-0005-0000-0000-00008E010000}"/>
    <cellStyle name="Comma 2 7 2 2" xfId="2259" xr:uid="{2752CB49-8D0A-4DCF-8892-EDAFEB9FC8DA}"/>
    <cellStyle name="Comma 2 7 2 2 2" xfId="5115" xr:uid="{0BAC9DE4-5842-4022-B1DD-172B6685C81E}"/>
    <cellStyle name="Comma 2 7 2 3" xfId="3697" xr:uid="{7DD7C709-B2F5-4030-A15F-2F14E7DD203C}"/>
    <cellStyle name="Comma 2 7 3" xfId="1612" xr:uid="{F98A9570-ADC1-4BA4-838D-066125C729F6}"/>
    <cellStyle name="Comma 2 7 3 2" xfId="4472" xr:uid="{1A688835-1574-4F32-B949-37002F0F192E}"/>
    <cellStyle name="Comma 2 7 4" xfId="3056" xr:uid="{4CC4FE60-F4E2-4FAF-B4C1-84DD3E0AD9AA}"/>
    <cellStyle name="Comma 2 70" xfId="582" xr:uid="{00000000-0005-0000-0000-00008F010000}"/>
    <cellStyle name="Comma 2 70 2" xfId="1301" xr:uid="{00000000-0005-0000-0000-000090010000}"/>
    <cellStyle name="Comma 2 70 2 2" xfId="2749" xr:uid="{0C905EB3-0264-4367-A0C6-AF9F446369E0}"/>
    <cellStyle name="Comma 2 70 2 2 2" xfId="5605" xr:uid="{A4FB72D2-E259-42A0-8617-69927A6BD72A}"/>
    <cellStyle name="Comma 2 70 2 3" xfId="4187" xr:uid="{F88A279E-036B-44D9-BA0E-C7ABDE31B0D9}"/>
    <cellStyle name="Comma 2 70 3" xfId="2104" xr:uid="{CFA491D9-DF39-46EC-8189-610917528816}"/>
    <cellStyle name="Comma 2 70 3 2" xfId="4964" xr:uid="{3A97B472-C79C-4FAE-9529-7E6121F96956}"/>
    <cellStyle name="Comma 2 70 4" xfId="3548" xr:uid="{1D6F7D1A-3F24-4D07-A176-83AE0ECE98B5}"/>
    <cellStyle name="Comma 2 71" xfId="584" xr:uid="{00000000-0005-0000-0000-000091010000}"/>
    <cellStyle name="Comma 2 71 2" xfId="1303" xr:uid="{00000000-0005-0000-0000-000092010000}"/>
    <cellStyle name="Comma 2 71 2 2" xfId="2751" xr:uid="{B9F2041C-F08C-49DB-A369-4578BE5E1CDA}"/>
    <cellStyle name="Comma 2 71 2 2 2" xfId="5607" xr:uid="{88142636-1A66-46D8-B1FD-1193D706109A}"/>
    <cellStyle name="Comma 2 71 2 3" xfId="4189" xr:uid="{DD1C4FF4-C619-4068-BDDD-6011A0FD49AC}"/>
    <cellStyle name="Comma 2 71 3" xfId="2106" xr:uid="{C218E7D2-8C39-43D2-B24A-BCF6F0D6C8B7}"/>
    <cellStyle name="Comma 2 71 3 2" xfId="4966" xr:uid="{F789FE0C-980C-46FE-BD33-DBFA8B1D8BC8}"/>
    <cellStyle name="Comma 2 71 4" xfId="3550" xr:uid="{4BD019A3-28FA-4776-A503-87A88CE135D7}"/>
    <cellStyle name="Comma 2 72" xfId="603" xr:uid="{00000000-0005-0000-0000-000093010000}"/>
    <cellStyle name="Comma 2 72 2" xfId="1321" xr:uid="{00000000-0005-0000-0000-000094010000}"/>
    <cellStyle name="Comma 2 72 2 2" xfId="2769" xr:uid="{81C9430C-C6DA-4FD5-BC62-D701EB3E8773}"/>
    <cellStyle name="Comma 2 72 2 2 2" xfId="5625" xr:uid="{7A2F7085-264F-4863-88F9-09A9412B9BC5}"/>
    <cellStyle name="Comma 2 72 2 3" xfId="4207" xr:uid="{901E45AB-CB55-4601-BDE4-0A8B53975459}"/>
    <cellStyle name="Comma 2 72 3" xfId="2124" xr:uid="{B5B5E062-ED38-45E1-9FE1-56B79CB8CC8B}"/>
    <cellStyle name="Comma 2 72 3 2" xfId="4984" xr:uid="{C73730AD-9E8F-4157-82EF-65E13F0CF547}"/>
    <cellStyle name="Comma 2 72 4" xfId="3568" xr:uid="{908542B9-63E8-4E2E-903C-ED1850DD6CE4}"/>
    <cellStyle name="Comma 2 73" xfId="609" xr:uid="{00000000-0005-0000-0000-000095010000}"/>
    <cellStyle name="Comma 2 73 2" xfId="1327" xr:uid="{00000000-0005-0000-0000-000096010000}"/>
    <cellStyle name="Comma 2 73 2 2" xfId="2775" xr:uid="{91CAE655-E35A-4102-856E-01600CCEE76B}"/>
    <cellStyle name="Comma 2 73 2 2 2" xfId="5631" xr:uid="{DA344A70-6985-46C3-B27C-67D23BDA282B}"/>
    <cellStyle name="Comma 2 73 2 3" xfId="4213" xr:uid="{15F79AE1-AFC0-4BE3-AF99-928AB245E08B}"/>
    <cellStyle name="Comma 2 73 3" xfId="2130" xr:uid="{42AF897E-CBF9-40AA-B34F-580BE0B0549D}"/>
    <cellStyle name="Comma 2 73 3 2" xfId="4990" xr:uid="{C3370664-01AE-422C-86B6-D0630AD4515A}"/>
    <cellStyle name="Comma 2 73 4" xfId="3574" xr:uid="{3DF507C8-46F6-43EF-9FDC-31B02EAF7343}"/>
    <cellStyle name="Comma 2 74" xfId="673" xr:uid="{00000000-0005-0000-0000-000097010000}"/>
    <cellStyle name="Comma 2 74 2" xfId="1370" xr:uid="{00000000-0005-0000-0000-000098010000}"/>
    <cellStyle name="Comma 2 74 2 2" xfId="2818" xr:uid="{7A9C25A8-342D-4C2C-9AB0-563F45B2A189}"/>
    <cellStyle name="Comma 2 74 2 2 2" xfId="5673" xr:uid="{F656F6ED-7637-40F0-A7C1-5E5278C23302}"/>
    <cellStyle name="Comma 2 74 2 3" xfId="4255" xr:uid="{102FAF7E-2A60-42AF-982E-AFB414430AE8}"/>
    <cellStyle name="Comma 2 74 3" xfId="2174" xr:uid="{2BAB5070-097C-42A6-86AA-252A6D06B025}"/>
    <cellStyle name="Comma 2 74 3 2" xfId="5034" xr:uid="{2CFF5871-CEB6-4865-A6CB-0442E2A8B395}"/>
    <cellStyle name="Comma 2 74 4" xfId="3618" xr:uid="{FB2502A9-A3DC-4916-AF4E-F5E7CC7E516A}"/>
    <cellStyle name="Comma 2 75" xfId="722" xr:uid="{00000000-0005-0000-0000-000099010000}"/>
    <cellStyle name="Comma 2 75 2" xfId="1401" xr:uid="{00000000-0005-0000-0000-00009A010000}"/>
    <cellStyle name="Comma 2 75 2 2" xfId="2848" xr:uid="{1FE0B3FB-3EDE-4750-9315-89193D9B0AC2}"/>
    <cellStyle name="Comma 2 75 2 2 2" xfId="5703" xr:uid="{DDD70E8A-23C5-41B3-BDF2-3F06EFD46547}"/>
    <cellStyle name="Comma 2 75 2 3" xfId="4285" xr:uid="{8D7DE33B-E2BB-4D20-8F4A-B3C3709338A2}"/>
    <cellStyle name="Comma 2 75 3" xfId="2208" xr:uid="{15303B7D-30E8-4CEA-9058-69A36E3B6EE8}"/>
    <cellStyle name="Comma 2 75 3 2" xfId="5064" xr:uid="{7E91A6A6-2AFF-446D-A6C8-6450655CC279}"/>
    <cellStyle name="Comma 2 75 4" xfId="3648" xr:uid="{F7CAF45F-D048-4528-9ED5-AA2BD80B0EF3}"/>
    <cellStyle name="Comma 2 76" xfId="5999" xr:uid="{9BA8F430-83A5-402B-96B2-68AA83445AAA}"/>
    <cellStyle name="Comma 2 8" xfId="97" xr:uid="{00000000-0005-0000-0000-00009B010000}"/>
    <cellStyle name="Comma 2 8 2" xfId="823" xr:uid="{00000000-0005-0000-0000-00009C010000}"/>
    <cellStyle name="Comma 2 8 2 2" xfId="2273" xr:uid="{62382011-CCE5-4788-A502-7ACC2EA4DD83}"/>
    <cellStyle name="Comma 2 8 2 2 2" xfId="5129" xr:uid="{7579D985-1F05-49B1-A946-ACDACF3FBE68}"/>
    <cellStyle name="Comma 2 8 2 3" xfId="3711" xr:uid="{3E86009E-4C9D-4D14-BF48-562F5C3E2E61}"/>
    <cellStyle name="Comma 2 8 3" xfId="1626" xr:uid="{9A9350D7-FAF7-4440-AC8D-29D187D52F6C}"/>
    <cellStyle name="Comma 2 8 3 2" xfId="4486" xr:uid="{DC7D6A9E-F94A-4BD5-A5A5-DCAFC32BB256}"/>
    <cellStyle name="Comma 2 8 4" xfId="3070" xr:uid="{331D82FA-E8EB-4687-BFDD-ABE1F24545A7}"/>
    <cellStyle name="Comma 2 9" xfId="106" xr:uid="{00000000-0005-0000-0000-00009D010000}"/>
    <cellStyle name="Comma 2 9 2" xfId="832" xr:uid="{00000000-0005-0000-0000-00009E010000}"/>
    <cellStyle name="Comma 2 9 2 2" xfId="2281" xr:uid="{FE735891-BDC0-485B-AC64-1F766906ED16}"/>
    <cellStyle name="Comma 2 9 2 2 2" xfId="5137" xr:uid="{3B5323BE-8CEE-4DE7-A381-DF7AB61849C0}"/>
    <cellStyle name="Comma 2 9 2 3" xfId="3719" xr:uid="{F2D4103B-22E6-4DFC-99E0-CB5EF8ADA5D4}"/>
    <cellStyle name="Comma 2 9 3" xfId="1634" xr:uid="{BB51A67C-4B0F-4733-A30D-AFE1D65F2795}"/>
    <cellStyle name="Comma 2 9 3 2" xfId="4494" xr:uid="{12FA9431-81CE-4610-ADB3-FF957C506B6F}"/>
    <cellStyle name="Comma 2 9 4" xfId="3078" xr:uid="{D5D0D10C-B393-4E07-92B0-93FBA7AFB02F}"/>
    <cellStyle name="Comma 20" xfId="104" xr:uid="{00000000-0005-0000-0000-00009F010000}"/>
    <cellStyle name="Comma 20 2" xfId="830" xr:uid="{00000000-0005-0000-0000-0000A0010000}"/>
    <cellStyle name="Comma 20 2 2" xfId="2279" xr:uid="{882018A3-BF4B-437C-93C0-622F0961CC7E}"/>
    <cellStyle name="Comma 20 2 2 2" xfId="5135" xr:uid="{28B64092-F3DD-4E1A-ACA4-EF510E3C35B4}"/>
    <cellStyle name="Comma 20 2 3" xfId="3717" xr:uid="{E0A1D189-DAA6-41E4-81DA-F8B3735C3212}"/>
    <cellStyle name="Comma 20 3" xfId="1632" xr:uid="{50A24F4E-FD3F-4695-AE7B-51C83CD806D7}"/>
    <cellStyle name="Comma 20 3 2" xfId="4492" xr:uid="{F2098751-C29B-4851-9F8B-30AD4C3C46BF}"/>
    <cellStyle name="Comma 20 4" xfId="3076" xr:uid="{3D38D228-22B4-4867-8292-F9F9F4924D06}"/>
    <cellStyle name="Comma 21" xfId="120" xr:uid="{00000000-0005-0000-0000-0000A1010000}"/>
    <cellStyle name="Comma 21 2" xfId="846" xr:uid="{00000000-0005-0000-0000-0000A2010000}"/>
    <cellStyle name="Comma 21 2 2" xfId="2295" xr:uid="{6A905306-BF54-4DC6-8FC4-A03453F7F786}"/>
    <cellStyle name="Comma 21 2 2 2" xfId="5151" xr:uid="{AE31AB46-1D6F-41EE-8256-74D92CE6CB90}"/>
    <cellStyle name="Comma 21 2 3" xfId="3733" xr:uid="{34B10C55-3A3F-45DB-A8E6-8F2A803CAA34}"/>
    <cellStyle name="Comma 21 3" xfId="1648" xr:uid="{14075123-1BD3-41B1-AC4E-523CB48C02AD}"/>
    <cellStyle name="Comma 21 3 2" xfId="4508" xr:uid="{B28E7C6F-168E-4658-840E-0B2B4906602C}"/>
    <cellStyle name="Comma 21 4" xfId="3092" xr:uid="{F49D63A1-3761-4D58-8101-F13DF595EB96}"/>
    <cellStyle name="Comma 22" xfId="128" xr:uid="{00000000-0005-0000-0000-0000A3010000}"/>
    <cellStyle name="Comma 22 2" xfId="854" xr:uid="{00000000-0005-0000-0000-0000A4010000}"/>
    <cellStyle name="Comma 22 2 2" xfId="2302" xr:uid="{1E2660B4-F66B-45B1-8845-6D84D41637F1}"/>
    <cellStyle name="Comma 22 2 2 2" xfId="5158" xr:uid="{970BB879-13C4-4223-8DF9-6B03EA0F6C96}"/>
    <cellStyle name="Comma 22 2 3" xfId="3740" xr:uid="{ED786FE0-95B9-49C0-ABDF-B672B56C5D8C}"/>
    <cellStyle name="Comma 22 3" xfId="1655" xr:uid="{77A202BF-E6D2-4A6E-A8F1-E647472266C9}"/>
    <cellStyle name="Comma 22 3 2" xfId="4515" xr:uid="{6A7637C2-9A61-4897-9D51-5CC4FE69DEB5}"/>
    <cellStyle name="Comma 22 4" xfId="3099" xr:uid="{13CFA84D-1D0A-425D-8F66-0F3007DC67EC}"/>
    <cellStyle name="Comma 23" xfId="135" xr:uid="{00000000-0005-0000-0000-0000A5010000}"/>
    <cellStyle name="Comma 23 2" xfId="860" xr:uid="{00000000-0005-0000-0000-0000A6010000}"/>
    <cellStyle name="Comma 23 2 2" xfId="2308" xr:uid="{EFE2EDB0-3D93-421F-B5B7-E5555CD9E50E}"/>
    <cellStyle name="Comma 23 2 2 2" xfId="5164" xr:uid="{E075BDB0-8767-4C33-9414-F43F0E57E1E8}"/>
    <cellStyle name="Comma 23 2 3" xfId="3746" xr:uid="{BF2983E3-870E-466C-91A8-D1D5804B00DD}"/>
    <cellStyle name="Comma 23 3" xfId="1661" xr:uid="{EB3D6823-CC40-42DA-BB60-28803C103138}"/>
    <cellStyle name="Comma 23 3 2" xfId="4521" xr:uid="{717B23C9-66A1-4069-BCF6-684FA833EB68}"/>
    <cellStyle name="Comma 23 4" xfId="3105" xr:uid="{5D0B691D-916A-4696-97D9-27B668CA25B0}"/>
    <cellStyle name="Comma 24" xfId="136" xr:uid="{00000000-0005-0000-0000-0000A7010000}"/>
    <cellStyle name="Comma 24 2" xfId="861" xr:uid="{00000000-0005-0000-0000-0000A8010000}"/>
    <cellStyle name="Comma 24 2 2" xfId="2309" xr:uid="{6106868C-4B35-4097-AAF8-D5D2503BF7C3}"/>
    <cellStyle name="Comma 24 2 2 2" xfId="5165" xr:uid="{C661DC78-FDBB-4B32-9F3D-4F2400CCD22C}"/>
    <cellStyle name="Comma 24 2 3" xfId="3747" xr:uid="{51AE6FFF-931E-487D-AC0C-AF4E692729BA}"/>
    <cellStyle name="Comma 24 3" xfId="1662" xr:uid="{197A7F4A-09FD-46AC-B6EA-2599C3DDB261}"/>
    <cellStyle name="Comma 24 3 2" xfId="4522" xr:uid="{43E4D50E-794A-42F3-84E4-D51CB2DCA3F0}"/>
    <cellStyle name="Comma 24 4" xfId="3106" xr:uid="{FF70C4A3-68E4-4469-9DE3-1FC0B69481E8}"/>
    <cellStyle name="Comma 25" xfId="139" xr:uid="{00000000-0005-0000-0000-0000A9010000}"/>
    <cellStyle name="Comma 25 2" xfId="864" xr:uid="{00000000-0005-0000-0000-0000AA010000}"/>
    <cellStyle name="Comma 25 2 2" xfId="2312" xr:uid="{1DF4DE95-B76D-479B-98F2-C1836B1EC12D}"/>
    <cellStyle name="Comma 25 2 2 2" xfId="5168" xr:uid="{C7362165-6F99-452C-9CC6-29B4D1853849}"/>
    <cellStyle name="Comma 25 2 3" xfId="3750" xr:uid="{314E964E-F741-4AC4-BEE8-3C4786A643E9}"/>
    <cellStyle name="Comma 25 3" xfId="1665" xr:uid="{2E25BC08-DC80-4976-AB8F-86D1D8BCB5D5}"/>
    <cellStyle name="Comma 25 3 2" xfId="4525" xr:uid="{2AD46684-116D-4183-B243-987BA341DC93}"/>
    <cellStyle name="Comma 25 4" xfId="3109" xr:uid="{9C5DF74D-0511-4850-9077-2D672DA3CBFD}"/>
    <cellStyle name="Comma 26" xfId="145" xr:uid="{00000000-0005-0000-0000-0000AB010000}"/>
    <cellStyle name="Comma 26 2" xfId="870" xr:uid="{00000000-0005-0000-0000-0000AC010000}"/>
    <cellStyle name="Comma 26 2 2" xfId="2318" xr:uid="{8E3EBD2C-8B12-432E-847A-6657B50E4519}"/>
    <cellStyle name="Comma 26 2 2 2" xfId="5174" xr:uid="{EA43C91A-383D-4E4C-9C9A-7687A9BD28DB}"/>
    <cellStyle name="Comma 26 2 3" xfId="3756" xr:uid="{7D190071-3F48-43D2-B9B5-A10D05D3120C}"/>
    <cellStyle name="Comma 26 3" xfId="1671" xr:uid="{7DA8A9CC-3D5C-4E1D-8C05-B0D22A332561}"/>
    <cellStyle name="Comma 26 3 2" xfId="4531" xr:uid="{77CD7658-DC9C-468B-BB3C-1CCA827DC93D}"/>
    <cellStyle name="Comma 26 4" xfId="3115" xr:uid="{1D2D3284-A41E-4836-B8F1-1D5E194D1DAB}"/>
    <cellStyle name="Comma 27" xfId="150" xr:uid="{00000000-0005-0000-0000-0000AD010000}"/>
    <cellStyle name="Comma 28" xfId="152" xr:uid="{00000000-0005-0000-0000-0000AE010000}"/>
    <cellStyle name="Comma 28 2" xfId="876" xr:uid="{00000000-0005-0000-0000-0000AF010000}"/>
    <cellStyle name="Comma 28 2 2" xfId="2324" xr:uid="{71863479-F213-47D1-9314-50213447122C}"/>
    <cellStyle name="Comma 28 2 2 2" xfId="5180" xr:uid="{EECBF4F3-A76B-471D-842D-529335C5AE9E}"/>
    <cellStyle name="Comma 28 2 3" xfId="3762" xr:uid="{3FE824EB-1C68-4567-BA75-230BCFD28208}"/>
    <cellStyle name="Comma 28 3" xfId="1677" xr:uid="{B8B9D54D-CA0F-47A3-8DE2-221611AAC375}"/>
    <cellStyle name="Comma 28 3 2" xfId="4537" xr:uid="{F835C56E-146B-4702-9FE1-AF3E4D257017}"/>
    <cellStyle name="Comma 28 4" xfId="3121" xr:uid="{D0AA19A1-CB20-4C04-84B3-0C6AF7759D54}"/>
    <cellStyle name="Comma 29" xfId="160" xr:uid="{00000000-0005-0000-0000-0000B0010000}"/>
    <cellStyle name="Comma 29 2" xfId="883" xr:uid="{00000000-0005-0000-0000-0000B1010000}"/>
    <cellStyle name="Comma 29 2 2" xfId="2331" xr:uid="{A8C64832-2873-442A-B595-D5A5B88FBA2D}"/>
    <cellStyle name="Comma 29 2 2 2" xfId="5187" xr:uid="{852DF316-08C7-4F7D-9841-E7BB26C09B50}"/>
    <cellStyle name="Comma 29 2 3" xfId="3769" xr:uid="{BB07C8DB-60A1-41B8-8C51-B069637A49D4}"/>
    <cellStyle name="Comma 29 3" xfId="1684" xr:uid="{8384F128-7651-4827-B318-8447286C9700}"/>
    <cellStyle name="Comma 29 3 2" xfId="4544" xr:uid="{394BCC82-9519-4764-9FC5-9DF7D39AA828}"/>
    <cellStyle name="Comma 29 4" xfId="3128" xr:uid="{C1B7C5A0-9C02-40FD-84EB-56DB38D32E4E}"/>
    <cellStyle name="Comma 3" xfId="5" xr:uid="{00000000-0005-0000-0000-0000B2010000}"/>
    <cellStyle name="Comma 3 2" xfId="6" xr:uid="{00000000-0005-0000-0000-0000B3010000}"/>
    <cellStyle name="Comma 3 3" xfId="31" xr:uid="{00000000-0005-0000-0000-0000B4010000}"/>
    <cellStyle name="Comma 3 3 2" xfId="772" xr:uid="{00000000-0005-0000-0000-0000B5010000}"/>
    <cellStyle name="Comma 3 4" xfId="58" xr:uid="{00000000-0005-0000-0000-0000B6010000}"/>
    <cellStyle name="Comma 3 5" xfId="651" xr:uid="{00000000-0005-0000-0000-0000B7010000}"/>
    <cellStyle name="Comma 3 6" xfId="672" xr:uid="{00000000-0005-0000-0000-0000B8010000}"/>
    <cellStyle name="Comma 30" xfId="170" xr:uid="{00000000-0005-0000-0000-0000B9010000}"/>
    <cellStyle name="Comma 30 2" xfId="892" xr:uid="{00000000-0005-0000-0000-0000BA010000}"/>
    <cellStyle name="Comma 30 2 2" xfId="2340" xr:uid="{0DFE5808-A415-43DD-BDFC-F3874ADE61C9}"/>
    <cellStyle name="Comma 30 2 2 2" xfId="5196" xr:uid="{7247ABEB-B53E-42DB-8632-9FD163B77630}"/>
    <cellStyle name="Comma 30 2 3" xfId="3778" xr:uid="{4B92B52F-8A1F-4047-A08B-636F8FA4F341}"/>
    <cellStyle name="Comma 30 3" xfId="1693" xr:uid="{2ABA840A-43FC-4D99-BC2E-401D43E08139}"/>
    <cellStyle name="Comma 30 3 2" xfId="4553" xr:uid="{CAD91F1F-41A8-4E4A-8136-A25806B6EA1A}"/>
    <cellStyle name="Comma 30 4" xfId="3137" xr:uid="{FE0490C7-CE0A-49D3-B530-6D177ED2ECD4}"/>
    <cellStyle name="Comma 31" xfId="172" xr:uid="{00000000-0005-0000-0000-0000BB010000}"/>
    <cellStyle name="Comma 31 2" xfId="894" xr:uid="{00000000-0005-0000-0000-0000BC010000}"/>
    <cellStyle name="Comma 31 2 2" xfId="2342" xr:uid="{8810BF35-A015-43CF-A88F-A00987EE16CF}"/>
    <cellStyle name="Comma 31 2 2 2" xfId="5198" xr:uid="{77EB8FB7-DE1F-4958-B4BA-C6CDD97B4258}"/>
    <cellStyle name="Comma 31 2 3" xfId="3780" xr:uid="{24601CF6-D992-432A-90EC-3F8C3B9833C0}"/>
    <cellStyle name="Comma 31 3" xfId="1695" xr:uid="{6783FD96-FEE6-45DE-A231-1389A69DB610}"/>
    <cellStyle name="Comma 31 3 2" xfId="4555" xr:uid="{BEA11D6E-3A6B-430C-AA85-1E6476679334}"/>
    <cellStyle name="Comma 31 4" xfId="3139" xr:uid="{26091FD2-D310-4E64-8599-366328EAA2FB}"/>
    <cellStyle name="Comma 32" xfId="175" xr:uid="{00000000-0005-0000-0000-0000BD010000}"/>
    <cellStyle name="Comma 32 2" xfId="897" xr:uid="{00000000-0005-0000-0000-0000BE010000}"/>
    <cellStyle name="Comma 32 2 2" xfId="2345" xr:uid="{A1C1B6AF-614C-45FE-8A26-976989ECBB97}"/>
    <cellStyle name="Comma 32 2 2 2" xfId="5201" xr:uid="{9905B6B0-75A5-441F-BE33-064D5C7841D8}"/>
    <cellStyle name="Comma 32 2 3" xfId="3783" xr:uid="{135487F9-4BB4-4CEF-AFBF-6290D2EB1243}"/>
    <cellStyle name="Comma 32 3" xfId="1698" xr:uid="{02D6DC9C-E0AC-47DE-AC6A-836D88B0E3F9}"/>
    <cellStyle name="Comma 32 3 2" xfId="4558" xr:uid="{F79C259D-835A-458F-A987-78398428B6AF}"/>
    <cellStyle name="Comma 32 4" xfId="3142" xr:uid="{A40D5C26-7E78-4FF7-B00C-E3F50D6C708C}"/>
    <cellStyle name="Comma 33" xfId="186" xr:uid="{00000000-0005-0000-0000-0000BF010000}"/>
    <cellStyle name="Comma 33 2" xfId="908" xr:uid="{00000000-0005-0000-0000-0000C0010000}"/>
    <cellStyle name="Comma 33 2 2" xfId="2356" xr:uid="{F648C3F7-FAFC-4F05-9EB3-1CC2155458DC}"/>
    <cellStyle name="Comma 33 2 2 2" xfId="5212" xr:uid="{C62F1748-9871-406C-9D7D-950891D56244}"/>
    <cellStyle name="Comma 33 2 3" xfId="3794" xr:uid="{5E3CDCB1-64D4-44F9-9563-6949038B820B}"/>
    <cellStyle name="Comma 33 3" xfId="1709" xr:uid="{0D63C37E-9FA7-4B66-8DDA-B1E6A58C7537}"/>
    <cellStyle name="Comma 33 3 2" xfId="4569" xr:uid="{1DFBA1F4-4991-43E2-9962-ACA092625961}"/>
    <cellStyle name="Comma 33 4" xfId="3153" xr:uid="{FA9FCBAF-6304-4A58-9F66-8B3505A38C19}"/>
    <cellStyle name="Comma 34" xfId="197" xr:uid="{00000000-0005-0000-0000-0000C1010000}"/>
    <cellStyle name="Comma 34 2" xfId="919" xr:uid="{00000000-0005-0000-0000-0000C2010000}"/>
    <cellStyle name="Comma 34 2 2" xfId="2367" xr:uid="{092FE509-F7E3-4D43-A574-15C854364F5D}"/>
    <cellStyle name="Comma 34 2 2 2" xfId="5223" xr:uid="{7D754A0A-7FE9-4CF2-B3AF-F5554ADBA1A1}"/>
    <cellStyle name="Comma 34 2 3" xfId="3805" xr:uid="{BC614428-2832-408A-8D9E-4B707F996672}"/>
    <cellStyle name="Comma 34 3" xfId="1720" xr:uid="{BD817B6E-4A9E-4DBF-8D63-8E79E77EDC08}"/>
    <cellStyle name="Comma 34 3 2" xfId="4580" xr:uid="{0530D926-97FF-48CB-848B-05328BC6D71C}"/>
    <cellStyle name="Comma 34 4" xfId="3164" xr:uid="{DCAEE90D-DCF1-4176-9D6A-4F7EA8A8016B}"/>
    <cellStyle name="Comma 35" xfId="199" xr:uid="{00000000-0005-0000-0000-0000C3010000}"/>
    <cellStyle name="Comma 35 2" xfId="921" xr:uid="{00000000-0005-0000-0000-0000C4010000}"/>
    <cellStyle name="Comma 35 2 2" xfId="2369" xr:uid="{3533D8F7-35B8-4C97-A35D-1DE1C68A3470}"/>
    <cellStyle name="Comma 35 2 2 2" xfId="5225" xr:uid="{4E711A9E-0C75-4231-9B8A-5E494D13AB09}"/>
    <cellStyle name="Comma 35 2 3" xfId="3807" xr:uid="{AD099C28-1081-4E80-9F1F-ADE09C919A74}"/>
    <cellStyle name="Comma 35 3" xfId="1722" xr:uid="{22875F30-4ABC-4167-B67E-1782E2533B98}"/>
    <cellStyle name="Comma 35 3 2" xfId="4582" xr:uid="{130FFF70-2AAB-44A5-AC31-FEEEA30B667C}"/>
    <cellStyle name="Comma 35 4" xfId="3166" xr:uid="{61C1E5C9-6CF4-47D9-8144-4704D9526010}"/>
    <cellStyle name="Comma 36" xfId="202" xr:uid="{00000000-0005-0000-0000-0000C5010000}"/>
    <cellStyle name="Comma 36 2" xfId="924" xr:uid="{00000000-0005-0000-0000-0000C6010000}"/>
    <cellStyle name="Comma 36 2 2" xfId="2372" xr:uid="{62C20D38-0B96-4D17-A713-2BD031DA1ED0}"/>
    <cellStyle name="Comma 36 2 2 2" xfId="5228" xr:uid="{C28F9901-D086-47B5-B5C7-3C6EA9535734}"/>
    <cellStyle name="Comma 36 2 3" xfId="3810" xr:uid="{F1C6AEF4-49F9-49F5-9A10-F3F61FE550CC}"/>
    <cellStyle name="Comma 36 3" xfId="1725" xr:uid="{0FE9A4D8-D7A9-4119-AE12-FB44636399AE}"/>
    <cellStyle name="Comma 36 3 2" xfId="4585" xr:uid="{BF6E5EA0-18A9-4D3C-A8CE-22F689B46F64}"/>
    <cellStyle name="Comma 36 4" xfId="3169" xr:uid="{3C61829A-E8B5-4964-BD5E-93EEDDFDD32F}"/>
    <cellStyle name="Comma 37" xfId="211" xr:uid="{00000000-0005-0000-0000-0000C7010000}"/>
    <cellStyle name="Comma 37 2" xfId="933" xr:uid="{00000000-0005-0000-0000-0000C8010000}"/>
    <cellStyle name="Comma 37 2 2" xfId="2381" xr:uid="{AAEA6175-941E-4783-A4F7-72DE39738F32}"/>
    <cellStyle name="Comma 37 2 2 2" xfId="5237" xr:uid="{9988926B-3D78-4036-A850-CA5C34A43C96}"/>
    <cellStyle name="Comma 37 2 3" xfId="3819" xr:uid="{F85635E7-2AE9-4325-BC2B-D3EA299323E7}"/>
    <cellStyle name="Comma 37 3" xfId="1734" xr:uid="{D45042E9-770A-4CF1-B239-7D667A40C302}"/>
    <cellStyle name="Comma 37 3 2" xfId="4594" xr:uid="{BCF47A05-BE4F-4500-A25A-9EEDEFE02839}"/>
    <cellStyle name="Comma 37 4" xfId="3178" xr:uid="{B84BA48B-2973-4B96-A347-C1954543DA07}"/>
    <cellStyle name="Comma 38" xfId="213" xr:uid="{00000000-0005-0000-0000-0000C9010000}"/>
    <cellStyle name="Comma 38 2" xfId="935" xr:uid="{00000000-0005-0000-0000-0000CA010000}"/>
    <cellStyle name="Comma 38 2 2" xfId="2383" xr:uid="{2D632C02-F3B5-4E5A-8DCC-334925459584}"/>
    <cellStyle name="Comma 38 2 2 2" xfId="5239" xr:uid="{B83B488F-148F-46E7-8C60-691ADCC019C3}"/>
    <cellStyle name="Comma 38 2 3" xfId="3821" xr:uid="{82C2B32A-6C0E-4646-A4A7-11016AAFD668}"/>
    <cellStyle name="Comma 38 3" xfId="1736" xr:uid="{7C5E5F9B-AAD5-4BF4-BB2D-986E95873EA2}"/>
    <cellStyle name="Comma 38 3 2" xfId="4596" xr:uid="{E1F0275A-3C21-4159-9B43-BEF87C1FECD5}"/>
    <cellStyle name="Comma 38 4" xfId="3180" xr:uid="{A3AB27C5-6B3C-4DF2-BFD1-C2F1E6D45EF7}"/>
    <cellStyle name="Comma 39" xfId="216" xr:uid="{00000000-0005-0000-0000-0000CB010000}"/>
    <cellStyle name="Comma 39 2" xfId="938" xr:uid="{00000000-0005-0000-0000-0000CC010000}"/>
    <cellStyle name="Comma 39 2 2" xfId="2386" xr:uid="{50C429DE-9823-4E63-AFD0-09B3119F69A3}"/>
    <cellStyle name="Comma 39 2 2 2" xfId="5242" xr:uid="{3505F869-B397-4C63-8381-09BDC6130770}"/>
    <cellStyle name="Comma 39 2 3" xfId="3824" xr:uid="{4F871021-A17B-4971-B7F7-A0304FC85DCF}"/>
    <cellStyle name="Comma 39 3" xfId="1739" xr:uid="{74DA09A6-AB1E-487D-9C64-33B3FB4C3DCE}"/>
    <cellStyle name="Comma 39 3 2" xfId="4599" xr:uid="{DFE68230-5917-454C-899B-C1EAC2B39DC3}"/>
    <cellStyle name="Comma 39 4" xfId="3183" xr:uid="{7F13496F-57BC-448C-A7CC-B3AA5AD85F45}"/>
    <cellStyle name="Comma 4" xfId="28" xr:uid="{00000000-0005-0000-0000-0000CD010000}"/>
    <cellStyle name="Comma 4 2" xfId="661" xr:uid="{00000000-0005-0000-0000-0000CE010000}"/>
    <cellStyle name="Comma 4 2 2" xfId="6011" xr:uid="{B6CB7FD7-7CF0-47D9-8F78-60B00BE1FD02}"/>
    <cellStyle name="Comma 4 2 3" xfId="6030" xr:uid="{C96ECCBF-35D6-46DC-A6ED-DE53AA4E24CB}"/>
    <cellStyle name="Comma 4 3" xfId="770" xr:uid="{00000000-0005-0000-0000-0000CF010000}"/>
    <cellStyle name="Comma 4 3 2" xfId="2224" xr:uid="{527AED45-7579-471C-94F2-3F1FDC07C81E}"/>
    <cellStyle name="Comma 4 3 2 2" xfId="5080" xr:uid="{B7E618AE-6C02-448C-99E7-EFEE26A932F6}"/>
    <cellStyle name="Comma 4 3 3" xfId="3661" xr:uid="{508AB8AD-8B5E-4283-BD82-9FA75F6B8440}"/>
    <cellStyle name="Comma 4 3 4" xfId="6013" xr:uid="{B28BCD85-E436-4AA9-8709-24FEA8B6AD36}"/>
    <cellStyle name="Comma 4 3 5" xfId="6027" xr:uid="{D9E77DC7-5865-4F83-B17E-4F2F57E8E6D3}"/>
    <cellStyle name="Comma 4 4" xfId="1576" xr:uid="{4B2129E2-C298-4872-A558-06A87E365424}"/>
    <cellStyle name="Comma 4 4 2" xfId="4436" xr:uid="{A005FA52-E834-4F65-9A04-4B26B6BA98D8}"/>
    <cellStyle name="Comma 4 5" xfId="3021" xr:uid="{CFC34122-5354-4B5E-B5FB-D175DC2DFCE1}"/>
    <cellStyle name="Comma 4 6" xfId="5927" xr:uid="{7D5C31AB-A0F6-4F6D-BDFC-F46671C00EAD}"/>
    <cellStyle name="Comma 40" xfId="223" xr:uid="{00000000-0005-0000-0000-0000D0010000}"/>
    <cellStyle name="Comma 40 2" xfId="945" xr:uid="{00000000-0005-0000-0000-0000D1010000}"/>
    <cellStyle name="Comma 40 2 2" xfId="2393" xr:uid="{D8CE3976-BAF6-4538-9138-E2890CF0A845}"/>
    <cellStyle name="Comma 40 2 2 2" xfId="5249" xr:uid="{781CF745-51F1-47AC-A385-70331B71A82F}"/>
    <cellStyle name="Comma 40 2 3" xfId="3831" xr:uid="{0E70AC5C-C20B-4093-AA84-4747D67F0F81}"/>
    <cellStyle name="Comma 40 3" xfId="1746" xr:uid="{C8F98766-258B-425F-BE18-924E741AB2B0}"/>
    <cellStyle name="Comma 40 3 2" xfId="4606" xr:uid="{D7C2635A-B057-45D1-AB2A-4E3C409A7D48}"/>
    <cellStyle name="Comma 40 4" xfId="3190" xr:uid="{628C8B3D-87DA-4B14-A5F5-F3EFBF7B8862}"/>
    <cellStyle name="Comma 41" xfId="226" xr:uid="{00000000-0005-0000-0000-0000D2010000}"/>
    <cellStyle name="Comma 41 2" xfId="948" xr:uid="{00000000-0005-0000-0000-0000D3010000}"/>
    <cellStyle name="Comma 41 2 2" xfId="2396" xr:uid="{77AB347D-D1A4-41C4-949B-3F699E49A101}"/>
    <cellStyle name="Comma 41 2 2 2" xfId="5252" xr:uid="{30C13F0B-E4EA-46D3-82EF-A1AF615B5552}"/>
    <cellStyle name="Comma 41 2 3" xfId="3834" xr:uid="{E630DB8B-FDB9-4CE4-8705-6ACDA0C6E3C5}"/>
    <cellStyle name="Comma 41 3" xfId="1749" xr:uid="{2E2CE3A5-6B3F-4EC5-ACE2-22EEB43F6ABC}"/>
    <cellStyle name="Comma 41 3 2" xfId="4609" xr:uid="{2BD48A40-4A09-46EE-9690-EDD88E395726}"/>
    <cellStyle name="Comma 41 4" xfId="3193" xr:uid="{C76AB9D6-BC8E-4790-B702-6D11C9ED6F9B}"/>
    <cellStyle name="Comma 42" xfId="234" xr:uid="{00000000-0005-0000-0000-0000D4010000}"/>
    <cellStyle name="Comma 42 2" xfId="956" xr:uid="{00000000-0005-0000-0000-0000D5010000}"/>
    <cellStyle name="Comma 42 2 2" xfId="2404" xr:uid="{E256EBC5-F56D-489C-90DC-557768571F8C}"/>
    <cellStyle name="Comma 42 2 2 2" xfId="5260" xr:uid="{59E94581-CEE6-4664-9441-1DE7E6FEF1B8}"/>
    <cellStyle name="Comma 42 2 3" xfId="3842" xr:uid="{50A71AC7-0E56-4503-A650-BE7831999263}"/>
    <cellStyle name="Comma 42 3" xfId="1757" xr:uid="{89075873-E973-41ED-80A1-2F7659A9E62F}"/>
    <cellStyle name="Comma 42 3 2" xfId="4617" xr:uid="{6D574BD2-9CD7-4130-AB57-A6F1DDECA57D}"/>
    <cellStyle name="Comma 42 4" xfId="3201" xr:uid="{14C01713-D04A-40DE-A0BF-E906E7137DB2}"/>
    <cellStyle name="Comma 43" xfId="237" xr:uid="{00000000-0005-0000-0000-0000D6010000}"/>
    <cellStyle name="Comma 43 2" xfId="959" xr:uid="{00000000-0005-0000-0000-0000D7010000}"/>
    <cellStyle name="Comma 43 2 2" xfId="2407" xr:uid="{C0D15CCF-BAFF-4AF8-9868-79F6546F6732}"/>
    <cellStyle name="Comma 43 2 2 2" xfId="5263" xr:uid="{34DFEB19-E5C5-44A9-9201-EFFC9FCADD0C}"/>
    <cellStyle name="Comma 43 2 3" xfId="3845" xr:uid="{1B143DA8-602A-45E9-AB02-2E99E81AE456}"/>
    <cellStyle name="Comma 43 3" xfId="1760" xr:uid="{C5000B7C-22DA-46CD-8D60-B625B7A873D2}"/>
    <cellStyle name="Comma 43 3 2" xfId="4620" xr:uid="{909B7A76-57A5-46CF-8C98-1D2E24F35663}"/>
    <cellStyle name="Comma 43 4" xfId="3204" xr:uid="{D10FB1BC-DFA4-4C1E-A2FB-6773EBE05FD3}"/>
    <cellStyle name="Comma 44" xfId="240" xr:uid="{00000000-0005-0000-0000-0000D8010000}"/>
    <cellStyle name="Comma 44 2" xfId="962" xr:uid="{00000000-0005-0000-0000-0000D9010000}"/>
    <cellStyle name="Comma 44 2 2" xfId="2410" xr:uid="{3DAD98BA-8721-42B2-A60D-D9D456891188}"/>
    <cellStyle name="Comma 44 2 2 2" xfId="5266" xr:uid="{E95B9262-4C72-40D4-B8FC-384A7266F3A0}"/>
    <cellStyle name="Comma 44 2 3" xfId="3848" xr:uid="{E477CE02-55F2-4D83-8775-28CE4517FBE6}"/>
    <cellStyle name="Comma 44 3" xfId="1763" xr:uid="{B430174B-B448-44EB-BFF7-08475A09C2CE}"/>
    <cellStyle name="Comma 44 3 2" xfId="4623" xr:uid="{DC71686F-F089-4DE3-98A4-3499E575CF03}"/>
    <cellStyle name="Comma 44 4" xfId="3207" xr:uid="{AE4F6E72-786C-4884-A97A-C99B16F47C81}"/>
    <cellStyle name="Comma 45" xfId="246" xr:uid="{00000000-0005-0000-0000-0000DA010000}"/>
    <cellStyle name="Comma 45 2" xfId="968" xr:uid="{00000000-0005-0000-0000-0000DB010000}"/>
    <cellStyle name="Comma 45 2 2" xfId="2416" xr:uid="{27A80EA1-1893-4227-AA72-A16AE445C462}"/>
    <cellStyle name="Comma 45 2 2 2" xfId="5272" xr:uid="{4A941D05-FD5D-4BDE-8149-FAF87E00E04A}"/>
    <cellStyle name="Comma 45 2 3" xfId="3854" xr:uid="{12ADBF64-D26B-430F-B87E-5D322EB0516D}"/>
    <cellStyle name="Comma 45 3" xfId="1769" xr:uid="{1FFEA67F-0BE2-4E68-8EEB-33F3307C4FD5}"/>
    <cellStyle name="Comma 45 3 2" xfId="4629" xr:uid="{AC2AA33F-C546-44E7-B79B-AE79B4E87CEE}"/>
    <cellStyle name="Comma 45 4" xfId="3213" xr:uid="{C0F9B1E2-D6ED-4404-9C32-3DC758188741}"/>
    <cellStyle name="Comma 46" xfId="250" xr:uid="{00000000-0005-0000-0000-0000DC010000}"/>
    <cellStyle name="Comma 46 2" xfId="972" xr:uid="{00000000-0005-0000-0000-0000DD010000}"/>
    <cellStyle name="Comma 46 2 2" xfId="2420" xr:uid="{7251691E-E9B9-4EB8-8CC9-CE5B4B9373C2}"/>
    <cellStyle name="Comma 46 2 2 2" xfId="5276" xr:uid="{AFD6E25A-5437-4EBE-A962-4220673AE97A}"/>
    <cellStyle name="Comma 46 2 3" xfId="3858" xr:uid="{C6C8A5AC-7B0F-4987-AA2B-8A57098DBB7B}"/>
    <cellStyle name="Comma 46 3" xfId="1773" xr:uid="{0EE53A5D-F68F-4674-8641-66C59E5E4B96}"/>
    <cellStyle name="Comma 46 3 2" xfId="4633" xr:uid="{455E617B-BE53-4BB3-8D5A-76330B187138}"/>
    <cellStyle name="Comma 46 4" xfId="3217" xr:uid="{E3508452-1AD0-4238-B023-A2924D22B704}"/>
    <cellStyle name="Comma 47" xfId="252" xr:uid="{00000000-0005-0000-0000-0000DE010000}"/>
    <cellStyle name="Comma 47 2" xfId="974" xr:uid="{00000000-0005-0000-0000-0000DF010000}"/>
    <cellStyle name="Comma 47 2 2" xfId="2422" xr:uid="{9B26BF53-D334-42E0-B32B-A4E2678E2091}"/>
    <cellStyle name="Comma 47 2 2 2" xfId="5278" xr:uid="{BD38E636-242A-4965-B283-3F6ABFA49208}"/>
    <cellStyle name="Comma 47 2 3" xfId="3860" xr:uid="{A5DAE928-0464-4522-A7C0-483A903A2FF4}"/>
    <cellStyle name="Comma 47 3" xfId="1775" xr:uid="{E4B84B24-F1AC-48E3-8D99-A026E31B0EBD}"/>
    <cellStyle name="Comma 47 3 2" xfId="4635" xr:uid="{81B818E5-DE7B-4B5B-9A39-665DF672E9AB}"/>
    <cellStyle name="Comma 47 4" xfId="3219" xr:uid="{2D8B7CE1-B2B4-4B78-B083-523C788FCC04}"/>
    <cellStyle name="Comma 48" xfId="259" xr:uid="{00000000-0005-0000-0000-0000E0010000}"/>
    <cellStyle name="Comma 48 2" xfId="981" xr:uid="{00000000-0005-0000-0000-0000E1010000}"/>
    <cellStyle name="Comma 48 2 2" xfId="2429" xr:uid="{9748C99C-F163-440C-BB7B-3EDD5D4F21B8}"/>
    <cellStyle name="Comma 48 2 2 2" xfId="5285" xr:uid="{0BC7D8B3-676B-403F-93B7-86023310D62B}"/>
    <cellStyle name="Comma 48 2 3" xfId="3867" xr:uid="{1D42C0D8-6B46-48DA-8484-AEC22067DD6E}"/>
    <cellStyle name="Comma 48 3" xfId="1782" xr:uid="{9BA2AAD4-186C-48F6-9225-E67667BDC7D9}"/>
    <cellStyle name="Comma 48 3 2" xfId="4642" xr:uid="{FA3AF93C-6908-4BB3-BF05-97F8E3239CF3}"/>
    <cellStyle name="Comma 48 4" xfId="3226" xr:uid="{0CE8D3BD-2E82-4C53-9E27-1CE6AFF903D5}"/>
    <cellStyle name="Comma 49" xfId="262" xr:uid="{00000000-0005-0000-0000-0000E2010000}"/>
    <cellStyle name="Comma 49 2" xfId="984" xr:uid="{00000000-0005-0000-0000-0000E3010000}"/>
    <cellStyle name="Comma 49 2 2" xfId="2432" xr:uid="{96FAB3A7-FAD3-4197-969A-E5CE2DCF2B89}"/>
    <cellStyle name="Comma 49 2 2 2" xfId="5288" xr:uid="{019E1A12-4FA9-45DC-89EC-06D1FAC312B6}"/>
    <cellStyle name="Comma 49 2 3" xfId="3870" xr:uid="{A8363AD2-74AF-4E8F-938D-10844C4457E1}"/>
    <cellStyle name="Comma 49 3" xfId="1785" xr:uid="{A407E028-6D00-4FE8-9867-1088FD3447C1}"/>
    <cellStyle name="Comma 49 3 2" xfId="4645" xr:uid="{3A81B9B1-AE5F-420B-9C77-B27CBBCB14B5}"/>
    <cellStyle name="Comma 49 4" xfId="3229" xr:uid="{5F8704CB-C42F-4003-AC11-D54BB7359772}"/>
    <cellStyle name="Comma 5" xfId="47" xr:uid="{00000000-0005-0000-0000-0000E4010000}"/>
    <cellStyle name="Comma 5 2" xfId="780" xr:uid="{00000000-0005-0000-0000-0000E5010000}"/>
    <cellStyle name="Comma 5 2 2" xfId="2232" xr:uid="{01E3F5D9-562B-4EF7-9422-3D28305D9797}"/>
    <cellStyle name="Comma 5 2 2 2" xfId="5088" xr:uid="{FF830390-5865-4080-BCCD-1F5227FF88BF}"/>
    <cellStyle name="Comma 5 2 3" xfId="3670" xr:uid="{BCE872F8-1589-40ED-B7AE-B74C970ADCDE}"/>
    <cellStyle name="Comma 5 3" xfId="1584" xr:uid="{839B175C-6422-4A39-AF35-9435C24625F2}"/>
    <cellStyle name="Comma 5 3 2" xfId="4444" xr:uid="{EC66A807-E44F-43C2-9A14-A85C10922041}"/>
    <cellStyle name="Comma 5 4" xfId="3029" xr:uid="{9CE22FF7-C78E-48DA-9186-F205BBD4B2A7}"/>
    <cellStyle name="Comma 50" xfId="268" xr:uid="{00000000-0005-0000-0000-0000E6010000}"/>
    <cellStyle name="Comma 50 2" xfId="990" xr:uid="{00000000-0005-0000-0000-0000E7010000}"/>
    <cellStyle name="Comma 50 2 2" xfId="2438" xr:uid="{0DDE7F12-2B3B-4F8B-9BCA-F4D064626C7E}"/>
    <cellStyle name="Comma 50 2 2 2" xfId="5294" xr:uid="{8085C503-3187-42C8-B919-2F2DB68FDC6C}"/>
    <cellStyle name="Comma 50 2 3" xfId="3876" xr:uid="{9C6AF031-BBB9-46AA-922A-B16BB2C0C930}"/>
    <cellStyle name="Comma 50 3" xfId="1791" xr:uid="{C829356D-59AE-463E-AA07-89FAB58F5858}"/>
    <cellStyle name="Comma 50 3 2" xfId="4651" xr:uid="{F1B3562E-7153-436A-8DDF-9CD4F1D0DE35}"/>
    <cellStyle name="Comma 50 4" xfId="3235" xr:uid="{8E91BFC4-C24F-4A83-91F0-4BBAA73D0271}"/>
    <cellStyle name="Comma 51" xfId="270" xr:uid="{00000000-0005-0000-0000-0000E8010000}"/>
    <cellStyle name="Comma 51 2" xfId="992" xr:uid="{00000000-0005-0000-0000-0000E9010000}"/>
    <cellStyle name="Comma 51 2 2" xfId="2440" xr:uid="{6F0B5693-77F6-4EDA-808E-C9EEFBDC2BAB}"/>
    <cellStyle name="Comma 51 2 2 2" xfId="5296" xr:uid="{5BEE37AC-A1F1-492B-976A-404771F2B162}"/>
    <cellStyle name="Comma 51 2 3" xfId="3878" xr:uid="{410EC7B8-B1B0-455D-99C5-C024E2A44D07}"/>
    <cellStyle name="Comma 51 3" xfId="1793" xr:uid="{AC24DEBF-83B1-45D2-9869-B002F917FF93}"/>
    <cellStyle name="Comma 51 3 2" xfId="4653" xr:uid="{96808937-453F-4BAF-9F25-215D83582AC5}"/>
    <cellStyle name="Comma 51 4" xfId="3237" xr:uid="{99EC7B94-7D6D-4B2D-9A4D-23A3DA6420A2}"/>
    <cellStyle name="Comma 52" xfId="273" xr:uid="{00000000-0005-0000-0000-0000EA010000}"/>
    <cellStyle name="Comma 52 2" xfId="995" xr:uid="{00000000-0005-0000-0000-0000EB010000}"/>
    <cellStyle name="Comma 52 2 2" xfId="2443" xr:uid="{F0277250-09BD-4AA2-9261-E8FB495D8FF0}"/>
    <cellStyle name="Comma 52 2 2 2" xfId="5299" xr:uid="{DAE9F59F-3069-43F7-BB36-025379FAE042}"/>
    <cellStyle name="Comma 52 2 3" xfId="3881" xr:uid="{11BB6060-C09E-403A-943E-AE8D90F9F7DE}"/>
    <cellStyle name="Comma 52 3" xfId="1796" xr:uid="{E785E6A0-AE2A-4BF9-81CE-719B0101C81D}"/>
    <cellStyle name="Comma 52 3 2" xfId="4656" xr:uid="{3E185A05-EDAC-4CC1-8EC9-2FA5B6F1547B}"/>
    <cellStyle name="Comma 52 4" xfId="3240" xr:uid="{1D7A5BF1-35B6-4B2A-B70B-4640295FA88B}"/>
    <cellStyle name="Comma 53" xfId="276" xr:uid="{00000000-0005-0000-0000-0000EC010000}"/>
    <cellStyle name="Comma 53 2" xfId="998" xr:uid="{00000000-0005-0000-0000-0000ED010000}"/>
    <cellStyle name="Comma 53 2 2" xfId="2446" xr:uid="{34401A94-FD86-4EEC-BA0F-86BAB2D21D9E}"/>
    <cellStyle name="Comma 53 2 2 2" xfId="5302" xr:uid="{3D3B1C65-326F-4609-A162-772BAC09B131}"/>
    <cellStyle name="Comma 53 2 3" xfId="3884" xr:uid="{5024D781-3415-41C0-B435-3505C275659D}"/>
    <cellStyle name="Comma 53 3" xfId="1799" xr:uid="{F1DA9522-79B8-4007-9FE1-964FE3F33956}"/>
    <cellStyle name="Comma 53 3 2" xfId="4659" xr:uid="{C3BB43AA-3380-418A-B746-2FCB242E10AB}"/>
    <cellStyle name="Comma 53 4" xfId="3243" xr:uid="{F55A3398-D76E-4719-8BB3-00AECF4347A1}"/>
    <cellStyle name="Comma 54" xfId="278" xr:uid="{00000000-0005-0000-0000-0000EE010000}"/>
    <cellStyle name="Comma 54 2" xfId="1000" xr:uid="{00000000-0005-0000-0000-0000EF010000}"/>
    <cellStyle name="Comma 54 2 2" xfId="2448" xr:uid="{649039D5-15A8-4DE7-A3CA-130269543E9F}"/>
    <cellStyle name="Comma 54 2 2 2" xfId="5304" xr:uid="{A37CA0F7-B0E1-48B4-968F-8CC1ADB2EA1F}"/>
    <cellStyle name="Comma 54 2 3" xfId="3886" xr:uid="{439E343B-B714-49AA-B443-C5F0760E73BB}"/>
    <cellStyle name="Comma 54 3" xfId="1801" xr:uid="{1D2CE34B-06DB-4D73-8B5F-1FB252B7741A}"/>
    <cellStyle name="Comma 54 3 2" xfId="4661" xr:uid="{5BF04C3D-F109-4A83-B613-2DB6F20A8F88}"/>
    <cellStyle name="Comma 54 4" xfId="3245" xr:uid="{6EEAE0F8-2988-4283-8AC5-7CBC5A58A376}"/>
    <cellStyle name="Comma 55" xfId="286" xr:uid="{00000000-0005-0000-0000-0000F0010000}"/>
    <cellStyle name="Comma 55 2" xfId="1008" xr:uid="{00000000-0005-0000-0000-0000F1010000}"/>
    <cellStyle name="Comma 55 2 2" xfId="2456" xr:uid="{FD782FF8-1B66-439A-982C-967121266FC4}"/>
    <cellStyle name="Comma 55 2 2 2" xfId="5312" xr:uid="{BC44E7E2-E7D5-4A98-ABA8-16A5AEC50A57}"/>
    <cellStyle name="Comma 55 2 3" xfId="3894" xr:uid="{D5F11894-BDA9-4D84-B4CE-4041D931A1BD}"/>
    <cellStyle name="Comma 55 3" xfId="1809" xr:uid="{CE65DCD3-82D3-47BD-BB8A-EDDF72790AFE}"/>
    <cellStyle name="Comma 55 3 2" xfId="4669" xr:uid="{F0C97145-B3F4-4C0B-B80C-451C5276D37E}"/>
    <cellStyle name="Comma 55 4" xfId="3253" xr:uid="{AD309AA6-CF9F-48B1-8A8E-CC62017D5010}"/>
    <cellStyle name="Comma 56" xfId="288" xr:uid="{00000000-0005-0000-0000-0000F2010000}"/>
    <cellStyle name="Comma 56 2" xfId="1010" xr:uid="{00000000-0005-0000-0000-0000F3010000}"/>
    <cellStyle name="Comma 56 2 2" xfId="2458" xr:uid="{7B186766-C830-4516-810D-FC2C61684A6F}"/>
    <cellStyle name="Comma 56 2 2 2" xfId="5314" xr:uid="{3B925C7D-0FF7-437E-B7C8-1CEDB16B49ED}"/>
    <cellStyle name="Comma 56 2 3" xfId="3896" xr:uid="{AEF0271D-36CB-42B3-8B6D-6D91C4911858}"/>
    <cellStyle name="Comma 56 3" xfId="1811" xr:uid="{04E55213-2F03-4FBB-885F-2E277C1D169F}"/>
    <cellStyle name="Comma 56 3 2" xfId="4671" xr:uid="{278629FC-B36A-4D4D-A45A-3B4964D7C59B}"/>
    <cellStyle name="Comma 56 4" xfId="3255" xr:uid="{D4E98B03-5C58-413A-9E64-0C907B81E881}"/>
    <cellStyle name="Comma 57" xfId="291" xr:uid="{00000000-0005-0000-0000-0000F4010000}"/>
    <cellStyle name="Comma 57 2" xfId="1013" xr:uid="{00000000-0005-0000-0000-0000F5010000}"/>
    <cellStyle name="Comma 57 2 2" xfId="2461" xr:uid="{2B5E7E38-010F-406F-AA3E-3FCCD9E29945}"/>
    <cellStyle name="Comma 57 2 2 2" xfId="5317" xr:uid="{2300DC78-B102-4D42-8050-092337ABA965}"/>
    <cellStyle name="Comma 57 2 3" xfId="3899" xr:uid="{C0E9E1D7-9EDB-44D4-9A13-DF24B4711D9C}"/>
    <cellStyle name="Comma 57 3" xfId="1814" xr:uid="{CD90E712-FDDE-4CAA-A1F3-FA8DB0CB307D}"/>
    <cellStyle name="Comma 57 3 2" xfId="4674" xr:uid="{8F2EF3AA-E21A-4989-B1FB-0A590AF885AA}"/>
    <cellStyle name="Comma 57 4" xfId="3258" xr:uid="{95F9D5FA-2B28-4D51-AE1B-7548E8B63CA2}"/>
    <cellStyle name="Comma 58" xfId="293" xr:uid="{00000000-0005-0000-0000-0000F6010000}"/>
    <cellStyle name="Comma 58 2" xfId="450" xr:uid="{00000000-0005-0000-0000-0000F7010000}"/>
    <cellStyle name="Comma 58 2 2" xfId="617" xr:uid="{00000000-0005-0000-0000-0000F8010000}"/>
    <cellStyle name="Comma 58 2 2 2" xfId="704" xr:uid="{00000000-0005-0000-0000-0000F9010000}"/>
    <cellStyle name="Comma 58 2 2 2 2" xfId="1387" xr:uid="{00000000-0005-0000-0000-0000FA010000}"/>
    <cellStyle name="Comma 58 2 2 2 2 2" xfId="2834" xr:uid="{777975EE-F140-4DAD-A29D-14761C1FB746}"/>
    <cellStyle name="Comma 58 2 2 2 2 2 2" xfId="5689" xr:uid="{CCABDDBA-B045-42EB-A21C-A0ABDEA8CAB0}"/>
    <cellStyle name="Comma 58 2 2 2 2 3" xfId="4271" xr:uid="{F4BFC284-2166-43CD-8517-960608DD23F3}"/>
    <cellStyle name="Comma 58 2 2 2 3" xfId="1491" xr:uid="{00000000-0005-0000-0000-0000FB010000}"/>
    <cellStyle name="Comma 58 2 2 2 3 2" xfId="2919" xr:uid="{1F25AF8C-B1CA-4DEB-888A-672B56441CA7}"/>
    <cellStyle name="Comma 58 2 2 2 3 2 2" xfId="5773" xr:uid="{28D6C943-0082-4370-A445-9DBA26F2EB2B}"/>
    <cellStyle name="Comma 58 2 2 2 3 3" xfId="4352" xr:uid="{F367E8BC-3EFF-4E95-B50B-92AB66ED9785}"/>
    <cellStyle name="Comma 58 2 2 2 4" xfId="2192" xr:uid="{D4785AF4-7710-453B-A727-7A3928DC38B0}"/>
    <cellStyle name="Comma 58 2 2 2 4 2" xfId="5050" xr:uid="{021E6507-5D12-44E0-8F48-12674039D97A}"/>
    <cellStyle name="Comma 58 2 2 2 5" xfId="3634" xr:uid="{2E02AC98-A4A7-4FBA-8426-366797F91BB0}"/>
    <cellStyle name="Comma 58 2 2 3" xfId="1335" xr:uid="{00000000-0005-0000-0000-0000FC010000}"/>
    <cellStyle name="Comma 58 2 2 3 2" xfId="2783" xr:uid="{0C202E83-430C-4553-AFF2-CE504BCB0403}"/>
    <cellStyle name="Comma 58 2 2 3 2 2" xfId="5639" xr:uid="{532E50C4-9163-42C3-9ED4-7D9C7C1A9682}"/>
    <cellStyle name="Comma 58 2 2 3 3" xfId="4221" xr:uid="{3F29E09D-9F89-40B5-9F1F-B631937409B8}"/>
    <cellStyle name="Comma 58 2 2 4" xfId="2138" xr:uid="{590B3D27-3B3E-4276-A7CC-689FCEE1FB52}"/>
    <cellStyle name="Comma 58 2 2 4 2" xfId="4998" xr:uid="{9CAB7210-1B37-4F36-BD4F-5B7A1C285613}"/>
    <cellStyle name="Comma 58 2 2 5" xfId="3582" xr:uid="{0839970F-1A11-4DED-9F24-DF522C46D4C3}"/>
    <cellStyle name="Comma 58 2 3" xfId="1171" xr:uid="{00000000-0005-0000-0000-0000FD010000}"/>
    <cellStyle name="Comma 58 2 3 2" xfId="2619" xr:uid="{1FFCA444-1C95-41B1-BC7A-AFFC96D5882E}"/>
    <cellStyle name="Comma 58 2 3 2 2" xfId="5475" xr:uid="{C96E8B0A-8610-44E4-9765-65ED2EA898D2}"/>
    <cellStyle name="Comma 58 2 3 3" xfId="4057" xr:uid="{DEBF3117-D01B-4EAB-8AE9-59D3B7C9E311}"/>
    <cellStyle name="Comma 58 2 4" xfId="1973" xr:uid="{7EB1BD51-2F85-4ABC-9EE8-0F005AA77F76}"/>
    <cellStyle name="Comma 58 2 4 2" xfId="4833" xr:uid="{5B785852-9223-4576-AEA6-964F29652E17}"/>
    <cellStyle name="Comma 58 2 5" xfId="3417" xr:uid="{5B6B44CE-9563-44BF-84C4-303EF29A7D06}"/>
    <cellStyle name="Comma 58 3" xfId="1015" xr:uid="{00000000-0005-0000-0000-0000FE010000}"/>
    <cellStyle name="Comma 58 3 2" xfId="2463" xr:uid="{771FCD93-8569-4F84-BD89-4EFB364E4607}"/>
    <cellStyle name="Comma 58 3 2 2" xfId="5319" xr:uid="{FAE9FB37-1A71-49AE-921B-F0CC7CF843A4}"/>
    <cellStyle name="Comma 58 3 3" xfId="3901" xr:uid="{DFEAE9DA-AE18-4D84-8A1B-9D582E5BFB9A}"/>
    <cellStyle name="Comma 58 4" xfId="1816" xr:uid="{B8F80952-1A6B-45D2-A669-43ACD43E4495}"/>
    <cellStyle name="Comma 58 4 2" xfId="4676" xr:uid="{6EA7E502-2F7A-4943-B44C-74EFC8365E2E}"/>
    <cellStyle name="Comma 58 5" xfId="3260" xr:uid="{2A387107-DAE7-49BB-B7EB-5776EA6CAD9F}"/>
    <cellStyle name="Comma 59" xfId="300" xr:uid="{00000000-0005-0000-0000-0000FF010000}"/>
    <cellStyle name="Comma 59 2" xfId="1021" xr:uid="{00000000-0005-0000-0000-000000020000}"/>
    <cellStyle name="Comma 59 2 2" xfId="2469" xr:uid="{A642BC84-F369-4B00-A950-F1EDA8563EDE}"/>
    <cellStyle name="Comma 59 2 2 2" xfId="5325" xr:uid="{28FA5567-1C7C-4691-A976-EAD7F8BB01A7}"/>
    <cellStyle name="Comma 59 2 3" xfId="3907" xr:uid="{B462F025-7ACC-4DA3-A89C-55A7A3A03DB5}"/>
    <cellStyle name="Comma 59 3" xfId="1823" xr:uid="{EF508F9C-5A7F-46F2-8BDD-4579EC2B03F7}"/>
    <cellStyle name="Comma 59 3 2" xfId="4683" xr:uid="{B33218E8-ED03-4DAE-AB28-C70393BD00CA}"/>
    <cellStyle name="Comma 59 4" xfId="3267" xr:uid="{B4A3C299-1757-436D-ACD3-B810316DBB2C}"/>
    <cellStyle name="Comma 6" xfId="49" xr:uid="{00000000-0005-0000-0000-000001020000}"/>
    <cellStyle name="Comma 6 2" xfId="62" xr:uid="{00000000-0005-0000-0000-000002020000}"/>
    <cellStyle name="Comma 6 2 2" xfId="790" xr:uid="{00000000-0005-0000-0000-000003020000}"/>
    <cellStyle name="Comma 6 2 2 2" xfId="2241" xr:uid="{2E8A12D9-80DF-438B-A89D-260E0FB390FD}"/>
    <cellStyle name="Comma 6 2 2 2 2" xfId="5097" xr:uid="{3FFC4E8F-ADA0-435B-AE2F-A66C7E1ACD5F}"/>
    <cellStyle name="Comma 6 2 2 3" xfId="3679" xr:uid="{7374F41A-CFA2-4B56-829A-2DE0E6A9FAF7}"/>
    <cellStyle name="Comma 6 2 3" xfId="1593" xr:uid="{4848C0B8-BB89-4BA7-A0CD-C3F94769CF03}"/>
    <cellStyle name="Comma 6 2 3 2" xfId="4453" xr:uid="{B6DDBD1F-39D6-481C-8C5E-0290D995696F}"/>
    <cellStyle name="Comma 6 2 4" xfId="3038" xr:uid="{2BACEB42-8CC2-445B-B7A0-E76857595BCD}"/>
    <cellStyle name="Comma 6 3" xfId="782" xr:uid="{00000000-0005-0000-0000-000004020000}"/>
    <cellStyle name="Comma 6 3 2" xfId="2234" xr:uid="{96361BBC-9A1C-470D-9438-11C858224C62}"/>
    <cellStyle name="Comma 6 3 2 2" xfId="5090" xr:uid="{D354871B-116E-4102-83E3-A3261EB89F25}"/>
    <cellStyle name="Comma 6 3 3" xfId="3672" xr:uid="{0C1F957E-6646-4062-A2C4-F1DD2A036105}"/>
    <cellStyle name="Comma 6 4" xfId="1586" xr:uid="{8E87E08F-EB24-425C-BB74-5FAFE37D7E99}"/>
    <cellStyle name="Comma 6 4 2" xfId="4446" xr:uid="{94ABFDCA-BC6E-4488-B3F2-240A250A3EE9}"/>
    <cellStyle name="Comma 6 5" xfId="3031" xr:uid="{CBD5EB84-4847-4541-9448-0F8E63105396}"/>
    <cellStyle name="Comma 60" xfId="304" xr:uid="{00000000-0005-0000-0000-000005020000}"/>
    <cellStyle name="Comma 60 2" xfId="1025" xr:uid="{00000000-0005-0000-0000-000006020000}"/>
    <cellStyle name="Comma 60 2 2" xfId="2473" xr:uid="{124A6300-FEA0-4AD9-83A2-8D0F1374082D}"/>
    <cellStyle name="Comma 60 2 2 2" xfId="5329" xr:uid="{F79F3E16-6571-4FD1-A40C-6B54139E7FAB}"/>
    <cellStyle name="Comma 60 2 3" xfId="3911" xr:uid="{8F3A8C2E-C144-4776-94E2-09890FA3D0D4}"/>
    <cellStyle name="Comma 60 3" xfId="1827" xr:uid="{3355D705-566D-492D-A2B6-84A0AFE49ED8}"/>
    <cellStyle name="Comma 60 3 2" xfId="4687" xr:uid="{8354326B-19B3-422B-80C9-9F2CBDF30137}"/>
    <cellStyle name="Comma 60 4" xfId="3271" xr:uid="{E46C5579-9EB0-4C9D-B18D-61DE2D8603D3}"/>
    <cellStyle name="Comma 61" xfId="311" xr:uid="{00000000-0005-0000-0000-000007020000}"/>
    <cellStyle name="Comma 61 2" xfId="1032" xr:uid="{00000000-0005-0000-0000-000008020000}"/>
    <cellStyle name="Comma 61 2 2" xfId="2480" xr:uid="{CC3FF249-D464-4BD3-92D8-AFF97841106C}"/>
    <cellStyle name="Comma 61 2 2 2" xfId="5336" xr:uid="{F45C4948-D2BE-40DD-B0CC-AEA9370C295A}"/>
    <cellStyle name="Comma 61 2 3" xfId="3918" xr:uid="{F32DA95C-56AC-4463-A57F-18028AFAE9D1}"/>
    <cellStyle name="Comma 61 3" xfId="1834" xr:uid="{092363F0-2DC1-41C2-B118-59FF387A21CA}"/>
    <cellStyle name="Comma 61 3 2" xfId="4694" xr:uid="{D8214191-2BD0-48FE-B44E-4196BEDD98C5}"/>
    <cellStyle name="Comma 61 4" xfId="3278" xr:uid="{EDAAEFD3-5628-4C02-B2B5-6F9AA4B3ECD5}"/>
    <cellStyle name="Comma 62" xfId="313" xr:uid="{00000000-0005-0000-0000-000009020000}"/>
    <cellStyle name="Comma 62 2" xfId="1034" xr:uid="{00000000-0005-0000-0000-00000A020000}"/>
    <cellStyle name="Comma 62 2 2" xfId="2482" xr:uid="{47EA369E-7082-4C44-8F7F-9DA2CC29349C}"/>
    <cellStyle name="Comma 62 2 2 2" xfId="5338" xr:uid="{ACCD7CA8-837D-4821-B24B-F3C6D5DA9804}"/>
    <cellStyle name="Comma 62 2 3" xfId="3920" xr:uid="{D2554D02-D56D-48D7-93CB-A27308C4A71B}"/>
    <cellStyle name="Comma 62 3" xfId="1836" xr:uid="{E44E2D80-6345-4C03-803D-8F68D46254B0}"/>
    <cellStyle name="Comma 62 3 2" xfId="4696" xr:uid="{4DFA5AE6-6653-4464-A64A-DEF28DABC607}"/>
    <cellStyle name="Comma 62 4" xfId="3280" xr:uid="{E04667FB-6837-49F3-8B89-E7FD6FE181C5}"/>
    <cellStyle name="Comma 63" xfId="317" xr:uid="{00000000-0005-0000-0000-00000B020000}"/>
    <cellStyle name="Comma 63 2" xfId="1038" xr:uid="{00000000-0005-0000-0000-00000C020000}"/>
    <cellStyle name="Comma 63 2 2" xfId="2486" xr:uid="{B6773F9C-572A-4DBE-98D8-BB4C040F24DF}"/>
    <cellStyle name="Comma 63 2 2 2" xfId="5342" xr:uid="{3653EB59-15AD-4E04-B199-F4668EC37F01}"/>
    <cellStyle name="Comma 63 2 3" xfId="3924" xr:uid="{52965062-C966-43A0-A91C-DAE9635443E1}"/>
    <cellStyle name="Comma 63 3" xfId="1840" xr:uid="{8DD9CCF3-CF0E-4E54-93A2-24F5E923E3A7}"/>
    <cellStyle name="Comma 63 3 2" xfId="4700" xr:uid="{F5230875-7F95-4B32-A987-8D2DE3F93A97}"/>
    <cellStyle name="Comma 63 4" xfId="3284" xr:uid="{626BC892-02C4-4FA9-8D1C-1B28825F2975}"/>
    <cellStyle name="Comma 64" xfId="327" xr:uid="{00000000-0005-0000-0000-00000D020000}"/>
    <cellStyle name="Comma 64 2" xfId="1048" xr:uid="{00000000-0005-0000-0000-00000E020000}"/>
    <cellStyle name="Comma 64 2 2" xfId="2496" xr:uid="{CA82CC6B-451C-4C23-BCFE-05D4FB32E1EC}"/>
    <cellStyle name="Comma 64 2 2 2" xfId="5352" xr:uid="{9349BAFB-D768-457C-8255-9164048CBAC9}"/>
    <cellStyle name="Comma 64 2 3" xfId="3934" xr:uid="{406FD300-B7BE-4A0E-8404-F172FBB546D3}"/>
    <cellStyle name="Comma 64 3" xfId="1850" xr:uid="{BF5C22F1-460F-44D2-A80E-1F8EEC5F932B}"/>
    <cellStyle name="Comma 64 3 2" xfId="4710" xr:uid="{FF17FEA1-320B-42F5-A8E1-2133C2457E92}"/>
    <cellStyle name="Comma 64 4" xfId="3294" xr:uid="{4A1C1D64-E353-44D6-9C17-D73AAB53FEB4}"/>
    <cellStyle name="Comma 65" xfId="331" xr:uid="{00000000-0005-0000-0000-00000F020000}"/>
    <cellStyle name="Comma 65 2" xfId="1052" xr:uid="{00000000-0005-0000-0000-000010020000}"/>
    <cellStyle name="Comma 65 2 2" xfId="2500" xr:uid="{6B316DC9-17C5-4E72-920B-90960B9EBF48}"/>
    <cellStyle name="Comma 65 2 2 2" xfId="5356" xr:uid="{5AE7D321-9401-4469-A8D1-236D74EE6F40}"/>
    <cellStyle name="Comma 65 2 3" xfId="3938" xr:uid="{61BAD7FC-B331-40E7-AFC1-7FD99024DB2D}"/>
    <cellStyle name="Comma 65 3" xfId="1854" xr:uid="{5770EE9D-B72B-4EF1-A5C7-192939528283}"/>
    <cellStyle name="Comma 65 3 2" xfId="4714" xr:uid="{4A7CCF17-8E1A-48C5-9775-04194A60901A}"/>
    <cellStyle name="Comma 65 4" xfId="3298" xr:uid="{AA8B605C-A6CC-47B1-870C-32A249E857BE}"/>
    <cellStyle name="Comma 66" xfId="334" xr:uid="{00000000-0005-0000-0000-000011020000}"/>
    <cellStyle name="Comma 66 2" xfId="1055" xr:uid="{00000000-0005-0000-0000-000012020000}"/>
    <cellStyle name="Comma 66 2 2" xfId="2503" xr:uid="{7FA0727F-1F3A-47E3-805D-45BA12577053}"/>
    <cellStyle name="Comma 66 2 2 2" xfId="5359" xr:uid="{8C62E81D-9CB4-46CD-A5AB-63F71D3E673D}"/>
    <cellStyle name="Comma 66 2 3" xfId="3941" xr:uid="{E7CFA2BE-4B3F-4932-89C0-8C066C274CFF}"/>
    <cellStyle name="Comma 66 3" xfId="1857" xr:uid="{E6A4976B-0733-4A80-B00C-5139EE715C0B}"/>
    <cellStyle name="Comma 66 3 2" xfId="4717" xr:uid="{29B885F6-EEFE-4222-BF82-FB48982B8017}"/>
    <cellStyle name="Comma 66 4" xfId="3301" xr:uid="{E237917D-C95D-4FBD-94DB-7AD74D615CD2}"/>
    <cellStyle name="Comma 67" xfId="343" xr:uid="{00000000-0005-0000-0000-000013020000}"/>
    <cellStyle name="Comma 67 2" xfId="1064" xr:uid="{00000000-0005-0000-0000-000014020000}"/>
    <cellStyle name="Comma 67 2 2" xfId="2512" xr:uid="{05F77861-9D22-4229-9CA7-386EB5DB00A2}"/>
    <cellStyle name="Comma 67 2 2 2" xfId="5368" xr:uid="{8BE5367C-333E-4BF6-A06C-83CDC39314A8}"/>
    <cellStyle name="Comma 67 2 3" xfId="3950" xr:uid="{6DD51415-DFBD-470D-B4E3-19348A997D0D}"/>
    <cellStyle name="Comma 67 3" xfId="1866" xr:uid="{454F6A0F-9214-493A-884D-D1EDE8137215}"/>
    <cellStyle name="Comma 67 3 2" xfId="4726" xr:uid="{BE47E050-856B-464F-B351-D6F878462735}"/>
    <cellStyle name="Comma 67 4" xfId="3310" xr:uid="{06F2C085-A94B-4056-A658-75794940C3B6}"/>
    <cellStyle name="Comma 68" xfId="346" xr:uid="{00000000-0005-0000-0000-000015020000}"/>
    <cellStyle name="Comma 68 2" xfId="1067" xr:uid="{00000000-0005-0000-0000-000016020000}"/>
    <cellStyle name="Comma 68 2 2" xfId="2515" xr:uid="{8E1C1EBD-0E51-4B49-A0F5-DAB7502A75E7}"/>
    <cellStyle name="Comma 68 2 2 2" xfId="5371" xr:uid="{6CF2B0BA-213F-4527-8848-6697D4F3362B}"/>
    <cellStyle name="Comma 68 2 3" xfId="3953" xr:uid="{047804E8-C5DD-45AE-BD8A-074709560875}"/>
    <cellStyle name="Comma 68 3" xfId="1869" xr:uid="{33D81F23-3EFC-47A8-8000-6B2CCA7BFE2E}"/>
    <cellStyle name="Comma 68 3 2" xfId="4729" xr:uid="{F19F4472-89F7-4E20-8ED6-263A3A9CC8AE}"/>
    <cellStyle name="Comma 68 4" xfId="3313" xr:uid="{850AF667-2127-440D-8D17-66CF8FC6CB6C}"/>
    <cellStyle name="Comma 69" xfId="355" xr:uid="{00000000-0005-0000-0000-000017020000}"/>
    <cellStyle name="Comma 69 2" xfId="1076" xr:uid="{00000000-0005-0000-0000-000018020000}"/>
    <cellStyle name="Comma 69 2 2" xfId="2524" xr:uid="{A11A8856-EECA-4E20-A58F-A41E5E7A4178}"/>
    <cellStyle name="Comma 69 2 2 2" xfId="5380" xr:uid="{A71E11CE-F024-4E40-9546-9F7053C95498}"/>
    <cellStyle name="Comma 69 2 3" xfId="3962" xr:uid="{E328BAB4-382F-4E27-9554-75544B16B1CD}"/>
    <cellStyle name="Comma 69 3" xfId="1878" xr:uid="{1A8499C3-2A94-43CF-A0DE-84F6DE4DCBA4}"/>
    <cellStyle name="Comma 69 3 2" xfId="4738" xr:uid="{EA149029-7D3A-470E-8862-65CC13873760}"/>
    <cellStyle name="Comma 69 4" xfId="3322" xr:uid="{FDDF0C8E-8977-4F28-894D-7955BB90CA9E}"/>
    <cellStyle name="Comma 7" xfId="52" xr:uid="{00000000-0005-0000-0000-000019020000}"/>
    <cellStyle name="Comma 7 2" xfId="784" xr:uid="{00000000-0005-0000-0000-00001A020000}"/>
    <cellStyle name="Comma 7 2 2" xfId="2236" xr:uid="{CC67E6C6-F41C-4CCD-8B7E-BA6A1EF2DE36}"/>
    <cellStyle name="Comma 7 2 2 2" xfId="5092" xr:uid="{1C46958B-A772-4AAC-8E4C-3C2996300228}"/>
    <cellStyle name="Comma 7 2 3" xfId="3674" xr:uid="{D405D672-0160-4048-A484-1370BCA5B382}"/>
    <cellStyle name="Comma 7 3" xfId="1588" xr:uid="{CC657EE0-8487-424C-88D3-4A00ECB5A876}"/>
    <cellStyle name="Comma 7 3 2" xfId="4448" xr:uid="{D8A70B1A-1E28-496B-B02B-A97AFD95CEAD}"/>
    <cellStyle name="Comma 7 4" xfId="3033" xr:uid="{D08C87A5-60F7-4416-ADC1-A1BF8C39E282}"/>
    <cellStyle name="Comma 70" xfId="359" xr:uid="{00000000-0005-0000-0000-00001B020000}"/>
    <cellStyle name="Comma 70 2" xfId="1080" xr:uid="{00000000-0005-0000-0000-00001C020000}"/>
    <cellStyle name="Comma 70 2 2" xfId="2528" xr:uid="{DD999059-9DE1-4522-B372-33FA489C164C}"/>
    <cellStyle name="Comma 70 2 2 2" xfId="5384" xr:uid="{390DDCEE-8C39-431E-98AA-AD0E6D4410C4}"/>
    <cellStyle name="Comma 70 2 3" xfId="3966" xr:uid="{FDF5A683-EACC-42B4-A7CE-B327211E2D5E}"/>
    <cellStyle name="Comma 70 3" xfId="1882" xr:uid="{C4AC953F-E994-4A6D-A434-F4766B1F1EF2}"/>
    <cellStyle name="Comma 70 3 2" xfId="4742" xr:uid="{F0CC852C-623A-4800-A96C-7DE093EA6914}"/>
    <cellStyle name="Comma 70 4" xfId="3326" xr:uid="{2FD6B623-F0E5-4469-AE98-F1FCC31CCF48}"/>
    <cellStyle name="Comma 71" xfId="363" xr:uid="{00000000-0005-0000-0000-00001D020000}"/>
    <cellStyle name="Comma 71 2" xfId="1084" xr:uid="{00000000-0005-0000-0000-00001E020000}"/>
    <cellStyle name="Comma 71 2 2" xfId="2532" xr:uid="{98DFE17C-FBAB-4409-9EB1-2E993E6BC090}"/>
    <cellStyle name="Comma 71 2 2 2" xfId="5388" xr:uid="{8D48A1A3-8FA3-4F98-8E4F-7E2399AA1C2B}"/>
    <cellStyle name="Comma 71 2 3" xfId="3970" xr:uid="{42C19C2C-52BF-4E01-8560-84E446537E65}"/>
    <cellStyle name="Comma 71 3" xfId="1886" xr:uid="{B3D03BFF-99EE-44B5-8173-8FA32B47980A}"/>
    <cellStyle name="Comma 71 3 2" xfId="4746" xr:uid="{DC799F67-749D-491A-A349-A434C4023B90}"/>
    <cellStyle name="Comma 71 4" xfId="3330" xr:uid="{E122577A-F839-48D7-A073-BA11F3418EFA}"/>
    <cellStyle name="Comma 72" xfId="371" xr:uid="{00000000-0005-0000-0000-00001F020000}"/>
    <cellStyle name="Comma 72 2" xfId="1092" xr:uid="{00000000-0005-0000-0000-000020020000}"/>
    <cellStyle name="Comma 72 2 2" xfId="2540" xr:uid="{9EF0C277-D26B-4E4E-B0C7-E6E3AE9DCBB0}"/>
    <cellStyle name="Comma 72 2 2 2" xfId="5396" xr:uid="{F1F5BCD1-581F-48D0-9314-FB16695A2A19}"/>
    <cellStyle name="Comma 72 2 3" xfId="3978" xr:uid="{7CFC181B-1689-488E-9690-12EC0B4A6B3E}"/>
    <cellStyle name="Comma 72 3" xfId="1894" xr:uid="{120E345F-C045-4810-967A-1570C58A15C3}"/>
    <cellStyle name="Comma 72 3 2" xfId="4754" xr:uid="{F6716142-F6EE-4742-8972-4E3AE7ADF3AF}"/>
    <cellStyle name="Comma 72 4" xfId="3338" xr:uid="{9B6AB652-8611-4F45-AE57-6B6457BB4880}"/>
    <cellStyle name="Comma 73" xfId="375" xr:uid="{00000000-0005-0000-0000-000021020000}"/>
    <cellStyle name="Comma 73 2" xfId="1096" xr:uid="{00000000-0005-0000-0000-000022020000}"/>
    <cellStyle name="Comma 73 2 2" xfId="2544" xr:uid="{7B0CE32E-498F-4FF8-9F58-CA58C68AC9EC}"/>
    <cellStyle name="Comma 73 2 2 2" xfId="5400" xr:uid="{A0F24957-DEF3-4EB0-A159-7BF03C320982}"/>
    <cellStyle name="Comma 73 2 3" xfId="3982" xr:uid="{AEE55C02-3CE4-4AB5-A3D2-E0FE2DBDF719}"/>
    <cellStyle name="Comma 73 3" xfId="1898" xr:uid="{CA521C9F-8813-4F05-881D-97B1A235173D}"/>
    <cellStyle name="Comma 73 3 2" xfId="4758" xr:uid="{71C42BCB-2A2A-4AF0-A679-8EAE169DEDC9}"/>
    <cellStyle name="Comma 73 4" xfId="3342" xr:uid="{DA97EB80-D9FC-4C96-81BD-333CF61FA3AD}"/>
    <cellStyle name="Comma 74" xfId="383" xr:uid="{00000000-0005-0000-0000-000023020000}"/>
    <cellStyle name="Comma 74 2" xfId="1104" xr:uid="{00000000-0005-0000-0000-000024020000}"/>
    <cellStyle name="Comma 74 2 2" xfId="2552" xr:uid="{06F16C8A-9AD9-44AC-AFBE-7DB29B4C9034}"/>
    <cellStyle name="Comma 74 2 2 2" xfId="5408" xr:uid="{55F59CE1-90F0-49D1-BB4F-8EFFF025400C}"/>
    <cellStyle name="Comma 74 2 3" xfId="3990" xr:uid="{308F4E61-03A3-4A82-81EF-A91DEE1217D0}"/>
    <cellStyle name="Comma 74 3" xfId="1906" xr:uid="{5F251C25-F05B-4FD8-A7A1-3016517E59A9}"/>
    <cellStyle name="Comma 74 3 2" xfId="4766" xr:uid="{9853B249-0B60-4517-923D-6188CE0E0247}"/>
    <cellStyle name="Comma 74 4" xfId="3350" xr:uid="{4753419C-1A4F-4766-A2F3-0D1C3D326E98}"/>
    <cellStyle name="Comma 75" xfId="391" xr:uid="{00000000-0005-0000-0000-000025020000}"/>
    <cellStyle name="Comma 75 2" xfId="1112" xr:uid="{00000000-0005-0000-0000-000026020000}"/>
    <cellStyle name="Comma 75 2 2" xfId="2560" xr:uid="{ECEFE9DA-4A4F-4356-B7DE-826B7548EF41}"/>
    <cellStyle name="Comma 75 2 2 2" xfId="5416" xr:uid="{C6AD010C-4E6C-4C0C-8285-AA8D4D221EE0}"/>
    <cellStyle name="Comma 75 2 3" xfId="3998" xr:uid="{472554D9-7772-4BE6-A4B8-362D22832C2C}"/>
    <cellStyle name="Comma 75 3" xfId="1914" xr:uid="{4853864A-DAE7-4162-B50E-ADA76F67AC50}"/>
    <cellStyle name="Comma 75 3 2" xfId="4774" xr:uid="{E1173288-6A03-4460-8C4A-390BE67B1279}"/>
    <cellStyle name="Comma 75 4" xfId="3358" xr:uid="{90A57B4D-D5EE-4749-B7EF-1922A087CCDE}"/>
    <cellStyle name="Comma 76" xfId="394" xr:uid="{00000000-0005-0000-0000-000027020000}"/>
    <cellStyle name="Comma 76 2" xfId="1115" xr:uid="{00000000-0005-0000-0000-000028020000}"/>
    <cellStyle name="Comma 76 2 2" xfId="2563" xr:uid="{21106BA9-0787-43E7-8722-B66EB3E112C5}"/>
    <cellStyle name="Comma 76 2 2 2" xfId="5419" xr:uid="{CE67A70A-15ED-4BE5-9AFD-CC35CA372FB8}"/>
    <cellStyle name="Comma 76 2 3" xfId="4001" xr:uid="{579939A9-8DAD-4563-996C-62EE29C8C41F}"/>
    <cellStyle name="Comma 76 3" xfId="1917" xr:uid="{3858A7B0-3E30-4273-9D6A-91DCA1FFC095}"/>
    <cellStyle name="Comma 76 3 2" xfId="4777" xr:uid="{46007090-109B-4AA1-A29D-E0C034265984}"/>
    <cellStyle name="Comma 76 4" xfId="3361" xr:uid="{15A23BA4-AEBD-4C62-9E05-FB30854D4992}"/>
    <cellStyle name="Comma 77" xfId="399" xr:uid="{00000000-0005-0000-0000-000029020000}"/>
    <cellStyle name="Comma 77 2" xfId="1120" xr:uid="{00000000-0005-0000-0000-00002A020000}"/>
    <cellStyle name="Comma 77 2 2" xfId="2568" xr:uid="{236DE160-044E-4F97-942F-02791B5033CD}"/>
    <cellStyle name="Comma 77 2 2 2" xfId="5424" xr:uid="{594AA5BD-D37F-48F6-BAF1-51F6619C8FC8}"/>
    <cellStyle name="Comma 77 2 3" xfId="4006" xr:uid="{9970A257-77B3-4568-800F-FF361CF6ACD1}"/>
    <cellStyle name="Comma 77 3" xfId="1922" xr:uid="{5DE5270E-CF51-4287-9BE5-8567C02DA935}"/>
    <cellStyle name="Comma 77 3 2" xfId="4782" xr:uid="{5001EC74-A53B-45E1-B52B-E9D26C6A13DF}"/>
    <cellStyle name="Comma 77 4" xfId="3366" xr:uid="{12D98F5F-5C13-409D-8B69-B42700765542}"/>
    <cellStyle name="Comma 78" xfId="401" xr:uid="{00000000-0005-0000-0000-00002B020000}"/>
    <cellStyle name="Comma 78 2" xfId="1122" xr:uid="{00000000-0005-0000-0000-00002C020000}"/>
    <cellStyle name="Comma 78 2 2" xfId="2570" xr:uid="{63409BD0-92EF-4CD7-A7DC-EAF4A0DC9714}"/>
    <cellStyle name="Comma 78 2 2 2" xfId="5426" xr:uid="{ED5583BC-F80E-4431-944B-1EC96F8EEBD7}"/>
    <cellStyle name="Comma 78 2 3" xfId="4008" xr:uid="{B1CFB321-424A-473A-9C07-1B9E13C3975D}"/>
    <cellStyle name="Comma 78 3" xfId="1924" xr:uid="{B7F1915B-F7DE-41A8-86F2-C3432957C722}"/>
    <cellStyle name="Comma 78 3 2" xfId="4784" xr:uid="{E09A22BC-CBD4-4C10-B20F-AFA9E0888BBD}"/>
    <cellStyle name="Comma 78 4" xfId="3368" xr:uid="{EE4E25BE-B6A2-424B-B65A-DEE2476FD1A7}"/>
    <cellStyle name="Comma 79" xfId="410" xr:uid="{00000000-0005-0000-0000-00002D020000}"/>
    <cellStyle name="Comma 79 2" xfId="1131" xr:uid="{00000000-0005-0000-0000-00002E020000}"/>
    <cellStyle name="Comma 79 2 2" xfId="2579" xr:uid="{3005A128-5F74-448D-A182-CD1EEC942A7C}"/>
    <cellStyle name="Comma 79 2 2 2" xfId="5435" xr:uid="{52AD5D99-BF72-40D2-A853-71464D83FEDC}"/>
    <cellStyle name="Comma 79 2 3" xfId="4017" xr:uid="{6A21F582-8452-43D6-8AD8-62729DAE8361}"/>
    <cellStyle name="Comma 79 3" xfId="1933" xr:uid="{3F7AB064-CC8C-4D6D-B7E8-F3A875849CDA}"/>
    <cellStyle name="Comma 79 3 2" xfId="4793" xr:uid="{1612BFCD-BF48-4E55-8E3E-02B9E765D860}"/>
    <cellStyle name="Comma 79 4" xfId="3377" xr:uid="{5E92A09C-A08C-4087-BDAF-56A48A1455BF}"/>
    <cellStyle name="Comma 8" xfId="55" xr:uid="{00000000-0005-0000-0000-00002F020000}"/>
    <cellStyle name="Comma 80" xfId="419" xr:uid="{00000000-0005-0000-0000-000030020000}"/>
    <cellStyle name="Comma 80 2" xfId="1140" xr:uid="{00000000-0005-0000-0000-000031020000}"/>
    <cellStyle name="Comma 80 2 2" xfId="2588" xr:uid="{23494F79-34CC-4A77-901E-52C2E525CBCA}"/>
    <cellStyle name="Comma 80 2 2 2" xfId="5444" xr:uid="{5E6DE0F1-ACF9-4692-8FA2-A3D889922350}"/>
    <cellStyle name="Comma 80 2 3" xfId="4026" xr:uid="{569B559E-0916-445C-B19F-919E3E6BB834}"/>
    <cellStyle name="Comma 80 3" xfId="1942" xr:uid="{EDC96054-ADB3-45DC-B774-F0AAEE411870}"/>
    <cellStyle name="Comma 80 3 2" xfId="4802" xr:uid="{011F0E57-3133-4F06-8854-41A6D4A9B245}"/>
    <cellStyle name="Comma 80 4" xfId="3386" xr:uid="{DAA44837-1F44-4F91-9AF2-115392FE82CA}"/>
    <cellStyle name="Comma 81" xfId="422" xr:uid="{00000000-0005-0000-0000-000032020000}"/>
    <cellStyle name="Comma 81 2" xfId="1143" xr:uid="{00000000-0005-0000-0000-000033020000}"/>
    <cellStyle name="Comma 81 2 2" xfId="2591" xr:uid="{9E03E048-1D97-4A5B-BFE7-BC27FDD837AA}"/>
    <cellStyle name="Comma 81 2 2 2" xfId="5447" xr:uid="{C2DB3B5E-922B-4E6F-BC54-8700FBDF393D}"/>
    <cellStyle name="Comma 81 2 3" xfId="4029" xr:uid="{C642F629-E554-4E65-9036-1815687B047C}"/>
    <cellStyle name="Comma 81 3" xfId="1945" xr:uid="{9737E649-021E-44BB-90B2-4F5DFD26E493}"/>
    <cellStyle name="Comma 81 3 2" xfId="4805" xr:uid="{2D6317B1-C1D4-4C6B-B331-B2947A04477A}"/>
    <cellStyle name="Comma 81 4" xfId="3389" xr:uid="{CEE128DB-4875-4CA0-A1BA-C8F041832C4B}"/>
    <cellStyle name="Comma 82" xfId="425" xr:uid="{00000000-0005-0000-0000-000034020000}"/>
    <cellStyle name="Comma 82 2" xfId="1146" xr:uid="{00000000-0005-0000-0000-000035020000}"/>
    <cellStyle name="Comma 82 2 2" xfId="2594" xr:uid="{2ABE62C6-85CD-4CE3-A91D-9C3D41AFFAE6}"/>
    <cellStyle name="Comma 82 2 2 2" xfId="5450" xr:uid="{DD4B3F02-99E8-4366-BBD9-E36F40716F43}"/>
    <cellStyle name="Comma 82 2 3" xfId="4032" xr:uid="{37DCE267-E19E-44D2-8E9B-DE288B6948FF}"/>
    <cellStyle name="Comma 82 3" xfId="1948" xr:uid="{1588B5D8-9167-45BB-8C07-FEB6D19A7FB3}"/>
    <cellStyle name="Comma 82 3 2" xfId="4808" xr:uid="{EF8309F7-D713-4F6E-AAA9-72278E20DC50}"/>
    <cellStyle name="Comma 82 4" xfId="3392" xr:uid="{85A68F6F-5F85-46FE-812A-27B327AFF12C}"/>
    <cellStyle name="Comma 83" xfId="441" xr:uid="{00000000-0005-0000-0000-000036020000}"/>
    <cellStyle name="Comma 83 2" xfId="1162" xr:uid="{00000000-0005-0000-0000-000037020000}"/>
    <cellStyle name="Comma 83 2 2" xfId="2610" xr:uid="{D69317E3-A46B-4DED-8A9E-B083B576E8DA}"/>
    <cellStyle name="Comma 83 2 2 2" xfId="5466" xr:uid="{DFE67C7C-4A7D-4795-B755-1E8BA1CFB759}"/>
    <cellStyle name="Comma 83 2 3" xfId="4048" xr:uid="{CC0D3338-93B0-4DC5-BCCE-9C92B79B7195}"/>
    <cellStyle name="Comma 83 3" xfId="1964" xr:uid="{1E9CB011-477F-411A-8A79-1D1D9330A255}"/>
    <cellStyle name="Comma 83 3 2" xfId="4824" xr:uid="{9C15729D-A27B-478E-A5AD-8F40C68C98C5}"/>
    <cellStyle name="Comma 83 4" xfId="3408" xr:uid="{3FEAB1E6-7120-46D3-9358-E3A4279A82E1}"/>
    <cellStyle name="Comma 84" xfId="444" xr:uid="{00000000-0005-0000-0000-000038020000}"/>
    <cellStyle name="Comma 84 2" xfId="1165" xr:uid="{00000000-0005-0000-0000-000039020000}"/>
    <cellStyle name="Comma 84 2 2" xfId="2613" xr:uid="{E8C0C183-CD1C-4421-9D5C-2901018CF04A}"/>
    <cellStyle name="Comma 84 2 2 2" xfId="5469" xr:uid="{DCE7BAA4-538D-4310-8F8F-FA8F76B45AEF}"/>
    <cellStyle name="Comma 84 2 3" xfId="4051" xr:uid="{1AD85E69-6455-495E-A821-9B5184CE452B}"/>
    <cellStyle name="Comma 84 3" xfId="1967" xr:uid="{8602FACF-5EA9-4D87-9BD0-BA9DBDC6F147}"/>
    <cellStyle name="Comma 84 3 2" xfId="4827" xr:uid="{A7070C88-FDD1-4240-BF87-5FE3840F5BB7}"/>
    <cellStyle name="Comma 84 4" xfId="3411" xr:uid="{2A70D5E2-99F9-4312-AE50-05538E92FAD9}"/>
    <cellStyle name="Comma 85" xfId="447" xr:uid="{00000000-0005-0000-0000-00003A020000}"/>
    <cellStyle name="Comma 85 2" xfId="1168" xr:uid="{00000000-0005-0000-0000-00003B020000}"/>
    <cellStyle name="Comma 85 2 2" xfId="2616" xr:uid="{CDBD7DB0-606C-4062-A083-379E6DB8B627}"/>
    <cellStyle name="Comma 85 2 2 2" xfId="5472" xr:uid="{72B545A9-7F78-4917-927B-A5C8316E77E2}"/>
    <cellStyle name="Comma 85 2 3" xfId="4054" xr:uid="{59BF0722-6B16-4C34-924B-5C69903BB925}"/>
    <cellStyle name="Comma 85 3" xfId="1970" xr:uid="{1ABFF588-F0E8-4B17-83B2-ED69976977BE}"/>
    <cellStyle name="Comma 85 3 2" xfId="4830" xr:uid="{B749592C-519D-4FF1-AB45-CC4D5CD2AA9B}"/>
    <cellStyle name="Comma 85 4" xfId="3414" xr:uid="{914DAA30-5920-4D7E-93D3-8AB272587BC4}"/>
    <cellStyle name="Comma 86" xfId="461" xr:uid="{00000000-0005-0000-0000-00003C020000}"/>
    <cellStyle name="Comma 86 2" xfId="1181" xr:uid="{00000000-0005-0000-0000-00003D020000}"/>
    <cellStyle name="Comma 86 2 2" xfId="2629" xr:uid="{0AE57407-384D-42FC-8024-41F5EDE7E725}"/>
    <cellStyle name="Comma 86 2 2 2" xfId="5485" xr:uid="{4877C6CD-9EF7-4DDA-9041-15DC0F024ACA}"/>
    <cellStyle name="Comma 86 2 3" xfId="4067" xr:uid="{DB300BC4-6044-4A33-BD7F-4C30659136B9}"/>
    <cellStyle name="Comma 86 3" xfId="1984" xr:uid="{A5938E8A-9B01-400B-897C-5285AE75A61D}"/>
    <cellStyle name="Comma 86 3 2" xfId="4844" xr:uid="{55F702D4-ABE5-4A37-A881-C35BBC327089}"/>
    <cellStyle name="Comma 86 4" xfId="3428" xr:uid="{579B3CB4-23AA-4A50-B06B-461A4AA13D9F}"/>
    <cellStyle name="Comma 87" xfId="462" xr:uid="{00000000-0005-0000-0000-00003E020000}"/>
    <cellStyle name="Comma 87 2" xfId="1182" xr:uid="{00000000-0005-0000-0000-00003F020000}"/>
    <cellStyle name="Comma 87 2 2" xfId="2630" xr:uid="{5441C02F-FEF5-40CE-AD29-2370FF834AD2}"/>
    <cellStyle name="Comma 87 2 2 2" xfId="5486" xr:uid="{5BB0633F-B7F2-44E5-8A74-8ED9C4DC6426}"/>
    <cellStyle name="Comma 87 2 3" xfId="4068" xr:uid="{E61DCD09-A94C-414E-B1AE-5BBB3E31CDBD}"/>
    <cellStyle name="Comma 87 3" xfId="1985" xr:uid="{B5950D74-E79B-49F7-8189-2393EDF2259D}"/>
    <cellStyle name="Comma 87 3 2" xfId="4845" xr:uid="{A00B0A71-70F3-41EF-87C8-B36DD310964F}"/>
    <cellStyle name="Comma 87 4" xfId="3429" xr:uid="{3498BB5B-25A6-4A26-A3AB-AF48D0960144}"/>
    <cellStyle name="Comma 88" xfId="465" xr:uid="{00000000-0005-0000-0000-000040020000}"/>
    <cellStyle name="Comma 88 2" xfId="1185" xr:uid="{00000000-0005-0000-0000-000041020000}"/>
    <cellStyle name="Comma 88 2 2" xfId="2633" xr:uid="{3A7CAE61-53DA-4F71-BD5C-7AC7A58598E9}"/>
    <cellStyle name="Comma 88 2 2 2" xfId="5489" xr:uid="{F974BBCE-48A4-4499-A2CC-70572DC8574D}"/>
    <cellStyle name="Comma 88 2 3" xfId="4071" xr:uid="{22F2EBC8-CEBA-452A-8B1A-E94154640F7C}"/>
    <cellStyle name="Comma 88 3" xfId="1988" xr:uid="{9B1E956D-D310-49C6-9361-E4C5E2DC1750}"/>
    <cellStyle name="Comma 88 3 2" xfId="4848" xr:uid="{28467984-50C2-4095-A018-B149017704A9}"/>
    <cellStyle name="Comma 88 4" xfId="3432" xr:uid="{FBB8A461-FE35-43D5-8437-BDF48E835687}"/>
    <cellStyle name="Comma 89" xfId="474" xr:uid="{00000000-0005-0000-0000-000042020000}"/>
    <cellStyle name="Comma 89 2" xfId="1194" xr:uid="{00000000-0005-0000-0000-000043020000}"/>
    <cellStyle name="Comma 89 2 2" xfId="2642" xr:uid="{94FE9A5F-536D-4EE5-9F15-6D0F97776C79}"/>
    <cellStyle name="Comma 89 2 2 2" xfId="5498" xr:uid="{9F1BF83E-8DA7-461D-BC57-76E2DFB2AACA}"/>
    <cellStyle name="Comma 89 2 3" xfId="4080" xr:uid="{C678DBE8-8C05-4216-BD89-E46589741E83}"/>
    <cellStyle name="Comma 89 3" xfId="1997" xr:uid="{C7FAA13B-02F4-45DE-BD22-E8A4DC06652D}"/>
    <cellStyle name="Comma 89 3 2" xfId="4857" xr:uid="{095E60CA-619B-45B2-9CF8-EEA0506171B6}"/>
    <cellStyle name="Comma 89 4" xfId="3441" xr:uid="{AAA43ED0-4663-4A33-AC6E-1425A5F426DE}"/>
    <cellStyle name="Comma 9" xfId="59" xr:uid="{00000000-0005-0000-0000-000044020000}"/>
    <cellStyle name="Comma 9 2" xfId="787" xr:uid="{00000000-0005-0000-0000-000045020000}"/>
    <cellStyle name="Comma 9 2 2" xfId="2238" xr:uid="{F7B0D6D3-0F57-4AC1-AE22-BEE38F0D467E}"/>
    <cellStyle name="Comma 9 2 2 2" xfId="5094" xr:uid="{16D95567-D838-41C0-8D18-2CE70F5EC31C}"/>
    <cellStyle name="Comma 9 2 3" xfId="3676" xr:uid="{BD5BA20C-AD4F-4481-9037-E9FC1022184C}"/>
    <cellStyle name="Comma 9 3" xfId="1590" xr:uid="{9D068F8E-80D1-41E5-940A-7634F6445F18}"/>
    <cellStyle name="Comma 9 3 2" xfId="4450" xr:uid="{F369995A-CE77-42F9-9AD1-F3998CDD41ED}"/>
    <cellStyle name="Comma 9 4" xfId="3035" xr:uid="{7D1DF591-F939-4432-9A80-76FDCFDDE617}"/>
    <cellStyle name="Comma 90" xfId="477" xr:uid="{00000000-0005-0000-0000-000046020000}"/>
    <cellStyle name="Comma 90 2" xfId="1197" xr:uid="{00000000-0005-0000-0000-000047020000}"/>
    <cellStyle name="Comma 90 2 2" xfId="2645" xr:uid="{509066A6-B407-409F-9C5E-29D4A5D1DE78}"/>
    <cellStyle name="Comma 90 2 2 2" xfId="5501" xr:uid="{AECD8193-4740-45D6-89CD-2008B6CCDAEF}"/>
    <cellStyle name="Comma 90 2 3" xfId="4083" xr:uid="{C609510C-8033-43B1-B820-3CF78B813A13}"/>
    <cellStyle name="Comma 90 3" xfId="2000" xr:uid="{8AFEFEF9-8FC9-470A-8466-FE0A48203BF0}"/>
    <cellStyle name="Comma 90 3 2" xfId="4860" xr:uid="{16EA6927-406E-4A3B-B229-F72D2777B23D}"/>
    <cellStyle name="Comma 90 4" xfId="3444" xr:uid="{CAAA4CF1-5108-48F1-8E49-A157988877A2}"/>
    <cellStyle name="Comma 91" xfId="480" xr:uid="{00000000-0005-0000-0000-000048020000}"/>
    <cellStyle name="Comma 91 2" xfId="1200" xr:uid="{00000000-0005-0000-0000-000049020000}"/>
    <cellStyle name="Comma 91 2 2" xfId="2648" xr:uid="{B1913D9F-8611-403E-93C2-502ECEE4BA98}"/>
    <cellStyle name="Comma 91 2 2 2" xfId="5504" xr:uid="{C2EB751B-B3EC-4171-A9D3-F04782289BE6}"/>
    <cellStyle name="Comma 91 2 3" xfId="4086" xr:uid="{C7126FC1-D8A7-42AD-BBDB-CFD2DC5004A2}"/>
    <cellStyle name="Comma 91 3" xfId="2003" xr:uid="{59911A17-856E-47A2-B556-E8902DBB4853}"/>
    <cellStyle name="Comma 91 3 2" xfId="4863" xr:uid="{B3FAEBFA-1D23-4A42-9E4C-AFB4C29FEF89}"/>
    <cellStyle name="Comma 91 4" xfId="3447" xr:uid="{26E980C6-5C6C-46EB-B732-FE9C7857997E}"/>
    <cellStyle name="Comma 92" xfId="491" xr:uid="{00000000-0005-0000-0000-00004A020000}"/>
    <cellStyle name="Comma 92 2" xfId="1210" xr:uid="{00000000-0005-0000-0000-00004B020000}"/>
    <cellStyle name="Comma 92 2 2" xfId="2658" xr:uid="{27EA4CC7-98C7-4481-BB06-CA9BA75C5837}"/>
    <cellStyle name="Comma 92 2 2 2" xfId="5514" xr:uid="{25367B52-3FDF-4223-BDFE-AC2B5F8A825B}"/>
    <cellStyle name="Comma 92 2 3" xfId="4096" xr:uid="{11C02238-F847-46F6-B179-E7DD4942E2E8}"/>
    <cellStyle name="Comma 92 3" xfId="2013" xr:uid="{22F5D6FC-855A-4E15-A125-1D4A05FB75D1}"/>
    <cellStyle name="Comma 92 3 2" xfId="4873" xr:uid="{CEF690FE-5E4A-41EF-ADB9-DDBD89E9023D}"/>
    <cellStyle name="Comma 92 4" xfId="3457" xr:uid="{8D1F3550-72F9-4247-8323-7E022771F22C}"/>
    <cellStyle name="Comma 93" xfId="494" xr:uid="{00000000-0005-0000-0000-00004C020000}"/>
    <cellStyle name="Comma 93 2" xfId="1213" xr:uid="{00000000-0005-0000-0000-00004D020000}"/>
    <cellStyle name="Comma 93 2 2" xfId="2661" xr:uid="{5DE1A38E-FBA5-4F86-BF4F-81352EB98D71}"/>
    <cellStyle name="Comma 93 2 2 2" xfId="5517" xr:uid="{B4200F3F-8509-4FCE-A993-C4B15A339C0C}"/>
    <cellStyle name="Comma 93 2 3" xfId="4099" xr:uid="{D99D9B78-27B9-475F-8A28-040C98C7BE49}"/>
    <cellStyle name="Comma 93 3" xfId="2016" xr:uid="{9A663710-5035-43D9-9303-277457CF73F8}"/>
    <cellStyle name="Comma 93 3 2" xfId="4876" xr:uid="{BACE472D-6C60-4FC0-9D59-9B4031FA4CC4}"/>
    <cellStyle name="Comma 93 4" xfId="3460" xr:uid="{35C574D0-BC3A-41D5-93D2-C17BA984319B}"/>
    <cellStyle name="Comma 94" xfId="505" xr:uid="{00000000-0005-0000-0000-00004E020000}"/>
    <cellStyle name="Comma 94 2" xfId="1224" xr:uid="{00000000-0005-0000-0000-00004F020000}"/>
    <cellStyle name="Comma 94 2 2" xfId="2672" xr:uid="{7BAACB91-A406-456D-89A6-A1C80ECB81CE}"/>
    <cellStyle name="Comma 94 2 2 2" xfId="5528" xr:uid="{B20BE26E-4D6C-4F07-899D-8A71804246B9}"/>
    <cellStyle name="Comma 94 2 3" xfId="4110" xr:uid="{1516BF9A-540D-4C27-A1C7-8E3AD7959E83}"/>
    <cellStyle name="Comma 94 3" xfId="2027" xr:uid="{64101B38-7208-487F-9DFC-FCC91FFDC4C5}"/>
    <cellStyle name="Comma 94 3 2" xfId="4887" xr:uid="{493C9F24-9FA4-44A6-9F64-09DE247A0206}"/>
    <cellStyle name="Comma 94 4" xfId="3471" xr:uid="{040855F5-56AA-484F-B3BD-710401153FF9}"/>
    <cellStyle name="Comma 95" xfId="514" xr:uid="{00000000-0005-0000-0000-000050020000}"/>
    <cellStyle name="Comma 95 2" xfId="1233" xr:uid="{00000000-0005-0000-0000-000051020000}"/>
    <cellStyle name="Comma 95 2 2" xfId="2681" xr:uid="{43FE310F-AEF5-44FB-B040-0CA1290BC7E4}"/>
    <cellStyle name="Comma 95 2 2 2" xfId="5537" xr:uid="{9E8783E5-AD3E-4960-955A-48CDF606E6F2}"/>
    <cellStyle name="Comma 95 2 3" xfId="4119" xr:uid="{428C11B1-613A-4F7F-B72D-BC231DC1C937}"/>
    <cellStyle name="Comma 95 3" xfId="2036" xr:uid="{1C237C8B-2AEF-4B11-A4AD-AFD02B1B8CF2}"/>
    <cellStyle name="Comma 95 3 2" xfId="4896" xr:uid="{32F92C81-F6C5-48E9-8D10-BCC0DCB6EC90}"/>
    <cellStyle name="Comma 95 4" xfId="3480" xr:uid="{C6C893EB-B205-4ECD-A545-E20DE9509D4F}"/>
    <cellStyle name="Comma 96" xfId="517" xr:uid="{00000000-0005-0000-0000-000052020000}"/>
    <cellStyle name="Comma 96 2" xfId="1236" xr:uid="{00000000-0005-0000-0000-000053020000}"/>
    <cellStyle name="Comma 96 2 2" xfId="2684" xr:uid="{7B43A79F-B397-432C-AC3E-4C1D34E7FCB3}"/>
    <cellStyle name="Comma 96 2 2 2" xfId="5540" xr:uid="{A4CB056A-609A-4F00-B82A-4CB29EB3E8EA}"/>
    <cellStyle name="Comma 96 2 3" xfId="4122" xr:uid="{7B4A10FB-0B8B-457D-9C9C-EE0B6F91CAEC}"/>
    <cellStyle name="Comma 96 3" xfId="2039" xr:uid="{F0694375-AF32-43C3-82D7-D4464462C166}"/>
    <cellStyle name="Comma 96 3 2" xfId="4899" xr:uid="{BA30F06B-4426-4857-A52B-16C51686D6FB}"/>
    <cellStyle name="Comma 96 4" xfId="3483" xr:uid="{44599DC2-0007-49F1-899F-3228FDBAF3B5}"/>
    <cellStyle name="Comma 97" xfId="528" xr:uid="{00000000-0005-0000-0000-000054020000}"/>
    <cellStyle name="Comma 97 2" xfId="538" xr:uid="{00000000-0005-0000-0000-000055020000}"/>
    <cellStyle name="Comma 97 2 2" xfId="1257" xr:uid="{00000000-0005-0000-0000-000056020000}"/>
    <cellStyle name="Comma 97 2 2 2" xfId="2705" xr:uid="{A85BB77A-9CC5-4E2E-B05F-97EEA8D598A6}"/>
    <cellStyle name="Comma 97 2 2 2 2" xfId="5561" xr:uid="{F3317B73-4D57-4211-A0C8-AC8DF17A562F}"/>
    <cellStyle name="Comma 97 2 2 3" xfId="4143" xr:uid="{D2E53C98-4BAF-4630-8273-5DB45490E116}"/>
    <cellStyle name="Comma 97 2 3" xfId="2060" xr:uid="{B21346B5-1D15-4975-BAB7-BC981709B877}"/>
    <cellStyle name="Comma 97 2 3 2" xfId="4920" xr:uid="{51DAE89C-A279-4B86-9C0E-3EE4D3F229BD}"/>
    <cellStyle name="Comma 97 2 4" xfId="3504" xr:uid="{8F0F58BD-F8E0-4A74-8ED7-00C52E1A0852}"/>
    <cellStyle name="Comma 97 3" xfId="1247" xr:uid="{00000000-0005-0000-0000-000057020000}"/>
    <cellStyle name="Comma 97 3 2" xfId="2695" xr:uid="{5D67525F-90A6-4541-86D1-3CC6FBB835A7}"/>
    <cellStyle name="Comma 97 3 2 2" xfId="5551" xr:uid="{35FFF206-0103-444E-B130-6A893DCE75E0}"/>
    <cellStyle name="Comma 97 3 3" xfId="4133" xr:uid="{449C66B1-00D3-43CD-84E7-159ABD8B1D6D}"/>
    <cellStyle name="Comma 97 4" xfId="2050" xr:uid="{2824EC0D-3E1E-4D11-8836-36C48C32DB97}"/>
    <cellStyle name="Comma 97 4 2" xfId="4910" xr:uid="{451F4D0F-121F-432A-82AA-F14BDC0E4C8D}"/>
    <cellStyle name="Comma 97 5" xfId="3494" xr:uid="{84CF4D9E-3F33-40A3-9061-2EB4EE13B170}"/>
    <cellStyle name="Comma 98" xfId="544" xr:uid="{00000000-0005-0000-0000-000058020000}"/>
    <cellStyle name="Comma 98 2" xfId="1263" xr:uid="{00000000-0005-0000-0000-000059020000}"/>
    <cellStyle name="Comma 98 2 2" xfId="2711" xr:uid="{CBBCF30C-F32F-4FFE-B276-98A9F39B52FA}"/>
    <cellStyle name="Comma 98 2 2 2" xfId="5567" xr:uid="{90A1A1AF-9CDE-4F00-9DDC-2EF5733A8DE4}"/>
    <cellStyle name="Comma 98 2 3" xfId="4149" xr:uid="{86BCB409-7C2F-4DB5-819C-E4BAE645252D}"/>
    <cellStyle name="Comma 98 3" xfId="2066" xr:uid="{759CED2D-F260-4C3F-8A58-A2031ABAE6BF}"/>
    <cellStyle name="Comma 98 3 2" xfId="4926" xr:uid="{FEEA449B-4B0E-49A4-8F53-546BC8AD48C7}"/>
    <cellStyle name="Comma 98 4" xfId="3510" xr:uid="{9DEEF086-9D2A-4D29-BC63-CF47F23E5E3E}"/>
    <cellStyle name="Comma 99" xfId="555" xr:uid="{00000000-0005-0000-0000-00005A020000}"/>
    <cellStyle name="Comma 99 2" xfId="1274" xr:uid="{00000000-0005-0000-0000-00005B020000}"/>
    <cellStyle name="Comma 99 2 2" xfId="2722" xr:uid="{30FAB54A-AB46-48EB-83D6-88CF2A69D912}"/>
    <cellStyle name="Comma 99 2 2 2" xfId="5578" xr:uid="{0C7A6218-D4C6-4D83-8F5B-B7F103E13D9E}"/>
    <cellStyle name="Comma 99 2 3" xfId="4160" xr:uid="{906697F4-5114-4E2B-AF2E-908EFAA8F301}"/>
    <cellStyle name="Comma 99 3" xfId="2077" xr:uid="{19A056F0-B75E-4C3E-A987-CF425A7A4CC7}"/>
    <cellStyle name="Comma 99 3 2" xfId="4937" xr:uid="{28B5FCEE-EF59-4C9C-9CD8-2089633D2508}"/>
    <cellStyle name="Comma 99 4" xfId="3521" xr:uid="{13612524-F5BE-489D-8F7F-DCDE50CB2F68}"/>
    <cellStyle name="Emart" xfId="7" xr:uid="{00000000-0005-0000-0000-00005C020000}"/>
    <cellStyle name="Emart 10" xfId="1573" xr:uid="{BF0F58D2-ED76-4EBE-9013-269A070ACD6B}"/>
    <cellStyle name="Emart 10 2" xfId="4433" xr:uid="{6B40C2A5-1332-4A0A-BEEE-44C7DE6C09EA}"/>
    <cellStyle name="Emart 10 3" xfId="5868" xr:uid="{F496F666-039F-4A59-BEFD-255FE4AD9AAB}"/>
    <cellStyle name="Emart 11" xfId="3018" xr:uid="{0E2F7151-FCFC-4B4E-98FE-193033B4E8A3}"/>
    <cellStyle name="Emart 12" xfId="3662" xr:uid="{B3510708-8A60-4E03-9489-8AB174C624E2}"/>
    <cellStyle name="Emart 13" xfId="5990" xr:uid="{27F0CABE-854E-4519-9FF3-07D92E71F960}"/>
    <cellStyle name="Emart 14" xfId="6006" xr:uid="{2335368C-4E69-4F9E-8E6A-05BCE458057C}"/>
    <cellStyle name="Emart 15" xfId="6008" xr:uid="{9BC7AFF8-3691-4252-A54C-FB6CAB78C40D}"/>
    <cellStyle name="Emart 2" xfId="182" xr:uid="{00000000-0005-0000-0000-00005D020000}"/>
    <cellStyle name="Emart 2 2" xfId="662" xr:uid="{00000000-0005-0000-0000-00005E020000}"/>
    <cellStyle name="Emart 2 2 2" xfId="1363" xr:uid="{00000000-0005-0000-0000-00005F020000}"/>
    <cellStyle name="Emart 2 2 2 2" xfId="2811" xr:uid="{01ECA7A7-9F6C-4D22-9F46-D8C5780274B5}"/>
    <cellStyle name="Emart 2 2 2 2 2" xfId="5667" xr:uid="{689A991A-40DC-4057-AD9B-BE3D8AD0CA72}"/>
    <cellStyle name="Emart 2 2 2 2 3" xfId="5882" xr:uid="{4DAC0138-457F-4C34-832C-C1C5EF366202}"/>
    <cellStyle name="Emart 2 2 2 3" xfId="2998" xr:uid="{D75C050C-6180-498F-A51B-8E9B6652D12B}"/>
    <cellStyle name="Emart 2 2 2 3 2" xfId="5851" xr:uid="{32EE7D32-A55F-45A6-AA7B-EE099C773C32}"/>
    <cellStyle name="Emart 2 2 2 3 3" xfId="5899" xr:uid="{2B92DC32-7D0A-47F4-B17E-C24C4644BCF2}"/>
    <cellStyle name="Emart 2 2 2 4" xfId="4249" xr:uid="{81B9F66C-C774-4C51-B16B-C52376170281}"/>
    <cellStyle name="Emart 2 2 2 5" xfId="5863" xr:uid="{096D3102-B788-4179-8F13-F4F335968201}"/>
    <cellStyle name="Emart 2 2 3" xfId="2167" xr:uid="{9A408887-2BA2-45ED-91E8-D6CBAAB029C8}"/>
    <cellStyle name="Emart 2 2 3 2" xfId="5027" xr:uid="{EFF54902-4BD0-4C23-B27A-63BCFDE400B2}"/>
    <cellStyle name="Emart 2 2 3 3" xfId="5874" xr:uid="{00905FB3-CCBF-43FA-B37A-E53F95F6F125}"/>
    <cellStyle name="Emart 2 2 4" xfId="3611" xr:uid="{4349A7F5-486E-47CD-AE3C-8C88C2E478E4}"/>
    <cellStyle name="Emart 2 2 5" xfId="5857" xr:uid="{F5B1C14B-FBF6-4411-A92F-4F1E3EFF6521}"/>
    <cellStyle name="Emart 2 3" xfId="904" xr:uid="{00000000-0005-0000-0000-000060020000}"/>
    <cellStyle name="Emart 2 3 2" xfId="2352" xr:uid="{7F2F61A0-5A7D-4AFA-9141-3FFE9AF5BE04}"/>
    <cellStyle name="Emart 2 3 2 2" xfId="5208" xr:uid="{95AEE1A9-8779-4F43-8D2A-3244905CDC75}"/>
    <cellStyle name="Emart 2 3 2 3" xfId="5881" xr:uid="{7B019363-86D1-411C-B573-9E658E9DDAF0}"/>
    <cellStyle name="Emart 2 3 3" xfId="2997" xr:uid="{FCA8F2E1-1E3B-412F-8431-0056D765FE1C}"/>
    <cellStyle name="Emart 2 3 3 2" xfId="5850" xr:uid="{ECFE542C-F3CB-4C10-9521-4F0440F62306}"/>
    <cellStyle name="Emart 2 3 3 3" xfId="5898" xr:uid="{19F494C0-6D24-42DF-9D42-075BC21B779F}"/>
    <cellStyle name="Emart 2 3 4" xfId="3790" xr:uid="{7862223B-77E9-45D5-B85D-A9F60F84B4F8}"/>
    <cellStyle name="Emart 2 3 5" xfId="5862" xr:uid="{18441A91-25F1-4E4C-A189-11669A0E466D}"/>
    <cellStyle name="Emart 2 4" xfId="1705" xr:uid="{B8B27EAD-22C7-4441-AFBE-108469523F6B}"/>
    <cellStyle name="Emart 2 4 2" xfId="4565" xr:uid="{D86B8251-57E4-44FA-96C7-A2C3FC4C6F98}"/>
    <cellStyle name="Emart 2 4 3" xfId="5870" xr:uid="{66FCC7A1-3EEC-4F37-AB3F-8215A83F6002}"/>
    <cellStyle name="Emart 2 5" xfId="3149" xr:uid="{21841E09-E223-45E1-9B1E-151BD6E50673}"/>
    <cellStyle name="Emart 3" xfId="294" xr:uid="{00000000-0005-0000-0000-000061020000}"/>
    <cellStyle name="Emart 3 2" xfId="451" xr:uid="{00000000-0005-0000-0000-000062020000}"/>
    <cellStyle name="Emart 3 2 2" xfId="618" xr:uid="{00000000-0005-0000-0000-000063020000}"/>
    <cellStyle name="Emart 3 2 2 2" xfId="705" xr:uid="{00000000-0005-0000-0000-000064020000}"/>
    <cellStyle name="Emart 3 2 2 2 2" xfId="1493" xr:uid="{00000000-0005-0000-0000-000065020000}"/>
    <cellStyle name="Emart 3 2 2 2 2 2" xfId="2921" xr:uid="{4B9549F5-942D-4014-8846-C4DD708CE13B}"/>
    <cellStyle name="Emart 3 2 2 2 2 2 2" xfId="5885" xr:uid="{6249CFAD-6FA4-4ABD-B3BB-D59556AC38C4}"/>
    <cellStyle name="Emart 3 2 2 2 2 3" xfId="1601" xr:uid="{0BB02C53-7E91-4D9F-BBB8-80924BCD5C56}"/>
    <cellStyle name="Emart 3 2 2 2 2 3 2" xfId="4461" xr:uid="{79F9C771-2A20-4175-9D9E-0D8C9C74512C}"/>
    <cellStyle name="Emart 3 2 2 2 2 3 3" xfId="5869" xr:uid="{16A22DD6-4335-4844-A73F-E1CAFB99ACE8}"/>
    <cellStyle name="Emart 3 2 2 2 2 4" xfId="5867" xr:uid="{4F11A387-DF5E-4C6B-B4E3-8364637EC769}"/>
    <cellStyle name="Emart 3 2 2 2 3" xfId="2193" xr:uid="{D125A2A4-3F56-4634-BC5A-F5436DCE4C80}"/>
    <cellStyle name="Emart 3 2 2 2 3 2" xfId="5878" xr:uid="{E5BE906E-6665-4A32-9542-28F5D856DEF1}"/>
    <cellStyle name="Emart 3 2 2 2 4" xfId="3003" xr:uid="{B89FDE36-82E5-4914-B080-19B4D1BFD36F}"/>
    <cellStyle name="Emart 3 2 2 2 4 2" xfId="5856" xr:uid="{841E7CA4-C258-41CF-A10D-8266E1110A96}"/>
    <cellStyle name="Emart 3 2 2 2 4 3" xfId="5904" xr:uid="{F5E0E032-C250-4753-B025-CD4F6CF00894}"/>
    <cellStyle name="Emart 3 2 2 2 5" xfId="5859" xr:uid="{11D027C4-11C0-41BC-8748-525D5BB89FEF}"/>
    <cellStyle name="Emart 3 2 2 3" xfId="2139" xr:uid="{A9044E8F-8F4B-473D-BACB-356B7598F862}"/>
    <cellStyle name="Emart 3 2 2 3 2" xfId="4999" xr:uid="{7CAEBE35-2850-4A6C-BB4F-FD1A2CA19DF4}"/>
    <cellStyle name="Emart 3 2 2 3 3" xfId="5873" xr:uid="{1F1DA95E-94EF-4748-8F9E-6FB73A0AF1A0}"/>
    <cellStyle name="Emart 3 2 2 4" xfId="2989" xr:uid="{8742A33E-A60B-4940-8252-3843A2B56BAC}"/>
    <cellStyle name="Emart 3 2 2 4 2" xfId="5842" xr:uid="{A6CA76BD-51A8-4276-9A08-213F9335664C}"/>
    <cellStyle name="Emart 3 2 2 4 3" xfId="5890" xr:uid="{F545AB78-805A-4E2B-9602-B42E2B5BC5C2}"/>
    <cellStyle name="Emart 3 2 2 5" xfId="2999" xr:uid="{E82B9762-59D5-4842-B62D-30EEF903357A}"/>
    <cellStyle name="Emart 3 2 2 5 2" xfId="5852" xr:uid="{BBE8A758-DB2C-4AF0-B6B6-62D7122AE864}"/>
    <cellStyle name="Emart 3 2 2 5 3" xfId="5900" xr:uid="{ABE68D70-53A9-42A4-AB6E-D9835412CB06}"/>
    <cellStyle name="Emart 3 2 2 6" xfId="3583" xr:uid="{368AD524-9FB6-4C50-BFC6-8EF4E38110DC}"/>
    <cellStyle name="Emart 3 2 3" xfId="1974" xr:uid="{E40F120E-0DC6-46CA-B9AD-82699EF3C4D7}"/>
    <cellStyle name="Emart 3 2 3 2" xfId="4834" xr:uid="{430DFA3B-45E9-4F99-9B87-541B5F72FB74}"/>
    <cellStyle name="Emart 3 2 3 3" xfId="5872" xr:uid="{EE585E60-F7D7-495D-B856-E16A7563CD70}"/>
    <cellStyle name="Emart 3 2 4" xfId="2987" xr:uid="{7FE4D893-ED43-4CE3-BBFA-B5857AEAA7DC}"/>
    <cellStyle name="Emart 3 2 4 2" xfId="5840" xr:uid="{23408431-A188-4616-8E0F-C51D525B1C20}"/>
    <cellStyle name="Emart 3 2 4 3" xfId="5888" xr:uid="{363F646C-2577-49D0-9C0C-89CA38C1CD4E}"/>
    <cellStyle name="Emart 3 2 5" xfId="2986" xr:uid="{7A102C75-8A25-4850-8E9C-02244BEF39CF}"/>
    <cellStyle name="Emart 3 2 5 2" xfId="5839" xr:uid="{2C74C5C3-8BB1-44E9-BC78-00E304961AB7}"/>
    <cellStyle name="Emart 3 2 5 3" xfId="5887" xr:uid="{2417C36C-E291-47BB-AF11-82334C4FFA5C}"/>
    <cellStyle name="Emart 3 2 6" xfId="3418" xr:uid="{34365A16-CE50-4251-9E4F-2C6BFB152C01}"/>
    <cellStyle name="Emart 3 3" xfId="1817" xr:uid="{BE8E090D-E015-4D55-B458-75F32BD729BF}"/>
    <cellStyle name="Emart 3 3 2" xfId="4677" xr:uid="{FF1744D6-942E-4338-AB3E-C6579C061948}"/>
    <cellStyle name="Emart 3 3 3" xfId="5871" xr:uid="{1FA3E54D-2587-4588-8FDB-6DD6D718AC7D}"/>
    <cellStyle name="Emart 3 4" xfId="2985" xr:uid="{7CB9EF3E-4070-4B2D-AF9A-F5DF7B7ABE6D}"/>
    <cellStyle name="Emart 3 4 2" xfId="5838" xr:uid="{49529FF3-D657-428A-8A4B-1CD6D64BE2D5}"/>
    <cellStyle name="Emart 3 4 3" xfId="5886" xr:uid="{88E6E735-DBC5-4B60-AE90-441B0B93F3B2}"/>
    <cellStyle name="Emart 3 5" xfId="2988" xr:uid="{71E23FC4-5884-490E-9380-A7487B60C512}"/>
    <cellStyle name="Emart 3 5 2" xfId="5841" xr:uid="{A9D972D1-5AD6-47EC-AF79-CC89ACE073A1}"/>
    <cellStyle name="Emart 3 5 3" xfId="5889" xr:uid="{289871CA-0CA6-4005-93FF-F206EFE18737}"/>
    <cellStyle name="Emart 3 6" xfId="3261" xr:uid="{B092EF22-6336-4E72-A19B-EC76A990FA6A}"/>
    <cellStyle name="Emart 4" xfId="665" xr:uid="{00000000-0005-0000-0000-000066020000}"/>
    <cellStyle name="Emart 4 2" xfId="1366" xr:uid="{00000000-0005-0000-0000-000067020000}"/>
    <cellStyle name="Emart 4 2 2" xfId="2814" xr:uid="{1C2639C3-2D04-4D75-B87A-D9D4D3185F3D}"/>
    <cellStyle name="Emart 4 2 2 2" xfId="5883" xr:uid="{99E1160A-CFA4-4CA7-AC5C-0B6CF5CCA30C}"/>
    <cellStyle name="Emart 4 2 3" xfId="3002" xr:uid="{63564D7B-205B-45FB-89F8-75519CC4ECE7}"/>
    <cellStyle name="Emart 4 2 3 2" xfId="5855" xr:uid="{718D8CED-19FF-41AC-8849-E6645614E22F}"/>
    <cellStyle name="Emart 4 2 3 3" xfId="5903" xr:uid="{B4B8A6D5-A6D8-434A-8AA8-AD90B230EAFB}"/>
    <cellStyle name="Emart 4 2 4" xfId="5864" xr:uid="{055D6F84-D26F-47F9-886D-769CC2179E8F}"/>
    <cellStyle name="Emart 4 3" xfId="2170" xr:uid="{BC4B40D2-B14F-47E6-9FC2-E5C60ED54887}"/>
    <cellStyle name="Emart 4 3 2" xfId="5030" xr:uid="{FF4D413D-4892-4D16-90BF-4C74B00A5084}"/>
    <cellStyle name="Emart 4 3 3" xfId="5875" xr:uid="{1F214D58-D50F-451D-99A4-2BFB550FA348}"/>
    <cellStyle name="Emart 4 4" xfId="2990" xr:uid="{DCC15BD8-65AA-43D7-8E76-902F9512C9B6}"/>
    <cellStyle name="Emart 4 4 2" xfId="5843" xr:uid="{DA914AB4-03DE-42B4-9D0D-CC9AB9B8E2CB}"/>
    <cellStyle name="Emart 4 4 3" xfId="5891" xr:uid="{8C6AEBAF-C2CB-4549-8EDA-F6F3661025C8}"/>
    <cellStyle name="Emart 4 5" xfId="2993" xr:uid="{C3C05579-2F65-473F-88F7-CD55DA57C962}"/>
    <cellStyle name="Emart 4 5 2" xfId="5846" xr:uid="{6F0D1BFE-BEAE-40A1-A654-A07CE096F673}"/>
    <cellStyle name="Emart 4 5 3" xfId="5894" xr:uid="{B37C2870-C682-45E6-A85D-1FF7E90D4E44}"/>
    <cellStyle name="Emart 4 6" xfId="3614" xr:uid="{60789136-3C39-4065-AAE4-66E4C5ED80B7}"/>
    <cellStyle name="Emart 5" xfId="678" xr:uid="{00000000-0005-0000-0000-000068020000}"/>
    <cellStyle name="Emart 5 2" xfId="716" xr:uid="{00000000-0005-0000-0000-000069020000}"/>
    <cellStyle name="Emart 5 2 2" xfId="2202" xr:uid="{39FCE882-B155-49D2-BCD2-9C7C5060E436}"/>
    <cellStyle name="Emart 5 2 2 2" xfId="5879" xr:uid="{7F605FB8-3889-44FD-959C-FB6F13AFF50F}"/>
    <cellStyle name="Emart 5 2 3" xfId="3000" xr:uid="{34F3B14C-A850-4587-9063-ED1853F9BF28}"/>
    <cellStyle name="Emart 5 2 3 2" xfId="5853" xr:uid="{89797872-0673-4DCB-A836-48623A7FFBCE}"/>
    <cellStyle name="Emart 5 2 3 3" xfId="5901" xr:uid="{CA23773A-D693-4377-8767-39AAF3792B48}"/>
    <cellStyle name="Emart 5 2 4" xfId="5860" xr:uid="{03171885-E229-4C4D-9273-B226517020AD}"/>
    <cellStyle name="Emart 5 3" xfId="2175" xr:uid="{0BF93E4A-DF0A-4DB2-860F-AB1635E66619}"/>
    <cellStyle name="Emart 5 3 2" xfId="5876" xr:uid="{037FEB6D-D023-42BD-949E-E91CA70FEFCA}"/>
    <cellStyle name="Emart 5 4" xfId="2991" xr:uid="{64091E4B-D409-4114-8C15-9D481A18680E}"/>
    <cellStyle name="Emart 5 4 2" xfId="5844" xr:uid="{E84FFAB1-2ABE-4BEE-BEFA-7476DF4F8038}"/>
    <cellStyle name="Emart 5 4 3" xfId="5892" xr:uid="{15C03406-D250-4CE8-9B00-E02BDB8779FB}"/>
    <cellStyle name="Emart 5 5" xfId="2992" xr:uid="{F335C984-4BAE-4F95-A518-0F3F6615CA3D}"/>
    <cellStyle name="Emart 5 5 2" xfId="5845" xr:uid="{32798816-4CD6-4BF3-9276-176236D88FD9}"/>
    <cellStyle name="Emart 5 5 3" xfId="5893" xr:uid="{8DF39BEA-A0B0-42CA-B22D-221E8283112D}"/>
    <cellStyle name="Emart 6" xfId="701" xr:uid="{00000000-0005-0000-0000-00006A020000}"/>
    <cellStyle name="Emart 6 2" xfId="2189" xr:uid="{1488B4FD-1A78-4CB8-92C2-7269B07F8A71}"/>
    <cellStyle name="Emart 6 2 2" xfId="5877" xr:uid="{316FE5E8-1BA9-4DB6-A15D-D368DBA2D035}"/>
    <cellStyle name="Emart 6 3" xfId="3001" xr:uid="{5B3CA6D1-2CD5-4243-94E2-D2650322A43D}"/>
    <cellStyle name="Emart 6 3 2" xfId="5854" xr:uid="{FFED0859-8240-4E4C-BC53-D555172D2B66}"/>
    <cellStyle name="Emart 6 3 3" xfId="5902" xr:uid="{6C0B5916-E61A-46FD-81B2-435AEAF2AED5}"/>
    <cellStyle name="Emart 6 4" xfId="5858" xr:uid="{C040596A-D181-4F22-9548-A8E09F698BAD}"/>
    <cellStyle name="Emart 7" xfId="768" xr:uid="{00000000-0005-0000-0000-00006B020000}"/>
    <cellStyle name="Emart 7 2" xfId="2222" xr:uid="{25A63361-09FB-4BEA-AB9D-47A02F2A34F6}"/>
    <cellStyle name="Emart 7 2 2" xfId="5078" xr:uid="{0787D5AC-B432-47BB-A723-9A92198E3F5E}"/>
    <cellStyle name="Emart 7 2 3" xfId="5880" xr:uid="{BF04DA4E-F369-4518-8AF0-AF95594C0961}"/>
    <cellStyle name="Emart 7 3" xfId="2995" xr:uid="{42470FE4-E038-4C6E-BA38-654D2CC3026D}"/>
    <cellStyle name="Emart 7 3 2" xfId="5848" xr:uid="{E5909687-8DA6-4CD8-A111-F1D3F2A6862B}"/>
    <cellStyle name="Emart 7 3 3" xfId="5896" xr:uid="{91A35D9F-F882-4DBB-A4D2-4F85EA47820E}"/>
    <cellStyle name="Emart 7 4" xfId="3659" xr:uid="{9BE7207D-D2E6-401D-8281-A59FCB2C5EBB}"/>
    <cellStyle name="Emart 7 5" xfId="5861" xr:uid="{FC981AEA-397E-45F2-B894-D0078761437B}"/>
    <cellStyle name="Emart 8" xfId="1442" xr:uid="{00000000-0005-0000-0000-00006C020000}"/>
    <cellStyle name="Emart 8 2" xfId="2871" xr:uid="{10C3402F-BC2C-452D-BE8C-A9A791637C9E}"/>
    <cellStyle name="Emart 8 2 2" xfId="5884" xr:uid="{54462FBB-0D89-4ACA-BC70-D214D1FC5489}"/>
    <cellStyle name="Emart 8 3" xfId="2994" xr:uid="{3263A52E-A253-4DAA-A2A5-38118C39D9A9}"/>
    <cellStyle name="Emart 8 3 2" xfId="5847" xr:uid="{B8BE82E7-9C7A-4D89-AD05-FB3EC1A405DC}"/>
    <cellStyle name="Emart 8 3 3" xfId="5895" xr:uid="{62E3F3D0-D9B8-4A5E-8765-403636F58056}"/>
    <cellStyle name="Emart 8 4" xfId="5865" xr:uid="{D2548B81-E0FE-4709-B6F8-0A63EE49F2DD}"/>
    <cellStyle name="Emart 9" xfId="1449" xr:uid="{00000000-0005-0000-0000-00006D020000}"/>
    <cellStyle name="Emart 9 2" xfId="2996" xr:uid="{013933E1-5F98-4421-8D03-3FCBE76201B6}"/>
    <cellStyle name="Emart 9 2 2" xfId="5849" xr:uid="{2F769C85-6C93-4123-B501-0F74DD0FFC0E}"/>
    <cellStyle name="Emart 9 2 3" xfId="5897" xr:uid="{8FA629B7-3D96-4977-A589-3F3648FA4293}"/>
    <cellStyle name="Emart 9 3" xfId="5866" xr:uid="{8E05EE2B-8176-49BB-A064-5E78E2CD88EE}"/>
    <cellStyle name="Excel Built-in 40% - Accent3" xfId="8" xr:uid="{00000000-0005-0000-0000-00006E020000}"/>
    <cellStyle name="Excel Built-in Accent1" xfId="9" xr:uid="{00000000-0005-0000-0000-00006F020000}"/>
    <cellStyle name="Excel Built-in Accent1 2" xfId="652" xr:uid="{00000000-0005-0000-0000-000070020000}"/>
    <cellStyle name="Excel Built-in Accent2" xfId="10" xr:uid="{00000000-0005-0000-0000-000071020000}"/>
    <cellStyle name="Excel Built-in Accent4" xfId="11" xr:uid="{00000000-0005-0000-0000-000072020000}"/>
    <cellStyle name="Excel Built-in Accent5" xfId="12" xr:uid="{00000000-0005-0000-0000-000073020000}"/>
    <cellStyle name="Excel Built-in Accent6" xfId="13" xr:uid="{00000000-0005-0000-0000-000074020000}"/>
    <cellStyle name="Excel Built-in Normal" xfId="14" xr:uid="{00000000-0005-0000-0000-000075020000}"/>
    <cellStyle name="Hyperlink 2" xfId="15" xr:uid="{00000000-0005-0000-0000-000077020000}"/>
    <cellStyle name="Hyperlink 3" xfId="667" xr:uid="{00000000-0005-0000-0000-000078020000}"/>
    <cellStyle name="Normal" xfId="0" builtinId="0"/>
    <cellStyle name="Normal 10" xfId="32" xr:uid="{00000000-0005-0000-0000-00007A020000}"/>
    <cellStyle name="Normal 10 2" xfId="166" xr:uid="{00000000-0005-0000-0000-00007B020000}"/>
    <cellStyle name="Normal 10 3" xfId="653" xr:uid="{00000000-0005-0000-0000-00007C020000}"/>
    <cellStyle name="Normal 10 4" xfId="773" xr:uid="{00000000-0005-0000-0000-00007D020000}"/>
    <cellStyle name="Normal 10 4 2" xfId="2225" xr:uid="{F7CD0578-9E76-428E-B721-B6D36E84CFF6}"/>
    <cellStyle name="Normal 10 4 2 2" xfId="5081" xr:uid="{EFB0C9C5-CF18-473B-9FC8-E1EA9228FD8A}"/>
    <cellStyle name="Normal 10 4 3" xfId="3663" xr:uid="{41390A5D-F61C-4766-8867-81EA74603DF5}"/>
    <cellStyle name="Normal 10 5" xfId="1577" xr:uid="{64B003B4-45AC-445A-8D03-2E221544BDF8}"/>
    <cellStyle name="Normal 10 5 2" xfId="4437" xr:uid="{B4EF3B2B-58D4-4D59-8302-F590B46D36C4}"/>
    <cellStyle name="Normal 10 6" xfId="3022" xr:uid="{34C21E58-FAE6-4524-9D5A-7804FB17935A}"/>
    <cellStyle name="Normal 100" xfId="392" xr:uid="{00000000-0005-0000-0000-00007E020000}"/>
    <cellStyle name="Normal 100 2" xfId="1113" xr:uid="{00000000-0005-0000-0000-00007F020000}"/>
    <cellStyle name="Normal 100 2 2" xfId="2561" xr:uid="{A8519888-6D17-4D93-BAE2-A75CF6CD26FE}"/>
    <cellStyle name="Normal 100 2 2 2" xfId="5417" xr:uid="{D7E639B6-B644-47F4-8194-EB72758BAE81}"/>
    <cellStyle name="Normal 100 2 3" xfId="3999" xr:uid="{2015D795-8D3E-481A-998E-8390A0A2FF3A}"/>
    <cellStyle name="Normal 100 3" xfId="1915" xr:uid="{663FE1AB-C000-43C9-A27A-A88690C33CBA}"/>
    <cellStyle name="Normal 100 3 2" xfId="4775" xr:uid="{7BF71FC9-8623-4CBA-866B-25A63B95C5E4}"/>
    <cellStyle name="Normal 100 4" xfId="3359" xr:uid="{96F6C7B2-0B39-487A-8760-45F712112694}"/>
    <cellStyle name="Normal 101" xfId="397" xr:uid="{00000000-0005-0000-0000-000080020000}"/>
    <cellStyle name="Normal 101 2" xfId="1118" xr:uid="{00000000-0005-0000-0000-000081020000}"/>
    <cellStyle name="Normal 101 2 2" xfId="2566" xr:uid="{773456CF-4B19-4D6B-B2E7-2331555D7A19}"/>
    <cellStyle name="Normal 101 2 2 2" xfId="5422" xr:uid="{B3B23286-CC84-41D8-B432-7FCB8BEEA22E}"/>
    <cellStyle name="Normal 101 2 3" xfId="4004" xr:uid="{A7F06E15-0B96-4210-BAF9-6E5C8826E213}"/>
    <cellStyle name="Normal 101 3" xfId="1920" xr:uid="{ECAE853E-3095-4A2B-9506-D69C3E692620}"/>
    <cellStyle name="Normal 101 3 2" xfId="4780" xr:uid="{7BD2D5FD-39B5-4344-945B-DC4F7F2B6C2F}"/>
    <cellStyle name="Normal 101 4" xfId="3364" xr:uid="{CDBF4D5D-C0CD-410E-B5D7-75619B43530E}"/>
    <cellStyle name="Normal 102" xfId="400" xr:uid="{00000000-0005-0000-0000-000082020000}"/>
    <cellStyle name="Normal 102 2" xfId="1121" xr:uid="{00000000-0005-0000-0000-000083020000}"/>
    <cellStyle name="Normal 102 2 2" xfId="2569" xr:uid="{3B0E3270-9E2F-4420-971E-C88E6D23A3C1}"/>
    <cellStyle name="Normal 102 2 2 2" xfId="5425" xr:uid="{D4C4CCF2-B744-4C3D-84F1-866907341BBB}"/>
    <cellStyle name="Normal 102 2 3" xfId="4007" xr:uid="{F2790DE5-8AD6-404A-8B2B-85C76BECCE3F}"/>
    <cellStyle name="Normal 102 3" xfId="1923" xr:uid="{6A4A2569-3FE7-43B7-A9EE-1340C8CF8EF1}"/>
    <cellStyle name="Normal 102 3 2" xfId="4783" xr:uid="{26C28C14-18F2-4085-BF13-D9C80F5E2578}"/>
    <cellStyle name="Normal 102 4" xfId="3367" xr:uid="{6595E76F-2705-47EC-9C0B-9074EFB87D28}"/>
    <cellStyle name="Normal 103" xfId="408" xr:uid="{00000000-0005-0000-0000-000084020000}"/>
    <cellStyle name="Normal 103 2" xfId="1129" xr:uid="{00000000-0005-0000-0000-000085020000}"/>
    <cellStyle name="Normal 103 2 2" xfId="2577" xr:uid="{C5532AD2-8565-4A57-A379-F8F5A1B792EB}"/>
    <cellStyle name="Normal 103 2 2 2" xfId="5433" xr:uid="{3BBBB861-FDDB-4E1E-8160-032D42CA85A0}"/>
    <cellStyle name="Normal 103 2 3" xfId="4015" xr:uid="{FAB5A0C4-1A11-460E-B060-75095433425F}"/>
    <cellStyle name="Normal 103 3" xfId="1931" xr:uid="{186C60D2-BAFB-48FC-8F6A-607A5DF2BA12}"/>
    <cellStyle name="Normal 103 3 2" xfId="4791" xr:uid="{2A3C456C-B54D-4B2B-A1F2-4ED13152F46F}"/>
    <cellStyle name="Normal 103 4" xfId="3375" xr:uid="{3AE50BE1-7792-43B9-9DFC-03B778CC0168}"/>
    <cellStyle name="Normal 104" xfId="418" xr:uid="{00000000-0005-0000-0000-000086020000}"/>
    <cellStyle name="Normal 104 2" xfId="1139" xr:uid="{00000000-0005-0000-0000-000087020000}"/>
    <cellStyle name="Normal 104 2 2" xfId="2587" xr:uid="{D6F1C1B3-26A9-4B6A-B7F6-72561971E0D2}"/>
    <cellStyle name="Normal 104 2 2 2" xfId="5443" xr:uid="{8E56ECC0-3E8E-4558-8426-C2F49DEE8A4E}"/>
    <cellStyle name="Normal 104 2 3" xfId="4025" xr:uid="{F14FAE6A-164D-4529-BFAF-61488E106F95}"/>
    <cellStyle name="Normal 104 3" xfId="1941" xr:uid="{06F1B6FD-81CD-46B6-B543-6FE50DD7A9A0}"/>
    <cellStyle name="Normal 104 3 2" xfId="4801" xr:uid="{F142ED8E-E28D-4FC8-8CAD-7D95FB212B1F}"/>
    <cellStyle name="Normal 104 4" xfId="3385" xr:uid="{0D89DD47-76D4-4C02-A4A3-ECFE1A1B12B6}"/>
    <cellStyle name="Normal 105" xfId="420" xr:uid="{00000000-0005-0000-0000-000088020000}"/>
    <cellStyle name="Normal 105 2" xfId="1141" xr:uid="{00000000-0005-0000-0000-000089020000}"/>
    <cellStyle name="Normal 105 2 2" xfId="2589" xr:uid="{5BA222F1-1F6D-488E-94CC-0AF97014FA4D}"/>
    <cellStyle name="Normal 105 2 2 2" xfId="5445" xr:uid="{58AFAF72-858B-4721-9811-121C2DA818DF}"/>
    <cellStyle name="Normal 105 2 3" xfId="4027" xr:uid="{325C2B99-04D5-47FE-87E7-101FFF28FEAA}"/>
    <cellStyle name="Normal 105 3" xfId="1943" xr:uid="{BD800E2A-E0B9-4C40-8F53-47DF986A5EE6}"/>
    <cellStyle name="Normal 105 3 2" xfId="4803" xr:uid="{1ACA6181-182A-40ED-BAC6-ED4B7455483B}"/>
    <cellStyle name="Normal 105 4" xfId="3387" xr:uid="{114D3E2A-3B71-4BB3-9F84-DEE1069D8E45}"/>
    <cellStyle name="Normal 106" xfId="424" xr:uid="{00000000-0005-0000-0000-00008A020000}"/>
    <cellStyle name="Normal 106 2" xfId="1145" xr:uid="{00000000-0005-0000-0000-00008B020000}"/>
    <cellStyle name="Normal 106 2 2" xfId="2593" xr:uid="{5F3EF98B-C9C9-4BFC-9DA8-B143B7F86FDA}"/>
    <cellStyle name="Normal 106 2 2 2" xfId="5449" xr:uid="{F5DBB3E2-0BC2-4778-A7AA-618CADA015F7}"/>
    <cellStyle name="Normal 106 2 3" xfId="4031" xr:uid="{3A53BFD8-E292-450D-AC44-C1D837318AA7}"/>
    <cellStyle name="Normal 106 3" xfId="1947" xr:uid="{D0B98C8D-1596-4DA5-BE88-9DFECF178A40}"/>
    <cellStyle name="Normal 106 3 2" xfId="4807" xr:uid="{AABB3CD6-84AF-4A68-BF42-831749FBA380}"/>
    <cellStyle name="Normal 106 4" xfId="3391" xr:uid="{3F196419-B535-41E5-962B-71258461820E}"/>
    <cellStyle name="Normal 107" xfId="439" xr:uid="{00000000-0005-0000-0000-00008C020000}"/>
    <cellStyle name="Normal 107 2" xfId="1160" xr:uid="{00000000-0005-0000-0000-00008D020000}"/>
    <cellStyle name="Normal 107 2 2" xfId="2608" xr:uid="{A9C874AD-AE26-4CB2-93A5-1CE39DB8ACA5}"/>
    <cellStyle name="Normal 107 2 2 2" xfId="5464" xr:uid="{34B0C175-77F5-4A6D-85E0-F5F97A63D565}"/>
    <cellStyle name="Normal 107 2 3" xfId="4046" xr:uid="{38B7B228-F07A-4413-A964-F4F37EC12636}"/>
    <cellStyle name="Normal 107 3" xfId="1962" xr:uid="{F47CBE51-0CD5-45B8-8A55-D5F42E2F7CE7}"/>
    <cellStyle name="Normal 107 3 2" xfId="4822" xr:uid="{75A14F93-D0B6-4AA1-9001-FF46F826CD6C}"/>
    <cellStyle name="Normal 107 4" xfId="3406" xr:uid="{DF1CC989-BAE7-4202-87D3-11D27F9D28DC}"/>
    <cellStyle name="Normal 108" xfId="442" xr:uid="{00000000-0005-0000-0000-00008E020000}"/>
    <cellStyle name="Normal 108 2" xfId="1163" xr:uid="{00000000-0005-0000-0000-00008F020000}"/>
    <cellStyle name="Normal 108 2 2" xfId="2611" xr:uid="{BBEEFB31-9DC2-453F-A459-82B97EBB8AD7}"/>
    <cellStyle name="Normal 108 2 2 2" xfId="5467" xr:uid="{8C46C69A-CA13-4BB9-93D6-13E11E5E8E91}"/>
    <cellStyle name="Normal 108 2 3" xfId="4049" xr:uid="{FBDB6800-6761-483B-A529-634C84D67AEE}"/>
    <cellStyle name="Normal 108 3" xfId="1965" xr:uid="{C560F867-E00C-4BD0-8492-79A03492754B}"/>
    <cellStyle name="Normal 108 3 2" xfId="4825" xr:uid="{9D551FB6-F378-4F81-ADC0-5BB2786BEBAA}"/>
    <cellStyle name="Normal 108 4" xfId="3409" xr:uid="{446C8F49-D7E4-4316-846A-E4F2B5C4E04B}"/>
    <cellStyle name="Normal 109" xfId="445" xr:uid="{00000000-0005-0000-0000-000090020000}"/>
    <cellStyle name="Normal 109 2" xfId="1166" xr:uid="{00000000-0005-0000-0000-000091020000}"/>
    <cellStyle name="Normal 109 2 2" xfId="2614" xr:uid="{370EC202-834D-4880-963D-1930ABB421C5}"/>
    <cellStyle name="Normal 109 2 2 2" xfId="5470" xr:uid="{8E14B8C4-4BB1-4400-A7BC-C0BF6A3F3BBC}"/>
    <cellStyle name="Normal 109 2 3" xfId="4052" xr:uid="{5628D532-7952-4EC3-9EF4-F7EA05E8DF6A}"/>
    <cellStyle name="Normal 109 3" xfId="1968" xr:uid="{86D1D5D2-0AFD-4970-8D2B-C88B9CFDF1BC}"/>
    <cellStyle name="Normal 109 3 2" xfId="4828" xr:uid="{EA7A69EA-DE0E-4E40-951A-139847CB3F51}"/>
    <cellStyle name="Normal 109 4" xfId="3412" xr:uid="{C59E1999-E428-42AF-A03B-1B22DDBF4959}"/>
    <cellStyle name="Normal 11" xfId="40" xr:uid="{00000000-0005-0000-0000-000092020000}"/>
    <cellStyle name="Normal 110" xfId="457" xr:uid="{00000000-0005-0000-0000-000093020000}"/>
    <cellStyle name="Normal 110 2" xfId="1177" xr:uid="{00000000-0005-0000-0000-000094020000}"/>
    <cellStyle name="Normal 110 2 2" xfId="2625" xr:uid="{87C3AB05-B005-4FBE-A7CE-EE915EAD3FE5}"/>
    <cellStyle name="Normal 110 2 2 2" xfId="5481" xr:uid="{F9B60C1F-1605-4E95-966C-636492FA15B5}"/>
    <cellStyle name="Normal 110 2 3" xfId="4063" xr:uid="{96465D5F-97C1-4DA0-9C9E-6598C442272D}"/>
    <cellStyle name="Normal 110 3" xfId="1980" xr:uid="{5E70EDC7-1793-4DE1-8D84-31884ACC34B9}"/>
    <cellStyle name="Normal 110 3 2" xfId="4840" xr:uid="{5A26D19E-8218-4689-93CB-683F5263D654}"/>
    <cellStyle name="Normal 110 4" xfId="3424" xr:uid="{80B90844-44D1-49A5-AC5F-B7D6A1A72F80}"/>
    <cellStyle name="Normal 111" xfId="459" xr:uid="{00000000-0005-0000-0000-000095020000}"/>
    <cellStyle name="Normal 111 2" xfId="1179" xr:uid="{00000000-0005-0000-0000-000096020000}"/>
    <cellStyle name="Normal 111 2 2" xfId="2627" xr:uid="{CD0B146B-7E9E-4A2E-B089-BC2422AD9E36}"/>
    <cellStyle name="Normal 111 2 2 2" xfId="5483" xr:uid="{08DBFED5-DEA1-4E20-8CDC-2C84DF1F35FF}"/>
    <cellStyle name="Normal 111 2 3" xfId="4065" xr:uid="{B7938DC3-B893-4438-97A2-DB406ABC5BD4}"/>
    <cellStyle name="Normal 111 3" xfId="1982" xr:uid="{74C86021-6E68-4D14-A14A-3363D42205D9}"/>
    <cellStyle name="Normal 111 3 2" xfId="4842" xr:uid="{A4CBDC13-B199-43C6-ABD8-9762CE3015D3}"/>
    <cellStyle name="Normal 111 4" xfId="3426" xr:uid="{D551B685-A888-40FC-B147-B1E361C4A74D}"/>
    <cellStyle name="Normal 112" xfId="463" xr:uid="{00000000-0005-0000-0000-000097020000}"/>
    <cellStyle name="Normal 112 2" xfId="1183" xr:uid="{00000000-0005-0000-0000-000098020000}"/>
    <cellStyle name="Normal 112 2 2" xfId="2631" xr:uid="{7C48144E-9C07-4239-A42B-25767DF28F8D}"/>
    <cellStyle name="Normal 112 2 2 2" xfId="5487" xr:uid="{469098AD-8F5C-45DC-BEB7-C9A79273FD8F}"/>
    <cellStyle name="Normal 112 2 3" xfId="4069" xr:uid="{619DBDB9-6434-448B-A784-C2A36A2571D0}"/>
    <cellStyle name="Normal 112 3" xfId="1986" xr:uid="{19A0FA17-CFAF-423C-B1D9-68D205FB39DB}"/>
    <cellStyle name="Normal 112 3 2" xfId="4846" xr:uid="{CD2EA7E6-5804-48FE-8C38-D983A4E08289}"/>
    <cellStyle name="Normal 112 4" xfId="3430" xr:uid="{60B8115D-DB08-4216-B6F8-5FB618A39223}"/>
    <cellStyle name="Normal 113" xfId="472" xr:uid="{00000000-0005-0000-0000-000099020000}"/>
    <cellStyle name="Normal 113 2" xfId="1192" xr:uid="{00000000-0005-0000-0000-00009A020000}"/>
    <cellStyle name="Normal 113 2 2" xfId="2640" xr:uid="{BAEF4A1C-52EF-4C20-8EB3-647F939E08FD}"/>
    <cellStyle name="Normal 113 2 2 2" xfId="5496" xr:uid="{BE380D96-50E5-489D-B4AD-976036030D23}"/>
    <cellStyle name="Normal 113 2 3" xfId="4078" xr:uid="{9EB936A7-1FB6-4667-BAAA-E19F5364FC1A}"/>
    <cellStyle name="Normal 113 3" xfId="1995" xr:uid="{5EE92F44-EEA8-464B-AD0F-D76C3A2F8BD8}"/>
    <cellStyle name="Normal 113 3 2" xfId="4855" xr:uid="{9D0AC234-E852-4344-90DA-D350733F15C0}"/>
    <cellStyle name="Normal 113 4" xfId="3439" xr:uid="{388DC1F3-5076-4A39-9899-35C0BC1D944C}"/>
    <cellStyle name="Normal 114" xfId="475" xr:uid="{00000000-0005-0000-0000-00009B020000}"/>
    <cellStyle name="Normal 114 2" xfId="1195" xr:uid="{00000000-0005-0000-0000-00009C020000}"/>
    <cellStyle name="Normal 114 2 2" xfId="2643" xr:uid="{5AAC8D5B-415C-4690-8A66-916451407CE4}"/>
    <cellStyle name="Normal 114 2 2 2" xfId="5499" xr:uid="{3914D479-AE76-4E7F-8DD0-B973D1F59441}"/>
    <cellStyle name="Normal 114 2 3" xfId="4081" xr:uid="{1331949D-AC57-4B2B-B82F-1620073D7774}"/>
    <cellStyle name="Normal 114 3" xfId="1998" xr:uid="{5BB1FE5C-5D6D-4E65-BD96-E0DCF10CE87A}"/>
    <cellStyle name="Normal 114 3 2" xfId="4858" xr:uid="{DA6A4390-AA7A-4F7E-A99B-869B01D53E90}"/>
    <cellStyle name="Normal 114 4" xfId="3442" xr:uid="{EA8285A4-0C9C-4633-810F-752C004D74D4}"/>
    <cellStyle name="Normal 115" xfId="478" xr:uid="{00000000-0005-0000-0000-00009D020000}"/>
    <cellStyle name="Normal 115 2" xfId="1198" xr:uid="{00000000-0005-0000-0000-00009E020000}"/>
    <cellStyle name="Normal 115 2 2" xfId="2646" xr:uid="{AF66D9CF-1442-467E-9B91-8C41AC1A021C}"/>
    <cellStyle name="Normal 115 2 2 2" xfId="5502" xr:uid="{15BB8C7C-1BB7-4CE3-92B1-A66D68CAB3EB}"/>
    <cellStyle name="Normal 115 2 3" xfId="4084" xr:uid="{173875DF-9769-4A78-AD4B-67BF0E54F42F}"/>
    <cellStyle name="Normal 115 3" xfId="2001" xr:uid="{7AA9AC9B-EE98-4887-B06D-8A1CE5808F43}"/>
    <cellStyle name="Normal 115 3 2" xfId="4861" xr:uid="{BF535C8A-9460-4A43-9C5E-5F6471A8A82C}"/>
    <cellStyle name="Normal 115 4" xfId="3445" xr:uid="{F33ADFAA-C4A8-4278-A476-D29A0A36C0A3}"/>
    <cellStyle name="Normal 116" xfId="482" xr:uid="{00000000-0005-0000-0000-00009F020000}"/>
    <cellStyle name="Normal 116 2" xfId="1202" xr:uid="{00000000-0005-0000-0000-0000A0020000}"/>
    <cellStyle name="Normal 116 2 2" xfId="2650" xr:uid="{58083890-B2CB-4B59-AB24-DDA61DF79C92}"/>
    <cellStyle name="Normal 116 2 2 2" xfId="5506" xr:uid="{9F21837B-8C50-496B-8728-63E02A000B80}"/>
    <cellStyle name="Normal 116 2 3" xfId="4088" xr:uid="{3A9F5D9B-5905-44DB-86E2-1B7659A87D96}"/>
    <cellStyle name="Normal 116 3" xfId="2005" xr:uid="{80B1AB40-C893-46AF-BA10-2AF189D878F8}"/>
    <cellStyle name="Normal 116 3 2" xfId="4865" xr:uid="{3A5EEC57-6229-485D-A173-A9A7F2ED2902}"/>
    <cellStyle name="Normal 116 4" xfId="3449" xr:uid="{8DE66416-E488-42A6-AF55-995314E9E1AD}"/>
    <cellStyle name="Normal 117" xfId="490" xr:uid="{00000000-0005-0000-0000-0000A1020000}"/>
    <cellStyle name="Normal 117 2" xfId="1209" xr:uid="{00000000-0005-0000-0000-0000A2020000}"/>
    <cellStyle name="Normal 117 2 2" xfId="2657" xr:uid="{2CF1B72E-CC3D-48CB-9DBD-C115301FA332}"/>
    <cellStyle name="Normal 117 2 2 2" xfId="5513" xr:uid="{22B75465-0A3D-4AB1-8171-433294D913BF}"/>
    <cellStyle name="Normal 117 2 3" xfId="4095" xr:uid="{162CB5BD-CF79-4369-916B-2CB64B25F3F7}"/>
    <cellStyle name="Normal 117 3" xfId="2012" xr:uid="{A2E49DC4-BB0C-4846-B1D5-314A81C541EF}"/>
    <cellStyle name="Normal 117 3 2" xfId="4872" xr:uid="{F20FB52A-FAC6-4373-9F92-BD4041DD9FFB}"/>
    <cellStyle name="Normal 117 4" xfId="3456" xr:uid="{0EF9BE67-31E6-4318-810C-C8181997CD1F}"/>
    <cellStyle name="Normal 118" xfId="492" xr:uid="{00000000-0005-0000-0000-0000A3020000}"/>
    <cellStyle name="Normal 118 2" xfId="1211" xr:uid="{00000000-0005-0000-0000-0000A4020000}"/>
    <cellStyle name="Normal 118 2 2" xfId="2659" xr:uid="{EA19B1DC-DFA5-4916-9FCF-EA89B616B668}"/>
    <cellStyle name="Normal 118 2 2 2" xfId="5515" xr:uid="{CFF25342-B470-4314-8FBF-D079C3383046}"/>
    <cellStyle name="Normal 118 2 3" xfId="4097" xr:uid="{5F3EDF43-6E52-498D-B1AB-A4E87D23E165}"/>
    <cellStyle name="Normal 118 3" xfId="2014" xr:uid="{69705A7D-8BFA-4567-A093-0D99625BEE92}"/>
    <cellStyle name="Normal 118 3 2" xfId="4874" xr:uid="{8EACC5CE-262E-419F-BD30-B48588D04E64}"/>
    <cellStyle name="Normal 118 4" xfId="3458" xr:uid="{27EF82E8-956E-4773-B6E9-87780729734C}"/>
    <cellStyle name="Normal 119" xfId="501" xr:uid="{00000000-0005-0000-0000-0000A5020000}"/>
    <cellStyle name="Normal 119 2" xfId="1220" xr:uid="{00000000-0005-0000-0000-0000A6020000}"/>
    <cellStyle name="Normal 119 2 2" xfId="2668" xr:uid="{D82F61A6-E3FC-4096-9EAE-73F6786B2E5D}"/>
    <cellStyle name="Normal 119 2 2 2" xfId="5524" xr:uid="{AA86AD7D-347D-4275-A224-4C34A098FA3C}"/>
    <cellStyle name="Normal 119 2 3" xfId="4106" xr:uid="{1A9B9402-F55B-4D64-9B9D-AC8EF8D230E2}"/>
    <cellStyle name="Normal 119 3" xfId="2023" xr:uid="{B27F9EAC-0A9E-432B-9B5D-4BC4C7D328C0}"/>
    <cellStyle name="Normal 119 3 2" xfId="4883" xr:uid="{15665659-432C-41DB-AF43-AAEF4E796127}"/>
    <cellStyle name="Normal 119 4" xfId="3467" xr:uid="{4D1C1629-12CA-48F1-9D1E-26269C8313BD}"/>
    <cellStyle name="Normal 12" xfId="46" xr:uid="{00000000-0005-0000-0000-0000A7020000}"/>
    <cellStyle name="Normal 12 2" xfId="50" xr:uid="{00000000-0005-0000-0000-0000A8020000}"/>
    <cellStyle name="Normal 120" xfId="503" xr:uid="{00000000-0005-0000-0000-0000A9020000}"/>
    <cellStyle name="Normal 120 2" xfId="1222" xr:uid="{00000000-0005-0000-0000-0000AA020000}"/>
    <cellStyle name="Normal 120 2 2" xfId="2670" xr:uid="{DD475C11-6C16-4D88-8487-46C4A74A3657}"/>
    <cellStyle name="Normal 120 2 2 2" xfId="5526" xr:uid="{B9AB409E-1291-44BD-AFAD-2293E541DB93}"/>
    <cellStyle name="Normal 120 2 3" xfId="4108" xr:uid="{2250CA0D-158A-40B1-8224-B486E3BF0CF7}"/>
    <cellStyle name="Normal 120 3" xfId="2025" xr:uid="{3459311A-A2D9-4EE7-A7D5-0515A9F71E44}"/>
    <cellStyle name="Normal 120 3 2" xfId="4885" xr:uid="{06D8FED4-570E-4B66-B88F-3099B4A87D66}"/>
    <cellStyle name="Normal 120 4" xfId="3469" xr:uid="{55780528-DC7F-4BD4-8240-B12D342E6C73}"/>
    <cellStyle name="Normal 121" xfId="513" xr:uid="{00000000-0005-0000-0000-0000AB020000}"/>
    <cellStyle name="Normal 121 2" xfId="1232" xr:uid="{00000000-0005-0000-0000-0000AC020000}"/>
    <cellStyle name="Normal 121 2 2" xfId="2680" xr:uid="{CAC77546-8BFC-4511-922E-3D8AA2BAC024}"/>
    <cellStyle name="Normal 121 2 2 2" xfId="5536" xr:uid="{3281B23A-5366-4183-BE87-AEB25AE75EBD}"/>
    <cellStyle name="Normal 121 2 3" xfId="4118" xr:uid="{44A8B911-1C71-42D9-BDD1-1C84E78EC126}"/>
    <cellStyle name="Normal 121 3" xfId="2035" xr:uid="{FD575076-EC9B-471C-AD42-AC7FDD44B425}"/>
    <cellStyle name="Normal 121 3 2" xfId="4895" xr:uid="{A4C8269A-BE0A-447A-986E-2EFB9E127FBE}"/>
    <cellStyle name="Normal 121 4" xfId="3479" xr:uid="{B13AE1BB-EAB1-40D1-935C-8C7374EF255E}"/>
    <cellStyle name="Normal 122" xfId="515" xr:uid="{00000000-0005-0000-0000-0000AD020000}"/>
    <cellStyle name="Normal 122 2" xfId="1234" xr:uid="{00000000-0005-0000-0000-0000AE020000}"/>
    <cellStyle name="Normal 122 2 2" xfId="2682" xr:uid="{7940B7F7-E626-4EC5-B818-2677265B7CC7}"/>
    <cellStyle name="Normal 122 2 2 2" xfId="5538" xr:uid="{A5F86D01-3D3B-45D5-8E1D-2F9511BC91FB}"/>
    <cellStyle name="Normal 122 2 3" xfId="4120" xr:uid="{07C24BE8-584F-41E6-B65B-47C0BD114495}"/>
    <cellStyle name="Normal 122 3" xfId="2037" xr:uid="{723AE8C2-C047-4B2A-907B-A4BF6C3DBD7D}"/>
    <cellStyle name="Normal 122 3 2" xfId="4897" xr:uid="{811176E3-05C3-4656-8B60-C2967841C74F}"/>
    <cellStyle name="Normal 122 4" xfId="3481" xr:uid="{9D9D2B5C-0F5D-484E-AE02-1CDC25FA2149}"/>
    <cellStyle name="Normal 123" xfId="524" xr:uid="{00000000-0005-0000-0000-0000AF020000}"/>
    <cellStyle name="Normal 123 2" xfId="1243" xr:uid="{00000000-0005-0000-0000-0000B0020000}"/>
    <cellStyle name="Normal 123 2 2" xfId="2691" xr:uid="{3C4D0600-E0DE-4670-B9D9-68DFC5C0DF0C}"/>
    <cellStyle name="Normal 123 2 2 2" xfId="5547" xr:uid="{8EBE7584-C01E-48F6-ABF7-760DD9E8419C}"/>
    <cellStyle name="Normal 123 2 3" xfId="4129" xr:uid="{84CA0600-44F3-4A99-8F0B-0E67A3A1CE6E}"/>
    <cellStyle name="Normal 123 3" xfId="2046" xr:uid="{484A36E0-6912-45B0-9ECB-CB3B9D67404C}"/>
    <cellStyle name="Normal 123 3 2" xfId="4906" xr:uid="{FB4876DD-BFF8-42A7-A1B4-DC12B582D6D5}"/>
    <cellStyle name="Normal 123 4" xfId="3490" xr:uid="{54C89A22-3234-437F-8400-17427D38995C}"/>
    <cellStyle name="Normal 124" xfId="526" xr:uid="{00000000-0005-0000-0000-0000B1020000}"/>
    <cellStyle name="Normal 124 2" xfId="536" xr:uid="{00000000-0005-0000-0000-0000B2020000}"/>
    <cellStyle name="Normal 124 2 2" xfId="1255" xr:uid="{00000000-0005-0000-0000-0000B3020000}"/>
    <cellStyle name="Normal 124 2 2 2" xfId="2703" xr:uid="{74A9E951-AF9F-4065-AD5D-3839BBA57E06}"/>
    <cellStyle name="Normal 124 2 2 2 2" xfId="5559" xr:uid="{9C7E31AB-D750-4BFF-AD07-1D45B9DC85D7}"/>
    <cellStyle name="Normal 124 2 2 3" xfId="4141" xr:uid="{8907B208-2E5F-4245-84E7-E9E7DFF2D5D5}"/>
    <cellStyle name="Normal 124 2 3" xfId="2058" xr:uid="{D7A84CC1-7821-40FC-AE94-06514C0B66CF}"/>
    <cellStyle name="Normal 124 2 3 2" xfId="4918" xr:uid="{8F8D9749-8C93-4F35-860A-038A44AF2DC2}"/>
    <cellStyle name="Normal 124 2 4" xfId="3502" xr:uid="{6F6D5E59-FAEE-49DB-A74A-C0F0B9AADF26}"/>
    <cellStyle name="Normal 124 3" xfId="1245" xr:uid="{00000000-0005-0000-0000-0000B4020000}"/>
    <cellStyle name="Normal 124 3 2" xfId="2693" xr:uid="{4A6517AD-DECE-49AD-81EE-ACF8BE5CA969}"/>
    <cellStyle name="Normal 124 3 2 2" xfId="5549" xr:uid="{0A56EB35-9687-425E-8A59-1BC8B335562E}"/>
    <cellStyle name="Normal 124 3 3" xfId="4131" xr:uid="{5ED7E8F9-8D5E-4E6D-86EB-7A99DED3BC44}"/>
    <cellStyle name="Normal 124 4" xfId="2048" xr:uid="{615E0FAC-4D3F-4A59-A513-0E513F0AE6BA}"/>
    <cellStyle name="Normal 124 4 2" xfId="4908" xr:uid="{F0A4A762-54E5-4B2C-B480-D5D6A0F37F28}"/>
    <cellStyle name="Normal 124 5" xfId="3492" xr:uid="{B4A25C15-DA0F-48A5-8762-5AF8B3358526}"/>
    <cellStyle name="Normal 125" xfId="542" xr:uid="{00000000-0005-0000-0000-0000B5020000}"/>
    <cellStyle name="Normal 125 2" xfId="1261" xr:uid="{00000000-0005-0000-0000-0000B6020000}"/>
    <cellStyle name="Normal 125 2 2" xfId="2709" xr:uid="{787E73C2-C5F0-4E23-BC55-083AAB93624F}"/>
    <cellStyle name="Normal 125 2 2 2" xfId="5565" xr:uid="{4BB61FE3-0EEC-4B37-8030-02954EDE9B88}"/>
    <cellStyle name="Normal 125 2 3" xfId="4147" xr:uid="{E850E5BB-762B-4A90-A995-0AA91ADDF72A}"/>
    <cellStyle name="Normal 125 3" xfId="2064" xr:uid="{E2AD631E-B7BE-4F69-BAB4-512E86377D32}"/>
    <cellStyle name="Normal 125 3 2" xfId="4924" xr:uid="{8BD45532-929A-4F0D-970A-FA0F04A37EC7}"/>
    <cellStyle name="Normal 125 4" xfId="3508" xr:uid="{AF74C1F6-EBF6-43DC-98F9-744AA5FDDDC8}"/>
    <cellStyle name="Normal 126" xfId="546" xr:uid="{00000000-0005-0000-0000-0000B7020000}"/>
    <cellStyle name="Normal 126 2" xfId="1265" xr:uid="{00000000-0005-0000-0000-0000B8020000}"/>
    <cellStyle name="Normal 126 2 2" xfId="2713" xr:uid="{DEED6A6E-C14F-453E-8234-08BAB215FF5D}"/>
    <cellStyle name="Normal 126 2 2 2" xfId="5569" xr:uid="{08EE9FF8-20E2-4B34-82BD-E12AD4673749}"/>
    <cellStyle name="Normal 126 2 3" xfId="4151" xr:uid="{A2CAC99E-4DB6-4C66-9153-B9F3B913677A}"/>
    <cellStyle name="Normal 126 3" xfId="2068" xr:uid="{DB2D4E15-2EFE-470A-B464-01EF6E810983}"/>
    <cellStyle name="Normal 126 3 2" xfId="4928" xr:uid="{10FDCD2E-F84C-4B93-AA03-F654BAF8503B}"/>
    <cellStyle name="Normal 126 4" xfId="3512" xr:uid="{DA17E083-4A02-4467-8CBC-01441BFDCF71}"/>
    <cellStyle name="Normal 127" xfId="553" xr:uid="{00000000-0005-0000-0000-0000B9020000}"/>
    <cellStyle name="Normal 127 2" xfId="1272" xr:uid="{00000000-0005-0000-0000-0000BA020000}"/>
    <cellStyle name="Normal 127 2 2" xfId="2720" xr:uid="{AF3D1ACF-53FF-4F12-B466-94873AF7834B}"/>
    <cellStyle name="Normal 127 2 2 2" xfId="5576" xr:uid="{6B6C0368-5131-4806-B6DD-DFD8020BA6CF}"/>
    <cellStyle name="Normal 127 2 3" xfId="4158" xr:uid="{5E081666-31BF-43D7-9118-48C554118F16}"/>
    <cellStyle name="Normal 127 3" xfId="2075" xr:uid="{5F88183E-712C-4BC6-896E-3A3928652EB0}"/>
    <cellStyle name="Normal 127 3 2" xfId="4935" xr:uid="{7A0E2B1C-26BD-4522-8A66-27D24DDE1B30}"/>
    <cellStyle name="Normal 127 4" xfId="3519" xr:uid="{D1E5A6C6-DA52-4CF3-8DFE-A9C62671E9A0}"/>
    <cellStyle name="Normal 128" xfId="556" xr:uid="{00000000-0005-0000-0000-0000BB020000}"/>
    <cellStyle name="Normal 128 2" xfId="1275" xr:uid="{00000000-0005-0000-0000-0000BC020000}"/>
    <cellStyle name="Normal 128 2 2" xfId="2723" xr:uid="{2C7D6A27-7810-45B8-8313-C17AE7C4AE49}"/>
    <cellStyle name="Normal 128 2 2 2" xfId="5579" xr:uid="{DDD57349-82EC-47B5-BD32-CEE3F6E98996}"/>
    <cellStyle name="Normal 128 2 3" xfId="4161" xr:uid="{338B74B2-EE01-417D-A462-982EC7146AE0}"/>
    <cellStyle name="Normal 128 3" xfId="2078" xr:uid="{C51AB0A7-3E8F-4968-ABF6-2FC7B83A3808}"/>
    <cellStyle name="Normal 128 3 2" xfId="4938" xr:uid="{5260964C-1C52-4570-8E74-B2EE6501E994}"/>
    <cellStyle name="Normal 128 4" xfId="3522" xr:uid="{4F3A4765-9DB8-43FA-B5A5-5F5CE540596D}"/>
    <cellStyle name="Normal 129" xfId="558" xr:uid="{00000000-0005-0000-0000-0000BD020000}"/>
    <cellStyle name="Normal 129 2" xfId="1277" xr:uid="{00000000-0005-0000-0000-0000BE020000}"/>
    <cellStyle name="Normal 129 2 2" xfId="2725" xr:uid="{6A3A21DB-20A0-4CCE-9783-F9A5AF3CEED7}"/>
    <cellStyle name="Normal 129 2 2 2" xfId="5581" xr:uid="{7BF4A2B4-3E3D-4CE0-B943-4D82585D92D4}"/>
    <cellStyle name="Normal 129 2 3" xfId="4163" xr:uid="{8AD4FEE0-EFE9-4C27-AE5F-0CBCBB837FA7}"/>
    <cellStyle name="Normal 129 3" xfId="2080" xr:uid="{167D4044-EA75-4480-ACAE-E5A96379F8A6}"/>
    <cellStyle name="Normal 129 3 2" xfId="4940" xr:uid="{8602E65F-4B43-4C26-B929-AF6CF33BD997}"/>
    <cellStyle name="Normal 129 4" xfId="3524" xr:uid="{33BA0019-B59E-43AB-B0DB-6238807FCCF1}"/>
    <cellStyle name="Normal 13" xfId="48" xr:uid="{00000000-0005-0000-0000-0000BF020000}"/>
    <cellStyle name="Normal 13 2" xfId="61" xr:uid="{00000000-0005-0000-0000-0000C0020000}"/>
    <cellStyle name="Normal 13 2 2" xfId="183" xr:uid="{00000000-0005-0000-0000-0000C1020000}"/>
    <cellStyle name="Normal 13 2 2 2" xfId="905" xr:uid="{00000000-0005-0000-0000-0000C2020000}"/>
    <cellStyle name="Normal 13 2 2 2 2" xfId="2353" xr:uid="{8B398942-1157-4B7A-A42D-01315E9C3504}"/>
    <cellStyle name="Normal 13 2 2 2 2 2" xfId="5209" xr:uid="{BBF1EF2B-7B0B-4FD0-9328-0E03DCAA40E9}"/>
    <cellStyle name="Normal 13 2 2 2 3" xfId="3791" xr:uid="{95824DC7-714E-49BB-9ADA-A4C2EBC8B636}"/>
    <cellStyle name="Normal 13 2 2 3" xfId="1706" xr:uid="{116A53FF-96DF-41C0-9CD9-2A3FF5B92B3C}"/>
    <cellStyle name="Normal 13 2 2 3 2" xfId="4566" xr:uid="{832E753D-EE61-4936-AC52-11465BB06874}"/>
    <cellStyle name="Normal 13 2 2 4" xfId="3150" xr:uid="{071559CD-36CB-48C7-9BE9-4A6C03784976}"/>
    <cellStyle name="Normal 13 2 3" xfId="789" xr:uid="{00000000-0005-0000-0000-0000C3020000}"/>
    <cellStyle name="Normal 13 2 3 2" xfId="2240" xr:uid="{C9100BB2-013C-4FC4-A287-2259E1AE5201}"/>
    <cellStyle name="Normal 13 2 3 2 2" xfId="5096" xr:uid="{0D961224-F12D-4DD3-9015-2BE557DC3348}"/>
    <cellStyle name="Normal 13 2 3 3" xfId="3678" xr:uid="{EB9BA9F6-90EB-4EF0-80B5-0D317F33F7D5}"/>
    <cellStyle name="Normal 13 2 4" xfId="1592" xr:uid="{2D10A44D-6765-4032-9C5A-FB8283D6D56F}"/>
    <cellStyle name="Normal 13 2 4 2" xfId="4452" xr:uid="{4D48E6DA-6363-423B-888A-79FFED724DCE}"/>
    <cellStyle name="Normal 13 2 5" xfId="3037" xr:uid="{8EF431D8-97E6-40BF-AB74-653E13A26BE9}"/>
    <cellStyle name="Normal 13 3" xfId="781" xr:uid="{00000000-0005-0000-0000-0000C4020000}"/>
    <cellStyle name="Normal 13 3 2" xfId="2233" xr:uid="{E59032A2-7C3B-4E0C-9BE8-0C10FCFEB7E5}"/>
    <cellStyle name="Normal 13 3 2 2" xfId="5089" xr:uid="{BA2C964A-46B1-4EDD-822E-A0AD2FA8F6B7}"/>
    <cellStyle name="Normal 13 3 3" xfId="3671" xr:uid="{5711639C-8EB6-47EB-9BFC-651F605B46C2}"/>
    <cellStyle name="Normal 13 4" xfId="1585" xr:uid="{85E4F5CA-9DE6-41EC-97F2-4EEB432C6CE2}"/>
    <cellStyle name="Normal 13 4 2" xfId="4445" xr:uid="{5CBC31AC-F77C-4A32-A27C-831A2A9BBA0E}"/>
    <cellStyle name="Normal 13 5" xfId="3030" xr:uid="{15F403F6-8CD1-4C83-A95C-5B1BA50DFDA1}"/>
    <cellStyle name="Normal 130" xfId="562" xr:uid="{00000000-0005-0000-0000-0000C5020000}"/>
    <cellStyle name="Normal 130 2" xfId="1281" xr:uid="{00000000-0005-0000-0000-0000C6020000}"/>
    <cellStyle name="Normal 130 2 2" xfId="2729" xr:uid="{15B557E1-A90C-49ED-B149-56AEF8CA3B2C}"/>
    <cellStyle name="Normal 130 2 2 2" xfId="5585" xr:uid="{1DCA50E9-0117-4268-A221-039E6B211DF6}"/>
    <cellStyle name="Normal 130 2 3" xfId="4167" xr:uid="{4C02E8ED-7E1A-4308-85D3-EAE57526FF57}"/>
    <cellStyle name="Normal 130 3" xfId="2084" xr:uid="{E8E9C67E-E058-4213-BDB2-C837A148D2A3}"/>
    <cellStyle name="Normal 130 3 2" xfId="4944" xr:uid="{574BAA11-17A1-494A-89C0-09F4D6B754DB}"/>
    <cellStyle name="Normal 130 4" xfId="3528" xr:uid="{8363AC7D-BC1C-43C5-B7E7-56F92BA7863F}"/>
    <cellStyle name="Normal 131" xfId="569" xr:uid="{00000000-0005-0000-0000-0000C7020000}"/>
    <cellStyle name="Normal 131 2" xfId="1288" xr:uid="{00000000-0005-0000-0000-0000C8020000}"/>
    <cellStyle name="Normal 131 2 2" xfId="2736" xr:uid="{0504431D-7CF3-4BEF-98DF-A165444E8310}"/>
    <cellStyle name="Normal 131 2 2 2" xfId="5592" xr:uid="{45F1DD0C-C506-47E5-A8B0-EE2756C602B0}"/>
    <cellStyle name="Normal 131 2 3" xfId="4174" xr:uid="{637E0DEE-9284-4C8E-AA78-40968D4E742B}"/>
    <cellStyle name="Normal 131 3" xfId="2091" xr:uid="{AB000704-364D-4D0C-BFD0-A96ED14CEA76}"/>
    <cellStyle name="Normal 131 3 2" xfId="4951" xr:uid="{6F3ACE4B-CDD4-46DD-A8CE-7A20BEED000F}"/>
    <cellStyle name="Normal 131 4" xfId="3535" xr:uid="{FCC253CE-504A-4215-B7CA-5C00D96F351D}"/>
    <cellStyle name="Normal 132" xfId="571" xr:uid="{00000000-0005-0000-0000-0000C9020000}"/>
    <cellStyle name="Normal 132 2" xfId="597" xr:uid="{00000000-0005-0000-0000-0000CA020000}"/>
    <cellStyle name="Normal 132 2 2" xfId="1315" xr:uid="{00000000-0005-0000-0000-0000CB020000}"/>
    <cellStyle name="Normal 132 2 2 2" xfId="2763" xr:uid="{25B721FC-014A-4A47-8C00-69BE54419D06}"/>
    <cellStyle name="Normal 132 2 2 2 2" xfId="5619" xr:uid="{376BF0B4-BE69-4F02-B41A-E6D6493902BF}"/>
    <cellStyle name="Normal 132 2 2 3" xfId="4201" xr:uid="{E0C1C95C-C533-4456-8AB6-AABCDFD10F09}"/>
    <cellStyle name="Normal 132 2 3" xfId="2118" xr:uid="{86CD5624-1058-45D9-BB9A-AE8B4CC55DC5}"/>
    <cellStyle name="Normal 132 2 3 2" xfId="4978" xr:uid="{95D9A392-DF38-4623-A4F6-4BD0DAFFC676}"/>
    <cellStyle name="Normal 132 2 4" xfId="3562" xr:uid="{732E646B-495F-471F-B14D-85D28D9E360F}"/>
    <cellStyle name="Normal 132 3" xfId="1290" xr:uid="{00000000-0005-0000-0000-0000CC020000}"/>
    <cellStyle name="Normal 132 3 2" xfId="2738" xr:uid="{32BA17EB-97AE-4C80-B366-9C32FFE86BD6}"/>
    <cellStyle name="Normal 132 3 2 2" xfId="5594" xr:uid="{3B8F64E1-EF77-47DE-AF1F-669E87302565}"/>
    <cellStyle name="Normal 132 3 3" xfId="4176" xr:uid="{C56C3E2B-81F6-47D3-8D26-DDEA18910508}"/>
    <cellStyle name="Normal 132 4" xfId="2093" xr:uid="{A42FA19C-99A6-4873-AE0F-4BC847DB0A2C}"/>
    <cellStyle name="Normal 132 4 2" xfId="4953" xr:uid="{5023CFCA-2A96-49F4-9A08-F7C089690009}"/>
    <cellStyle name="Normal 132 5" xfId="3537" xr:uid="{B7F8DFF4-1F77-46EB-B319-B5ECEEF75FAD}"/>
    <cellStyle name="Normal 133" xfId="575" xr:uid="{00000000-0005-0000-0000-0000CD020000}"/>
    <cellStyle name="Normal 133 2" xfId="1294" xr:uid="{00000000-0005-0000-0000-0000CE020000}"/>
    <cellStyle name="Normal 133 2 2" xfId="2742" xr:uid="{94F7CBCA-C6BE-4706-A47E-0A0C589715D0}"/>
    <cellStyle name="Normal 133 2 2 2" xfId="5598" xr:uid="{6D1553D9-6281-44A4-A1DF-5B064F832FA7}"/>
    <cellStyle name="Normal 133 2 3" xfId="4180" xr:uid="{72B081C9-29B2-49F0-B73F-0EB75F91FF9D}"/>
    <cellStyle name="Normal 133 3" xfId="2097" xr:uid="{4A261940-23A2-4759-8DC5-14E51246CE22}"/>
    <cellStyle name="Normal 133 3 2" xfId="4957" xr:uid="{910D3537-47B6-420E-B3D9-5F24C5BCFC0A}"/>
    <cellStyle name="Normal 133 4" xfId="3541" xr:uid="{11C12586-5432-4BA3-B425-8D07A57602E1}"/>
    <cellStyle name="Normal 134" xfId="581" xr:uid="{00000000-0005-0000-0000-0000CF020000}"/>
    <cellStyle name="Normal 134 2" xfId="711" xr:uid="{00000000-0005-0000-0000-0000D0020000}"/>
    <cellStyle name="Normal 134 2 2" xfId="1392" xr:uid="{00000000-0005-0000-0000-0000D1020000}"/>
    <cellStyle name="Normal 134 2 2 2" xfId="2839" xr:uid="{23E45E6F-B547-449C-95A5-3126E1AD78D8}"/>
    <cellStyle name="Normal 134 2 2 2 2" xfId="5694" xr:uid="{D38941EB-6B2C-44A5-8536-9C706C9FECCB}"/>
    <cellStyle name="Normal 134 2 2 3" xfId="4276" xr:uid="{3DE49DB6-BA54-42B5-B95D-9C589AFF854C}"/>
    <cellStyle name="Normal 134 2 3" xfId="2198" xr:uid="{37C4DD14-8BF7-4AEC-A494-DEC0E8288494}"/>
    <cellStyle name="Normal 134 2 3 2" xfId="5055" xr:uid="{44D504BC-F914-4906-8599-74C43B629873}"/>
    <cellStyle name="Normal 134 2 4" xfId="3639" xr:uid="{226EB540-C56D-4ADE-BA46-826D556460D8}"/>
    <cellStyle name="Normal 134 2 5" xfId="5995" xr:uid="{2B6E96D7-549F-4014-8379-35620B8BEACA}"/>
    <cellStyle name="Normal 134 3" xfId="1300" xr:uid="{00000000-0005-0000-0000-0000D2020000}"/>
    <cellStyle name="Normal 134 3 2" xfId="2748" xr:uid="{814806E0-676F-4190-9CAE-051BAB9FE03A}"/>
    <cellStyle name="Normal 134 3 2 2" xfId="5604" xr:uid="{50447FBB-B255-4B16-AB84-25DC6D339B37}"/>
    <cellStyle name="Normal 134 3 3" xfId="4186" xr:uid="{BA83C254-F58D-4D7E-A9F4-8D8DD91B1351}"/>
    <cellStyle name="Normal 134 4" xfId="2103" xr:uid="{5DCE9618-5403-4E1F-B620-40B3027006E2}"/>
    <cellStyle name="Normal 134 4 2" xfId="4963" xr:uid="{659E022A-3BEB-40EB-9345-82B7D293775E}"/>
    <cellStyle name="Normal 134 5" xfId="3547" xr:uid="{EDC35E18-3580-4560-B566-EECA3D693727}"/>
    <cellStyle name="Normal 135" xfId="593" xr:uid="{00000000-0005-0000-0000-0000D3020000}"/>
    <cellStyle name="Normal 135 2" xfId="1311" xr:uid="{00000000-0005-0000-0000-0000D4020000}"/>
    <cellStyle name="Normal 135 2 2" xfId="2759" xr:uid="{FC68B8C4-5CC2-49AA-8499-884E981290DB}"/>
    <cellStyle name="Normal 135 2 2 2" xfId="5615" xr:uid="{5614D614-644B-403D-8A69-75FCDB4AB390}"/>
    <cellStyle name="Normal 135 2 3" xfId="4197" xr:uid="{51810318-C63A-4E0E-BF08-5F1A5DF5DDA7}"/>
    <cellStyle name="Normal 135 3" xfId="2114" xr:uid="{454EA659-D743-4486-B9CD-BF9457A96DC2}"/>
    <cellStyle name="Normal 135 3 2" xfId="4974" xr:uid="{0A02FFCC-DFA6-4AF2-9652-3383FD024037}"/>
    <cellStyle name="Normal 135 4" xfId="3558" xr:uid="{0811D83C-CCAE-45F7-ACE6-F5103ED340DB}"/>
    <cellStyle name="Normal 136" xfId="596" xr:uid="{00000000-0005-0000-0000-0000D5020000}"/>
    <cellStyle name="Normal 136 2" xfId="1314" xr:uid="{00000000-0005-0000-0000-0000D6020000}"/>
    <cellStyle name="Normal 136 2 2" xfId="2762" xr:uid="{0266BEE9-0438-415E-A37A-62A3504CD755}"/>
    <cellStyle name="Normal 136 2 2 2" xfId="5618" xr:uid="{3BAD9FE5-04C0-4F02-BFCB-D9656F6DC23C}"/>
    <cellStyle name="Normal 136 2 3" xfId="4200" xr:uid="{5B76EBBF-A61F-41A9-B54B-FF257A8C162B}"/>
    <cellStyle name="Normal 136 3" xfId="2117" xr:uid="{1AFD958C-09B2-496B-AF24-F06138434F99}"/>
    <cellStyle name="Normal 136 3 2" xfId="4977" xr:uid="{6F5FB4E3-49C9-4EB4-81A7-A264DC1206DD}"/>
    <cellStyle name="Normal 136 4" xfId="3561" xr:uid="{54D422C4-8E6F-485F-94BD-A4B18E0C56BC}"/>
    <cellStyle name="Normal 137" xfId="602" xr:uid="{00000000-0005-0000-0000-0000D7020000}"/>
    <cellStyle name="Normal 137 2" xfId="1320" xr:uid="{00000000-0005-0000-0000-0000D8020000}"/>
    <cellStyle name="Normal 137 2 2" xfId="2768" xr:uid="{D9A70AE4-1093-4D3B-B702-0369AB9E0382}"/>
    <cellStyle name="Normal 137 2 2 2" xfId="5624" xr:uid="{A42CEA4C-2966-4C90-9CFF-BA930EB1EBCE}"/>
    <cellStyle name="Normal 137 2 3" xfId="4206" xr:uid="{06891F15-877B-4EF6-8E1C-5643F6EAC2F8}"/>
    <cellStyle name="Normal 137 3" xfId="2123" xr:uid="{ABDFC2DF-A819-4A4C-A9B1-C25580EC680B}"/>
    <cellStyle name="Normal 137 3 2" xfId="4983" xr:uid="{8F0D0530-26A4-418F-B006-8E3E6F01DD14}"/>
    <cellStyle name="Normal 137 4" xfId="3567" xr:uid="{AC34B1A2-3F30-4C70-B803-F74611E08F10}"/>
    <cellStyle name="Normal 138" xfId="604" xr:uid="{00000000-0005-0000-0000-0000D9020000}"/>
    <cellStyle name="Normal 138 2" xfId="1322" xr:uid="{00000000-0005-0000-0000-0000DA020000}"/>
    <cellStyle name="Normal 138 2 2" xfId="2770" xr:uid="{3267021C-B479-4643-9C08-0BA5BF05EBF7}"/>
    <cellStyle name="Normal 138 2 2 2" xfId="5626" xr:uid="{3FB103A7-8E94-4EAF-ABFD-BC64BA09AAC0}"/>
    <cellStyle name="Normal 138 2 3" xfId="4208" xr:uid="{7EAFCAC7-9072-4494-B459-588D1713CDBA}"/>
    <cellStyle name="Normal 138 3" xfId="2125" xr:uid="{0731AF70-B658-4405-B942-D4C2E28007C0}"/>
    <cellStyle name="Normal 138 3 2" xfId="4985" xr:uid="{5753EE9C-6D71-42E9-AFFE-45B23FECDF93}"/>
    <cellStyle name="Normal 138 4" xfId="3569" xr:uid="{157209FF-BB8C-4430-BE73-6E2222AEF18A}"/>
    <cellStyle name="Normal 139" xfId="608" xr:uid="{00000000-0005-0000-0000-0000DB020000}"/>
    <cellStyle name="Normal 139 2" xfId="630" xr:uid="{00000000-0005-0000-0000-0000DC020000}"/>
    <cellStyle name="Normal 139 2 2" xfId="1344" xr:uid="{00000000-0005-0000-0000-0000DD020000}"/>
    <cellStyle name="Normal 139 2 2 2" xfId="2792" xr:uid="{D9C9D585-3999-4A77-BE48-B5A59F5FA79B}"/>
    <cellStyle name="Normal 139 2 2 2 2" xfId="5648" xr:uid="{FF12BA28-88F2-4F37-B7A8-7B8CDD1D1A4F}"/>
    <cellStyle name="Normal 139 2 2 3" xfId="4230" xr:uid="{5519F5DE-2A1C-465E-A0AC-D95F34657331}"/>
    <cellStyle name="Normal 139 2 3" xfId="2148" xr:uid="{C3B1A5AF-C6BC-43AB-A259-EF3FDACA8E48}"/>
    <cellStyle name="Normal 139 2 3 2" xfId="5008" xr:uid="{AFABEECF-D6C8-4CEB-9728-F4F1563961A0}"/>
    <cellStyle name="Normal 139 2 4" xfId="3592" xr:uid="{77A2CBAF-8B5A-428C-B6E2-3C167664761F}"/>
    <cellStyle name="Normal 139 3" xfId="1326" xr:uid="{00000000-0005-0000-0000-0000DE020000}"/>
    <cellStyle name="Normal 139 3 2" xfId="2774" xr:uid="{49675D42-2080-4751-9332-0B2050D28DD6}"/>
    <cellStyle name="Normal 139 3 2 2" xfId="5630" xr:uid="{A53B25A7-C558-49E6-B565-5CB9D5EEBD92}"/>
    <cellStyle name="Normal 139 3 3" xfId="4212" xr:uid="{40DF5819-5DF2-4180-A8DA-40703BB1ED44}"/>
    <cellStyle name="Normal 139 4" xfId="2129" xr:uid="{0686690C-AFCC-4B96-86AD-A5C45C5C69C6}"/>
    <cellStyle name="Normal 139 4 2" xfId="4989" xr:uid="{B8A81138-7579-46CB-AE18-8C6617953A0E}"/>
    <cellStyle name="Normal 139 5" xfId="3573" xr:uid="{1762BD38-3A3C-425C-AEBD-2DA4E382A681}"/>
    <cellStyle name="Normal 14" xfId="51" xr:uid="{00000000-0005-0000-0000-0000DF020000}"/>
    <cellStyle name="Normal 14 2" xfId="783" xr:uid="{00000000-0005-0000-0000-0000E0020000}"/>
    <cellStyle name="Normal 14 2 2" xfId="2235" xr:uid="{DA3E2983-CE66-4F54-A87A-B0575C5490A5}"/>
    <cellStyle name="Normal 14 2 2 2" xfId="5091" xr:uid="{82F0E956-22D6-4343-AD93-10348B2C04F6}"/>
    <cellStyle name="Normal 14 2 3" xfId="3673" xr:uid="{B74FF760-C378-4229-AB79-60282BA4DC76}"/>
    <cellStyle name="Normal 14 3" xfId="1587" xr:uid="{E1CC4DE6-3991-4D09-8B8F-A82D5EA8CFBD}"/>
    <cellStyle name="Normal 14 3 2" xfId="4447" xr:uid="{1A5AC388-CB28-4F99-833C-C568DFFAF0A7}"/>
    <cellStyle name="Normal 14 4" xfId="3032" xr:uid="{48D42E50-9466-4F35-B11F-F2D4B380FC5F}"/>
    <cellStyle name="Normal 140" xfId="610" xr:uid="{00000000-0005-0000-0000-0000E1020000}"/>
    <cellStyle name="Normal 140 2" xfId="1328" xr:uid="{00000000-0005-0000-0000-0000E2020000}"/>
    <cellStyle name="Normal 140 2 2" xfId="2776" xr:uid="{451491DF-BF88-417A-A4E4-60A6F637D17C}"/>
    <cellStyle name="Normal 140 2 2 2" xfId="5632" xr:uid="{F137BC21-D0B7-4B69-9665-187FFF00F09D}"/>
    <cellStyle name="Normal 140 2 3" xfId="4214" xr:uid="{CFD7E894-EBB6-4BC8-A8ED-91BEC79D620E}"/>
    <cellStyle name="Normal 140 3" xfId="2131" xr:uid="{952A3B8D-2950-45C4-9D83-83980466A2CE}"/>
    <cellStyle name="Normal 140 3 2" xfId="4991" xr:uid="{1CA7B057-D239-4024-89B2-CDEB2A55769F}"/>
    <cellStyle name="Normal 140 4" xfId="3575" xr:uid="{D7F1A86B-EA72-4437-A45E-18A711CB3A20}"/>
    <cellStyle name="Normal 141" xfId="612" xr:uid="{00000000-0005-0000-0000-0000E3020000}"/>
    <cellStyle name="Normal 141 2" xfId="1330" xr:uid="{00000000-0005-0000-0000-0000E4020000}"/>
    <cellStyle name="Normal 141 2 2" xfId="2778" xr:uid="{CC9BA60B-5044-4FD3-860A-67DAA4193A05}"/>
    <cellStyle name="Normal 141 2 2 2" xfId="5634" xr:uid="{5CBD2ACB-6533-4213-A2F9-98DFCCCFF2F0}"/>
    <cellStyle name="Normal 141 2 3" xfId="4216" xr:uid="{0E228422-DF57-4C7A-AD73-985D3F7689D3}"/>
    <cellStyle name="Normal 141 3" xfId="2133" xr:uid="{1F1406C6-BBFB-4B84-A07D-ADC8EAA20858}"/>
    <cellStyle name="Normal 141 3 2" xfId="4993" xr:uid="{74455655-CC77-4DB7-9BC8-E69E526D544F}"/>
    <cellStyle name="Normal 141 4" xfId="3577" xr:uid="{F7363DDA-878A-4676-8C40-29ABDD2DB6E6}"/>
    <cellStyle name="Normal 142" xfId="631" xr:uid="{00000000-0005-0000-0000-0000E5020000}"/>
    <cellStyle name="Normal 142 2" xfId="1345" xr:uid="{00000000-0005-0000-0000-0000E6020000}"/>
    <cellStyle name="Normal 142 2 2" xfId="2793" xr:uid="{75E5562F-087F-4624-A5EB-AAC83E44A986}"/>
    <cellStyle name="Normal 142 2 2 2" xfId="5649" xr:uid="{625EBA15-60CF-429D-A0B3-992400457882}"/>
    <cellStyle name="Normal 142 2 3" xfId="4231" xr:uid="{F1A4F505-C995-4147-A88E-70076C474FED}"/>
    <cellStyle name="Normal 142 3" xfId="2149" xr:uid="{F9DF5DB5-BF13-48EE-AA2C-51075279C182}"/>
    <cellStyle name="Normal 142 3 2" xfId="5009" xr:uid="{729A4C35-5D54-402D-8D7C-FCD91BD0DBFB}"/>
    <cellStyle name="Normal 142 4" xfId="3593" xr:uid="{012C5FC1-72A1-447B-B77D-8D3847B3A9F8}"/>
    <cellStyle name="Normal 143" xfId="635" xr:uid="{00000000-0005-0000-0000-0000E7020000}"/>
    <cellStyle name="Normal 143 2" xfId="1349" xr:uid="{00000000-0005-0000-0000-0000E8020000}"/>
    <cellStyle name="Normal 143 2 2" xfId="2797" xr:uid="{FA5B0CCD-C002-45CC-A43E-E9D98B00E7DC}"/>
    <cellStyle name="Normal 143 2 2 2" xfId="5653" xr:uid="{5BB71206-BA0C-44B2-BA20-22E4D8137CA4}"/>
    <cellStyle name="Normal 143 2 3" xfId="4235" xr:uid="{0A0469C0-F3B9-4673-A38F-7831E3AE6907}"/>
    <cellStyle name="Normal 143 3" xfId="2153" xr:uid="{A2E4AA41-A00C-423B-B6C8-C9D15A8E2ACB}"/>
    <cellStyle name="Normal 143 3 2" xfId="5013" xr:uid="{881949EE-3B33-4D6D-9DFD-618EAEB5D579}"/>
    <cellStyle name="Normal 143 4" xfId="3597" xr:uid="{AA0414E0-1127-4EAF-A72B-17F495F19EAC}"/>
    <cellStyle name="Normal 144" xfId="639" xr:uid="{00000000-0005-0000-0000-0000E9020000}"/>
    <cellStyle name="Normal 144 2" xfId="1353" xr:uid="{00000000-0005-0000-0000-0000EA020000}"/>
    <cellStyle name="Normal 144 2 2" xfId="2801" xr:uid="{A5C8EC22-D303-46B1-9A34-86EC4E0661FC}"/>
    <cellStyle name="Normal 144 2 2 2" xfId="5657" xr:uid="{7F3D99EB-077D-4FF3-AE3E-69D7A49FCC95}"/>
    <cellStyle name="Normal 144 2 3" xfId="4239" xr:uid="{03575809-FFA3-4AF7-AA41-39FCAAFA4DC9}"/>
    <cellStyle name="Normal 144 3" xfId="2157" xr:uid="{85556C02-A546-42C5-8FE5-B32CAEF5374A}"/>
    <cellStyle name="Normal 144 3 2" xfId="5017" xr:uid="{A4F0D168-C867-4ACF-BEF2-C9ADE613E7BE}"/>
    <cellStyle name="Normal 144 4" xfId="3601" xr:uid="{A18B8126-7FC6-488C-A999-A8E6990D6EB7}"/>
    <cellStyle name="Normal 145" xfId="641" xr:uid="{00000000-0005-0000-0000-0000EB020000}"/>
    <cellStyle name="Normal 145 2" xfId="1355" xr:uid="{00000000-0005-0000-0000-0000EC020000}"/>
    <cellStyle name="Normal 145 2 2" xfId="2803" xr:uid="{6F606A2C-756B-485F-ADA0-042A574DDAE4}"/>
    <cellStyle name="Normal 145 2 2 2" xfId="5659" xr:uid="{6A5EFA46-6F2E-4558-8500-683731F2D3A9}"/>
    <cellStyle name="Normal 145 2 3" xfId="4241" xr:uid="{42A6C0B9-4CBF-47F2-81E1-B856C0DA45C0}"/>
    <cellStyle name="Normal 145 3" xfId="2159" xr:uid="{D9AB1AB9-1954-4EB9-9142-DC41DB7F749D}"/>
    <cellStyle name="Normal 145 3 2" xfId="5019" xr:uid="{3DD170FB-EC86-43B5-84D3-037EADAB969D}"/>
    <cellStyle name="Normal 145 4" xfId="3603" xr:uid="{70015B59-F7F4-4B76-BD10-0DA7C1370448}"/>
    <cellStyle name="Normal 146" xfId="644" xr:uid="{00000000-0005-0000-0000-0000ED020000}"/>
    <cellStyle name="Normal 146 2" xfId="1358" xr:uid="{00000000-0005-0000-0000-0000EE020000}"/>
    <cellStyle name="Normal 146 2 2" xfId="2806" xr:uid="{F84B9C27-C11A-4BA8-9D20-240DEF006E6F}"/>
    <cellStyle name="Normal 146 2 2 2" xfId="5662" xr:uid="{73CEA4FC-C2EB-4CD2-A1FC-F43C072A8F3D}"/>
    <cellStyle name="Normal 146 2 3" xfId="4244" xr:uid="{4619AFD2-60B7-4917-B640-F1C2554D5062}"/>
    <cellStyle name="Normal 146 3" xfId="2162" xr:uid="{65033E14-F335-44CF-B4B1-2F62EA849711}"/>
    <cellStyle name="Normal 146 3 2" xfId="5022" xr:uid="{E951717F-6331-4324-B87E-833AC33B7FB4}"/>
    <cellStyle name="Normal 146 4" xfId="3606" xr:uid="{8470410A-A690-453F-BDBA-70416C8D8EA1}"/>
    <cellStyle name="Normal 147" xfId="646" xr:uid="{00000000-0005-0000-0000-0000EF020000}"/>
    <cellStyle name="Normal 148" xfId="658" xr:uid="{00000000-0005-0000-0000-0000F0020000}"/>
    <cellStyle name="Normal 148 2" xfId="1360" xr:uid="{00000000-0005-0000-0000-0000F1020000}"/>
    <cellStyle name="Normal 148 2 2" xfId="2808" xr:uid="{8F5B7313-4829-4B1C-905B-4AFD4BB43433}"/>
    <cellStyle name="Normal 148 2 2 2" xfId="5664" xr:uid="{14007F18-77FA-4C01-866B-4E69B7DC9465}"/>
    <cellStyle name="Normal 148 2 3" xfId="4246" xr:uid="{9150D0EA-13C1-4BC7-843E-8ACDD5C51F9F}"/>
    <cellStyle name="Normal 148 3" xfId="1492" xr:uid="{00000000-0005-0000-0000-0000F2020000}"/>
    <cellStyle name="Normal 148 3 2" xfId="2920" xr:uid="{ABE92B60-81F9-467C-8512-D362FFDBB99D}"/>
    <cellStyle name="Normal 148 3 2 2" xfId="5774" xr:uid="{0E66A5C3-1B4F-4F23-8DCE-5DD0349BECC9}"/>
    <cellStyle name="Normal 148 3 3" xfId="4353" xr:uid="{DCB33348-5988-4B59-AD78-5C09CF43B91E}"/>
    <cellStyle name="Normal 148 4" xfId="2164" xr:uid="{0ABB0527-4297-43B6-A3CF-F2D509CED38E}"/>
    <cellStyle name="Normal 148 4 2" xfId="5024" xr:uid="{8534312A-FF39-4D38-A4BF-3F13928F8A4A}"/>
    <cellStyle name="Normal 148 5" xfId="3608" xr:uid="{75F017BD-CDFC-4AF7-AFA4-F3E2373AA4FA}"/>
    <cellStyle name="Normal 149" xfId="663" xr:uid="{00000000-0005-0000-0000-0000F3020000}"/>
    <cellStyle name="Normal 149 2" xfId="1364" xr:uid="{00000000-0005-0000-0000-0000F4020000}"/>
    <cellStyle name="Normal 149 2 2" xfId="2812" xr:uid="{613A93D4-90C0-4D37-945E-8D5AB4E385AF}"/>
    <cellStyle name="Normal 149 2 2 2" xfId="5668" xr:uid="{9C5B5355-6D75-46E1-8416-F842679BDDD7}"/>
    <cellStyle name="Normal 149 2 3" xfId="4250" xr:uid="{1DE5C5C4-DABD-44C0-B759-E454D4549E25}"/>
    <cellStyle name="Normal 149 3" xfId="2168" xr:uid="{726C86CA-BBF6-4895-8C23-33E459D33975}"/>
    <cellStyle name="Normal 149 3 2" xfId="5028" xr:uid="{1FD39B0E-100B-428E-842D-236FFC98DE21}"/>
    <cellStyle name="Normal 149 4" xfId="3612" xr:uid="{67FBBFC8-881A-4ACB-819E-4D648832CCD6}"/>
    <cellStyle name="Normal 15" xfId="53" xr:uid="{00000000-0005-0000-0000-0000F5020000}"/>
    <cellStyle name="Normal 15 2" xfId="785" xr:uid="{00000000-0005-0000-0000-0000F6020000}"/>
    <cellStyle name="Normal 15 2 2" xfId="2237" xr:uid="{1F1BBA84-3040-40EB-AD26-2EFAD4D2BB1B}"/>
    <cellStyle name="Normal 15 2 2 2" xfId="5093" xr:uid="{0CEF310E-6239-47D8-A6DE-20957CCC8137}"/>
    <cellStyle name="Normal 15 2 3" xfId="3675" xr:uid="{0D36F5AA-D639-4F41-A478-C25FD153A0F0}"/>
    <cellStyle name="Normal 15 3" xfId="1589" xr:uid="{20001782-D258-47E8-8AEB-78DB20994865}"/>
    <cellStyle name="Normal 15 3 2" xfId="4449" xr:uid="{3347B594-5210-48B0-82ED-65EA03FBA9D1}"/>
    <cellStyle name="Normal 15 4" xfId="3034" xr:uid="{47A42FD7-A715-478C-9C58-3C1F87C2095B}"/>
    <cellStyle name="Normal 150" xfId="669" xr:uid="{00000000-0005-0000-0000-0000F7020000}"/>
    <cellStyle name="Normal 150 2" xfId="1368" xr:uid="{00000000-0005-0000-0000-0000F8020000}"/>
    <cellStyle name="Normal 150 2 2" xfId="2816" xr:uid="{409582B3-E5C3-4BD9-979F-96D02F6472F5}"/>
    <cellStyle name="Normal 150 2 2 2" xfId="5671" xr:uid="{D05B80F8-5D5E-456F-8EB6-57A2B6FDECE4}"/>
    <cellStyle name="Normal 150 2 3" xfId="4253" xr:uid="{6490EFF3-898A-406E-B677-0C5A50EDB86E}"/>
    <cellStyle name="Normal 150 3" xfId="2172" xr:uid="{E71DAB1C-1714-4091-9B33-2B18D66F011A}"/>
    <cellStyle name="Normal 150 3 2" xfId="5032" xr:uid="{8E728816-CA60-4115-9893-6BA31FA2C284}"/>
    <cellStyle name="Normal 150 4" xfId="3616" xr:uid="{57CB94BA-E43B-49A4-93D1-CA4D3E5B217F}"/>
    <cellStyle name="Normal 151" xfId="674" xr:uid="{00000000-0005-0000-0000-0000F9020000}"/>
    <cellStyle name="Normal 151 2" xfId="1371" xr:uid="{00000000-0005-0000-0000-0000FA020000}"/>
    <cellStyle name="Normal 152" xfId="676" xr:uid="{00000000-0005-0000-0000-0000FB020000}"/>
    <cellStyle name="Normal 152 2" xfId="682" xr:uid="{00000000-0005-0000-0000-0000FC020000}"/>
    <cellStyle name="Normal 152 2 2" xfId="687" xr:uid="{00000000-0005-0000-0000-0000FD020000}"/>
    <cellStyle name="Normal 152 2 2 2" xfId="696" xr:uid="{00000000-0005-0000-0000-0000FE020000}"/>
    <cellStyle name="Normal 152 2 2 2 2" xfId="702" xr:uid="{00000000-0005-0000-0000-0000FF020000}"/>
    <cellStyle name="Normal 152 2 2 2 2 2" xfId="1385" xr:uid="{00000000-0005-0000-0000-000000030000}"/>
    <cellStyle name="Normal 152 2 2 2 2 2 2" xfId="2832" xr:uid="{841D0A18-6D15-42D0-B8EA-25B3AF5CB525}"/>
    <cellStyle name="Normal 152 2 2 2 2 2 2 2" xfId="5687" xr:uid="{6750760C-15C8-4EEF-96C2-049EBE8373C2}"/>
    <cellStyle name="Normal 152 2 2 2 2 2 3" xfId="4269" xr:uid="{8C31FC05-7FE5-4FD7-81BF-D2C041D5820F}"/>
    <cellStyle name="Normal 152 2 2 2 2 3" xfId="2190" xr:uid="{BCB3D5CB-F191-482A-925C-F897AFA2DB85}"/>
    <cellStyle name="Normal 152 2 2 2 2 3 2" xfId="5048" xr:uid="{27868E78-F3CF-4348-AB72-FD2ECA90A60E}"/>
    <cellStyle name="Normal 152 2 2 2 2 4" xfId="3632" xr:uid="{77C577E7-A969-47FC-A461-41AFCC8B7A82}"/>
    <cellStyle name="Normal 152 2 2 2 3" xfId="709" xr:uid="{00000000-0005-0000-0000-000001030000}"/>
    <cellStyle name="Normal 152 2 2 2 3 2" xfId="1390" xr:uid="{00000000-0005-0000-0000-000002030000}"/>
    <cellStyle name="Normal 152 2 2 2 3 2 2" xfId="2837" xr:uid="{EBB59B3F-14AF-45D8-8B0B-5796F3E393D8}"/>
    <cellStyle name="Normal 152 2 2 2 3 2 2 2" xfId="5692" xr:uid="{B882CBE7-0EEE-4E36-9A1D-932BBE2A99D9}"/>
    <cellStyle name="Normal 152 2 2 2 3 2 3" xfId="4274" xr:uid="{9F77CC32-2E77-4684-B475-2A8B04C5A825}"/>
    <cellStyle name="Normal 152 2 2 2 3 3" xfId="2196" xr:uid="{FFB33101-547A-4FD6-B0D2-70E98AEA4B71}"/>
    <cellStyle name="Normal 152 2 2 2 3 3 2" xfId="5053" xr:uid="{884306C2-5D3D-4603-90D8-E1C73FA2B4EC}"/>
    <cellStyle name="Normal 152 2 2 2 3 4" xfId="3637" xr:uid="{F9B73310-5073-4480-B172-459222E27CD8}"/>
    <cellStyle name="Normal 152 2 2 2 3 5" xfId="5996" xr:uid="{DA36BC35-2DE6-45CB-A6B9-002371BC9F6D}"/>
    <cellStyle name="Normal 152 2 2 2 4" xfId="715" xr:uid="{00000000-0005-0000-0000-000003030000}"/>
    <cellStyle name="Normal 152 2 2 2 4 2" xfId="728" xr:uid="{00000000-0005-0000-0000-000004030000}"/>
    <cellStyle name="Normal 152 2 2 2 4 2 2" xfId="735" xr:uid="{00000000-0005-0000-0000-000005030000}"/>
    <cellStyle name="Normal 152 2 2 2 4 2 2 2" xfId="1407" xr:uid="{00000000-0005-0000-0000-000006030000}"/>
    <cellStyle name="Normal 152 2 2 2 4 2 2 2 2" xfId="2854" xr:uid="{91391824-AAA3-4118-AAC5-B5CFCF84959D}"/>
    <cellStyle name="Normal 152 2 2 2 4 2 2 2 2 2" xfId="5709" xr:uid="{0713DEA2-4A81-4CAA-9D26-908342FAA0ED}"/>
    <cellStyle name="Normal 152 2 2 2 4 2 2 2 3" xfId="4291" xr:uid="{5F71CD10-5C43-4BD4-95AE-D382599737FC}"/>
    <cellStyle name="Normal 152 2 2 2 4 2 2 3" xfId="2214" xr:uid="{8F10900A-1B71-41EC-ACF4-267CCE4BEF3E}"/>
    <cellStyle name="Normal 152 2 2 2 4 2 2 3 2" xfId="5070" xr:uid="{64D12738-873D-4117-B4F9-A760F9256818}"/>
    <cellStyle name="Normal 152 2 2 2 4 2 2 4" xfId="3654" xr:uid="{0ADA412F-076B-4401-B8DF-B8516C48AE27}"/>
    <cellStyle name="Normal 152 2 2 2 4 2 3" xfId="744" xr:uid="{00000000-0005-0000-0000-000007030000}"/>
    <cellStyle name="Normal 152 2 2 2 4 2 3 2" xfId="751" xr:uid="{00000000-0005-0000-0000-000008030000}"/>
    <cellStyle name="Normal 152 2 2 2 4 2 3 2 2" xfId="761" xr:uid="{00000000-0005-0000-0000-000009030000}"/>
    <cellStyle name="Normal 152 2 2 2 4 2 3 2 2 2" xfId="1418" xr:uid="{00000000-0005-0000-0000-00000A030000}"/>
    <cellStyle name="Normal 152 2 2 2 4 2 3 2 2 2 2" xfId="1429" xr:uid="{00000000-0005-0000-0000-00000B030000}"/>
    <cellStyle name="Normal 152 2 2 2 4 2 3 2 2 2 2 10" xfId="5949" xr:uid="{E1BE5234-D3A3-4372-ACD3-64446DAC52DF}"/>
    <cellStyle name="Normal 152 2 2 2 4 2 3 2 2 2 2 11" xfId="5965" xr:uid="{27C2AD31-3AB1-45CE-AB0A-832ADFEFA806}"/>
    <cellStyle name="Normal 152 2 2 2 4 2 3 2 2 2 2 12" xfId="5983" xr:uid="{8E82D245-6283-42CC-838D-305F90A28BB7}"/>
    <cellStyle name="Normal 152 2 2 2 4 2 3 2 2 2 2 2" xfId="1454" xr:uid="{00000000-0005-0000-0000-00000C030000}"/>
    <cellStyle name="Normal 152 2 2 2 4 2 3 2 2 2 2 2 2" xfId="2882" xr:uid="{41A6D9D5-273E-4A81-9A3D-EA8FFCFD9EC6}"/>
    <cellStyle name="Normal 152 2 2 2 4 2 3 2 2 2 2 2 2 2" xfId="5736" xr:uid="{96C5B3C2-D017-443E-B504-82F6322C8D63}"/>
    <cellStyle name="Normal 152 2 2 2 4 2 3 2 2 2 2 2 3" xfId="4315" xr:uid="{CA5A0096-6FCF-488C-B0E5-BA5D5B68DA0A}"/>
    <cellStyle name="Normal 152 2 2 2 4 2 3 2 2 2 2 3" xfId="1471" xr:uid="{00000000-0005-0000-0000-00000D030000}"/>
    <cellStyle name="Normal 152 2 2 2 4 2 3 2 2 2 2 3 2" xfId="1486" xr:uid="{00000000-0005-0000-0000-00000E030000}"/>
    <cellStyle name="Normal 152 2 2 2 4 2 3 2 2 2 2 3 2 2" xfId="1506" xr:uid="{00000000-0005-0000-0000-00000F030000}"/>
    <cellStyle name="Normal 152 2 2 2 4 2 3 2 2 2 2 3 2 2 2" xfId="1536" xr:uid="{00000000-0005-0000-0000-000010030000}"/>
    <cellStyle name="Normal 152 2 2 2 4 2 3 2 2 2 2 3 2 2 2 2" xfId="2964" xr:uid="{54FCBE55-FB0E-4578-9AA9-94F7E21977D4}"/>
    <cellStyle name="Normal 152 2 2 2 4 2 3 2 2 2 2 3 2 2 2 2 2" xfId="5817" xr:uid="{EF373C49-A79D-4F15-80A4-554C0521E431}"/>
    <cellStyle name="Normal 152 2 2 2 4 2 3 2 2 2 2 3 2 2 2 3" xfId="4396" xr:uid="{CE964CDB-EE62-40FB-B544-FB12B9F4E541}"/>
    <cellStyle name="Normal 152 2 2 2 4 2 3 2 2 2 2 3 2 2 3" xfId="2934" xr:uid="{ACA8880D-66B2-4763-8E34-D887F2F66002}"/>
    <cellStyle name="Normal 152 2 2 2 4 2 3 2 2 2 2 3 2 2 3 2" xfId="5787" xr:uid="{DA10A649-73D4-45E6-AE7A-9214C110D292}"/>
    <cellStyle name="Normal 152 2 2 2 4 2 3 2 2 2 2 3 2 2 4" xfId="4366" xr:uid="{DDF3C22D-EE2D-47A4-A038-51743C113D9E}"/>
    <cellStyle name="Normal 152 2 2 2 4 2 3 2 2 2 2 3 2 3" xfId="2914" xr:uid="{E745A586-4D34-486C-B770-33FCEA4F86CF}"/>
    <cellStyle name="Normal 152 2 2 2 4 2 3 2 2 2 2 3 2 3 2" xfId="5768" xr:uid="{B621ABF2-2239-484D-BD7C-0A3F3EDD4382}"/>
    <cellStyle name="Normal 152 2 2 2 4 2 3 2 2 2 2 3 2 4" xfId="4347" xr:uid="{6C66BF91-6F47-4EF2-9D85-27219CF3BE46}"/>
    <cellStyle name="Normal 152 2 2 2 4 2 3 2 2 2 2 3 3" xfId="2899" xr:uid="{B32A66EB-A61D-4259-9183-855FA8CFE530}"/>
    <cellStyle name="Normal 152 2 2 2 4 2 3 2 2 2 2 3 3 2" xfId="5753" xr:uid="{C076672F-962D-4F1E-B774-7FD3F14C3299}"/>
    <cellStyle name="Normal 152 2 2 2 4 2 3 2 2 2 2 3 4" xfId="4332" xr:uid="{2CE4E667-3739-41B9-B52E-48744F91B06B}"/>
    <cellStyle name="Normal 152 2 2 2 4 2 3 2 2 2 2 4" xfId="1484" xr:uid="{00000000-0005-0000-0000-000011030000}"/>
    <cellStyle name="Normal 152 2 2 2 4 2 3 2 2 2 2 4 2" xfId="1504" xr:uid="{00000000-0005-0000-0000-000012030000}"/>
    <cellStyle name="Normal 152 2 2 2 4 2 3 2 2 2 2 4 2 2" xfId="1534" xr:uid="{00000000-0005-0000-0000-000013030000}"/>
    <cellStyle name="Normal 152 2 2 2 4 2 3 2 2 2 2 4 2 2 2" xfId="2962" xr:uid="{0B8E8F7B-CA0D-4B85-81E5-FAB8F0CE91F9}"/>
    <cellStyle name="Normal 152 2 2 2 4 2 3 2 2 2 2 4 2 2 2 2" xfId="5815" xr:uid="{DCA791D2-05D8-4D85-B853-8C4551427F24}"/>
    <cellStyle name="Normal 152 2 2 2 4 2 3 2 2 2 2 4 2 2 3" xfId="4394" xr:uid="{C2C6B460-3D52-4E0F-BDC1-CF09B3FF27D9}"/>
    <cellStyle name="Normal 152 2 2 2 4 2 3 2 2 2 2 4 2 3" xfId="2932" xr:uid="{8A4C2149-CB47-4D54-807C-C3D62EFB4CE0}"/>
    <cellStyle name="Normal 152 2 2 2 4 2 3 2 2 2 2 4 2 3 2" xfId="5785" xr:uid="{5B7722F3-F9CA-4204-986E-58F1FFA91517}"/>
    <cellStyle name="Normal 152 2 2 2 4 2 3 2 2 2 2 4 2 3 2 2" xfId="5917" xr:uid="{05BB061B-A2B2-4923-9087-3DF45C5ED0F6}"/>
    <cellStyle name="Normal 152 2 2 2 4 2 3 2 2 2 2 4 2 4" xfId="4364" xr:uid="{9DF60D51-8F97-4D12-9AD5-7CB3E49303AF}"/>
    <cellStyle name="Normal 152 2 2 2 4 2 3 2 2 2 2 4 3" xfId="2912" xr:uid="{E2E7C5A4-8E9F-42C4-A30E-FA5760084E3C}"/>
    <cellStyle name="Normal 152 2 2 2 4 2 3 2 2 2 2 4 3 2" xfId="5766" xr:uid="{568BF206-5F3B-4BBF-97F4-66C0F73DC08F}"/>
    <cellStyle name="Normal 152 2 2 2 4 2 3 2 2 2 2 4 4" xfId="4345" xr:uid="{76AB8A52-2D2E-4A0B-92A9-920694E50291}"/>
    <cellStyle name="Normal 152 2 2 2 4 2 3 2 2 2 2 5" xfId="1516" xr:uid="{00000000-0005-0000-0000-000014030000}"/>
    <cellStyle name="Normal 152 2 2 2 4 2 3 2 2 2 2 5 2" xfId="2944" xr:uid="{EC4761EA-C86E-45F5-9E8A-61F1CED6697C}"/>
    <cellStyle name="Normal 152 2 2 2 4 2 3 2 2 2 2 5 2 2" xfId="5797" xr:uid="{3F3E73CF-A46A-4045-A5A4-1AFD978D8A4C}"/>
    <cellStyle name="Normal 152 2 2 2 4 2 3 2 2 2 2 5 3" xfId="4376" xr:uid="{C113A796-9C10-49F1-9365-5635911DD039}"/>
    <cellStyle name="Normal 152 2 2 2 4 2 3 2 2 2 2 6" xfId="1552" xr:uid="{D40EFE7C-AC90-489D-B1E6-2FE72F14E938}"/>
    <cellStyle name="Normal 152 2 2 2 4 2 3 2 2 2 2 6 2" xfId="2980" xr:uid="{9CF77C09-6D5E-477B-8685-66A7668356A4}"/>
    <cellStyle name="Normal 152 2 2 2 4 2 3 2 2 2 2 6 2 2" xfId="5833" xr:uid="{DFFB7A28-D10F-470D-9B74-06D8FF245BA9}"/>
    <cellStyle name="Normal 152 2 2 2 4 2 3 2 2 2 2 6 3" xfId="4412" xr:uid="{98F8CDB5-7EBE-48EE-AA08-E6AF18A5F4F1}"/>
    <cellStyle name="Normal 152 2 2 2 4 2 3 2 2 2 2 7" xfId="1568" xr:uid="{CAEE837F-23F3-4CFB-9594-B343EF32C040}"/>
    <cellStyle name="Normal 152 2 2 2 4 2 3 2 2 2 2 7 2" xfId="4428" xr:uid="{C21252DC-A24A-404F-ABE4-91E84404460B}"/>
    <cellStyle name="Normal 152 2 2 2 4 2 3 2 2 2 2 8" xfId="3010" xr:uid="{268109F6-A31F-4967-87CA-5522DF67D45B}"/>
    <cellStyle name="Normal 152 2 2 2 4 2 3 2 2 2 2 8 2" xfId="5922" xr:uid="{33CC85E3-9E71-4FAD-9747-DDE703C1D938}"/>
    <cellStyle name="Normal 152 2 2 2 4 2 3 2 2 2 2 9" xfId="5938" xr:uid="{4362D058-5646-4EF0-9C65-6F332BA7E292}"/>
    <cellStyle name="Normal 152 2 2 2 4 2 3 2 3" xfId="1439" xr:uid="{00000000-0005-0000-0000-000015030000}"/>
    <cellStyle name="Normal 152 2 2 2 4 2 3 2 3 2" xfId="2868" xr:uid="{A95D5C80-74AD-4482-84BD-1E8202486083}"/>
    <cellStyle name="Normal 152 2 2 2 4 2 3 2 3 2 2" xfId="5723" xr:uid="{4EB52BBD-2B8C-43B2-923C-5CA497F3D438}"/>
    <cellStyle name="Normal 152 2 2 2 4 2 3 2 3 3" xfId="4303" xr:uid="{E74251FB-36C9-4F85-BD20-D4204BE4E568}"/>
    <cellStyle name="Normal 152 2 2 2 4 2 3 2 4" xfId="1446" xr:uid="{00000000-0005-0000-0000-000016030000}"/>
    <cellStyle name="Normal 152 2 2 2 4 2 3 2 4 2" xfId="2875" xr:uid="{F3A5B799-6F28-429B-B288-C41680182F2A}"/>
    <cellStyle name="Normal 152 2 2 2 4 2 3 2 4 2 2" xfId="5729" xr:uid="{AA37B429-812D-417A-BC17-EA7D6D7F8262}"/>
    <cellStyle name="Normal 152 2 2 2 4 2 3 2 4 3" xfId="4308" xr:uid="{85DF81AD-435D-45ED-8760-C0846F4A48C3}"/>
    <cellStyle name="Normal 152 2 2 2 5" xfId="719" xr:uid="{00000000-0005-0000-0000-000017030000}"/>
    <cellStyle name="Normal 152 2 2 2 5 2" xfId="1398" xr:uid="{00000000-0005-0000-0000-000018030000}"/>
    <cellStyle name="Normal 152 2 2 2 5 2 2" xfId="2845" xr:uid="{A2126886-F1B3-47D9-A6AE-159428EE3C21}"/>
    <cellStyle name="Normal 152 2 2 2 5 2 2 2" xfId="5700" xr:uid="{74BACF7F-97D4-49AA-9D6F-FCDC3A943E0A}"/>
    <cellStyle name="Normal 152 2 2 2 5 2 3" xfId="4282" xr:uid="{EB73AA8B-5573-4397-B96E-9195FE461B1E}"/>
    <cellStyle name="Normal 152 2 2 2 5 3" xfId="2205" xr:uid="{76268DA6-377B-49E9-9A77-6F9DBDC8C564}"/>
    <cellStyle name="Normal 152 2 2 2 5 3 2" xfId="5061" xr:uid="{800ED273-A3FB-4669-8DBB-052FB3F2B14C}"/>
    <cellStyle name="Normal 152 2 2 2 5 4" xfId="3645" xr:uid="{11CB1359-2BE6-4286-B9F6-D54C695A3024}"/>
    <cellStyle name="Normal 152 2 2 2 6" xfId="741" xr:uid="{00000000-0005-0000-0000-000019030000}"/>
    <cellStyle name="Normal 152 2 2 2 6 2" xfId="745" xr:uid="{00000000-0005-0000-0000-00001A030000}"/>
    <cellStyle name="Normal 152 2 2 2 6 2 2" xfId="758" xr:uid="{00000000-0005-0000-0000-00001B030000}"/>
    <cellStyle name="Normal 152 2 2 2 6 2 2 2" xfId="1414" xr:uid="{00000000-0005-0000-0000-00001C030000}"/>
    <cellStyle name="Normal 152 2 2 2 6 2 2 2 2" xfId="1425" xr:uid="{00000000-0005-0000-0000-00001D030000}"/>
    <cellStyle name="Normal 152 2 2 2 6 2 2 2 2 2" xfId="1450" xr:uid="{00000000-0005-0000-0000-00001E030000}"/>
    <cellStyle name="Normal 152 2 2 2 6 2 2 2 2 2 2" xfId="2878" xr:uid="{31CA0411-9C07-4772-B4FC-CA8DD145DB4E}"/>
    <cellStyle name="Normal 152 2 2 2 6 2 2 2 2 2 2 2" xfId="5732" xr:uid="{6B60EF25-3F60-480A-983E-BC309CD4516D}"/>
    <cellStyle name="Normal 152 2 2 2 6 2 2 2 2 2 3" xfId="4311" xr:uid="{ADB56BF9-BF7C-49D2-B5C6-674B60A00FB5}"/>
    <cellStyle name="Normal 152 2 2 2 6 2 2 2 2 3" xfId="1467" xr:uid="{00000000-0005-0000-0000-00001F030000}"/>
    <cellStyle name="Normal 152 2 2 2 6 2 2 2 2 3 2" xfId="1500" xr:uid="{00000000-0005-0000-0000-000020030000}"/>
    <cellStyle name="Normal 152 2 2 2 6 2 2 2 2 3 2 2" xfId="1530" xr:uid="{00000000-0005-0000-0000-000021030000}"/>
    <cellStyle name="Normal 152 2 2 2 6 2 2 2 2 3 2 2 2" xfId="2958" xr:uid="{173A9FFA-D57C-4E30-AD6E-0AC031AD36F8}"/>
    <cellStyle name="Normal 152 2 2 2 6 2 2 2 2 3 2 2 2 2" xfId="5811" xr:uid="{0EAEE881-4EDE-4AD2-B255-FB872E2E91F2}"/>
    <cellStyle name="Normal 152 2 2 2 6 2 2 2 2 3 2 2 2 2 2" xfId="5912" xr:uid="{34F1E619-BD8E-4D6C-BDEC-264FB2FB9BD1}"/>
    <cellStyle name="Normal 152 2 2 2 6 2 2 2 2 3 2 2 3" xfId="4390" xr:uid="{32848C0D-6F84-4989-9ECB-DCB5665F9EAC}"/>
    <cellStyle name="Normal 152 2 2 2 6 2 2 2 2 3 2 3" xfId="2928" xr:uid="{D9CBFCBC-B4B2-471E-82B6-B74FB2A42028}"/>
    <cellStyle name="Normal 152 2 2 2 6 2 2 2 2 3 2 3 2" xfId="5781" xr:uid="{4A20D007-2ECB-4BC0-A66D-52457EA6D10C}"/>
    <cellStyle name="Normal 152 2 2 2 6 2 2 2 2 3 2 3 2 2" xfId="5920" xr:uid="{C87C6283-479A-4C79-87C0-65B64159D219}"/>
    <cellStyle name="Normal 152 2 2 2 6 2 2 2 2 3 2 4" xfId="4360" xr:uid="{354ABE98-B5D1-41ED-8016-B4478FEBB71F}"/>
    <cellStyle name="Normal 152 2 2 2 6 2 2 2 2 3 3" xfId="2895" xr:uid="{51752923-14EB-4413-8F89-53D9D5DDAB04}"/>
    <cellStyle name="Normal 152 2 2 2 6 2 2 2 2 3 3 2" xfId="5749" xr:uid="{69D669E9-B561-4231-BBB7-42B1346B187F}"/>
    <cellStyle name="Normal 152 2 2 2 6 2 2 2 2 3 4" xfId="4328" xr:uid="{A0DD8289-47CF-4F41-A3DC-D04DAA337570}"/>
    <cellStyle name="Normal 152 2 2 2 6 2 2 2 2 4" xfId="1480" xr:uid="{00000000-0005-0000-0000-000022030000}"/>
    <cellStyle name="Normal 152 2 2 2 6 2 2 2 2 4 2" xfId="1498" xr:uid="{00000000-0005-0000-0000-000023030000}"/>
    <cellStyle name="Normal 152 2 2 2 6 2 2 2 2 4 2 2" xfId="1528" xr:uid="{00000000-0005-0000-0000-000024030000}"/>
    <cellStyle name="Normal 152 2 2 2 6 2 2 2 2 4 2 2 2" xfId="2956" xr:uid="{5B964AF5-9C8F-429B-9D88-B2B6A7E72838}"/>
    <cellStyle name="Normal 152 2 2 2 6 2 2 2 2 4 2 2 2 2" xfId="5809" xr:uid="{8AB84E92-5205-41F5-A83A-DD40316596E2}"/>
    <cellStyle name="Normal 152 2 2 2 6 2 2 2 2 4 2 2 2 2 2" xfId="5910" xr:uid="{45157A8E-4643-4E54-B2CA-699DEA15E355}"/>
    <cellStyle name="Normal 152 2 2 2 6 2 2 2 2 4 2 2 3" xfId="4388" xr:uid="{4AA82308-4A55-4FCB-974E-BC62A3361DE6}"/>
    <cellStyle name="Normal 152 2 2 2 6 2 2 2 2 4 2 3" xfId="2926" xr:uid="{A235DA84-1728-493B-B779-FDCB4AE7B179}"/>
    <cellStyle name="Normal 152 2 2 2 6 2 2 2 2 4 2 3 2" xfId="5779" xr:uid="{FB76EEDD-344F-4F2C-A73D-DF3C36012F59}"/>
    <cellStyle name="Normal 152 2 2 2 6 2 2 2 2 4 2 3 2 2" xfId="5918" xr:uid="{F33D7F17-BA8B-4D10-B92C-5D767C76A5E1}"/>
    <cellStyle name="Normal 152 2 2 2 6 2 2 2 2 4 2 4" xfId="4358" xr:uid="{8834380B-7B94-4259-8639-E7DE0B0B4ED9}"/>
    <cellStyle name="Normal 152 2 2 2 6 2 2 2 2 4 3" xfId="2908" xr:uid="{36A9CEEC-4D35-4FC5-AA16-3851328E5082}"/>
    <cellStyle name="Normal 152 2 2 2 6 2 2 2 2 4 3 2" xfId="5762" xr:uid="{A69A799A-2903-4708-B80F-567E64D8B9A9}"/>
    <cellStyle name="Normal 152 2 2 2 6 2 2 2 2 4 4" xfId="4341" xr:uid="{50D7097D-4398-4B4C-B40A-E668835DB9C0}"/>
    <cellStyle name="Normal 152 2 2 2 6 2 2 2 2 5" xfId="1512" xr:uid="{00000000-0005-0000-0000-000025030000}"/>
    <cellStyle name="Normal 152 2 2 2 6 2 2 2 2 5 2" xfId="2940" xr:uid="{25DB1146-1D23-4BD4-A09B-9DB04515CF43}"/>
    <cellStyle name="Normal 152 2 2 2 6 2 2 2 2 5 2 2" xfId="5793" xr:uid="{8151278B-F340-41CE-9CB6-4EDD64F0A8F5}"/>
    <cellStyle name="Normal 152 2 2 2 6 2 2 2 2 5 3" xfId="4372" xr:uid="{4E8A32A3-7C03-4429-B48B-2AF2913209DA}"/>
    <cellStyle name="Normal 152 2 2 2 6 2 2 2 2 6" xfId="1548" xr:uid="{7C212998-7D9E-4E6C-BE3A-24E91515B0E4}"/>
    <cellStyle name="Normal 152 2 2 2 6 2 2 2 2 6 2" xfId="2976" xr:uid="{ACDC13FE-363F-4569-9ED7-1DDB878126B1}"/>
    <cellStyle name="Normal 152 2 2 2 6 2 2 2 2 6 2 2" xfId="5829" xr:uid="{64628519-F82A-4D56-84D3-BA5D01DF7ED7}"/>
    <cellStyle name="Normal 152 2 2 2 6 2 2 2 2 6 3" xfId="4408" xr:uid="{A9AF6CFD-CE74-4A5B-9718-1ADB59707A0D}"/>
    <cellStyle name="Normal 152 2 2 2 6 2 2 2 2 7" xfId="1564" xr:uid="{E2322F61-7342-40EA-9EAD-9C6FE2768E4B}"/>
    <cellStyle name="Normal 152 2 2 2 6 2 2 2 2 7 2" xfId="4424" xr:uid="{C3185BEC-9C2B-497A-8F5B-4B393884232B}"/>
    <cellStyle name="Normal 152 2 2 2 6 2 2 2 2 8" xfId="3006" xr:uid="{B20392E0-B2D5-4B53-9381-2E919C97B6BD}"/>
    <cellStyle name="Normal 152 2 2 2 6 2 2 2 2 8 2" xfId="5909" xr:uid="{C654D824-EC4D-4266-97F7-1F82635DA39C}"/>
    <cellStyle name="Normal 152 2 2 2 6 2 2 2 2 8 2 2" xfId="5934" xr:uid="{3377F969-EE33-4BF1-AE48-39E1DFBCAC66}"/>
    <cellStyle name="Normal 152 2 2 2 6 2 2 2 2 8 2 2 2" xfId="5961" xr:uid="{885B0015-363A-4815-B3DC-7099CA0C3A40}"/>
    <cellStyle name="Normal 152 2 2 2 6 2 2 2 2 8 2 2 2 2" xfId="5979" xr:uid="{BD3C759B-D7D0-4FA6-BACD-8088E2F14E32}"/>
    <cellStyle name="Normal 152 2 2 2 6 2 2 2 2 8 2 2 2 2 2" xfId="6005" xr:uid="{595B6CB1-671D-4CAF-A567-BB499FBCAF07}"/>
    <cellStyle name="Normal 152 2 2 2 6 2 2 2 2 9" xfId="5945" xr:uid="{BE34D509-371B-432D-9BB0-89A76F52D203}"/>
    <cellStyle name="Normal 152 2 2 2 6 2 2 2 3" xfId="1466" xr:uid="{00000000-0005-0000-0000-000026030000}"/>
    <cellStyle name="Normal 152 2 2 2 6 2 2 2 3 2" xfId="2894" xr:uid="{00789109-E08E-45E7-A756-8B8257B3BF23}"/>
    <cellStyle name="Normal 152 2 2 2 6 2 2 2 3 2 2" xfId="5748" xr:uid="{71BC853B-5446-462E-A008-617C271A6988}"/>
    <cellStyle name="Normal 152 2 2 2 6 2 2 2 3 3" xfId="4327" xr:uid="{C2510F83-BEC6-41DF-8F59-4DBEDD35A6AF}"/>
    <cellStyle name="Normal 152 2 2 2 6 2 2 2 4" xfId="1547" xr:uid="{E7D042E6-487E-43E4-8365-4982EDD737FC}"/>
    <cellStyle name="Normal 152 2 2 2 6 2 2 2 4 2" xfId="2975" xr:uid="{3A6A47F5-EEDD-4C5F-B19A-90271C4D5731}"/>
    <cellStyle name="Normal 152 2 2 2 6 2 2 2 4 2 2" xfId="5828" xr:uid="{F0B3FC68-0ED7-4B6D-BF43-507915B1E2C2}"/>
    <cellStyle name="Normal 152 2 2 2 6 2 2 2 4 3" xfId="4407" xr:uid="{530DDECA-6D04-46F6-BF1B-B4C1EFB50C3E}"/>
    <cellStyle name="Normal 152 2 2 2 6 2 2 2 5" xfId="1561" xr:uid="{6981A882-7608-429C-8A28-41B163DC8DC5}"/>
    <cellStyle name="Normal 152 2 2 2 6 2 2 2 5 2" xfId="4421" xr:uid="{CAB9332D-41C9-49AF-AF72-2DE020A998F0}"/>
    <cellStyle name="Normal 152 2 2 2 6 2 3" xfId="1437" xr:uid="{00000000-0005-0000-0000-000027030000}"/>
    <cellStyle name="Normal 152 2 2 2 6 2 3 2" xfId="2866" xr:uid="{A22FE9C7-2F17-4074-BD19-4A1C5A5B7D96}"/>
    <cellStyle name="Normal 152 2 2 2 6 2 3 2 2" xfId="5721" xr:uid="{25F71245-776E-4C90-9F9C-278E067F45EC}"/>
    <cellStyle name="Normal 152 2 2 2 6 2 3 3" xfId="4301" xr:uid="{92400B3D-90F6-4877-8703-67AD71BC93AC}"/>
    <cellStyle name="Normal 152 2 2 2 6 2 4" xfId="1444" xr:uid="{00000000-0005-0000-0000-000028030000}"/>
    <cellStyle name="Normal 152 2 2 2 6 2 4 2" xfId="2873" xr:uid="{1AF5E818-D30E-43EB-8D04-1C69531620AD}"/>
    <cellStyle name="Normal 152 2 2 2 6 2 4 2 2" xfId="5727" xr:uid="{165CF425-D836-449F-876F-C17B85CD0BF8}"/>
    <cellStyle name="Normal 152 2 2 2 6 2 4 3" xfId="4306" xr:uid="{139E40B4-CD5B-49C9-9BFC-5D792D8DF0F1}"/>
    <cellStyle name="Normal 152 2 2 2 7" xfId="1478" xr:uid="{00000000-0005-0000-0000-000029030000}"/>
    <cellStyle name="Normal 152 2 2 2 7 2" xfId="1497" xr:uid="{00000000-0005-0000-0000-00002A030000}"/>
    <cellStyle name="Normal 152 2 2 2 7 2 2" xfId="2925" xr:uid="{BF5D0EDE-BB94-444E-BCBC-18C9ECECDAAE}"/>
    <cellStyle name="Normal 152 2 2 2 7 2 2 2" xfId="5778" xr:uid="{FFC69D2B-69BB-4E37-AFCB-3EA96D599397}"/>
    <cellStyle name="Normal 152 2 2 2 7 2 3" xfId="4357" xr:uid="{FC9082CC-6F10-414D-8154-55A5D2934867}"/>
    <cellStyle name="Normal 152 2 2 2 7 3" xfId="2906" xr:uid="{A9D98C06-88A8-4B02-AA5B-7E835CCD9691}"/>
    <cellStyle name="Normal 152 2 2 2 7 3 2" xfId="5760" xr:uid="{71E7F078-3F9C-4C42-A125-7EC00A57BC22}"/>
    <cellStyle name="Normal 152 2 2 2 7 4" xfId="4339" xr:uid="{3E3C4A22-DB00-45B8-8089-874249C6A4F2}"/>
    <cellStyle name="Normal 152 2 3" xfId="692" xr:uid="{00000000-0005-0000-0000-00002B030000}"/>
    <cellStyle name="Normal 152 2 3 2" xfId="1379" xr:uid="{00000000-0005-0000-0000-00002C030000}"/>
    <cellStyle name="Normal 152 2 3 2 2" xfId="2826" xr:uid="{268270CE-D5F4-459E-9121-98499E7E3234}"/>
    <cellStyle name="Normal 152 2 3 2 2 2" xfId="5681" xr:uid="{A21A3490-050D-46CD-ACE6-052EF7C2CCB6}"/>
    <cellStyle name="Normal 152 2 3 2 3" xfId="4263" xr:uid="{27D82812-DD46-400E-8D6A-0527A449FD74}"/>
    <cellStyle name="Normal 152 2 3 3" xfId="2183" xr:uid="{3F887999-D5A5-40AD-84A2-3BF51FBBA526}"/>
    <cellStyle name="Normal 152 2 3 3 2" xfId="5042" xr:uid="{A2644B21-9D19-4233-AF67-C185C57A69CF}"/>
    <cellStyle name="Normal 152 2 3 4" xfId="3626" xr:uid="{9F8B8D09-A348-450F-B526-D7A6B8D01228}"/>
    <cellStyle name="Normal 153" xfId="680" xr:uid="{00000000-0005-0000-0000-00002D030000}"/>
    <cellStyle name="Normal 153 2" xfId="688" xr:uid="{00000000-0005-0000-0000-00002E030000}"/>
    <cellStyle name="Normal 153 2 2" xfId="694" xr:uid="{00000000-0005-0000-0000-00002F030000}"/>
    <cellStyle name="Normal 153 2 2 2" xfId="729" xr:uid="{00000000-0005-0000-0000-000030030000}"/>
    <cellStyle name="Normal 153 2 2 2 2" xfId="736" xr:uid="{00000000-0005-0000-0000-000031030000}"/>
    <cellStyle name="Normal 153 2 2 2 2 2" xfId="753" xr:uid="{00000000-0005-0000-0000-000032030000}"/>
    <cellStyle name="Normal 153 2 2 2 2 2 2" xfId="764" xr:uid="{00000000-0005-0000-0000-000033030000}"/>
    <cellStyle name="Normal 153 2 2 2 2 2 2 2" xfId="1421" xr:uid="{00000000-0005-0000-0000-000034030000}"/>
    <cellStyle name="Normal 153 2 2 2 2 2 2 2 2" xfId="1432" xr:uid="{00000000-0005-0000-0000-000035030000}"/>
    <cellStyle name="Normal 153 2 2 2 2 2 2 2 2 10" xfId="5952" xr:uid="{C6DC6E89-9F8A-491D-96B9-46FF433DAF1B}"/>
    <cellStyle name="Normal 153 2 2 2 2 2 2 2 2 11" xfId="5968" xr:uid="{81A14EAE-30D7-43C9-A361-6362B3829172}"/>
    <cellStyle name="Normal 153 2 2 2 2 2 2 2 2 12" xfId="5986" xr:uid="{D66CDA0E-43E0-46D0-8C89-BE464E3EDE95}"/>
    <cellStyle name="Normal 153 2 2 2 2 2 2 2 2 2" xfId="1457" xr:uid="{00000000-0005-0000-0000-000036030000}"/>
    <cellStyle name="Normal 153 2 2 2 2 2 2 2 2 2 2" xfId="2885" xr:uid="{88DE31DE-ABE4-4418-8323-55EFE81E77D3}"/>
    <cellStyle name="Normal 153 2 2 2 2 2 2 2 2 2 2 2" xfId="5739" xr:uid="{0DE64846-F01D-4198-ADBE-1DC8375AACBF}"/>
    <cellStyle name="Normal 153 2 2 2 2 2 2 2 2 2 3" xfId="4318" xr:uid="{DDFCA55D-E1EF-4E2C-9465-F2741580E6DF}"/>
    <cellStyle name="Normal 153 2 2 2 2 2 2 2 2 3" xfId="1474" xr:uid="{00000000-0005-0000-0000-000037030000}"/>
    <cellStyle name="Normal 153 2 2 2 2 2 2 2 2 3 2" xfId="2902" xr:uid="{EC5DA088-4A28-4EE3-9E23-A054DE0183C0}"/>
    <cellStyle name="Normal 153 2 2 2 2 2 2 2 2 3 2 2" xfId="5756" xr:uid="{58C1F076-5494-4E47-8D73-D1E14D1F7936}"/>
    <cellStyle name="Normal 153 2 2 2 2 2 2 2 2 3 3" xfId="4335" xr:uid="{378BDFFB-FCB0-4DF8-9DA3-E7CD4150F42D}"/>
    <cellStyle name="Normal 153 2 2 2 2 2 2 2 2 4" xfId="1488" xr:uid="{00000000-0005-0000-0000-000038030000}"/>
    <cellStyle name="Normal 153 2 2 2 2 2 2 2 2 4 2" xfId="1508" xr:uid="{00000000-0005-0000-0000-000039030000}"/>
    <cellStyle name="Normal 153 2 2 2 2 2 2 2 2 4 2 2" xfId="1538" xr:uid="{00000000-0005-0000-0000-00003A030000}"/>
    <cellStyle name="Normal 153 2 2 2 2 2 2 2 2 4 2 2 2" xfId="2966" xr:uid="{E57E5623-CB69-4E3E-B39D-2FD10FD007E1}"/>
    <cellStyle name="Normal 153 2 2 2 2 2 2 2 2 4 2 2 2 2" xfId="5819" xr:uid="{C4FC12A0-2BD8-446C-92C9-614534C123F0}"/>
    <cellStyle name="Normal 153 2 2 2 2 2 2 2 2 4 2 2 3" xfId="4398" xr:uid="{AF0E9D79-659F-4C6E-92FB-D314F0154408}"/>
    <cellStyle name="Normal 153 2 2 2 2 2 2 2 2 4 2 3" xfId="2936" xr:uid="{472E3444-CD68-42B4-B3E1-F844DD55DE49}"/>
    <cellStyle name="Normal 153 2 2 2 2 2 2 2 2 4 2 3 2" xfId="5789" xr:uid="{D484B390-6E1D-479B-9E1B-DE2C117446B4}"/>
    <cellStyle name="Normal 153 2 2 2 2 2 2 2 2 4 2 4" xfId="4368" xr:uid="{AB123AB0-C746-4920-9FC7-E109EEF1C4DD}"/>
    <cellStyle name="Normal 153 2 2 2 2 2 2 2 2 4 3" xfId="2916" xr:uid="{CACB30A5-5FC8-4EDB-BC3E-AA873087E5CD}"/>
    <cellStyle name="Normal 153 2 2 2 2 2 2 2 2 4 3 2" xfId="5770" xr:uid="{C996EDB0-B19A-468D-BF34-CB03681F18F2}"/>
    <cellStyle name="Normal 153 2 2 2 2 2 2 2 2 4 4" xfId="4349" xr:uid="{42DE0FB4-C152-4D55-B66E-A67C0F0204CF}"/>
    <cellStyle name="Normal 153 2 2 2 2 2 2 2 2 5" xfId="1519" xr:uid="{00000000-0005-0000-0000-00003B030000}"/>
    <cellStyle name="Normal 153 2 2 2 2 2 2 2 2 5 2" xfId="2947" xr:uid="{CD0FA05B-6BC4-4826-AD26-BEFAC53EEF5B}"/>
    <cellStyle name="Normal 153 2 2 2 2 2 2 2 2 5 2 2" xfId="5800" xr:uid="{5BC38AD8-6E13-47ED-801B-EF6FC4206BCA}"/>
    <cellStyle name="Normal 153 2 2 2 2 2 2 2 2 5 3" xfId="4379" xr:uid="{DBFB382B-9933-4C82-BFEE-24539FDE13AD}"/>
    <cellStyle name="Normal 153 2 2 2 2 2 2 2 2 6" xfId="1555" xr:uid="{171181BD-277F-4091-8E94-99F119DFC751}"/>
    <cellStyle name="Normal 153 2 2 2 2 2 2 2 2 6 2" xfId="2983" xr:uid="{B79BB99E-84BA-44CC-A8D4-40DAC29D1C2B}"/>
    <cellStyle name="Normal 153 2 2 2 2 2 2 2 2 6 2 2" xfId="5836" xr:uid="{892E4185-7200-4DEC-B6C9-8AD567440F0D}"/>
    <cellStyle name="Normal 153 2 2 2 2 2 2 2 2 6 3" xfId="4415" xr:uid="{C3367477-A717-494B-9906-5A9E1934D904}"/>
    <cellStyle name="Normal 153 2 2 2 2 2 2 2 2 7" xfId="1571" xr:uid="{D693D1C9-C1E8-4CB3-88F0-CAB7035892A0}"/>
    <cellStyle name="Normal 153 2 2 2 2 2 2 2 2 7 2" xfId="4431" xr:uid="{46C890F7-42B4-4BE6-B23B-0D76A79EF52A}"/>
    <cellStyle name="Normal 153 2 2 2 2 2 2 2 2 8" xfId="3013" xr:uid="{A479D526-55C1-4411-9671-6D450D382679}"/>
    <cellStyle name="Normal 153 2 2 2 2 2 2 2 2 8 2" xfId="5925" xr:uid="{E9C843C5-24C5-4713-BD2E-46896AF34E64}"/>
    <cellStyle name="Normal 153 2 2 2 2 2 2 2 2 9" xfId="5941" xr:uid="{7B2177F4-1BA5-4BFB-A271-7581CEA21C3A}"/>
    <cellStyle name="Normal 154" xfId="686" xr:uid="{00000000-0005-0000-0000-00003C030000}"/>
    <cellStyle name="Normal 154 2" xfId="1376" xr:uid="{00000000-0005-0000-0000-00003D030000}"/>
    <cellStyle name="Normal 154 2 2" xfId="2823" xr:uid="{804A1F42-0306-4F79-A6C5-9D2EE93F55BF}"/>
    <cellStyle name="Normal 154 2 2 2" xfId="5678" xr:uid="{9E0AB17D-185D-49CF-A994-3BA2B0F01E7A}"/>
    <cellStyle name="Normal 154 2 3" xfId="4260" xr:uid="{FE890935-200C-4AC1-9C5B-F569ABF0F268}"/>
    <cellStyle name="Normal 154 3" xfId="2180" xr:uid="{4BD3C40A-C71C-4C02-8B77-2131540455E5}"/>
    <cellStyle name="Normal 154 3 2" xfId="5039" xr:uid="{A272CD7B-1779-489B-B399-8B2DBC60C408}"/>
    <cellStyle name="Normal 154 4" xfId="3623" xr:uid="{4E723170-60B0-4E22-96B0-871EFBE13B28}"/>
    <cellStyle name="Normal 155" xfId="690" xr:uid="{00000000-0005-0000-0000-00003E030000}"/>
    <cellStyle name="Normal 155 2" xfId="1377" xr:uid="{00000000-0005-0000-0000-00003F030000}"/>
    <cellStyle name="Normal 155 2 2" xfId="2824" xr:uid="{EAFDE817-5A8E-4A4F-8EB9-D83644704318}"/>
    <cellStyle name="Normal 155 2 2 2" xfId="5679" xr:uid="{429C5A04-0C84-4C6F-A3D4-7786247B33C2}"/>
    <cellStyle name="Normal 155 2 3" xfId="4261" xr:uid="{57073A49-DF6D-45B1-8E0A-7AA34B841D40}"/>
    <cellStyle name="Normal 155 3" xfId="2181" xr:uid="{467330B9-BCA3-4257-9DCA-D002BC3479B1}"/>
    <cellStyle name="Normal 155 3 2" xfId="5040" xr:uid="{9D86E4AC-32A2-4F2F-BAE0-0C84007C3FB1}"/>
    <cellStyle name="Normal 155 4" xfId="3624" xr:uid="{3CFE440C-6EBC-45EC-A367-A439433CF66F}"/>
    <cellStyle name="Normal 156" xfId="699" xr:uid="{00000000-0005-0000-0000-000040030000}"/>
    <cellStyle name="Normal 156 2" xfId="1383" xr:uid="{00000000-0005-0000-0000-000041030000}"/>
    <cellStyle name="Normal 156 2 2" xfId="2830" xr:uid="{EE2BFE70-723E-4C37-B021-03A695C2B0A5}"/>
    <cellStyle name="Normal 156 2 2 2" xfId="5685" xr:uid="{EE8B1DEF-748A-4486-BB60-C0F9CCA25DCE}"/>
    <cellStyle name="Normal 156 2 3" xfId="4267" xr:uid="{39314339-A7F9-498E-B0ED-D4DC54EEA191}"/>
    <cellStyle name="Normal 156 3" xfId="2187" xr:uid="{D697726A-58B4-4A89-A085-4684DF7232E3}"/>
    <cellStyle name="Normal 156 3 2" xfId="5046" xr:uid="{F6451BA4-83F6-4F53-A2FE-0A09C96FAB3F}"/>
    <cellStyle name="Normal 156 4" xfId="3630" xr:uid="{A445B200-D800-4622-9053-027A47751F54}"/>
    <cellStyle name="Normal 157" xfId="707" xr:uid="{00000000-0005-0000-0000-000042030000}"/>
    <cellStyle name="Normal 157 2" xfId="1388" xr:uid="{00000000-0005-0000-0000-000043030000}"/>
    <cellStyle name="Normal 157 2 2" xfId="2835" xr:uid="{BA537DB8-87CD-412A-99CC-56AF7F4E805F}"/>
    <cellStyle name="Normal 157 2 2 2" xfId="5690" xr:uid="{FB45E367-86D0-4D3F-B6E6-1065280AE806}"/>
    <cellStyle name="Normal 157 2 3" xfId="4272" xr:uid="{17DEF662-2859-4EB5-A721-7D0A8F73D905}"/>
    <cellStyle name="Normal 157 3" xfId="1494" xr:uid="{00000000-0005-0000-0000-000044030000}"/>
    <cellStyle name="Normal 157 3 2" xfId="2922" xr:uid="{D60BC9B7-645D-489A-82AA-B3259D2D037C}"/>
    <cellStyle name="Normal 157 3 2 2" xfId="5775" xr:uid="{3BB3E5F7-6184-478C-8916-FB39F20312EE}"/>
    <cellStyle name="Normal 157 3 3" xfId="4354" xr:uid="{70ADC271-0865-4E95-AD4E-8841A2889260}"/>
    <cellStyle name="Normal 157 4" xfId="2194" xr:uid="{CDA33EEC-6B01-4EA1-8E22-260305D1AD39}"/>
    <cellStyle name="Normal 157 4 2" xfId="5051" xr:uid="{7F2FE29E-8691-4BB8-A847-B60EFC59609B}"/>
    <cellStyle name="Normal 157 5" xfId="3635" xr:uid="{2782F07F-B9FB-46E2-A7CC-99F6D030867F}"/>
    <cellStyle name="Normal 158" xfId="714" xr:uid="{00000000-0005-0000-0000-000045030000}"/>
    <cellStyle name="Normal 158 2" xfId="1395" xr:uid="{00000000-0005-0000-0000-000046030000}"/>
    <cellStyle name="Normal 158 2 2" xfId="2842" xr:uid="{ACDA76BF-1565-400E-8F18-4CB6801FD8EE}"/>
    <cellStyle name="Normal 158 2 2 2" xfId="5697" xr:uid="{43C1DA8E-0A9C-40FE-A2D3-2E50EB9AC5EB}"/>
    <cellStyle name="Normal 158 2 3" xfId="4279" xr:uid="{2ADE68CC-1DC0-4CEC-9E51-415D7F02D406}"/>
    <cellStyle name="Normal 158 3" xfId="2201" xr:uid="{ECE59B1C-BFF4-471A-95A5-EA06E27DBAD4}"/>
    <cellStyle name="Normal 158 3 2" xfId="5058" xr:uid="{85EBAA1B-7E1B-4EBA-958C-EEB5588B3E31}"/>
    <cellStyle name="Normal 158 4" xfId="3642" xr:uid="{33A5BD4B-557F-476A-A2AE-A4F757C25E63}"/>
    <cellStyle name="Normal 159" xfId="717" xr:uid="{00000000-0005-0000-0000-000047030000}"/>
    <cellStyle name="Normal 159 2" xfId="1396" xr:uid="{00000000-0005-0000-0000-000048030000}"/>
    <cellStyle name="Normal 159 2 2" xfId="2843" xr:uid="{59D47094-03EC-4A46-8C9B-D3CF2A91EA70}"/>
    <cellStyle name="Normal 159 2 2 2" xfId="5698" xr:uid="{EE505381-74B1-4DB9-A74B-BF9480533444}"/>
    <cellStyle name="Normal 159 2 3" xfId="4280" xr:uid="{0C02E4E5-EAA7-4D1D-B3C0-049E840D544A}"/>
    <cellStyle name="Normal 159 3" xfId="2203" xr:uid="{34DAC9E2-DAA0-4A26-B769-559999578201}"/>
    <cellStyle name="Normal 159 3 2" xfId="5059" xr:uid="{ED935220-9E4C-4E9A-BFBD-766A20BC175B}"/>
    <cellStyle name="Normal 159 4" xfId="3643" xr:uid="{F831417A-3B2B-4CE0-A90D-BFBEF46BA04A}"/>
    <cellStyle name="Normal 16" xfId="54" xr:uid="{00000000-0005-0000-0000-000049030000}"/>
    <cellStyle name="Normal 160" xfId="720" xr:uid="{00000000-0005-0000-0000-00004A030000}"/>
    <cellStyle name="Normal 160 2" xfId="1399" xr:uid="{00000000-0005-0000-0000-00004B030000}"/>
    <cellStyle name="Normal 160 2 2" xfId="2846" xr:uid="{9982F81F-C743-4994-82D8-729AD1F87905}"/>
    <cellStyle name="Normal 160 2 2 2" xfId="5701" xr:uid="{FAA185D2-E26A-401F-9338-2E8658AA46D2}"/>
    <cellStyle name="Normal 160 2 3" xfId="4283" xr:uid="{9DC67510-23F7-43CD-828A-A971378D32A4}"/>
    <cellStyle name="Normal 160 3" xfId="2206" xr:uid="{450328CE-5A7C-4E8F-B51D-113E4CD72109}"/>
    <cellStyle name="Normal 160 3 2" xfId="5062" xr:uid="{1FBFA8D4-8398-44E2-8E7C-67F826CE2DC0}"/>
    <cellStyle name="Normal 160 4" xfId="3646" xr:uid="{72750856-2D70-4DCE-965C-29BE91DF7BA4}"/>
    <cellStyle name="Normal 161" xfId="726" xr:uid="{00000000-0005-0000-0000-00004C030000}"/>
    <cellStyle name="Normal 161 2" xfId="733" xr:uid="{00000000-0005-0000-0000-00004D030000}"/>
    <cellStyle name="Normal 161 2 2" xfId="752" xr:uid="{00000000-0005-0000-0000-00004E030000}"/>
    <cellStyle name="Normal 161 2 2 2" xfId="763" xr:uid="{00000000-0005-0000-0000-00004F030000}"/>
    <cellStyle name="Normal 161 2 2 2 2" xfId="1420" xr:uid="{00000000-0005-0000-0000-000050030000}"/>
    <cellStyle name="Normal 161 2 2 2 2 2" xfId="1431" xr:uid="{00000000-0005-0000-0000-000051030000}"/>
    <cellStyle name="Normal 161 2 2 2 2 2 10" xfId="5951" xr:uid="{9DA490CE-7830-4DFE-9A4E-473E16790D14}"/>
    <cellStyle name="Normal 161 2 2 2 2 2 11" xfId="5967" xr:uid="{F917B89B-D420-45BE-A650-038045A01E60}"/>
    <cellStyle name="Normal 161 2 2 2 2 2 12" xfId="5985" xr:uid="{E50E8860-3B3F-451A-A881-653E7EDB7F79}"/>
    <cellStyle name="Normal 161 2 2 2 2 2 2" xfId="1456" xr:uid="{00000000-0005-0000-0000-000052030000}"/>
    <cellStyle name="Normal 161 2 2 2 2 2 2 2" xfId="2884" xr:uid="{80FE0D25-67C0-4C7B-826F-A53547ECA7F8}"/>
    <cellStyle name="Normal 161 2 2 2 2 2 2 2 2" xfId="5738" xr:uid="{B6076D36-E6C2-423F-A259-6EAA212AADFB}"/>
    <cellStyle name="Normal 161 2 2 2 2 2 2 3" xfId="4317" xr:uid="{08E732EA-FA08-49FD-BCBA-D3BB34137AAA}"/>
    <cellStyle name="Normal 161 2 2 2 2 2 3" xfId="1473" xr:uid="{00000000-0005-0000-0000-000053030000}"/>
    <cellStyle name="Normal 161 2 2 2 2 2 3 2" xfId="2901" xr:uid="{C8798946-F938-4A7E-B19F-CDF387323EA6}"/>
    <cellStyle name="Normal 161 2 2 2 2 2 3 2 2" xfId="5755" xr:uid="{BF723BD3-E7E5-452B-B7E7-2C0F802E8D03}"/>
    <cellStyle name="Normal 161 2 2 2 2 2 3 3" xfId="4334" xr:uid="{C612F9AC-2BB7-4045-9EB6-AEECAE4BFC68}"/>
    <cellStyle name="Normal 161 2 2 2 2 2 4" xfId="1487" xr:uid="{00000000-0005-0000-0000-000054030000}"/>
    <cellStyle name="Normal 161 2 2 2 2 2 4 2" xfId="1507" xr:uid="{00000000-0005-0000-0000-000055030000}"/>
    <cellStyle name="Normal 161 2 2 2 2 2 4 2 2" xfId="1537" xr:uid="{00000000-0005-0000-0000-000056030000}"/>
    <cellStyle name="Normal 161 2 2 2 2 2 4 2 2 2" xfId="2965" xr:uid="{065FEA4A-62FF-4947-8D1A-DDE3FF42412A}"/>
    <cellStyle name="Normal 161 2 2 2 2 2 4 2 2 2 2" xfId="5818" xr:uid="{F32F9120-97B2-4FB4-81B8-7FC3EF1CBCE5}"/>
    <cellStyle name="Normal 161 2 2 2 2 2 4 2 2 3" xfId="4397" xr:uid="{AA7A7C4B-DDE3-4594-A35F-AF7E8D4B4141}"/>
    <cellStyle name="Normal 161 2 2 2 2 2 4 2 3" xfId="2935" xr:uid="{B98B2FF4-22DA-46EA-8084-B5B6C852EF92}"/>
    <cellStyle name="Normal 161 2 2 2 2 2 4 2 3 2" xfId="5788" xr:uid="{262571E7-71AD-4567-B37E-007DAED33191}"/>
    <cellStyle name="Normal 161 2 2 2 2 2 4 2 4" xfId="4367" xr:uid="{47AACA6F-D2C1-4A68-BA04-7B4734C30377}"/>
    <cellStyle name="Normal 161 2 2 2 2 2 4 3" xfId="2915" xr:uid="{4AB31EDF-67B5-442B-A4E9-CF1E1A278548}"/>
    <cellStyle name="Normal 161 2 2 2 2 2 4 3 2" xfId="5769" xr:uid="{0CF7FB3C-73DA-460F-9C8B-F329165CC509}"/>
    <cellStyle name="Normal 161 2 2 2 2 2 4 4" xfId="4348" xr:uid="{CF8769E8-7F2A-465D-85CA-CD54AB512BE3}"/>
    <cellStyle name="Normal 161 2 2 2 2 2 5" xfId="1518" xr:uid="{00000000-0005-0000-0000-000057030000}"/>
    <cellStyle name="Normal 161 2 2 2 2 2 5 2" xfId="2946" xr:uid="{FB76AEF8-72B3-4BD7-A402-A3144A0353E4}"/>
    <cellStyle name="Normal 161 2 2 2 2 2 5 2 2" xfId="5799" xr:uid="{AFA1EF02-FA94-4756-A900-A24C444CE90C}"/>
    <cellStyle name="Normal 161 2 2 2 2 2 5 3" xfId="4378" xr:uid="{7174621C-0A0E-4D0C-9B56-7B41026C0E98}"/>
    <cellStyle name="Normal 161 2 2 2 2 2 6" xfId="1554" xr:uid="{EDD3ECE9-27E6-4E1A-91BD-776C7E3E90BD}"/>
    <cellStyle name="Normal 161 2 2 2 2 2 6 2" xfId="2982" xr:uid="{8B8022E2-6862-4657-917D-BC3AE1A9FFCF}"/>
    <cellStyle name="Normal 161 2 2 2 2 2 6 2 2" xfId="5835" xr:uid="{564D739E-FD2C-4641-83EF-11CA2E3C520E}"/>
    <cellStyle name="Normal 161 2 2 2 2 2 6 3" xfId="4414" xr:uid="{549364FC-6114-4652-AB55-754A9C2D50F7}"/>
    <cellStyle name="Normal 161 2 2 2 2 2 7" xfId="1570" xr:uid="{9B69FB8F-3888-4C36-A1ED-1A266A1F1BB5}"/>
    <cellStyle name="Normal 161 2 2 2 2 2 7 2" xfId="4430" xr:uid="{7A5B9019-8BB7-42E5-9E70-E5ACA3A04909}"/>
    <cellStyle name="Normal 161 2 2 2 2 2 8" xfId="3012" xr:uid="{A9BFD347-0D28-4FF7-B9F4-C1B71EC61DD1}"/>
    <cellStyle name="Normal 161 2 2 2 2 2 8 2" xfId="5924" xr:uid="{69EA23CD-F8B5-4AC0-AF25-1BA7BAF90F12}"/>
    <cellStyle name="Normal 161 2 2 2 2 2 9" xfId="5940" xr:uid="{B619F8BB-2944-4A5B-BC6F-939FC1D9844D}"/>
    <cellStyle name="Normal 161 3" xfId="742" xr:uid="{00000000-0005-0000-0000-000058030000}"/>
    <cellStyle name="Normal 161 3 2" xfId="748" xr:uid="{00000000-0005-0000-0000-000059030000}"/>
    <cellStyle name="Normal 161 3 2 2" xfId="759" xr:uid="{00000000-0005-0000-0000-00005A030000}"/>
    <cellStyle name="Normal 161 3 2 2 2" xfId="1416" xr:uid="{00000000-0005-0000-0000-00005B030000}"/>
    <cellStyle name="Normal 161 3 2 2 2 2" xfId="1427" xr:uid="{00000000-0005-0000-0000-00005C030000}"/>
    <cellStyle name="Normal 161 3 2 2 2 2 10" xfId="5947" xr:uid="{EA80054F-C143-47D4-868A-710A6C20DB0F}"/>
    <cellStyle name="Normal 161 3 2 2 2 2 11" xfId="5963" xr:uid="{EB3C9720-9BC6-4B5A-8BC3-A6FE89500398}"/>
    <cellStyle name="Normal 161 3 2 2 2 2 12" xfId="5981" xr:uid="{5A4BD88D-842F-4A53-9137-AC8CB8717F4F}"/>
    <cellStyle name="Normal 161 3 2 2 2 2 2" xfId="1452" xr:uid="{00000000-0005-0000-0000-00005D030000}"/>
    <cellStyle name="Normal 161 3 2 2 2 2 2 2" xfId="2880" xr:uid="{DA4FDCE4-B96F-40CE-8792-CCCEAB30E5E6}"/>
    <cellStyle name="Normal 161 3 2 2 2 2 2 2 2" xfId="5734" xr:uid="{BED11A34-9FD5-4120-BD28-B2CEF04062D4}"/>
    <cellStyle name="Normal 161 3 2 2 2 2 2 3" xfId="4313" xr:uid="{EB90F806-F400-4C91-ACDC-99A4057F0D31}"/>
    <cellStyle name="Normal 161 3 2 2 2 2 3" xfId="1469" xr:uid="{00000000-0005-0000-0000-00005E030000}"/>
    <cellStyle name="Normal 161 3 2 2 2 2 3 2" xfId="2897" xr:uid="{2E42412F-86E1-4E67-9A63-FB48EEDB7BE6}"/>
    <cellStyle name="Normal 161 3 2 2 2 2 3 2 2" xfId="5751" xr:uid="{FB89A294-8F3C-488C-8369-7AF165599F85}"/>
    <cellStyle name="Normal 161 3 2 2 2 2 3 3" xfId="4330" xr:uid="{6207083A-7905-4F40-A940-B799890FEDEE}"/>
    <cellStyle name="Normal 161 3 2 2 2 2 4" xfId="1482" xr:uid="{00000000-0005-0000-0000-00005F030000}"/>
    <cellStyle name="Normal 161 3 2 2 2 2 4 2" xfId="1501" xr:uid="{00000000-0005-0000-0000-000060030000}"/>
    <cellStyle name="Normal 161 3 2 2 2 2 4 2 2" xfId="1531" xr:uid="{00000000-0005-0000-0000-000061030000}"/>
    <cellStyle name="Normal 161 3 2 2 2 2 4 2 2 2" xfId="2959" xr:uid="{849E6C2A-26FA-4368-A773-0BEDD53690D2}"/>
    <cellStyle name="Normal 161 3 2 2 2 2 4 2 2 2 2" xfId="5812" xr:uid="{95E44118-D283-41C2-BDA4-3F4101DED08F}"/>
    <cellStyle name="Normal 161 3 2 2 2 2 4 2 2 2 2 2" xfId="5913" xr:uid="{39AEB3F8-C89B-4E48-8B57-8FCA4D2785CF}"/>
    <cellStyle name="Normal 161 3 2 2 2 2 4 2 2 3" xfId="4391" xr:uid="{602AAB9E-CB14-4688-811D-25E21032DF26}"/>
    <cellStyle name="Normal 161 3 2 2 2 2 4 2 3" xfId="2929" xr:uid="{1DD4A1D0-8B0C-4F71-93AC-2563212D3F75}"/>
    <cellStyle name="Normal 161 3 2 2 2 2 4 2 3 2" xfId="5782" xr:uid="{6B69670E-42CB-4E66-BBF5-AB6C850574F2}"/>
    <cellStyle name="Normal 161 3 2 2 2 2 4 2 4" xfId="4361" xr:uid="{F31E33CE-529B-487D-B1A5-342795CA7598}"/>
    <cellStyle name="Normal 161 3 2 2 2 2 4 3" xfId="2910" xr:uid="{BDAAC410-AF99-4EF0-ACFD-A6EC569CA11F}"/>
    <cellStyle name="Normal 161 3 2 2 2 2 4 3 2" xfId="5764" xr:uid="{52A21C77-B80F-448B-A96E-49846E0F2E64}"/>
    <cellStyle name="Normal 161 3 2 2 2 2 4 4" xfId="4343" xr:uid="{418D476F-54E8-4A10-95A5-72A484AC693C}"/>
    <cellStyle name="Normal 161 3 2 2 2 2 5" xfId="1514" xr:uid="{00000000-0005-0000-0000-000062030000}"/>
    <cellStyle name="Normal 161 3 2 2 2 2 5 2" xfId="2942" xr:uid="{87E40659-6C28-4904-B6D7-FBB804F9EBE7}"/>
    <cellStyle name="Normal 161 3 2 2 2 2 5 2 2" xfId="5795" xr:uid="{3DB06E97-0085-44F7-85CF-FF4A69560D93}"/>
    <cellStyle name="Normal 161 3 2 2 2 2 5 3" xfId="4374" xr:uid="{68007A6B-7AF1-4A02-82BD-06799BD73284}"/>
    <cellStyle name="Normal 161 3 2 2 2 2 6" xfId="1550" xr:uid="{7A072BF8-7D06-46F6-97BE-C4638E8183F3}"/>
    <cellStyle name="Normal 161 3 2 2 2 2 6 2" xfId="2978" xr:uid="{AC293D85-C579-4656-BEA6-5370BB4C1117}"/>
    <cellStyle name="Normal 161 3 2 2 2 2 6 2 2" xfId="5831" xr:uid="{D730CEE8-063F-485E-80CB-ED4D9C4B1B8C}"/>
    <cellStyle name="Normal 161 3 2 2 2 2 6 3" xfId="4410" xr:uid="{A2DB7756-A6B8-4D5C-8FA3-CA555635CB89}"/>
    <cellStyle name="Normal 161 3 2 2 2 2 7" xfId="1566" xr:uid="{E7027647-C48B-4C56-8DD0-E3A1503D4CE7}"/>
    <cellStyle name="Normal 161 3 2 2 2 2 7 2" xfId="4426" xr:uid="{9EA499D5-646C-4A02-A576-C65F9DA6E161}"/>
    <cellStyle name="Normal 161 3 2 2 2 2 8" xfId="3008" xr:uid="{B7761022-48D8-40A6-9181-E4B2CCC41DB1}"/>
    <cellStyle name="Normal 161 3 2 2 2 2 9" xfId="5936" xr:uid="{F8A3F27A-DB84-4D97-AC62-445CD0F84A45}"/>
    <cellStyle name="Normal 161 3 2 3" xfId="1436" xr:uid="{00000000-0005-0000-0000-000063030000}"/>
    <cellStyle name="Normal 161 3 2 3 2" xfId="2865" xr:uid="{9C755766-E9C6-4EEB-BA47-14DD632CAE80}"/>
    <cellStyle name="Normal 161 3 2 3 2 2" xfId="5720" xr:uid="{F200B905-4D51-4647-B27E-5EFDA83F3B5F}"/>
    <cellStyle name="Normal 161 3 2 3 3" xfId="4300" xr:uid="{2B934B0A-31D7-42D8-809A-B195DC700B1E}"/>
    <cellStyle name="Normal 161 3 2 4" xfId="1443" xr:uid="{00000000-0005-0000-0000-000064030000}"/>
    <cellStyle name="Normal 161 3 2 4 2" xfId="2872" xr:uid="{0607D404-3AD4-451A-87A8-38D86B6EC214}"/>
    <cellStyle name="Normal 161 3 2 4 2 2" xfId="5726" xr:uid="{A75CB1C9-9347-43DC-9124-AA2B0B0DE676}"/>
    <cellStyle name="Normal 161 3 2 4 3" xfId="4305" xr:uid="{1C3BD1CB-5019-4D30-A4CB-06F111DE06C2}"/>
    <cellStyle name="Normal 162" xfId="731" xr:uid="{00000000-0005-0000-0000-000065030000}"/>
    <cellStyle name="Normal 162 2" xfId="749" xr:uid="{00000000-0005-0000-0000-000066030000}"/>
    <cellStyle name="Normal 162 2 2" xfId="762" xr:uid="{00000000-0005-0000-0000-000067030000}"/>
    <cellStyle name="Normal 162 2 2 2" xfId="1417" xr:uid="{00000000-0005-0000-0000-000068030000}"/>
    <cellStyle name="Normal 162 2 2 2 2" xfId="1428" xr:uid="{00000000-0005-0000-0000-000069030000}"/>
    <cellStyle name="Normal 162 2 2 2 2 10" xfId="5948" xr:uid="{B3397403-394E-4733-9ABA-91D44A960123}"/>
    <cellStyle name="Normal 162 2 2 2 2 11" xfId="5964" xr:uid="{E0253B4C-F328-4AA7-B1D4-BEF725503833}"/>
    <cellStyle name="Normal 162 2 2 2 2 12" xfId="5982" xr:uid="{E547B318-8DE2-431A-9231-07F79B0F4F32}"/>
    <cellStyle name="Normal 162 2 2 2 2 2" xfId="1453" xr:uid="{00000000-0005-0000-0000-00006A030000}"/>
    <cellStyle name="Normal 162 2 2 2 2 2 2" xfId="2881" xr:uid="{CA8A7565-92F5-4162-9926-6BB2CD9DC909}"/>
    <cellStyle name="Normal 162 2 2 2 2 2 2 2" xfId="5735" xr:uid="{315BC5EA-D10B-4A2D-B0A9-0583658095C0}"/>
    <cellStyle name="Normal 162 2 2 2 2 2 3" xfId="4314" xr:uid="{802963A2-B3BF-4DCD-8D7F-6B68AFF9B317}"/>
    <cellStyle name="Normal 162 2 2 2 2 3" xfId="1470" xr:uid="{00000000-0005-0000-0000-00006B030000}"/>
    <cellStyle name="Normal 162 2 2 2 2 3 2" xfId="2898" xr:uid="{30319760-EE25-4D0C-B09E-F4D690A1C565}"/>
    <cellStyle name="Normal 162 2 2 2 2 3 2 2" xfId="5752" xr:uid="{17F2CCAB-7E3C-4545-AAF3-022E22A102CD}"/>
    <cellStyle name="Normal 162 2 2 2 2 3 3" xfId="4331" xr:uid="{A42492A5-468C-496A-8290-AEAADF71179D}"/>
    <cellStyle name="Normal 162 2 2 2 2 4" xfId="1483" xr:uid="{00000000-0005-0000-0000-00006C030000}"/>
    <cellStyle name="Normal 162 2 2 2 2 4 2" xfId="1502" xr:uid="{00000000-0005-0000-0000-00006D030000}"/>
    <cellStyle name="Normal 162 2 2 2 2 4 2 2" xfId="1532" xr:uid="{00000000-0005-0000-0000-00006E030000}"/>
    <cellStyle name="Normal 162 2 2 2 2 4 2 2 2" xfId="2960" xr:uid="{CA1C1B75-0D61-4F4F-A8D8-F5F817CED1F1}"/>
    <cellStyle name="Normal 162 2 2 2 2 4 2 2 2 2" xfId="5813" xr:uid="{19199F5F-8AB4-46FB-B0E5-ECDA28760B11}"/>
    <cellStyle name="Normal 162 2 2 2 2 4 2 2 2 2 2" xfId="5914" xr:uid="{01887D5F-B512-44C8-9DB8-2C35C6F3D672}"/>
    <cellStyle name="Normal 162 2 2 2 2 4 2 2 3" xfId="4392" xr:uid="{EC3098B3-FC18-422F-B98D-86ACC2374F1C}"/>
    <cellStyle name="Normal 162 2 2 2 2 4 2 3" xfId="2930" xr:uid="{C0CD27EF-6E59-4DF6-9BA8-944957D6BC73}"/>
    <cellStyle name="Normal 162 2 2 2 2 4 2 3 2" xfId="5783" xr:uid="{C5B50CBF-1F21-4E2D-A6C5-F1A5DFFC9288}"/>
    <cellStyle name="Normal 162 2 2 2 2 4 2 4" xfId="4362" xr:uid="{B26888A1-9C2D-4599-9BB6-4BD2CCEA34BB}"/>
    <cellStyle name="Normal 162 2 2 2 2 4 3" xfId="2911" xr:uid="{FC37232D-E7F5-4695-8A12-319F413763D3}"/>
    <cellStyle name="Normal 162 2 2 2 2 4 3 2" xfId="5765" xr:uid="{9EA911F5-6125-42B8-9431-0289D20E36B6}"/>
    <cellStyle name="Normal 162 2 2 2 2 4 4" xfId="4344" xr:uid="{74F371C0-1D57-429D-8D80-F5050A547760}"/>
    <cellStyle name="Normal 162 2 2 2 2 5" xfId="1515" xr:uid="{00000000-0005-0000-0000-00006F030000}"/>
    <cellStyle name="Normal 162 2 2 2 2 5 2" xfId="2943" xr:uid="{F00941F3-300B-404C-B28D-2A28E6D2C55E}"/>
    <cellStyle name="Normal 162 2 2 2 2 5 2 2" xfId="5796" xr:uid="{1EA9FA0E-F6E0-44D6-8A00-04E420153505}"/>
    <cellStyle name="Normal 162 2 2 2 2 5 3" xfId="4375" xr:uid="{011E07E9-3020-438D-8348-A0398AB3F0E0}"/>
    <cellStyle name="Normal 162 2 2 2 2 6" xfId="1551" xr:uid="{9C92DA69-E17A-4934-9299-1AE0B7DECB7C}"/>
    <cellStyle name="Normal 162 2 2 2 2 6 2" xfId="2979" xr:uid="{8162AD97-10D9-4A36-B026-C830D97E39BC}"/>
    <cellStyle name="Normal 162 2 2 2 2 6 2 2" xfId="5832" xr:uid="{670A9B32-FD6B-41BC-8319-8434B38BA7C8}"/>
    <cellStyle name="Normal 162 2 2 2 2 6 3" xfId="4411" xr:uid="{4AE487CA-BBCD-4EFB-A671-2B222562CF21}"/>
    <cellStyle name="Normal 162 2 2 2 2 7" xfId="1567" xr:uid="{1560508D-7DC6-4789-826B-1BA3A0991091}"/>
    <cellStyle name="Normal 162 2 2 2 2 7 2" xfId="4427" xr:uid="{F6F53E6C-7EBA-4BFA-86B7-9AD4FCA93042}"/>
    <cellStyle name="Normal 162 2 2 2 2 8" xfId="3009" xr:uid="{E470A8C6-B3AF-4322-9FE2-1B1C94728BBC}"/>
    <cellStyle name="Normal 162 2 2 2 2 8 2" xfId="5916" xr:uid="{1508D005-235A-4B45-A9A3-C0A7B495C020}"/>
    <cellStyle name="Normal 162 2 2 2 2 9" xfId="5937" xr:uid="{7C11BA66-9B50-4F59-99D0-401753EFFE99}"/>
    <cellStyle name="Normal 163" xfId="740" xr:uid="{00000000-0005-0000-0000-000070030000}"/>
    <cellStyle name="Normal 163 2" xfId="757" xr:uid="{00000000-0005-0000-0000-000071030000}"/>
    <cellStyle name="Normal 163 2 2" xfId="1415" xr:uid="{00000000-0005-0000-0000-000072030000}"/>
    <cellStyle name="Normal 163 2 2 10" xfId="5955" xr:uid="{96811ED7-6D91-4409-A0D1-715EDFBA87AE}"/>
    <cellStyle name="Normal 163 2 2 2" xfId="1460" xr:uid="{00000000-0005-0000-0000-000073030000}"/>
    <cellStyle name="Normal 163 2 2 2 2" xfId="2888" xr:uid="{04182DB6-D2A0-4B3D-8F4E-653CF3C01ABF}"/>
    <cellStyle name="Normal 163 2 2 2 2 2" xfId="5742" xr:uid="{4746BB22-252D-44D1-A658-632BF3E984AE}"/>
    <cellStyle name="Normal 163 2 2 2 3" xfId="4321" xr:uid="{F9952346-0486-4FD7-87E8-BAB6742ABB7F}"/>
    <cellStyle name="Normal 163 2 2 3" xfId="1464" xr:uid="{00000000-0005-0000-0000-000074030000}"/>
    <cellStyle name="Normal 163 2 2 3 2" xfId="2892" xr:uid="{323ED5EF-B995-4DAF-AA5F-4E983EDA413B}"/>
    <cellStyle name="Normal 163 2 2 3 2 2" xfId="5746" xr:uid="{2EFBEE22-80A9-4177-998A-10ED280F8BB8}"/>
    <cellStyle name="Normal 163 2 2 3 3" xfId="4325" xr:uid="{34F87754-F02C-41A7-9A45-97E877B9E70D}"/>
    <cellStyle name="Normal 163 2 2 4" xfId="1522" xr:uid="{00000000-0005-0000-0000-000075030000}"/>
    <cellStyle name="Normal 163 2 2 4 2" xfId="2950" xr:uid="{FFE82302-A138-4CD8-B6B4-0B52FBA020E8}"/>
    <cellStyle name="Normal 163 2 2 4 2 2" xfId="5803" xr:uid="{8A693D3F-5877-42D0-A4AC-446DED795254}"/>
    <cellStyle name="Normal 163 2 2 4 3" xfId="4382" xr:uid="{7AA7AFA5-35D6-47DD-B202-6CA24FA7189E}"/>
    <cellStyle name="Normal 163 2 2 5" xfId="1541" xr:uid="{00000000-0005-0000-0000-000076030000}"/>
    <cellStyle name="Normal 163 2 2 5 2" xfId="2969" xr:uid="{E2C63431-FB85-4AC5-8DBF-8499AAFFAE0D}"/>
    <cellStyle name="Normal 163 2 2 5 2 2" xfId="5822" xr:uid="{7A0B237A-61B6-41E3-80B5-1C10A52DB475}"/>
    <cellStyle name="Normal 163 2 2 5 3" xfId="4401" xr:uid="{F45BCFD6-0754-4C37-A0D8-61A3E11DDDE1}"/>
    <cellStyle name="Normal 163 2 2 6" xfId="1545" xr:uid="{4490AB18-6A23-44E8-BB8C-FDCC0C6EFCC8}"/>
    <cellStyle name="Normal 163 2 2 6 2" xfId="2973" xr:uid="{EFF5C8D6-1262-4E7E-B8DB-971731F35592}"/>
    <cellStyle name="Normal 163 2 2 6 2 2" xfId="5826" xr:uid="{B52655C6-E694-4317-985F-C7B2F7A2821A}"/>
    <cellStyle name="Normal 163 2 2 6 3" xfId="4405" xr:uid="{C30E03F0-D721-4EFB-BD8B-2FA76CBB09B2}"/>
    <cellStyle name="Normal 163 2 2 7" xfId="1559" xr:uid="{D07CB64D-C11A-47F7-95A4-533F4F257E96}"/>
    <cellStyle name="Normal 163 2 2 7 2" xfId="4419" xr:uid="{641C497D-17F8-435B-99B1-6BA1DB3DDD43}"/>
    <cellStyle name="Normal 163 2 2 8" xfId="2860" xr:uid="{AF00C664-F109-461A-ADB6-D158D8FA4C9D}"/>
    <cellStyle name="Normal 163 2 2 8 2" xfId="5715" xr:uid="{5D4ADCA5-EDD2-476B-AE72-B159F559824C}"/>
    <cellStyle name="Normal 163 2 2 9" xfId="3016" xr:uid="{7191F368-D8EF-4FF6-B213-82E29F4700B7}"/>
    <cellStyle name="Normal 163 2 2 9 2" xfId="5907" xr:uid="{4C25C975-6A4F-4A83-9C96-B40784553470}"/>
    <cellStyle name="Normal 163 2 2 9 2 2" xfId="5932" xr:uid="{21BBE7B2-6A11-4FFE-B1AD-512B9F831EF9}"/>
    <cellStyle name="Normal 163 2 2 9 2 2 2" xfId="5959" xr:uid="{E97E7BF3-4694-4363-BA83-B79B0AA13442}"/>
    <cellStyle name="Normal 163 2 2 9 2 2 2 2" xfId="5977" xr:uid="{68C774DB-DD2A-46ED-81D8-9B4CBD41CF89}"/>
    <cellStyle name="Normal 163 2 2 9 2 2 2 2 2" xfId="6003" xr:uid="{AA01C882-CE25-495A-A64A-6CF80784AC8A}"/>
    <cellStyle name="Normal 163 2 3" xfId="2221" xr:uid="{4BB9F2BC-B396-405E-951E-2318E9D76CBE}"/>
    <cellStyle name="Normal 163 2 3 2" xfId="5077" xr:uid="{3C26D498-FBBF-4826-B476-E75ED21DB9AC}"/>
    <cellStyle name="Normal 163 3" xfId="2217" xr:uid="{F669E4B0-7FF4-4648-A837-124BCF826322}"/>
    <cellStyle name="Normal 163 3 2" xfId="5073" xr:uid="{B617FC5E-488A-4851-BDAB-62FA652F8E70}"/>
    <cellStyle name="Normal 164" xfId="756" xr:uid="{00000000-0005-0000-0000-000077030000}"/>
    <cellStyle name="Normal 164 2" xfId="1413" xr:uid="{00000000-0005-0000-0000-000078030000}"/>
    <cellStyle name="Normal 164 2 10" xfId="5956" xr:uid="{4065CC2B-AC29-489E-8D07-EE238854C533}"/>
    <cellStyle name="Normal 164 2 2" xfId="1461" xr:uid="{00000000-0005-0000-0000-000079030000}"/>
    <cellStyle name="Normal 164 2 2 2" xfId="2889" xr:uid="{BCD15272-45A9-4FBD-AA25-55F81233A5A4}"/>
    <cellStyle name="Normal 164 2 2 2 2" xfId="5743" xr:uid="{78CD87BB-ACF1-4438-96D7-F8ED163850C8}"/>
    <cellStyle name="Normal 164 2 2 3" xfId="4322" xr:uid="{9971BF11-7283-449A-9802-5CA77F92CD94}"/>
    <cellStyle name="Normal 164 2 3" xfId="1465" xr:uid="{00000000-0005-0000-0000-00007A030000}"/>
    <cellStyle name="Normal 164 2 3 2" xfId="2893" xr:uid="{6F6370F3-0A8A-486A-B7AC-2F23AF21C2F3}"/>
    <cellStyle name="Normal 164 2 3 2 2" xfId="5747" xr:uid="{C9FCC9A2-027A-45E7-8A51-E5E90D6D314E}"/>
    <cellStyle name="Normal 164 2 3 3" xfId="4326" xr:uid="{F0FF5A83-1DF7-41C3-8980-40F6A37119EC}"/>
    <cellStyle name="Normal 164 2 4" xfId="1523" xr:uid="{00000000-0005-0000-0000-00007B030000}"/>
    <cellStyle name="Normal 164 2 4 2" xfId="2951" xr:uid="{7ED94299-D093-43AE-9C4C-6B46427594C6}"/>
    <cellStyle name="Normal 164 2 4 2 2" xfId="5804" xr:uid="{37A5B050-97EB-42E5-9978-93BD17F017F6}"/>
    <cellStyle name="Normal 164 2 4 3" xfId="4383" xr:uid="{435F43B1-623A-4ED2-B642-836E5D5420C7}"/>
    <cellStyle name="Normal 164 2 5" xfId="1542" xr:uid="{00000000-0005-0000-0000-00007C030000}"/>
    <cellStyle name="Normal 164 2 5 2" xfId="2970" xr:uid="{7E5E56DD-7369-4543-88BB-B92A5350C4C8}"/>
    <cellStyle name="Normal 164 2 5 2 2" xfId="5823" xr:uid="{18E6EAEA-85F5-43E4-BF18-DBC254BA5E7E}"/>
    <cellStyle name="Normal 164 2 5 3" xfId="4402" xr:uid="{631A4622-39B6-499B-9FA2-28376ED9C04A}"/>
    <cellStyle name="Normal 164 2 6" xfId="1546" xr:uid="{7CDCD116-B966-465C-A2C8-B1D4AA202FC0}"/>
    <cellStyle name="Normal 164 2 6 2" xfId="2974" xr:uid="{777E2F41-2895-40AE-A886-0304449F8436}"/>
    <cellStyle name="Normal 164 2 6 2 2" xfId="5827" xr:uid="{C574F5BF-9B86-408D-BF39-5BDCACC20094}"/>
    <cellStyle name="Normal 164 2 6 3" xfId="4406" xr:uid="{A2D191D7-7B5C-4C7C-82DF-B1A10D177229}"/>
    <cellStyle name="Normal 164 2 7" xfId="1560" xr:uid="{0A89207B-3C42-4C4C-903A-0F33B5750E79}"/>
    <cellStyle name="Normal 164 2 7 2" xfId="4420" xr:uid="{12E4DC29-163F-41A7-A61B-4806D607CAF0}"/>
    <cellStyle name="Normal 164 2 8" xfId="2859" xr:uid="{9A8EAF3B-473A-4FBF-BB5F-F8E7ECCA16F5}"/>
    <cellStyle name="Normal 164 2 8 2" xfId="5714" xr:uid="{49442909-D06E-4A00-AAA9-D378488F6407}"/>
    <cellStyle name="Normal 164 2 9" xfId="3017" xr:uid="{C4553B22-5ACB-482E-A5CF-501D462410E6}"/>
    <cellStyle name="Normal 164 2 9 2" xfId="5908" xr:uid="{CC557A1B-4F2A-417D-92C2-A851849F5B98}"/>
    <cellStyle name="Normal 164 2 9 2 2" xfId="5933" xr:uid="{4AD2181E-2B79-4993-93EB-EB83A8475916}"/>
    <cellStyle name="Normal 164 2 9 2 2 2" xfId="5960" xr:uid="{E7013907-4404-4A3E-9C8A-7CF1C9652E27}"/>
    <cellStyle name="Normal 164 2 9 2 2 2 2" xfId="5978" xr:uid="{B47C8D6C-D708-483B-B409-CF0EF0E86D90}"/>
    <cellStyle name="Normal 164 2 9 2 2 2 2 2" xfId="6004" xr:uid="{167C8346-BD89-4A09-8573-A1D37E034CFD}"/>
    <cellStyle name="Normal 164 3" xfId="2220" xr:uid="{55D6B54D-E945-4CE3-B028-4EBD2856C3C9}"/>
    <cellStyle name="Normal 164 3 2" xfId="5076" xr:uid="{BF2D483E-9454-42F1-9E7F-2BEBC8195A7A}"/>
    <cellStyle name="Normal 165" xfId="766" xr:uid="{00000000-0005-0000-0000-00007D030000}"/>
    <cellStyle name="Normal 166" xfId="1424" xr:uid="{00000000-0005-0000-0000-00007E030000}"/>
    <cellStyle name="Normal 166 2" xfId="2862" xr:uid="{EB14721B-2DF2-4447-A12C-E5BA19C50FE4}"/>
    <cellStyle name="Normal 166 2 2" xfId="5717" xr:uid="{BA80710D-7CBA-46AA-940C-34BD88E10812}"/>
    <cellStyle name="Normal 166 3" xfId="4297" xr:uid="{F7BB3759-E40F-4A12-868E-4BD7CA54451A}"/>
    <cellStyle name="Normal 167" xfId="1434" xr:uid="{00000000-0005-0000-0000-00007F030000}"/>
    <cellStyle name="Normal 167 2" xfId="2863" xr:uid="{40065B0E-4929-4379-951C-E885276A9583}"/>
    <cellStyle name="Normal 167 2 2" xfId="5718" xr:uid="{C82DCBF3-D39D-4502-90AB-AE9D7C63D0A6}"/>
    <cellStyle name="Normal 167 3" xfId="4298" xr:uid="{5D9EFFAF-B5A4-4044-A0D7-275AD04EAB84}"/>
    <cellStyle name="Normal 168" xfId="1441" xr:uid="{00000000-0005-0000-0000-000080030000}"/>
    <cellStyle name="Normal 168 2" xfId="2870" xr:uid="{628496B6-D870-4A6F-B80F-304CEBAC3E28}"/>
    <cellStyle name="Normal 168 2 2" xfId="5725" xr:uid="{0C9E4C2A-EAE3-4529-B4D7-348FE5C87B33}"/>
    <cellStyle name="Normal 168 3" xfId="4304" xr:uid="{E2007307-2C7F-4FBB-B29C-E4FDA66E4A85}"/>
    <cellStyle name="Normal 169" xfId="1447" xr:uid="{00000000-0005-0000-0000-000081030000}"/>
    <cellStyle name="Normal 169 2" xfId="2876" xr:uid="{7F1A7223-E282-41C0-877E-4C747661A5F8}"/>
    <cellStyle name="Normal 169 2 2" xfId="5730" xr:uid="{356A943F-ECA1-4B32-82F3-99AAF0554EB1}"/>
    <cellStyle name="Normal 169 3" xfId="4309" xr:uid="{36AAE56D-3523-4A01-B42D-FFD48C84AB19}"/>
    <cellStyle name="Normal 17" xfId="56" xr:uid="{00000000-0005-0000-0000-000082030000}"/>
    <cellStyle name="Normal 17 2" xfId="786" xr:uid="{00000000-0005-0000-0000-000083030000}"/>
    <cellStyle name="Normal 170" xfId="1463" xr:uid="{00000000-0005-0000-0000-000084030000}"/>
    <cellStyle name="Normal 170 2" xfId="2891" xr:uid="{7827A084-B644-458A-8821-97E8D069822F}"/>
    <cellStyle name="Normal 170 2 2" xfId="5745" xr:uid="{B44B55BE-918B-45A3-93FE-67E4B25DF574}"/>
    <cellStyle name="Normal 170 3" xfId="4324" xr:uid="{104A8ACE-2900-4966-928E-4645E006FB9C}"/>
    <cellStyle name="Normal 171" xfId="1477" xr:uid="{00000000-0005-0000-0000-000085030000}"/>
    <cellStyle name="Normal 171 2" xfId="1496" xr:uid="{00000000-0005-0000-0000-000086030000}"/>
    <cellStyle name="Normal 171 2 2" xfId="2924" xr:uid="{1E97EEBE-A517-4885-AA78-9706DC82D832}"/>
    <cellStyle name="Normal 171 2 2 2" xfId="5777" xr:uid="{B6E7E297-BD1B-4241-A311-3CD912DF90E2}"/>
    <cellStyle name="Normal 171 2 3" xfId="4356" xr:uid="{4ACDC965-30DD-463D-9F2F-7B199718254B}"/>
    <cellStyle name="Normal 171 3" xfId="2905" xr:uid="{ABB3EC3D-2EA2-4445-B19D-A78410440292}"/>
    <cellStyle name="Normal 171 3 2" xfId="5759" xr:uid="{B2211D04-5272-4803-85AE-F26E1751BDCD}"/>
    <cellStyle name="Normal 171 4" xfId="4338" xr:uid="{79276D3E-CF9C-42A5-B713-A0554A3F434A}"/>
    <cellStyle name="Normal 172" xfId="1510" xr:uid="{00000000-0005-0000-0000-000087030000}"/>
    <cellStyle name="Normal 172 2" xfId="1526" xr:uid="{00000000-0005-0000-0000-000088030000}"/>
    <cellStyle name="Normal 172 2 2" xfId="2954" xr:uid="{2B26E3C4-2BD2-482D-A1E3-55DC2B75748B}"/>
    <cellStyle name="Normal 172 2 2 2" xfId="5807" xr:uid="{4815486B-A97B-48C0-BE61-902C2F968C72}"/>
    <cellStyle name="Normal 172 2 3" xfId="4386" xr:uid="{FF172B3D-0AD3-4024-BB1F-4BD120C8E097}"/>
    <cellStyle name="Normal 172 3" xfId="2938" xr:uid="{E64615B5-F673-4A06-BF87-864D1F18950B}"/>
    <cellStyle name="Normal 172 3 2" xfId="5791" xr:uid="{EB0ED8C9-D9C3-4E23-9856-7B8DDA6ACB51}"/>
    <cellStyle name="Normal 172 4" xfId="4370" xr:uid="{5CE528CE-5F8E-4561-B97C-B5EDD399322C}"/>
    <cellStyle name="Normal 173" xfId="1524" xr:uid="{00000000-0005-0000-0000-000089030000}"/>
    <cellStyle name="Normal 173 2" xfId="2952" xr:uid="{25DA605C-DD5E-406F-8A41-52D9676DA972}"/>
    <cellStyle name="Normal 173 2 2" xfId="5805" xr:uid="{C0E95672-F5CA-4984-ADCA-AA25A0555FF0}"/>
    <cellStyle name="Normal 173 3" xfId="4384" xr:uid="{5BE7D9EF-4859-40E7-BD50-D5F43D776611}"/>
    <cellStyle name="Normal 174" xfId="1544" xr:uid="{6366D90A-B34D-4681-AE7E-2A5030CE7E87}"/>
    <cellStyle name="Normal 174 2" xfId="2972" xr:uid="{1CB13BEB-C1DF-427F-AB43-C17F4D25FE60}"/>
    <cellStyle name="Normal 174 2 2" xfId="5825" xr:uid="{BD06649E-0FB3-44E3-AC02-F1E82116C160}"/>
    <cellStyle name="Normal 174 3" xfId="4404" xr:uid="{D0AA007C-E700-4025-804D-E404D5632712}"/>
    <cellStyle name="Normal 175" xfId="1558" xr:uid="{45749BF1-F1D5-46FF-81AD-75AFA38EE83B}"/>
    <cellStyle name="Normal 175 2" xfId="4418" xr:uid="{69E7EEDF-10CA-4A80-B0A6-5185B3A86966}"/>
    <cellStyle name="Normal 176" xfId="1562" xr:uid="{612EF1FE-50C1-4106-8C5F-649674B18E9E}"/>
    <cellStyle name="Normal 176 2" xfId="4422" xr:uid="{D0172AF6-1E6F-4C11-BEEB-3965F6E58ABE}"/>
    <cellStyle name="Normal 177" xfId="3004" xr:uid="{CCD600C5-B44E-4853-82EC-ED2ADF99D806}"/>
    <cellStyle name="Normal 178" xfId="5906" xr:uid="{A3CF1125-AA26-4CB1-A64B-3F9F143AEF47}"/>
    <cellStyle name="Normal 179" xfId="5928" xr:uid="{EAAB5FEB-750C-4390-B945-CD581990C415}"/>
    <cellStyle name="Normal 18" xfId="60" xr:uid="{00000000-0005-0000-0000-00008A030000}"/>
    <cellStyle name="Normal 18 2" xfId="788" xr:uid="{00000000-0005-0000-0000-00008B030000}"/>
    <cellStyle name="Normal 18 2 2" xfId="2239" xr:uid="{1835242F-CD3A-4EDE-801A-10DD0F714454}"/>
    <cellStyle name="Normal 18 2 2 2" xfId="5095" xr:uid="{26683170-9AB9-4A61-BF15-60FCC774EEB8}"/>
    <cellStyle name="Normal 18 2 3" xfId="3677" xr:uid="{5AEFE95C-BA81-4BAD-8802-DB1C3F49E96D}"/>
    <cellStyle name="Normal 18 3" xfId="1591" xr:uid="{F7417223-1CA0-479B-A7A7-D257DA049369}"/>
    <cellStyle name="Normal 18 3 2" xfId="4451" xr:uid="{9E58E26A-D1C1-4113-9D7E-F30A60B6597F}"/>
    <cellStyle name="Normal 18 4" xfId="3036" xr:uid="{326AC987-FB7E-40A3-A477-B3103994DC28}"/>
    <cellStyle name="Normal 180" xfId="5943" xr:uid="{88F24236-9FD3-4D90-BFA5-4091465521CA}"/>
    <cellStyle name="Normal 181" xfId="5958" xr:uid="{80AB20D1-DFBA-432C-B8D7-0610AC73F379}"/>
    <cellStyle name="Normal 182" xfId="5970" xr:uid="{F898B0CF-7A4D-4134-81F0-847DCEC43BB8}"/>
    <cellStyle name="Normal 183" xfId="5976" xr:uid="{B8F37E3C-ABDB-4EE5-80B5-96A6AB862E1C}"/>
    <cellStyle name="Normal 184" xfId="5988" xr:uid="{B8C8650E-77B7-4511-93D7-A8EED7E776E5}"/>
    <cellStyle name="Normal 184 2" xfId="6009" xr:uid="{F0A0314A-7460-4DDC-B6EF-6EABB2177A8E}"/>
    <cellStyle name="Normal 185" xfId="5992" xr:uid="{B8B52184-5EF8-4893-A607-AC9D74934E67}"/>
    <cellStyle name="Normal 186" xfId="5997" xr:uid="{20A05733-F7C4-425E-ACFA-0FE69A45DAC1}"/>
    <cellStyle name="Normal 187" xfId="6002" xr:uid="{F82C7B6D-03D5-4F1C-A9BA-53257C57FD46}"/>
    <cellStyle name="Normal 188" xfId="6012" xr:uid="{C39B5AAB-FC33-44CD-9A4A-D253C7CEDEB6}"/>
    <cellStyle name="Normal 189" xfId="6017" xr:uid="{68B945EE-33E8-4F15-B7CA-1886F60245F2}"/>
    <cellStyle name="Normal 19" xfId="68" xr:uid="{00000000-0005-0000-0000-00008C030000}"/>
    <cellStyle name="Normal 19 2" xfId="796" xr:uid="{00000000-0005-0000-0000-00008D030000}"/>
    <cellStyle name="Normal 19 2 2" xfId="2247" xr:uid="{D9526C9C-F4F8-49E8-BA6D-6B21171BC819}"/>
    <cellStyle name="Normal 19 2 2 2" xfId="5103" xr:uid="{4A481309-1939-40FE-8CCC-9E0826028521}"/>
    <cellStyle name="Normal 19 2 3" xfId="3685" xr:uid="{D18E4C95-6BC4-43C7-B25A-454296512E28}"/>
    <cellStyle name="Normal 19 3" xfId="1599" xr:uid="{CF8926C8-8A97-4FF9-87D0-A6EF3CD3639F}"/>
    <cellStyle name="Normal 19 3 2" xfId="4459" xr:uid="{287BFD02-3336-4073-A889-38202865AEB0}"/>
    <cellStyle name="Normal 19 4" xfId="3044" xr:uid="{40F56C5E-929D-4B30-B814-0DC3B0D49E47}"/>
    <cellStyle name="Normal 190" xfId="6020" xr:uid="{3A744814-F34C-4784-8F18-0861990A2177}"/>
    <cellStyle name="Normal 191" xfId="6024" xr:uid="{70AB2EB2-D370-477F-8979-E16C24BEAC00}"/>
    <cellStyle name="Normal 192" xfId="6026" xr:uid="{6346658F-2B1D-404E-88A3-476FB5A98DDA}"/>
    <cellStyle name="Normal 193" xfId="6031" xr:uid="{26530F2F-11DC-424A-997F-FF819393F971}"/>
    <cellStyle name="Normal 2" xfId="16" xr:uid="{00000000-0005-0000-0000-00008E030000}"/>
    <cellStyle name="Normal 2 10" xfId="6000" xr:uid="{83F74ABD-C8CC-4506-9CC8-FB10F13030EF}"/>
    <cellStyle name="Normal 2 2" xfId="17" xr:uid="{00000000-0005-0000-0000-00008F030000}"/>
    <cellStyle name="Normal 2 2 2" xfId="129" xr:uid="{00000000-0005-0000-0000-000090030000}"/>
    <cellStyle name="Normal 2 2 3" xfId="629" xr:uid="{00000000-0005-0000-0000-000091030000}"/>
    <cellStyle name="Normal 2 3" xfId="154" xr:uid="{00000000-0005-0000-0000-000092030000}"/>
    <cellStyle name="Normal 2 4" xfId="654" xr:uid="{00000000-0005-0000-0000-000093030000}"/>
    <cellStyle name="Normal 2 4 2" xfId="668" xr:uid="{00000000-0005-0000-0000-000094030000}"/>
    <cellStyle name="Normal 2 4 2 2" xfId="679" xr:uid="{00000000-0005-0000-0000-000095030000}"/>
    <cellStyle name="Normal 2 4 2 2 2" xfId="684" xr:uid="{00000000-0005-0000-0000-000096030000}"/>
    <cellStyle name="Normal 2 4 2 2 2 2" xfId="697" xr:uid="{00000000-0005-0000-0000-000097030000}"/>
    <cellStyle name="Normal 2 4 2 2 2 2 2" xfId="1381" xr:uid="{00000000-0005-0000-0000-000098030000}"/>
    <cellStyle name="Normal 2 4 2 2 2 2 2 2" xfId="2828" xr:uid="{8CE8081C-B73A-4F5A-B6AD-AAEA3BAF43C0}"/>
    <cellStyle name="Normal 2 4 2 2 2 2 2 2 2" xfId="5683" xr:uid="{9A5926BD-97D9-48A0-8559-1EE97B20AB1D}"/>
    <cellStyle name="Normal 2 4 2 2 2 2 2 3" xfId="4265" xr:uid="{D185EFA8-83E9-4DA8-938E-DC57453ED5E2}"/>
    <cellStyle name="Normal 2 4 2 2 2 2 3" xfId="2185" xr:uid="{44E58E19-8446-411F-88D5-7AAD591795E2}"/>
    <cellStyle name="Normal 2 4 2 2 2 2 3 2" xfId="5044" xr:uid="{0533D1E7-E96D-498E-AD98-17E85A26D371}"/>
    <cellStyle name="Normal 2 4 2 2 2 2 4" xfId="3628" xr:uid="{40755183-EA6A-49AB-BBFD-F5AC4503093F}"/>
    <cellStyle name="Normal 2 4 2 2 2 3" xfId="1374" xr:uid="{00000000-0005-0000-0000-000099030000}"/>
    <cellStyle name="Normal 2 4 2 2 2 3 2" xfId="2821" xr:uid="{C695C2B8-C2F3-4013-AEB6-CDD7D7DD784E}"/>
    <cellStyle name="Normal 2 4 2 2 2 3 2 2" xfId="5676" xr:uid="{B71CE028-94CD-448D-8F5B-D3CA058CB31C}"/>
    <cellStyle name="Normal 2 4 2 2 2 3 3" xfId="4258" xr:uid="{39ED6D8A-2F2E-4E15-B1F7-AAF2EB22A9B5}"/>
    <cellStyle name="Normal 2 4 2 2 2 4" xfId="2178" xr:uid="{6661FC3D-0A42-4CB4-8088-73D6AF0B815E}"/>
    <cellStyle name="Normal 2 4 2 2 2 4 2" xfId="5037" xr:uid="{B3A20470-5CFD-4040-96BE-5F0334109CEE}"/>
    <cellStyle name="Normal 2 4 2 2 2 5" xfId="3621" xr:uid="{5E3D533F-996E-42C8-A72B-AE6C8F2D625F}"/>
    <cellStyle name="Normal 2 4 2 2 3" xfId="1372" xr:uid="{00000000-0005-0000-0000-00009A030000}"/>
    <cellStyle name="Normal 2 4 2 2 3 2" xfId="2819" xr:uid="{20E06C91-D97C-445D-918D-B41463D21ACF}"/>
    <cellStyle name="Normal 2 4 2 2 3 2 2" xfId="5674" xr:uid="{47CE4B5D-798F-48C9-AE3D-A36157315ABB}"/>
    <cellStyle name="Normal 2 4 2 2 3 3" xfId="4256" xr:uid="{AB82A98F-98F3-4AB2-81C4-07DD76BACD6C}"/>
    <cellStyle name="Normal 2 4 2 2 4" xfId="2176" xr:uid="{9558C105-D9A2-4CD3-AF1A-BE9D88391FEB}"/>
    <cellStyle name="Normal 2 4 2 2 4 2" xfId="5035" xr:uid="{7A416143-0815-49DC-B96D-6CFA7B6E7D52}"/>
    <cellStyle name="Normal 2 4 2 2 5" xfId="3619" xr:uid="{60F3905D-D2FF-475C-A6CD-60EBD0358D92}"/>
    <cellStyle name="Normal 2 4 2 3" xfId="1367" xr:uid="{00000000-0005-0000-0000-00009B030000}"/>
    <cellStyle name="Normal 2 4 2 3 2" xfId="2815" xr:uid="{D1DD432F-C245-4B58-9524-7D79CEAE6FB8}"/>
    <cellStyle name="Normal 2 4 2 3 2 2" xfId="5670" xr:uid="{88CC111A-BF96-44EC-8C2B-0D1577AD0513}"/>
    <cellStyle name="Normal 2 4 2 3 3" xfId="4252" xr:uid="{785B34F5-BA77-4E2B-AD57-D613FFFC10C5}"/>
    <cellStyle name="Normal 2 4 2 4" xfId="2171" xr:uid="{2DFC13F3-EF1A-45D3-8822-39CCDC5A5D31}"/>
    <cellStyle name="Normal 2 4 2 4 2" xfId="5031" xr:uid="{DC96B923-197D-45A1-B2E7-D56BD3161D64}"/>
    <cellStyle name="Normal 2 4 2 5" xfId="3615" xr:uid="{6D09A8EA-5AC1-4D27-B3EA-B421EE5E1D6D}"/>
    <cellStyle name="Normal 2 4 3" xfId="5973" xr:uid="{2E4AA67B-69E6-462A-9E40-0C86E10FD82F}"/>
    <cellStyle name="Normal 2 4 4" xfId="6015" xr:uid="{EDA4EDE7-17A2-42A1-B5AB-4EF7EC967135}"/>
    <cellStyle name="Normal 2 4 5" xfId="6028" xr:uid="{E56CFC3E-0FC5-4E04-8778-C4E55E4970DF}"/>
    <cellStyle name="Normal 2 5" xfId="670" xr:uid="{00000000-0005-0000-0000-00009C030000}"/>
    <cellStyle name="Normal 2 6" xfId="738" xr:uid="{00000000-0005-0000-0000-00009D030000}"/>
    <cellStyle name="Normal 2 6 2" xfId="1408" xr:uid="{00000000-0005-0000-0000-00009E030000}"/>
    <cellStyle name="Normal 2 6 2 2" xfId="2855" xr:uid="{20BDCAF6-FF9C-4F28-B09D-C900AFDE86DD}"/>
    <cellStyle name="Normal 2 6 2 2 2" xfId="5710" xr:uid="{E9500762-7D9F-412D-9206-D18636FB7BB2}"/>
    <cellStyle name="Normal 2 6 2 3" xfId="4292" xr:uid="{F80A9EF1-7E0B-4F92-A3FE-6132F03E38FF}"/>
    <cellStyle name="Normal 2 6 3" xfId="2215" xr:uid="{D06C446C-732D-4624-997C-BEF70EBA14CF}"/>
    <cellStyle name="Normal 2 6 3 2" xfId="5071" xr:uid="{D8619C95-35C8-4479-8825-10867C4998E4}"/>
    <cellStyle name="Normal 2 6 4" xfId="3655" xr:uid="{C9497355-27C0-4A46-BE5F-7774374B8956}"/>
    <cellStyle name="Normal 2 7" xfId="5972" xr:uid="{479ADD05-0980-46C2-AC45-92C5FE410362}"/>
    <cellStyle name="Normal 20" xfId="69" xr:uid="{00000000-0005-0000-0000-00009F030000}"/>
    <cellStyle name="Normal 20 2" xfId="797" xr:uid="{00000000-0005-0000-0000-0000A0030000}"/>
    <cellStyle name="Normal 20 2 2" xfId="2248" xr:uid="{48CACF8E-43CF-42E6-AC73-30C6498E8615}"/>
    <cellStyle name="Normal 20 2 2 2" xfId="5104" xr:uid="{6B410435-1AF7-4536-B07D-58651809CEBF}"/>
    <cellStyle name="Normal 20 2 3" xfId="3686" xr:uid="{0E443E02-5DEA-40DB-A665-324718735BE9}"/>
    <cellStyle name="Normal 20 3" xfId="1600" xr:uid="{2675FB9E-4053-410F-A226-2B4501EE266F}"/>
    <cellStyle name="Normal 20 3 2" xfId="4460" xr:uid="{FEA1AC81-5E3C-496C-A244-AFC4BD99AF15}"/>
    <cellStyle name="Normal 20 4" xfId="3045" xr:uid="{BB0582AD-25C8-4B32-89B9-FFED7EA7F4B9}"/>
    <cellStyle name="Normal 21" xfId="70" xr:uid="{00000000-0005-0000-0000-0000A1030000}"/>
    <cellStyle name="Normal 22" xfId="72" xr:uid="{00000000-0005-0000-0000-0000A2030000}"/>
    <cellStyle name="Normal 22 2" xfId="798" xr:uid="{00000000-0005-0000-0000-0000A3030000}"/>
    <cellStyle name="Normal 22 2 2" xfId="2249" xr:uid="{B3DBE0FB-42D9-40FB-BC67-18E13CDA688C}"/>
    <cellStyle name="Normal 22 2 2 2" xfId="5105" xr:uid="{9A9D539D-4426-4503-AF10-DB4AC5CEC36E}"/>
    <cellStyle name="Normal 22 2 3" xfId="3687" xr:uid="{33F87356-2E65-4831-A8F5-7EED19F2653F}"/>
    <cellStyle name="Normal 22 3" xfId="1602" xr:uid="{4D1229FE-CBFD-42E8-8A27-0FE7D33AA7BA}"/>
    <cellStyle name="Normal 22 3 2" xfId="4462" xr:uid="{604ECCBE-C9C6-4F31-BF69-5206C8EE04E0}"/>
    <cellStyle name="Normal 22 4" xfId="3046" xr:uid="{60D158BF-975B-4131-80FF-4FA9825E2589}"/>
    <cellStyle name="Normal 23" xfId="74" xr:uid="{00000000-0005-0000-0000-0000A4030000}"/>
    <cellStyle name="Normal 23 2" xfId="800" xr:uid="{00000000-0005-0000-0000-0000A5030000}"/>
    <cellStyle name="Normal 23 2 2" xfId="2251" xr:uid="{69311C96-2A7C-41DD-8564-C100FD96308B}"/>
    <cellStyle name="Normal 23 2 2 2" xfId="5107" xr:uid="{B12F0AAC-0500-4CC2-972C-0DE58ECC2F9C}"/>
    <cellStyle name="Normal 23 2 3" xfId="3689" xr:uid="{68C72B4D-90A2-426D-9278-6EA1097BCFAC}"/>
    <cellStyle name="Normal 23 3" xfId="1604" xr:uid="{B0012890-E99D-457B-8166-F64E2678AE68}"/>
    <cellStyle name="Normal 23 3 2" xfId="4464" xr:uid="{1A30D47E-75BF-4C6D-BC52-05EDE209DCB5}"/>
    <cellStyle name="Normal 23 4" xfId="3048" xr:uid="{265ECE68-6E8F-497F-87B8-46F2724F9BDA}"/>
    <cellStyle name="Normal 24" xfId="75" xr:uid="{00000000-0005-0000-0000-0000A6030000}"/>
    <cellStyle name="Normal 24 2" xfId="801" xr:uid="{00000000-0005-0000-0000-0000A7030000}"/>
    <cellStyle name="Normal 24 2 2" xfId="2252" xr:uid="{A4C50345-211D-49B1-9BD1-153C1B43C970}"/>
    <cellStyle name="Normal 24 2 2 2" xfId="5108" xr:uid="{A7417A6D-0820-4FA7-9465-DA79905067C4}"/>
    <cellStyle name="Normal 24 2 3" xfId="3690" xr:uid="{2867CDDF-05C1-4A3D-B531-441C41511DAA}"/>
    <cellStyle name="Normal 24 3" xfId="1605" xr:uid="{C51AA271-A6DB-4D53-AC82-F26EB63E8EFB}"/>
    <cellStyle name="Normal 24 3 2" xfId="4465" xr:uid="{E1C67C14-FDA7-4BC6-AD79-0A634E876B13}"/>
    <cellStyle name="Normal 24 4" xfId="3049" xr:uid="{28F50D84-E265-4CAC-8483-4FAA3EAD5A6D}"/>
    <cellStyle name="Normal 25" xfId="85" xr:uid="{00000000-0005-0000-0000-0000A8030000}"/>
    <cellStyle name="Normal 25 2" xfId="811" xr:uid="{00000000-0005-0000-0000-0000A9030000}"/>
    <cellStyle name="Normal 25 2 2" xfId="2262" xr:uid="{706AD7BC-0793-40A3-8CE4-1AB605BB14A1}"/>
    <cellStyle name="Normal 25 2 2 2" xfId="5118" xr:uid="{AD8F981E-84A7-4C7A-AD76-07503E813BC4}"/>
    <cellStyle name="Normal 25 2 3" xfId="3700" xr:uid="{D0BACEC9-7BB9-491F-BBEA-F94AF1807B2E}"/>
    <cellStyle name="Normal 25 3" xfId="1615" xr:uid="{AA041D05-24FF-43C9-9FC0-86111753F40B}"/>
    <cellStyle name="Normal 25 3 2" xfId="4475" xr:uid="{A7F257F6-D7F3-432F-9B2E-05A4B024E87B}"/>
    <cellStyle name="Normal 25 4" xfId="3059" xr:uid="{53F091D7-4E22-4F03-BE97-0D287A4240C4}"/>
    <cellStyle name="Normal 26" xfId="87" xr:uid="{00000000-0005-0000-0000-0000AA030000}"/>
    <cellStyle name="Normal 26 2" xfId="813" xr:uid="{00000000-0005-0000-0000-0000AB030000}"/>
    <cellStyle name="Normal 26 2 2" xfId="2264" xr:uid="{1D4D21BA-7B44-49E1-BFB5-7010C57C0204}"/>
    <cellStyle name="Normal 26 2 2 2" xfId="5120" xr:uid="{02B42CC2-B9BF-4135-9A54-3AC3E063798F}"/>
    <cellStyle name="Normal 26 2 3" xfId="3702" xr:uid="{4139DF84-6691-42AA-8FC4-0098BA0C437F}"/>
    <cellStyle name="Normal 26 3" xfId="1617" xr:uid="{2E38E663-33C8-4CD5-8D85-5B4972A12360}"/>
    <cellStyle name="Normal 26 3 2" xfId="4477" xr:uid="{F6CADDCF-45DF-4DD0-8C90-732C2AEDD356}"/>
    <cellStyle name="Normal 26 4" xfId="3061" xr:uid="{8842181C-11EC-4698-8312-D826B2735D41}"/>
    <cellStyle name="Normal 27" xfId="89" xr:uid="{00000000-0005-0000-0000-0000AC030000}"/>
    <cellStyle name="Normal 27 2" xfId="815" xr:uid="{00000000-0005-0000-0000-0000AD030000}"/>
    <cellStyle name="Normal 28" xfId="91" xr:uid="{00000000-0005-0000-0000-0000AE030000}"/>
    <cellStyle name="Normal 28 2" xfId="817" xr:uid="{00000000-0005-0000-0000-0000AF030000}"/>
    <cellStyle name="Normal 28 2 2" xfId="2267" xr:uid="{867A359F-F5FB-44CC-A3E4-7D2642554562}"/>
    <cellStyle name="Normal 28 2 2 2" xfId="5123" xr:uid="{9B6210A9-0A52-48E9-A53C-CB18BDE8E92E}"/>
    <cellStyle name="Normal 28 2 3" xfId="3705" xr:uid="{9B7F28A8-5290-475E-8FD6-39093B343DBF}"/>
    <cellStyle name="Normal 28 3" xfId="1620" xr:uid="{72BB1DEB-B854-4F44-9C10-F7D5436ED332}"/>
    <cellStyle name="Normal 28 3 2" xfId="4480" xr:uid="{EEED489B-F38F-45EB-BB65-87E93CEC10D6}"/>
    <cellStyle name="Normal 28 4" xfId="3064" xr:uid="{BBCB2DF3-8FF8-4C3B-81B7-83A85CABD637}"/>
    <cellStyle name="Normal 29" xfId="92" xr:uid="{00000000-0005-0000-0000-0000B0030000}"/>
    <cellStyle name="Normal 29 2" xfId="818" xr:uid="{00000000-0005-0000-0000-0000B1030000}"/>
    <cellStyle name="Normal 29 2 2" xfId="2268" xr:uid="{7BE5EC99-AE45-4727-9C06-8E6FCD733E7E}"/>
    <cellStyle name="Normal 29 2 2 2" xfId="5124" xr:uid="{1EAC635E-3D5D-43BA-B9CF-F5A709EDECE0}"/>
    <cellStyle name="Normal 29 2 3" xfId="3706" xr:uid="{4CDDEF8C-A10F-418B-AE91-47984EB87E53}"/>
    <cellStyle name="Normal 29 3" xfId="1621" xr:uid="{05288107-C882-46EF-89AB-3DCFBFF3009B}"/>
    <cellStyle name="Normal 29 3 2" xfId="4481" xr:uid="{264D34E0-8472-463C-9F52-C4B3EA99DA5B}"/>
    <cellStyle name="Normal 29 4" xfId="3065" xr:uid="{A4F36CCE-6EE2-4D76-8102-6905DC2F9204}"/>
    <cellStyle name="Normal 3" xfId="18" xr:uid="{00000000-0005-0000-0000-0000B2030000}"/>
    <cellStyle name="Normal 3 10" xfId="111" xr:uid="{00000000-0005-0000-0000-0000B3030000}"/>
    <cellStyle name="Normal 3 10 2" xfId="837" xr:uid="{00000000-0005-0000-0000-0000B4030000}"/>
    <cellStyle name="Normal 3 10 2 2" xfId="2286" xr:uid="{9662C318-536D-4A96-BDFC-4EDB5A1CC3AE}"/>
    <cellStyle name="Normal 3 10 2 2 2" xfId="5142" xr:uid="{CF119DCA-1D81-4F57-B7C1-47C5060A1738}"/>
    <cellStyle name="Normal 3 10 2 3" xfId="3724" xr:uid="{E5885B0C-000D-4D31-9737-6E9A71F6E9F3}"/>
    <cellStyle name="Normal 3 10 3" xfId="1639" xr:uid="{361D68A6-A9F3-45B8-8277-FCC786039533}"/>
    <cellStyle name="Normal 3 10 3 2" xfId="4499" xr:uid="{0280A6F4-F5FF-4678-BF68-985FE1AD908D}"/>
    <cellStyle name="Normal 3 10 4" xfId="3083" xr:uid="{04E33AB9-4560-4ACD-8582-200D620CC747}"/>
    <cellStyle name="Normal 3 11" xfId="115" xr:uid="{00000000-0005-0000-0000-0000B5030000}"/>
    <cellStyle name="Normal 3 11 2" xfId="841" xr:uid="{00000000-0005-0000-0000-0000B6030000}"/>
    <cellStyle name="Normal 3 11 2 2" xfId="2290" xr:uid="{499DC23D-642A-4CF3-AECD-187178A031E5}"/>
    <cellStyle name="Normal 3 11 2 2 2" xfId="5146" xr:uid="{7B397E0E-2246-4C95-BE41-73C061C4978F}"/>
    <cellStyle name="Normal 3 11 2 3" xfId="3728" xr:uid="{8F52CF43-2DE8-4361-B3CC-6661BB71E1C0}"/>
    <cellStyle name="Normal 3 11 3" xfId="1643" xr:uid="{3E07677D-A332-485F-9D04-EE745A3CF058}"/>
    <cellStyle name="Normal 3 11 3 2" xfId="4503" xr:uid="{1BF50A29-2401-49A1-B2A1-1DC784542349}"/>
    <cellStyle name="Normal 3 11 4" xfId="3087" xr:uid="{7C0E2361-4756-45F2-8291-78B7CC6AD6ED}"/>
    <cellStyle name="Normal 3 12" xfId="122" xr:uid="{00000000-0005-0000-0000-0000B7030000}"/>
    <cellStyle name="Normal 3 12 2" xfId="848" xr:uid="{00000000-0005-0000-0000-0000B8030000}"/>
    <cellStyle name="Normal 3 12 2 2" xfId="2296" xr:uid="{C202A61A-2DF6-48AF-B16F-46E8536F2E33}"/>
    <cellStyle name="Normal 3 12 2 2 2" xfId="5152" xr:uid="{3B0DD706-88CD-47D2-B57C-1D2B067C2EDD}"/>
    <cellStyle name="Normal 3 12 2 3" xfId="3734" xr:uid="{53FC268C-772C-4E23-AB0E-869F4601372E}"/>
    <cellStyle name="Normal 3 12 3" xfId="1649" xr:uid="{FAE5D395-227A-4240-B7BF-30AF3F44B464}"/>
    <cellStyle name="Normal 3 12 3 2" xfId="4509" xr:uid="{862C12C9-7F24-4721-AEEA-3014E0EA72CF}"/>
    <cellStyle name="Normal 3 12 4" xfId="3093" xr:uid="{7D6013B2-89B7-44C3-A660-D821C79707BA}"/>
    <cellStyle name="Normal 3 13" xfId="130" xr:uid="{00000000-0005-0000-0000-0000B9030000}"/>
    <cellStyle name="Normal 3 13 2" xfId="855" xr:uid="{00000000-0005-0000-0000-0000BA030000}"/>
    <cellStyle name="Normal 3 13 2 2" xfId="2303" xr:uid="{33CA2157-7C0C-4EE5-BBEA-02F8F804EC9B}"/>
    <cellStyle name="Normal 3 13 2 2 2" xfId="5159" xr:uid="{91990998-85B7-43C8-B507-7FFA2ED5B9A7}"/>
    <cellStyle name="Normal 3 13 2 3" xfId="3741" xr:uid="{1E38F76E-C9D4-496C-AA0D-8C5FAFFB4788}"/>
    <cellStyle name="Normal 3 13 3" xfId="1656" xr:uid="{6DB72CC1-492C-49F4-AB68-8F12E6EAC28D}"/>
    <cellStyle name="Normal 3 13 3 2" xfId="4516" xr:uid="{5F833494-549B-4093-ABCC-F707A1A23BAE}"/>
    <cellStyle name="Normal 3 13 4" xfId="3100" xr:uid="{8B0A20BF-1387-4B63-9CC9-6CA52B601203}"/>
    <cellStyle name="Normal 3 14" xfId="140" xr:uid="{00000000-0005-0000-0000-0000BB030000}"/>
    <cellStyle name="Normal 3 14 2" xfId="865" xr:uid="{00000000-0005-0000-0000-0000BC030000}"/>
    <cellStyle name="Normal 3 14 2 2" xfId="2313" xr:uid="{5E7792DC-0CCE-425B-9A2D-A91DA0EB1025}"/>
    <cellStyle name="Normal 3 14 2 2 2" xfId="5169" xr:uid="{163B2D11-77E9-4340-8A98-D3731CD98C43}"/>
    <cellStyle name="Normal 3 14 2 3" xfId="3751" xr:uid="{76C9E864-42B6-4D63-A14D-8C8212A01C7E}"/>
    <cellStyle name="Normal 3 14 3" xfId="1666" xr:uid="{E818B345-A3CB-40C1-BEAF-B05C8555DB86}"/>
    <cellStyle name="Normal 3 14 3 2" xfId="4526" xr:uid="{1266BC63-4268-420B-AED5-5086F494DA9A}"/>
    <cellStyle name="Normal 3 14 4" xfId="3110" xr:uid="{78B2C40F-85D1-43D0-8E94-C7B5829A0901}"/>
    <cellStyle name="Normal 3 15" xfId="146" xr:uid="{00000000-0005-0000-0000-0000BD030000}"/>
    <cellStyle name="Normal 3 15 2" xfId="871" xr:uid="{00000000-0005-0000-0000-0000BE030000}"/>
    <cellStyle name="Normal 3 15 2 2" xfId="2319" xr:uid="{264B007B-82EB-4A32-878D-D30003AE96D7}"/>
    <cellStyle name="Normal 3 15 2 2 2" xfId="5175" xr:uid="{72982EDA-79EC-44C0-B414-5A397EE08874}"/>
    <cellStyle name="Normal 3 15 2 3" xfId="3757" xr:uid="{2388415D-07A9-4ECF-8E3A-D6CE4F034A3C}"/>
    <cellStyle name="Normal 3 15 3" xfId="1672" xr:uid="{FF56E344-AFE2-4469-8D12-4EDB2012C41A}"/>
    <cellStyle name="Normal 3 15 3 2" xfId="4532" xr:uid="{AC5978A3-ABC5-4E43-8F9D-7FACA3BFEACF}"/>
    <cellStyle name="Normal 3 15 4" xfId="3116" xr:uid="{18F2C8BE-3609-4498-B470-C20FCD908DD5}"/>
    <cellStyle name="Normal 3 16" xfId="155" xr:uid="{00000000-0005-0000-0000-0000BF030000}"/>
    <cellStyle name="Normal 3 16 2" xfId="878" xr:uid="{00000000-0005-0000-0000-0000C0030000}"/>
    <cellStyle name="Normal 3 16 2 2" xfId="2326" xr:uid="{44907F3E-CA33-4212-9AAE-3BD914302185}"/>
    <cellStyle name="Normal 3 16 2 2 2" xfId="5182" xr:uid="{6799F3CA-0785-478B-B64A-50F0D539D10A}"/>
    <cellStyle name="Normal 3 16 2 3" xfId="3764" xr:uid="{072D40C3-C231-4304-9E87-85F2F108E0A7}"/>
    <cellStyle name="Normal 3 16 3" xfId="1679" xr:uid="{4CB449E0-D1CB-46FA-B77C-7DE41929C7CC}"/>
    <cellStyle name="Normal 3 16 3 2" xfId="4539" xr:uid="{FF0DC008-7AE1-4979-A301-6190463C6557}"/>
    <cellStyle name="Normal 3 16 4" xfId="3123" xr:uid="{09F2930F-6680-4E2A-A753-A9D821EE0C24}"/>
    <cellStyle name="Normal 3 17" xfId="162" xr:uid="{00000000-0005-0000-0000-0000C1030000}"/>
    <cellStyle name="Normal 3 17 2" xfId="885" xr:uid="{00000000-0005-0000-0000-0000C2030000}"/>
    <cellStyle name="Normal 3 17 2 2" xfId="2333" xr:uid="{29851783-505F-4C4A-A4E1-54C553FFD444}"/>
    <cellStyle name="Normal 3 17 2 2 2" xfId="5189" xr:uid="{1E319AD9-2BC9-4D70-BA33-62E96D86E5FB}"/>
    <cellStyle name="Normal 3 17 2 3" xfId="3771" xr:uid="{F740C2A5-68C8-4FF8-8358-8AEEA80FC1DD}"/>
    <cellStyle name="Normal 3 17 3" xfId="1686" xr:uid="{058508E1-846D-4909-AB3E-18ED0BAD5F41}"/>
    <cellStyle name="Normal 3 17 3 2" xfId="4546" xr:uid="{2C6A3C10-35B9-4E99-8CE8-3F2E060E89F9}"/>
    <cellStyle name="Normal 3 17 4" xfId="3130" xr:uid="{ADC84ACF-693E-4CBD-AA27-4B9F05021418}"/>
    <cellStyle name="Normal 3 18" xfId="176" xr:uid="{00000000-0005-0000-0000-0000C3030000}"/>
    <cellStyle name="Normal 3 18 2" xfId="898" xr:uid="{00000000-0005-0000-0000-0000C4030000}"/>
    <cellStyle name="Normal 3 18 2 2" xfId="2346" xr:uid="{56F5E32C-EB1D-430B-A733-A09C2B903E55}"/>
    <cellStyle name="Normal 3 18 2 2 2" xfId="5202" xr:uid="{5846A6F7-5300-4808-9CED-604BC7F9EF18}"/>
    <cellStyle name="Normal 3 18 2 3" xfId="3784" xr:uid="{B75A10D3-270E-4A4A-8D37-C8DAE98C2329}"/>
    <cellStyle name="Normal 3 18 3" xfId="1699" xr:uid="{3D058649-7F08-4CE5-BB7A-BF23F3FA4307}"/>
    <cellStyle name="Normal 3 18 3 2" xfId="4559" xr:uid="{143A897E-2EBE-4F1B-8BCC-48C74536B537}"/>
    <cellStyle name="Normal 3 18 4" xfId="3143" xr:uid="{49CE8082-EC71-47DD-97ED-F6007ABFD28A}"/>
    <cellStyle name="Normal 3 19" xfId="189" xr:uid="{00000000-0005-0000-0000-0000C5030000}"/>
    <cellStyle name="Normal 3 19 2" xfId="911" xr:uid="{00000000-0005-0000-0000-0000C6030000}"/>
    <cellStyle name="Normal 3 19 2 2" xfId="2359" xr:uid="{88C98312-4BC5-4BAD-8999-45B2FEEAB17D}"/>
    <cellStyle name="Normal 3 19 2 2 2" xfId="5215" xr:uid="{F5119554-7C03-4C01-A914-BB4B945C4BAD}"/>
    <cellStyle name="Normal 3 19 2 3" xfId="3797" xr:uid="{7571FFD4-E0A5-4551-8A88-D595BA7A1257}"/>
    <cellStyle name="Normal 3 19 3" xfId="1712" xr:uid="{C9CEA72C-461E-4D0C-966B-E8FE0F90A7DA}"/>
    <cellStyle name="Normal 3 19 3 2" xfId="4572" xr:uid="{3C6786F7-8B08-4E70-B406-B85A977B133E}"/>
    <cellStyle name="Normal 3 19 4" xfId="3156" xr:uid="{24B39639-DBD9-475F-B144-EDE0052DEADE}"/>
    <cellStyle name="Normal 3 2" xfId="19" xr:uid="{00000000-0005-0000-0000-0000C7030000}"/>
    <cellStyle name="Normal 3 2 2 2" xfId="36" xr:uid="{00000000-0005-0000-0000-0000C8030000}"/>
    <cellStyle name="Normal 3 2 2 2 10" xfId="207" xr:uid="{00000000-0005-0000-0000-0000C9030000}"/>
    <cellStyle name="Normal 3 2 2 2 10 2" xfId="929" xr:uid="{00000000-0005-0000-0000-0000CA030000}"/>
    <cellStyle name="Normal 3 2 2 2 10 2 2" xfId="2377" xr:uid="{646D4E38-5788-4CDD-8962-12C47A4FE3CA}"/>
    <cellStyle name="Normal 3 2 2 2 10 2 2 2" xfId="5233" xr:uid="{CF8B6730-00C2-4D82-A44F-E7674067D904}"/>
    <cellStyle name="Normal 3 2 2 2 10 2 3" xfId="3815" xr:uid="{3B96B806-8D91-4F92-8937-D42FB6705B2D}"/>
    <cellStyle name="Normal 3 2 2 2 10 3" xfId="1730" xr:uid="{64662F2E-BAEF-4E69-8F79-EBA7F00C2EC4}"/>
    <cellStyle name="Normal 3 2 2 2 10 3 2" xfId="4590" xr:uid="{B81C3F77-8DA8-468D-A1D9-7CFC3F9E2087}"/>
    <cellStyle name="Normal 3 2 2 2 10 4" xfId="3174" xr:uid="{A07A20D1-1255-4FCA-B306-3F624B9B92A5}"/>
    <cellStyle name="Normal 3 2 2 2 11" xfId="210" xr:uid="{00000000-0005-0000-0000-0000CB030000}"/>
    <cellStyle name="Normal 3 2 2 2 11 2" xfId="932" xr:uid="{00000000-0005-0000-0000-0000CC030000}"/>
    <cellStyle name="Normal 3 2 2 2 11 2 2" xfId="2380" xr:uid="{88BC83CD-F912-407E-BA94-2B4A9440CB27}"/>
    <cellStyle name="Normal 3 2 2 2 11 2 2 2" xfId="5236" xr:uid="{52FFEDF4-975C-42FF-A1A3-64BD12E02F57}"/>
    <cellStyle name="Normal 3 2 2 2 11 2 3" xfId="3818" xr:uid="{C6BA0F3E-D681-414E-AAA0-27BF24D90077}"/>
    <cellStyle name="Normal 3 2 2 2 11 3" xfId="1733" xr:uid="{32487852-8D56-42A5-92FF-B9343DA95E3F}"/>
    <cellStyle name="Normal 3 2 2 2 11 3 2" xfId="4593" xr:uid="{D3C3D46E-387E-4688-B081-47FDA8334BF8}"/>
    <cellStyle name="Normal 3 2 2 2 11 4" xfId="3177" xr:uid="{021212A6-8EDC-4A0A-AFA9-71558DC52CD9}"/>
    <cellStyle name="Normal 3 2 2 2 12" xfId="215" xr:uid="{00000000-0005-0000-0000-0000CD030000}"/>
    <cellStyle name="Normal 3 2 2 2 12 2" xfId="937" xr:uid="{00000000-0005-0000-0000-0000CE030000}"/>
    <cellStyle name="Normal 3 2 2 2 12 2 2" xfId="2385" xr:uid="{4874B6EC-A427-4E44-9057-F60E13EF1459}"/>
    <cellStyle name="Normal 3 2 2 2 12 2 2 2" xfId="5241" xr:uid="{EF1FA28F-895E-4655-800A-10235F1E8F7E}"/>
    <cellStyle name="Normal 3 2 2 2 12 2 3" xfId="3823" xr:uid="{738A4CBF-C35C-4A81-8CF6-3CD0ABBE480D}"/>
    <cellStyle name="Normal 3 2 2 2 12 3" xfId="1738" xr:uid="{D2A8B50D-0975-49D5-8593-3C83221DBE32}"/>
    <cellStyle name="Normal 3 2 2 2 12 3 2" xfId="4598" xr:uid="{5E1F2B85-AFFB-41FF-9C4D-4F152DE96BF0}"/>
    <cellStyle name="Normal 3 2 2 2 12 4" xfId="3182" xr:uid="{AF7E2C7F-A794-44AD-AED6-F29B80C13E8F}"/>
    <cellStyle name="Normal 3 2 2 2 13" xfId="221" xr:uid="{00000000-0005-0000-0000-0000CF030000}"/>
    <cellStyle name="Normal 3 2 2 2 13 2" xfId="943" xr:uid="{00000000-0005-0000-0000-0000D0030000}"/>
    <cellStyle name="Normal 3 2 2 2 13 2 2" xfId="2391" xr:uid="{0AC3BFFB-DA9B-4AF9-BFD4-33C4381CB090}"/>
    <cellStyle name="Normal 3 2 2 2 13 2 2 2" xfId="5247" xr:uid="{5F7C0FAE-51E6-489A-9EB3-F6750A1A8F3B}"/>
    <cellStyle name="Normal 3 2 2 2 13 2 3" xfId="3829" xr:uid="{A911BC0F-E9C1-4B2F-95F2-806BB3F6394F}"/>
    <cellStyle name="Normal 3 2 2 2 13 3" xfId="1744" xr:uid="{779BCAD9-338B-445E-AAF2-875ABD0265DF}"/>
    <cellStyle name="Normal 3 2 2 2 13 3 2" xfId="4604" xr:uid="{2415C455-8DAD-4E5A-838F-9159E7125A66}"/>
    <cellStyle name="Normal 3 2 2 2 13 4" xfId="3188" xr:uid="{5458C38D-8D49-422D-8188-53E1C745F3F2}"/>
    <cellStyle name="Normal 3 2 2 2 14" xfId="225" xr:uid="{00000000-0005-0000-0000-0000D1030000}"/>
    <cellStyle name="Normal 3 2 2 2 14 2" xfId="947" xr:uid="{00000000-0005-0000-0000-0000D2030000}"/>
    <cellStyle name="Normal 3 2 2 2 14 2 2" xfId="2395" xr:uid="{10A2599A-84DF-4F34-AB41-96F4E46F8F12}"/>
    <cellStyle name="Normal 3 2 2 2 14 2 2 2" xfId="5251" xr:uid="{1CD28849-A3C8-4D14-8646-DEC879487E26}"/>
    <cellStyle name="Normal 3 2 2 2 14 2 3" xfId="3833" xr:uid="{6D654478-18CD-48CC-87DE-C7C4E6BB6C5B}"/>
    <cellStyle name="Normal 3 2 2 2 14 3" xfId="1748" xr:uid="{59AAC1FB-9DE2-40DE-9C00-6AFF6A42CFF1}"/>
    <cellStyle name="Normal 3 2 2 2 14 3 2" xfId="4608" xr:uid="{0F527E5C-BD47-4796-A5CD-9928E0273D0D}"/>
    <cellStyle name="Normal 3 2 2 2 14 4" xfId="3192" xr:uid="{DA807DFF-1B47-4C2C-8C2C-9C5AFCE83424}"/>
    <cellStyle name="Normal 3 2 2 2 15" xfId="232" xr:uid="{00000000-0005-0000-0000-0000D3030000}"/>
    <cellStyle name="Normal 3 2 2 2 15 2" xfId="954" xr:uid="{00000000-0005-0000-0000-0000D4030000}"/>
    <cellStyle name="Normal 3 2 2 2 15 2 2" xfId="2402" xr:uid="{71D12B7B-B858-4966-ACC6-E9802D5650FE}"/>
    <cellStyle name="Normal 3 2 2 2 15 2 2 2" xfId="5258" xr:uid="{E5745B5D-548C-4135-84AF-17B6CDC5773B}"/>
    <cellStyle name="Normal 3 2 2 2 15 2 3" xfId="3840" xr:uid="{396E35D8-C2DD-492D-956B-89C961F5F9B5}"/>
    <cellStyle name="Normal 3 2 2 2 15 3" xfId="1755" xr:uid="{774B6FD0-232D-4A7B-B17D-4F2E21C1903B}"/>
    <cellStyle name="Normal 3 2 2 2 15 3 2" xfId="4615" xr:uid="{3C4ED537-F81E-47FF-9C9A-52C1A2C05676}"/>
    <cellStyle name="Normal 3 2 2 2 15 4" xfId="3199" xr:uid="{16419FB6-0B9F-4716-9CC0-315C7D318EB5}"/>
    <cellStyle name="Normal 3 2 2 2 16" xfId="236" xr:uid="{00000000-0005-0000-0000-0000D5030000}"/>
    <cellStyle name="Normal 3 2 2 2 16 2" xfId="958" xr:uid="{00000000-0005-0000-0000-0000D6030000}"/>
    <cellStyle name="Normal 3 2 2 2 16 2 2" xfId="2406" xr:uid="{E90616AA-82C7-493F-8BB5-899B3962CB12}"/>
    <cellStyle name="Normal 3 2 2 2 16 2 2 2" xfId="5262" xr:uid="{D1C08AF9-E882-49FB-A3F4-F7D4DF32D801}"/>
    <cellStyle name="Normal 3 2 2 2 16 2 3" xfId="3844" xr:uid="{9087BEDF-1C7A-452D-8BB6-7446DACDB5CA}"/>
    <cellStyle name="Normal 3 2 2 2 16 3" xfId="1759" xr:uid="{9883111F-05EC-4135-85A0-F507478000A1}"/>
    <cellStyle name="Normal 3 2 2 2 16 3 2" xfId="4619" xr:uid="{EEA50A07-5D7B-447C-9860-82B9227996F0}"/>
    <cellStyle name="Normal 3 2 2 2 16 4" xfId="3203" xr:uid="{02E78896-2643-4B92-B1E0-6DEC3C7ED294}"/>
    <cellStyle name="Normal 3 2 2 2 17" xfId="239" xr:uid="{00000000-0005-0000-0000-0000D7030000}"/>
    <cellStyle name="Normal 3 2 2 2 17 2" xfId="961" xr:uid="{00000000-0005-0000-0000-0000D8030000}"/>
    <cellStyle name="Normal 3 2 2 2 17 2 2" xfId="2409" xr:uid="{78130253-A7E2-4B89-9FA9-B09DD750F84A}"/>
    <cellStyle name="Normal 3 2 2 2 17 2 2 2" xfId="5265" xr:uid="{6B1EAB7A-7386-4763-98D0-CCAF625C66B7}"/>
    <cellStyle name="Normal 3 2 2 2 17 2 3" xfId="3847" xr:uid="{005D6916-0942-4D3D-BC5D-44ABFA1D2310}"/>
    <cellStyle name="Normal 3 2 2 2 17 3" xfId="1762" xr:uid="{E6C9B877-8AEB-4FFF-8240-4205C66D3CFA}"/>
    <cellStyle name="Normal 3 2 2 2 17 3 2" xfId="4622" xr:uid="{D7FFA509-C71D-44CF-AA11-D6EDA44F0EE8}"/>
    <cellStyle name="Normal 3 2 2 2 17 4" xfId="3206" xr:uid="{49695691-045F-45F8-815D-B2FF2AD4ADF4}"/>
    <cellStyle name="Normal 3 2 2 2 18" xfId="245" xr:uid="{00000000-0005-0000-0000-0000D9030000}"/>
    <cellStyle name="Normal 3 2 2 2 18 2" xfId="967" xr:uid="{00000000-0005-0000-0000-0000DA030000}"/>
    <cellStyle name="Normal 3 2 2 2 18 2 2" xfId="2415" xr:uid="{BCFC4C8C-222B-4D21-83B4-0ECD6D3BBA7D}"/>
    <cellStyle name="Normal 3 2 2 2 18 2 2 2" xfId="5271" xr:uid="{B67929B3-0CE4-487A-83BF-B1BAA8E73B6A}"/>
    <cellStyle name="Normal 3 2 2 2 18 2 3" xfId="3853" xr:uid="{D590010F-A5EA-430E-9A60-334EDC8708F5}"/>
    <cellStyle name="Normal 3 2 2 2 18 3" xfId="1768" xr:uid="{C6C84444-0BBA-43EA-809F-7372FD71E1FA}"/>
    <cellStyle name="Normal 3 2 2 2 18 3 2" xfId="4628" xr:uid="{CD199192-EA20-4197-828E-3E296FDCA87A}"/>
    <cellStyle name="Normal 3 2 2 2 18 4" xfId="3212" xr:uid="{977B902A-65C8-4B85-9BFE-994EDA743DA5}"/>
    <cellStyle name="Normal 3 2 2 2 19" xfId="249" xr:uid="{00000000-0005-0000-0000-0000DB030000}"/>
    <cellStyle name="Normal 3 2 2 2 19 2" xfId="971" xr:uid="{00000000-0005-0000-0000-0000DC030000}"/>
    <cellStyle name="Normal 3 2 2 2 19 2 2" xfId="2419" xr:uid="{A7B06EAA-E145-40C5-995D-308AC81CA51B}"/>
    <cellStyle name="Normal 3 2 2 2 19 2 2 2" xfId="5275" xr:uid="{56596CBF-75FA-4FD4-A7BA-58D4D574779E}"/>
    <cellStyle name="Normal 3 2 2 2 19 2 3" xfId="3857" xr:uid="{B0F86C31-6561-4942-B780-751B00F83510}"/>
    <cellStyle name="Normal 3 2 2 2 19 3" xfId="1772" xr:uid="{CD259FCC-3095-4488-9EA4-C752DB21D9D7}"/>
    <cellStyle name="Normal 3 2 2 2 19 3 2" xfId="4632" xr:uid="{3B1C5FBA-536D-4D39-89A9-D9C2A54EBF54}"/>
    <cellStyle name="Normal 3 2 2 2 19 4" xfId="3216" xr:uid="{724BEF78-CB78-4F4D-B617-DA924A584DF0}"/>
    <cellStyle name="Normal 3 2 2 2 2" xfId="167" xr:uid="{00000000-0005-0000-0000-0000DD030000}"/>
    <cellStyle name="Normal 3 2 2 2 2 2" xfId="889" xr:uid="{00000000-0005-0000-0000-0000DE030000}"/>
    <cellStyle name="Normal 3 2 2 2 2 2 2" xfId="2337" xr:uid="{BF554220-C447-40DB-9DE3-93A6BE877DAD}"/>
    <cellStyle name="Normal 3 2 2 2 2 2 2 2" xfId="5193" xr:uid="{30DD682A-AA94-4904-9498-126592C8B705}"/>
    <cellStyle name="Normal 3 2 2 2 2 2 3" xfId="3775" xr:uid="{36FB8102-F975-42BC-A8DA-1368AF292D31}"/>
    <cellStyle name="Normal 3 2 2 2 2 3" xfId="1690" xr:uid="{35E830DD-E662-43FD-B70F-DEFB47A09DD6}"/>
    <cellStyle name="Normal 3 2 2 2 2 3 2" xfId="4550" xr:uid="{60F10BE5-C58B-4B44-B4AD-3E676EBFD501}"/>
    <cellStyle name="Normal 3 2 2 2 2 4" xfId="3134" xr:uid="{5F3373D1-E553-4A0A-A505-EE863D34C9F1}"/>
    <cellStyle name="Normal 3 2 2 2 20" xfId="257" xr:uid="{00000000-0005-0000-0000-0000DF030000}"/>
    <cellStyle name="Normal 3 2 2 2 20 2" xfId="979" xr:uid="{00000000-0005-0000-0000-0000E0030000}"/>
    <cellStyle name="Normal 3 2 2 2 20 2 2" xfId="2427" xr:uid="{264248D2-E95F-4975-ABED-8C59FD352B58}"/>
    <cellStyle name="Normal 3 2 2 2 20 2 2 2" xfId="5283" xr:uid="{452D05CC-392A-4415-AC82-63A3CC844514}"/>
    <cellStyle name="Normal 3 2 2 2 20 2 3" xfId="3865" xr:uid="{2BAFE9E5-1492-4191-8286-293D9684B285}"/>
    <cellStyle name="Normal 3 2 2 2 20 3" xfId="1780" xr:uid="{B711725C-CBE5-4363-9635-D6B25AA66457}"/>
    <cellStyle name="Normal 3 2 2 2 20 3 2" xfId="4640" xr:uid="{305B8AB7-F59D-420B-B8D0-347E5AB8D426}"/>
    <cellStyle name="Normal 3 2 2 2 20 4" xfId="3224" xr:uid="{37BAC0F7-ED18-4657-86AB-CDF421A90646}"/>
    <cellStyle name="Normal 3 2 2 2 21" xfId="261" xr:uid="{00000000-0005-0000-0000-0000E1030000}"/>
    <cellStyle name="Normal 3 2 2 2 21 2" xfId="983" xr:uid="{00000000-0005-0000-0000-0000E2030000}"/>
    <cellStyle name="Normal 3 2 2 2 21 2 2" xfId="2431" xr:uid="{5485F495-5D2D-4801-8AA9-90BD1303B286}"/>
    <cellStyle name="Normal 3 2 2 2 21 2 2 2" xfId="5287" xr:uid="{BB4BB4D4-0F68-47EB-A3B1-EF9176624077}"/>
    <cellStyle name="Normal 3 2 2 2 21 2 3" xfId="3869" xr:uid="{C0C828F8-98B5-48F4-99A3-F012815AD16E}"/>
    <cellStyle name="Normal 3 2 2 2 21 3" xfId="1784" xr:uid="{29E17320-E506-4ABA-AAC9-8587B2C993D6}"/>
    <cellStyle name="Normal 3 2 2 2 21 3 2" xfId="4644" xr:uid="{3FF10DDE-AD6C-4166-BDB4-A9CB693AEE54}"/>
    <cellStyle name="Normal 3 2 2 2 21 4" xfId="3228" xr:uid="{F87DBD77-7D6E-419B-AEAB-7B0B087C8986}"/>
    <cellStyle name="Normal 3 2 2 2 22" xfId="267" xr:uid="{00000000-0005-0000-0000-0000E3030000}"/>
    <cellStyle name="Normal 3 2 2 2 22 2" xfId="989" xr:uid="{00000000-0005-0000-0000-0000E4030000}"/>
    <cellStyle name="Normal 3 2 2 2 22 2 2" xfId="2437" xr:uid="{C6373BDF-E8EB-4609-830E-6352FA23A0BD}"/>
    <cellStyle name="Normal 3 2 2 2 22 2 2 2" xfId="5293" xr:uid="{73257B0C-454A-4C13-8010-B5910D73DED2}"/>
    <cellStyle name="Normal 3 2 2 2 22 2 3" xfId="3875" xr:uid="{9CAEDFCB-5F04-4787-A9BB-9825468630D9}"/>
    <cellStyle name="Normal 3 2 2 2 22 3" xfId="1790" xr:uid="{49981C5C-37C9-4DC9-BF66-52CF8415C68A}"/>
    <cellStyle name="Normal 3 2 2 2 22 3 2" xfId="4650" xr:uid="{D4DF9E32-083F-4B2A-A9CC-7A10E499E2D0}"/>
    <cellStyle name="Normal 3 2 2 2 22 4" xfId="3234" xr:uid="{C6596A03-DF13-49F1-B940-5D549D2495B6}"/>
    <cellStyle name="Normal 3 2 2 2 23" xfId="272" xr:uid="{00000000-0005-0000-0000-0000E5030000}"/>
    <cellStyle name="Normal 3 2 2 2 23 2" xfId="994" xr:uid="{00000000-0005-0000-0000-0000E6030000}"/>
    <cellStyle name="Normal 3 2 2 2 23 2 2" xfId="2442" xr:uid="{99F0306E-113E-4CD9-ABBE-AD50CAEF8FAC}"/>
    <cellStyle name="Normal 3 2 2 2 23 2 2 2" xfId="5298" xr:uid="{E834C8ED-5EE6-4D1E-BEBA-9430A9FD06A9}"/>
    <cellStyle name="Normal 3 2 2 2 23 2 3" xfId="3880" xr:uid="{9930DE15-5E10-4B74-BDBF-3B768D6480E7}"/>
    <cellStyle name="Normal 3 2 2 2 23 3" xfId="1795" xr:uid="{EBEE974F-1C51-42B3-9143-71515C96A243}"/>
    <cellStyle name="Normal 3 2 2 2 23 3 2" xfId="4655" xr:uid="{1DA6E825-70D4-44D1-9BB5-52C83D7BAE1C}"/>
    <cellStyle name="Normal 3 2 2 2 23 4" xfId="3239" xr:uid="{0242E3B3-CFCF-48A3-A902-39B7F939E2A8}"/>
    <cellStyle name="Normal 3 2 2 2 24" xfId="275" xr:uid="{00000000-0005-0000-0000-0000E7030000}"/>
    <cellStyle name="Normal 3 2 2 2 24 2" xfId="997" xr:uid="{00000000-0005-0000-0000-0000E8030000}"/>
    <cellStyle name="Normal 3 2 2 2 24 2 2" xfId="2445" xr:uid="{6C3CA8CC-C7CB-4A09-B6C9-716B8CD9A929}"/>
    <cellStyle name="Normal 3 2 2 2 24 2 2 2" xfId="5301" xr:uid="{D029855A-60DA-4939-B162-5B4B4447E008}"/>
    <cellStyle name="Normal 3 2 2 2 24 2 3" xfId="3883" xr:uid="{4537B80C-0A4A-4316-AFD5-C74D541D9A14}"/>
    <cellStyle name="Normal 3 2 2 2 24 3" xfId="1798" xr:uid="{04DF1F03-945D-42EC-B275-347ADEC50CDE}"/>
    <cellStyle name="Normal 3 2 2 2 24 3 2" xfId="4658" xr:uid="{7AFD0CFD-4C61-41FE-B6C1-793E9AA26342}"/>
    <cellStyle name="Normal 3 2 2 2 24 4" xfId="3242" xr:uid="{356E966C-C07C-49E2-B903-04F1E85B9542}"/>
    <cellStyle name="Normal 3 2 2 2 25" xfId="283" xr:uid="{00000000-0005-0000-0000-0000E9030000}"/>
    <cellStyle name="Normal 3 2 2 2 25 2" xfId="633" xr:uid="{00000000-0005-0000-0000-0000EA030000}"/>
    <cellStyle name="Normal 3 2 2 2 25 2 2" xfId="1347" xr:uid="{00000000-0005-0000-0000-0000EB030000}"/>
    <cellStyle name="Normal 3 2 2 2 25 2 2 2" xfId="2795" xr:uid="{57B40481-91F1-4821-AA92-24C304FF23AB}"/>
    <cellStyle name="Normal 3 2 2 2 25 2 2 2 2" xfId="5651" xr:uid="{42001FB7-F825-4A09-80B8-08E571E4F3A1}"/>
    <cellStyle name="Normal 3 2 2 2 25 2 2 3" xfId="4233" xr:uid="{2721EFDA-1E21-4A83-AA53-AFCF7C9CF31F}"/>
    <cellStyle name="Normal 3 2 2 2 25 2 3" xfId="2151" xr:uid="{67F90CF6-1307-4DB4-99D2-CEBB36995FE0}"/>
    <cellStyle name="Normal 3 2 2 2 25 2 3 2" xfId="5011" xr:uid="{B9713547-2FDE-427D-A161-F2435C6C0229}"/>
    <cellStyle name="Normal 3 2 2 2 25 2 4" xfId="3595" xr:uid="{E86524F3-D787-49D3-8850-7B0BA9B72321}"/>
    <cellStyle name="Normal 3 2 2 2 25 3" xfId="693" xr:uid="{00000000-0005-0000-0000-0000EC030000}"/>
    <cellStyle name="Normal 3 2 2 2 25 3 2" xfId="1380" xr:uid="{00000000-0005-0000-0000-0000ED030000}"/>
    <cellStyle name="Normal 3 2 2 2 25 3 2 2" xfId="2827" xr:uid="{C82E224C-6051-40FF-B43E-5864E3974F8E}"/>
    <cellStyle name="Normal 3 2 2 2 25 3 2 2 2" xfId="5682" xr:uid="{C1FD6F33-9F9B-4215-AF3D-E5DFE96BA40E}"/>
    <cellStyle name="Normal 3 2 2 2 25 3 2 3" xfId="4264" xr:uid="{A1E621F2-BF4B-4E1D-BE28-F6F373F88C47}"/>
    <cellStyle name="Normal 3 2 2 2 25 3 3" xfId="2184" xr:uid="{81C41F37-9235-4B70-9480-CDB161B153CE}"/>
    <cellStyle name="Normal 3 2 2 2 25 3 3 2" xfId="5043" xr:uid="{48F30A3F-6C5B-4E5F-B6E4-973924341398}"/>
    <cellStyle name="Normal 3 2 2 2 25 3 4" xfId="3627" xr:uid="{69369536-BACF-4967-9DDF-D789CB2DDF5F}"/>
    <cellStyle name="Normal 3 2 2 2 25 4" xfId="1005" xr:uid="{00000000-0005-0000-0000-0000EE030000}"/>
    <cellStyle name="Normal 3 2 2 2 25 4 2" xfId="2453" xr:uid="{EB6DF74B-BCD7-45C2-9C04-E791F43D8FD4}"/>
    <cellStyle name="Normal 3 2 2 2 25 4 2 2" xfId="5309" xr:uid="{40AEED34-BFB5-46B8-8FA0-B1CA9B5D6B69}"/>
    <cellStyle name="Normal 3 2 2 2 25 4 3" xfId="3891" xr:uid="{21500026-4DDE-45DB-96A8-83417DD32BDA}"/>
    <cellStyle name="Normal 3 2 2 2 25 5" xfId="1806" xr:uid="{6D4A3F07-989C-4343-8815-7C24547BDD07}"/>
    <cellStyle name="Normal 3 2 2 2 25 5 2" xfId="4666" xr:uid="{6DD69E8C-FE66-4E6F-8178-549A529DECE3}"/>
    <cellStyle name="Normal 3 2 2 2 25 6" xfId="3250" xr:uid="{10E49B14-2AF1-482E-805F-93815C52DA95}"/>
    <cellStyle name="Normal 3 2 2 2 25 7" xfId="6022" xr:uid="{1614AB22-ABDC-42BA-8E47-5F7D3AD4A720}"/>
    <cellStyle name="Normal 3 2 2 2 26" xfId="285" xr:uid="{00000000-0005-0000-0000-0000EF030000}"/>
    <cellStyle name="Normal 3 2 2 2 26 2" xfId="1007" xr:uid="{00000000-0005-0000-0000-0000F0030000}"/>
    <cellStyle name="Normal 3 2 2 2 26 2 2" xfId="2455" xr:uid="{29403748-9F80-4357-B0DE-EDA2F5714F92}"/>
    <cellStyle name="Normal 3 2 2 2 26 2 2 2" xfId="5311" xr:uid="{8D91F699-1D99-480E-944A-F17D8C57612D}"/>
    <cellStyle name="Normal 3 2 2 2 26 2 3" xfId="3893" xr:uid="{E0741921-7F79-412D-854B-84EE505D5076}"/>
    <cellStyle name="Normal 3 2 2 2 26 3" xfId="1808" xr:uid="{461A2DD3-820B-4956-891A-3B90FC7E8894}"/>
    <cellStyle name="Normal 3 2 2 2 26 3 2" xfId="4668" xr:uid="{2469C21B-333B-427C-87CF-3652AACDD713}"/>
    <cellStyle name="Normal 3 2 2 2 26 4" xfId="3252" xr:uid="{E75DD09D-60AF-406B-AFF7-0F10F3E95BD1}"/>
    <cellStyle name="Normal 3 2 2 2 27" xfId="290" xr:uid="{00000000-0005-0000-0000-0000F1030000}"/>
    <cellStyle name="Normal 3 2 2 2 27 2" xfId="1012" xr:uid="{00000000-0005-0000-0000-0000F2030000}"/>
    <cellStyle name="Normal 3 2 2 2 27 2 2" xfId="2460" xr:uid="{1BF497C5-CF23-456E-BE23-A6421FFCCF21}"/>
    <cellStyle name="Normal 3 2 2 2 27 2 2 2" xfId="5316" xr:uid="{14A960B8-0723-4F66-AEB1-24098B1958AC}"/>
    <cellStyle name="Normal 3 2 2 2 27 2 3" xfId="3898" xr:uid="{A542B71D-6B60-40F7-8002-DEA533199B5A}"/>
    <cellStyle name="Normal 3 2 2 2 27 3" xfId="1813" xr:uid="{50CB4508-52C4-45C9-ACA8-2E5DDF74EF5C}"/>
    <cellStyle name="Normal 3 2 2 2 27 3 2" xfId="4673" xr:uid="{D585678D-E56E-45E1-BD2E-A50DDFA17CD4}"/>
    <cellStyle name="Normal 3 2 2 2 27 4" xfId="3257" xr:uid="{397B1308-AB66-4C13-B86A-8318C76C5FDD}"/>
    <cellStyle name="Normal 3 2 2 2 28" xfId="299" xr:uid="{00000000-0005-0000-0000-0000F3030000}"/>
    <cellStyle name="Normal 3 2 2 2 28 2" xfId="1020" xr:uid="{00000000-0005-0000-0000-0000F4030000}"/>
    <cellStyle name="Normal 3 2 2 2 28 2 2" xfId="2468" xr:uid="{3AFC4247-F8E1-4928-AD23-7ED59D574840}"/>
    <cellStyle name="Normal 3 2 2 2 28 2 2 2" xfId="5324" xr:uid="{156495EA-61C1-425C-B24C-CC30AF79A15F}"/>
    <cellStyle name="Normal 3 2 2 2 28 2 3" xfId="3906" xr:uid="{6F3BA813-C6D2-4E08-B63D-8C83A64EDBBB}"/>
    <cellStyle name="Normal 3 2 2 2 28 3" xfId="1822" xr:uid="{DF6F72F9-0751-4D13-8E72-0BD5BFB67F4E}"/>
    <cellStyle name="Normal 3 2 2 2 28 3 2" xfId="4682" xr:uid="{8A1B559F-3066-4F6C-830E-BBC23F548A08}"/>
    <cellStyle name="Normal 3 2 2 2 28 4" xfId="3266" xr:uid="{099FA653-59F3-466C-9CD8-D3E09562774A}"/>
    <cellStyle name="Normal 3 2 2 2 29" xfId="302" xr:uid="{00000000-0005-0000-0000-0000F5030000}"/>
    <cellStyle name="Normal 3 2 2 2 29 2" xfId="1023" xr:uid="{00000000-0005-0000-0000-0000F6030000}"/>
    <cellStyle name="Normal 3 2 2 2 29 2 2" xfId="2471" xr:uid="{34AD19E3-312A-4D8F-992E-CE21EE2AFC11}"/>
    <cellStyle name="Normal 3 2 2 2 29 2 2 2" xfId="5327" xr:uid="{5E17D5AC-DD15-4DF5-B9B9-48AE12B0C3D1}"/>
    <cellStyle name="Normal 3 2 2 2 29 2 3" xfId="3909" xr:uid="{D8E97C14-75C8-4B82-8EB5-0AC72D2BC332}"/>
    <cellStyle name="Normal 3 2 2 2 29 3" xfId="1825" xr:uid="{95E1EAD6-FB44-45CD-95C8-E474644F1066}"/>
    <cellStyle name="Normal 3 2 2 2 29 3 2" xfId="4685" xr:uid="{0F3C70B6-46A1-4D1F-98B4-5807DEEE75FF}"/>
    <cellStyle name="Normal 3 2 2 2 29 4" xfId="3269" xr:uid="{009B498E-A797-4B58-B513-3D2A22088EF3}"/>
    <cellStyle name="Normal 3 2 2 2 3" xfId="169" xr:uid="{00000000-0005-0000-0000-0000F7030000}"/>
    <cellStyle name="Normal 3 2 2 2 3 2" xfId="891" xr:uid="{00000000-0005-0000-0000-0000F8030000}"/>
    <cellStyle name="Normal 3 2 2 2 3 2 2" xfId="2339" xr:uid="{D3CE1E69-E47B-44CD-B929-B84AD3099F92}"/>
    <cellStyle name="Normal 3 2 2 2 3 2 2 2" xfId="5195" xr:uid="{B296540B-48D0-426E-9FB9-F7D5C0D44ACC}"/>
    <cellStyle name="Normal 3 2 2 2 3 2 3" xfId="3777" xr:uid="{5CD8B0C8-FD26-4007-AAF7-E75F473F3366}"/>
    <cellStyle name="Normal 3 2 2 2 3 3" xfId="1692" xr:uid="{2B4BA25F-8418-4478-A86B-E32FC838978B}"/>
    <cellStyle name="Normal 3 2 2 2 3 3 2" xfId="4552" xr:uid="{39916175-9972-40CF-8507-DD2D02CEB0C0}"/>
    <cellStyle name="Normal 3 2 2 2 3 4" xfId="3136" xr:uid="{FAB3C097-CACB-4F51-A338-380976C5D91A}"/>
    <cellStyle name="Normal 3 2 2 2 30" xfId="309" xr:uid="{00000000-0005-0000-0000-0000F9030000}"/>
    <cellStyle name="Normal 3 2 2 2 30 2" xfId="1030" xr:uid="{00000000-0005-0000-0000-0000FA030000}"/>
    <cellStyle name="Normal 3 2 2 2 30 2 2" xfId="2478" xr:uid="{3B82E5B4-5E4F-4505-AE26-E50A69F51652}"/>
    <cellStyle name="Normal 3 2 2 2 30 2 2 2" xfId="5334" xr:uid="{50E06E35-2B3E-4CF9-B0AC-95721F959571}"/>
    <cellStyle name="Normal 3 2 2 2 30 2 3" xfId="3916" xr:uid="{6EDD0FFC-3B08-4C93-85BB-C389ED2BDF20}"/>
    <cellStyle name="Normal 3 2 2 2 30 3" xfId="1832" xr:uid="{857827E9-4B91-49F4-AD63-39664E941E6F}"/>
    <cellStyle name="Normal 3 2 2 2 30 3 2" xfId="4692" xr:uid="{AC06E1E6-ACF8-4E51-B995-D2A639364543}"/>
    <cellStyle name="Normal 3 2 2 2 30 4" xfId="3276" xr:uid="{D0261687-228F-441F-9433-BC2D5AF01247}"/>
    <cellStyle name="Normal 3 2 2 2 31" xfId="315" xr:uid="{00000000-0005-0000-0000-0000FB030000}"/>
    <cellStyle name="Normal 3 2 2 2 31 2" xfId="1036" xr:uid="{00000000-0005-0000-0000-0000FC030000}"/>
    <cellStyle name="Normal 3 2 2 2 31 2 2" xfId="2484" xr:uid="{B7AAC228-115C-45D3-8886-65066FF25E72}"/>
    <cellStyle name="Normal 3 2 2 2 31 2 2 2" xfId="5340" xr:uid="{C8022727-0BB0-45F2-B766-DDE716FEECBB}"/>
    <cellStyle name="Normal 3 2 2 2 31 2 3" xfId="3922" xr:uid="{605584C8-DECC-4964-AAA5-522CE7A8CB0C}"/>
    <cellStyle name="Normal 3 2 2 2 31 3" xfId="1838" xr:uid="{DF848250-8B5C-43C3-9D95-42E940082D1E}"/>
    <cellStyle name="Normal 3 2 2 2 31 3 2" xfId="4698" xr:uid="{8BD67B7D-C304-40EF-A05A-13551A50D804}"/>
    <cellStyle name="Normal 3 2 2 2 31 4" xfId="3282" xr:uid="{91A07B3C-CB75-4E69-9D4F-9F2C0D9613DF}"/>
    <cellStyle name="Normal 3 2 2 2 32" xfId="324" xr:uid="{00000000-0005-0000-0000-0000FD030000}"/>
    <cellStyle name="Normal 3 2 2 2 32 2" xfId="1045" xr:uid="{00000000-0005-0000-0000-0000FE030000}"/>
    <cellStyle name="Normal 3 2 2 2 32 2 2" xfId="2493" xr:uid="{164B580B-F89E-4D64-947B-A7980F7CAE47}"/>
    <cellStyle name="Normal 3 2 2 2 32 2 2 2" xfId="5349" xr:uid="{5C6D2193-55BD-44FE-9713-BEDC2EDE9472}"/>
    <cellStyle name="Normal 3 2 2 2 32 2 3" xfId="3931" xr:uid="{C870810A-CAB8-475C-90C4-D3F3D467F4D0}"/>
    <cellStyle name="Normal 3 2 2 2 32 3" xfId="1847" xr:uid="{FB45371D-AF2E-4DC8-8CA1-566BA325DA46}"/>
    <cellStyle name="Normal 3 2 2 2 32 3 2" xfId="4707" xr:uid="{50CB5D5C-5870-4169-B638-154E427A2F92}"/>
    <cellStyle name="Normal 3 2 2 2 32 4" xfId="3291" xr:uid="{3226436F-4018-4FAC-95CF-D317F04B1E91}"/>
    <cellStyle name="Normal 3 2 2 2 33" xfId="326" xr:uid="{00000000-0005-0000-0000-0000FF030000}"/>
    <cellStyle name="Normal 3 2 2 2 33 2" xfId="1047" xr:uid="{00000000-0005-0000-0000-000000040000}"/>
    <cellStyle name="Normal 3 2 2 2 33 2 2" xfId="2495" xr:uid="{AF8C34B8-2E9D-42A7-AF85-05DDCCB418EF}"/>
    <cellStyle name="Normal 3 2 2 2 33 2 2 2" xfId="5351" xr:uid="{159973E5-5776-4EDF-A869-B121150AD97C}"/>
    <cellStyle name="Normal 3 2 2 2 33 2 3" xfId="3933" xr:uid="{F8F57346-5BC4-4C1A-BCD3-5F721C8877C6}"/>
    <cellStyle name="Normal 3 2 2 2 33 3" xfId="1849" xr:uid="{D1EE264F-9004-4A86-937F-CDAC84210964}"/>
    <cellStyle name="Normal 3 2 2 2 33 3 2" xfId="4709" xr:uid="{65E978C3-3216-4627-AF56-FE96D168B2C5}"/>
    <cellStyle name="Normal 3 2 2 2 33 4" xfId="3293" xr:uid="{F5DC1AE6-B9EE-4BBE-831E-3BEA53B84746}"/>
    <cellStyle name="Normal 3 2 2 2 34" xfId="329" xr:uid="{00000000-0005-0000-0000-000001040000}"/>
    <cellStyle name="Normal 3 2 2 2 34 2" xfId="1050" xr:uid="{00000000-0005-0000-0000-000002040000}"/>
    <cellStyle name="Normal 3 2 2 2 34 2 2" xfId="2498" xr:uid="{D6CC136A-448F-4163-8AC4-C97A58E833A5}"/>
    <cellStyle name="Normal 3 2 2 2 34 2 2 2" xfId="5354" xr:uid="{3010DC03-6450-445D-ACC0-1988DE1C82C2}"/>
    <cellStyle name="Normal 3 2 2 2 34 2 3" xfId="3936" xr:uid="{1A98C11F-0676-4AE1-8588-080C29534C8D}"/>
    <cellStyle name="Normal 3 2 2 2 34 3" xfId="1852" xr:uid="{7EA26B4C-6D6D-4EA0-AAAA-6DDBD2286647}"/>
    <cellStyle name="Normal 3 2 2 2 34 3 2" xfId="4712" xr:uid="{69292526-6597-4DD4-9142-515A80EAE534}"/>
    <cellStyle name="Normal 3 2 2 2 34 4" xfId="3296" xr:uid="{E038F27D-C996-485B-BE0A-9D7316A8778E}"/>
    <cellStyle name="Normal 3 2 2 2 35" xfId="333" xr:uid="{00000000-0005-0000-0000-000003040000}"/>
    <cellStyle name="Normal 3 2 2 2 35 2" xfId="1054" xr:uid="{00000000-0005-0000-0000-000004040000}"/>
    <cellStyle name="Normal 3 2 2 2 35 2 2" xfId="2502" xr:uid="{3D366F88-C7E2-4637-BC26-FB8FD8CEDD1A}"/>
    <cellStyle name="Normal 3 2 2 2 35 2 2 2" xfId="5358" xr:uid="{7861EE38-027A-4637-A09D-910106B59BE6}"/>
    <cellStyle name="Normal 3 2 2 2 35 2 3" xfId="3940" xr:uid="{D28084EF-DAAC-4487-A989-F67FB484EEAF}"/>
    <cellStyle name="Normal 3 2 2 2 35 3" xfId="1856" xr:uid="{5F97FE4A-6B82-4F91-9322-683BF7F860F7}"/>
    <cellStyle name="Normal 3 2 2 2 35 3 2" xfId="4716" xr:uid="{BF40CC60-F08D-4266-91F2-9A13BE6F3666}"/>
    <cellStyle name="Normal 3 2 2 2 35 4" xfId="3300" xr:uid="{44560DCD-5044-4866-8BA0-66A9CADD569A}"/>
    <cellStyle name="Normal 3 2 2 2 36" xfId="341" xr:uid="{00000000-0005-0000-0000-000005040000}"/>
    <cellStyle name="Normal 3 2 2 2 36 2" xfId="1062" xr:uid="{00000000-0005-0000-0000-000006040000}"/>
    <cellStyle name="Normal 3 2 2 2 36 2 2" xfId="2510" xr:uid="{6D70C48E-B42F-490E-9972-8AB1CE4EFFB2}"/>
    <cellStyle name="Normal 3 2 2 2 36 2 2 2" xfId="5366" xr:uid="{DD956818-CFD2-42FA-B2B1-93B02E983B41}"/>
    <cellStyle name="Normal 3 2 2 2 36 2 3" xfId="3948" xr:uid="{FDAF7C84-5CB7-4F78-AD2E-E58D9B9A98FB}"/>
    <cellStyle name="Normal 3 2 2 2 36 3" xfId="1864" xr:uid="{8C4AF7DD-2757-454E-B740-AA3C2EA1C9FF}"/>
    <cellStyle name="Normal 3 2 2 2 36 3 2" xfId="4724" xr:uid="{DA3CAF84-CD8F-4A3F-B2A1-196A4E4F85F4}"/>
    <cellStyle name="Normal 3 2 2 2 36 4" xfId="3308" xr:uid="{3656CEAB-E616-4505-A0CB-DABB1D4E78D5}"/>
    <cellStyle name="Normal 3 2 2 2 37" xfId="345" xr:uid="{00000000-0005-0000-0000-000007040000}"/>
    <cellStyle name="Normal 3 2 2 2 37 2" xfId="1066" xr:uid="{00000000-0005-0000-0000-000008040000}"/>
    <cellStyle name="Normal 3 2 2 2 37 2 2" xfId="2514" xr:uid="{AF20ECD5-7497-48A9-8051-5401DAF24164}"/>
    <cellStyle name="Normal 3 2 2 2 37 2 2 2" xfId="5370" xr:uid="{E3996CCC-C0A9-4ADF-B0DF-A10B1C75BDBE}"/>
    <cellStyle name="Normal 3 2 2 2 37 2 3" xfId="3952" xr:uid="{4A9A6980-9AB3-4850-AEC2-5C24F63E6694}"/>
    <cellStyle name="Normal 3 2 2 2 37 3" xfId="1868" xr:uid="{B4205D61-4EF0-44AE-B8E1-20F659379E19}"/>
    <cellStyle name="Normal 3 2 2 2 37 3 2" xfId="4728" xr:uid="{EBD5889E-E3A6-46CF-91B7-8A86E641B45F}"/>
    <cellStyle name="Normal 3 2 2 2 37 4" xfId="3312" xr:uid="{BA71455D-CC5C-4926-B648-89EDF5F65B59}"/>
    <cellStyle name="Normal 3 2 2 2 38" xfId="352" xr:uid="{00000000-0005-0000-0000-000009040000}"/>
    <cellStyle name="Normal 3 2 2 2 38 2" xfId="1073" xr:uid="{00000000-0005-0000-0000-00000A040000}"/>
    <cellStyle name="Normal 3 2 2 2 38 2 2" xfId="2521" xr:uid="{E600B589-3C0A-48CA-AFB5-061AD465A1A9}"/>
    <cellStyle name="Normal 3 2 2 2 38 2 2 2" xfId="5377" xr:uid="{B10EE31F-9D75-4784-ACBD-FBD8DAD7B765}"/>
    <cellStyle name="Normal 3 2 2 2 38 2 3" xfId="3959" xr:uid="{8F45C9B3-3BFB-47E0-8D08-095537196915}"/>
    <cellStyle name="Normal 3 2 2 2 38 3" xfId="1875" xr:uid="{251F57A4-8B9F-4BE1-AFEB-B4C8623FCBAF}"/>
    <cellStyle name="Normal 3 2 2 2 38 3 2" xfId="4735" xr:uid="{5629CEA6-03E2-40D7-AE09-A026DECACBA5}"/>
    <cellStyle name="Normal 3 2 2 2 38 4" xfId="3319" xr:uid="{D5F76DA5-9827-4191-88A0-15B509F9FB9E}"/>
    <cellStyle name="Normal 3 2 2 2 39" xfId="357" xr:uid="{00000000-0005-0000-0000-00000B040000}"/>
    <cellStyle name="Normal 3 2 2 2 39 2" xfId="1078" xr:uid="{00000000-0005-0000-0000-00000C040000}"/>
    <cellStyle name="Normal 3 2 2 2 39 2 2" xfId="2526" xr:uid="{FB2A92B2-F481-4F96-BD98-49E02EB40792}"/>
    <cellStyle name="Normal 3 2 2 2 39 2 2 2" xfId="5382" xr:uid="{BC16A879-93DE-4C9A-98AD-988C4445D088}"/>
    <cellStyle name="Normal 3 2 2 2 39 2 3" xfId="3964" xr:uid="{DA2300EE-7601-4140-A4A4-926B5B631DC3}"/>
    <cellStyle name="Normal 3 2 2 2 39 3" xfId="1880" xr:uid="{2A951BA4-7CF4-4ADD-AB38-B4403846BE12}"/>
    <cellStyle name="Normal 3 2 2 2 39 3 2" xfId="4740" xr:uid="{3DE242B3-CAB3-4276-94BE-E4C9630F843F}"/>
    <cellStyle name="Normal 3 2 2 2 39 4" xfId="3324" xr:uid="{55CAC034-07D3-4730-BDF5-A7F35602490C}"/>
    <cellStyle name="Normal 3 2 2 2 4" xfId="174" xr:uid="{00000000-0005-0000-0000-00000D040000}"/>
    <cellStyle name="Normal 3 2 2 2 4 2" xfId="896" xr:uid="{00000000-0005-0000-0000-00000E040000}"/>
    <cellStyle name="Normal 3 2 2 2 4 2 2" xfId="2344" xr:uid="{C7396DA7-76C1-412D-BC85-6DCC139D65B7}"/>
    <cellStyle name="Normal 3 2 2 2 4 2 2 2" xfId="5200" xr:uid="{9BA3755F-CBFA-4283-86E5-A0866C12355E}"/>
    <cellStyle name="Normal 3 2 2 2 4 2 3" xfId="3782" xr:uid="{D0A49778-DA8B-49F0-B249-0107D2A40DA5}"/>
    <cellStyle name="Normal 3 2 2 2 4 2 4" xfId="5929" xr:uid="{E3090C84-FBC9-41E3-BB02-338CFC0BB6B1}"/>
    <cellStyle name="Normal 3 2 2 2 4 3" xfId="1697" xr:uid="{5531BA38-1326-4EBF-B2D0-D1A742EFB801}"/>
    <cellStyle name="Normal 3 2 2 2 4 3 2" xfId="4557" xr:uid="{D4E9CA95-8895-4050-8A1A-E9FB05CBF3E4}"/>
    <cellStyle name="Normal 3 2 2 2 4 4" xfId="3141" xr:uid="{94351853-E048-4404-A29F-1684CB88BEE7}"/>
    <cellStyle name="Normal 3 2 2 2 40" xfId="368" xr:uid="{00000000-0005-0000-0000-00000F040000}"/>
    <cellStyle name="Normal 3 2 2 2 40 2" xfId="1089" xr:uid="{00000000-0005-0000-0000-000010040000}"/>
    <cellStyle name="Normal 3 2 2 2 40 2 2" xfId="2537" xr:uid="{0840E57D-8783-483C-96A8-544059D0AB0A}"/>
    <cellStyle name="Normal 3 2 2 2 40 2 2 2" xfId="5393" xr:uid="{915C87A7-006B-46A2-8E79-DE7FB9D2F62C}"/>
    <cellStyle name="Normal 3 2 2 2 40 2 3" xfId="3975" xr:uid="{5CADDC5F-1D5D-43AF-BC43-D88FAFBD3C9D}"/>
    <cellStyle name="Normal 3 2 2 2 40 3" xfId="1891" xr:uid="{78A6177A-504A-45FA-BC6A-3B97105BD0B1}"/>
    <cellStyle name="Normal 3 2 2 2 40 3 2" xfId="4751" xr:uid="{4D0CCBCF-765E-45CA-B5F4-FD502F324F0C}"/>
    <cellStyle name="Normal 3 2 2 2 40 4" xfId="3335" xr:uid="{9C01A019-6C0B-489E-8CA8-EE6EA61ACB51}"/>
    <cellStyle name="Normal 3 2 2 2 41" xfId="370" xr:uid="{00000000-0005-0000-0000-000011040000}"/>
    <cellStyle name="Normal 3 2 2 2 41 2" xfId="1091" xr:uid="{00000000-0005-0000-0000-000012040000}"/>
    <cellStyle name="Normal 3 2 2 2 41 2 2" xfId="2539" xr:uid="{46A7C1F0-FC35-47A4-B20A-5663542661E4}"/>
    <cellStyle name="Normal 3 2 2 2 41 2 2 2" xfId="5395" xr:uid="{424AD2C6-ED60-4F80-8881-AD794DF2842F}"/>
    <cellStyle name="Normal 3 2 2 2 41 2 3" xfId="3977" xr:uid="{C9D1E651-6A40-497C-98EF-9FA27523008B}"/>
    <cellStyle name="Normal 3 2 2 2 41 3" xfId="1893" xr:uid="{AA5A298B-E879-43F9-82AD-57CE713A3FF7}"/>
    <cellStyle name="Normal 3 2 2 2 41 3 2" xfId="4753" xr:uid="{45CF2F8B-0C9A-4082-8658-DBABB3282F8F}"/>
    <cellStyle name="Normal 3 2 2 2 41 4" xfId="3337" xr:uid="{B10F0AE2-9892-4081-B55E-CC44A28A26DD}"/>
    <cellStyle name="Normal 3 2 2 2 42" xfId="380" xr:uid="{00000000-0005-0000-0000-000013040000}"/>
    <cellStyle name="Normal 3 2 2 2 42 2" xfId="1101" xr:uid="{00000000-0005-0000-0000-000014040000}"/>
    <cellStyle name="Normal 3 2 2 2 42 2 2" xfId="2549" xr:uid="{6EDC0998-41BF-4A58-8124-A74EADFFE77A}"/>
    <cellStyle name="Normal 3 2 2 2 42 2 2 2" xfId="5405" xr:uid="{D9CF61CD-EB03-4564-AA95-032AD4F27504}"/>
    <cellStyle name="Normal 3 2 2 2 42 2 3" xfId="3987" xr:uid="{F2FBBDF6-AC64-4E7A-900A-C014999AF7B0}"/>
    <cellStyle name="Normal 3 2 2 2 42 3" xfId="1903" xr:uid="{03BA82FB-F961-4FE9-B3D7-50F087976155}"/>
    <cellStyle name="Normal 3 2 2 2 42 3 2" xfId="4763" xr:uid="{A4062C6D-6186-4271-AD63-0DAC973BF756}"/>
    <cellStyle name="Normal 3 2 2 2 42 4" xfId="3347" xr:uid="{E6F69008-1920-4351-8160-1FA725694703}"/>
    <cellStyle name="Normal 3 2 2 2 43" xfId="382" xr:uid="{00000000-0005-0000-0000-000015040000}"/>
    <cellStyle name="Normal 3 2 2 2 43 2" xfId="1103" xr:uid="{00000000-0005-0000-0000-000016040000}"/>
    <cellStyle name="Normal 3 2 2 2 43 2 2" xfId="2551" xr:uid="{C792471D-612B-4FF0-BA75-B0D5D13701B0}"/>
    <cellStyle name="Normal 3 2 2 2 43 2 2 2" xfId="5407" xr:uid="{90E3244A-CDFB-47EB-8BC7-6476BF42C089}"/>
    <cellStyle name="Normal 3 2 2 2 43 2 3" xfId="3989" xr:uid="{15052E0A-EDC2-4534-A34D-EFFE40769398}"/>
    <cellStyle name="Normal 3 2 2 2 43 3" xfId="1905" xr:uid="{28946844-8664-4321-83A4-593DF4920552}"/>
    <cellStyle name="Normal 3 2 2 2 43 3 2" xfId="4765" xr:uid="{D1DA5F6E-807B-4F35-80D8-B9823CD9698F}"/>
    <cellStyle name="Normal 3 2 2 2 43 4" xfId="3349" xr:uid="{962A6D48-FB56-44F7-A36D-B3F7C3957EC2}"/>
    <cellStyle name="Normal 3 2 2 2 44" xfId="389" xr:uid="{00000000-0005-0000-0000-000017040000}"/>
    <cellStyle name="Normal 3 2 2 2 44 2" xfId="1110" xr:uid="{00000000-0005-0000-0000-000018040000}"/>
    <cellStyle name="Normal 3 2 2 2 44 2 2" xfId="2558" xr:uid="{616FB255-83F2-459A-B798-8737343F6550}"/>
    <cellStyle name="Normal 3 2 2 2 44 2 2 2" xfId="5414" xr:uid="{8F979D5F-1440-4A80-A363-7B84A3E3D461}"/>
    <cellStyle name="Normal 3 2 2 2 44 2 3" xfId="3996" xr:uid="{51E9F4C7-3879-473F-B85A-10EE8BF98041}"/>
    <cellStyle name="Normal 3 2 2 2 44 3" xfId="1912" xr:uid="{0EC23E05-96AC-45C5-A83B-9AAC7B714C72}"/>
    <cellStyle name="Normal 3 2 2 2 44 3 2" xfId="4772" xr:uid="{E7903090-BA21-4D37-81CB-2A113D40D9E1}"/>
    <cellStyle name="Normal 3 2 2 2 44 4" xfId="3356" xr:uid="{C930DB89-7192-4411-8854-DDB72FAB60CD}"/>
    <cellStyle name="Normal 3 2 2 2 45" xfId="393" xr:uid="{00000000-0005-0000-0000-000019040000}"/>
    <cellStyle name="Normal 3 2 2 2 45 2" xfId="1114" xr:uid="{00000000-0005-0000-0000-00001A040000}"/>
    <cellStyle name="Normal 3 2 2 2 45 2 2" xfId="2562" xr:uid="{33ED720C-DEDD-42D2-951E-8F5BE1B19AAB}"/>
    <cellStyle name="Normal 3 2 2 2 45 2 2 2" xfId="5418" xr:uid="{93F90EDB-C8A2-4D29-B545-482EA68DE9C9}"/>
    <cellStyle name="Normal 3 2 2 2 45 2 3" xfId="4000" xr:uid="{3DD981C5-B5B5-47BC-B70E-691AF93B89E6}"/>
    <cellStyle name="Normal 3 2 2 2 45 3" xfId="1916" xr:uid="{96706858-2427-40EC-BD45-7A76AFB0FE9E}"/>
    <cellStyle name="Normal 3 2 2 2 45 3 2" xfId="4776" xr:uid="{514CED5E-1AF4-4799-A22F-70D9F4802FF1}"/>
    <cellStyle name="Normal 3 2 2 2 45 4" xfId="3360" xr:uid="{DE483D17-3D7D-49D4-968A-E650DBF32A7A}"/>
    <cellStyle name="Normal 3 2 2 2 46" xfId="398" xr:uid="{00000000-0005-0000-0000-00001B040000}"/>
    <cellStyle name="Normal 3 2 2 2 46 2" xfId="1119" xr:uid="{00000000-0005-0000-0000-00001C040000}"/>
    <cellStyle name="Normal 3 2 2 2 46 2 2" xfId="2567" xr:uid="{9B3CD389-74AF-4616-A1AB-40B20750AFB6}"/>
    <cellStyle name="Normal 3 2 2 2 46 2 2 2" xfId="5423" xr:uid="{E33DFAE9-DBDF-45B8-A365-5E04F36F8422}"/>
    <cellStyle name="Normal 3 2 2 2 46 2 3" xfId="4005" xr:uid="{FE554CA5-8748-4C06-AE1F-ACE21E41352F}"/>
    <cellStyle name="Normal 3 2 2 2 46 3" xfId="1921" xr:uid="{F58454ED-5118-4883-9CB4-D6D799CE3385}"/>
    <cellStyle name="Normal 3 2 2 2 46 3 2" xfId="4781" xr:uid="{7FBF27E3-DF18-42E5-BD27-E2BC8DE68200}"/>
    <cellStyle name="Normal 3 2 2 2 46 4" xfId="3365" xr:uid="{59E98D19-AB92-4DBB-AAA9-905421C2C071}"/>
    <cellStyle name="Normal 3 2 2 2 47" xfId="407" xr:uid="{00000000-0005-0000-0000-00001D040000}"/>
    <cellStyle name="Normal 3 2 2 2 47 2" xfId="1128" xr:uid="{00000000-0005-0000-0000-00001E040000}"/>
    <cellStyle name="Normal 3 2 2 2 47 2 2" xfId="2576" xr:uid="{A8CD0DEF-6230-4CA4-9DB0-808E5E3447C2}"/>
    <cellStyle name="Normal 3 2 2 2 47 2 2 2" xfId="5432" xr:uid="{89713323-80F5-4F91-9034-1686C3480625}"/>
    <cellStyle name="Normal 3 2 2 2 47 2 3" xfId="4014" xr:uid="{FEE2EF4D-3391-471C-A6E2-8FE826E60016}"/>
    <cellStyle name="Normal 3 2 2 2 47 3" xfId="1930" xr:uid="{DBE76CFB-5149-478A-94F1-6D18A65A2306}"/>
    <cellStyle name="Normal 3 2 2 2 47 3 2" xfId="4790" xr:uid="{3104807A-FCA5-4F78-99D1-339B0B57C8E2}"/>
    <cellStyle name="Normal 3 2 2 2 47 4" xfId="3374" xr:uid="{98AA24BB-48BD-4176-8BAE-909AE3C796D6}"/>
    <cellStyle name="Normal 3 2 2 2 48" xfId="409" xr:uid="{00000000-0005-0000-0000-00001F040000}"/>
    <cellStyle name="Normal 3 2 2 2 48 2" xfId="1130" xr:uid="{00000000-0005-0000-0000-000020040000}"/>
    <cellStyle name="Normal 3 2 2 2 48 2 2" xfId="2578" xr:uid="{4B62918D-C75F-4AB1-9E7F-7AFBFB8D203A}"/>
    <cellStyle name="Normal 3 2 2 2 48 2 2 2" xfId="5434" xr:uid="{9E26C076-9844-42CD-886D-5AF863C2C21C}"/>
    <cellStyle name="Normal 3 2 2 2 48 2 3" xfId="4016" xr:uid="{B013AD60-EAFE-4B9A-88A8-38D925D44B4E}"/>
    <cellStyle name="Normal 3 2 2 2 48 3" xfId="1932" xr:uid="{BC9F699C-2280-49BF-BB4F-D82F4832D9C9}"/>
    <cellStyle name="Normal 3 2 2 2 48 3 2" xfId="4792" xr:uid="{DFB18E72-F823-4125-847A-5312CD331B40}"/>
    <cellStyle name="Normal 3 2 2 2 48 4" xfId="3376" xr:uid="{22B40CD4-44B4-4575-8F46-298EF6CAB337}"/>
    <cellStyle name="Normal 3 2 2 2 49" xfId="416" xr:uid="{00000000-0005-0000-0000-000021040000}"/>
    <cellStyle name="Normal 3 2 2 2 49 2" xfId="1137" xr:uid="{00000000-0005-0000-0000-000022040000}"/>
    <cellStyle name="Normal 3 2 2 2 49 2 2" xfId="2585" xr:uid="{CEC51209-DF0D-4AF4-A729-825139DCBC41}"/>
    <cellStyle name="Normal 3 2 2 2 49 2 2 2" xfId="5441" xr:uid="{594AD1D1-FA31-4B86-9330-BF8C02C27F6B}"/>
    <cellStyle name="Normal 3 2 2 2 49 2 3" xfId="4023" xr:uid="{0862AF0C-2902-476F-ABF2-310D3C063A1A}"/>
    <cellStyle name="Normal 3 2 2 2 49 3" xfId="1939" xr:uid="{66A7CD7A-723F-4EEF-96C9-73E1094C4A53}"/>
    <cellStyle name="Normal 3 2 2 2 49 3 2" xfId="4799" xr:uid="{A09A3C96-2BC8-4216-8C14-090743C8711C}"/>
    <cellStyle name="Normal 3 2 2 2 49 4" xfId="3383" xr:uid="{1CA5E929-D761-4642-91AD-441E37ECBD80}"/>
    <cellStyle name="Normal 3 2 2 2 5" xfId="180" xr:uid="{00000000-0005-0000-0000-000023040000}"/>
    <cellStyle name="Normal 3 2 2 2 5 2" xfId="902" xr:uid="{00000000-0005-0000-0000-000024040000}"/>
    <cellStyle name="Normal 3 2 2 2 5 2 2" xfId="2350" xr:uid="{952B85B7-E36F-4833-9CD9-B3064B680DFE}"/>
    <cellStyle name="Normal 3 2 2 2 5 2 2 2" xfId="5206" xr:uid="{F8D2627F-4287-479D-8BE6-64C8E5BF0084}"/>
    <cellStyle name="Normal 3 2 2 2 5 2 3" xfId="3788" xr:uid="{D0D35782-D972-4A35-BBA6-84ED18697D75}"/>
    <cellStyle name="Normal 3 2 2 2 5 3" xfId="1703" xr:uid="{090D4CF7-1162-4A85-A0E6-FA6DB632A61B}"/>
    <cellStyle name="Normal 3 2 2 2 5 3 2" xfId="4563" xr:uid="{8B4487B5-B66B-4BDA-B244-F9DFC00AF490}"/>
    <cellStyle name="Normal 3 2 2 2 5 4" xfId="3147" xr:uid="{74CB51BA-E6B1-425B-B5D3-0CAD69A698D0}"/>
    <cellStyle name="Normal 3 2 2 2 50" xfId="421" xr:uid="{00000000-0005-0000-0000-000025040000}"/>
    <cellStyle name="Normal 3 2 2 2 50 2" xfId="1142" xr:uid="{00000000-0005-0000-0000-000026040000}"/>
    <cellStyle name="Normal 3 2 2 2 50 2 2" xfId="2590" xr:uid="{7883A267-982D-4F73-B832-E0A20A062029}"/>
    <cellStyle name="Normal 3 2 2 2 50 2 2 2" xfId="5446" xr:uid="{EC668C87-747C-44F2-9080-C1DC71BE829E}"/>
    <cellStyle name="Normal 3 2 2 2 50 2 3" xfId="4028" xr:uid="{CE8325D4-2DC6-456D-A85E-A61C22D09D2F}"/>
    <cellStyle name="Normal 3 2 2 2 50 3" xfId="1944" xr:uid="{EED535D7-7C7E-41DA-94D7-BA1B6B6CCBAF}"/>
    <cellStyle name="Normal 3 2 2 2 50 3 2" xfId="4804" xr:uid="{9835DE05-12D3-4D1D-B047-500BCBFE1C9B}"/>
    <cellStyle name="Normal 3 2 2 2 50 4" xfId="3388" xr:uid="{265320A1-991E-4EE2-86F9-D657964766FF}"/>
    <cellStyle name="Normal 3 2 2 2 51" xfId="430" xr:uid="{00000000-0005-0000-0000-000027040000}"/>
    <cellStyle name="Normal 3 2 2 2 51 2" xfId="1151" xr:uid="{00000000-0005-0000-0000-000028040000}"/>
    <cellStyle name="Normal 3 2 2 2 51 2 2" xfId="2599" xr:uid="{9C540BA9-9AC1-44E7-9448-3CFE41F29F00}"/>
    <cellStyle name="Normal 3 2 2 2 51 2 2 2" xfId="5455" xr:uid="{6314B66E-1B0A-436D-8C3E-098EA3A2E61C}"/>
    <cellStyle name="Normal 3 2 2 2 51 2 3" xfId="4037" xr:uid="{E0E94B0D-FC25-4E01-9847-DB4113E2FF32}"/>
    <cellStyle name="Normal 3 2 2 2 51 3" xfId="1953" xr:uid="{DF5D78ED-3511-495B-B214-3CD798D773E5}"/>
    <cellStyle name="Normal 3 2 2 2 51 3 2" xfId="4813" xr:uid="{B37B5AB0-E4C3-42A0-AA3A-39CDC7DE60D5}"/>
    <cellStyle name="Normal 3 2 2 2 51 4" xfId="3397" xr:uid="{A9020117-AA62-43B0-A17A-9F98A8220167}"/>
    <cellStyle name="Normal 3 2 2 2 52" xfId="437" xr:uid="{00000000-0005-0000-0000-000029040000}"/>
    <cellStyle name="Normal 3 2 2 2 52 2" xfId="1158" xr:uid="{00000000-0005-0000-0000-00002A040000}"/>
    <cellStyle name="Normal 3 2 2 2 52 2 2" xfId="2606" xr:uid="{9F3BB5E1-5C84-444D-948C-CD2729E9BD0E}"/>
    <cellStyle name="Normal 3 2 2 2 52 2 2 2" xfId="5462" xr:uid="{1AB5E673-0A7C-4DFE-839D-5EB58F71B028}"/>
    <cellStyle name="Normal 3 2 2 2 52 2 3" xfId="4044" xr:uid="{D46C7593-0C67-454A-88A1-7BFD419A94A3}"/>
    <cellStyle name="Normal 3 2 2 2 52 3" xfId="1960" xr:uid="{9D676B9F-7B1E-4FC5-A41F-F4C81A453CAE}"/>
    <cellStyle name="Normal 3 2 2 2 52 3 2" xfId="4820" xr:uid="{ADAE791E-88CF-473D-8811-31ECBC98F81C}"/>
    <cellStyle name="Normal 3 2 2 2 52 4" xfId="3404" xr:uid="{42796083-39D8-4747-BC90-069929330085}"/>
    <cellStyle name="Normal 3 2 2 2 53" xfId="443" xr:uid="{00000000-0005-0000-0000-00002B040000}"/>
    <cellStyle name="Normal 3 2 2 2 53 2" xfId="1164" xr:uid="{00000000-0005-0000-0000-00002C040000}"/>
    <cellStyle name="Normal 3 2 2 2 53 2 2" xfId="2612" xr:uid="{7376F121-F636-46F7-8709-96FE387E6DE7}"/>
    <cellStyle name="Normal 3 2 2 2 53 2 2 2" xfId="5468" xr:uid="{FD8D12E8-ECA9-4808-BA5B-30A0D791462D}"/>
    <cellStyle name="Normal 3 2 2 2 53 2 3" xfId="4050" xr:uid="{F2663A0C-E8A9-4D21-A225-F7548B6EF470}"/>
    <cellStyle name="Normal 3 2 2 2 53 3" xfId="1966" xr:uid="{48E82370-0102-4EB0-9FD7-E74D8A54DEF8}"/>
    <cellStyle name="Normal 3 2 2 2 53 3 2" xfId="4826" xr:uid="{41AE4B9E-EB7D-4062-AB03-1FC1BA80BAF9}"/>
    <cellStyle name="Normal 3 2 2 2 53 4" xfId="3410" xr:uid="{D1FBFB31-33D8-45FF-8518-CB28D3372645}"/>
    <cellStyle name="Normal 3 2 2 2 54" xfId="446" xr:uid="{00000000-0005-0000-0000-00002D040000}"/>
    <cellStyle name="Normal 3 2 2 2 54 2" xfId="1167" xr:uid="{00000000-0005-0000-0000-00002E040000}"/>
    <cellStyle name="Normal 3 2 2 2 54 2 2" xfId="2615" xr:uid="{92A9EF64-0A91-4698-8DEA-68C714244E44}"/>
    <cellStyle name="Normal 3 2 2 2 54 2 2 2" xfId="5471" xr:uid="{43CB20B5-8D9F-4E7B-9506-B6068469B888}"/>
    <cellStyle name="Normal 3 2 2 2 54 2 3" xfId="4053" xr:uid="{EF5141A1-3C1F-45CE-9952-087AED28AFD7}"/>
    <cellStyle name="Normal 3 2 2 2 54 3" xfId="1969" xr:uid="{BCD1B0A4-3A60-4703-B0A0-53B789543AAC}"/>
    <cellStyle name="Normal 3 2 2 2 54 3 2" xfId="4829" xr:uid="{3F8CDEBF-70AF-4E87-A354-F8908417E036}"/>
    <cellStyle name="Normal 3 2 2 2 54 4" xfId="3413" xr:uid="{094B2A91-9C2F-4D82-8B81-786215E7C977}"/>
    <cellStyle name="Normal 3 2 2 2 55" xfId="456" xr:uid="{00000000-0005-0000-0000-00002F040000}"/>
    <cellStyle name="Normal 3 2 2 2 55 2" xfId="1176" xr:uid="{00000000-0005-0000-0000-000030040000}"/>
    <cellStyle name="Normal 3 2 2 2 55 2 2" xfId="2624" xr:uid="{9287DD9F-95D0-48B1-8751-96574D40FBCF}"/>
    <cellStyle name="Normal 3 2 2 2 55 2 2 2" xfId="5480" xr:uid="{B60F704C-8AA4-4E1C-B707-FF9BD64E6519}"/>
    <cellStyle name="Normal 3 2 2 2 55 2 3" xfId="4062" xr:uid="{6209DAD3-5EFF-4D92-95E6-25512ADAD7A0}"/>
    <cellStyle name="Normal 3 2 2 2 55 3" xfId="1979" xr:uid="{3C97178A-2108-4C3C-9B76-0DF4E796C7DE}"/>
    <cellStyle name="Normal 3 2 2 2 55 3 2" xfId="4839" xr:uid="{7D2EFCC7-7E75-4494-8417-810E44B649A6}"/>
    <cellStyle name="Normal 3 2 2 2 55 4" xfId="3423" xr:uid="{E1D3956C-51E9-467D-B12B-ED0CD72F46FE}"/>
    <cellStyle name="Normal 3 2 2 2 56" xfId="460" xr:uid="{00000000-0005-0000-0000-000031040000}"/>
    <cellStyle name="Normal 3 2 2 2 56 2" xfId="1180" xr:uid="{00000000-0005-0000-0000-000032040000}"/>
    <cellStyle name="Normal 3 2 2 2 56 2 2" xfId="2628" xr:uid="{C098E90F-CB0B-43DC-8D49-936F28A38A49}"/>
    <cellStyle name="Normal 3 2 2 2 56 2 2 2" xfId="5484" xr:uid="{924F293F-F292-4124-88F3-4E92CDCD48AE}"/>
    <cellStyle name="Normal 3 2 2 2 56 2 3" xfId="4066" xr:uid="{6409C554-8389-4B53-9929-18A065155F79}"/>
    <cellStyle name="Normal 3 2 2 2 56 3" xfId="1983" xr:uid="{ACEF9E54-E190-4F02-ABCA-E36A6AF8754F}"/>
    <cellStyle name="Normal 3 2 2 2 56 3 2" xfId="4843" xr:uid="{F82F6A15-3C8C-4B27-9B2F-632E6DBA2FEC}"/>
    <cellStyle name="Normal 3 2 2 2 56 4" xfId="3427" xr:uid="{AA190135-2BDB-461D-AF89-FB81F8036287}"/>
    <cellStyle name="Normal 3 2 2 2 57" xfId="464" xr:uid="{00000000-0005-0000-0000-000033040000}"/>
    <cellStyle name="Normal 3 2 2 2 57 2" xfId="1184" xr:uid="{00000000-0005-0000-0000-000034040000}"/>
    <cellStyle name="Normal 3 2 2 2 57 2 2" xfId="2632" xr:uid="{4731B2F7-8CBD-4FEF-B2B3-4C9593D798F2}"/>
    <cellStyle name="Normal 3 2 2 2 57 2 2 2" xfId="5488" xr:uid="{E475E204-DBE8-4E2C-B503-DAFA246277B6}"/>
    <cellStyle name="Normal 3 2 2 2 57 2 3" xfId="4070" xr:uid="{FC3D7618-30F0-4401-98A3-B07E5A3415F1}"/>
    <cellStyle name="Normal 3 2 2 2 57 3" xfId="1987" xr:uid="{B9FE7436-C3F1-4E16-9CF1-647AC2D9155C}"/>
    <cellStyle name="Normal 3 2 2 2 57 3 2" xfId="4847" xr:uid="{29230CDE-ADE2-432C-8092-3BAF080A8591}"/>
    <cellStyle name="Normal 3 2 2 2 57 4" xfId="3431" xr:uid="{724F3E18-ADDB-4261-A501-B3DC188E9F8B}"/>
    <cellStyle name="Normal 3 2 2 2 58" xfId="471" xr:uid="{00000000-0005-0000-0000-000035040000}"/>
    <cellStyle name="Normal 3 2 2 2 58 2" xfId="1191" xr:uid="{00000000-0005-0000-0000-000036040000}"/>
    <cellStyle name="Normal 3 2 2 2 58 2 2" xfId="2639" xr:uid="{6DB95AFB-BFE2-40C7-BFDC-486AB5A00BA3}"/>
    <cellStyle name="Normal 3 2 2 2 58 2 2 2" xfId="5495" xr:uid="{A20D87B8-F804-4D28-8949-E0EF254AE5B1}"/>
    <cellStyle name="Normal 3 2 2 2 58 2 3" xfId="4077" xr:uid="{20C360FE-78A5-441F-9CB7-D79ED0E43A49}"/>
    <cellStyle name="Normal 3 2 2 2 58 3" xfId="1994" xr:uid="{D9BD9203-550F-409A-A97D-2AE42F5C511C}"/>
    <cellStyle name="Normal 3 2 2 2 58 3 2" xfId="4854" xr:uid="{01805698-D1F4-4CFC-8D8E-084DBBE39B15}"/>
    <cellStyle name="Normal 3 2 2 2 58 4" xfId="3438" xr:uid="{DBF4C910-8089-4C13-8F5C-430CAEAF91B1}"/>
    <cellStyle name="Normal 3 2 2 2 59" xfId="473" xr:uid="{00000000-0005-0000-0000-000037040000}"/>
    <cellStyle name="Normal 3 2 2 2 59 2" xfId="1193" xr:uid="{00000000-0005-0000-0000-000038040000}"/>
    <cellStyle name="Normal 3 2 2 2 59 2 2" xfId="2641" xr:uid="{500C9B78-39C8-4E13-806E-E778FA8FF764}"/>
    <cellStyle name="Normal 3 2 2 2 59 2 2 2" xfId="5497" xr:uid="{35F1A020-2C1F-479B-B08A-AADED7EEDBE7}"/>
    <cellStyle name="Normal 3 2 2 2 59 2 3" xfId="4079" xr:uid="{1CC8B035-0C46-4589-972A-8530B6D0BC70}"/>
    <cellStyle name="Normal 3 2 2 2 59 3" xfId="1996" xr:uid="{F7F5EC3A-FDFE-4991-8355-47A5CECFD204}"/>
    <cellStyle name="Normal 3 2 2 2 59 3 2" xfId="4856" xr:uid="{41E86DA0-9878-4245-A025-7D3BBED3CBFC}"/>
    <cellStyle name="Normal 3 2 2 2 59 4" xfId="3440" xr:uid="{3C8B2178-3F4B-4977-81EB-1FABCAF19A4E}"/>
    <cellStyle name="Normal 3 2 2 2 6" xfId="185" xr:uid="{00000000-0005-0000-0000-000039040000}"/>
    <cellStyle name="Normal 3 2 2 2 6 2" xfId="907" xr:uid="{00000000-0005-0000-0000-00003A040000}"/>
    <cellStyle name="Normal 3 2 2 2 6 2 2" xfId="2355" xr:uid="{590C93FE-7C30-48D7-A89D-AE825799DF96}"/>
    <cellStyle name="Normal 3 2 2 2 6 2 2 2" xfId="5211" xr:uid="{2E408758-CAA8-4558-AA90-217DF000B1E7}"/>
    <cellStyle name="Normal 3 2 2 2 6 2 3" xfId="3793" xr:uid="{BB41A5FF-136B-491D-9956-4D18BAE668E0}"/>
    <cellStyle name="Normal 3 2 2 2 6 3" xfId="1708" xr:uid="{90BBD01A-9077-4103-BCFF-DFD8864B5529}"/>
    <cellStyle name="Normal 3 2 2 2 6 3 2" xfId="4568" xr:uid="{B160A199-78E9-4974-ABE6-3F4B0EE162DE}"/>
    <cellStyle name="Normal 3 2 2 2 6 4" xfId="3152" xr:uid="{FF397FA7-BDA2-4A8B-B8E0-2AA86F4D5BE0}"/>
    <cellStyle name="Normal 3 2 2 2 60" xfId="479" xr:uid="{00000000-0005-0000-0000-00003B040000}"/>
    <cellStyle name="Normal 3 2 2 2 60 2" xfId="1199" xr:uid="{00000000-0005-0000-0000-00003C040000}"/>
    <cellStyle name="Normal 3 2 2 2 60 2 2" xfId="2647" xr:uid="{58A3993C-12C1-4D5D-856B-5A1B4A6F2739}"/>
    <cellStyle name="Normal 3 2 2 2 60 2 2 2" xfId="5503" xr:uid="{47E2110A-591E-4929-93EF-12596EC19CAB}"/>
    <cellStyle name="Normal 3 2 2 2 60 2 3" xfId="4085" xr:uid="{2CD440C8-0850-4126-AB88-C7F30CEA87FE}"/>
    <cellStyle name="Normal 3 2 2 2 60 3" xfId="2002" xr:uid="{2AD83456-1B59-40AB-9344-EF28B68BC848}"/>
    <cellStyle name="Normal 3 2 2 2 60 3 2" xfId="4862" xr:uid="{AB779493-E6E8-457B-96F0-D05195249F51}"/>
    <cellStyle name="Normal 3 2 2 2 60 4" xfId="3446" xr:uid="{D6B32F95-2B76-437E-AB08-5642D6B360E6}"/>
    <cellStyle name="Normal 3 2 2 2 61" xfId="489" xr:uid="{00000000-0005-0000-0000-00003D040000}"/>
    <cellStyle name="Normal 3 2 2 2 61 2" xfId="1208" xr:uid="{00000000-0005-0000-0000-00003E040000}"/>
    <cellStyle name="Normal 3 2 2 2 61 2 2" xfId="2656" xr:uid="{B6BEA646-41AE-4C71-BAAD-DE1F5A8863C9}"/>
    <cellStyle name="Normal 3 2 2 2 61 2 2 2" xfId="5512" xr:uid="{61980162-F479-49B6-A122-5B3110934855}"/>
    <cellStyle name="Normal 3 2 2 2 61 2 3" xfId="4094" xr:uid="{87E8622B-EE2D-48EA-A19A-7D61F74CB182}"/>
    <cellStyle name="Normal 3 2 2 2 61 3" xfId="2011" xr:uid="{D190F111-0F83-43BA-BDA9-298C03B4ABE0}"/>
    <cellStyle name="Normal 3 2 2 2 61 3 2" xfId="4871" xr:uid="{CA8A2903-8C51-4DEE-9E86-14B620EDABA0}"/>
    <cellStyle name="Normal 3 2 2 2 61 4" xfId="3455" xr:uid="{F2E001F6-422D-4DB2-8E7F-AD3F3A9E7AC5}"/>
    <cellStyle name="Normal 3 2 2 2 62" xfId="493" xr:uid="{00000000-0005-0000-0000-00003F040000}"/>
    <cellStyle name="Normal 3 2 2 2 62 2" xfId="1212" xr:uid="{00000000-0005-0000-0000-000040040000}"/>
    <cellStyle name="Normal 3 2 2 2 62 2 2" xfId="2660" xr:uid="{83D6C850-CFB4-4E56-9E86-ABC0F0971137}"/>
    <cellStyle name="Normal 3 2 2 2 62 2 2 2" xfId="5516" xr:uid="{7F5F62A5-1C98-44EB-B7A9-8CA9330D4DE3}"/>
    <cellStyle name="Normal 3 2 2 2 62 2 3" xfId="4098" xr:uid="{462EE400-7A84-4641-B171-B2D1B5F65A32}"/>
    <cellStyle name="Normal 3 2 2 2 62 3" xfId="2015" xr:uid="{AE7DA691-3010-4D57-9989-0D8CD83B9C76}"/>
    <cellStyle name="Normal 3 2 2 2 62 3 2" xfId="4875" xr:uid="{2269E882-D6BE-4241-9E2A-C4FBC11FDA22}"/>
    <cellStyle name="Normal 3 2 2 2 62 4" xfId="3459" xr:uid="{AD39FE9F-01ED-4957-92A1-259A921A5A0F}"/>
    <cellStyle name="Normal 3 2 2 2 63" xfId="500" xr:uid="{00000000-0005-0000-0000-000041040000}"/>
    <cellStyle name="Normal 3 2 2 2 63 2" xfId="1219" xr:uid="{00000000-0005-0000-0000-000042040000}"/>
    <cellStyle name="Normal 3 2 2 2 63 2 2" xfId="2667" xr:uid="{283EAE11-0C73-4423-AC16-D7C6AE2A1B48}"/>
    <cellStyle name="Normal 3 2 2 2 63 2 2 2" xfId="5523" xr:uid="{C8D4A114-FDED-4309-9C5D-4B673D18069C}"/>
    <cellStyle name="Normal 3 2 2 2 63 2 3" xfId="4105" xr:uid="{9A74C5CE-801D-43F7-A445-2954922117B2}"/>
    <cellStyle name="Normal 3 2 2 2 63 3" xfId="2022" xr:uid="{5575A7C8-211A-4D89-BB8B-1250536FB8CD}"/>
    <cellStyle name="Normal 3 2 2 2 63 3 2" xfId="4882" xr:uid="{75F3C6A1-2CB6-48FD-9B61-C6A67A72AB43}"/>
    <cellStyle name="Normal 3 2 2 2 63 4" xfId="3466" xr:uid="{41948745-B68C-4564-8AB8-D90BBB19B455}"/>
    <cellStyle name="Normal 3 2 2 2 64" xfId="504" xr:uid="{00000000-0005-0000-0000-000043040000}"/>
    <cellStyle name="Normal 3 2 2 2 64 2" xfId="1223" xr:uid="{00000000-0005-0000-0000-000044040000}"/>
    <cellStyle name="Normal 3 2 2 2 64 2 2" xfId="2671" xr:uid="{FB2CF3FA-E241-444B-8BCC-C15B459F61FD}"/>
    <cellStyle name="Normal 3 2 2 2 64 2 2 2" xfId="5527" xr:uid="{CBE5FA24-F7F0-4626-A4D1-8BF8066E2499}"/>
    <cellStyle name="Normal 3 2 2 2 64 2 3" xfId="4109" xr:uid="{28328197-6223-4284-8AEF-4AD90C93C82C}"/>
    <cellStyle name="Normal 3 2 2 2 64 3" xfId="2026" xr:uid="{A82EE477-6B48-46B3-81D5-68B4796A3DEB}"/>
    <cellStyle name="Normal 3 2 2 2 64 3 2" xfId="4886" xr:uid="{C5A9AA85-65E8-42FF-8132-8F51BB4EFF09}"/>
    <cellStyle name="Normal 3 2 2 2 64 4" xfId="3470" xr:uid="{67465B07-3AD8-47E9-8B63-CF6E8FCA9AFD}"/>
    <cellStyle name="Normal 3 2 2 2 65" xfId="511" xr:uid="{00000000-0005-0000-0000-000045040000}"/>
    <cellStyle name="Normal 3 2 2 2 65 2" xfId="1230" xr:uid="{00000000-0005-0000-0000-000046040000}"/>
    <cellStyle name="Normal 3 2 2 2 65 2 2" xfId="2678" xr:uid="{2AF705F9-EC8A-4612-AC8A-E95E7B4206D9}"/>
    <cellStyle name="Normal 3 2 2 2 65 2 2 2" xfId="5534" xr:uid="{B5818A60-41C8-4B77-BA0E-CC522247FA85}"/>
    <cellStyle name="Normal 3 2 2 2 65 2 3" xfId="4116" xr:uid="{DCEA957C-3F8E-4F80-93AC-1DADB0848EA5}"/>
    <cellStyle name="Normal 3 2 2 2 65 3" xfId="2033" xr:uid="{C07A39E8-2ED0-4F75-9EB2-063A56AE4BC4}"/>
    <cellStyle name="Normal 3 2 2 2 65 3 2" xfId="4893" xr:uid="{891A0DDA-113E-4415-A97E-673D3104BD33}"/>
    <cellStyle name="Normal 3 2 2 2 65 4" xfId="3477" xr:uid="{7DA46FD7-F29A-4F90-B001-25EF62C779A6}"/>
    <cellStyle name="Normal 3 2 2 2 66" xfId="516" xr:uid="{00000000-0005-0000-0000-000047040000}"/>
    <cellStyle name="Normal 3 2 2 2 66 2" xfId="1235" xr:uid="{00000000-0005-0000-0000-000048040000}"/>
    <cellStyle name="Normal 3 2 2 2 66 2 2" xfId="2683" xr:uid="{6A158C09-C31E-4BA1-ABAF-C5362CC696C0}"/>
    <cellStyle name="Normal 3 2 2 2 66 2 2 2" xfId="5539" xr:uid="{C7117C03-AFDA-4995-BE8A-736F8A984B07}"/>
    <cellStyle name="Normal 3 2 2 2 66 2 3" xfId="4121" xr:uid="{B2F23588-966E-4E3D-A066-B8B5ECE4DBCE}"/>
    <cellStyle name="Normal 3 2 2 2 66 3" xfId="2038" xr:uid="{E3AA97A4-9622-48C2-9E15-93FD4AAF16C2}"/>
    <cellStyle name="Normal 3 2 2 2 66 3 2" xfId="4898" xr:uid="{FAC787DF-5E2A-4A52-A402-6AF762CA0820}"/>
    <cellStyle name="Normal 3 2 2 2 66 4" xfId="3482" xr:uid="{DDCE877F-ED32-40A4-8E03-1BD7D71E4E4C}"/>
    <cellStyle name="Normal 3 2 2 2 67" xfId="523" xr:uid="{00000000-0005-0000-0000-000049040000}"/>
    <cellStyle name="Normal 3 2 2 2 67 2" xfId="1242" xr:uid="{00000000-0005-0000-0000-00004A040000}"/>
    <cellStyle name="Normal 3 2 2 2 67 2 2" xfId="2690" xr:uid="{E991DA30-F936-49BD-A222-0992E2E5D8E4}"/>
    <cellStyle name="Normal 3 2 2 2 67 2 2 2" xfId="5546" xr:uid="{18C39417-7F44-4388-B1A9-0C7BEFDD8285}"/>
    <cellStyle name="Normal 3 2 2 2 67 2 3" xfId="4128" xr:uid="{585A15FA-36C8-469B-B7C6-30E360165928}"/>
    <cellStyle name="Normal 3 2 2 2 67 3" xfId="2045" xr:uid="{1D0A980E-CA11-4A2A-8820-6E3DE4558AF3}"/>
    <cellStyle name="Normal 3 2 2 2 67 3 2" xfId="4905" xr:uid="{3AED1915-8A19-47DB-92E8-0B754DB73A62}"/>
    <cellStyle name="Normal 3 2 2 2 67 4" xfId="3489" xr:uid="{4E63BDC5-2547-43FC-B0D7-16CD7CAEF4E9}"/>
    <cellStyle name="Normal 3 2 2 2 68" xfId="527" xr:uid="{00000000-0005-0000-0000-00004B040000}"/>
    <cellStyle name="Normal 3 2 2 2 68 2" xfId="1246" xr:uid="{00000000-0005-0000-0000-00004C040000}"/>
    <cellStyle name="Normal 3 2 2 2 68 2 2" xfId="2694" xr:uid="{50F4D371-FB65-4C68-83D3-D27F55BF8961}"/>
    <cellStyle name="Normal 3 2 2 2 68 2 2 2" xfId="5550" xr:uid="{E6072D58-1E08-4963-9A6A-CFFC308C66D1}"/>
    <cellStyle name="Normal 3 2 2 2 68 2 3" xfId="4132" xr:uid="{BDF19352-4BA4-45F3-AAFD-35ECD0FE1F05}"/>
    <cellStyle name="Normal 3 2 2 2 68 3" xfId="2049" xr:uid="{CD02FCC1-66F7-40F7-8315-F53362D82A92}"/>
    <cellStyle name="Normal 3 2 2 2 68 3 2" xfId="4909" xr:uid="{7FDC16C0-4345-4568-89FF-126AF15C7CFC}"/>
    <cellStyle name="Normal 3 2 2 2 68 4" xfId="3493" xr:uid="{FE035C4A-D34F-4E25-9A85-C2DD7FCA89E8}"/>
    <cellStyle name="Normal 3 2 2 2 69" xfId="534" xr:uid="{00000000-0005-0000-0000-00004D040000}"/>
    <cellStyle name="Normal 3 2 2 2 69 2" xfId="1253" xr:uid="{00000000-0005-0000-0000-00004E040000}"/>
    <cellStyle name="Normal 3 2 2 2 69 2 2" xfId="2701" xr:uid="{ED7A61ED-0ACC-4B57-A3B3-94FAB8954AA2}"/>
    <cellStyle name="Normal 3 2 2 2 69 2 2 2" xfId="5557" xr:uid="{C581EB58-AFF9-4574-9A79-903AED655C09}"/>
    <cellStyle name="Normal 3 2 2 2 69 2 3" xfId="4139" xr:uid="{6DFB5119-64CE-4189-A2C6-F691E49D37E0}"/>
    <cellStyle name="Normal 3 2 2 2 69 3" xfId="2056" xr:uid="{6BC88CAE-3A57-4162-BB33-3469B5D2F7E8}"/>
    <cellStyle name="Normal 3 2 2 2 69 3 2" xfId="4916" xr:uid="{BC335B1F-0083-4017-BB2E-EEC6B8B62913}"/>
    <cellStyle name="Normal 3 2 2 2 69 4" xfId="3500" xr:uid="{6135DBD5-9567-4789-9F21-9F2F94235EE0}"/>
    <cellStyle name="Normal 3 2 2 2 7" xfId="193" xr:uid="{00000000-0005-0000-0000-00004F040000}"/>
    <cellStyle name="Normal 3 2 2 2 7 2" xfId="915" xr:uid="{00000000-0005-0000-0000-000050040000}"/>
    <cellStyle name="Normal 3 2 2 2 7 2 2" xfId="2363" xr:uid="{F3137B2C-22A0-4A79-AC1B-D6AC9CBEE886}"/>
    <cellStyle name="Normal 3 2 2 2 7 2 2 2" xfId="5219" xr:uid="{83E7B127-8899-4518-BD52-D3DB8D940F11}"/>
    <cellStyle name="Normal 3 2 2 2 7 2 3" xfId="3801" xr:uid="{5E533AEE-D04B-4C25-B857-8744FE91492C}"/>
    <cellStyle name="Normal 3 2 2 2 7 3" xfId="1716" xr:uid="{E27389F6-AE22-41EE-8424-A9C10A1E6318}"/>
    <cellStyle name="Normal 3 2 2 2 7 3 2" xfId="4576" xr:uid="{B4853DFA-5A42-4FA5-8043-4A9421EC3020}"/>
    <cellStyle name="Normal 3 2 2 2 7 4" xfId="3160" xr:uid="{1245B6EC-1AEE-4CFA-A4DA-2C29BDAD014A}"/>
    <cellStyle name="Normal 3 2 2 2 70" xfId="541" xr:uid="{00000000-0005-0000-0000-000051040000}"/>
    <cellStyle name="Normal 3 2 2 2 70 2" xfId="1260" xr:uid="{00000000-0005-0000-0000-000052040000}"/>
    <cellStyle name="Normal 3 2 2 2 70 2 2" xfId="2708" xr:uid="{198DE92F-4F16-4593-9CD6-00F385B88543}"/>
    <cellStyle name="Normal 3 2 2 2 70 2 2 2" xfId="5564" xr:uid="{406DD1D3-DB16-4F5D-8ADC-34F03F5E0155}"/>
    <cellStyle name="Normal 3 2 2 2 70 2 3" xfId="4146" xr:uid="{3F9C3F2E-7E14-462E-BCDE-47D0172BD3DD}"/>
    <cellStyle name="Normal 3 2 2 2 70 3" xfId="2063" xr:uid="{E0F14241-AE9D-4BA1-80CD-6EC1D08068EC}"/>
    <cellStyle name="Normal 3 2 2 2 70 3 2" xfId="4923" xr:uid="{89F718BE-8F51-460D-9005-31E07F72FADD}"/>
    <cellStyle name="Normal 3 2 2 2 70 4" xfId="3507" xr:uid="{6B83D3AA-F120-4A8D-A0BE-97299C877C3D}"/>
    <cellStyle name="Normal 3 2 2 2 71" xfId="543" xr:uid="{00000000-0005-0000-0000-000053040000}"/>
    <cellStyle name="Normal 3 2 2 2 71 2" xfId="1262" xr:uid="{00000000-0005-0000-0000-000054040000}"/>
    <cellStyle name="Normal 3 2 2 2 71 2 2" xfId="2710" xr:uid="{70F71F97-3428-43F2-BF96-87E92050377F}"/>
    <cellStyle name="Normal 3 2 2 2 71 2 2 2" xfId="5566" xr:uid="{7A734720-B1E1-4E67-AF3E-E77332E83B5E}"/>
    <cellStyle name="Normal 3 2 2 2 71 2 3" xfId="4148" xr:uid="{030F2CD4-D0FD-4ED4-A78C-F0D46EB0B9A1}"/>
    <cellStyle name="Normal 3 2 2 2 71 3" xfId="2065" xr:uid="{420877C6-A656-43F8-816E-52D122C232BF}"/>
    <cellStyle name="Normal 3 2 2 2 71 3 2" xfId="4925" xr:uid="{0E5EFD49-31DF-4464-BE7D-210E4EB8AE28}"/>
    <cellStyle name="Normal 3 2 2 2 71 4" xfId="3509" xr:uid="{A2FB83D7-5D65-4D9C-A644-BBF6BDC3F3C9}"/>
    <cellStyle name="Normal 3 2 2 2 72" xfId="552" xr:uid="{00000000-0005-0000-0000-000055040000}"/>
    <cellStyle name="Normal 3 2 2 2 72 2" xfId="1271" xr:uid="{00000000-0005-0000-0000-000056040000}"/>
    <cellStyle name="Normal 3 2 2 2 72 2 2" xfId="2719" xr:uid="{1D7F18AE-3CCC-4C2F-8401-55C8BDF95F02}"/>
    <cellStyle name="Normal 3 2 2 2 72 2 2 2" xfId="5575" xr:uid="{CFBA7596-2973-4D2C-9399-36312CEE51FB}"/>
    <cellStyle name="Normal 3 2 2 2 72 2 3" xfId="4157" xr:uid="{2D8B17A5-F18C-4E4C-9620-85D27BFE1B82}"/>
    <cellStyle name="Normal 3 2 2 2 72 3" xfId="2074" xr:uid="{27B28594-DB12-47A9-88E0-98E765FA3847}"/>
    <cellStyle name="Normal 3 2 2 2 72 3 2" xfId="4934" xr:uid="{EC817828-9E31-4881-BABC-847D6ED95A9B}"/>
    <cellStyle name="Normal 3 2 2 2 72 4" xfId="3518" xr:uid="{8E1338EB-94AF-441A-9213-6D2877088F4E}"/>
    <cellStyle name="Normal 3 2 2 2 73" xfId="554" xr:uid="{00000000-0005-0000-0000-000057040000}"/>
    <cellStyle name="Normal 3 2 2 2 73 2" xfId="1273" xr:uid="{00000000-0005-0000-0000-000058040000}"/>
    <cellStyle name="Normal 3 2 2 2 73 2 2" xfId="2721" xr:uid="{81160546-B94D-4AA9-94E0-CE0ED0646376}"/>
    <cellStyle name="Normal 3 2 2 2 73 2 2 2" xfId="5577" xr:uid="{67D29A27-B653-49BA-8606-7FB9E0CDB744}"/>
    <cellStyle name="Normal 3 2 2 2 73 2 3" xfId="4159" xr:uid="{05AEA682-D862-4A9D-AAA3-05943390FA7A}"/>
    <cellStyle name="Normal 3 2 2 2 73 3" xfId="2076" xr:uid="{16744CE2-70E1-4748-AE20-DB45873E8631}"/>
    <cellStyle name="Normal 3 2 2 2 73 3 2" xfId="4936" xr:uid="{C5A9E6B2-87CD-452E-B8A0-55D3E26E5C9B}"/>
    <cellStyle name="Normal 3 2 2 2 73 4" xfId="3520" xr:uid="{61E400DF-3D61-4F23-991A-C61BF8BEE767}"/>
    <cellStyle name="Normal 3 2 2 2 74" xfId="559" xr:uid="{00000000-0005-0000-0000-000059040000}"/>
    <cellStyle name="Normal 3 2 2 2 74 2" xfId="1278" xr:uid="{00000000-0005-0000-0000-00005A040000}"/>
    <cellStyle name="Normal 3 2 2 2 74 2 2" xfId="2726" xr:uid="{27B9417F-A00B-493D-973B-1083D0523B3C}"/>
    <cellStyle name="Normal 3 2 2 2 74 2 2 2" xfId="5582" xr:uid="{13C0C919-2E4C-419F-B306-DD7E16CD1D78}"/>
    <cellStyle name="Normal 3 2 2 2 74 2 3" xfId="4164" xr:uid="{A270860C-61B5-4598-8A9C-77D3A4556950}"/>
    <cellStyle name="Normal 3 2 2 2 74 3" xfId="2081" xr:uid="{69B5F070-57B9-4248-B405-E4D7DAD916B4}"/>
    <cellStyle name="Normal 3 2 2 2 74 3 2" xfId="4941" xr:uid="{D7EAC068-09C1-41B2-9B0C-38EDC94A248E}"/>
    <cellStyle name="Normal 3 2 2 2 74 4" xfId="3525" xr:uid="{098FBEEC-79CE-466A-8E48-6F8B687303CF}"/>
    <cellStyle name="Normal 3 2 2 2 75" xfId="568" xr:uid="{00000000-0005-0000-0000-00005B040000}"/>
    <cellStyle name="Normal 3 2 2 2 75 2" xfId="1287" xr:uid="{00000000-0005-0000-0000-00005C040000}"/>
    <cellStyle name="Normal 3 2 2 2 75 2 2" xfId="2735" xr:uid="{8DE9DE6B-ACFC-4E88-BB5E-77B2BC1AD85A}"/>
    <cellStyle name="Normal 3 2 2 2 75 2 2 2" xfId="5591" xr:uid="{13A44F27-D875-4101-8720-3236A627A94B}"/>
    <cellStyle name="Normal 3 2 2 2 75 2 3" xfId="4173" xr:uid="{75C7D6B9-7DB3-4750-88B0-E67EEA953B4D}"/>
    <cellStyle name="Normal 3 2 2 2 75 3" xfId="2090" xr:uid="{3BB64009-517A-4ACF-BD17-DF753FAF2242}"/>
    <cellStyle name="Normal 3 2 2 2 75 3 2" xfId="4950" xr:uid="{6BAF364E-8DE8-4F90-9E31-56D19D92F679}"/>
    <cellStyle name="Normal 3 2 2 2 75 4" xfId="3534" xr:uid="{D94CE230-5C3C-4360-B6BF-7892FCAA19FD}"/>
    <cellStyle name="Normal 3 2 2 2 76" xfId="572" xr:uid="{00000000-0005-0000-0000-00005D040000}"/>
    <cellStyle name="Normal 3 2 2 2 76 2" xfId="1291" xr:uid="{00000000-0005-0000-0000-00005E040000}"/>
    <cellStyle name="Normal 3 2 2 2 76 2 2" xfId="2739" xr:uid="{D57446E4-E7DA-4FDD-8F86-75C83FB885D7}"/>
    <cellStyle name="Normal 3 2 2 2 76 2 2 2" xfId="5595" xr:uid="{B860F3F8-5FC6-4185-80E2-1997A1EA66C0}"/>
    <cellStyle name="Normal 3 2 2 2 76 2 3" xfId="4177" xr:uid="{8FFC7FC6-1755-4F75-ABD7-2145CEF61E37}"/>
    <cellStyle name="Normal 3 2 2 2 76 3" xfId="2094" xr:uid="{4B5DED4B-E738-4619-B4E8-AD4C8D714BDE}"/>
    <cellStyle name="Normal 3 2 2 2 76 3 2" xfId="4954" xr:uid="{831E6CE9-C2BD-4027-AFA1-5A16E2447B55}"/>
    <cellStyle name="Normal 3 2 2 2 76 4" xfId="3538" xr:uid="{B19BD242-37D9-4308-8933-CB79C515D042}"/>
    <cellStyle name="Normal 3 2 2 2 77" xfId="576" xr:uid="{00000000-0005-0000-0000-00005F040000}"/>
    <cellStyle name="Normal 3 2 2 2 77 2" xfId="1295" xr:uid="{00000000-0005-0000-0000-000060040000}"/>
    <cellStyle name="Normal 3 2 2 2 77 2 2" xfId="2743" xr:uid="{F4FC7BDC-86CC-453E-A6AA-569B1E765EFD}"/>
    <cellStyle name="Normal 3 2 2 2 77 2 2 2" xfId="5599" xr:uid="{EE57984E-4611-4013-B796-3AB269D013A1}"/>
    <cellStyle name="Normal 3 2 2 2 77 2 3" xfId="4181" xr:uid="{722005AA-144A-4BFB-907D-E7BD44CE247A}"/>
    <cellStyle name="Normal 3 2 2 2 77 3" xfId="2098" xr:uid="{611167B2-37F0-4251-AE10-2C08E1CE815F}"/>
    <cellStyle name="Normal 3 2 2 2 77 3 2" xfId="4958" xr:uid="{3889F12F-2E5E-4B2A-B5B5-23BE51E31ACC}"/>
    <cellStyle name="Normal 3 2 2 2 77 4" xfId="3542" xr:uid="{5C6FA043-EE16-44E2-BA76-112FEA8147C1}"/>
    <cellStyle name="Normal 3 2 2 2 78" xfId="587" xr:uid="{00000000-0005-0000-0000-000061040000}"/>
    <cellStyle name="Normal 3 2 2 2 78 2" xfId="1306" xr:uid="{00000000-0005-0000-0000-000062040000}"/>
    <cellStyle name="Normal 3 2 2 2 78 2 2" xfId="2754" xr:uid="{CC16B421-6DBE-4FEE-A22E-A65B53608CD2}"/>
    <cellStyle name="Normal 3 2 2 2 78 2 2 2" xfId="5610" xr:uid="{206FAFE8-031E-4051-BC70-758E68A85E5C}"/>
    <cellStyle name="Normal 3 2 2 2 78 2 3" xfId="4192" xr:uid="{D74492C1-AE2E-42A4-88E6-D2A4E7943371}"/>
    <cellStyle name="Normal 3 2 2 2 78 3" xfId="2109" xr:uid="{C83593EE-D6E5-4DD5-8C0D-56AB39689ED4}"/>
    <cellStyle name="Normal 3 2 2 2 78 3 2" xfId="4969" xr:uid="{BE7A0746-DFBF-4A4E-A92B-E96D70D09954}"/>
    <cellStyle name="Normal 3 2 2 2 78 4" xfId="3553" xr:uid="{87C8D9DC-429D-482A-BC1E-8C1760CF4A82}"/>
    <cellStyle name="Normal 3 2 2 2 79" xfId="589" xr:uid="{00000000-0005-0000-0000-000063040000}"/>
    <cellStyle name="Normal 3 2 2 2 79 2" xfId="1307" xr:uid="{00000000-0005-0000-0000-000064040000}"/>
    <cellStyle name="Normal 3 2 2 2 79 2 2" xfId="2755" xr:uid="{DC883B85-769A-4243-9FF4-2FB838245368}"/>
    <cellStyle name="Normal 3 2 2 2 79 2 2 2" xfId="5611" xr:uid="{6605592E-8310-43E4-AFCF-AAE988B0D275}"/>
    <cellStyle name="Normal 3 2 2 2 79 2 3" xfId="4193" xr:uid="{17EC6371-6E41-46F0-AF94-3E6806E2D57F}"/>
    <cellStyle name="Normal 3 2 2 2 79 3" xfId="2110" xr:uid="{C75A48B5-4B4A-456E-8872-0DE4538CC575}"/>
    <cellStyle name="Normal 3 2 2 2 79 3 2" xfId="4970" xr:uid="{EB87E3E5-10C8-403E-BBAD-C43B5F01C63D}"/>
    <cellStyle name="Normal 3 2 2 2 79 4" xfId="3554" xr:uid="{443CBE89-2340-4B02-8BDB-82BB21612E2F}"/>
    <cellStyle name="Normal 3 2 2 2 8" xfId="196" xr:uid="{00000000-0005-0000-0000-000065040000}"/>
    <cellStyle name="Normal 3 2 2 2 8 2" xfId="918" xr:uid="{00000000-0005-0000-0000-000066040000}"/>
    <cellStyle name="Normal 3 2 2 2 8 2 2" xfId="2366" xr:uid="{7F2092F5-309B-4904-9E19-A0F5D16345EE}"/>
    <cellStyle name="Normal 3 2 2 2 8 2 2 2" xfId="5222" xr:uid="{7A1754F4-9351-4018-8623-4F095A835D92}"/>
    <cellStyle name="Normal 3 2 2 2 8 2 3" xfId="3804" xr:uid="{35608D17-D7D3-48C4-BA9B-81D37549DFFF}"/>
    <cellStyle name="Normal 3 2 2 2 8 3" xfId="1719" xr:uid="{19765FC0-A7FB-481A-AA63-E93E9CDDDE5D}"/>
    <cellStyle name="Normal 3 2 2 2 8 3 2" xfId="4579" xr:uid="{5B9DA676-24BB-4CDF-A2D2-AFC9D13E2573}"/>
    <cellStyle name="Normal 3 2 2 2 8 4" xfId="3163" xr:uid="{124AFA93-3339-4B0F-A811-0A3A85279202}"/>
    <cellStyle name="Normal 3 2 2 2 80" xfId="594" xr:uid="{00000000-0005-0000-0000-000067040000}"/>
    <cellStyle name="Normal 3 2 2 2 80 2" xfId="1312" xr:uid="{00000000-0005-0000-0000-000068040000}"/>
    <cellStyle name="Normal 3 2 2 2 80 2 2" xfId="2760" xr:uid="{27710694-6803-479C-B9C9-1406ED5AB791}"/>
    <cellStyle name="Normal 3 2 2 2 80 2 2 2" xfId="5616" xr:uid="{175BDE4E-5B4C-4A68-A77E-AA6381371BE3}"/>
    <cellStyle name="Normal 3 2 2 2 80 2 3" xfId="4198" xr:uid="{FC1D6B94-75BA-43B6-B5C1-599D7A565068}"/>
    <cellStyle name="Normal 3 2 2 2 80 3" xfId="2115" xr:uid="{D2645C00-6543-44E4-B925-606ED316E6EC}"/>
    <cellStyle name="Normal 3 2 2 2 80 3 2" xfId="4975" xr:uid="{A78B9399-416A-4BF5-80C7-F34F55F396DC}"/>
    <cellStyle name="Normal 3 2 2 2 80 4" xfId="3559" xr:uid="{516B2D2C-7B82-47BA-B01B-36D5414FDE8E}"/>
    <cellStyle name="Normal 3 2 2 2 81" xfId="605" xr:uid="{00000000-0005-0000-0000-000069040000}"/>
    <cellStyle name="Normal 3 2 2 2 81 2" xfId="1323" xr:uid="{00000000-0005-0000-0000-00006A040000}"/>
    <cellStyle name="Normal 3 2 2 2 81 2 2" xfId="2771" xr:uid="{EA36FB4B-AA3A-4EEF-A898-AB746E10C238}"/>
    <cellStyle name="Normal 3 2 2 2 81 2 2 2" xfId="5627" xr:uid="{B4E92019-A2BA-4458-89BD-22F1C8DD5C1B}"/>
    <cellStyle name="Normal 3 2 2 2 81 2 3" xfId="4209" xr:uid="{5272C8DF-A5E5-497D-9335-72436C13D6B5}"/>
    <cellStyle name="Normal 3 2 2 2 81 3" xfId="2126" xr:uid="{9FCC5E57-669C-4270-88E8-16700566A37F}"/>
    <cellStyle name="Normal 3 2 2 2 81 3 2" xfId="4986" xr:uid="{6F6B600E-9D14-4663-AE13-85DE1DCDBCF7}"/>
    <cellStyle name="Normal 3 2 2 2 81 4" xfId="3570" xr:uid="{5805B33B-56C7-4685-9A52-75275E4BC78E}"/>
    <cellStyle name="Normal 3 2 2 2 82" xfId="613" xr:uid="{00000000-0005-0000-0000-00006B040000}"/>
    <cellStyle name="Normal 3 2 2 2 82 2" xfId="1331" xr:uid="{00000000-0005-0000-0000-00006C040000}"/>
    <cellStyle name="Normal 3 2 2 2 82 2 2" xfId="2779" xr:uid="{C11E24C3-B5D3-4CAB-9851-F3270DB140C0}"/>
    <cellStyle name="Normal 3 2 2 2 82 2 2 2" xfId="5635" xr:uid="{43DF7456-4E9D-49F0-A285-8BD1E5009430}"/>
    <cellStyle name="Normal 3 2 2 2 82 2 3" xfId="4217" xr:uid="{1CBB6DD8-E33E-434C-BE6B-3A49330B4425}"/>
    <cellStyle name="Normal 3 2 2 2 82 3" xfId="2134" xr:uid="{4C60FAC7-D4DE-4E77-81DA-1AB8CABE9EF8}"/>
    <cellStyle name="Normal 3 2 2 2 82 3 2" xfId="4994" xr:uid="{98DED7AE-C514-4E0C-8A9B-BBBE526B38C2}"/>
    <cellStyle name="Normal 3 2 2 2 82 4" xfId="3578" xr:uid="{45C1B0C7-D089-41C2-A400-70483E5CFB86}"/>
    <cellStyle name="Normal 3 2 2 2 83" xfId="619" xr:uid="{00000000-0005-0000-0000-00006D040000}"/>
    <cellStyle name="Normal 3 2 2 2 83 2" xfId="623" xr:uid="{00000000-0005-0000-0000-00006E040000}"/>
    <cellStyle name="Normal 3 2 2 2 83 2 2" xfId="1340" xr:uid="{00000000-0005-0000-0000-00006F040000}"/>
    <cellStyle name="Normal 3 2 2 2 83 2 2 2" xfId="2788" xr:uid="{86E64BA6-DBB8-4E8B-B983-FDF56EF8870F}"/>
    <cellStyle name="Normal 3 2 2 2 83 2 2 2 2" xfId="5644" xr:uid="{CD0610CC-C613-46C4-A187-4A62064946A2}"/>
    <cellStyle name="Normal 3 2 2 2 83 2 2 3" xfId="4226" xr:uid="{7A5D44E1-B0F8-4D48-A1C4-CFD0284F04B3}"/>
    <cellStyle name="Normal 3 2 2 2 83 2 3" xfId="2144" xr:uid="{72D70BE7-238D-4B98-BD7D-B09E7D8BA028}"/>
    <cellStyle name="Normal 3 2 2 2 83 2 3 2" xfId="5004" xr:uid="{7211729C-107F-43B6-A7D6-D7058D4AC6B8}"/>
    <cellStyle name="Normal 3 2 2 2 83 2 4" xfId="3588" xr:uid="{2FBDF874-D84B-4022-9D94-963445714F82}"/>
    <cellStyle name="Normal 3 2 2 2 83 3" xfId="1336" xr:uid="{00000000-0005-0000-0000-000070040000}"/>
    <cellStyle name="Normal 3 2 2 2 83 3 2" xfId="2784" xr:uid="{C0A8A630-F1DB-4874-92F9-D94745DFF506}"/>
    <cellStyle name="Normal 3 2 2 2 83 3 2 2" xfId="5640" xr:uid="{04D76AF5-2F08-4F25-B5C3-A3DC929A3B1C}"/>
    <cellStyle name="Normal 3 2 2 2 83 3 3" xfId="4222" xr:uid="{C36B528A-467A-44F5-98DF-1B44402A0814}"/>
    <cellStyle name="Normal 3 2 2 2 83 4" xfId="2140" xr:uid="{7BA858F1-A501-4ABC-A750-D7F155EC3015}"/>
    <cellStyle name="Normal 3 2 2 2 83 4 2" xfId="5000" xr:uid="{77EFCCB1-E8BD-443E-918E-60C03E600FF8}"/>
    <cellStyle name="Normal 3 2 2 2 83 5" xfId="3584" xr:uid="{909ADC50-B5CA-4BB3-B736-3BB7D722C00F}"/>
    <cellStyle name="Normal 3 2 2 2 84" xfId="636" xr:uid="{00000000-0005-0000-0000-000071040000}"/>
    <cellStyle name="Normal 3 2 2 2 84 2" xfId="1350" xr:uid="{00000000-0005-0000-0000-000072040000}"/>
    <cellStyle name="Normal 3 2 2 2 84 2 2" xfId="2798" xr:uid="{98D53F96-2435-431A-BD1F-11F836C84C7F}"/>
    <cellStyle name="Normal 3 2 2 2 84 2 2 2" xfId="5654" xr:uid="{95B25752-20A9-43E4-8AF9-5CABA7BCA6C6}"/>
    <cellStyle name="Normal 3 2 2 2 84 2 3" xfId="4236" xr:uid="{E9994F65-F1EC-4085-9A93-DFAE34120327}"/>
    <cellStyle name="Normal 3 2 2 2 84 3" xfId="2154" xr:uid="{7F5F8E1D-38A8-4D10-8360-9644C6F36F6C}"/>
    <cellStyle name="Normal 3 2 2 2 84 3 2" xfId="5014" xr:uid="{765E8ED3-A0E5-41DF-BED8-93489CE34A1C}"/>
    <cellStyle name="Normal 3 2 2 2 84 4" xfId="3598" xr:uid="{01E5DF23-0A1B-423F-9F7D-4853F9FA20F2}"/>
    <cellStyle name="Normal 3 2 2 2 85" xfId="642" xr:uid="{00000000-0005-0000-0000-000073040000}"/>
    <cellStyle name="Normal 3 2 2 2 85 2" xfId="1356" xr:uid="{00000000-0005-0000-0000-000074040000}"/>
    <cellStyle name="Normal 3 2 2 2 85 2 2" xfId="2804" xr:uid="{B2518073-6696-48AB-B432-B789B90E757B}"/>
    <cellStyle name="Normal 3 2 2 2 85 2 2 2" xfId="5660" xr:uid="{65E5496E-CCFE-454A-B411-E55A1CFE039C}"/>
    <cellStyle name="Normal 3 2 2 2 85 2 3" xfId="4242" xr:uid="{CB78E234-1703-42F7-884D-1D9770A4C2A6}"/>
    <cellStyle name="Normal 3 2 2 2 85 3" xfId="2160" xr:uid="{9D395890-F13A-4D7F-B97B-91E5F2F62958}"/>
    <cellStyle name="Normal 3 2 2 2 85 3 2" xfId="5020" xr:uid="{124C3047-F570-4CB1-839D-03F631A23C92}"/>
    <cellStyle name="Normal 3 2 2 2 85 4" xfId="3604" xr:uid="{31F5A8BB-4F8C-49F3-B78D-AF70375499DA}"/>
    <cellStyle name="Normal 3 2 2 2 86" xfId="656" xr:uid="{00000000-0005-0000-0000-000075040000}"/>
    <cellStyle name="Normal 3 2 2 2 87" xfId="660" xr:uid="{00000000-0005-0000-0000-000076040000}"/>
    <cellStyle name="Normal 3 2 2 2 87 2" xfId="1362" xr:uid="{00000000-0005-0000-0000-000077040000}"/>
    <cellStyle name="Normal 3 2 2 2 87 2 2" xfId="2810" xr:uid="{AC6CE028-8630-42B6-9850-E27EF6DEABCC}"/>
    <cellStyle name="Normal 3 2 2 2 87 2 2 2" xfId="5666" xr:uid="{D7FED84B-0E8C-4FDA-A7CF-63353D3EF750}"/>
    <cellStyle name="Normal 3 2 2 2 87 2 3" xfId="4248" xr:uid="{E779AC54-FB66-448F-9682-FB369363C802}"/>
    <cellStyle name="Normal 3 2 2 2 87 3" xfId="2166" xr:uid="{AFC3D7C0-956A-4B5E-B162-5969C225712B}"/>
    <cellStyle name="Normal 3 2 2 2 87 3 2" xfId="5026" xr:uid="{5E54E3FE-C860-4449-A466-B76385F8E2F3}"/>
    <cellStyle name="Normal 3 2 2 2 87 4" xfId="3610" xr:uid="{5DA0A59F-231F-488F-BBA8-BEDDA611D88E}"/>
    <cellStyle name="Normal 3 2 2 2 88" xfId="725" xr:uid="{00000000-0005-0000-0000-000078040000}"/>
    <cellStyle name="Normal 3 2 2 2 88 2" xfId="1404" xr:uid="{00000000-0005-0000-0000-000079040000}"/>
    <cellStyle name="Normal 3 2 2 2 88 2 2" xfId="2851" xr:uid="{A8291A71-C61D-46BC-92AE-BE0A7939D7DF}"/>
    <cellStyle name="Normal 3 2 2 2 88 2 2 2" xfId="5706" xr:uid="{9D242C39-FCB4-472E-9B85-E47EC7DFEB0E}"/>
    <cellStyle name="Normal 3 2 2 2 88 2 3" xfId="4288" xr:uid="{923DAF01-DE26-4FC8-89EC-6F01E2AC4368}"/>
    <cellStyle name="Normal 3 2 2 2 88 3" xfId="2211" xr:uid="{14B80388-D3D4-4A4B-A4C7-D2814BC8FFF1}"/>
    <cellStyle name="Normal 3 2 2 2 88 3 2" xfId="5067" xr:uid="{0B3DAC3D-1DAD-444F-82E5-1FFBF15F1CC3}"/>
    <cellStyle name="Normal 3 2 2 2 88 4" xfId="3651" xr:uid="{69C9EDC8-1F0E-4517-8A89-F25BB364265B}"/>
    <cellStyle name="Normal 3 2 2 2 89" xfId="776" xr:uid="{00000000-0005-0000-0000-00007A040000}"/>
    <cellStyle name="Normal 3 2 2 2 89 2" xfId="2228" xr:uid="{38B19E76-96F3-49AC-A464-D96ED60D5FAE}"/>
    <cellStyle name="Normal 3 2 2 2 89 2 2" xfId="5084" xr:uid="{360A6E5D-6F6A-4D8D-86E1-793C10D679FD}"/>
    <cellStyle name="Normal 3 2 2 2 89 3" xfId="3666" xr:uid="{C9841781-AB37-441F-8C04-CBBC0823D567}"/>
    <cellStyle name="Normal 3 2 2 2 9" xfId="201" xr:uid="{00000000-0005-0000-0000-00007B040000}"/>
    <cellStyle name="Normal 3 2 2 2 9 2" xfId="923" xr:uid="{00000000-0005-0000-0000-00007C040000}"/>
    <cellStyle name="Normal 3 2 2 2 9 2 2" xfId="2371" xr:uid="{CFFDDB9D-1364-4C52-8470-AAA7AA49B032}"/>
    <cellStyle name="Normal 3 2 2 2 9 2 2 2" xfId="5227" xr:uid="{8EE0AE5F-73AC-4A30-AB7C-6839E382B294}"/>
    <cellStyle name="Normal 3 2 2 2 9 2 3" xfId="3809" xr:uid="{6439973A-7693-4D26-BED3-707A88678F03}"/>
    <cellStyle name="Normal 3 2 2 2 9 3" xfId="1724" xr:uid="{374A27DF-20E1-4DCA-8CCC-07ACC0B48A44}"/>
    <cellStyle name="Normal 3 2 2 2 9 3 2" xfId="4584" xr:uid="{CE592C95-4C90-40BE-9573-556116067DE4}"/>
    <cellStyle name="Normal 3 2 2 2 9 4" xfId="3168" xr:uid="{D1EE9711-7511-44B4-A9D0-88E0D99B8958}"/>
    <cellStyle name="Normal 3 2 2 2 90" xfId="1580" xr:uid="{97DDDE3B-597C-4931-AF99-2AAFE533EF1B}"/>
    <cellStyle name="Normal 3 2 2 2 90 2" xfId="4440" xr:uid="{1F730FCB-0AE1-4595-A36B-9675A97D74BC}"/>
    <cellStyle name="Normal 3 2 2 2 91" xfId="3025" xr:uid="{78026515-6F03-47D8-A746-48EDB6189AFF}"/>
    <cellStyle name="Normal 3 20" xfId="203" xr:uid="{00000000-0005-0000-0000-00007D040000}"/>
    <cellStyle name="Normal 3 20 2" xfId="925" xr:uid="{00000000-0005-0000-0000-00007E040000}"/>
    <cellStyle name="Normal 3 20 2 2" xfId="2373" xr:uid="{4918E76E-D726-4422-A720-95F0A3F35AEF}"/>
    <cellStyle name="Normal 3 20 2 2 2" xfId="5229" xr:uid="{E6B0685A-0D34-43FD-9AC7-50AAB05C1D1F}"/>
    <cellStyle name="Normal 3 20 2 3" xfId="3811" xr:uid="{19CBDAC5-C397-4ECD-96A9-23667912ECB1}"/>
    <cellStyle name="Normal 3 20 3" xfId="1726" xr:uid="{21BB14F9-57FA-45EF-B9F2-831AE3267007}"/>
    <cellStyle name="Normal 3 20 3 2" xfId="4586" xr:uid="{486289B4-7AE8-4567-B32A-D984CC45C2D5}"/>
    <cellStyle name="Normal 3 20 4" xfId="3170" xr:uid="{D7224080-C3F2-4C51-9F82-6087082A4E47}"/>
    <cellStyle name="Normal 3 21" xfId="217" xr:uid="{00000000-0005-0000-0000-00007F040000}"/>
    <cellStyle name="Normal 3 21 2" xfId="939" xr:uid="{00000000-0005-0000-0000-000080040000}"/>
    <cellStyle name="Normal 3 21 2 2" xfId="2387" xr:uid="{2F090AF8-DFD4-403B-AF2F-7628034AB0D7}"/>
    <cellStyle name="Normal 3 21 2 2 2" xfId="5243" xr:uid="{A6DB6D68-2439-4C59-B921-2785729C4FA0}"/>
    <cellStyle name="Normal 3 21 2 3" xfId="3825" xr:uid="{21221AA7-CB45-4FDA-974E-D836FEEAAFAD}"/>
    <cellStyle name="Normal 3 21 3" xfId="1740" xr:uid="{D7963DBF-E267-440E-81D9-0E1BF454EF5C}"/>
    <cellStyle name="Normal 3 21 3 2" xfId="4600" xr:uid="{15A03AC3-64C5-42E9-9B5D-8CECD26CF98A}"/>
    <cellStyle name="Normal 3 21 4" xfId="3184" xr:uid="{FB8CDD46-C834-4C93-82B1-3D3FEAAA318D}"/>
    <cellStyle name="Normal 3 22" xfId="228" xr:uid="{00000000-0005-0000-0000-000081040000}"/>
    <cellStyle name="Normal 3 22 2" xfId="950" xr:uid="{00000000-0005-0000-0000-000082040000}"/>
    <cellStyle name="Normal 3 22 2 2" xfId="2398" xr:uid="{10410528-41BD-4F49-9F16-BCB74A48D915}"/>
    <cellStyle name="Normal 3 22 2 2 2" xfId="5254" xr:uid="{D26603F8-D4F4-4731-A787-D51A8B43B118}"/>
    <cellStyle name="Normal 3 22 2 3" xfId="3836" xr:uid="{E0DC3905-EE0C-40D8-8555-9E92A98E734F}"/>
    <cellStyle name="Normal 3 22 3" xfId="1751" xr:uid="{5805EB14-E8C8-428D-BDCE-FCFD5CC814EA}"/>
    <cellStyle name="Normal 3 22 3 2" xfId="4611" xr:uid="{0B906B6D-9FF4-40E4-963B-31420C3B6C21}"/>
    <cellStyle name="Normal 3 22 4" xfId="3195" xr:uid="{B20E39EB-21E4-4376-8072-307C73932ED3}"/>
    <cellStyle name="Normal 3 23" xfId="241" xr:uid="{00000000-0005-0000-0000-000083040000}"/>
    <cellStyle name="Normal 3 23 2" xfId="963" xr:uid="{00000000-0005-0000-0000-000084040000}"/>
    <cellStyle name="Normal 3 23 2 2" xfId="2411" xr:uid="{80A13752-1B12-4426-9724-5D84159A7757}"/>
    <cellStyle name="Normal 3 23 2 2 2" xfId="5267" xr:uid="{D4C68C90-3F24-4668-80EF-57C8BA20FD6F}"/>
    <cellStyle name="Normal 3 23 2 3" xfId="3849" xr:uid="{E89763D5-3F29-4806-98FF-E801FF8CA0AB}"/>
    <cellStyle name="Normal 3 23 3" xfId="1764" xr:uid="{69AE159F-E6DC-4BCA-B620-82B9316920C9}"/>
    <cellStyle name="Normal 3 23 3 2" xfId="4624" xr:uid="{8EAC3D1E-30F7-4A47-B0C5-37BA8F28FE2A}"/>
    <cellStyle name="Normal 3 23 4" xfId="3208" xr:uid="{616D69ED-BE26-4DD5-A032-20613001B1AC}"/>
    <cellStyle name="Normal 3 24" xfId="253" xr:uid="{00000000-0005-0000-0000-000085040000}"/>
    <cellStyle name="Normal 3 24 2" xfId="975" xr:uid="{00000000-0005-0000-0000-000086040000}"/>
    <cellStyle name="Normal 3 24 2 2" xfId="2423" xr:uid="{E67C50E3-E435-40BB-BF72-F1A0925596AE}"/>
    <cellStyle name="Normal 3 24 2 2 2" xfId="5279" xr:uid="{4FBAEF1B-2162-43CC-B7B0-D14834C1CD74}"/>
    <cellStyle name="Normal 3 24 2 3" xfId="3861" xr:uid="{68AD8371-CAA2-4F0E-95DC-A14263DEB086}"/>
    <cellStyle name="Normal 3 24 3" xfId="1776" xr:uid="{0C838CCC-F347-416E-B3C5-903B80723897}"/>
    <cellStyle name="Normal 3 24 3 2" xfId="4636" xr:uid="{B26031AF-1542-418B-8747-0AC8CC7236DE}"/>
    <cellStyle name="Normal 3 24 4" xfId="3220" xr:uid="{8D49E279-B516-4F42-9CEE-009D8551D7FD}"/>
    <cellStyle name="Normal 3 25" xfId="263" xr:uid="{00000000-0005-0000-0000-000087040000}"/>
    <cellStyle name="Normal 3 25 2" xfId="985" xr:uid="{00000000-0005-0000-0000-000088040000}"/>
    <cellStyle name="Normal 3 25 2 2" xfId="2433" xr:uid="{3F5D091C-865E-4F8C-A2D3-4CD396496EA8}"/>
    <cellStyle name="Normal 3 25 2 2 2" xfId="5289" xr:uid="{3944E520-68BC-426E-9457-E714E0E7C1F2}"/>
    <cellStyle name="Normal 3 25 2 3" xfId="3871" xr:uid="{C9361808-5C03-468C-965B-9E162F88EAB5}"/>
    <cellStyle name="Normal 3 25 3" xfId="1786" xr:uid="{CE1F5155-8AB5-462A-9353-FF4F00619BE2}"/>
    <cellStyle name="Normal 3 25 3 2" xfId="4646" xr:uid="{3C2C48F1-F95E-40F6-8ED2-656B1ED51DDA}"/>
    <cellStyle name="Normal 3 25 4" xfId="3230" xr:uid="{7FF37E44-B07F-497A-ABC7-8A5760AF756A}"/>
    <cellStyle name="Normal 3 26" xfId="279" xr:uid="{00000000-0005-0000-0000-000089040000}"/>
    <cellStyle name="Normal 3 26 2" xfId="1001" xr:uid="{00000000-0005-0000-0000-00008A040000}"/>
    <cellStyle name="Normal 3 26 2 2" xfId="2449" xr:uid="{D16ADECF-2742-472A-8B97-7C516345C2C1}"/>
    <cellStyle name="Normal 3 26 2 2 2" xfId="5305" xr:uid="{BE7FAECD-2480-4AD1-92AA-F194B096D97A}"/>
    <cellStyle name="Normal 3 26 2 3" xfId="3887" xr:uid="{E27DFAF4-51AD-451E-8F9E-D4EE4B7598B8}"/>
    <cellStyle name="Normal 3 26 3" xfId="1802" xr:uid="{D73AF0CF-73E4-4E93-96CC-31167C354B05}"/>
    <cellStyle name="Normal 3 26 3 2" xfId="4662" xr:uid="{206D22A3-41C1-47FE-B76F-6D12BB4CEC6B}"/>
    <cellStyle name="Normal 3 26 4" xfId="3246" xr:uid="{CB1B1748-6227-4671-946F-F0346E5CB19C}"/>
    <cellStyle name="Normal 3 27" xfId="295" xr:uid="{00000000-0005-0000-0000-00008B040000}"/>
    <cellStyle name="Normal 3 27 2" xfId="1016" xr:uid="{00000000-0005-0000-0000-00008C040000}"/>
    <cellStyle name="Normal 3 27 2 2" xfId="2464" xr:uid="{BB8F609E-47E7-4AB1-A509-7F8BB924B25E}"/>
    <cellStyle name="Normal 3 27 2 2 2" xfId="5320" xr:uid="{333D34AA-564E-40D4-9C40-92B0BF1B82F0}"/>
    <cellStyle name="Normal 3 27 2 3" xfId="3902" xr:uid="{CF9F3D21-EC9E-4D68-ABBC-1D28680A401C}"/>
    <cellStyle name="Normal 3 27 3" xfId="1818" xr:uid="{82B30D52-55E5-4E09-906A-38550A2085F7}"/>
    <cellStyle name="Normal 3 27 3 2" xfId="4678" xr:uid="{80067E18-C504-48B1-B13E-66BDA79D4F7C}"/>
    <cellStyle name="Normal 3 27 4" xfId="3262" xr:uid="{AFDF794F-9624-402B-B3B9-AB528EE4AE9C}"/>
    <cellStyle name="Normal 3 28" xfId="305" xr:uid="{00000000-0005-0000-0000-00008D040000}"/>
    <cellStyle name="Normal 3 28 2" xfId="1026" xr:uid="{00000000-0005-0000-0000-00008E040000}"/>
    <cellStyle name="Normal 3 28 2 2" xfId="2474" xr:uid="{022BABD6-CAB1-4DAF-983B-F968A0208C34}"/>
    <cellStyle name="Normal 3 28 2 2 2" xfId="5330" xr:uid="{021FBE27-749E-4080-B1E2-7A4FDD8FF911}"/>
    <cellStyle name="Normal 3 28 2 3" xfId="3912" xr:uid="{156BF019-808E-45EE-9517-A89EE885F3EE}"/>
    <cellStyle name="Normal 3 28 3" xfId="1828" xr:uid="{74957D36-E759-4168-9563-A62ED327158E}"/>
    <cellStyle name="Normal 3 28 3 2" xfId="4688" xr:uid="{D13E2F09-16AE-4203-9BD9-1C1F3ED2E939}"/>
    <cellStyle name="Normal 3 28 4" xfId="3272" xr:uid="{52726C90-6898-4E14-A499-6068B4C11362}"/>
    <cellStyle name="Normal 3 29" xfId="320" xr:uid="{00000000-0005-0000-0000-00008F040000}"/>
    <cellStyle name="Normal 3 29 2" xfId="1041" xr:uid="{00000000-0005-0000-0000-000090040000}"/>
    <cellStyle name="Normal 3 29 2 2" xfId="2489" xr:uid="{87CB57E0-AF35-45CB-A87A-9AB31230EC0E}"/>
    <cellStyle name="Normal 3 29 2 2 2" xfId="5345" xr:uid="{2FE641AF-9D6C-4D89-BF16-EAB27C03F610}"/>
    <cellStyle name="Normal 3 29 2 3" xfId="3927" xr:uid="{8A1F0ED5-36AD-4A20-895E-F85A3F85B504}"/>
    <cellStyle name="Normal 3 29 3" xfId="1843" xr:uid="{582FF1F7-E551-4FC6-8E90-CF3E17CF9FDE}"/>
    <cellStyle name="Normal 3 29 3 2" xfId="4703" xr:uid="{877206F3-FF45-4157-934F-0A4E1040AF5E}"/>
    <cellStyle name="Normal 3 29 4" xfId="3287" xr:uid="{B9BAF3C7-290F-46B9-B16E-9CEFFCC77D4D}"/>
    <cellStyle name="Normal 3 3" xfId="20" xr:uid="{00000000-0005-0000-0000-000091040000}"/>
    <cellStyle name="Normal 3 3 10" xfId="125" xr:uid="{00000000-0005-0000-0000-000092040000}"/>
    <cellStyle name="Normal 3 3 10 2" xfId="851" xr:uid="{00000000-0005-0000-0000-000093040000}"/>
    <cellStyle name="Normal 3 3 10 2 2" xfId="2299" xr:uid="{5CA99325-7280-4049-A1CF-D17194E02245}"/>
    <cellStyle name="Normal 3 3 10 2 2 2" xfId="5155" xr:uid="{33DEBBFD-80BD-45E1-9A8E-1B9B3BFC338F}"/>
    <cellStyle name="Normal 3 3 10 2 3" xfId="3737" xr:uid="{348DFB11-B6B7-47D3-AA41-20C91812A0AA}"/>
    <cellStyle name="Normal 3 3 10 3" xfId="1652" xr:uid="{CCFB55F4-3196-4AB2-871E-C7CFACABEB68}"/>
    <cellStyle name="Normal 3 3 10 3 2" xfId="4512" xr:uid="{D57FDCEC-91AF-437D-A35C-A03FC2481B48}"/>
    <cellStyle name="Normal 3 3 10 4" xfId="3096" xr:uid="{D47B79C1-F620-4F7E-9DA0-B23FE8225508}"/>
    <cellStyle name="Normal 3 3 11" xfId="133" xr:uid="{00000000-0005-0000-0000-000094040000}"/>
    <cellStyle name="Normal 3 3 11 2" xfId="858" xr:uid="{00000000-0005-0000-0000-000095040000}"/>
    <cellStyle name="Normal 3 3 11 2 2" xfId="2306" xr:uid="{5307CCA0-C782-44B5-A1A2-DBB411A9A562}"/>
    <cellStyle name="Normal 3 3 11 2 2 2" xfId="5162" xr:uid="{B7369990-BF2B-4203-A306-CAED8BB18D75}"/>
    <cellStyle name="Normal 3 3 11 2 3" xfId="3744" xr:uid="{87B47DBF-DAC7-4A53-8EF0-34FC452B9101}"/>
    <cellStyle name="Normal 3 3 11 3" xfId="1659" xr:uid="{F325B2B4-401D-4F3C-88DD-F607EE76642E}"/>
    <cellStyle name="Normal 3 3 11 3 2" xfId="4519" xr:uid="{0F12D242-9E8C-44CF-9F81-206EECD77655}"/>
    <cellStyle name="Normal 3 3 11 4" xfId="3103" xr:uid="{0C576631-8FFD-47A3-A10A-4DA96567FACC}"/>
    <cellStyle name="Normal 3 3 12" xfId="143" xr:uid="{00000000-0005-0000-0000-000096040000}"/>
    <cellStyle name="Normal 3 3 12 2" xfId="868" xr:uid="{00000000-0005-0000-0000-000097040000}"/>
    <cellStyle name="Normal 3 3 12 2 2" xfId="2316" xr:uid="{DC177C0D-BDC3-4202-8D6F-6290B0C7F635}"/>
    <cellStyle name="Normal 3 3 12 2 2 2" xfId="5172" xr:uid="{6B0A011A-265E-42C5-843D-98DDD996B55F}"/>
    <cellStyle name="Normal 3 3 12 2 3" xfId="3754" xr:uid="{AA707D4F-AA82-4037-9BBB-DB8F074D8822}"/>
    <cellStyle name="Normal 3 3 12 3" xfId="1669" xr:uid="{3081F007-B868-4C8B-914C-37BD6FDCDA2B}"/>
    <cellStyle name="Normal 3 3 12 3 2" xfId="4529" xr:uid="{D5B135C3-1925-4E7B-A788-0A14A1ACA6FD}"/>
    <cellStyle name="Normal 3 3 12 4" xfId="3113" xr:uid="{1DEB24FA-509A-4771-81A5-DB4E6580CB8F}"/>
    <cellStyle name="Normal 3 3 13" xfId="149" xr:uid="{00000000-0005-0000-0000-000098040000}"/>
    <cellStyle name="Normal 3 3 13 2" xfId="874" xr:uid="{00000000-0005-0000-0000-000099040000}"/>
    <cellStyle name="Normal 3 3 13 2 2" xfId="2322" xr:uid="{5A30F62C-8E3E-4DC2-A30E-734A113D641F}"/>
    <cellStyle name="Normal 3 3 13 2 2 2" xfId="5178" xr:uid="{95236DDA-E6F2-4B28-80B2-1DD45E99517E}"/>
    <cellStyle name="Normal 3 3 13 2 3" xfId="3760" xr:uid="{7A5A7EA0-993C-4163-B599-414AC66A9D66}"/>
    <cellStyle name="Normal 3 3 13 3" xfId="1675" xr:uid="{1B24459D-7067-498B-BC0C-83EC05051F45}"/>
    <cellStyle name="Normal 3 3 13 3 2" xfId="4535" xr:uid="{91B1192C-D7A1-40F1-BEA7-A83C56A17C51}"/>
    <cellStyle name="Normal 3 3 13 4" xfId="3119" xr:uid="{5927132C-D0DD-4AE8-8F6E-2207662B4117}"/>
    <cellStyle name="Normal 3 3 14" xfId="158" xr:uid="{00000000-0005-0000-0000-00009A040000}"/>
    <cellStyle name="Normal 3 3 14 2" xfId="881" xr:uid="{00000000-0005-0000-0000-00009B040000}"/>
    <cellStyle name="Normal 3 3 14 2 2" xfId="2329" xr:uid="{581C71CF-7C10-44D1-A830-72C66D785517}"/>
    <cellStyle name="Normal 3 3 14 2 2 2" xfId="5185" xr:uid="{3B735EA3-E697-4A83-AD39-5AC6E1AF3C5F}"/>
    <cellStyle name="Normal 3 3 14 2 3" xfId="3767" xr:uid="{0F256EA4-1F5E-40C4-A457-988E132E94E2}"/>
    <cellStyle name="Normal 3 3 14 3" xfId="1682" xr:uid="{AD37B777-7BF2-42A7-868B-6CB670951462}"/>
    <cellStyle name="Normal 3 3 14 3 2" xfId="4542" xr:uid="{0D38ED27-9F51-4BED-96F4-6D04170B5B4A}"/>
    <cellStyle name="Normal 3 3 14 4" xfId="3126" xr:uid="{D026B93F-81B1-42BA-B316-9376665DD7E1}"/>
    <cellStyle name="Normal 3 3 15" xfId="165" xr:uid="{00000000-0005-0000-0000-00009C040000}"/>
    <cellStyle name="Normal 3 3 15 2" xfId="888" xr:uid="{00000000-0005-0000-0000-00009D040000}"/>
    <cellStyle name="Normal 3 3 15 2 2" xfId="2336" xr:uid="{8BD22975-9D22-4A2D-B49A-97155CAF481A}"/>
    <cellStyle name="Normal 3 3 15 2 2 2" xfId="5192" xr:uid="{F04BB101-995C-4E5C-BAF8-9B4FD87E1316}"/>
    <cellStyle name="Normal 3 3 15 2 3" xfId="3774" xr:uid="{BD9DB9FF-8B9D-4093-A6A9-ACBF6AF52DBE}"/>
    <cellStyle name="Normal 3 3 15 3" xfId="1689" xr:uid="{1715A031-9627-4A65-AC4D-230241E1483B}"/>
    <cellStyle name="Normal 3 3 15 3 2" xfId="4549" xr:uid="{9E1DF467-8A83-4C68-9249-62CC3E73FE8E}"/>
    <cellStyle name="Normal 3 3 15 4" xfId="3133" xr:uid="{C5974C68-3E8C-4E07-B181-61F80B8BB6F5}"/>
    <cellStyle name="Normal 3 3 16" xfId="179" xr:uid="{00000000-0005-0000-0000-00009E040000}"/>
    <cellStyle name="Normal 3 3 16 2" xfId="901" xr:uid="{00000000-0005-0000-0000-00009F040000}"/>
    <cellStyle name="Normal 3 3 16 2 2" xfId="2349" xr:uid="{23B1971A-5D5A-4601-9108-86F042CE910A}"/>
    <cellStyle name="Normal 3 3 16 2 2 2" xfId="5205" xr:uid="{C995D4C2-991B-4E66-93EE-EC09DB4C011A}"/>
    <cellStyle name="Normal 3 3 16 2 3" xfId="3787" xr:uid="{746F1284-A457-4E52-A4AE-905325C42133}"/>
    <cellStyle name="Normal 3 3 16 3" xfId="1702" xr:uid="{6E98C1BC-6560-456B-A118-58D759F9ED2F}"/>
    <cellStyle name="Normal 3 3 16 3 2" xfId="4562" xr:uid="{72157E6F-0820-4A7E-9A31-61E8556C1F03}"/>
    <cellStyle name="Normal 3 3 16 4" xfId="3146" xr:uid="{E91FBBFE-F629-40CE-A929-466C5122FDCF}"/>
    <cellStyle name="Normal 3 3 17" xfId="192" xr:uid="{00000000-0005-0000-0000-0000A0040000}"/>
    <cellStyle name="Normal 3 3 17 2" xfId="914" xr:uid="{00000000-0005-0000-0000-0000A1040000}"/>
    <cellStyle name="Normal 3 3 17 2 2" xfId="2362" xr:uid="{09E81D59-D4F6-4B9B-AA80-FC8A675B6DE8}"/>
    <cellStyle name="Normal 3 3 17 2 2 2" xfId="5218" xr:uid="{C2644EA9-D6BC-4166-B413-EA92C433BED6}"/>
    <cellStyle name="Normal 3 3 17 2 3" xfId="3800" xr:uid="{6522E46A-D3CD-49AE-B27A-9C01C77AA62A}"/>
    <cellStyle name="Normal 3 3 17 3" xfId="1715" xr:uid="{1784E26E-F06E-484B-A76D-1FA374CD83A6}"/>
    <cellStyle name="Normal 3 3 17 3 2" xfId="4575" xr:uid="{2515045A-A43C-40EA-A2A0-EA0A533110F2}"/>
    <cellStyle name="Normal 3 3 17 4" xfId="3159" xr:uid="{4FD15248-5BC6-41E4-8508-3ED7321F5CC5}"/>
    <cellStyle name="Normal 3 3 18" xfId="206" xr:uid="{00000000-0005-0000-0000-0000A2040000}"/>
    <cellStyle name="Normal 3 3 18 2" xfId="928" xr:uid="{00000000-0005-0000-0000-0000A3040000}"/>
    <cellStyle name="Normal 3 3 18 2 2" xfId="2376" xr:uid="{285E371B-7372-4381-AC4F-8293E7742C6A}"/>
    <cellStyle name="Normal 3 3 18 2 2 2" xfId="5232" xr:uid="{DAB47E0A-0129-45DF-AF03-2EABC0A8B30F}"/>
    <cellStyle name="Normal 3 3 18 2 3" xfId="3814" xr:uid="{F1FE8A80-D7D7-4C56-93C4-66DE454212DD}"/>
    <cellStyle name="Normal 3 3 18 3" xfId="1729" xr:uid="{FC2A5CB6-B477-4AB2-9BCA-8B5EF4874E6F}"/>
    <cellStyle name="Normal 3 3 18 3 2" xfId="4589" xr:uid="{DE850721-2A39-43F1-BA38-2227C85016CE}"/>
    <cellStyle name="Normal 3 3 18 4" xfId="3173" xr:uid="{BF06DDE9-E2BD-4128-8423-20F7DC010832}"/>
    <cellStyle name="Normal 3 3 19" xfId="220" xr:uid="{00000000-0005-0000-0000-0000A4040000}"/>
    <cellStyle name="Normal 3 3 19 2" xfId="942" xr:uid="{00000000-0005-0000-0000-0000A5040000}"/>
    <cellStyle name="Normal 3 3 19 2 2" xfId="2390" xr:uid="{6EEEFDEB-CDCD-49D8-973C-19256FC5121E}"/>
    <cellStyle name="Normal 3 3 19 2 2 2" xfId="5246" xr:uid="{3200D466-252E-4479-8036-986F9EE3826C}"/>
    <cellStyle name="Normal 3 3 19 2 3" xfId="3828" xr:uid="{7FE72520-7301-4AE6-B47A-276CE45A04D2}"/>
    <cellStyle name="Normal 3 3 19 3" xfId="1743" xr:uid="{0643638F-E149-458B-9FB4-F238EF21C028}"/>
    <cellStyle name="Normal 3 3 19 3 2" xfId="4603" xr:uid="{D9EEB083-F49C-4A68-89D2-3DF1D5998768}"/>
    <cellStyle name="Normal 3 3 19 4" xfId="3187" xr:uid="{842B25F8-0E3F-4618-8010-6063F3128F1B}"/>
    <cellStyle name="Normal 3 3 2" xfId="34" xr:uid="{00000000-0005-0000-0000-0000A6040000}"/>
    <cellStyle name="Normal 3 3 2 10" xfId="411" xr:uid="{00000000-0005-0000-0000-0000A7040000}"/>
    <cellStyle name="Normal 3 3 2 10 2" xfId="1132" xr:uid="{00000000-0005-0000-0000-0000A8040000}"/>
    <cellStyle name="Normal 3 3 2 10 2 2" xfId="2580" xr:uid="{70F5B229-2162-4D8F-A359-1BBC8EB09889}"/>
    <cellStyle name="Normal 3 3 2 10 2 2 2" xfId="5436" xr:uid="{507C5716-D012-4479-BF72-910372CE215C}"/>
    <cellStyle name="Normal 3 3 2 10 2 3" xfId="4018" xr:uid="{3E5CB99B-F5EE-4624-956C-D253772BD1C9}"/>
    <cellStyle name="Normal 3 3 2 10 3" xfId="1934" xr:uid="{33D6CD3C-B82C-4F1F-BE57-866B96E3C1EB}"/>
    <cellStyle name="Normal 3 3 2 10 3 2" xfId="4794" xr:uid="{E45F04FE-87C3-4D52-BC76-B915BC6559B6}"/>
    <cellStyle name="Normal 3 3 2 10 4" xfId="3378" xr:uid="{73A7B3D9-4F7B-4DC0-82E1-62D66F1A9D87}"/>
    <cellStyle name="Normal 3 3 2 11" xfId="423" xr:uid="{00000000-0005-0000-0000-0000A9040000}"/>
    <cellStyle name="Normal 3 3 2 11 2" xfId="1144" xr:uid="{00000000-0005-0000-0000-0000AA040000}"/>
    <cellStyle name="Normal 3 3 2 11 2 2" xfId="2592" xr:uid="{0C29E053-C2B8-407E-89D5-55FB73F1B1A4}"/>
    <cellStyle name="Normal 3 3 2 11 2 2 2" xfId="5448" xr:uid="{0C180E81-6EDA-4DFB-B818-EFA1F836CBEB}"/>
    <cellStyle name="Normal 3 3 2 11 2 3" xfId="4030" xr:uid="{939B7440-9BAA-44D1-BCDA-1A3CCE24E861}"/>
    <cellStyle name="Normal 3 3 2 11 3" xfId="1946" xr:uid="{50C2F41B-1D21-4C9E-8FAC-85DF95AA3FD6}"/>
    <cellStyle name="Normal 3 3 2 11 3 2" xfId="4806" xr:uid="{23F44BDE-B7EA-4050-96C2-44D335447E8F}"/>
    <cellStyle name="Normal 3 3 2 11 4" xfId="3390" xr:uid="{FDBC61CA-9234-437D-B019-3F136EDCC460}"/>
    <cellStyle name="Normal 3 3 2 12" xfId="432" xr:uid="{00000000-0005-0000-0000-0000AB040000}"/>
    <cellStyle name="Normal 3 3 2 12 2" xfId="1153" xr:uid="{00000000-0005-0000-0000-0000AC040000}"/>
    <cellStyle name="Normal 3 3 2 12 2 2" xfId="2601" xr:uid="{31D3A69A-AD7A-4382-B4B5-832520C30849}"/>
    <cellStyle name="Normal 3 3 2 12 2 2 2" xfId="5457" xr:uid="{5A66DB3A-4372-473B-A651-3AEDDEBB2AC4}"/>
    <cellStyle name="Normal 3 3 2 12 2 3" xfId="4039" xr:uid="{AF2CD6A0-4C79-4554-99D9-286136A9A363}"/>
    <cellStyle name="Normal 3 3 2 12 3" xfId="1955" xr:uid="{589F903C-11BF-42B3-A766-4ECB8EE73C77}"/>
    <cellStyle name="Normal 3 3 2 12 3 2" xfId="4815" xr:uid="{6BE785BC-C9B4-4C70-A1EC-0CA9F970E3AC}"/>
    <cellStyle name="Normal 3 3 2 12 4" xfId="3399" xr:uid="{1EE730EE-2408-4F4B-8727-7006E45EF82D}"/>
    <cellStyle name="Normal 3 3 2 13" xfId="448" xr:uid="{00000000-0005-0000-0000-0000AD040000}"/>
    <cellStyle name="Normal 3 3 2 13 2" xfId="1169" xr:uid="{00000000-0005-0000-0000-0000AE040000}"/>
    <cellStyle name="Normal 3 3 2 13 2 2" xfId="2617" xr:uid="{4FC47019-9C67-4499-B298-4ABCE005B814}"/>
    <cellStyle name="Normal 3 3 2 13 2 2 2" xfId="5473" xr:uid="{E6BA5813-E094-4136-8FF4-93E28A24FD6B}"/>
    <cellStyle name="Normal 3 3 2 13 2 3" xfId="4055" xr:uid="{2FE90634-37FF-455F-AAA1-4B62BF3F371E}"/>
    <cellStyle name="Normal 3 3 2 13 3" xfId="1971" xr:uid="{3280EBCB-69AC-4642-BD03-AD10CCB12C0A}"/>
    <cellStyle name="Normal 3 3 2 13 3 2" xfId="4831" xr:uid="{539A695A-962E-45ED-9D13-39460EB1BBAB}"/>
    <cellStyle name="Normal 3 3 2 13 4" xfId="3415" xr:uid="{4927C09D-BECB-4E0F-89BC-245D23EDE455}"/>
    <cellStyle name="Normal 3 3 2 14" xfId="466" xr:uid="{00000000-0005-0000-0000-0000AF040000}"/>
    <cellStyle name="Normal 3 3 2 14 2" xfId="1186" xr:uid="{00000000-0005-0000-0000-0000B0040000}"/>
    <cellStyle name="Normal 3 3 2 14 2 2" xfId="2634" xr:uid="{2F0F00EF-746F-4E7B-8461-0976A44799EA}"/>
    <cellStyle name="Normal 3 3 2 14 2 2 2" xfId="5490" xr:uid="{D615BCB1-2654-4995-A6F5-EC0468E41060}"/>
    <cellStyle name="Normal 3 3 2 14 2 3" xfId="4072" xr:uid="{215E4DD7-1C40-48DE-A61D-A0D64338CDA2}"/>
    <cellStyle name="Normal 3 3 2 14 3" xfId="1989" xr:uid="{4368DCA6-BF5E-4AB4-B0FE-03C0F1BE9C98}"/>
    <cellStyle name="Normal 3 3 2 14 3 2" xfId="4849" xr:uid="{77E721A4-2748-4764-8D9E-FE335B390DEF}"/>
    <cellStyle name="Normal 3 3 2 14 4" xfId="3433" xr:uid="{323799CB-6C39-4620-B340-8E695811AC23}"/>
    <cellStyle name="Normal 3 3 2 15" xfId="481" xr:uid="{00000000-0005-0000-0000-0000B1040000}"/>
    <cellStyle name="Normal 3 3 2 15 2" xfId="1201" xr:uid="{00000000-0005-0000-0000-0000B2040000}"/>
    <cellStyle name="Normal 3 3 2 15 2 2" xfId="2649" xr:uid="{2CFF7C50-2C43-441E-BEEF-74856F44DDB6}"/>
    <cellStyle name="Normal 3 3 2 15 2 2 2" xfId="5505" xr:uid="{D7E29841-BF4A-4AC8-9289-C383BFF53C35}"/>
    <cellStyle name="Normal 3 3 2 15 2 3" xfId="4087" xr:uid="{D4D0674B-909B-448D-A15C-B1E3F915D67E}"/>
    <cellStyle name="Normal 3 3 2 15 3" xfId="2004" xr:uid="{EFB0AE9B-B95C-4563-BD11-9587AEE34AEE}"/>
    <cellStyle name="Normal 3 3 2 15 3 2" xfId="4864" xr:uid="{67ABE514-A97B-4690-90A5-763401CCC355}"/>
    <cellStyle name="Normal 3 3 2 15 4" xfId="3448" xr:uid="{FC744071-FC8F-4FED-B64C-CB6FB18C0571}"/>
    <cellStyle name="Normal 3 3 2 16" xfId="495" xr:uid="{00000000-0005-0000-0000-0000B3040000}"/>
    <cellStyle name="Normal 3 3 2 16 2" xfId="1214" xr:uid="{00000000-0005-0000-0000-0000B4040000}"/>
    <cellStyle name="Normal 3 3 2 16 2 2" xfId="2662" xr:uid="{CF639D53-EC41-4F4D-B8E5-BD35278B7E79}"/>
    <cellStyle name="Normal 3 3 2 16 2 2 2" xfId="5518" xr:uid="{B3A1113B-D906-46C5-9797-711D787623ED}"/>
    <cellStyle name="Normal 3 3 2 16 2 3" xfId="4100" xr:uid="{2E206489-9F61-4A46-B795-E0782D8C4A47}"/>
    <cellStyle name="Normal 3 3 2 16 3" xfId="2017" xr:uid="{F442692B-0F13-49D8-B172-6350E0F2A9D7}"/>
    <cellStyle name="Normal 3 3 2 16 3 2" xfId="4877" xr:uid="{98180AD6-B7B3-46C4-9C9A-DF4AB1BED728}"/>
    <cellStyle name="Normal 3 3 2 16 4" xfId="3461" xr:uid="{F425F96F-015B-4346-A64A-9C68D2AE5119}"/>
    <cellStyle name="Normal 3 3 2 17" xfId="506" xr:uid="{00000000-0005-0000-0000-0000B5040000}"/>
    <cellStyle name="Normal 3 3 2 17 2" xfId="1225" xr:uid="{00000000-0005-0000-0000-0000B6040000}"/>
    <cellStyle name="Normal 3 3 2 17 2 2" xfId="2673" xr:uid="{14A36897-98EE-4AF7-9328-CC4204F66B92}"/>
    <cellStyle name="Normal 3 3 2 17 2 2 2" xfId="5529" xr:uid="{FEE2DAB6-807E-41FC-8ED0-7B204BB8AF03}"/>
    <cellStyle name="Normal 3 3 2 17 2 3" xfId="4111" xr:uid="{2D8EE0C6-25CC-454E-8FE5-7FB876A2F3B7}"/>
    <cellStyle name="Normal 3 3 2 17 3" xfId="2028" xr:uid="{54520521-3C81-4D33-864A-5495A67B6B97}"/>
    <cellStyle name="Normal 3 3 2 17 3 2" xfId="4888" xr:uid="{17B6B087-9097-4E0D-92D4-842614C441FE}"/>
    <cellStyle name="Normal 3 3 2 17 4" xfId="3472" xr:uid="{0022D7B9-02DF-4C9A-A146-4DC6041E9396}"/>
    <cellStyle name="Normal 3 3 2 18" xfId="518" xr:uid="{00000000-0005-0000-0000-0000B7040000}"/>
    <cellStyle name="Normal 3 3 2 18 2" xfId="1237" xr:uid="{00000000-0005-0000-0000-0000B8040000}"/>
    <cellStyle name="Normal 3 3 2 18 2 2" xfId="2685" xr:uid="{0C7A84C1-C03F-4D73-B626-0CBAD7DDDEEC}"/>
    <cellStyle name="Normal 3 3 2 18 2 2 2" xfId="5541" xr:uid="{3ED5DF67-E44A-4583-ADF8-17B57792D7A8}"/>
    <cellStyle name="Normal 3 3 2 18 2 3" xfId="4123" xr:uid="{22DE008D-C78D-40F7-BC90-33C640B55393}"/>
    <cellStyle name="Normal 3 3 2 18 3" xfId="2040" xr:uid="{2B527076-48CD-4233-92C4-E0E3AC97333B}"/>
    <cellStyle name="Normal 3 3 2 18 3 2" xfId="4900" xr:uid="{BFF0BCC7-10C5-4A24-AC40-326BB4DFC04D}"/>
    <cellStyle name="Normal 3 3 2 18 4" xfId="3484" xr:uid="{C230B446-666C-4FAD-9DDE-6546991E2C31}"/>
    <cellStyle name="Normal 3 3 2 19" xfId="529" xr:uid="{00000000-0005-0000-0000-0000B9040000}"/>
    <cellStyle name="Normal 3 3 2 19 2" xfId="537" xr:uid="{00000000-0005-0000-0000-0000BA040000}"/>
    <cellStyle name="Normal 3 3 2 19 2 2" xfId="1256" xr:uid="{00000000-0005-0000-0000-0000BB040000}"/>
    <cellStyle name="Normal 3 3 2 19 2 2 2" xfId="2704" xr:uid="{19DED58C-88DD-4515-8B84-85BDC8101C6D}"/>
    <cellStyle name="Normal 3 3 2 19 2 2 2 2" xfId="5560" xr:uid="{84B521FC-10BC-4E8D-9F7C-B7B00BC863CD}"/>
    <cellStyle name="Normal 3 3 2 19 2 2 3" xfId="4142" xr:uid="{BB9839FD-3E93-4626-9B15-D4EAFDF1A6BB}"/>
    <cellStyle name="Normal 3 3 2 19 2 3" xfId="2059" xr:uid="{0D52E7D6-67AC-4143-818F-7783EAB822D4}"/>
    <cellStyle name="Normal 3 3 2 19 2 3 2" xfId="4919" xr:uid="{DE0DD65D-B92F-4737-A2A0-CB7CF2A25063}"/>
    <cellStyle name="Normal 3 3 2 19 2 4" xfId="3503" xr:uid="{B23C73B1-81E2-4D60-B7AE-615D3D92702C}"/>
    <cellStyle name="Normal 3 3 2 19 3" xfId="1248" xr:uid="{00000000-0005-0000-0000-0000BC040000}"/>
    <cellStyle name="Normal 3 3 2 19 3 2" xfId="2696" xr:uid="{0BC4D609-B663-472B-B877-8BB9965FA771}"/>
    <cellStyle name="Normal 3 3 2 19 3 2 2" xfId="5552" xr:uid="{25301C66-746F-4F47-9582-CF0A65A1286A}"/>
    <cellStyle name="Normal 3 3 2 19 3 3" xfId="4134" xr:uid="{6CADF76F-2499-4906-AB23-B271D921886F}"/>
    <cellStyle name="Normal 3 3 2 19 4" xfId="2051" xr:uid="{E3D938EB-CE45-4824-BD37-604FBD400D92}"/>
    <cellStyle name="Normal 3 3 2 19 4 2" xfId="4911" xr:uid="{4213C3E7-F8D3-46C9-83F9-16400D06CF04}"/>
    <cellStyle name="Normal 3 3 2 19 5" xfId="3495" xr:uid="{169B45D7-9394-4E92-8648-91304FC80807}"/>
    <cellStyle name="Normal 3 3 2 2" xfId="303" xr:uid="{00000000-0005-0000-0000-0000BD040000}"/>
    <cellStyle name="Normal 3 3 2 2 2" xfId="1024" xr:uid="{00000000-0005-0000-0000-0000BE040000}"/>
    <cellStyle name="Normal 3 3 2 2 2 2" xfId="2472" xr:uid="{D00F4CD4-1777-4DD1-BBC1-414F479FBBBA}"/>
    <cellStyle name="Normal 3 3 2 2 2 2 2" xfId="5328" xr:uid="{70A932E1-4935-4957-A7BF-9845D060CAC3}"/>
    <cellStyle name="Normal 3 3 2 2 2 3" xfId="3910" xr:uid="{C92027E7-57CF-4388-B872-B5A3C2794CD4}"/>
    <cellStyle name="Normal 3 3 2 2 3" xfId="1826" xr:uid="{A2182D26-013F-4461-AA0F-D81E69E12EAA}"/>
    <cellStyle name="Normal 3 3 2 2 3 2" xfId="4686" xr:uid="{8E2BBD7D-55F5-4B26-8274-97007AE56411}"/>
    <cellStyle name="Normal 3 3 2 2 4" xfId="3270" xr:uid="{BF40FE66-ECF1-426E-8552-740E2730B0DA}"/>
    <cellStyle name="Normal 3 3 2 20" xfId="545" xr:uid="{00000000-0005-0000-0000-0000BF040000}"/>
    <cellStyle name="Normal 3 3 2 20 2" xfId="1264" xr:uid="{00000000-0005-0000-0000-0000C0040000}"/>
    <cellStyle name="Normal 3 3 2 20 2 2" xfId="2712" xr:uid="{890687B9-2C9C-41F1-8F59-77A84FA9A6B4}"/>
    <cellStyle name="Normal 3 3 2 20 2 2 2" xfId="5568" xr:uid="{9F1FFD21-265A-4156-87E0-477FBDC4DD06}"/>
    <cellStyle name="Normal 3 3 2 20 2 3" xfId="4150" xr:uid="{05FB0FF3-0136-44C5-AB1D-EDF7735BF36F}"/>
    <cellStyle name="Normal 3 3 2 20 3" xfId="2067" xr:uid="{4A34A085-5EB9-4F47-92C1-56AC29D1671F}"/>
    <cellStyle name="Normal 3 3 2 20 3 2" xfId="4927" xr:uid="{3F070FE2-9577-4C43-8408-DF2FC6B50173}"/>
    <cellStyle name="Normal 3 3 2 20 4" xfId="3511" xr:uid="{F15B0E20-32ED-4194-A5E8-BE2A0A407F1A}"/>
    <cellStyle name="Normal 3 3 2 21" xfId="561" xr:uid="{00000000-0005-0000-0000-0000C1040000}"/>
    <cellStyle name="Normal 3 3 2 21 2" xfId="1280" xr:uid="{00000000-0005-0000-0000-0000C2040000}"/>
    <cellStyle name="Normal 3 3 2 21 2 2" xfId="2728" xr:uid="{9DBD7711-B88C-477D-A33C-F9E83CC33445}"/>
    <cellStyle name="Normal 3 3 2 21 2 2 2" xfId="5584" xr:uid="{802EAC63-1F66-4E03-938B-6241DE747D48}"/>
    <cellStyle name="Normal 3 3 2 21 2 3" xfId="4166" xr:uid="{9E800025-E076-45DA-AF7D-F32D3BC7646F}"/>
    <cellStyle name="Normal 3 3 2 21 3" xfId="2083" xr:uid="{C43F077B-CDC7-43FF-8B84-9B1B486A5DC6}"/>
    <cellStyle name="Normal 3 3 2 21 3 2" xfId="4943" xr:uid="{B8CC35B3-F963-4C40-858C-6690C26BD6FF}"/>
    <cellStyle name="Normal 3 3 2 21 4" xfId="3527" xr:uid="{DBC71A84-ADF5-42CB-BF90-F532B79106D7}"/>
    <cellStyle name="Normal 3 3 2 22" xfId="574" xr:uid="{00000000-0005-0000-0000-0000C3040000}"/>
    <cellStyle name="Normal 3 3 2 22 2" xfId="600" xr:uid="{00000000-0005-0000-0000-0000C4040000}"/>
    <cellStyle name="Normal 3 3 2 22 2 2" xfId="1318" xr:uid="{00000000-0005-0000-0000-0000C5040000}"/>
    <cellStyle name="Normal 3 3 2 22 2 2 2" xfId="2766" xr:uid="{5F9DBB48-0B35-402B-A4DC-2371837C0E7A}"/>
    <cellStyle name="Normal 3 3 2 22 2 2 2 2" xfId="5622" xr:uid="{F9F2CCF3-B94E-4737-887B-6165B2DE213B}"/>
    <cellStyle name="Normal 3 3 2 22 2 2 3" xfId="4204" xr:uid="{68B9CCAA-AFDF-48FC-BD04-8A6DFA3FA2D6}"/>
    <cellStyle name="Normal 3 3 2 22 2 3" xfId="2121" xr:uid="{C6EB126F-F044-4DB3-A597-09FB7B314351}"/>
    <cellStyle name="Normal 3 3 2 22 2 3 2" xfId="4981" xr:uid="{50CB6575-F49E-424A-A585-E94DE7AAAA48}"/>
    <cellStyle name="Normal 3 3 2 22 2 4" xfId="3565" xr:uid="{0DE3BFE8-DDF2-441C-AD3C-B4C894332A21}"/>
    <cellStyle name="Normal 3 3 2 22 3" xfId="1293" xr:uid="{00000000-0005-0000-0000-0000C6040000}"/>
    <cellStyle name="Normal 3 3 2 22 3 2" xfId="2741" xr:uid="{427F6131-63D2-4719-8EB3-98D0ACA04705}"/>
    <cellStyle name="Normal 3 3 2 22 3 2 2" xfId="5597" xr:uid="{8CAE2EF7-478A-4F1F-97EC-4CA46E864466}"/>
    <cellStyle name="Normal 3 3 2 22 3 3" xfId="4179" xr:uid="{CB53F131-DD22-416D-B041-BF581BCE53A1}"/>
    <cellStyle name="Normal 3 3 2 22 4" xfId="2096" xr:uid="{7D4E8722-4858-4CB3-A476-BC13551D5C8A}"/>
    <cellStyle name="Normal 3 3 2 22 4 2" xfId="4956" xr:uid="{4214605F-4D16-4D57-9CBF-62F250245512}"/>
    <cellStyle name="Normal 3 3 2 22 5" xfId="3540" xr:uid="{16DAF698-C368-4849-897C-6FB0D89045A2}"/>
    <cellStyle name="Normal 3 3 2 23" xfId="578" xr:uid="{00000000-0005-0000-0000-0000C7040000}"/>
    <cellStyle name="Normal 3 3 2 23 2" xfId="1297" xr:uid="{00000000-0005-0000-0000-0000C8040000}"/>
    <cellStyle name="Normal 3 3 2 23 2 2" xfId="2745" xr:uid="{05EB8BE8-0B81-42EA-B10F-30A20DD1AF79}"/>
    <cellStyle name="Normal 3 3 2 23 2 2 2" xfId="5601" xr:uid="{53D1D4AE-C39F-4BEE-8882-F32D595F54D3}"/>
    <cellStyle name="Normal 3 3 2 23 2 3" xfId="4183" xr:uid="{38391145-3B7B-46EF-93CE-B049E4131215}"/>
    <cellStyle name="Normal 3 3 2 23 3" xfId="2100" xr:uid="{4060A1A3-5EA6-426A-9131-E6C0C6388D84}"/>
    <cellStyle name="Normal 3 3 2 23 3 2" xfId="4960" xr:uid="{B310A12F-B2A2-48D3-AD6E-E9CBDB68EDBE}"/>
    <cellStyle name="Normal 3 3 2 23 4" xfId="3544" xr:uid="{38E4D5F2-17F2-4842-8D25-00E5C243A4D7}"/>
    <cellStyle name="Normal 3 3 2 24" xfId="592" xr:uid="{00000000-0005-0000-0000-0000C9040000}"/>
    <cellStyle name="Normal 3 3 2 24 2" xfId="1310" xr:uid="{00000000-0005-0000-0000-0000CA040000}"/>
    <cellStyle name="Normal 3 3 2 24 2 2" xfId="2758" xr:uid="{67B93B23-5987-4B45-8B6F-D7F943D149C2}"/>
    <cellStyle name="Normal 3 3 2 24 2 2 2" xfId="5614" xr:uid="{E36DE65D-D16C-46E0-AC44-19CC77827594}"/>
    <cellStyle name="Normal 3 3 2 24 2 3" xfId="4196" xr:uid="{585FFA20-3EB3-4CA7-9BF2-63A805B6676B}"/>
    <cellStyle name="Normal 3 3 2 24 3" xfId="2113" xr:uid="{2CFCF1A4-7A17-4084-87AF-2A1F8D4A04FC}"/>
    <cellStyle name="Normal 3 3 2 24 3 2" xfId="4973" xr:uid="{5E9B2853-7AA1-4557-9ABD-B6ADD83F4515}"/>
    <cellStyle name="Normal 3 3 2 24 4" xfId="3557" xr:uid="{84E52C1F-9BD7-4B24-92A1-4937BBEC9D8C}"/>
    <cellStyle name="Normal 3 3 2 25" xfId="598" xr:uid="{00000000-0005-0000-0000-0000CB040000}"/>
    <cellStyle name="Normal 3 3 2 25 2" xfId="1316" xr:uid="{00000000-0005-0000-0000-0000CC040000}"/>
    <cellStyle name="Normal 3 3 2 25 2 2" xfId="2764" xr:uid="{174A744D-6238-4541-8D04-8AF7C260F173}"/>
    <cellStyle name="Normal 3 3 2 25 2 2 2" xfId="5620" xr:uid="{A3E121FF-31FC-4BA8-BCAD-C0B9AC9E6FF5}"/>
    <cellStyle name="Normal 3 3 2 25 2 3" xfId="4202" xr:uid="{3062E8D9-6D6A-4E7D-B5F1-7C48DC4054DC}"/>
    <cellStyle name="Normal 3 3 2 25 3" xfId="2119" xr:uid="{C99BDB69-75A5-4B40-87B2-7523008769BE}"/>
    <cellStyle name="Normal 3 3 2 25 3 2" xfId="4979" xr:uid="{1E1A4378-188F-4511-8104-E158080BE21A}"/>
    <cellStyle name="Normal 3 3 2 25 4" xfId="3563" xr:uid="{4CCB7957-4E0B-41E4-ABFC-734935931249}"/>
    <cellStyle name="Normal 3 3 2 26" xfId="607" xr:uid="{00000000-0005-0000-0000-0000CD040000}"/>
    <cellStyle name="Normal 3 3 2 26 2" xfId="1325" xr:uid="{00000000-0005-0000-0000-0000CE040000}"/>
    <cellStyle name="Normal 3 3 2 26 2 2" xfId="2773" xr:uid="{F341818A-41F7-483C-9CF7-1885833966A3}"/>
    <cellStyle name="Normal 3 3 2 26 2 2 2" xfId="5629" xr:uid="{C51A4803-C9E4-4922-906C-51B5329CEAB8}"/>
    <cellStyle name="Normal 3 3 2 26 2 3" xfId="4211" xr:uid="{C4C03A5F-3216-4FA9-9853-C1B528732A2D}"/>
    <cellStyle name="Normal 3 3 2 26 3" xfId="2128" xr:uid="{ECE3685A-4986-403D-A046-8B7B7C6F6CE9}"/>
    <cellStyle name="Normal 3 3 2 26 3 2" xfId="4988" xr:uid="{11DC41C1-C429-4A51-B539-68ED1D4F15B7}"/>
    <cellStyle name="Normal 3 3 2 26 4" xfId="3572" xr:uid="{C796FB67-30FF-4425-AB39-CB91D92233E4}"/>
    <cellStyle name="Normal 3 3 2 27" xfId="615" xr:uid="{00000000-0005-0000-0000-0000CF040000}"/>
    <cellStyle name="Normal 3 3 2 27 2" xfId="1333" xr:uid="{00000000-0005-0000-0000-0000D0040000}"/>
    <cellStyle name="Normal 3 3 2 27 2 2" xfId="2781" xr:uid="{1FCA0E8A-8080-4C3D-B73B-8D14E581B379}"/>
    <cellStyle name="Normal 3 3 2 27 2 2 2" xfId="5637" xr:uid="{685DB051-4326-4205-B727-82ABFBA44F12}"/>
    <cellStyle name="Normal 3 3 2 27 2 3" xfId="4219" xr:uid="{25884DB3-900B-4D26-85FE-03EA5E4CCC5F}"/>
    <cellStyle name="Normal 3 3 2 27 3" xfId="2136" xr:uid="{84C6F2CB-D477-4E8E-B2AA-A4985BA57F9B}"/>
    <cellStyle name="Normal 3 3 2 27 3 2" xfId="4996" xr:uid="{070DE3E8-CF25-4DBD-B6BE-A1409B7B6472}"/>
    <cellStyle name="Normal 3 3 2 27 4" xfId="3580" xr:uid="{7C710AE3-250E-4A06-A02C-D78FEC10F65F}"/>
    <cellStyle name="Normal 3 3 2 28" xfId="622" xr:uid="{00000000-0005-0000-0000-0000D1040000}"/>
    <cellStyle name="Normal 3 3 2 28 2" xfId="627" xr:uid="{00000000-0005-0000-0000-0000D2040000}"/>
    <cellStyle name="Normal 3 3 2 28 2 2" xfId="638" xr:uid="{00000000-0005-0000-0000-0000D3040000}"/>
    <cellStyle name="Normal 3 3 2 28 2 2 2" xfId="1352" xr:uid="{00000000-0005-0000-0000-0000D4040000}"/>
    <cellStyle name="Normal 3 3 2 28 2 2 2 2" xfId="2800" xr:uid="{E454F64D-4DDA-42EB-B3F6-2F70CD713E18}"/>
    <cellStyle name="Normal 3 3 2 28 2 2 2 2 2" xfId="5656" xr:uid="{C33F9A2B-A648-440F-B08E-77C6412ECD22}"/>
    <cellStyle name="Normal 3 3 2 28 2 2 2 3" xfId="4238" xr:uid="{D8A63023-B56C-4711-9624-13D5458CD3C7}"/>
    <cellStyle name="Normal 3 3 2 28 2 2 3" xfId="2156" xr:uid="{7777454C-A406-4D7F-815F-593E451EF9D7}"/>
    <cellStyle name="Normal 3 3 2 28 2 2 3 2" xfId="5016" xr:uid="{484A958E-2931-49F7-B4CB-BBD9C06C91CA}"/>
    <cellStyle name="Normal 3 3 2 28 2 2 4" xfId="3600" xr:uid="{528C04E3-F230-4B14-8413-2616DE6F4363}"/>
    <cellStyle name="Normal 3 3 2 28 2 3" xfId="1343" xr:uid="{00000000-0005-0000-0000-0000D5040000}"/>
    <cellStyle name="Normal 3 3 2 28 2 3 2" xfId="2791" xr:uid="{64F81706-62D8-4813-99BC-4BD961B21BDE}"/>
    <cellStyle name="Normal 3 3 2 28 2 3 2 2" xfId="5647" xr:uid="{C4FCDDDB-8EB4-4001-A03B-5F6CD5CCC9C7}"/>
    <cellStyle name="Normal 3 3 2 28 2 3 3" xfId="4229" xr:uid="{8F9FA72E-5707-4446-8388-75FB2171A7C6}"/>
    <cellStyle name="Normal 3 3 2 28 2 4" xfId="2147" xr:uid="{42E64126-A624-4670-89C9-696A4394D1EB}"/>
    <cellStyle name="Normal 3 3 2 28 2 4 2" xfId="5007" xr:uid="{8FDD00EE-23CB-4426-9D87-29AEA08FF074}"/>
    <cellStyle name="Normal 3 3 2 28 2 5" xfId="3591" xr:uid="{21EE0F70-6908-4DC6-9B35-8C97CCA1CA4E}"/>
    <cellStyle name="Normal 3 3 2 28 3" xfId="1339" xr:uid="{00000000-0005-0000-0000-0000D6040000}"/>
    <cellStyle name="Normal 3 3 2 28 3 2" xfId="2787" xr:uid="{C33D35A2-0F49-4964-8F60-792173969447}"/>
    <cellStyle name="Normal 3 3 2 28 3 2 2" xfId="5643" xr:uid="{4216D98D-86C8-4501-8FB4-345200D33575}"/>
    <cellStyle name="Normal 3 3 2 28 3 3" xfId="4225" xr:uid="{0B3DE1A9-EC02-4B45-9881-1459743D0E71}"/>
    <cellStyle name="Normal 3 3 2 28 4" xfId="2143" xr:uid="{AC5D3540-F7EF-4CDD-A47D-AD1FFB202088}"/>
    <cellStyle name="Normal 3 3 2 28 4 2" xfId="5003" xr:uid="{3DF9F4EA-4878-4CF0-A2D3-83DDE9BECF1A}"/>
    <cellStyle name="Normal 3 3 2 28 5" xfId="3587" xr:uid="{D9856AB2-7687-4BB0-AD8F-8C5775C83712}"/>
    <cellStyle name="Normal 3 3 2 29" xfId="632" xr:uid="{00000000-0005-0000-0000-0000D7040000}"/>
    <cellStyle name="Normal 3 3 2 29 2" xfId="1346" xr:uid="{00000000-0005-0000-0000-0000D8040000}"/>
    <cellStyle name="Normal 3 3 2 29 2 2" xfId="2794" xr:uid="{8492309E-666A-4EE3-852A-BF877220A6F6}"/>
    <cellStyle name="Normal 3 3 2 29 2 2 2" xfId="5650" xr:uid="{D93B2C79-60D8-4CEE-8BA8-E0182C7139BA}"/>
    <cellStyle name="Normal 3 3 2 29 2 3" xfId="4232" xr:uid="{42F0F823-3609-48CC-9117-FC110E3BECFD}"/>
    <cellStyle name="Normal 3 3 2 29 3" xfId="2150" xr:uid="{752672BD-D48A-488B-AFC7-D415AD945AC6}"/>
    <cellStyle name="Normal 3 3 2 29 3 2" xfId="5010" xr:uid="{0AA50BFD-01F8-4BB7-9CC1-E1051CBBDCC3}"/>
    <cellStyle name="Normal 3 3 2 29 4" xfId="3594" xr:uid="{687E23D5-B18B-4866-BAE0-BA702FB2785B}"/>
    <cellStyle name="Normal 3 3 2 3" xfId="316" xr:uid="{00000000-0005-0000-0000-0000D9040000}"/>
    <cellStyle name="Normal 3 3 2 3 2" xfId="1037" xr:uid="{00000000-0005-0000-0000-0000DA040000}"/>
    <cellStyle name="Normal 3 3 2 3 2 2" xfId="2485" xr:uid="{C7AEB478-B720-4A36-BD34-04C6428B9DB0}"/>
    <cellStyle name="Normal 3 3 2 3 2 2 2" xfId="5341" xr:uid="{B29D405B-23F1-4298-97A8-517B6FE1C031}"/>
    <cellStyle name="Normal 3 3 2 3 2 3" xfId="3923" xr:uid="{5A699442-49C3-40BB-874A-08EEA0D36BB0}"/>
    <cellStyle name="Normal 3 3 2 3 3" xfId="1839" xr:uid="{4AC41F65-41F3-4E61-8DDA-A26CC74CD4D0}"/>
    <cellStyle name="Normal 3 3 2 3 3 2" xfId="4699" xr:uid="{B937F35A-4378-4D2F-8D39-035F0857FC70}"/>
    <cellStyle name="Normal 3 3 2 3 4" xfId="3283" xr:uid="{A90DC022-6BCA-4FC2-8F2A-D2C59030C57D}"/>
    <cellStyle name="Normal 3 3 2 30" xfId="775" xr:uid="{00000000-0005-0000-0000-0000DB040000}"/>
    <cellStyle name="Normal 3 3 2 30 2" xfId="2227" xr:uid="{36245655-B4FB-4AC3-9416-22994D95AF2C}"/>
    <cellStyle name="Normal 3 3 2 30 2 2" xfId="5083" xr:uid="{5A9AC7E8-83FB-4B3C-B0F7-A29BCA5334B3}"/>
    <cellStyle name="Normal 3 3 2 30 3" xfId="3665" xr:uid="{76A4638E-A337-4269-9EBB-4FD0761FEF58}"/>
    <cellStyle name="Normal 3 3 2 31" xfId="1579" xr:uid="{026B99C8-5381-4818-856E-7FCD8A7B532F}"/>
    <cellStyle name="Normal 3 3 2 31 2" xfId="4439" xr:uid="{DA2F549B-B436-405E-90E9-D8365194719B}"/>
    <cellStyle name="Normal 3 3 2 32" xfId="3024" xr:uid="{87B4FDF1-D776-4221-AC92-8CE591766CF8}"/>
    <cellStyle name="Normal 3 3 2 4" xfId="330" xr:uid="{00000000-0005-0000-0000-0000DC040000}"/>
    <cellStyle name="Normal 3 3 2 4 2" xfId="1051" xr:uid="{00000000-0005-0000-0000-0000DD040000}"/>
    <cellStyle name="Normal 3 3 2 4 2 2" xfId="2499" xr:uid="{2E3ECBF8-63E7-44CD-8247-A551CAAC66D4}"/>
    <cellStyle name="Normal 3 3 2 4 2 2 2" xfId="5355" xr:uid="{0DDB3986-9434-4527-A82D-C3A363AE0B68}"/>
    <cellStyle name="Normal 3 3 2 4 2 3" xfId="3937" xr:uid="{0AFFC10E-04C2-46B0-AB89-3514180E2628}"/>
    <cellStyle name="Normal 3 3 2 4 3" xfId="1853" xr:uid="{D2DE02C5-9FF4-44A0-8086-A74608AE9220}"/>
    <cellStyle name="Normal 3 3 2 4 3 2" xfId="4713" xr:uid="{2EA75EAE-DA96-4B07-815B-D046B72C7551}"/>
    <cellStyle name="Normal 3 3 2 4 4" xfId="3297" xr:uid="{CF404BEB-5E30-429A-BFCB-1CD1A75E8068}"/>
    <cellStyle name="Normal 3 3 2 5" xfId="347" xr:uid="{00000000-0005-0000-0000-0000DE040000}"/>
    <cellStyle name="Normal 3 3 2 5 2" xfId="1068" xr:uid="{00000000-0005-0000-0000-0000DF040000}"/>
    <cellStyle name="Normal 3 3 2 5 2 2" xfId="2516" xr:uid="{A9993460-053F-4C36-BC13-152DA40862EC}"/>
    <cellStyle name="Normal 3 3 2 5 2 2 2" xfId="5372" xr:uid="{F8C145F0-C0CA-49A9-9CC9-6E9568C6AF8D}"/>
    <cellStyle name="Normal 3 3 2 5 2 3" xfId="3954" xr:uid="{54A3B9B8-8201-433A-A156-28A80A805B58}"/>
    <cellStyle name="Normal 3 3 2 5 3" xfId="1870" xr:uid="{D9B99629-028B-44DC-9920-C1303C73179B}"/>
    <cellStyle name="Normal 3 3 2 5 3 2" xfId="4730" xr:uid="{CF76B237-E9DF-41F2-83DC-78996A49850F}"/>
    <cellStyle name="Normal 3 3 2 5 4" xfId="3314" xr:uid="{A84B7F74-5824-4217-961C-7FFE4CA3B760}"/>
    <cellStyle name="Normal 3 3 2 6" xfId="358" xr:uid="{00000000-0005-0000-0000-0000E0040000}"/>
    <cellStyle name="Normal 3 3 2 6 2" xfId="1079" xr:uid="{00000000-0005-0000-0000-0000E1040000}"/>
    <cellStyle name="Normal 3 3 2 6 2 2" xfId="2527" xr:uid="{D61D96C9-5C22-4261-BE0D-199B8F0AC8A4}"/>
    <cellStyle name="Normal 3 3 2 6 2 2 2" xfId="5383" xr:uid="{8F99119D-AB4A-4052-9E39-D0AB6E2432E3}"/>
    <cellStyle name="Normal 3 3 2 6 2 3" xfId="3965" xr:uid="{20E4F771-7D2E-4E1D-AEC6-AE25670F158B}"/>
    <cellStyle name="Normal 3 3 2 6 3" xfId="1881" xr:uid="{62D104C5-5A2B-4369-8B73-E7F7AFDFA1B3}"/>
    <cellStyle name="Normal 3 3 2 6 3 2" xfId="4741" xr:uid="{68A6B755-B77C-448F-A61F-DF4E4FAFE1FB}"/>
    <cellStyle name="Normal 3 3 2 6 4" xfId="3325" xr:uid="{B7249FAC-E048-4568-BB47-8FE92079CEE7}"/>
    <cellStyle name="Normal 3 3 2 7" xfId="372" xr:uid="{00000000-0005-0000-0000-0000E2040000}"/>
    <cellStyle name="Normal 3 3 2 7 2" xfId="1093" xr:uid="{00000000-0005-0000-0000-0000E3040000}"/>
    <cellStyle name="Normal 3 3 2 7 2 2" xfId="2541" xr:uid="{3D694739-F729-4D5A-8593-867DE011E21F}"/>
    <cellStyle name="Normal 3 3 2 7 2 2 2" xfId="5397" xr:uid="{1AB18518-8D7B-45E9-90B7-77DAE740455F}"/>
    <cellStyle name="Normal 3 3 2 7 2 3" xfId="3979" xr:uid="{56086E01-56CB-4D5B-8B9E-D4355A35B43F}"/>
    <cellStyle name="Normal 3 3 2 7 3" xfId="1895" xr:uid="{0BC401A4-DD60-4444-BFE2-D3BE0E36321F}"/>
    <cellStyle name="Normal 3 3 2 7 3 2" xfId="4755" xr:uid="{32C16132-F4D3-45E5-AB52-B37AB2F69E05}"/>
    <cellStyle name="Normal 3 3 2 7 4" xfId="3339" xr:uid="{9AD801AF-68DF-4166-A9BD-E239AE7C747B}"/>
    <cellStyle name="Normal 3 3 2 8" xfId="384" xr:uid="{00000000-0005-0000-0000-0000E4040000}"/>
    <cellStyle name="Normal 3 3 2 8 2" xfId="1105" xr:uid="{00000000-0005-0000-0000-0000E5040000}"/>
    <cellStyle name="Normal 3 3 2 8 2 2" xfId="2553" xr:uid="{2BC75316-A8F9-4AA8-8B4F-6C53EF49F255}"/>
    <cellStyle name="Normal 3 3 2 8 2 2 2" xfId="5409" xr:uid="{AFA9A517-59CE-4D1D-B34D-AD83C4F93A6F}"/>
    <cellStyle name="Normal 3 3 2 8 2 3" xfId="3991" xr:uid="{D439797B-2B18-4C16-B211-DA1E3A9E46CA}"/>
    <cellStyle name="Normal 3 3 2 8 3" xfId="1907" xr:uid="{AE2752C0-0AC5-4426-81FA-EE0F928AF0B3}"/>
    <cellStyle name="Normal 3 3 2 8 3 2" xfId="4767" xr:uid="{3D719272-A5CD-470A-A3CC-F58BFCFEFD8F}"/>
    <cellStyle name="Normal 3 3 2 8 4" xfId="3351" xr:uid="{0665E794-1B68-4BE9-8ABC-C7F5A246AE73}"/>
    <cellStyle name="Normal 3 3 2 9" xfId="395" xr:uid="{00000000-0005-0000-0000-0000E6040000}"/>
    <cellStyle name="Normal 3 3 2 9 2" xfId="1116" xr:uid="{00000000-0005-0000-0000-0000E7040000}"/>
    <cellStyle name="Normal 3 3 2 9 2 2" xfId="2564" xr:uid="{F1FAD2F2-4ABD-4E0B-8891-C803A60FD092}"/>
    <cellStyle name="Normal 3 3 2 9 2 2 2" xfId="5420" xr:uid="{DE3CBF12-96E6-41AC-B1CF-C635AB108E42}"/>
    <cellStyle name="Normal 3 3 2 9 2 3" xfId="4002" xr:uid="{8DD51B6E-7431-4D6E-A875-F039AB4E7F41}"/>
    <cellStyle name="Normal 3 3 2 9 3" xfId="1918" xr:uid="{B56DA6CE-FA2D-47F3-BC6D-D2085A6E7886}"/>
    <cellStyle name="Normal 3 3 2 9 3 2" xfId="4778" xr:uid="{4BCD7862-FAC3-47A8-BE28-F957579E117E}"/>
    <cellStyle name="Normal 3 3 2 9 4" xfId="3362" xr:uid="{A00725A1-B40F-477B-AE3D-76EA48FB36C7}"/>
    <cellStyle name="Normal 3 3 20" xfId="231" xr:uid="{00000000-0005-0000-0000-0000E8040000}"/>
    <cellStyle name="Normal 3 3 20 2" xfId="953" xr:uid="{00000000-0005-0000-0000-0000E9040000}"/>
    <cellStyle name="Normal 3 3 20 2 2" xfId="2401" xr:uid="{AA99BBD0-917E-4524-A916-94DC436826FF}"/>
    <cellStyle name="Normal 3 3 20 2 2 2" xfId="5257" xr:uid="{7C31DCEF-5653-4B0D-BFFB-0067839CD10E}"/>
    <cellStyle name="Normal 3 3 20 2 3" xfId="3839" xr:uid="{48E89914-A71C-46FF-8685-BD5B13AF0683}"/>
    <cellStyle name="Normal 3 3 20 3" xfId="1754" xr:uid="{A5ABCE21-1140-42DA-BDCC-2C074F9C7B0C}"/>
    <cellStyle name="Normal 3 3 20 3 2" xfId="4614" xr:uid="{4F0615A3-6753-46D1-984F-2E505EBE4A5D}"/>
    <cellStyle name="Normal 3 3 20 4" xfId="3198" xr:uid="{C26403D6-3843-45A2-A938-728EF30C7341}"/>
    <cellStyle name="Normal 3 3 21" xfId="244" xr:uid="{00000000-0005-0000-0000-0000EA040000}"/>
    <cellStyle name="Normal 3 3 21 2" xfId="966" xr:uid="{00000000-0005-0000-0000-0000EB040000}"/>
    <cellStyle name="Normal 3 3 21 2 2" xfId="2414" xr:uid="{7DAB6C60-0D41-4402-B751-45EFF00F1E47}"/>
    <cellStyle name="Normal 3 3 21 2 2 2" xfId="5270" xr:uid="{96DB4281-17E8-491D-9FCE-854835A1ACBE}"/>
    <cellStyle name="Normal 3 3 21 2 3" xfId="3852" xr:uid="{FF8EDD47-B230-4461-872B-3D5990D9ACE9}"/>
    <cellStyle name="Normal 3 3 21 3" xfId="1767" xr:uid="{EE6C176B-D14D-451A-BBC2-2300F16D80E3}"/>
    <cellStyle name="Normal 3 3 21 3 2" xfId="4627" xr:uid="{6F25F453-A897-4564-8FEA-AB3C1B39224E}"/>
    <cellStyle name="Normal 3 3 21 4" xfId="3211" xr:uid="{89B0E686-3BA6-4843-9BF4-C1FDDA666C79}"/>
    <cellStyle name="Normal 3 3 22" xfId="256" xr:uid="{00000000-0005-0000-0000-0000EC040000}"/>
    <cellStyle name="Normal 3 3 22 2" xfId="978" xr:uid="{00000000-0005-0000-0000-0000ED040000}"/>
    <cellStyle name="Normal 3 3 22 2 2" xfId="2426" xr:uid="{0A2D30E9-D5A0-421C-9AA3-F3157DFD0F87}"/>
    <cellStyle name="Normal 3 3 22 2 2 2" xfId="5282" xr:uid="{983B14D6-24BF-4A0E-89CC-BCF9F6D76ED5}"/>
    <cellStyle name="Normal 3 3 22 2 3" xfId="3864" xr:uid="{3A72F756-72D5-4E8F-97F4-839860A37B05}"/>
    <cellStyle name="Normal 3 3 22 3" xfId="1779" xr:uid="{C2884993-6BDA-4A69-8014-C8E4F696A9FF}"/>
    <cellStyle name="Normal 3 3 22 3 2" xfId="4639" xr:uid="{71961347-18C0-4D97-8D4E-20867883B3C5}"/>
    <cellStyle name="Normal 3 3 22 4" xfId="3223" xr:uid="{A201677A-EF6B-449C-BE44-CFB09F88BB56}"/>
    <cellStyle name="Normal 3 3 23" xfId="266" xr:uid="{00000000-0005-0000-0000-0000EE040000}"/>
    <cellStyle name="Normal 3 3 23 2" xfId="988" xr:uid="{00000000-0005-0000-0000-0000EF040000}"/>
    <cellStyle name="Normal 3 3 23 2 2" xfId="2436" xr:uid="{0BAE48A3-22C8-4C5E-AD1C-B045F22DE896}"/>
    <cellStyle name="Normal 3 3 23 2 2 2" xfId="5292" xr:uid="{AB1A2C6A-7FB7-4699-AF57-BCACC87BF366}"/>
    <cellStyle name="Normal 3 3 23 2 3" xfId="3874" xr:uid="{2AD80DB6-CB6B-49B0-8CB1-E1A95C15C0AB}"/>
    <cellStyle name="Normal 3 3 23 3" xfId="1789" xr:uid="{61B524BF-7B09-43E7-BA2D-89136421D393}"/>
    <cellStyle name="Normal 3 3 23 3 2" xfId="4649" xr:uid="{94D52D45-A316-4F6B-8453-99125FA61F60}"/>
    <cellStyle name="Normal 3 3 23 4" xfId="3233" xr:uid="{3E405594-D089-4D6E-A65A-39C98EB3F7A3}"/>
    <cellStyle name="Normal 3 3 24" xfId="282" xr:uid="{00000000-0005-0000-0000-0000F0040000}"/>
    <cellStyle name="Normal 3 3 24 2" xfId="1004" xr:uid="{00000000-0005-0000-0000-0000F1040000}"/>
    <cellStyle name="Normal 3 3 24 2 2" xfId="2452" xr:uid="{9EB90450-3348-4B69-BE9B-1F21E8320D15}"/>
    <cellStyle name="Normal 3 3 24 2 2 2" xfId="5308" xr:uid="{2A1EFD7A-EFEA-4B53-9DD0-A79C5F0F6839}"/>
    <cellStyle name="Normal 3 3 24 2 3" xfId="3890" xr:uid="{DD20E49F-197E-47FE-8ED1-4A8C67F68273}"/>
    <cellStyle name="Normal 3 3 24 3" xfId="1805" xr:uid="{FF810B07-B3CA-42F1-A0E7-1447F84F5045}"/>
    <cellStyle name="Normal 3 3 24 3 2" xfId="4665" xr:uid="{70778223-0CCC-4B59-B103-06087926FBB6}"/>
    <cellStyle name="Normal 3 3 24 4" xfId="3249" xr:uid="{BB936A02-F4D4-4E77-AA7B-12044CF1BEA4}"/>
    <cellStyle name="Normal 3 3 25" xfId="298" xr:uid="{00000000-0005-0000-0000-0000F2040000}"/>
    <cellStyle name="Normal 3 3 25 2" xfId="1019" xr:uid="{00000000-0005-0000-0000-0000F3040000}"/>
    <cellStyle name="Normal 3 3 25 2 2" xfId="2467" xr:uid="{A5B95BE1-DB22-4B7C-B95C-77241D352A52}"/>
    <cellStyle name="Normal 3 3 25 2 2 2" xfId="5323" xr:uid="{C96B8797-9C0E-48B5-923D-D478030319B6}"/>
    <cellStyle name="Normal 3 3 25 2 3" xfId="3905" xr:uid="{C127354B-81F2-4E07-A31E-CFD5A50C2968}"/>
    <cellStyle name="Normal 3 3 25 3" xfId="1821" xr:uid="{DF89EC7C-E4B8-4253-B311-4964C544868E}"/>
    <cellStyle name="Normal 3 3 25 3 2" xfId="4681" xr:uid="{D144320E-1BA8-4AAF-8C05-1ABF46D7C0AC}"/>
    <cellStyle name="Normal 3 3 25 4" xfId="3265" xr:uid="{E7D39E3E-03EF-4133-B5E8-68AA3A4D58DB}"/>
    <cellStyle name="Normal 3 3 26" xfId="308" xr:uid="{00000000-0005-0000-0000-0000F4040000}"/>
    <cellStyle name="Normal 3 3 26 2" xfId="1029" xr:uid="{00000000-0005-0000-0000-0000F5040000}"/>
    <cellStyle name="Normal 3 3 26 2 2" xfId="2477" xr:uid="{CA36191D-0778-4CA0-801D-7FA8ABFE947A}"/>
    <cellStyle name="Normal 3 3 26 2 2 2" xfId="5333" xr:uid="{6DF0E078-15F0-4BFE-B309-910277EE1B94}"/>
    <cellStyle name="Normal 3 3 26 2 3" xfId="3915" xr:uid="{4B22C5E5-D279-454B-BE14-478A50BB01A0}"/>
    <cellStyle name="Normal 3 3 26 3" xfId="1831" xr:uid="{E772D025-036C-498B-AF79-A10079DAF209}"/>
    <cellStyle name="Normal 3 3 26 3 2" xfId="4691" xr:uid="{629A2EFB-A51F-4CF7-8AD9-4C5D5B74A458}"/>
    <cellStyle name="Normal 3 3 26 4" xfId="3275" xr:uid="{3422CDF0-4888-4DC6-800D-AC642C104915}"/>
    <cellStyle name="Normal 3 3 27" xfId="323" xr:uid="{00000000-0005-0000-0000-0000F6040000}"/>
    <cellStyle name="Normal 3 3 27 2" xfId="1044" xr:uid="{00000000-0005-0000-0000-0000F7040000}"/>
    <cellStyle name="Normal 3 3 27 2 2" xfId="2492" xr:uid="{D74B7C4D-48B1-4239-BAC2-0102E5E07413}"/>
    <cellStyle name="Normal 3 3 27 2 2 2" xfId="5348" xr:uid="{A2C92687-BF85-416C-8418-6948103C4D8D}"/>
    <cellStyle name="Normal 3 3 27 2 3" xfId="3930" xr:uid="{8529D060-F6B9-4743-B27E-626779D85BCF}"/>
    <cellStyle name="Normal 3 3 27 3" xfId="1846" xr:uid="{822CFA46-7A26-477C-8BAA-B7E386483A4B}"/>
    <cellStyle name="Normal 3 3 27 3 2" xfId="4706" xr:uid="{52B90401-59A0-4CD3-9EC0-03362644EA6A}"/>
    <cellStyle name="Normal 3 3 27 4" xfId="3290" xr:uid="{72278BD0-710C-4E98-BC32-67160B726D06}"/>
    <cellStyle name="Normal 3 3 28" xfId="340" xr:uid="{00000000-0005-0000-0000-0000F8040000}"/>
    <cellStyle name="Normal 3 3 28 2" xfId="1061" xr:uid="{00000000-0005-0000-0000-0000F9040000}"/>
    <cellStyle name="Normal 3 3 28 2 2" xfId="2509" xr:uid="{2D1D53E3-E576-4539-ABC1-B7BFF25A66AD}"/>
    <cellStyle name="Normal 3 3 28 2 2 2" xfId="5365" xr:uid="{684181CE-E4A2-4941-BC63-D9A684CDC3D7}"/>
    <cellStyle name="Normal 3 3 28 2 3" xfId="3947" xr:uid="{40E790C6-4C9D-46B6-8786-843C2BBDC83B}"/>
    <cellStyle name="Normal 3 3 28 3" xfId="1863" xr:uid="{4772D418-08EE-497F-9420-1B06D0966023}"/>
    <cellStyle name="Normal 3 3 28 3 2" xfId="4723" xr:uid="{DA17E0E3-967D-42C2-8793-6073EE2C4840}"/>
    <cellStyle name="Normal 3 3 28 4" xfId="3307" xr:uid="{EA9BD1FC-0E6A-4287-AC5C-BD3AC8FBD682}"/>
    <cellStyle name="Normal 3 3 29" xfId="351" xr:uid="{00000000-0005-0000-0000-0000FA040000}"/>
    <cellStyle name="Normal 3 3 29 2" xfId="1072" xr:uid="{00000000-0005-0000-0000-0000FB040000}"/>
    <cellStyle name="Normal 3 3 29 2 2" xfId="2520" xr:uid="{05332AB7-2569-4A47-B83D-CAF6D4C02C15}"/>
    <cellStyle name="Normal 3 3 29 2 2 2" xfId="5376" xr:uid="{68CCFA7C-6DA9-4947-8727-2FF3BB8701F2}"/>
    <cellStyle name="Normal 3 3 29 2 3" xfId="3958" xr:uid="{38727F08-BA7D-4D38-BC67-8D39F2E25911}"/>
    <cellStyle name="Normal 3 3 29 3" xfId="1874" xr:uid="{5766A177-A9CB-464C-90A2-6978F123E789}"/>
    <cellStyle name="Normal 3 3 29 3 2" xfId="4734" xr:uid="{8605D5B5-1AE6-41DE-89AC-249883DC735C}"/>
    <cellStyle name="Normal 3 3 29 4" xfId="3318" xr:uid="{1CB69D65-7866-47BE-9FA1-5A1639898975}"/>
    <cellStyle name="Normal 3 3 3" xfId="67" xr:uid="{00000000-0005-0000-0000-0000FC040000}"/>
    <cellStyle name="Normal 3 3 3 2" xfId="795" xr:uid="{00000000-0005-0000-0000-0000FD040000}"/>
    <cellStyle name="Normal 3 3 3 2 2" xfId="2246" xr:uid="{96D7B169-2CBC-4E52-91B6-F41C58F26BFB}"/>
    <cellStyle name="Normal 3 3 3 2 2 2" xfId="5102" xr:uid="{AC582181-C029-4575-AF42-5E85699C4F48}"/>
    <cellStyle name="Normal 3 3 3 2 3" xfId="3684" xr:uid="{2C7EE7C7-BC26-4F22-B5AB-64460B9CFE51}"/>
    <cellStyle name="Normal 3 3 3 3" xfId="1598" xr:uid="{9A9D08BA-541A-4CD2-AE51-CDE2AABBCC66}"/>
    <cellStyle name="Normal 3 3 3 3 2" xfId="4458" xr:uid="{58134FF2-6FD6-4EB5-A15E-774B5355136F}"/>
    <cellStyle name="Normal 3 3 3 4" xfId="3043" xr:uid="{15388406-64AD-47B5-B6E7-7A8009CBEFE9}"/>
    <cellStyle name="Normal 3 3 30" xfId="367" xr:uid="{00000000-0005-0000-0000-0000FE040000}"/>
    <cellStyle name="Normal 3 3 30 2" xfId="1088" xr:uid="{00000000-0005-0000-0000-0000FF040000}"/>
    <cellStyle name="Normal 3 3 30 2 2" xfId="2536" xr:uid="{EB028AE0-6FC4-4271-A970-6D8C87E20276}"/>
    <cellStyle name="Normal 3 3 30 2 2 2" xfId="5392" xr:uid="{314BD03B-2381-4BA7-87C3-4838F6FB97BC}"/>
    <cellStyle name="Normal 3 3 30 2 3" xfId="3974" xr:uid="{D85F8BF8-EA2D-44F9-933E-DAC62A5FD0DD}"/>
    <cellStyle name="Normal 3 3 30 3" xfId="1890" xr:uid="{2FBFC027-6F85-4C32-BC00-88AF14B4128E}"/>
    <cellStyle name="Normal 3 3 30 3 2" xfId="4750" xr:uid="{7327C5F1-5AA2-46C9-A0CF-8FED06B726D6}"/>
    <cellStyle name="Normal 3 3 30 4" xfId="3334" xr:uid="{2386EF7A-724B-4D04-B291-2692EC30DFDF}"/>
    <cellStyle name="Normal 3 3 31" xfId="379" xr:uid="{00000000-0005-0000-0000-000000050000}"/>
    <cellStyle name="Normal 3 3 31 2" xfId="1100" xr:uid="{00000000-0005-0000-0000-000001050000}"/>
    <cellStyle name="Normal 3 3 31 2 2" xfId="2548" xr:uid="{B1E9520B-EF5C-4F46-8DEC-19ED3C4803DD}"/>
    <cellStyle name="Normal 3 3 31 2 2 2" xfId="5404" xr:uid="{54EA2959-E81D-46F0-9513-6CCD02252BCD}"/>
    <cellStyle name="Normal 3 3 31 2 3" xfId="3986" xr:uid="{6E9B95B2-5A8C-4399-A3B1-32AC172B63BC}"/>
    <cellStyle name="Normal 3 3 31 3" xfId="1902" xr:uid="{44048CD5-2309-48BA-9478-BF073E7423A6}"/>
    <cellStyle name="Normal 3 3 31 3 2" xfId="4762" xr:uid="{134CD97D-3718-4CB1-98AE-58D421C9CDD3}"/>
    <cellStyle name="Normal 3 3 31 4" xfId="3346" xr:uid="{AA7104A0-9F6F-4E16-9E99-C2C8D5FC2492}"/>
    <cellStyle name="Normal 3 3 32" xfId="388" xr:uid="{00000000-0005-0000-0000-000002050000}"/>
    <cellStyle name="Normal 3 3 32 2" xfId="1109" xr:uid="{00000000-0005-0000-0000-000003050000}"/>
    <cellStyle name="Normal 3 3 32 2 2" xfId="2557" xr:uid="{6DA550AD-4C6F-4863-8A8B-9D447B4AC0C0}"/>
    <cellStyle name="Normal 3 3 32 2 2 2" xfId="5413" xr:uid="{C29901B8-6D5C-424C-864E-2C580B56E144}"/>
    <cellStyle name="Normal 3 3 32 2 3" xfId="3995" xr:uid="{8E33363C-2EB1-4D35-8371-61B814E58ECF}"/>
    <cellStyle name="Normal 3 3 32 3" xfId="1911" xr:uid="{3920BEB6-DEF8-4267-8011-E5D2F74EEA14}"/>
    <cellStyle name="Normal 3 3 32 3 2" xfId="4771" xr:uid="{5A7DD460-30EE-424F-B549-346E47452074}"/>
    <cellStyle name="Normal 3 3 32 4" xfId="3355" xr:uid="{747161F0-FBBC-495A-9612-548AF65D028C}"/>
    <cellStyle name="Normal 3 3 33" xfId="406" xr:uid="{00000000-0005-0000-0000-000004050000}"/>
    <cellStyle name="Normal 3 3 33 2" xfId="1127" xr:uid="{00000000-0005-0000-0000-000005050000}"/>
    <cellStyle name="Normal 3 3 33 2 2" xfId="2575" xr:uid="{44C042AB-238A-4C88-980A-D7265E830D21}"/>
    <cellStyle name="Normal 3 3 33 2 2 2" xfId="5431" xr:uid="{D8D3CD4D-6D41-431F-BC81-56E8901EB7B3}"/>
    <cellStyle name="Normal 3 3 33 2 3" xfId="4013" xr:uid="{F87C96B8-4695-403F-A06C-F22454BC0546}"/>
    <cellStyle name="Normal 3 3 33 3" xfId="1929" xr:uid="{052553A4-ED04-4093-899D-948426A309C9}"/>
    <cellStyle name="Normal 3 3 33 3 2" xfId="4789" xr:uid="{4CCF05B1-4168-46D3-8463-4EE6784C9C7B}"/>
    <cellStyle name="Normal 3 3 33 4" xfId="3373" xr:uid="{F4851CC9-6DA5-432A-B3A4-45CB427CFA04}"/>
    <cellStyle name="Normal 3 3 34" xfId="415" xr:uid="{00000000-0005-0000-0000-000006050000}"/>
    <cellStyle name="Normal 3 3 34 2" xfId="1136" xr:uid="{00000000-0005-0000-0000-000007050000}"/>
    <cellStyle name="Normal 3 3 34 2 2" xfId="2584" xr:uid="{F4D0AFEB-E9B9-4E79-8608-EC9D8257BB7B}"/>
    <cellStyle name="Normal 3 3 34 2 2 2" xfId="5440" xr:uid="{5520F44B-3B89-4981-9091-A09F1D770DC5}"/>
    <cellStyle name="Normal 3 3 34 2 3" xfId="4022" xr:uid="{6160D920-3DB7-4F87-8EC2-C00697C187D2}"/>
    <cellStyle name="Normal 3 3 34 3" xfId="1938" xr:uid="{5CB2734D-91DA-4C9C-A8C4-1DC34355D2BA}"/>
    <cellStyle name="Normal 3 3 34 3 2" xfId="4798" xr:uid="{C8951EAC-250F-4407-B0A5-F909EFCC8396}"/>
    <cellStyle name="Normal 3 3 34 4" xfId="3382" xr:uid="{BE5BFECC-7BB8-4124-8365-636237446289}"/>
    <cellStyle name="Normal 3 3 35" xfId="429" xr:uid="{00000000-0005-0000-0000-000008050000}"/>
    <cellStyle name="Normal 3 3 35 2" xfId="1150" xr:uid="{00000000-0005-0000-0000-000009050000}"/>
    <cellStyle name="Normal 3 3 35 2 2" xfId="2598" xr:uid="{F7E95734-103F-468F-A81E-072397C6E282}"/>
    <cellStyle name="Normal 3 3 35 2 2 2" xfId="5454" xr:uid="{5E2A8AF2-0BFE-4D70-B955-19E4765AEBEC}"/>
    <cellStyle name="Normal 3 3 35 2 3" xfId="4036" xr:uid="{9259D2C6-1CDA-438C-A056-32BCB85C497B}"/>
    <cellStyle name="Normal 3 3 35 3" xfId="1952" xr:uid="{5DD7085B-1322-4C8E-AD03-BEA3037EF487}"/>
    <cellStyle name="Normal 3 3 35 3 2" xfId="4812" xr:uid="{3D90E3B8-5926-4F02-B641-E953D1E8DF58}"/>
    <cellStyle name="Normal 3 3 35 4" xfId="3396" xr:uid="{3C4BCA11-02A8-4010-BCDB-D47FB658613A}"/>
    <cellStyle name="Normal 3 3 36" xfId="436" xr:uid="{00000000-0005-0000-0000-00000A050000}"/>
    <cellStyle name="Normal 3 3 36 2" xfId="1157" xr:uid="{00000000-0005-0000-0000-00000B050000}"/>
    <cellStyle name="Normal 3 3 36 2 2" xfId="2605" xr:uid="{E2A8D775-1135-4C94-BADE-35B124A476B2}"/>
    <cellStyle name="Normal 3 3 36 2 2 2" xfId="5461" xr:uid="{40FD7F57-412B-4D63-94E0-D44F3C13415F}"/>
    <cellStyle name="Normal 3 3 36 2 3" xfId="4043" xr:uid="{76BE270E-B23F-48C2-9B5A-CA4781FC0820}"/>
    <cellStyle name="Normal 3 3 36 3" xfId="1959" xr:uid="{7C21256D-AB20-4ECB-9289-B35D570389AB}"/>
    <cellStyle name="Normal 3 3 36 3 2" xfId="4819" xr:uid="{A0ECBA46-1DBD-444A-96F0-98A941A784F8}"/>
    <cellStyle name="Normal 3 3 36 4" xfId="3403" xr:uid="{2ECCC60B-8870-4600-B91D-BCB4FD2A8B93}"/>
    <cellStyle name="Normal 3 3 37" xfId="455" xr:uid="{00000000-0005-0000-0000-00000C050000}"/>
    <cellStyle name="Normal 3 3 37 2" xfId="1175" xr:uid="{00000000-0005-0000-0000-00000D050000}"/>
    <cellStyle name="Normal 3 3 37 2 2" xfId="2623" xr:uid="{B9F77031-0EE6-464F-8B73-5B69F2691123}"/>
    <cellStyle name="Normal 3 3 37 2 2 2" xfId="5479" xr:uid="{227B355A-FD91-4EB7-9E11-C8DA59CE800F}"/>
    <cellStyle name="Normal 3 3 37 2 3" xfId="4061" xr:uid="{B3D2AB03-8992-47B6-BDC1-14EC8E20A73A}"/>
    <cellStyle name="Normal 3 3 37 3" xfId="1978" xr:uid="{57EA777A-B1F0-49F2-9ADB-6FDEEE3799BA}"/>
    <cellStyle name="Normal 3 3 37 3 2" xfId="4838" xr:uid="{03C8F5B0-703D-4782-9F29-134C89BF23C2}"/>
    <cellStyle name="Normal 3 3 37 4" xfId="3422" xr:uid="{AA45B971-9B09-4C9D-9FB5-BB04543E8669}"/>
    <cellStyle name="Normal 3 3 38" xfId="470" xr:uid="{00000000-0005-0000-0000-00000E050000}"/>
    <cellStyle name="Normal 3 3 38 2" xfId="1190" xr:uid="{00000000-0005-0000-0000-00000F050000}"/>
    <cellStyle name="Normal 3 3 38 2 2" xfId="2638" xr:uid="{116DD80D-0219-4257-92AE-4DFA108FDF23}"/>
    <cellStyle name="Normal 3 3 38 2 2 2" xfId="5494" xr:uid="{D1367C39-9E95-4BEC-A082-C5D4ADB90500}"/>
    <cellStyle name="Normal 3 3 38 2 3" xfId="4076" xr:uid="{E11B391D-AB5B-4ACE-9ADA-90A24F69FB18}"/>
    <cellStyle name="Normal 3 3 38 3" xfId="1993" xr:uid="{B1CEEC05-51EF-44CA-A467-742609139670}"/>
    <cellStyle name="Normal 3 3 38 3 2" xfId="4853" xr:uid="{CB530B5B-62BB-47ED-A014-19FE7E8C5964}"/>
    <cellStyle name="Normal 3 3 38 4" xfId="3437" xr:uid="{6E844784-594F-4B6F-B4D9-A9F4A5268A91}"/>
    <cellStyle name="Normal 3 3 39" xfId="488" xr:uid="{00000000-0005-0000-0000-000010050000}"/>
    <cellStyle name="Normal 3 3 39 2" xfId="1207" xr:uid="{00000000-0005-0000-0000-000011050000}"/>
    <cellStyle name="Normal 3 3 39 2 2" xfId="2655" xr:uid="{B1E27F53-605D-4122-AE99-19E2D9BBCEB4}"/>
    <cellStyle name="Normal 3 3 39 2 2 2" xfId="5511" xr:uid="{20DC6C1C-A8A6-49F5-9365-3DA3C013B622}"/>
    <cellStyle name="Normal 3 3 39 2 3" xfId="4093" xr:uid="{5A530D26-2596-4287-B97E-6ABCE3F6260E}"/>
    <cellStyle name="Normal 3 3 39 3" xfId="2010" xr:uid="{667766B4-5051-4159-A8AD-A758CEB41B65}"/>
    <cellStyle name="Normal 3 3 39 3 2" xfId="4870" xr:uid="{8636FBDD-4872-483A-A956-07098FA16B63}"/>
    <cellStyle name="Normal 3 3 39 4" xfId="3454" xr:uid="{A674DD45-B2CF-4942-BB6D-068FEC1D5B36}"/>
    <cellStyle name="Normal 3 3 4" xfId="80" xr:uid="{00000000-0005-0000-0000-000012050000}"/>
    <cellStyle name="Normal 3 3 4 2" xfId="806" xr:uid="{00000000-0005-0000-0000-000013050000}"/>
    <cellStyle name="Normal 3 3 4 2 2" xfId="2257" xr:uid="{F224FF8E-906B-461F-AD07-536FA9D59BEC}"/>
    <cellStyle name="Normal 3 3 4 2 2 2" xfId="5113" xr:uid="{AB49AA42-6F8C-423F-A2CF-90BE539446DB}"/>
    <cellStyle name="Normal 3 3 4 2 3" xfId="3695" xr:uid="{21B7E763-2EC7-46CF-AACE-0A0CF7A1426F}"/>
    <cellStyle name="Normal 3 3 4 3" xfId="1610" xr:uid="{6EAB49C8-5BE0-46E4-9D32-C7BF832BC174}"/>
    <cellStyle name="Normal 3 3 4 3 2" xfId="4470" xr:uid="{167CCD1E-EC21-4CBF-90E3-0CDA8174DC9B}"/>
    <cellStyle name="Normal 3 3 4 4" xfId="3054" xr:uid="{25AC5D32-6D6C-435C-A109-9007C86C3288}"/>
    <cellStyle name="Normal 3 3 40" xfId="499" xr:uid="{00000000-0005-0000-0000-000014050000}"/>
    <cellStyle name="Normal 3 3 40 2" xfId="1218" xr:uid="{00000000-0005-0000-0000-000015050000}"/>
    <cellStyle name="Normal 3 3 40 2 2" xfId="2666" xr:uid="{82D2D1E3-9D6A-4002-8C9B-25D8ED1187A1}"/>
    <cellStyle name="Normal 3 3 40 2 2 2" xfId="5522" xr:uid="{D7E32C3E-897E-4C15-9562-1E896A42958E}"/>
    <cellStyle name="Normal 3 3 40 2 3" xfId="4104" xr:uid="{E6BAF435-2BB1-4531-B40D-7594E1861DBA}"/>
    <cellStyle name="Normal 3 3 40 3" xfId="2021" xr:uid="{B19A87D6-6CF7-4D7B-A24F-B998619CB8F3}"/>
    <cellStyle name="Normal 3 3 40 3 2" xfId="4881" xr:uid="{C60D78DE-76F5-489A-85B3-5191CC38A98C}"/>
    <cellStyle name="Normal 3 3 40 4" xfId="3465" xr:uid="{ED6A872A-A8AB-43DA-915B-4168EF9576F0}"/>
    <cellStyle name="Normal 3 3 41" xfId="510" xr:uid="{00000000-0005-0000-0000-000016050000}"/>
    <cellStyle name="Normal 3 3 41 2" xfId="1229" xr:uid="{00000000-0005-0000-0000-000017050000}"/>
    <cellStyle name="Normal 3 3 41 2 2" xfId="2677" xr:uid="{17272E32-45BE-4BF6-AAD7-92862A2BE857}"/>
    <cellStyle name="Normal 3 3 41 2 2 2" xfId="5533" xr:uid="{5B637355-5AAC-4DD7-B86A-CB8A76C79513}"/>
    <cellStyle name="Normal 3 3 41 2 3" xfId="4115" xr:uid="{47FC4996-2600-43F9-AF4D-69D80F557DE8}"/>
    <cellStyle name="Normal 3 3 41 3" xfId="2032" xr:uid="{AE9AEB88-4F5B-4B01-8BA2-174B33286B15}"/>
    <cellStyle name="Normal 3 3 41 3 2" xfId="4892" xr:uid="{780429CD-916B-4047-A1B2-1A69510D67BB}"/>
    <cellStyle name="Normal 3 3 41 4" xfId="3476" xr:uid="{115316F1-3401-44AC-882F-4F218FBA0908}"/>
    <cellStyle name="Normal 3 3 42" xfId="522" xr:uid="{00000000-0005-0000-0000-000018050000}"/>
    <cellStyle name="Normal 3 3 42 2" xfId="1241" xr:uid="{00000000-0005-0000-0000-000019050000}"/>
    <cellStyle name="Normal 3 3 42 2 2" xfId="2689" xr:uid="{A3235D73-F08A-4492-B49F-1538E291168B}"/>
    <cellStyle name="Normal 3 3 42 2 2 2" xfId="5545" xr:uid="{16B4ED60-6739-4001-A8F2-B89820E24B5A}"/>
    <cellStyle name="Normal 3 3 42 2 3" xfId="4127" xr:uid="{C5D82E08-A874-40EF-ACA7-28C090DD1EDE}"/>
    <cellStyle name="Normal 3 3 42 3" xfId="2044" xr:uid="{A35CD15D-538E-4EA7-ADED-9072F950F121}"/>
    <cellStyle name="Normal 3 3 42 3 2" xfId="4904" xr:uid="{1C97AF88-ABFC-4D3F-BE84-655C93A44C54}"/>
    <cellStyle name="Normal 3 3 42 4" xfId="3488" xr:uid="{1797F171-9A54-4AD1-830F-D24A37D7BB24}"/>
    <cellStyle name="Normal 3 3 43" xfId="533" xr:uid="{00000000-0005-0000-0000-00001A050000}"/>
    <cellStyle name="Normal 3 3 43 2" xfId="1252" xr:uid="{00000000-0005-0000-0000-00001B050000}"/>
    <cellStyle name="Normal 3 3 43 2 2" xfId="2700" xr:uid="{6C25B6BF-C64A-41AE-8CF1-FBD2615F24D5}"/>
    <cellStyle name="Normal 3 3 43 2 2 2" xfId="5556" xr:uid="{43836050-D709-47F4-8356-36E1D7E5C40B}"/>
    <cellStyle name="Normal 3 3 43 2 3" xfId="4138" xr:uid="{9EC1F261-C0B5-40D9-B58D-E37A17394D19}"/>
    <cellStyle name="Normal 3 3 43 3" xfId="2055" xr:uid="{7E8790B2-D112-45E0-89F9-041CFD05E969}"/>
    <cellStyle name="Normal 3 3 43 3 2" xfId="4915" xr:uid="{E3B979E9-A891-4624-B57E-8377D16C807A}"/>
    <cellStyle name="Normal 3 3 43 4" xfId="3499" xr:uid="{834DB59B-168C-4158-96BA-5ECFE9EDFA8D}"/>
    <cellStyle name="Normal 3 3 44" xfId="551" xr:uid="{00000000-0005-0000-0000-00001C050000}"/>
    <cellStyle name="Normal 3 3 44 2" xfId="1270" xr:uid="{00000000-0005-0000-0000-00001D050000}"/>
    <cellStyle name="Normal 3 3 44 2 2" xfId="2718" xr:uid="{017ECF21-E489-4F45-91AC-061E3842329C}"/>
    <cellStyle name="Normal 3 3 44 2 2 2" xfId="5574" xr:uid="{1254E81B-C6B4-4B8E-84E7-67A0045F7325}"/>
    <cellStyle name="Normal 3 3 44 2 3" xfId="4156" xr:uid="{A44A5E00-D54C-4021-B244-7C661BFDD4E9}"/>
    <cellStyle name="Normal 3 3 44 3" xfId="2073" xr:uid="{413EE3AE-B37E-4C90-A6AC-706C04494974}"/>
    <cellStyle name="Normal 3 3 44 3 2" xfId="4933" xr:uid="{0DC21783-6BDA-4667-9573-E417F90E4DA8}"/>
    <cellStyle name="Normal 3 3 44 4" xfId="3517" xr:uid="{16528BA8-A54C-45C8-8B6D-61AAD131AFFA}"/>
    <cellStyle name="Normal 3 3 45" xfId="567" xr:uid="{00000000-0005-0000-0000-00001E050000}"/>
    <cellStyle name="Normal 3 3 45 2" xfId="1286" xr:uid="{00000000-0005-0000-0000-00001F050000}"/>
    <cellStyle name="Normal 3 3 45 2 2" xfId="2734" xr:uid="{763485C9-9FD3-4D48-9700-96F7935A4383}"/>
    <cellStyle name="Normal 3 3 45 2 2 2" xfId="5590" xr:uid="{8B816DFC-93B0-41C9-BE3D-FA97262703D8}"/>
    <cellStyle name="Normal 3 3 45 2 3" xfId="4172" xr:uid="{D889E830-6F31-485D-AEC5-41550B713D63}"/>
    <cellStyle name="Normal 3 3 45 3" xfId="2089" xr:uid="{B52AFBFA-09A0-4E82-A6A8-06F7145A8881}"/>
    <cellStyle name="Normal 3 3 45 3 2" xfId="4949" xr:uid="{8068C536-50A4-490A-9AF1-A80AAD5E4035}"/>
    <cellStyle name="Normal 3 3 45 4" xfId="3533" xr:uid="{D766E608-54C7-4F5F-AB74-338A48E2C9C7}"/>
    <cellStyle name="Normal 3 3 46" xfId="586" xr:uid="{00000000-0005-0000-0000-000020050000}"/>
    <cellStyle name="Normal 3 3 46 2" xfId="1305" xr:uid="{00000000-0005-0000-0000-000021050000}"/>
    <cellStyle name="Normal 3 3 46 2 2" xfId="2753" xr:uid="{EC8C54A0-9784-4F8A-88BF-FAF7E70A559D}"/>
    <cellStyle name="Normal 3 3 46 2 2 2" xfId="5609" xr:uid="{69FE8CA5-052A-466B-A759-434600547801}"/>
    <cellStyle name="Normal 3 3 46 2 3" xfId="4191" xr:uid="{7135A458-2D8E-4A2C-916F-7492BC655519}"/>
    <cellStyle name="Normal 3 3 46 3" xfId="2108" xr:uid="{95995E12-929D-4919-947C-5368F2933130}"/>
    <cellStyle name="Normal 3 3 46 3 2" xfId="4968" xr:uid="{4BF5D909-606A-481F-BFD7-D62F2FD42E40}"/>
    <cellStyle name="Normal 3 3 46 4" xfId="3552" xr:uid="{54B53B50-71ED-4119-A620-006AA0CD4DBB}"/>
    <cellStyle name="Normal 3 3 47" xfId="724" xr:uid="{00000000-0005-0000-0000-000022050000}"/>
    <cellStyle name="Normal 3 3 47 2" xfId="1403" xr:uid="{00000000-0005-0000-0000-000023050000}"/>
    <cellStyle name="Normal 3 3 47 2 2" xfId="2850" xr:uid="{6B691E2E-51DC-47DC-BF26-850C9ADDBBCC}"/>
    <cellStyle name="Normal 3 3 47 2 2 2" xfId="5705" xr:uid="{BBD464B6-83A1-486B-BDC2-4CB6DB1460ED}"/>
    <cellStyle name="Normal 3 3 47 2 3" xfId="4287" xr:uid="{5A30381E-B2FD-4AE4-BA68-3BBB018FEE4C}"/>
    <cellStyle name="Normal 3 3 47 3" xfId="2210" xr:uid="{E6470D58-451F-462E-9BC5-3D5133864121}"/>
    <cellStyle name="Normal 3 3 47 3 2" xfId="5066" xr:uid="{3C86B2B4-1186-4954-A48D-8637FDA09A59}"/>
    <cellStyle name="Normal 3 3 47 4" xfId="3650" xr:uid="{6E94A3FC-9EC7-47D5-A501-6499DD41B5E4}"/>
    <cellStyle name="Normal 3 3 5" xfId="84" xr:uid="{00000000-0005-0000-0000-000024050000}"/>
    <cellStyle name="Normal 3 3 5 2" xfId="810" xr:uid="{00000000-0005-0000-0000-000025050000}"/>
    <cellStyle name="Normal 3 3 5 2 2" xfId="2261" xr:uid="{56C3F5F1-7A0B-4B55-863F-652A0DBF1E92}"/>
    <cellStyle name="Normal 3 3 5 2 2 2" xfId="5117" xr:uid="{E06DBFA4-B442-48B2-A16B-70B4A7CECC6F}"/>
    <cellStyle name="Normal 3 3 5 2 3" xfId="3699" xr:uid="{50377765-3536-4E2B-94DB-4FAB1ACCC359}"/>
    <cellStyle name="Normal 3 3 5 3" xfId="1614" xr:uid="{966DEE68-16D7-4759-9B41-18C9DBB6A677}"/>
    <cellStyle name="Normal 3 3 5 3 2" xfId="4474" xr:uid="{B47E3F1D-AEF2-4F93-BD76-B88CD87D8A09}"/>
    <cellStyle name="Normal 3 3 5 4" xfId="3058" xr:uid="{B31B8703-123B-4375-A798-C66E77A62A86}"/>
    <cellStyle name="Normal 3 3 6" xfId="99" xr:uid="{00000000-0005-0000-0000-000026050000}"/>
    <cellStyle name="Normal 3 3 6 2" xfId="825" xr:uid="{00000000-0005-0000-0000-000027050000}"/>
    <cellStyle name="Normal 3 3 6 2 2" xfId="2275" xr:uid="{A22AA531-C987-4BAF-B451-E38299C4E17A}"/>
    <cellStyle name="Normal 3 3 6 2 2 2" xfId="5131" xr:uid="{AF477A59-4DE9-4773-971A-209DFE1DF4B6}"/>
    <cellStyle name="Normal 3 3 6 2 3" xfId="3713" xr:uid="{D12FAA2F-A179-4860-8723-F2A6A6E0BE5C}"/>
    <cellStyle name="Normal 3 3 6 3" xfId="1628" xr:uid="{80EE4C23-07FF-483B-AFC9-A318B74C6E38}"/>
    <cellStyle name="Normal 3 3 6 3 2" xfId="4488" xr:uid="{6D780C45-BF87-4A85-BAC4-AFA1E09BABF8}"/>
    <cellStyle name="Normal 3 3 6 4" xfId="3072" xr:uid="{BB19BAE7-1EF1-4CD2-8341-FABF667EAC1D}"/>
    <cellStyle name="Normal 3 3 7" xfId="108" xr:uid="{00000000-0005-0000-0000-000028050000}"/>
    <cellStyle name="Normal 3 3 7 2" xfId="834" xr:uid="{00000000-0005-0000-0000-000029050000}"/>
    <cellStyle name="Normal 3 3 7 2 2" xfId="2283" xr:uid="{8B03B7F5-F9E3-4E1B-9031-A7B12C771B8E}"/>
    <cellStyle name="Normal 3 3 7 2 2 2" xfId="5139" xr:uid="{D2B82774-F208-4740-9B73-DBF2383FDCB3}"/>
    <cellStyle name="Normal 3 3 7 2 3" xfId="3721" xr:uid="{611B5B98-93EF-42E1-8ADE-4FF878DE7907}"/>
    <cellStyle name="Normal 3 3 7 3" xfId="1636" xr:uid="{88464C63-935C-442C-B9C7-25CD5DC85382}"/>
    <cellStyle name="Normal 3 3 7 3 2" xfId="4496" xr:uid="{2FEFA09C-21B6-4D1C-8432-E2948D477ABE}"/>
    <cellStyle name="Normal 3 3 7 4" xfId="3080" xr:uid="{2A4FA55E-DAB9-4700-9373-7A03B33C3F67}"/>
    <cellStyle name="Normal 3 3 8" xfId="114" xr:uid="{00000000-0005-0000-0000-00002A050000}"/>
    <cellStyle name="Normal 3 3 8 2" xfId="840" xr:uid="{00000000-0005-0000-0000-00002B050000}"/>
    <cellStyle name="Normal 3 3 8 2 2" xfId="2289" xr:uid="{65B157D7-7D73-4A72-8CEA-EA2F4B821952}"/>
    <cellStyle name="Normal 3 3 8 2 2 2" xfId="5145" xr:uid="{7D7A2AA0-CC65-446A-974F-2C3C12772091}"/>
    <cellStyle name="Normal 3 3 8 2 3" xfId="3727" xr:uid="{2C523DBC-12DF-499A-AAEF-7EA731045984}"/>
    <cellStyle name="Normal 3 3 8 3" xfId="1642" xr:uid="{1FC397F8-CB77-453C-BF13-395BD876C167}"/>
    <cellStyle name="Normal 3 3 8 3 2" xfId="4502" xr:uid="{BC51C0E7-460C-435D-AB6B-6BD7EE94B49D}"/>
    <cellStyle name="Normal 3 3 8 4" xfId="3086" xr:uid="{71100A48-03F5-4B22-8AEB-F3612588B632}"/>
    <cellStyle name="Normal 3 3 9" xfId="118" xr:uid="{00000000-0005-0000-0000-00002C050000}"/>
    <cellStyle name="Normal 3 3 9 2" xfId="844" xr:uid="{00000000-0005-0000-0000-00002D050000}"/>
    <cellStyle name="Normal 3 3 9 2 2" xfId="2293" xr:uid="{0CD6B5A7-C15B-4618-A694-D8809B4C64E1}"/>
    <cellStyle name="Normal 3 3 9 2 2 2" xfId="5149" xr:uid="{78804D97-FFA2-427A-8F23-CEE452C620A4}"/>
    <cellStyle name="Normal 3 3 9 2 3" xfId="3731" xr:uid="{D4260518-CBEE-4A32-BA38-173B5B9BCFA7}"/>
    <cellStyle name="Normal 3 3 9 3" xfId="1646" xr:uid="{8A21180D-4853-4F3A-A6A6-7110A4F241F9}"/>
    <cellStyle name="Normal 3 3 9 3 2" xfId="4506" xr:uid="{454302AC-35B6-487C-96B7-51D536D2FB09}"/>
    <cellStyle name="Normal 3 3 9 4" xfId="3090" xr:uid="{2C4BB857-4318-494E-BD09-7C65990AD295}"/>
    <cellStyle name="Normal 3 30" xfId="337" xr:uid="{00000000-0005-0000-0000-00002E050000}"/>
    <cellStyle name="Normal 3 30 2" xfId="1058" xr:uid="{00000000-0005-0000-0000-00002F050000}"/>
    <cellStyle name="Normal 3 30 2 2" xfId="2506" xr:uid="{8ED7E9A1-3DC9-4E66-99B1-CD13E37F2D49}"/>
    <cellStyle name="Normal 3 30 2 2 2" xfId="5362" xr:uid="{67386C77-773B-49E5-AC55-EB34FE5F2BE2}"/>
    <cellStyle name="Normal 3 30 2 3" xfId="3944" xr:uid="{7770849E-19F1-49E2-AB8E-DD586477351C}"/>
    <cellStyle name="Normal 3 30 3" xfId="1860" xr:uid="{D8DA63EE-4B15-4624-929C-C2A9F8A90C7E}"/>
    <cellStyle name="Normal 3 30 3 2" xfId="4720" xr:uid="{6166A63F-30AE-47B3-A92A-82EF6A68875C}"/>
    <cellStyle name="Normal 3 30 4" xfId="3304" xr:uid="{91436D6B-0475-4DCC-8E3A-89D51F4A46B4}"/>
    <cellStyle name="Normal 3 31" xfId="348" xr:uid="{00000000-0005-0000-0000-000030050000}"/>
    <cellStyle name="Normal 3 31 2" xfId="1069" xr:uid="{00000000-0005-0000-0000-000031050000}"/>
    <cellStyle name="Normal 3 31 2 2" xfId="2517" xr:uid="{EB795866-27EC-476C-A345-8BE5E91EA983}"/>
    <cellStyle name="Normal 3 31 2 2 2" xfId="5373" xr:uid="{6C2C78E7-F9BA-45B9-A72A-098886CBEC36}"/>
    <cellStyle name="Normal 3 31 2 3" xfId="3955" xr:uid="{F1207511-A909-4A17-A3E7-898067D92670}"/>
    <cellStyle name="Normal 3 31 3" xfId="1871" xr:uid="{691D23D4-C9B4-46F4-B6E2-EDAABD8CB1C0}"/>
    <cellStyle name="Normal 3 31 3 2" xfId="4731" xr:uid="{755DF418-B5E9-4104-895A-92CB71DBEEB9}"/>
    <cellStyle name="Normal 3 31 4" xfId="3315" xr:uid="{C39E1790-288E-43B1-816D-9CAD86813DD5}"/>
    <cellStyle name="Normal 3 32" xfId="364" xr:uid="{00000000-0005-0000-0000-000032050000}"/>
    <cellStyle name="Normal 3 32 2" xfId="1085" xr:uid="{00000000-0005-0000-0000-000033050000}"/>
    <cellStyle name="Normal 3 32 2 2" xfId="2533" xr:uid="{938FC5A8-A51B-4BCB-94E6-0DEF29F708D7}"/>
    <cellStyle name="Normal 3 32 2 2 2" xfId="5389" xr:uid="{B1B1AA60-6C39-4603-A778-E688401DB0B6}"/>
    <cellStyle name="Normal 3 32 2 3" xfId="3971" xr:uid="{767DF8A2-6EA9-485F-B6FB-4C04E1441016}"/>
    <cellStyle name="Normal 3 32 3" xfId="1887" xr:uid="{366FA45F-1A50-4BF4-986B-561D4B65AAA2}"/>
    <cellStyle name="Normal 3 32 3 2" xfId="4747" xr:uid="{B28C24DC-48A8-45F9-87A9-7B87EDBC0BD6}"/>
    <cellStyle name="Normal 3 32 4" xfId="3331" xr:uid="{ED8882EF-0A71-43A4-865C-4B8A45890711}"/>
    <cellStyle name="Normal 3 33" xfId="376" xr:uid="{00000000-0005-0000-0000-000034050000}"/>
    <cellStyle name="Normal 3 33 2" xfId="1097" xr:uid="{00000000-0005-0000-0000-000035050000}"/>
    <cellStyle name="Normal 3 33 2 2" xfId="2545" xr:uid="{D34F4D65-3AE7-468C-BB46-2F5D9A38686F}"/>
    <cellStyle name="Normal 3 33 2 2 2" xfId="5401" xr:uid="{0298A21E-80D3-4446-AE04-3B98FB41CB0E}"/>
    <cellStyle name="Normal 3 33 2 3" xfId="3983" xr:uid="{7A558AE7-76F6-4D5D-932D-32153A629EF2}"/>
    <cellStyle name="Normal 3 33 3" xfId="1899" xr:uid="{785F1633-DA04-4FF2-A14F-C5C3A9457685}"/>
    <cellStyle name="Normal 3 33 3 2" xfId="4759" xr:uid="{1767D5E2-5144-49B4-95F6-A812AA54F4E5}"/>
    <cellStyle name="Normal 3 33 4" xfId="3343" xr:uid="{04C30CD7-7455-4D5D-AD73-0C424F1DAE34}"/>
    <cellStyle name="Normal 3 34" xfId="385" xr:uid="{00000000-0005-0000-0000-000036050000}"/>
    <cellStyle name="Normal 3 34 2" xfId="1106" xr:uid="{00000000-0005-0000-0000-000037050000}"/>
    <cellStyle name="Normal 3 34 2 2" xfId="2554" xr:uid="{5C5B164B-B655-47DF-B28F-888AF89EBED9}"/>
    <cellStyle name="Normal 3 34 2 2 2" xfId="5410" xr:uid="{6A6E2A34-6BBD-4D20-9A0D-9E23EC40AA98}"/>
    <cellStyle name="Normal 3 34 2 3" xfId="3992" xr:uid="{89FF2BDB-E197-4DE3-A81D-9A8FC5D3D167}"/>
    <cellStyle name="Normal 3 34 3" xfId="1908" xr:uid="{5745F204-5504-46D6-B197-940641C9E153}"/>
    <cellStyle name="Normal 3 34 3 2" xfId="4768" xr:uid="{F6CE749A-C503-406C-906D-8A87A0FD20BA}"/>
    <cellStyle name="Normal 3 34 4" xfId="3352" xr:uid="{6372F61A-9551-4588-ABB7-0D49180250E4}"/>
    <cellStyle name="Normal 3 35" xfId="403" xr:uid="{00000000-0005-0000-0000-000038050000}"/>
    <cellStyle name="Normal 3 35 2" xfId="1124" xr:uid="{00000000-0005-0000-0000-000039050000}"/>
    <cellStyle name="Normal 3 35 2 2" xfId="2572" xr:uid="{1929F4EA-E2A7-459F-A1B9-ECB8E7E7975D}"/>
    <cellStyle name="Normal 3 35 2 2 2" xfId="5428" xr:uid="{17FA35EB-F43C-4EAC-BD31-17E97B6B4F03}"/>
    <cellStyle name="Normal 3 35 2 3" xfId="4010" xr:uid="{364390E1-45F7-4727-B043-A0FEEC2B7436}"/>
    <cellStyle name="Normal 3 35 3" xfId="1926" xr:uid="{44169DDB-447A-453B-BC40-E0196FE74E29}"/>
    <cellStyle name="Normal 3 35 3 2" xfId="4786" xr:uid="{1219401F-A36C-49F0-963E-0A7DB40295C4}"/>
    <cellStyle name="Normal 3 35 4" xfId="3370" xr:uid="{836AE3D5-9FB3-4138-AF96-189D90BB949F}"/>
    <cellStyle name="Normal 3 36" xfId="412" xr:uid="{00000000-0005-0000-0000-00003A050000}"/>
    <cellStyle name="Normal 3 36 2" xfId="1133" xr:uid="{00000000-0005-0000-0000-00003B050000}"/>
    <cellStyle name="Normal 3 36 2 2" xfId="2581" xr:uid="{B1A3E068-2FFC-4B11-B380-17C1D3AA286C}"/>
    <cellStyle name="Normal 3 36 2 2 2" xfId="5437" xr:uid="{0DF95B06-1958-4417-B515-1290E14CDE29}"/>
    <cellStyle name="Normal 3 36 2 3" xfId="4019" xr:uid="{56C631F1-5687-4711-8871-6F1125B30EC6}"/>
    <cellStyle name="Normal 3 36 3" xfId="1935" xr:uid="{82957600-84A6-4476-BBC7-6192CC10AC79}"/>
    <cellStyle name="Normal 3 36 3 2" xfId="4795" xr:uid="{CE6E1B81-C0AC-40B0-892B-488110B1B8BE}"/>
    <cellStyle name="Normal 3 36 4" xfId="3379" xr:uid="{38C41A22-5DD6-47F9-B6A8-1FCE0D735E2C}"/>
    <cellStyle name="Normal 3 37" xfId="426" xr:uid="{00000000-0005-0000-0000-00003C050000}"/>
    <cellStyle name="Normal 3 37 2" xfId="1147" xr:uid="{00000000-0005-0000-0000-00003D050000}"/>
    <cellStyle name="Normal 3 37 2 2" xfId="2595" xr:uid="{A19A36E5-FAA3-4581-AE2F-90FBF4B9303E}"/>
    <cellStyle name="Normal 3 37 2 2 2" xfId="5451" xr:uid="{F4B3AD73-B346-4CA0-BDCF-9BBEEF1C865C}"/>
    <cellStyle name="Normal 3 37 2 3" xfId="4033" xr:uid="{296B3BC9-5793-478D-8138-58C95186D534}"/>
    <cellStyle name="Normal 3 37 3" xfId="1949" xr:uid="{DE7EFE04-1243-4AB6-9A36-C04707AB79D4}"/>
    <cellStyle name="Normal 3 37 3 2" xfId="4809" xr:uid="{5DB19D9C-37FD-47DA-913A-64FDDF82E5F2}"/>
    <cellStyle name="Normal 3 37 4" xfId="3393" xr:uid="{657488BB-48E7-41EC-B62B-2531A14B98BA}"/>
    <cellStyle name="Normal 3 38" xfId="433" xr:uid="{00000000-0005-0000-0000-00003E050000}"/>
    <cellStyle name="Normal 3 38 2" xfId="1154" xr:uid="{00000000-0005-0000-0000-00003F050000}"/>
    <cellStyle name="Normal 3 38 2 2" xfId="2602" xr:uid="{CF6569D2-8481-449B-8B24-0F7427A18989}"/>
    <cellStyle name="Normal 3 38 2 2 2" xfId="5458" xr:uid="{68220302-2BC6-4000-81F0-CD58D5FEAB0E}"/>
    <cellStyle name="Normal 3 38 2 3" xfId="4040" xr:uid="{5D2291CC-981B-4D59-8B39-947BBE9BD0E9}"/>
    <cellStyle name="Normal 3 38 3" xfId="1956" xr:uid="{BDDFD2A0-0E67-4D17-BCDB-C20BBE757F23}"/>
    <cellStyle name="Normal 3 38 3 2" xfId="4816" xr:uid="{2AAF7D2A-F622-443A-B0D1-68748E1BBE0F}"/>
    <cellStyle name="Normal 3 38 4" xfId="3400" xr:uid="{5A5E3C8E-5144-47A8-8CF4-8C5BCB626498}"/>
    <cellStyle name="Normal 3 39" xfId="452" xr:uid="{00000000-0005-0000-0000-000040050000}"/>
    <cellStyle name="Normal 3 39 2" xfId="1172" xr:uid="{00000000-0005-0000-0000-000041050000}"/>
    <cellStyle name="Normal 3 39 2 2" xfId="2620" xr:uid="{EED895C1-A31E-44AA-A126-CA0B16CC74E4}"/>
    <cellStyle name="Normal 3 39 2 2 2" xfId="5476" xr:uid="{31A3CFD8-AAF3-443C-A883-C990E049D317}"/>
    <cellStyle name="Normal 3 39 2 3" xfId="4058" xr:uid="{D4F6D4B6-5C4A-4FA0-9DBD-66C3C04C6D35}"/>
    <cellStyle name="Normal 3 39 3" xfId="1975" xr:uid="{FC0D6CE5-CC93-48DF-9797-8342077B2A18}"/>
    <cellStyle name="Normal 3 39 3 2" xfId="4835" xr:uid="{7ADA4B06-899E-4CC4-9DC2-BA11222F4B21}"/>
    <cellStyle name="Normal 3 39 4" xfId="3419" xr:uid="{9BB23242-AF07-4764-A3B2-A8A75ACC17F5}"/>
    <cellStyle name="Normal 3 4" xfId="37" xr:uid="{00000000-0005-0000-0000-000042050000}"/>
    <cellStyle name="Normal 3 4 2" xfId="184" xr:uid="{00000000-0005-0000-0000-000043050000}"/>
    <cellStyle name="Normal 3 4 2 2" xfId="906" xr:uid="{00000000-0005-0000-0000-000044050000}"/>
    <cellStyle name="Normal 3 4 2 2 2" xfId="2354" xr:uid="{A762DF48-4A01-409E-9D15-A79C7B7C3761}"/>
    <cellStyle name="Normal 3 4 2 2 2 2" xfId="5210" xr:uid="{F82BF5E8-BE47-412E-A507-9679A03F9024}"/>
    <cellStyle name="Normal 3 4 2 2 3" xfId="3792" xr:uid="{F044C46C-9E95-4DA4-981D-DC8E43E3924A}"/>
    <cellStyle name="Normal 3 4 2 3" xfId="1707" xr:uid="{8E888251-0575-4081-B92D-72189C74B2B4}"/>
    <cellStyle name="Normal 3 4 2 3 2" xfId="4567" xr:uid="{EFF34A18-DCB3-438A-BCE2-B66FD2BC42A7}"/>
    <cellStyle name="Normal 3 4 2 4" xfId="3151" xr:uid="{0AFB5D2E-08C4-4358-8AD8-43AE1D96AF92}"/>
    <cellStyle name="Normal 3 4 3" xfId="626" xr:uid="{00000000-0005-0000-0000-000045050000}"/>
    <cellStyle name="Normal 3 4 4" xfId="777" xr:uid="{00000000-0005-0000-0000-000046050000}"/>
    <cellStyle name="Normal 3 4 4 2" xfId="2229" xr:uid="{AA96E23A-F1CC-4EE3-B497-46BED585D9C0}"/>
    <cellStyle name="Normal 3 4 4 2 2" xfId="5085" xr:uid="{9650C2DD-695E-42EC-8EC7-8949C93355A5}"/>
    <cellStyle name="Normal 3 4 4 3" xfId="3667" xr:uid="{E37A7C4B-CC9A-4407-AB6F-D5744EDD7CF0}"/>
    <cellStyle name="Normal 3 4 5" xfId="1581" xr:uid="{667E88BA-8006-4E84-8320-A14A7B6E4982}"/>
    <cellStyle name="Normal 3 4 5 2" xfId="4441" xr:uid="{342685E6-513D-4728-82FF-CA7ED67597C7}"/>
    <cellStyle name="Normal 3 4 6" xfId="3026" xr:uid="{864BF501-A167-4371-BB4A-86F18A5B7412}"/>
    <cellStyle name="Normal 3 40" xfId="467" xr:uid="{00000000-0005-0000-0000-000047050000}"/>
    <cellStyle name="Normal 3 40 2" xfId="1187" xr:uid="{00000000-0005-0000-0000-000048050000}"/>
    <cellStyle name="Normal 3 40 2 2" xfId="2635" xr:uid="{21C46723-FF2F-46A5-991B-BBC68D4AF4D3}"/>
    <cellStyle name="Normal 3 40 2 2 2" xfId="5491" xr:uid="{C0EBAD04-133C-4E4C-8BA7-23573E1B8036}"/>
    <cellStyle name="Normal 3 40 2 3" xfId="4073" xr:uid="{91E810D4-21AE-45FF-B7C2-8E1FF3EA9FE5}"/>
    <cellStyle name="Normal 3 40 3" xfId="1990" xr:uid="{2CC9288C-9875-48E0-A596-69B22AA35E8C}"/>
    <cellStyle name="Normal 3 40 3 2" xfId="4850" xr:uid="{CA5AA82F-FC23-4E6D-B8B5-486BD7607FB2}"/>
    <cellStyle name="Normal 3 40 4" xfId="3434" xr:uid="{3A68A3BE-5FCA-4141-B684-F84372B3229A}"/>
    <cellStyle name="Normal 3 41" xfId="485" xr:uid="{00000000-0005-0000-0000-000049050000}"/>
    <cellStyle name="Normal 3 41 2" xfId="1204" xr:uid="{00000000-0005-0000-0000-00004A050000}"/>
    <cellStyle name="Normal 3 41 2 2" xfId="2652" xr:uid="{61AD1565-9C4D-4F88-873D-4F437CBE5EB8}"/>
    <cellStyle name="Normal 3 41 2 2 2" xfId="5508" xr:uid="{F43BA351-AC5A-4F9A-93DE-82A8AE46E935}"/>
    <cellStyle name="Normal 3 41 2 3" xfId="4090" xr:uid="{45153897-6A42-4CC7-A002-611401CED8FE}"/>
    <cellStyle name="Normal 3 41 3" xfId="2007" xr:uid="{F0EA2E33-4DD9-4A77-B544-E8065E526050}"/>
    <cellStyle name="Normal 3 41 3 2" xfId="4867" xr:uid="{8D5D6530-1F65-4270-89D6-E1F6EE9FC422}"/>
    <cellStyle name="Normal 3 41 4" xfId="3451" xr:uid="{D5648490-5A03-47D2-BC8B-40F85D809BB3}"/>
    <cellStyle name="Normal 3 42" xfId="496" xr:uid="{00000000-0005-0000-0000-00004B050000}"/>
    <cellStyle name="Normal 3 42 2" xfId="1215" xr:uid="{00000000-0005-0000-0000-00004C050000}"/>
    <cellStyle name="Normal 3 42 2 2" xfId="2663" xr:uid="{2AE6000D-57CC-48D5-9C26-F78AD4B18FCF}"/>
    <cellStyle name="Normal 3 42 2 2 2" xfId="5519" xr:uid="{7E7D810E-3B83-4B0F-8DAA-30D4467D5C34}"/>
    <cellStyle name="Normal 3 42 2 3" xfId="4101" xr:uid="{B56A8FD5-161B-4BE9-8986-6B7AE7201AF2}"/>
    <cellStyle name="Normal 3 42 3" xfId="2018" xr:uid="{2ED3E2EA-C3D8-4103-B7E4-BE10D16A4F07}"/>
    <cellStyle name="Normal 3 42 3 2" xfId="4878" xr:uid="{DB6CA1E8-2563-437B-98B6-2F7AE5C10C5C}"/>
    <cellStyle name="Normal 3 42 4" xfId="3462" xr:uid="{AAC8F4F7-9ABE-4B75-AF82-6A3753F8D762}"/>
    <cellStyle name="Normal 3 43" xfId="507" xr:uid="{00000000-0005-0000-0000-00004D050000}"/>
    <cellStyle name="Normal 3 43 2" xfId="1226" xr:uid="{00000000-0005-0000-0000-00004E050000}"/>
    <cellStyle name="Normal 3 43 2 2" xfId="2674" xr:uid="{69BCB8F7-EC0E-45AE-B6E2-3B2FA7BBAE2C}"/>
    <cellStyle name="Normal 3 43 2 2 2" xfId="5530" xr:uid="{157BC4DE-6AB0-41A3-B09E-0DFB3682CAE9}"/>
    <cellStyle name="Normal 3 43 2 3" xfId="4112" xr:uid="{C5BB69A9-1958-4182-A82E-5D169843DB06}"/>
    <cellStyle name="Normal 3 43 3" xfId="2029" xr:uid="{A0FB3B9E-F296-46CC-9D09-AE561CB0804B}"/>
    <cellStyle name="Normal 3 43 3 2" xfId="4889" xr:uid="{833C0CDB-32A4-4C8C-9D06-6B9B58B7E2C5}"/>
    <cellStyle name="Normal 3 43 4" xfId="3473" xr:uid="{B2A29BBE-2538-43AA-AA3B-300B2E60B0CD}"/>
    <cellStyle name="Normal 3 44" xfId="519" xr:uid="{00000000-0005-0000-0000-00004F050000}"/>
    <cellStyle name="Normal 3 44 2" xfId="1238" xr:uid="{00000000-0005-0000-0000-000050050000}"/>
    <cellStyle name="Normal 3 44 2 2" xfId="2686" xr:uid="{761702B7-F8B3-41A9-99C8-52139A014C21}"/>
    <cellStyle name="Normal 3 44 2 2 2" xfId="5542" xr:uid="{0C0526AA-CEF6-4CEE-9C8D-523268B82BE0}"/>
    <cellStyle name="Normal 3 44 2 3" xfId="4124" xr:uid="{89C2700E-621C-4BD5-A6BB-DB2D905C4EBA}"/>
    <cellStyle name="Normal 3 44 3" xfId="2041" xr:uid="{2CEF98F5-6804-4683-B00A-BC085BB4EC72}"/>
    <cellStyle name="Normal 3 44 3 2" xfId="4901" xr:uid="{B960F2F0-EEF7-4039-BF66-FE609652557F}"/>
    <cellStyle name="Normal 3 44 4" xfId="3485" xr:uid="{8C412F7C-1758-48C4-BD1B-2501B23C3744}"/>
    <cellStyle name="Normal 3 45" xfId="530" xr:uid="{00000000-0005-0000-0000-000051050000}"/>
    <cellStyle name="Normal 3 45 2" xfId="1249" xr:uid="{00000000-0005-0000-0000-000052050000}"/>
    <cellStyle name="Normal 3 45 2 2" xfId="2697" xr:uid="{85204585-024B-407D-BD6E-AEB7070D7282}"/>
    <cellStyle name="Normal 3 45 2 2 2" xfId="5553" xr:uid="{F88BE777-5F90-4E91-BF48-2B5132920A7E}"/>
    <cellStyle name="Normal 3 45 2 3" xfId="4135" xr:uid="{A5F6C927-DE2B-4EB9-93C6-94556DE8A8AF}"/>
    <cellStyle name="Normal 3 45 3" xfId="2052" xr:uid="{EFEC6264-D8D3-451B-AA6A-79F7F4EBEE88}"/>
    <cellStyle name="Normal 3 45 3 2" xfId="4912" xr:uid="{4F80D7C0-16DC-40DC-958F-0254754F58A4}"/>
    <cellStyle name="Normal 3 45 4" xfId="3496" xr:uid="{D227A0D6-A399-4A71-8624-EDC1C2FF0FC4}"/>
    <cellStyle name="Normal 3 46" xfId="548" xr:uid="{00000000-0005-0000-0000-000053050000}"/>
    <cellStyle name="Normal 3 46 2" xfId="1267" xr:uid="{00000000-0005-0000-0000-000054050000}"/>
    <cellStyle name="Normal 3 46 2 2" xfId="2715" xr:uid="{1DD8681B-0E7E-4258-BC1F-0F6E408AAA19}"/>
    <cellStyle name="Normal 3 46 2 2 2" xfId="5571" xr:uid="{10F09337-D26F-44C4-BE07-9591886A8466}"/>
    <cellStyle name="Normal 3 46 2 3" xfId="4153" xr:uid="{284EC8BC-65D8-47A5-BECA-4596A1F6BA64}"/>
    <cellStyle name="Normal 3 46 3" xfId="2070" xr:uid="{00E15677-2210-44C0-8E4A-4EFADF60FB5D}"/>
    <cellStyle name="Normal 3 46 3 2" xfId="4930" xr:uid="{8B37526C-1F03-471A-90E4-41F9027B9E3B}"/>
    <cellStyle name="Normal 3 46 4" xfId="3514" xr:uid="{2CD0B484-6090-4266-9876-268BC873AA1D}"/>
    <cellStyle name="Normal 3 47" xfId="564" xr:uid="{00000000-0005-0000-0000-000055050000}"/>
    <cellStyle name="Normal 3 47 2" xfId="1283" xr:uid="{00000000-0005-0000-0000-000056050000}"/>
    <cellStyle name="Normal 3 47 2 2" xfId="2731" xr:uid="{631765C8-A27E-4D99-987E-6E75E5B56F8E}"/>
    <cellStyle name="Normal 3 47 2 2 2" xfId="5587" xr:uid="{2B8EAEAE-11F7-470B-98A8-FCC7F0DCFCF1}"/>
    <cellStyle name="Normal 3 47 2 3" xfId="4169" xr:uid="{09CE3B09-68F2-4C68-8F95-BEF1CE960EDE}"/>
    <cellStyle name="Normal 3 47 3" xfId="2086" xr:uid="{3536D4B5-AA5F-470A-A044-C58597DA80C1}"/>
    <cellStyle name="Normal 3 47 3 2" xfId="4946" xr:uid="{A9CDD7B5-1702-42A1-BF06-094CE0CA2D89}"/>
    <cellStyle name="Normal 3 47 4" xfId="3530" xr:uid="{799C6C8A-63B7-4D86-918B-7947E8EBD541}"/>
    <cellStyle name="Normal 3 48" xfId="583" xr:uid="{00000000-0005-0000-0000-000057050000}"/>
    <cellStyle name="Normal 3 48 2" xfId="710" xr:uid="{00000000-0005-0000-0000-000058050000}"/>
    <cellStyle name="Normal 3 48 2 2" xfId="1391" xr:uid="{00000000-0005-0000-0000-000059050000}"/>
    <cellStyle name="Normal 3 48 2 2 2" xfId="2838" xr:uid="{A9BD6553-8A54-41D9-900B-A48DC7A4C30B}"/>
    <cellStyle name="Normal 3 48 2 2 2 2" xfId="5693" xr:uid="{976DB955-B657-4D36-9587-DDA798E507D3}"/>
    <cellStyle name="Normal 3 48 2 2 3" xfId="4275" xr:uid="{4BD2EFE1-EA6C-4BDA-BC7A-3E1EEB540E75}"/>
    <cellStyle name="Normal 3 48 2 3" xfId="2197" xr:uid="{9225260E-C2A9-4065-91B1-A42BA2BFB9D3}"/>
    <cellStyle name="Normal 3 48 2 3 2" xfId="5054" xr:uid="{E507A34F-F309-423E-A7E9-D2920F0C89D1}"/>
    <cellStyle name="Normal 3 48 2 4" xfId="3638" xr:uid="{596C91F9-1724-4EB0-9DBD-A8E1402E4104}"/>
    <cellStyle name="Normal 3 48 3" xfId="1302" xr:uid="{00000000-0005-0000-0000-00005A050000}"/>
    <cellStyle name="Normal 3 48 3 2" xfId="2750" xr:uid="{489E6121-3A27-4501-B665-B3AC5E2E118A}"/>
    <cellStyle name="Normal 3 48 3 2 2" xfId="5606" xr:uid="{435F8AC7-3B59-4995-A0C4-87A2E3DB8562}"/>
    <cellStyle name="Normal 3 48 3 3" xfId="4188" xr:uid="{68653447-3DAF-432E-8699-BE3C8AE2E64A}"/>
    <cellStyle name="Normal 3 48 4" xfId="2105" xr:uid="{514F849E-D2AF-41A3-9EFF-05493478731E}"/>
    <cellStyle name="Normal 3 48 4 2" xfId="4965" xr:uid="{F3AB92F4-BAF9-4DDA-B9EB-8007ECBA9174}"/>
    <cellStyle name="Normal 3 48 5" xfId="3549" xr:uid="{84E66DA4-69DC-4640-8555-885E5E2C57A3}"/>
    <cellStyle name="Normal 3 49" xfId="655" xr:uid="{00000000-0005-0000-0000-00005B050000}"/>
    <cellStyle name="Normal 3 5" xfId="64" xr:uid="{00000000-0005-0000-0000-00005C050000}"/>
    <cellStyle name="Normal 3 5 2" xfId="792" xr:uid="{00000000-0005-0000-0000-00005D050000}"/>
    <cellStyle name="Normal 3 5 2 2" xfId="2243" xr:uid="{04753846-0529-4C49-A39A-A3C9A46F6CE0}"/>
    <cellStyle name="Normal 3 5 2 2 2" xfId="5099" xr:uid="{9E74A02B-7141-404B-A06B-7A647ACAD21B}"/>
    <cellStyle name="Normal 3 5 2 3" xfId="3681" xr:uid="{14874064-68BC-4925-BCE7-363306FE446D}"/>
    <cellStyle name="Normal 3 5 3" xfId="1595" xr:uid="{1127C9FA-348B-4081-BE2F-D1B8580D5EE2}"/>
    <cellStyle name="Normal 3 5 3 2" xfId="4455" xr:uid="{E8B732D7-C52B-4146-9E0D-E6B4F03929EF}"/>
    <cellStyle name="Normal 3 5 4" xfId="3040" xr:uid="{A8BB1E82-1140-4745-BFC5-07F35FE13A0B}"/>
    <cellStyle name="Normal 3 5 5" xfId="6016" xr:uid="{8D2F4547-BF27-4FBD-9712-B06C21C87867}"/>
    <cellStyle name="Normal 3 50" xfId="721" xr:uid="{00000000-0005-0000-0000-00005E050000}"/>
    <cellStyle name="Normal 3 50 2" xfId="1400" xr:uid="{00000000-0005-0000-0000-00005F050000}"/>
    <cellStyle name="Normal 3 50 2 2" xfId="2847" xr:uid="{E22D1856-6A9B-44C8-89A6-8385B7B9CC4B}"/>
    <cellStyle name="Normal 3 50 2 2 2" xfId="5702" xr:uid="{AD4967DD-2A3F-494D-ADC1-79C24DA2F848}"/>
    <cellStyle name="Normal 3 50 2 3" xfId="4284" xr:uid="{F307B27C-BE40-4480-831B-C8C15FF71A10}"/>
    <cellStyle name="Normal 3 50 3" xfId="2207" xr:uid="{9201A431-9722-4AC1-BC5A-DA1B9EBD6EAF}"/>
    <cellStyle name="Normal 3 50 3 2" xfId="5063" xr:uid="{3D25036D-DA2F-4E82-AFB8-020CF0E5E36A}"/>
    <cellStyle name="Normal 3 50 4" xfId="3647" xr:uid="{5DEEEDE7-F78A-4AFB-A6B1-25789406DE8C}"/>
    <cellStyle name="Normal 3 6" xfId="77" xr:uid="{00000000-0005-0000-0000-000060050000}"/>
    <cellStyle name="Normal 3 6 2" xfId="803" xr:uid="{00000000-0005-0000-0000-000061050000}"/>
    <cellStyle name="Normal 3 6 2 2" xfId="2254" xr:uid="{AD344B1B-D328-4330-A5CB-B2773CF1121D}"/>
    <cellStyle name="Normal 3 6 2 2 2" xfId="5110" xr:uid="{55AB1BF2-51C5-46A2-B8D8-5E36FEE6B43A}"/>
    <cellStyle name="Normal 3 6 2 3" xfId="3692" xr:uid="{3B15F862-4A79-48E9-9343-F54A96F099FE}"/>
    <cellStyle name="Normal 3 6 3" xfId="1607" xr:uid="{E7453015-9171-43ED-9233-3392D484D0B4}"/>
    <cellStyle name="Normal 3 6 3 2" xfId="4467" xr:uid="{ADC26914-E2E0-4F88-8DBA-408DF3EF84B7}"/>
    <cellStyle name="Normal 3 6 4" xfId="3051" xr:uid="{518C9A27-7D44-4E70-9C99-8F68E5D48F00}"/>
    <cellStyle name="Normal 3 7" xfId="81" xr:uid="{00000000-0005-0000-0000-000062050000}"/>
    <cellStyle name="Normal 3 7 2" xfId="807" xr:uid="{00000000-0005-0000-0000-000063050000}"/>
    <cellStyle name="Normal 3 7 2 2" xfId="2258" xr:uid="{9B44A6D5-8219-4F85-B47F-0722A6800FB7}"/>
    <cellStyle name="Normal 3 7 2 2 2" xfId="5114" xr:uid="{3A0A7F5B-FD8A-4847-BC5E-F54E3D78F86B}"/>
    <cellStyle name="Normal 3 7 2 3" xfId="3696" xr:uid="{9C38452F-A352-4721-8024-3CE57FCEC2FF}"/>
    <cellStyle name="Normal 3 7 3" xfId="1611" xr:uid="{E67E7738-14A3-4581-AA47-C27C3596DBD4}"/>
    <cellStyle name="Normal 3 7 3 2" xfId="4471" xr:uid="{5D529D7B-4505-4631-8A84-3D568F32CC8A}"/>
    <cellStyle name="Normal 3 7 4" xfId="3055" xr:uid="{E395145A-390C-43AE-9BCF-38B95174BA93}"/>
    <cellStyle name="Normal 3 8" xfId="96" xr:uid="{00000000-0005-0000-0000-000064050000}"/>
    <cellStyle name="Normal 3 8 2" xfId="822" xr:uid="{00000000-0005-0000-0000-000065050000}"/>
    <cellStyle name="Normal 3 8 2 2" xfId="2272" xr:uid="{1A4F1163-9AB9-4F39-8369-B8494030B3D0}"/>
    <cellStyle name="Normal 3 8 2 2 2" xfId="5128" xr:uid="{8A0ECC59-1639-4FF8-838B-0A55A63A0398}"/>
    <cellStyle name="Normal 3 8 2 3" xfId="3710" xr:uid="{492A1415-1EBC-4725-B8C5-9931AD53338E}"/>
    <cellStyle name="Normal 3 8 3" xfId="1625" xr:uid="{6EF81468-6F84-43EB-9561-38A5E1B626A5}"/>
    <cellStyle name="Normal 3 8 3 2" xfId="4485" xr:uid="{C03CB228-FE31-46D6-9DDE-37568105AA48}"/>
    <cellStyle name="Normal 3 8 4" xfId="3069" xr:uid="{A757F467-67FF-42C8-9583-FA7B8170226A}"/>
    <cellStyle name="Normal 3 9" xfId="105" xr:uid="{00000000-0005-0000-0000-000066050000}"/>
    <cellStyle name="Normal 3 9 2" xfId="831" xr:uid="{00000000-0005-0000-0000-000067050000}"/>
    <cellStyle name="Normal 3 9 2 2" xfId="2280" xr:uid="{EE08A63C-DD86-42A8-B85A-3C7AB668E373}"/>
    <cellStyle name="Normal 3 9 2 2 2" xfId="5136" xr:uid="{1DD50688-88F2-4E5B-BF2D-A603595F7942}"/>
    <cellStyle name="Normal 3 9 2 3" xfId="3718" xr:uid="{1CE60DD1-F828-4845-825F-77FF81449A6F}"/>
    <cellStyle name="Normal 3 9 3" xfId="1633" xr:uid="{5402BECE-CF3F-4160-BA8A-798EC2C2F537}"/>
    <cellStyle name="Normal 3 9 3 2" xfId="4493" xr:uid="{60D487C6-8DDE-4543-B47E-1BC4F8DB2B54}"/>
    <cellStyle name="Normal 3 9 4" xfId="3077" xr:uid="{2DE0C4FC-A124-452C-BEF2-A8C134A94A83}"/>
    <cellStyle name="Normal 30" xfId="94" xr:uid="{00000000-0005-0000-0000-000068050000}"/>
    <cellStyle name="Normal 30 2" xfId="820" xr:uid="{00000000-0005-0000-0000-000069050000}"/>
    <cellStyle name="Normal 30 2 2" xfId="2270" xr:uid="{02EF80DC-1703-4D29-8F7A-479DF059082C}"/>
    <cellStyle name="Normal 30 2 2 2" xfId="5126" xr:uid="{824AB5E0-DA8E-4CFB-94EE-17EB906A42B4}"/>
    <cellStyle name="Normal 30 2 3" xfId="3708" xr:uid="{51F8B7D9-F871-4F96-80CB-FBAB4F802D99}"/>
    <cellStyle name="Normal 30 3" xfId="1623" xr:uid="{DDB2DDAD-0C25-406F-81C2-47FAA974E790}"/>
    <cellStyle name="Normal 30 3 2" xfId="4483" xr:uid="{B53E05EF-87B5-4519-84AB-E06AC196C0C1}"/>
    <cellStyle name="Normal 30 4" xfId="3067" xr:uid="{84CEA20A-1DDA-4798-A3EB-AB7AC5B8A8C7}"/>
    <cellStyle name="Normal 31" xfId="100" xr:uid="{00000000-0005-0000-0000-00006A050000}"/>
    <cellStyle name="Normal 31 2" xfId="826" xr:uid="{00000000-0005-0000-0000-00006B050000}"/>
    <cellStyle name="Normal 32" xfId="102" xr:uid="{00000000-0005-0000-0000-00006C050000}"/>
    <cellStyle name="Normal 32 2" xfId="828" xr:uid="{00000000-0005-0000-0000-00006D050000}"/>
    <cellStyle name="Normal 32 2 2" xfId="2277" xr:uid="{355ABE60-0D09-4954-B45D-6C2128589A18}"/>
    <cellStyle name="Normal 32 2 2 2" xfId="5133" xr:uid="{D7194B48-B2D3-4548-B552-4025E2EC0849}"/>
    <cellStyle name="Normal 32 2 3" xfId="3715" xr:uid="{6596C56A-E6D4-4CCE-946D-DFAD07B45955}"/>
    <cellStyle name="Normal 32 3" xfId="1630" xr:uid="{76C4FFF2-1834-4BCF-A6E7-2C1763434A44}"/>
    <cellStyle name="Normal 32 3 2" xfId="4490" xr:uid="{5FB853AF-CBA7-4EA8-936A-3C298CED3A5B}"/>
    <cellStyle name="Normal 32 4" xfId="3074" xr:uid="{51BC429B-0EA8-4CD7-859E-84A55822303B}"/>
    <cellStyle name="Normal 33" xfId="103" xr:uid="{00000000-0005-0000-0000-00006E050000}"/>
    <cellStyle name="Normal 33 2" xfId="829" xr:uid="{00000000-0005-0000-0000-00006F050000}"/>
    <cellStyle name="Normal 33 2 2" xfId="2278" xr:uid="{BBF09BC3-193B-4BC0-94C7-C2940F2D5189}"/>
    <cellStyle name="Normal 33 2 2 2" xfId="5134" xr:uid="{81D5C439-093B-42D0-AD5B-AD8AEFA0F453}"/>
    <cellStyle name="Normal 33 2 3" xfId="3716" xr:uid="{8073CDE9-0E61-4C50-87F2-2E3AB5CC3E51}"/>
    <cellStyle name="Normal 33 3" xfId="1631" xr:uid="{D929D155-58CF-4B38-84CC-9A4DB8EA3E15}"/>
    <cellStyle name="Normal 33 3 2" xfId="4491" xr:uid="{ED4CBF49-9CC5-437E-B47B-679F4E0BFAB4}"/>
    <cellStyle name="Normal 33 4" xfId="3075" xr:uid="{914A4376-D335-42E4-BCA5-D4DDFE41C8D5}"/>
    <cellStyle name="Normal 34" xfId="109" xr:uid="{00000000-0005-0000-0000-000070050000}"/>
    <cellStyle name="Normal 34 2" xfId="835" xr:uid="{00000000-0005-0000-0000-000071050000}"/>
    <cellStyle name="Normal 34 2 2" xfId="2284" xr:uid="{6C3F713B-FB00-4D35-9A60-A7128415C15F}"/>
    <cellStyle name="Normal 34 2 2 2" xfId="5140" xr:uid="{F65F418C-8D75-46A3-BF36-62B5D364A776}"/>
    <cellStyle name="Normal 34 2 3" xfId="3722" xr:uid="{B4C5A481-DF0E-4367-B08B-065B1013BFB7}"/>
    <cellStyle name="Normal 34 3" xfId="1637" xr:uid="{12F1B6AB-85F8-4DF3-B3C3-9D35664EB9BA}"/>
    <cellStyle name="Normal 34 3 2" xfId="4497" xr:uid="{B3918694-FEDF-4C59-9680-57871B6D0DD5}"/>
    <cellStyle name="Normal 34 4" xfId="3081" xr:uid="{10FE65C4-1AE3-4450-8B2E-E34626C76832}"/>
    <cellStyle name="Normal 35" xfId="110" xr:uid="{00000000-0005-0000-0000-000072050000}"/>
    <cellStyle name="Normal 35 2" xfId="836" xr:uid="{00000000-0005-0000-0000-000073050000}"/>
    <cellStyle name="Normal 35 2 2" xfId="2285" xr:uid="{63DE2A5E-4747-4B10-AB0E-6A3760F3F4A4}"/>
    <cellStyle name="Normal 35 2 2 2" xfId="5141" xr:uid="{00CEC99F-64A2-4452-A031-75E37D9F8794}"/>
    <cellStyle name="Normal 35 2 3" xfId="3723" xr:uid="{822593BF-160B-4E3D-94CE-ED66829AAD8E}"/>
    <cellStyle name="Normal 35 3" xfId="1638" xr:uid="{F2BDAA19-43D9-4942-B966-AD3817F3262D}"/>
    <cellStyle name="Normal 35 3 2" xfId="4498" xr:uid="{4CEAB8B5-E0CE-4902-B3CB-A89A34901524}"/>
    <cellStyle name="Normal 35 4" xfId="3082" xr:uid="{73ABB7D1-9201-4A9B-8D2C-B4411FF7BC9E}"/>
    <cellStyle name="Normal 36" xfId="119" xr:uid="{00000000-0005-0000-0000-000074050000}"/>
    <cellStyle name="Normal 36 2" xfId="845" xr:uid="{00000000-0005-0000-0000-000075050000}"/>
    <cellStyle name="Normal 36 2 2" xfId="2294" xr:uid="{008F2B99-9B5E-4F7C-88C6-4A632D522752}"/>
    <cellStyle name="Normal 36 2 2 2" xfId="5150" xr:uid="{7BCCBDC8-D964-4F8F-AA59-2FF52234DD9B}"/>
    <cellStyle name="Normal 36 2 3" xfId="3732" xr:uid="{55DFD12D-045F-4467-B743-9090E893E1B7}"/>
    <cellStyle name="Normal 36 3" xfId="1647" xr:uid="{4C2DAD9B-9B80-47BF-ABBC-1034EB45BA8F}"/>
    <cellStyle name="Normal 36 3 2" xfId="4507" xr:uid="{B664018E-F990-421C-865C-7466FEEEE129}"/>
    <cellStyle name="Normal 36 4" xfId="3091" xr:uid="{25785494-1AFC-4735-B349-6281EA83A7E8}"/>
    <cellStyle name="Normal 37" xfId="121" xr:uid="{00000000-0005-0000-0000-000076050000}"/>
    <cellStyle name="Normal 37 2" xfId="847" xr:uid="{00000000-0005-0000-0000-000077050000}"/>
    <cellStyle name="Normal 38" xfId="126" xr:uid="{00000000-0005-0000-0000-000078050000}"/>
    <cellStyle name="Normal 38 2" xfId="852" xr:uid="{00000000-0005-0000-0000-000079050000}"/>
    <cellStyle name="Normal 38 2 2" xfId="2300" xr:uid="{BF029C3D-0A86-4B5A-BDBF-7DA7A3F5D99E}"/>
    <cellStyle name="Normal 38 2 2 2" xfId="5156" xr:uid="{C897961C-68EE-471D-B08D-C3AB0770D4CD}"/>
    <cellStyle name="Normal 38 2 3" xfId="3738" xr:uid="{1CDCB461-AF06-494C-B33A-EDDDF6A80B2B}"/>
    <cellStyle name="Normal 38 3" xfId="1653" xr:uid="{9F720967-9770-4BD7-8B51-8C890019974E}"/>
    <cellStyle name="Normal 38 3 2" xfId="4513" xr:uid="{8B2D4DA1-B1DB-4710-A4AC-EAC2F667B771}"/>
    <cellStyle name="Normal 38 4" xfId="3097" xr:uid="{55CBC06B-8776-4162-AAFA-445E3FA5A3F5}"/>
    <cellStyle name="Normal 39" xfId="127" xr:uid="{00000000-0005-0000-0000-00007A050000}"/>
    <cellStyle name="Normal 39 2" xfId="853" xr:uid="{00000000-0005-0000-0000-00007B050000}"/>
    <cellStyle name="Normal 39 2 2" xfId="2301" xr:uid="{FE104C44-6B31-4DB0-9ACD-15F0C7D66733}"/>
    <cellStyle name="Normal 39 2 2 2" xfId="5157" xr:uid="{C31528A7-3AEE-4D03-95FE-BAD6E478ABCE}"/>
    <cellStyle name="Normal 39 2 3" xfId="3739" xr:uid="{008F6A9B-93A5-49AB-B12F-34A2CD5C7FFB}"/>
    <cellStyle name="Normal 39 3" xfId="1654" xr:uid="{623CC3FC-7981-4689-AC08-B0058FA11BBF}"/>
    <cellStyle name="Normal 39 3 2" xfId="4514" xr:uid="{23D4084C-F5B2-44E2-B723-F0163B2BF4D6}"/>
    <cellStyle name="Normal 39 4" xfId="3098" xr:uid="{D76C598F-F019-4057-BDF9-A58AD52090B9}"/>
    <cellStyle name="Normal 4" xfId="21" xr:uid="{00000000-0005-0000-0000-00007C050000}"/>
    <cellStyle name="Normal 4 2" xfId="22" xr:uid="{00000000-0005-0000-0000-00007D050000}"/>
    <cellStyle name="Normal 4 3" xfId="30" xr:uid="{00000000-0005-0000-0000-00007E050000}"/>
    <cellStyle name="Normal 4 3 2" xfId="771" xr:uid="{00000000-0005-0000-0000-00007F050000}"/>
    <cellStyle name="Normal 4 4" xfId="57" xr:uid="{00000000-0005-0000-0000-000080050000}"/>
    <cellStyle name="Normal 4 5" xfId="657" xr:uid="{00000000-0005-0000-0000-000081050000}"/>
    <cellStyle name="Normal 40" xfId="134" xr:uid="{00000000-0005-0000-0000-000082050000}"/>
    <cellStyle name="Normal 40 2" xfId="859" xr:uid="{00000000-0005-0000-0000-000083050000}"/>
    <cellStyle name="Normal 40 2 2" xfId="2307" xr:uid="{C8124451-9716-4624-9723-DE36F5618604}"/>
    <cellStyle name="Normal 40 2 2 2" xfId="5163" xr:uid="{CEEDBDD2-115D-40EB-8FE4-6F2BEC1537A9}"/>
    <cellStyle name="Normal 40 2 3" xfId="3745" xr:uid="{CB81F95B-49BA-4830-B44E-4F2D574E5566}"/>
    <cellStyle name="Normal 40 3" xfId="1660" xr:uid="{C56DB194-F4DE-4BAF-8B28-E560DDAED77D}"/>
    <cellStyle name="Normal 40 3 2" xfId="4520" xr:uid="{ED1886E5-5AFE-43EC-B227-E419DF02F5F6}"/>
    <cellStyle name="Normal 40 4" xfId="3104" xr:uid="{1F48E10A-EE9C-4FE1-A071-8790A8F0101F}"/>
    <cellStyle name="Normal 41" xfId="137" xr:uid="{00000000-0005-0000-0000-000084050000}"/>
    <cellStyle name="Normal 41 2" xfId="862" xr:uid="{00000000-0005-0000-0000-000085050000}"/>
    <cellStyle name="Normal 41 2 2" xfId="2310" xr:uid="{4BE72F0D-4315-4F53-AF51-59B75627C9ED}"/>
    <cellStyle name="Normal 41 2 2 2" xfId="5166" xr:uid="{8FB60C59-1BD5-4CAC-AC34-3B8EE63D05CB}"/>
    <cellStyle name="Normal 41 2 3" xfId="3748" xr:uid="{D1204975-69A5-492D-BC0B-CCCE6308E9D3}"/>
    <cellStyle name="Normal 41 3" xfId="1663" xr:uid="{16C75B1F-CBFE-4EC6-99C1-2D469512C744}"/>
    <cellStyle name="Normal 41 3 2" xfId="4523" xr:uid="{3F73F636-5DF5-4CDF-B9C7-437246A82F20}"/>
    <cellStyle name="Normal 41 4" xfId="3107" xr:uid="{280DE689-9F0A-4DD0-A96B-FCCD47BDD0DD}"/>
    <cellStyle name="Normal 42" xfId="138" xr:uid="{00000000-0005-0000-0000-000086050000}"/>
    <cellStyle name="Normal 42 2" xfId="863" xr:uid="{00000000-0005-0000-0000-000087050000}"/>
    <cellStyle name="Normal 42 2 2" xfId="2311" xr:uid="{D75DEDA6-AAB6-486D-8E54-A995EAB096F1}"/>
    <cellStyle name="Normal 42 2 2 2" xfId="5167" xr:uid="{E0B9F261-3C3A-4663-A439-FADF07CB04E6}"/>
    <cellStyle name="Normal 42 2 3" xfId="3749" xr:uid="{F5F685CB-06F4-4E90-BE99-612C0921D1E2}"/>
    <cellStyle name="Normal 42 3" xfId="1664" xr:uid="{39E6D9AA-2234-4F55-AF93-E78CCC857B50}"/>
    <cellStyle name="Normal 42 3 2" xfId="4524" xr:uid="{628042B1-D4FA-4A09-8763-462AF683669B}"/>
    <cellStyle name="Normal 42 4" xfId="3108" xr:uid="{E09E8EB1-5ACC-4D32-B0C9-A07F5863DFF3}"/>
    <cellStyle name="Normal 43" xfId="144" xr:uid="{00000000-0005-0000-0000-000088050000}"/>
    <cellStyle name="Normal 43 2" xfId="869" xr:uid="{00000000-0005-0000-0000-000089050000}"/>
    <cellStyle name="Normal 43 2 2" xfId="2317" xr:uid="{3D3D19BA-47AD-4F28-94F3-19DD469C6B5E}"/>
    <cellStyle name="Normal 43 2 2 2" xfId="5173" xr:uid="{4F008D6D-69FC-42EC-8695-D06AB72F6A17}"/>
    <cellStyle name="Normal 43 2 3" xfId="3755" xr:uid="{E51AFD1F-6883-4E61-9EDA-7D96995ABE23}"/>
    <cellStyle name="Normal 43 3" xfId="1670" xr:uid="{93D7F900-15B0-47AC-A14B-3F4EB864645D}"/>
    <cellStyle name="Normal 43 3 2" xfId="4530" xr:uid="{67674FD7-167B-4E74-9A83-DCC278A96518}"/>
    <cellStyle name="Normal 43 4" xfId="3114" xr:uid="{17781FA7-68FF-4072-83E4-F3906622DD80}"/>
    <cellStyle name="Normal 44" xfId="151" xr:uid="{00000000-0005-0000-0000-00008A050000}"/>
    <cellStyle name="Normal 44 2" xfId="875" xr:uid="{00000000-0005-0000-0000-00008B050000}"/>
    <cellStyle name="Normal 44 2 2" xfId="2323" xr:uid="{ADBA80C7-80E3-4E3D-A5FA-3C0B1241A60A}"/>
    <cellStyle name="Normal 44 2 2 2" xfId="5179" xr:uid="{4E95DC40-4EAD-4ADB-A90D-8C746AC6D4C0}"/>
    <cellStyle name="Normal 44 2 3" xfId="3761" xr:uid="{983C36B0-F4D1-407C-B6AE-6D99E4A5BC97}"/>
    <cellStyle name="Normal 44 3" xfId="1676" xr:uid="{32406095-B781-4D0F-8649-AFC3246E0B9F}"/>
    <cellStyle name="Normal 44 3 2" xfId="4536" xr:uid="{1F61D8C7-0EF2-4E44-9699-31A31224E3E4}"/>
    <cellStyle name="Normal 44 4" xfId="3120" xr:uid="{BB555097-BBD1-475C-9528-43D78F891107}"/>
    <cellStyle name="Normal 45" xfId="153" xr:uid="{00000000-0005-0000-0000-00008C050000}"/>
    <cellStyle name="Normal 45 2" xfId="877" xr:uid="{00000000-0005-0000-0000-00008D050000}"/>
    <cellStyle name="Normal 45 2 2" xfId="2325" xr:uid="{17777B20-82E8-4963-9313-AB14E446D954}"/>
    <cellStyle name="Normal 45 2 2 2" xfId="5181" xr:uid="{F87A3007-11C7-479C-B17D-ACA5053511DF}"/>
    <cellStyle name="Normal 45 2 3" xfId="3763" xr:uid="{F4855413-4EAB-4B64-964B-AF102A91107A}"/>
    <cellStyle name="Normal 45 3" xfId="1678" xr:uid="{2617051E-C66C-4A95-9A22-FBBCE9CD38CE}"/>
    <cellStyle name="Normal 45 3 2" xfId="4538" xr:uid="{682557DE-A66B-460F-B49B-DD181F0D16DB}"/>
    <cellStyle name="Normal 45 4" xfId="3122" xr:uid="{C92941C0-473A-439C-AF71-E747B646E129}"/>
    <cellStyle name="Normal 46" xfId="159" xr:uid="{00000000-0005-0000-0000-00008E050000}"/>
    <cellStyle name="Normal 46 2" xfId="882" xr:uid="{00000000-0005-0000-0000-00008F050000}"/>
    <cellStyle name="Normal 46 2 2" xfId="2330" xr:uid="{00717322-CC31-4E06-BCC3-3BE2F4C140D2}"/>
    <cellStyle name="Normal 46 2 2 2" xfId="5186" xr:uid="{B6408201-353E-4150-9C43-C41EA5B392E5}"/>
    <cellStyle name="Normal 46 2 3" xfId="3768" xr:uid="{E0E876BB-ED09-414E-B9FD-4F6B5230D8CE}"/>
    <cellStyle name="Normal 46 3" xfId="1683" xr:uid="{0B650148-5AFA-4D6B-A310-C4E1244D3301}"/>
    <cellStyle name="Normal 46 3 2" xfId="4543" xr:uid="{22A1DF74-49CE-4D82-85F1-036BAED19171}"/>
    <cellStyle name="Normal 46 4" xfId="3127" xr:uid="{9A7F9E06-077B-4FED-8DE0-6C3AF4E4FE08}"/>
    <cellStyle name="Normal 47" xfId="161" xr:uid="{00000000-0005-0000-0000-000090050000}"/>
    <cellStyle name="Normal 47 2" xfId="884" xr:uid="{00000000-0005-0000-0000-000091050000}"/>
    <cellStyle name="Normal 47 2 2" xfId="2332" xr:uid="{8B61B377-EE81-4FC0-B629-98D26466A981}"/>
    <cellStyle name="Normal 47 2 2 2" xfId="5188" xr:uid="{AC311637-A94B-416E-B5FF-9A7E098B71D0}"/>
    <cellStyle name="Normal 47 2 3" xfId="3770" xr:uid="{5DC9C49F-8E49-41CB-BF25-78ECA7645667}"/>
    <cellStyle name="Normal 47 3" xfId="1685" xr:uid="{DA899250-A4F8-4F18-85A9-2B25183BFDB9}"/>
    <cellStyle name="Normal 47 3 2" xfId="4545" xr:uid="{127CF751-8A94-4F93-B6C0-91E04E85A3AA}"/>
    <cellStyle name="Normal 47 4" xfId="3129" xr:uid="{2F9D1F56-ECAC-44C9-BE0F-CD271EF34914}"/>
    <cellStyle name="Normal 48" xfId="168" xr:uid="{00000000-0005-0000-0000-000092050000}"/>
    <cellStyle name="Normal 48 2" xfId="890" xr:uid="{00000000-0005-0000-0000-000093050000}"/>
    <cellStyle name="Normal 48 2 2" xfId="2338" xr:uid="{CD3EF704-3801-4FBF-B870-53190A2226D9}"/>
    <cellStyle name="Normal 48 2 2 2" xfId="5194" xr:uid="{A7451138-1F3D-4A09-BA08-EBAC8B72A141}"/>
    <cellStyle name="Normal 48 2 3" xfId="3776" xr:uid="{10D3A383-2823-478D-9F67-7B7F772D22A6}"/>
    <cellStyle name="Normal 48 3" xfId="1691" xr:uid="{D54ED83A-2F3D-4A14-80A5-261DE2E3D4EB}"/>
    <cellStyle name="Normal 48 3 2" xfId="4551" xr:uid="{B27F65B4-10B0-4137-95A8-A576425B4C76}"/>
    <cellStyle name="Normal 48 4" xfId="3135" xr:uid="{3AE820B3-C387-49F3-925B-847486002FCD}"/>
    <cellStyle name="Normal 49" xfId="171" xr:uid="{00000000-0005-0000-0000-000094050000}"/>
    <cellStyle name="Normal 49 2" xfId="893" xr:uid="{00000000-0005-0000-0000-000095050000}"/>
    <cellStyle name="Normal 49 2 2" xfId="2341" xr:uid="{C88D6719-2075-4C8E-8A5B-7C1BF7B4573B}"/>
    <cellStyle name="Normal 49 2 2 2" xfId="5197" xr:uid="{67069AD1-C1FD-4605-9CCF-206E4ABF3030}"/>
    <cellStyle name="Normal 49 2 3" xfId="3779" xr:uid="{6DF9D4A1-6B19-4062-A528-20B278FACA1E}"/>
    <cellStyle name="Normal 49 3" xfId="1694" xr:uid="{08260BC7-E842-433C-8E1A-3C767BA3CC9A}"/>
    <cellStyle name="Normal 49 3 2" xfId="4554" xr:uid="{08C40FAD-9019-41E1-B7E8-67FA256693CF}"/>
    <cellStyle name="Normal 49 4" xfId="3138" xr:uid="{DE20856A-9A68-4409-80BF-CDE119151C80}"/>
    <cellStyle name="Normal 5" xfId="23" xr:uid="{00000000-0005-0000-0000-000096050000}"/>
    <cellStyle name="Normal 5 2" xfId="35" xr:uid="{00000000-0005-0000-0000-000097050000}"/>
    <cellStyle name="Normal 5 2 2" xfId="484" xr:uid="{00000000-0005-0000-0000-000098050000}"/>
    <cellStyle name="Normal 50" xfId="173" xr:uid="{00000000-0005-0000-0000-000099050000}"/>
    <cellStyle name="Normal 50 2" xfId="895" xr:uid="{00000000-0005-0000-0000-00009A050000}"/>
    <cellStyle name="Normal 50 2 2" xfId="2343" xr:uid="{2028EA55-8C5E-43F2-9749-73FD9183B524}"/>
    <cellStyle name="Normal 50 2 2 2" xfId="5199" xr:uid="{093FF9FA-53C3-4C1F-88AF-C043A839062B}"/>
    <cellStyle name="Normal 50 2 3" xfId="3781" xr:uid="{582D24CE-AD85-4BF1-B171-4912351F8360}"/>
    <cellStyle name="Normal 50 3" xfId="1696" xr:uid="{D4EFAFB3-B5A8-4149-B971-E861EA5720E4}"/>
    <cellStyle name="Normal 50 3 2" xfId="4556" xr:uid="{6313462F-D420-4671-B386-7D6D6B49E730}"/>
    <cellStyle name="Normal 50 4" xfId="3140" xr:uid="{F368C41A-044C-428A-8244-063D00EB453C}"/>
    <cellStyle name="Normal 51" xfId="181" xr:uid="{00000000-0005-0000-0000-00009B050000}"/>
    <cellStyle name="Normal 51 2" xfId="903" xr:uid="{00000000-0005-0000-0000-00009C050000}"/>
    <cellStyle name="Normal 51 2 2" xfId="2351" xr:uid="{48ACBEC1-3239-41B4-BDD0-548B1DF45932}"/>
    <cellStyle name="Normal 51 2 2 2" xfId="5207" xr:uid="{0CF3DEC2-02E7-47B4-880E-FBB1A12D159A}"/>
    <cellStyle name="Normal 51 2 3" xfId="3789" xr:uid="{54B4B4F1-044E-4AD8-87CB-611119B14DBC}"/>
    <cellStyle name="Normal 51 3" xfId="1704" xr:uid="{77DEAB5A-B8AD-44AD-B3F8-DE34B5AF4BBE}"/>
    <cellStyle name="Normal 51 3 2" xfId="4564" xr:uid="{AE464FEF-D127-48E5-8346-F84A42EBAEF6}"/>
    <cellStyle name="Normal 51 4" xfId="3148" xr:uid="{4C0B056E-DF9F-45D4-A83A-B5DE2FBCC6C4}"/>
    <cellStyle name="Normal 52" xfId="187" xr:uid="{00000000-0005-0000-0000-00009D050000}"/>
    <cellStyle name="Normal 52 2" xfId="909" xr:uid="{00000000-0005-0000-0000-00009E050000}"/>
    <cellStyle name="Normal 52 2 2" xfId="2357" xr:uid="{47CB26CE-C06D-4D9F-8DE9-F7BEE4B4D915}"/>
    <cellStyle name="Normal 52 2 2 2" xfId="5213" xr:uid="{2EB185BD-DA1A-4A38-9A39-BA5CD2230967}"/>
    <cellStyle name="Normal 52 2 3" xfId="3795" xr:uid="{B82AC8CA-DCFA-40AA-AD53-4E9D904F6AEC}"/>
    <cellStyle name="Normal 52 3" xfId="1710" xr:uid="{86E44C56-B29E-4A03-A610-038BEB888801}"/>
    <cellStyle name="Normal 52 3 2" xfId="4570" xr:uid="{E4B730A8-EECD-48F3-A231-66A13ABBC369}"/>
    <cellStyle name="Normal 52 4" xfId="3154" xr:uid="{318FC6BF-34A7-4C3B-ADA5-A000B70071B2}"/>
    <cellStyle name="Normal 53" xfId="188" xr:uid="{00000000-0005-0000-0000-00009F050000}"/>
    <cellStyle name="Normal 53 2" xfId="910" xr:uid="{00000000-0005-0000-0000-0000A0050000}"/>
    <cellStyle name="Normal 53 2 2" xfId="2358" xr:uid="{C2A40EEE-48AE-4728-ABCF-EF593D0EAE8E}"/>
    <cellStyle name="Normal 53 2 2 2" xfId="5214" xr:uid="{E1BF1775-915C-4329-ADBF-EDE467C92B1C}"/>
    <cellStyle name="Normal 53 2 3" xfId="3796" xr:uid="{5CE01F0C-F384-4C9B-8B17-CB78648DA73C}"/>
    <cellStyle name="Normal 53 3" xfId="1711" xr:uid="{DDE63596-3AC5-440D-8E3C-49637231D78D}"/>
    <cellStyle name="Normal 53 3 2" xfId="4571" xr:uid="{E3EEBEB0-6842-40B3-BD6B-6CBE56B3E3A3}"/>
    <cellStyle name="Normal 53 4" xfId="3155" xr:uid="{B64320F8-E615-4801-9B85-0BC8D45DC59B}"/>
    <cellStyle name="Normal 54" xfId="194" xr:uid="{00000000-0005-0000-0000-0000A1050000}"/>
    <cellStyle name="Normal 54 2" xfId="916" xr:uid="{00000000-0005-0000-0000-0000A2050000}"/>
    <cellStyle name="Normal 54 2 2" xfId="2364" xr:uid="{1ABB590E-519B-4CFA-A48D-C15B9DC27A3F}"/>
    <cellStyle name="Normal 54 2 2 2" xfId="5220" xr:uid="{A633609B-44B3-462A-8A35-A86D03920455}"/>
    <cellStyle name="Normal 54 2 3" xfId="3802" xr:uid="{ED518271-4E8E-4EFD-9236-81D2DCB6745E}"/>
    <cellStyle name="Normal 54 3" xfId="1717" xr:uid="{ED87AA53-78BE-4568-8D1B-922971736552}"/>
    <cellStyle name="Normal 54 3 2" xfId="4577" xr:uid="{1B160A20-B50F-4360-9C43-1BC7D841E486}"/>
    <cellStyle name="Normal 54 4" xfId="3161" xr:uid="{A5D1AFE1-AFF2-4B76-B58B-E6EB3A9D2DAA}"/>
    <cellStyle name="Normal 55" xfId="195" xr:uid="{00000000-0005-0000-0000-0000A3050000}"/>
    <cellStyle name="Normal 55 2" xfId="917" xr:uid="{00000000-0005-0000-0000-0000A4050000}"/>
    <cellStyle name="Normal 55 2 2" xfId="2365" xr:uid="{496FBB9B-49DE-4C4C-883E-A5403C25D596}"/>
    <cellStyle name="Normal 55 2 2 2" xfId="5221" xr:uid="{36242DE2-DB62-455C-870E-7A2AF0CAFD30}"/>
    <cellStyle name="Normal 55 2 3" xfId="3803" xr:uid="{915AD51C-BDF4-422C-BD07-10E680713692}"/>
    <cellStyle name="Normal 55 3" xfId="1718" xr:uid="{B13025BD-2332-411E-A496-35523A050590}"/>
    <cellStyle name="Normal 55 3 2" xfId="4578" xr:uid="{0D3E5622-D942-4388-8DDF-4ECAEC8CFC14}"/>
    <cellStyle name="Normal 55 4" xfId="3162" xr:uid="{3850C0B1-5340-45FF-A288-C27AFE5C6DAD}"/>
    <cellStyle name="Normal 56" xfId="198" xr:uid="{00000000-0005-0000-0000-0000A5050000}"/>
    <cellStyle name="Normal 56 2" xfId="920" xr:uid="{00000000-0005-0000-0000-0000A6050000}"/>
    <cellStyle name="Normal 56 2 2" xfId="2368" xr:uid="{C5C27E60-9CCA-4BA5-A63B-092A7965F7A3}"/>
    <cellStyle name="Normal 56 2 2 2" xfId="5224" xr:uid="{1DBF48D8-9447-4A87-97A6-FE00C03F2401}"/>
    <cellStyle name="Normal 56 2 3" xfId="3806" xr:uid="{81D154BD-ECF0-419E-AD41-6A2E513CE87C}"/>
    <cellStyle name="Normal 56 3" xfId="1721" xr:uid="{7E32FA88-DC1A-4DE7-BBF0-A597D0F76BA5}"/>
    <cellStyle name="Normal 56 3 2" xfId="4581" xr:uid="{8D19DB1F-0239-43A6-9199-52998C8B41D8}"/>
    <cellStyle name="Normal 56 4" xfId="3165" xr:uid="{6B625980-6B71-4124-86C9-0229F90E2EBA}"/>
    <cellStyle name="Normal 57" xfId="200" xr:uid="{00000000-0005-0000-0000-0000A7050000}"/>
    <cellStyle name="Normal 57 2" xfId="922" xr:uid="{00000000-0005-0000-0000-0000A8050000}"/>
    <cellStyle name="Normal 57 2 2" xfId="2370" xr:uid="{5CB0F0BA-D08C-4D59-9226-9D49EF44AF47}"/>
    <cellStyle name="Normal 57 2 2 2" xfId="5226" xr:uid="{02C78A54-DD6E-4A3E-9700-017E4C220C8B}"/>
    <cellStyle name="Normal 57 2 3" xfId="3808" xr:uid="{6C968B8A-E86C-483E-B995-5C52E8AF21E3}"/>
    <cellStyle name="Normal 57 3" xfId="1723" xr:uid="{6B550624-F4F6-4EB3-93BD-127AFFD962A9}"/>
    <cellStyle name="Normal 57 3 2" xfId="4583" xr:uid="{CCAF85EA-E95C-4D30-8085-183CF3646CB3}"/>
    <cellStyle name="Normal 57 4" xfId="3167" xr:uid="{C15DCDFA-D242-4C8E-A42C-2A39FA4E75DD}"/>
    <cellStyle name="Normal 58" xfId="208" xr:uid="{00000000-0005-0000-0000-0000A9050000}"/>
    <cellStyle name="Normal 58 2" xfId="930" xr:uid="{00000000-0005-0000-0000-0000AA050000}"/>
    <cellStyle name="Normal 58 2 2" xfId="2378" xr:uid="{91907A1F-D754-40BA-8AB4-DA037A29FD9F}"/>
    <cellStyle name="Normal 58 2 2 2" xfId="5234" xr:uid="{CFDAB781-ED38-47D9-8E55-5B457789952F}"/>
    <cellStyle name="Normal 58 2 3" xfId="3816" xr:uid="{676AD37D-DE67-40A0-B26E-C2A2D7ACFF3C}"/>
    <cellStyle name="Normal 58 3" xfId="1731" xr:uid="{C3C8D20A-03CA-46BF-AFFA-370CFE4E0D7E}"/>
    <cellStyle name="Normal 58 3 2" xfId="4591" xr:uid="{FC6A5C60-2EE4-43BF-A646-19732285544C}"/>
    <cellStyle name="Normal 58 4" xfId="3175" xr:uid="{A8AF880E-561E-4F1A-9DDE-3DA2F70C2956}"/>
    <cellStyle name="Normal 59" xfId="209" xr:uid="{00000000-0005-0000-0000-0000AB050000}"/>
    <cellStyle name="Normal 59 2" xfId="931" xr:uid="{00000000-0005-0000-0000-0000AC050000}"/>
    <cellStyle name="Normal 59 2 2" xfId="2379" xr:uid="{8E151540-4E9C-46FC-9C8B-1D5E56032CA8}"/>
    <cellStyle name="Normal 59 2 2 2" xfId="5235" xr:uid="{A04212AA-EC83-4D04-A3D1-D27D56DE8F93}"/>
    <cellStyle name="Normal 59 2 3" xfId="3817" xr:uid="{4E6303C7-0CA5-48DA-84A9-00AF5D7954CF}"/>
    <cellStyle name="Normal 59 3" xfId="1732" xr:uid="{36CEA918-E8A8-48A1-B234-0289A6FB6A40}"/>
    <cellStyle name="Normal 59 3 2" xfId="4592" xr:uid="{ED88358F-C3DB-46CC-A7E4-073F5157B22B}"/>
    <cellStyle name="Normal 59 4" xfId="3176" xr:uid="{B79FE3A9-B612-415D-87A0-CCF8B58ADB34}"/>
    <cellStyle name="Normal 6" xfId="24" xr:uid="{00000000-0005-0000-0000-0000AD050000}"/>
    <cellStyle name="Normal 60" xfId="212" xr:uid="{00000000-0005-0000-0000-0000AE050000}"/>
    <cellStyle name="Normal 60 2" xfId="934" xr:uid="{00000000-0005-0000-0000-0000AF050000}"/>
    <cellStyle name="Normal 60 2 2" xfId="2382" xr:uid="{F91D85A0-518C-4D5E-B764-3EED9CD2602E}"/>
    <cellStyle name="Normal 60 2 2 2" xfId="5238" xr:uid="{D897B7E9-A332-471A-B34B-C2C7311B7861}"/>
    <cellStyle name="Normal 60 2 3" xfId="3820" xr:uid="{3A5C09C4-E2AC-4742-9E23-C18DAA514B60}"/>
    <cellStyle name="Normal 60 3" xfId="1735" xr:uid="{A398B3DC-0B2E-4DFD-B3C4-321A204C1686}"/>
    <cellStyle name="Normal 60 3 2" xfId="4595" xr:uid="{3B98D8B3-AC4D-4A99-9306-50E35D0E071F}"/>
    <cellStyle name="Normal 60 4" xfId="3179" xr:uid="{74CF146B-AA06-4B92-BA35-8636EA4A545E}"/>
    <cellStyle name="Normal 61" xfId="214" xr:uid="{00000000-0005-0000-0000-0000B0050000}"/>
    <cellStyle name="Normal 61 2" xfId="936" xr:uid="{00000000-0005-0000-0000-0000B1050000}"/>
    <cellStyle name="Normal 61 2 2" xfId="2384" xr:uid="{E626EEF7-81EC-4F16-A7B2-0CE682D9FACB}"/>
    <cellStyle name="Normal 61 2 2 2" xfId="5240" xr:uid="{49A0E385-52DA-473F-B5A9-9CEF4E794D10}"/>
    <cellStyle name="Normal 61 2 3" xfId="3822" xr:uid="{6703D8F4-F7D6-470E-9901-4941CC413E19}"/>
    <cellStyle name="Normal 61 3" xfId="1737" xr:uid="{7743B826-E0AB-4016-BEB2-82B33D6996E8}"/>
    <cellStyle name="Normal 61 3 2" xfId="4597" xr:uid="{3F72B5CB-ABED-4E97-8D90-BDBAA8DEB022}"/>
    <cellStyle name="Normal 61 4" xfId="3181" xr:uid="{F5EBF320-26A5-4197-A764-4EB522ED2156}"/>
    <cellStyle name="Normal 62" xfId="222" xr:uid="{00000000-0005-0000-0000-0000B2050000}"/>
    <cellStyle name="Normal 62 2" xfId="944" xr:uid="{00000000-0005-0000-0000-0000B3050000}"/>
    <cellStyle name="Normal 62 2 2" xfId="2392" xr:uid="{1D035585-276D-40B1-A52E-D68434631B43}"/>
    <cellStyle name="Normal 62 2 2 2" xfId="5248" xr:uid="{25B01D3B-03BA-4828-B21E-68AFB0E5ABE3}"/>
    <cellStyle name="Normal 62 2 3" xfId="3830" xr:uid="{F92957F0-C6C3-4933-8426-2486A4CCC8D4}"/>
    <cellStyle name="Normal 62 3" xfId="1745" xr:uid="{9611BCB6-7160-4689-8772-80B8AC210643}"/>
    <cellStyle name="Normal 62 3 2" xfId="4605" xr:uid="{8A26384D-0A46-42C9-865E-12B38CC3A9BE}"/>
    <cellStyle name="Normal 62 4" xfId="3189" xr:uid="{AACA0328-933C-403A-97BB-2D0CECC1794F}"/>
    <cellStyle name="Normal 63" xfId="224" xr:uid="{00000000-0005-0000-0000-0000B4050000}"/>
    <cellStyle name="Normal 63 2" xfId="946" xr:uid="{00000000-0005-0000-0000-0000B5050000}"/>
    <cellStyle name="Normal 63 2 2" xfId="2394" xr:uid="{C69B9DF1-FDA8-482B-85EE-D6B491758025}"/>
    <cellStyle name="Normal 63 2 2 2" xfId="5250" xr:uid="{40AB6C78-6B46-4931-A9BB-41EC1EEBD436}"/>
    <cellStyle name="Normal 63 2 3" xfId="3832" xr:uid="{940F08CF-C2AB-4B81-8E10-1FB0DADEC1A6}"/>
    <cellStyle name="Normal 63 3" xfId="1747" xr:uid="{8FDA2517-DA38-430F-A415-895ED1EFFD70}"/>
    <cellStyle name="Normal 63 3 2" xfId="4607" xr:uid="{3C137BEE-6D28-4685-B95E-7369D6E8B607}"/>
    <cellStyle name="Normal 63 4" xfId="3191" xr:uid="{BC14193B-DD25-46E2-A517-150A2F517044}"/>
    <cellStyle name="Normal 64" xfId="227" xr:uid="{00000000-0005-0000-0000-0000B6050000}"/>
    <cellStyle name="Normal 64 2" xfId="949" xr:uid="{00000000-0005-0000-0000-0000B7050000}"/>
    <cellStyle name="Normal 64 2 2" xfId="2397" xr:uid="{28EFFF78-1469-4128-A98F-F455FD819BFA}"/>
    <cellStyle name="Normal 64 2 2 2" xfId="5253" xr:uid="{10A373F5-A4DE-4E4F-8442-C08F71D95918}"/>
    <cellStyle name="Normal 64 2 3" xfId="3835" xr:uid="{13907184-45F3-4BBD-A5F3-FB4D6391AD20}"/>
    <cellStyle name="Normal 64 3" xfId="1750" xr:uid="{E9146267-3C6B-4001-81DA-50DE4AE1F658}"/>
    <cellStyle name="Normal 64 3 2" xfId="4610" xr:uid="{0DA322D4-4A77-477C-B2CE-FAE0046E8424}"/>
    <cellStyle name="Normal 64 4" xfId="3194" xr:uid="{2CACEC51-C70F-4F21-AC40-B91E4F965F33}"/>
    <cellStyle name="Normal 65" xfId="233" xr:uid="{00000000-0005-0000-0000-0000B8050000}"/>
    <cellStyle name="Normal 65 2" xfId="955" xr:uid="{00000000-0005-0000-0000-0000B9050000}"/>
    <cellStyle name="Normal 65 2 2" xfId="2403" xr:uid="{35EBDD92-E89A-4DBA-A542-5FEAB2CFCE82}"/>
    <cellStyle name="Normal 65 2 2 2" xfId="5259" xr:uid="{4C389F57-C7A9-4451-9619-5D07D24CE957}"/>
    <cellStyle name="Normal 65 2 3" xfId="3841" xr:uid="{7007B2D0-F045-46DD-8BFB-AE9472B62771}"/>
    <cellStyle name="Normal 65 3" xfId="1756" xr:uid="{44A819E0-DFAF-46D1-9C1D-23720960AC2D}"/>
    <cellStyle name="Normal 65 3 2" xfId="4616" xr:uid="{AA35F451-0541-4F00-84DF-133D9A422489}"/>
    <cellStyle name="Normal 65 4" xfId="3200" xr:uid="{6FC53989-8094-481D-B155-CBD76DB5A20E}"/>
    <cellStyle name="Normal 66" xfId="235" xr:uid="{00000000-0005-0000-0000-0000BA050000}"/>
    <cellStyle name="Normal 66 2" xfId="957" xr:uid="{00000000-0005-0000-0000-0000BB050000}"/>
    <cellStyle name="Normal 66 2 2" xfId="2405" xr:uid="{5D7B40D4-2FAE-4116-8972-894A13709CEF}"/>
    <cellStyle name="Normal 66 2 2 2" xfId="5261" xr:uid="{0BDC47A3-AB7A-4528-B5D7-F108FF2CA6E0}"/>
    <cellStyle name="Normal 66 2 3" xfId="3843" xr:uid="{86AFB98D-D6EA-44E9-BB37-4C7B20F4A6CF}"/>
    <cellStyle name="Normal 66 3" xfId="1758" xr:uid="{38F2E578-AD49-4A07-8C44-A21CF279A1C5}"/>
    <cellStyle name="Normal 66 3 2" xfId="4618" xr:uid="{5F298FDB-B3AD-405C-BA43-784171563BBC}"/>
    <cellStyle name="Normal 66 4" xfId="3202" xr:uid="{688909D6-D85B-4D86-8363-CA527E604ECA}"/>
    <cellStyle name="Normal 67" xfId="238" xr:uid="{00000000-0005-0000-0000-0000BC050000}"/>
    <cellStyle name="Normal 67 2" xfId="960" xr:uid="{00000000-0005-0000-0000-0000BD050000}"/>
    <cellStyle name="Normal 67 2 2" xfId="2408" xr:uid="{CEC8F2FE-1658-4B5D-9D83-D216E5B8003F}"/>
    <cellStyle name="Normal 67 2 2 2" xfId="5264" xr:uid="{A9E3E69D-1AB9-4F63-94A8-14DB4F939F1A}"/>
    <cellStyle name="Normal 67 2 3" xfId="3846" xr:uid="{62B814FE-2247-4182-828C-C3D4FDB1C236}"/>
    <cellStyle name="Normal 67 3" xfId="1761" xr:uid="{BEF0BD27-B0E4-4CF2-B019-A3CB499C1EDF}"/>
    <cellStyle name="Normal 67 3 2" xfId="4621" xr:uid="{B1611DD0-29B3-454F-B41C-B99546FBCC17}"/>
    <cellStyle name="Normal 67 4" xfId="3205" xr:uid="{8F00322B-9F3F-44BC-93FA-D14EB39846A5}"/>
    <cellStyle name="Normal 68" xfId="247" xr:uid="{00000000-0005-0000-0000-0000BE050000}"/>
    <cellStyle name="Normal 68 2" xfId="969" xr:uid="{00000000-0005-0000-0000-0000BF050000}"/>
    <cellStyle name="Normal 68 2 2" xfId="2417" xr:uid="{DF038B85-AACC-451D-9F85-F6DAF9558E08}"/>
    <cellStyle name="Normal 68 2 2 2" xfId="5273" xr:uid="{A1BF7112-A6C9-43AE-A859-EC750F618354}"/>
    <cellStyle name="Normal 68 2 3" xfId="3855" xr:uid="{8759B723-B5ED-4CD2-8948-E58F182229DC}"/>
    <cellStyle name="Normal 68 3" xfId="1770" xr:uid="{04553B1D-1BB3-48BC-9171-730FF91BBCF3}"/>
    <cellStyle name="Normal 68 3 2" xfId="4630" xr:uid="{C15D8CED-3B55-444B-82E5-F0D6700F6765}"/>
    <cellStyle name="Normal 68 4" xfId="3214" xr:uid="{2372DEA2-2179-44AE-854D-B26517CB38E0}"/>
    <cellStyle name="Normal 69" xfId="248" xr:uid="{00000000-0005-0000-0000-0000C0050000}"/>
    <cellStyle name="Normal 69 2" xfId="970" xr:uid="{00000000-0005-0000-0000-0000C1050000}"/>
    <cellStyle name="Normal 69 2 2" xfId="2418" xr:uid="{C2F4F859-7B5E-421C-97D0-974270407C50}"/>
    <cellStyle name="Normal 69 2 2 2" xfId="5274" xr:uid="{783EF49A-953B-45DE-BE0D-6E20083D3724}"/>
    <cellStyle name="Normal 69 2 3" xfId="3856" xr:uid="{08D257B5-CF7F-41BD-B3DE-6EDB10B41445}"/>
    <cellStyle name="Normal 69 3" xfId="1771" xr:uid="{9FB1AE2A-23F2-4B8F-B0CE-B78B97BC3BA6}"/>
    <cellStyle name="Normal 69 3 2" xfId="4631" xr:uid="{0F5C4BBE-0EFC-4709-A494-03B5B0AEF405}"/>
    <cellStyle name="Normal 69 4" xfId="3215" xr:uid="{F3665123-C108-4E40-9E76-564D409B17A1}"/>
    <cellStyle name="Normal 7" xfId="25" xr:uid="{00000000-0005-0000-0000-0000C2050000}"/>
    <cellStyle name="Normal 7 2" xfId="634" xr:uid="{00000000-0005-0000-0000-0000C3050000}"/>
    <cellStyle name="Normal 7 2 2" xfId="1348" xr:uid="{00000000-0005-0000-0000-0000C4050000}"/>
    <cellStyle name="Normal 7 2 2 2" xfId="2796" xr:uid="{A8252A31-E93C-4366-A832-BACDC9F44EBD}"/>
    <cellStyle name="Normal 7 2 2 2 2" xfId="5652" xr:uid="{21521AE4-7065-4B28-A954-530A13F98B6E}"/>
    <cellStyle name="Normal 7 2 2 3" xfId="4234" xr:uid="{5128E46C-CDBD-42CB-B61E-0BCE9EBD2999}"/>
    <cellStyle name="Normal 7 2 3" xfId="2152" xr:uid="{C1A7A389-A883-4637-B9C2-4E5B67A3405D}"/>
    <cellStyle name="Normal 7 2 3 2" xfId="5012" xr:uid="{F0524F0F-62A8-43DF-93DA-45E0EFC5463B}"/>
    <cellStyle name="Normal 7 2 4" xfId="3596" xr:uid="{F4C5ABA9-0902-4856-97C5-A8DE4DDDF77D}"/>
    <cellStyle name="Normal 70" xfId="251" xr:uid="{00000000-0005-0000-0000-0000C5050000}"/>
    <cellStyle name="Normal 70 2" xfId="973" xr:uid="{00000000-0005-0000-0000-0000C6050000}"/>
    <cellStyle name="Normal 70 2 2" xfId="2421" xr:uid="{5FF4C75E-4BA3-42A3-BE81-454036ACAC04}"/>
    <cellStyle name="Normal 70 2 2 2" xfId="5277" xr:uid="{53D8D027-06C1-481A-BA25-6F992364120D}"/>
    <cellStyle name="Normal 70 2 3" xfId="3859" xr:uid="{63571883-B73C-4ED1-AC95-927678741484}"/>
    <cellStyle name="Normal 70 3" xfId="1774" xr:uid="{B584E9A8-2B20-4291-9698-3C77D8D592F9}"/>
    <cellStyle name="Normal 70 3 2" xfId="4634" xr:uid="{BCAA9709-A880-45D0-BEF6-D390BA76656D}"/>
    <cellStyle name="Normal 70 4" xfId="3218" xr:uid="{EB00C7CB-67CC-497C-B00F-30A26BA29F34}"/>
    <cellStyle name="Normal 71" xfId="258" xr:uid="{00000000-0005-0000-0000-0000C7050000}"/>
    <cellStyle name="Normal 71 2" xfId="980" xr:uid="{00000000-0005-0000-0000-0000C8050000}"/>
    <cellStyle name="Normal 71 2 2" xfId="2428" xr:uid="{0C56B20B-56C2-4BF9-A80A-3DB5D72B1A09}"/>
    <cellStyle name="Normal 71 2 2 2" xfId="5284" xr:uid="{EC963C90-CC0C-446D-A21A-51148AF7C317}"/>
    <cellStyle name="Normal 71 2 3" xfId="3866" xr:uid="{0B35403A-A2BC-405E-AFC1-342FDBE376EF}"/>
    <cellStyle name="Normal 71 3" xfId="1781" xr:uid="{AB4BDEDD-B296-46D5-92E5-0791BFE3429E}"/>
    <cellStyle name="Normal 71 3 2" xfId="4641" xr:uid="{C9E74739-FE05-4E8B-890D-7BC2A739861B}"/>
    <cellStyle name="Normal 71 4" xfId="3225" xr:uid="{18125781-CF9C-4E7C-938A-A083E1FF62B5}"/>
    <cellStyle name="Normal 72" xfId="260" xr:uid="{00000000-0005-0000-0000-0000C9050000}"/>
    <cellStyle name="Normal 72 2" xfId="982" xr:uid="{00000000-0005-0000-0000-0000CA050000}"/>
    <cellStyle name="Normal 72 2 2" xfId="2430" xr:uid="{4803428A-7F8B-41F0-9538-754A3E0329BF}"/>
    <cellStyle name="Normal 72 2 2 2" xfId="5286" xr:uid="{75D8E405-B177-44C6-AC27-97B11F0674AA}"/>
    <cellStyle name="Normal 72 2 3" xfId="3868" xr:uid="{628E677D-C739-4E5C-B490-2657CCB1D1B7}"/>
    <cellStyle name="Normal 72 3" xfId="1783" xr:uid="{9944C0AE-490B-4535-A742-DE868114F4F2}"/>
    <cellStyle name="Normal 72 3 2" xfId="4643" xr:uid="{02BFAD8E-4089-468D-BDA0-263051EC5BF1}"/>
    <cellStyle name="Normal 72 4" xfId="3227" xr:uid="{A643BE96-40DA-485D-90F6-D207044EA8A8}"/>
    <cellStyle name="Normal 73" xfId="269" xr:uid="{00000000-0005-0000-0000-0000CB050000}"/>
    <cellStyle name="Normal 73 2" xfId="991" xr:uid="{00000000-0005-0000-0000-0000CC050000}"/>
    <cellStyle name="Normal 73 2 2" xfId="2439" xr:uid="{82048CD5-6D95-48E4-A10B-9904D6A15741}"/>
    <cellStyle name="Normal 73 2 2 2" xfId="5295" xr:uid="{701D97C6-45E8-4E46-8FDB-521F6849EFC7}"/>
    <cellStyle name="Normal 73 2 3" xfId="3877" xr:uid="{9B670B4B-AC0A-441C-B2F9-36346C25FCFE}"/>
    <cellStyle name="Normal 73 3" xfId="1792" xr:uid="{4133128A-45F4-4AC1-9D5B-F5D09D4D8517}"/>
    <cellStyle name="Normal 73 3 2" xfId="4652" xr:uid="{634C1A04-E40A-43A0-8873-FB2DE6922AEB}"/>
    <cellStyle name="Normal 73 4" xfId="3236" xr:uid="{C4188E78-31F5-4528-B2F1-20705488A04A}"/>
    <cellStyle name="Normal 74" xfId="271" xr:uid="{00000000-0005-0000-0000-0000CD050000}"/>
    <cellStyle name="Normal 74 2" xfId="993" xr:uid="{00000000-0005-0000-0000-0000CE050000}"/>
    <cellStyle name="Normal 74 2 2" xfId="2441" xr:uid="{F9560A17-5361-4332-8AB8-45A72F1839AA}"/>
    <cellStyle name="Normal 74 2 2 2" xfId="5297" xr:uid="{3CE04710-2F74-4EF3-8882-FA5949EC1184}"/>
    <cellStyle name="Normal 74 2 3" xfId="3879" xr:uid="{22461C2E-0F22-418D-82D1-C443BBB7ADB4}"/>
    <cellStyle name="Normal 74 3" xfId="1794" xr:uid="{1E944209-7F90-4B20-8A1D-0D9F2D579A28}"/>
    <cellStyle name="Normal 74 3 2" xfId="4654" xr:uid="{7D1C7CBD-E13E-45EA-9D56-2A30148C3FDC}"/>
    <cellStyle name="Normal 74 4" xfId="3238" xr:uid="{44DF9916-4849-490A-BE51-1241B4DB98D7}"/>
    <cellStyle name="Normal 75" xfId="274" xr:uid="{00000000-0005-0000-0000-0000CF050000}"/>
    <cellStyle name="Normal 75 2" xfId="996" xr:uid="{00000000-0005-0000-0000-0000D0050000}"/>
    <cellStyle name="Normal 75 2 2" xfId="2444" xr:uid="{0B28950A-B1C1-49C0-8CCA-6835714DCF24}"/>
    <cellStyle name="Normal 75 2 2 2" xfId="5300" xr:uid="{4682A9BD-F37C-47C3-AC4E-DBCDC5B3945D}"/>
    <cellStyle name="Normal 75 2 3" xfId="3882" xr:uid="{B75CB415-1ABC-48EE-AC2D-603DE9317AB0}"/>
    <cellStyle name="Normal 75 3" xfId="1797" xr:uid="{82A23D41-E2AE-4840-8035-9E0C702D8B21}"/>
    <cellStyle name="Normal 75 3 2" xfId="4657" xr:uid="{2E0CC056-EFEF-41A1-B7CF-4AC9184A9E9D}"/>
    <cellStyle name="Normal 75 4" xfId="3241" xr:uid="{161BD9DC-EAC1-4C84-B16C-86AC360A58F9}"/>
    <cellStyle name="Normal 76" xfId="277" xr:uid="{00000000-0005-0000-0000-0000D1050000}"/>
    <cellStyle name="Normal 76 2" xfId="999" xr:uid="{00000000-0005-0000-0000-0000D2050000}"/>
    <cellStyle name="Normal 76 2 2" xfId="2447" xr:uid="{054D2348-6D8B-4716-85EB-6007B13D0290}"/>
    <cellStyle name="Normal 76 2 2 2" xfId="5303" xr:uid="{EFFE8207-7D3E-4566-B0C2-3702BB896A41}"/>
    <cellStyle name="Normal 76 2 3" xfId="3885" xr:uid="{2C5C656A-DB30-49C9-9B38-0EF83A0480E2}"/>
    <cellStyle name="Normal 76 3" xfId="1800" xr:uid="{9DF36CF4-E5B1-4E56-85B1-A17DBEBB7523}"/>
    <cellStyle name="Normal 76 3 2" xfId="4660" xr:uid="{35B596D6-1306-4782-ACF6-AA20A998E122}"/>
    <cellStyle name="Normal 76 4" xfId="3244" xr:uid="{AD5C14F0-3FC1-4246-9063-DD60C4E8DA43}"/>
    <cellStyle name="Normal 77" xfId="284" xr:uid="{00000000-0005-0000-0000-0000D3050000}"/>
    <cellStyle name="Normal 77 2" xfId="1006" xr:uid="{00000000-0005-0000-0000-0000D4050000}"/>
    <cellStyle name="Normal 77 2 2" xfId="2454" xr:uid="{C3CDA34B-0966-4615-B182-5D1737AF6F16}"/>
    <cellStyle name="Normal 77 2 2 2" xfId="5310" xr:uid="{19995EAD-69D6-4E1C-B1CC-54C510F1C0CA}"/>
    <cellStyle name="Normal 77 2 3" xfId="3892" xr:uid="{C6DE69E4-ECF6-4692-9E77-E77846A6F4AA}"/>
    <cellStyle name="Normal 77 3" xfId="1807" xr:uid="{5299B39D-D662-484F-887F-7BE57386FE7D}"/>
    <cellStyle name="Normal 77 3 2" xfId="4667" xr:uid="{A4234D0C-9CFB-43F4-858A-829D7319D390}"/>
    <cellStyle name="Normal 77 4" xfId="3251" xr:uid="{1C65DAEC-D7AF-468B-8670-71718BFA2E64}"/>
    <cellStyle name="Normal 78" xfId="287" xr:uid="{00000000-0005-0000-0000-0000D5050000}"/>
    <cellStyle name="Normal 78 2" xfId="1009" xr:uid="{00000000-0005-0000-0000-0000D6050000}"/>
    <cellStyle name="Normal 78 2 2" xfId="2457" xr:uid="{AC0C20A8-C77A-4F6A-8366-145CB06CA050}"/>
    <cellStyle name="Normal 78 2 2 2" xfId="5313" xr:uid="{76373853-C5C0-4814-A156-6BBA065C0D94}"/>
    <cellStyle name="Normal 78 2 3" xfId="3895" xr:uid="{683BAE53-6C09-44C6-9733-52D660803665}"/>
    <cellStyle name="Normal 78 3" xfId="1810" xr:uid="{C53EB4F7-0036-4225-9F6C-06D4D889FE8F}"/>
    <cellStyle name="Normal 78 3 2" xfId="4670" xr:uid="{69C14045-8025-4BFE-BC22-D8855E39A2D9}"/>
    <cellStyle name="Normal 78 4" xfId="3254" xr:uid="{9E3DC2B6-4D95-4F6A-B9DE-85A9CE5FFBE1}"/>
    <cellStyle name="Normal 79" xfId="289" xr:uid="{00000000-0005-0000-0000-0000D7050000}"/>
    <cellStyle name="Normal 79 2" xfId="1011" xr:uid="{00000000-0005-0000-0000-0000D8050000}"/>
    <cellStyle name="Normal 79 2 2" xfId="2459" xr:uid="{063445A7-6AA8-4DFF-A97B-3D44976398E8}"/>
    <cellStyle name="Normal 79 2 2 2" xfId="5315" xr:uid="{E41A809C-644A-4E30-9CC4-4450199F3456}"/>
    <cellStyle name="Normal 79 2 3" xfId="3897" xr:uid="{6ABDF36B-D0AC-4863-A407-B7058B9C0BBD}"/>
    <cellStyle name="Normal 79 3" xfId="1812" xr:uid="{1E1A87CD-6960-410F-B273-F4E95E5A2D70}"/>
    <cellStyle name="Normal 79 3 2" xfId="4672" xr:uid="{A357F3A7-3310-4480-9628-B7BA43692979}"/>
    <cellStyle name="Normal 79 4" xfId="3256" xr:uid="{0F068B06-1B22-44B9-9D98-47BD3F08B52A}"/>
    <cellStyle name="Normal 8" xfId="27" xr:uid="{00000000-0005-0000-0000-0000D9050000}"/>
    <cellStyle name="Normal 8 2" xfId="769" xr:uid="{00000000-0005-0000-0000-0000DA050000}"/>
    <cellStyle name="Normal 8 2 2" xfId="2223" xr:uid="{5AFB5245-69C3-4A1A-B10A-A2185BA82EDC}"/>
    <cellStyle name="Normal 8 2 2 2" xfId="5079" xr:uid="{4B2F9937-F37A-45EE-96E3-765E537B21A7}"/>
    <cellStyle name="Normal 8 2 3" xfId="3660" xr:uid="{5BBF6784-754E-4BB3-8B29-0C06F00FCA63}"/>
    <cellStyle name="Normal 8 3" xfId="1575" xr:uid="{F3CA78F0-A689-471A-8D84-80074612001F}"/>
    <cellStyle name="Normal 8 3 2" xfId="4435" xr:uid="{F7A4CD25-DBA6-4D5A-93F4-6567BE82BBFE}"/>
    <cellStyle name="Normal 8 4" xfId="3020" xr:uid="{D80CD960-BCBD-4889-A754-E79FAB69E928}"/>
    <cellStyle name="Normal 80" xfId="292" xr:uid="{00000000-0005-0000-0000-0000DB050000}"/>
    <cellStyle name="Normal 80 2" xfId="449" xr:uid="{00000000-0005-0000-0000-0000DC050000}"/>
    <cellStyle name="Normal 80 2 2" xfId="616" xr:uid="{00000000-0005-0000-0000-0000DD050000}"/>
    <cellStyle name="Normal 80 2 2 2" xfId="703" xr:uid="{00000000-0005-0000-0000-0000DE050000}"/>
    <cellStyle name="Normal 80 2 2 2 2" xfId="1386" xr:uid="{00000000-0005-0000-0000-0000DF050000}"/>
    <cellStyle name="Normal 80 2 2 2 2 2" xfId="2833" xr:uid="{4F9EF0C3-558D-4478-861F-D09035201A79}"/>
    <cellStyle name="Normal 80 2 2 2 2 2 2" xfId="5688" xr:uid="{EBEF0795-FF39-4F83-9B11-2B5D718B1843}"/>
    <cellStyle name="Normal 80 2 2 2 2 3" xfId="4270" xr:uid="{6B2166A8-5A5D-43C1-8A00-7D058A63B194}"/>
    <cellStyle name="Normal 80 2 2 2 3" xfId="1490" xr:uid="{00000000-0005-0000-0000-0000E0050000}"/>
    <cellStyle name="Normal 80 2 2 2 3 2" xfId="2918" xr:uid="{1FAF637D-DAAD-4F9A-A494-8282D49FB338}"/>
    <cellStyle name="Normal 80 2 2 2 3 2 2" xfId="5772" xr:uid="{B0DEDC3E-951D-46DC-BC40-63FB39FCC06B}"/>
    <cellStyle name="Normal 80 2 2 2 3 3" xfId="4351" xr:uid="{2D16E91E-8638-4A7C-A390-C4656849F463}"/>
    <cellStyle name="Normal 80 2 2 2 4" xfId="2191" xr:uid="{96969408-15F3-44C5-B335-2E37B6BE5F3C}"/>
    <cellStyle name="Normal 80 2 2 2 4 2" xfId="5049" xr:uid="{B70BDFAF-85E5-403A-BA4C-0BB07BFE9B77}"/>
    <cellStyle name="Normal 80 2 2 2 5" xfId="3633" xr:uid="{3DDB1268-EF2F-4324-90D7-C0B7CEEAE9B9}"/>
    <cellStyle name="Normal 80 2 2 3" xfId="1334" xr:uid="{00000000-0005-0000-0000-0000E1050000}"/>
    <cellStyle name="Normal 80 2 2 3 2" xfId="2782" xr:uid="{B1F7CDA1-41F7-4E74-B5A7-C163DD979083}"/>
    <cellStyle name="Normal 80 2 2 3 2 2" xfId="5638" xr:uid="{72FB715C-C07F-4E98-A4D0-D551C4F4DFFF}"/>
    <cellStyle name="Normal 80 2 2 3 3" xfId="4220" xr:uid="{3D76E77E-45BC-4211-B55A-9728B101E0D5}"/>
    <cellStyle name="Normal 80 2 2 4" xfId="2137" xr:uid="{F0756753-134D-448B-9F32-294070F3E99C}"/>
    <cellStyle name="Normal 80 2 2 4 2" xfId="4997" xr:uid="{0B4E9F06-8E1F-4AFC-8B2E-4C0D8B45DCD1}"/>
    <cellStyle name="Normal 80 2 2 5" xfId="3581" xr:uid="{C307D7CC-6B3D-4F02-ADE0-1C19DFA1C143}"/>
    <cellStyle name="Normal 80 2 3" xfId="1170" xr:uid="{00000000-0005-0000-0000-0000E2050000}"/>
    <cellStyle name="Normal 80 2 3 2" xfId="2618" xr:uid="{7843B5E0-D604-428A-81AD-452526E7D5AA}"/>
    <cellStyle name="Normal 80 2 3 2 2" xfId="5474" xr:uid="{25831BF8-8085-4DAA-AA3C-958A9F057537}"/>
    <cellStyle name="Normal 80 2 3 3" xfId="4056" xr:uid="{A47DD6F1-D2A9-4B86-82F8-D839138828B9}"/>
    <cellStyle name="Normal 80 2 4" xfId="1972" xr:uid="{BD4A005B-D6D6-4AFF-A4E6-C46116DDAA5C}"/>
    <cellStyle name="Normal 80 2 4 2" xfId="4832" xr:uid="{9787CA05-4C54-45B7-A338-CDE97467B95F}"/>
    <cellStyle name="Normal 80 2 5" xfId="3416" xr:uid="{E6FA53BD-F862-448E-B4CB-1BAA9C914BF6}"/>
    <cellStyle name="Normal 80 3" xfId="1014" xr:uid="{00000000-0005-0000-0000-0000E3050000}"/>
    <cellStyle name="Normal 80 3 2" xfId="2462" xr:uid="{1BF4DEF4-BBEF-4C3C-92D0-1FB9454A8D32}"/>
    <cellStyle name="Normal 80 3 2 2" xfId="5318" xr:uid="{550C721E-51E8-4516-AC59-D5FAAD0F9186}"/>
    <cellStyle name="Normal 80 3 3" xfId="3900" xr:uid="{FB56B8A5-D9C1-4D42-8F89-96E0AA8D47B1}"/>
    <cellStyle name="Normal 80 4" xfId="1815" xr:uid="{B03A04D1-CA11-40D3-BE67-C80A69881D2F}"/>
    <cellStyle name="Normal 80 4 2" xfId="4675" xr:uid="{5F6B9725-45FE-4FF8-A875-546E67C99CF9}"/>
    <cellStyle name="Normal 80 5" xfId="3259" xr:uid="{FADA9578-EB15-4103-BBA5-6DDEA6F0FA6A}"/>
    <cellStyle name="Normal 81" xfId="301" xr:uid="{00000000-0005-0000-0000-0000E4050000}"/>
    <cellStyle name="Normal 81 2" xfId="1022" xr:uid="{00000000-0005-0000-0000-0000E5050000}"/>
    <cellStyle name="Normal 81 2 2" xfId="2470" xr:uid="{6C29482B-87C7-40CE-9FD4-27B37AED850E}"/>
    <cellStyle name="Normal 81 2 2 2" xfId="5326" xr:uid="{F06F3D68-1CC5-4B3A-A45E-10E8C9452205}"/>
    <cellStyle name="Normal 81 2 3" xfId="3908" xr:uid="{E39CBB8B-223B-469C-909C-A9D0095A69BB}"/>
    <cellStyle name="Normal 81 3" xfId="1824" xr:uid="{2002972C-09FF-42B6-8245-9CA9BA3259CA}"/>
    <cellStyle name="Normal 81 3 2" xfId="4684" xr:uid="{E46A9EA3-32E3-42A3-A7A9-6765C241ED06}"/>
    <cellStyle name="Normal 81 4" xfId="3268" xr:uid="{48D47B39-6F47-4D7C-99AD-167E129C90A5}"/>
    <cellStyle name="Normal 82" xfId="310" xr:uid="{00000000-0005-0000-0000-0000E6050000}"/>
    <cellStyle name="Normal 82 2" xfId="1031" xr:uid="{00000000-0005-0000-0000-0000E7050000}"/>
    <cellStyle name="Normal 82 2 2" xfId="2479" xr:uid="{3285A2E9-44FC-4FE4-9DE2-92F9602893D8}"/>
    <cellStyle name="Normal 82 2 2 2" xfId="5335" xr:uid="{4D068713-9110-4531-9D30-49A14FA4A115}"/>
    <cellStyle name="Normal 82 2 3" xfId="3917" xr:uid="{204BC892-F760-4E60-8702-BDC1B976DA29}"/>
    <cellStyle name="Normal 82 3" xfId="1833" xr:uid="{B2CD5395-5708-402D-B137-445D134026AB}"/>
    <cellStyle name="Normal 82 3 2" xfId="4693" xr:uid="{2A205816-004E-4DA6-87DE-D918205DD3DD}"/>
    <cellStyle name="Normal 82 4" xfId="3277" xr:uid="{2A72E080-8E01-48E2-8246-4C83E2B3C917}"/>
    <cellStyle name="Normal 83" xfId="312" xr:uid="{00000000-0005-0000-0000-0000E8050000}"/>
    <cellStyle name="Normal 83 2" xfId="1033" xr:uid="{00000000-0005-0000-0000-0000E9050000}"/>
    <cellStyle name="Normal 83 2 2" xfId="2481" xr:uid="{D7D0DDB6-B74F-4659-8191-40B2C03918BE}"/>
    <cellStyle name="Normal 83 2 2 2" xfId="5337" xr:uid="{8B40DA44-F329-4C60-8AA2-6DA4941136CA}"/>
    <cellStyle name="Normal 83 2 3" xfId="3919" xr:uid="{AB805450-02D5-43C8-9795-CF6C9EA6DFC1}"/>
    <cellStyle name="Normal 83 3" xfId="1835" xr:uid="{09662022-9C1B-4646-B7A9-6F9D09C53715}"/>
    <cellStyle name="Normal 83 3 2" xfId="4695" xr:uid="{BF773E22-DC0D-49F9-9DF0-91A63942E241}"/>
    <cellStyle name="Normal 83 4" xfId="3279" xr:uid="{239C319A-C097-4FBF-BF9C-0B581C9E2708}"/>
    <cellStyle name="Normal 84" xfId="314" xr:uid="{00000000-0005-0000-0000-0000EA050000}"/>
    <cellStyle name="Normal 84 2" xfId="1035" xr:uid="{00000000-0005-0000-0000-0000EB050000}"/>
    <cellStyle name="Normal 84 2 2" xfId="2483" xr:uid="{7CDD5041-4281-44D6-954C-40B8917624D0}"/>
    <cellStyle name="Normal 84 2 2 2" xfId="5339" xr:uid="{3F498D9E-E96B-46E0-B9B0-C3F56ACCB3A6}"/>
    <cellStyle name="Normal 84 2 3" xfId="3921" xr:uid="{CC20A99E-B465-40C6-AC19-77788DB8C09E}"/>
    <cellStyle name="Normal 84 3" xfId="1837" xr:uid="{7236425B-2186-407B-AAF2-9B1C3E8ED92B}"/>
    <cellStyle name="Normal 84 3 2" xfId="4697" xr:uid="{53345D3A-783A-45EE-83FB-972908AE4A18}"/>
    <cellStyle name="Normal 84 4" xfId="3281" xr:uid="{6795A4F7-D1B0-4CE0-873B-FE6C2BC02F01}"/>
    <cellStyle name="Normal 85" xfId="318" xr:uid="{00000000-0005-0000-0000-0000EC050000}"/>
    <cellStyle name="Normal 85 2" xfId="1039" xr:uid="{00000000-0005-0000-0000-0000ED050000}"/>
    <cellStyle name="Normal 85 2 2" xfId="2487" xr:uid="{65348CB7-6A3A-4142-8FDB-771BE5F14E00}"/>
    <cellStyle name="Normal 85 2 2 2" xfId="5343" xr:uid="{5F710C25-32ED-4443-8118-53EC15EB0231}"/>
    <cellStyle name="Normal 85 2 3" xfId="3925" xr:uid="{A485D74F-C64A-4F2A-957C-C6485689B36A}"/>
    <cellStyle name="Normal 85 3" xfId="1841" xr:uid="{44ABB705-6D62-4D6A-8272-6CEA8A6B0172}"/>
    <cellStyle name="Normal 85 3 2" xfId="4701" xr:uid="{9CD88550-83DA-40AF-BAF1-9A99E59B4857}"/>
    <cellStyle name="Normal 85 4" xfId="3285" xr:uid="{6DB15C28-51C8-49A0-8CA3-F9C20755D88C}"/>
    <cellStyle name="Normal 86" xfId="325" xr:uid="{00000000-0005-0000-0000-0000EE050000}"/>
    <cellStyle name="Normal 86 2" xfId="1046" xr:uid="{00000000-0005-0000-0000-0000EF050000}"/>
    <cellStyle name="Normal 86 2 2" xfId="2494" xr:uid="{FA6C4B44-46BC-4C3E-9233-174BD485C97C}"/>
    <cellStyle name="Normal 86 2 2 2" xfId="5350" xr:uid="{A932521E-493B-4074-990D-2A9F8E7B77C3}"/>
    <cellStyle name="Normal 86 2 3" xfId="3932" xr:uid="{414C7872-7E77-43B2-BFE7-3ADA75ACF4CC}"/>
    <cellStyle name="Normal 86 3" xfId="1848" xr:uid="{CEAEF9E2-DEBF-47CA-AB43-044E7FE37F35}"/>
    <cellStyle name="Normal 86 3 2" xfId="4708" xr:uid="{F16C5FA6-A6C4-47D4-983A-BF6D024FAACF}"/>
    <cellStyle name="Normal 86 4" xfId="3292" xr:uid="{95D0A2DB-62BD-4231-BCC9-6258A323BAC4}"/>
    <cellStyle name="Normal 87" xfId="328" xr:uid="{00000000-0005-0000-0000-0000F0050000}"/>
    <cellStyle name="Normal 87 2" xfId="1049" xr:uid="{00000000-0005-0000-0000-0000F1050000}"/>
    <cellStyle name="Normal 87 2 2" xfId="2497" xr:uid="{0C523491-39EF-45D7-A2C2-1D4B9C5B9276}"/>
    <cellStyle name="Normal 87 2 2 2" xfId="5353" xr:uid="{ECC215DF-E8EB-4D06-8FCA-3AD707A3C09E}"/>
    <cellStyle name="Normal 87 2 3" xfId="3935" xr:uid="{074C73DE-9796-4C4E-B155-BFC02D652A92}"/>
    <cellStyle name="Normal 87 3" xfId="1851" xr:uid="{976A6190-83E7-48E5-9857-FEA027D4FBBF}"/>
    <cellStyle name="Normal 87 3 2" xfId="4711" xr:uid="{5BCA3042-5676-4044-A20D-AD8B33BB15FE}"/>
    <cellStyle name="Normal 87 4" xfId="3295" xr:uid="{8C07F3B8-272F-401D-B4DE-2C5F6F7DE6EF}"/>
    <cellStyle name="Normal 88" xfId="332" xr:uid="{00000000-0005-0000-0000-0000F2050000}"/>
    <cellStyle name="Normal 88 2" xfId="1053" xr:uid="{00000000-0005-0000-0000-0000F3050000}"/>
    <cellStyle name="Normal 88 2 2" xfId="2501" xr:uid="{50767FA7-2C15-4EA0-AFAC-1BC9A52CD14C}"/>
    <cellStyle name="Normal 88 2 2 2" xfId="5357" xr:uid="{73DB1DB1-AFB1-40C0-B12F-0CFB7C4A81AA}"/>
    <cellStyle name="Normal 88 2 3" xfId="3939" xr:uid="{BD1B9C0A-BE55-429E-AB13-F3560EAE1048}"/>
    <cellStyle name="Normal 88 3" xfId="1855" xr:uid="{4EAC524D-C5A7-499A-A6FF-8D43C4F4D102}"/>
    <cellStyle name="Normal 88 3 2" xfId="4715" xr:uid="{390B8DCE-64D9-4F5F-BE3C-699791C2793C}"/>
    <cellStyle name="Normal 88 4" xfId="3299" xr:uid="{432D9FE4-39F7-4BAE-87D8-7F2239B5534B}"/>
    <cellStyle name="Normal 89" xfId="335" xr:uid="{00000000-0005-0000-0000-0000F4050000}"/>
    <cellStyle name="Normal 89 2" xfId="1056" xr:uid="{00000000-0005-0000-0000-0000F5050000}"/>
    <cellStyle name="Normal 89 2 2" xfId="2504" xr:uid="{309DED1E-0CE2-4A55-9CEA-C6711CD41E23}"/>
    <cellStyle name="Normal 89 2 2 2" xfId="5360" xr:uid="{F789F031-36AE-4434-9B60-EFA2C379B014}"/>
    <cellStyle name="Normal 89 2 3" xfId="3942" xr:uid="{8180C801-97F0-4AB5-92F2-15A098ED89C4}"/>
    <cellStyle name="Normal 89 3" xfId="1858" xr:uid="{3CBF7F72-DA27-48F8-A5EA-F2724DD29701}"/>
    <cellStyle name="Normal 89 3 2" xfId="4718" xr:uid="{2E279B40-717F-4AAC-9D63-50762917B47D}"/>
    <cellStyle name="Normal 89 4" xfId="3302" xr:uid="{BD7E61CD-5A30-4C7B-84F7-A243CD23F1B4}"/>
    <cellStyle name="Normal 9" xfId="29" xr:uid="{00000000-0005-0000-0000-0000F6050000}"/>
    <cellStyle name="Normal 90" xfId="342" xr:uid="{00000000-0005-0000-0000-0000F7050000}"/>
    <cellStyle name="Normal 90 2" xfId="1063" xr:uid="{00000000-0005-0000-0000-0000F8050000}"/>
    <cellStyle name="Normal 90 2 2" xfId="2511" xr:uid="{EBD41EE2-05AE-45B6-AB4A-EE5599310992}"/>
    <cellStyle name="Normal 90 2 2 2" xfId="5367" xr:uid="{FBC6BE00-3A90-4F79-A429-07F161F96A2A}"/>
    <cellStyle name="Normal 90 2 3" xfId="3949" xr:uid="{F279EE5C-DF45-49E0-AD8C-A0B34DC851A4}"/>
    <cellStyle name="Normal 90 3" xfId="1865" xr:uid="{6270B988-8429-4D1A-92ED-73A4A8C40C8F}"/>
    <cellStyle name="Normal 90 3 2" xfId="4725" xr:uid="{CD4C54BC-8A5B-4678-934E-C418DE695382}"/>
    <cellStyle name="Normal 90 4" xfId="3309" xr:uid="{6AC733FF-B76F-44F9-98DE-20EA236909B4}"/>
    <cellStyle name="Normal 91" xfId="344" xr:uid="{00000000-0005-0000-0000-0000F9050000}"/>
    <cellStyle name="Normal 91 2" xfId="1065" xr:uid="{00000000-0005-0000-0000-0000FA050000}"/>
    <cellStyle name="Normal 91 2 2" xfId="2513" xr:uid="{E3CD84C1-8F78-40FE-BCCB-53BE38B22928}"/>
    <cellStyle name="Normal 91 2 2 2" xfId="5369" xr:uid="{6329016C-956B-4CB4-89B5-64F137341189}"/>
    <cellStyle name="Normal 91 2 3" xfId="3951" xr:uid="{A7937C3F-4AF9-4BD9-BB2E-DAFBEFC1954A}"/>
    <cellStyle name="Normal 91 3" xfId="1867" xr:uid="{D84A8F37-1694-4ECF-9F21-1C59BE85742F}"/>
    <cellStyle name="Normal 91 3 2" xfId="4727" xr:uid="{26689DD1-614F-4268-A0E2-FDA0A39F3E32}"/>
    <cellStyle name="Normal 91 4" xfId="3311" xr:uid="{12D888C4-6B9E-4ADD-9E75-15B12B3A6379}"/>
    <cellStyle name="Normal 92" xfId="354" xr:uid="{00000000-0005-0000-0000-0000FB050000}"/>
    <cellStyle name="Normal 92 2" xfId="1075" xr:uid="{00000000-0005-0000-0000-0000FC050000}"/>
    <cellStyle name="Normal 92 2 2" xfId="2523" xr:uid="{30D8B3E0-4CF1-4F65-8030-42AC598B7949}"/>
    <cellStyle name="Normal 92 2 2 2" xfId="5379" xr:uid="{7EE62FF4-33D4-411C-B5CC-D37C241DDC0A}"/>
    <cellStyle name="Normal 92 2 3" xfId="3961" xr:uid="{94AB57D0-27E7-4AC6-A48F-908D4C42F1C6}"/>
    <cellStyle name="Normal 92 3" xfId="1877" xr:uid="{42F39B08-843D-47B1-A551-9F62BF700917}"/>
    <cellStyle name="Normal 92 3 2" xfId="4737" xr:uid="{6482B53E-0C04-4137-B70C-11C4C1BD5CE3}"/>
    <cellStyle name="Normal 92 4" xfId="3321" xr:uid="{E3037E61-90A2-4132-A55A-B5BBE078D286}"/>
    <cellStyle name="Normal 93" xfId="356" xr:uid="{00000000-0005-0000-0000-0000FD050000}"/>
    <cellStyle name="Normal 93 2" xfId="1077" xr:uid="{00000000-0005-0000-0000-0000FE050000}"/>
    <cellStyle name="Normal 93 2 2" xfId="2525" xr:uid="{F5EE0CE4-7979-4146-B2EB-E305262B67CE}"/>
    <cellStyle name="Normal 93 2 2 2" xfId="5381" xr:uid="{F7A00846-078F-4A3A-9182-FD0C25671192}"/>
    <cellStyle name="Normal 93 2 3" xfId="3963" xr:uid="{FB1A4C4D-6185-4F2B-A2FC-E5E938820E1A}"/>
    <cellStyle name="Normal 93 3" xfId="1879" xr:uid="{61DB1ACC-36A2-4A83-88FE-C5F992366EAE}"/>
    <cellStyle name="Normal 93 3 2" xfId="4739" xr:uid="{527BAA25-010F-49C3-8FD4-2A933D29C246}"/>
    <cellStyle name="Normal 93 4" xfId="3323" xr:uid="{226F5A5A-A890-4038-ACE8-5DE460A98653}"/>
    <cellStyle name="Normal 94" xfId="360" xr:uid="{00000000-0005-0000-0000-0000FF050000}"/>
    <cellStyle name="Normal 94 2" xfId="1081" xr:uid="{00000000-0005-0000-0000-000000060000}"/>
    <cellStyle name="Normal 94 2 2" xfId="2529" xr:uid="{A4290577-2409-490D-83C8-C38A29CA3098}"/>
    <cellStyle name="Normal 94 2 2 2" xfId="5385" xr:uid="{A85AB6E0-898F-44B6-A605-BA5EF7DBDDDF}"/>
    <cellStyle name="Normal 94 2 3" xfId="3967" xr:uid="{E1C5D7EE-21E9-489C-B608-9A86A9CFA82E}"/>
    <cellStyle name="Normal 94 3" xfId="1883" xr:uid="{D5BA8818-1D67-4F21-8302-A7E88350273A}"/>
    <cellStyle name="Normal 94 3 2" xfId="4743" xr:uid="{6E96D50D-F90B-4598-94CD-A19ED6CF7C02}"/>
    <cellStyle name="Normal 94 4" xfId="3327" xr:uid="{494022A4-4E95-4EF0-92B4-4483FDEF41B6}"/>
    <cellStyle name="Normal 95" xfId="362" xr:uid="{00000000-0005-0000-0000-000001060000}"/>
    <cellStyle name="Normal 95 2" xfId="1083" xr:uid="{00000000-0005-0000-0000-000002060000}"/>
    <cellStyle name="Normal 95 2 2" xfId="2531" xr:uid="{B29F7732-95D3-4EC4-AE6F-65BFC5AE82E6}"/>
    <cellStyle name="Normal 95 2 2 2" xfId="5387" xr:uid="{06B88D72-86F1-456B-8A5C-BBF2F255FCB8}"/>
    <cellStyle name="Normal 95 2 3" xfId="3969" xr:uid="{28039611-A339-4F55-8111-1F330ECD31DE}"/>
    <cellStyle name="Normal 95 3" xfId="1885" xr:uid="{A158A88C-C204-495C-B191-6672EF9DC5D5}"/>
    <cellStyle name="Normal 95 3 2" xfId="4745" xr:uid="{9A49518D-4D0D-4E77-8FC3-3E49F244A1A7}"/>
    <cellStyle name="Normal 95 4" xfId="3329" xr:uid="{086805E0-AEBB-40BB-850F-9C3BD065B57F}"/>
    <cellStyle name="Normal 96" xfId="369" xr:uid="{00000000-0005-0000-0000-000003060000}"/>
    <cellStyle name="Normal 96 2" xfId="1090" xr:uid="{00000000-0005-0000-0000-000004060000}"/>
    <cellStyle name="Normal 96 2 2" xfId="2538" xr:uid="{4202F177-8F19-42DD-9DDF-62AC0A12097B}"/>
    <cellStyle name="Normal 96 2 2 2" xfId="5394" xr:uid="{837CFAA8-AA6F-4388-9E6D-B15E8AB14752}"/>
    <cellStyle name="Normal 96 2 3" xfId="3976" xr:uid="{809BA9E0-8A83-43BF-B043-B49794A51E11}"/>
    <cellStyle name="Normal 96 3" xfId="1892" xr:uid="{BAB4B633-E03B-45FB-B588-A5BE36B6F9B0}"/>
    <cellStyle name="Normal 96 3 2" xfId="4752" xr:uid="{4A663CEF-C92B-43FE-9553-E8C39FEF40BA}"/>
    <cellStyle name="Normal 96 4" xfId="3336" xr:uid="{47BE1E12-8684-45E0-937E-1B79162AF7AE}"/>
    <cellStyle name="Normal 97" xfId="373" xr:uid="{00000000-0005-0000-0000-000005060000}"/>
    <cellStyle name="Normal 97 2" xfId="1094" xr:uid="{00000000-0005-0000-0000-000006060000}"/>
    <cellStyle name="Normal 97 2 2" xfId="2542" xr:uid="{31CD4C2E-C7D6-4A73-A3CE-7C92D1C60573}"/>
    <cellStyle name="Normal 97 2 2 2" xfId="5398" xr:uid="{A756FE05-35FD-4E8E-9C59-882358CEECE1}"/>
    <cellStyle name="Normal 97 2 3" xfId="3980" xr:uid="{DDB08AF0-4C98-4E7A-8343-065EB57ADC7C}"/>
    <cellStyle name="Normal 97 3" xfId="1896" xr:uid="{60FDB3FE-EB74-471B-97F5-3A4BAAD09DED}"/>
    <cellStyle name="Normal 97 3 2" xfId="4756" xr:uid="{1461AE19-D282-4457-BAA8-6F4FA1A68BA5}"/>
    <cellStyle name="Normal 97 4" xfId="3340" xr:uid="{467A2AB8-E55F-4AB7-92E5-4BD0C8016D5F}"/>
    <cellStyle name="Normal 98" xfId="381" xr:uid="{00000000-0005-0000-0000-000007060000}"/>
    <cellStyle name="Normal 98 2" xfId="1102" xr:uid="{00000000-0005-0000-0000-000008060000}"/>
    <cellStyle name="Normal 98 2 2" xfId="2550" xr:uid="{53FBDDD1-8236-4998-9302-5668A1B05F6B}"/>
    <cellStyle name="Normal 98 2 2 2" xfId="5406" xr:uid="{5890060D-8485-4842-8934-C132CED86203}"/>
    <cellStyle name="Normal 98 2 3" xfId="3988" xr:uid="{8FE01542-A863-4465-841A-65C206E3169B}"/>
    <cellStyle name="Normal 98 3" xfId="1904" xr:uid="{36FFC822-D904-41EA-814C-C539C5D52A12}"/>
    <cellStyle name="Normal 98 3 2" xfId="4764" xr:uid="{BDAA8B9B-BCC0-4189-96C0-76554F543DF8}"/>
    <cellStyle name="Normal 98 4" xfId="3348" xr:uid="{67585EAE-49CB-4C5E-B1C6-467302F54C18}"/>
    <cellStyle name="Normal 99" xfId="390" xr:uid="{00000000-0005-0000-0000-000009060000}"/>
    <cellStyle name="Normal 99 2" xfId="1111" xr:uid="{00000000-0005-0000-0000-00000A060000}"/>
    <cellStyle name="Normal 99 2 2" xfId="2559" xr:uid="{763B953B-44A8-4436-B431-1395513291DD}"/>
    <cellStyle name="Normal 99 2 2 2" xfId="5415" xr:uid="{ACFCC51A-1A2D-4496-916D-0CB494DA5DD0}"/>
    <cellStyle name="Normal 99 2 3" xfId="3997" xr:uid="{7B63351A-E178-4C27-9549-3D382D267D6D}"/>
    <cellStyle name="Normal 99 3" xfId="1913" xr:uid="{8DFC6F8E-3068-4991-8C1D-7127F5684D3A}"/>
    <cellStyle name="Normal 99 3 2" xfId="4773" xr:uid="{5F424392-2B67-45FA-92B2-75EAE3B5EBDC}"/>
    <cellStyle name="Normal 99 4" xfId="3357" xr:uid="{75C9C987-E6DA-4FCB-B7D6-1A3A6D0BE44F}"/>
    <cellStyle name="Percent 2" xfId="1479" xr:uid="{00000000-0005-0000-0000-00000B060000}"/>
    <cellStyle name="Percent 2 2" xfId="2907" xr:uid="{54F8BBE6-7858-409A-B813-C1A45E229ACA}"/>
    <cellStyle name="Percent 2 2 2" xfId="5761" xr:uid="{2EB0484C-80DE-49A3-8002-4D2D33E2F284}"/>
    <cellStyle name="Percent 2 3" xfId="4340" xr:uid="{CE2478F0-C03F-44B3-9233-80B005AA6F38}"/>
    <cellStyle name="Percent 3" xfId="5974" xr:uid="{AA8D561D-4FCD-4220-8738-A0D07501A290}"/>
    <cellStyle name="Percent 4" xfId="5991" xr:uid="{9777FB31-B8AC-4762-8B7F-1973F2BA2029}"/>
    <cellStyle name="Percent 5" xfId="5994" xr:uid="{D0D6FBC3-3496-45AE-AAD5-2F421DC36187}"/>
    <cellStyle name="Percent 6" xfId="6007" xr:uid="{B7E42B17-20D2-4FDD-90C5-3EA9EBF90AE0}"/>
    <cellStyle name="Percent 7" xfId="6019" xr:uid="{653C5F04-E002-4566-ABE2-2442A57E0F50}"/>
    <cellStyle name="Percent 8" xfId="6025" xr:uid="{8BADB278-D143-45F2-BC4A-532139DCBABC}"/>
    <cellStyle name="Percent 9" xfId="6033" xr:uid="{C1894B9D-E455-4EBA-BAC8-29C5BD6ADBAC}"/>
    <cellStyle name="표준_해외점포 인원현황 2010.01(수정)" xfId="26" xr:uid="{00000000-0005-0000-0000-00000C060000}"/>
  </cellStyles>
  <dxfs count="8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D7E4BD"/>
      <rgbColor rgb="00C00000"/>
      <rgbColor rgb="00008000"/>
      <rgbColor rgb="00000080"/>
      <rgbColor rgb="00C3D69B"/>
      <rgbColor rgb="00800080"/>
      <rgbColor rgb="0000B0F0"/>
      <rgbColor rgb="00BFBFBF"/>
      <rgbColor rgb="00808080"/>
      <rgbColor rgb="00C4BD97"/>
      <rgbColor rgb="00C0504D"/>
      <rgbColor rgb="00FFFFCC"/>
      <rgbColor rgb="00CCFFFF"/>
      <rgbColor rgb="00660066"/>
      <rgbColor rgb="00FCD5B5"/>
      <rgbColor rgb="000066CC"/>
      <rgbColor rgb="00D9D9D9"/>
      <rgbColor rgb="00000080"/>
      <rgbColor rgb="00FF00FF"/>
      <rgbColor rgb="00FFFF66"/>
      <rgbColor rgb="00F2F2F2"/>
      <rgbColor rgb="00800080"/>
      <rgbColor rgb="00800000"/>
      <rgbColor rgb="00008080"/>
      <rgbColor rgb="000000FF"/>
      <rgbColor rgb="0000CCFF"/>
      <rgbColor rgb="00DBEEF4"/>
      <rgbColor rgb="00CCFFCC"/>
      <rgbColor rgb="00FFFF99"/>
      <rgbColor rgb="0095B3D7"/>
      <rgbColor rgb="00FFCCFF"/>
      <rgbColor rgb="00B3A2C7"/>
      <rgbColor rgb="00FAC090"/>
      <rgbColor rgb="004F81BD"/>
      <rgbColor rgb="004BACC6"/>
      <rgbColor rgb="0092D050"/>
      <rgbColor rgb="00FFC000"/>
      <rgbColor rgb="00F79646"/>
      <rgbColor rgb="00DDD9C3"/>
      <rgbColor rgb="008064A2"/>
      <rgbColor rgb="00A6A6A6"/>
      <rgbColor rgb="00003366"/>
      <rgbColor rgb="0000B050"/>
      <rgbColor rgb="00003300"/>
      <rgbColor rgb="00333300"/>
      <rgbColor rgb="00993300"/>
      <rgbColor rgb="00993366"/>
      <rgbColor rgb="000033CC"/>
      <rgbColor rgb="00333333"/>
    </indexedColors>
    <mruColors>
      <color rgb="FFFF0066"/>
      <color rgb="FFFF3399"/>
      <color rgb="FF00FFFF"/>
      <color rgb="FFFF99FF"/>
      <color rgb="FFFF66FF"/>
      <color rgb="FFFF33CC"/>
      <color rgb="FFFFFFFF"/>
      <color rgb="FFCCFFCC"/>
      <color rgb="FF9900FF"/>
      <color rgb="FFB9FC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29" Type="http://schemas.openxmlformats.org/officeDocument/2006/relationships/externalLink" Target="externalLinks/externalLink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LOGISTICS/4.%20CV/5.%20LUONG/LUONG%20HANG%20KY/THANG%204/KY%201/bcc%20thang%204/Users/DELL/Desktop/CONG%20KY%201.1.2014/NAM%202014/THANG%2001/LUONG%20DT%20KY%201.1/B&#7843;ng%20truy%20l&#297;nh%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54980;&#45768;/&#51064;&#46020;&#45348;&#49884;&#50500;/&#50577;&#47749;&#54616;/b%20team/add/Book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NHAN%20SU/CHE%20DO%20CHINH%20SACH/BANG%20LUONG/Luong%20VPKVNB/LUONG%202012/phieu%20luong%202012/Tr&#432;&#417;ng%20Hoang%20Chuong%20-%20Bang%20TT%20tien%20luong%20&amp;%20thuong%20%20(01.201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VINH%20CHUYEN%20DUNG/VINH%20HOC%20HOI/mau%20hoc%20ho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TRANG/Payroll/2018/Feb/data%20sale%20cashier%200102%20to%2015022018%20pv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haco-my.sharepoint.com/THUY18032016/PHUONG%20THUY/19.%20Salary/2016/03.2016/Payroll%20-%20March%202016%20-Master%20-%20Stor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USER.DESKTOP-8TIL3QL/Downloads/INVOICE1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2016/4-DANH%20GIA%20NHAN%20SU/1-DANH%20GIA%20NHAN%20SU%20KY%20CUOI%20NAM%202015/CHUONG%20TRINH%20DANH%20GIA/DANH%20GIA/TONG%20HOP/TAI/1-%20NM%20XE%20TAI%20-%20TONG%20HOP%20DANH%20GIA%202015%20-%20V1-%201501201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TRANG/Luong%2011/TH&#212;NG%20TIN%20CHUY&#7870;N%20&#272;I%20PPCENTER%20T11%20FINAL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haco-my.sharepoint.com/PHUONG%20THUY/CHI%20CAO%20HANG/MasterList%20HR%20EMmart%20thu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gram%20Files/HTKK320/InterfaceTemplates/excel/Bang_Ke_05_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Vinh/Luong/2016/SALARY/NAM%202016/QUYET%20TOAN%20THUE%202016/Bang_Ke_05_3_QTT-GIACANH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MINA/LUONG/STORE/2022/THANG%201/HRSW%20Payroll%20Store%20Dec%2012.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emart12/AppData/Roaming/Skype/My%20Skype%20Received%20Files/Payroll-%20SEPTEMBER%20%202015-Master%20-%20Cop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QUYNH%20NHU_THACO/2.%20THUE/Dang%20ky%20NPT/Bang_Ke_16TH_DangKyCapMa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welcome/Desktop/Thue%20TNCN200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DUNG/AppData/Local/Microsoft/Windows/INetCache/Content.Outlook/7CKUP8AG/Documents%20and%20Settings/Administrator/Desktop/Copy%20of%20Th&#225;ng%2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User/Desktop/GUI%20NGAN%20HANG%20KY%202%20THANG%2006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MINA/LUONG/STORE/2022/THANG%201/Payroll%20-%20Store%2012.%202021final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duyen/Downloads/PVT%20-%20DIEMDANH%20FT%20T04.ods" TargetMode="External"/><Relationship Id="rId1" Type="http://schemas.openxmlformats.org/officeDocument/2006/relationships/externalLinkPath" Target="file:///C:/Users/duyen/Downloads/PVT%20-%20DIEMDANH%20FT%20T04.od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 tinh truy linh OK"/>
      <sheetName val="Bảng truy lĩnh "/>
      <sheetName val="tham chieu"/>
      <sheetName val="Bảng truy lĩnh .xlsx"/>
      <sheetName val="LUONG"/>
      <sheetName val="KETQUA"/>
      <sheetName val="INDEX"/>
      <sheetName val="data"/>
      <sheetName val="HTCD"/>
      <sheetName val="Bảng%20truy%20lĩnh%20.xlsx"/>
      <sheetName val="Bang_tinh_truy_linh_OK"/>
      <sheetName val="Bảng_truy_lĩnh_"/>
      <sheetName val="tham_chieu"/>
      <sheetName val="Bảng_truy_lĩnh__xlsx"/>
      <sheetName val="Bảng%20truy%20lĩnh%20_xlsx"/>
    </sheetNames>
    <definedNames>
      <definedName name="_____KDX3" refersTo="#REF!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Sheet1"/>
      <sheetName val="Sheet2"/>
      <sheetName val="Sheet3"/>
      <sheetName val="Book3"/>
      <sheetName val="9899DISC"/>
      <sheetName val="Sheet18"/>
      <sheetName val="Sheet5"/>
      <sheetName val="2.대외공문"/>
      <sheetName val="현금경비중역"/>
      <sheetName val="기안"/>
      <sheetName val="총괄표"/>
      <sheetName val="full (2)"/>
      <sheetName val="계정"/>
      <sheetName val="진급관련DATA"/>
      <sheetName val="계열사현황종합"/>
      <sheetName val="전부인쇄"/>
      <sheetName val="2월"/>
      <sheetName val="Macro2"/>
      <sheetName val="major"/>
      <sheetName val="업체명"/>
      <sheetName val="일괄인쇄"/>
      <sheetName val="RD제품개발투자비(매가)"/>
      <sheetName val="주행"/>
      <sheetName val="전산품의"/>
      <sheetName val="●현황"/>
      <sheetName val="●목차"/>
      <sheetName val="유첨#2"/>
      <sheetName val="Macro1"/>
      <sheetName val="차종별"/>
      <sheetName val="THEME CODE"/>
      <sheetName val="CR CODE"/>
      <sheetName val="부서CODE"/>
      <sheetName val="OPT손익 내수"/>
      <sheetName val="OPT손익 수출"/>
      <sheetName val="A-A"/>
      <sheetName val="베네"/>
      <sheetName val="BASE"/>
      <sheetName val="외주현황.wq1"/>
      <sheetName val="M1master"/>
      <sheetName val="bang tien luong"/>
      <sheetName val=""/>
      <sheetName val="MA XE"/>
      <sheetName val="Ho so"/>
      <sheetName val="Danh sach Hàn thùng"/>
      <sheetName val="BND"/>
      <sheetName val="FUEL FILLER"/>
      <sheetName val="N.LIEU-B.HIEM"/>
      <sheetName val="2_대외공문"/>
      <sheetName val="full_(2)"/>
      <sheetName val="THEME_CODE"/>
      <sheetName val="CR_CODE"/>
      <sheetName val="OPT손익_내수"/>
      <sheetName val="OPT손익_수출"/>
      <sheetName val="외주현황_wq1"/>
      <sheetName val="bang_tien_luong"/>
      <sheetName val="MA_XE"/>
      <sheetName val="Ho_so"/>
      <sheetName val="Danh_sach_Hàn_thùng"/>
      <sheetName val="FUEL_FILLER"/>
      <sheetName val="CS"/>
      <sheetName val="BaoCaoGiaoBan"/>
      <sheetName val="THONG SO VTTC"/>
      <sheetName val="HO TRO"/>
      <sheetName val="Danh muc du an - Khach hang"/>
      <sheetName val="BM01-Summary"/>
      <sheetName val="2_대외공문1"/>
      <sheetName val="full_(2)1"/>
      <sheetName val="THEME_CODE1"/>
      <sheetName val="CR_CODE1"/>
      <sheetName val="OPT손익_내수1"/>
      <sheetName val="OPT손익_수출1"/>
      <sheetName val="외주현황_wq11"/>
      <sheetName val="bang_tien_luong1"/>
      <sheetName val="MA_XE1"/>
      <sheetName val="Ho_so1"/>
      <sheetName val="Danh_sach_Hàn_thùng1"/>
      <sheetName val="FUEL_FILLER1"/>
      <sheetName val="N_LIEU-B_HIEM"/>
      <sheetName val="DM"/>
      <sheetName val="Bang tinh truy linh OK"/>
      <sheetName val="Bảng truy lĩnh "/>
      <sheetName val="UOM"/>
      <sheetName val="CATEGORY "/>
      <sheetName val="LOOKUP"/>
      <sheetName val="2001预提费用"/>
      <sheetName val="2002年预提费用"/>
      <sheetName val="2003预提费用"/>
      <sheetName val="vl"/>
      <sheetName val="U2-2"/>
      <sheetName val="acs"/>
      <sheetName val="A3|2"/>
      <sheetName val="Disclosure"/>
      <sheetName val="FF-1"/>
      <sheetName val="_001年其他业务利润"/>
      <sheetName val="_002年其他业务利润"/>
      <sheetName val="_003年其他业务利润"/>
      <sheetName val="_2U03营业费用"/>
      <sheetName val="2001年营业费用"/>
      <sheetName val="K1-1 Addn"/>
      <sheetName val="U101 P&amp;L"/>
      <sheetName val="details"/>
      <sheetName val="client"/>
      <sheetName val="P.1"/>
      <sheetName val="N.1"/>
      <sheetName val="M.1"/>
      <sheetName val="BARRELS"/>
      <sheetName val="Y100"/>
      <sheetName val="Y110"/>
      <sheetName val="Y200"/>
      <sheetName val="Y210"/>
      <sheetName val="JobDetails"/>
      <sheetName val="A3-100(revised)"/>
      <sheetName val="U"/>
      <sheetName val="252"/>
      <sheetName val="A301 (2)"/>
      <sheetName val="G101"/>
      <sheetName val="G201"/>
      <sheetName val="J101"/>
      <sheetName val="X-fsml BS"/>
      <sheetName val="X-fsml PL"/>
      <sheetName val="X-HK biscuit PL"/>
      <sheetName val="X-HK biscuit BS"/>
      <sheetName val="X-HK biscuit roll"/>
      <sheetName val="A30x - PRC_BS"/>
      <sheetName val="A31x - PRC_PL"/>
      <sheetName val="A301 Yamauchi BS"/>
      <sheetName val="A311 Yamauchi PL"/>
      <sheetName val="A321 Yamauchi roll"/>
      <sheetName val="A302 FSCB BS"/>
      <sheetName val="A312 FSCB PL"/>
      <sheetName val="A322 FSCB roll"/>
      <sheetName val="A303 GD FS BS "/>
      <sheetName val="A313 GD GS PL"/>
      <sheetName val="A323 GD roll"/>
      <sheetName val="A304 Shantou Park BS"/>
      <sheetName val="A314 Shantou Park PL"/>
      <sheetName val="A324 Shantou Park roll"/>
      <sheetName val="A305 FS Shantou BS"/>
      <sheetName val="A315 FS Shantou PL"/>
      <sheetName val="A325 FS Shantou roll"/>
      <sheetName val="A306 Tohato SZ BS"/>
      <sheetName val="A316 Tohato SZ PL"/>
      <sheetName val="A326 Tohato SZ roll"/>
      <sheetName val="A307 FS Trading BS"/>
      <sheetName val="A317 FS Trading PL"/>
      <sheetName val="A327 FS Trading roll"/>
      <sheetName val="A308 SYZ BS"/>
      <sheetName val="A318 SYZ PL"/>
      <sheetName val="A328 SYZ roll"/>
      <sheetName val="A309 Kanro FS BS"/>
      <sheetName val="A319 Kanro FS PL"/>
      <sheetName val="A329 Kanro FS roll"/>
      <sheetName val="A3010 Li Fook BS"/>
      <sheetName val="A3110 Li Fook PL"/>
      <sheetName val="A3210 Li Fook roll"/>
      <sheetName val="A3011 Kanro Shantou BS"/>
      <sheetName val="A3111 Kanro Shantou PL"/>
      <sheetName val="A3211 Kanro Shantou roll"/>
      <sheetName val="A3012 Duo Wei BS"/>
      <sheetName val="A3112 Duo Wei PL"/>
      <sheetName val="A3212 Duo Wei roll"/>
      <sheetName val="A3212.1 Rolled PL"/>
      <sheetName val="A3013 SZ Matchless BS"/>
      <sheetName val="A3113 SZ Matchless PL"/>
      <sheetName val="A3213 SZ Matchless FS roll"/>
      <sheetName val="A3014 Sushi Pro BS"/>
      <sheetName val="A3114 Sushi Pro PL"/>
      <sheetName val="A3214 Sushi Pro roll"/>
      <sheetName val="A3018 KTC BS"/>
      <sheetName val="A3118 KTC PL"/>
      <sheetName val="A3019 Shantou JPI BS"/>
      <sheetName val="A3119 Shantou JPI PL"/>
      <sheetName val="A3219 Shantou JPI roll"/>
      <sheetName val="A3015 Tohato FS BS"/>
      <sheetName val="A3115 Tohato FS PL"/>
      <sheetName val="A3215 Tohato FS roll"/>
      <sheetName val="A3016 Matchless HK BS"/>
      <sheetName val="A3116 Matchless HK PL"/>
      <sheetName val="A3216 Matchless HK roll"/>
      <sheetName val="A3017 Pop BS"/>
      <sheetName val="A3117 Pop PL"/>
      <sheetName val="A3217 Pop roll"/>
      <sheetName val="ADM_HARIAN"/>
      <sheetName val="REKAP JML TBK &amp; BIAYA "/>
      <sheetName val="应付帐款"/>
      <sheetName val="集团本部-现流表  "/>
      <sheetName val="集团本部-补充表   "/>
      <sheetName val="本部"/>
      <sheetName val="#REF!"/>
      <sheetName val="CF"/>
      <sheetName val="Energy(update)"/>
      <sheetName val="INFO"/>
      <sheetName val="B"/>
      <sheetName val="FF1 COC"/>
      <sheetName val="Reasonableness test"/>
      <sheetName val="TB Worksheet"/>
      <sheetName val="Data"/>
      <sheetName val="M_Maincomp"/>
      <sheetName val="100.1"/>
      <sheetName val="MainComp"/>
      <sheetName val="on_x0000_ꖊ_x0000__x0001__x0003_Tue_x0000_ꖨ_x0000__x0001__x0003_Wed_x0000_ꗆ_x0000__x0001__x0003_Thu_x0000_ꗤ_x0000__x0001__x0003_"/>
      <sheetName val="June`00-May`2001"/>
      <sheetName val="1-OBJ98 "/>
      <sheetName val="JAN"/>
      <sheetName val="ACTUAL"/>
      <sheetName val="BUDGET"/>
      <sheetName val="CONTRN BY DISTRICT"/>
      <sheetName val="SALES"/>
      <sheetName val="VISION 2000"/>
      <sheetName val="20-EXP"/>
      <sheetName val="EXP"/>
      <sheetName val="CAPEX2001"/>
      <sheetName val="2002"/>
      <sheetName val="2003"/>
      <sheetName val="DEPRECIATION"/>
      <sheetName val="FIN"/>
      <sheetName val="16-RAGM"/>
      <sheetName val="DATA SHEET"/>
      <sheetName val="Forc - Metric Tonnes"/>
      <sheetName val="1999HDCN"/>
      <sheetName val="Forc - Unfaced Sales Kd`000"/>
      <sheetName val="21-EXP"/>
      <sheetName val="5-FIN(EXISTING)"/>
      <sheetName val="byfunction"/>
      <sheetName val="bydivision"/>
      <sheetName val="ROYALTY-m"/>
      <sheetName val="5-FIN"/>
      <sheetName val="Quantity MT - ACTUAL"/>
      <sheetName val="PROFIT BY PRODUCT"/>
      <sheetName val="Mth Mar Act`00 vs Bud`00"/>
      <sheetName val="Ytd Mar Act`00 vs Bud`00"/>
      <sheetName val="Mth Mar Act`00 vs Lyr`99"/>
      <sheetName val="Ytd Mar Act`00 vs Lyr`99"/>
      <sheetName val="FACED SAMES - ACTUAM"/>
      <sheetName val="UNFACED SAMES - ACTUAM"/>
      <sheetName val="TOTAL RM COST"/>
      <sheetName val="PRODN"/>
      <sheetName val="EXP LINE"/>
      <sheetName val="RAGM-16"/>
      <sheetName val="Flash"/>
      <sheetName val="TEL-RPL SALES"/>
      <sheetName val="Sheet1 (2)"/>
      <sheetName val="RM-USAGE MTD DEC`00"/>
      <sheetName val="SUMMARY"/>
      <sheetName val="PROD"/>
      <sheetName val="TEL LINE INCENTIVES"/>
      <sheetName val="DCF &amp; RESULTS"/>
      <sheetName val="ASSUMPTIONS"/>
      <sheetName val="Inputs &amp; Summary Output"/>
      <sheetName val="Broad Refresher Model"/>
      <sheetName val="1-OBJ98_"/>
      <sheetName val="CONTRN_BY_DISTRICT"/>
      <sheetName val="VISION_2000"/>
      <sheetName val="DATA_SHEET"/>
      <sheetName val="Forc_-_Metric_Tonnes"/>
      <sheetName val="Forc_-_Unfaced_Sales_Kd`000"/>
      <sheetName val="Quantity_MT_-_ACTUAL"/>
      <sheetName val="PROFIT_BY_PRODUCT"/>
      <sheetName val="Mth_Mar_Act`00_vs_Bud`00"/>
      <sheetName val="Ytd_Mar_Act`00_vs_Bud`00"/>
      <sheetName val="Mth_Mar_Act`00_vs_Lyr`99"/>
      <sheetName val="Ytd_Mar_Act`00_vs_Lyr`99"/>
      <sheetName val="FACED_SAMES_-_ACTUAM"/>
      <sheetName val="UNFACED_SAMES_-_ACTUAM"/>
      <sheetName val="TOTAL_RM_COST"/>
      <sheetName val="EXP_LINE"/>
      <sheetName val="TEL-RPL_SALES"/>
      <sheetName val="Sheet1_(2)"/>
      <sheetName val="RM-USAGE_MTD_DEC`00"/>
      <sheetName val="TEL_LINE_INCENTIVES"/>
      <sheetName val="DCF_&amp;_RESULTS"/>
      <sheetName val="Inputs_&amp;_Summary_Output"/>
      <sheetName val="Broad_Refresher_Model"/>
      <sheetName val="Budget Output"/>
      <sheetName val="FORM7"/>
      <sheetName val="CD"/>
      <sheetName val="團綜理賠統計表-九月份"/>
      <sheetName val="費率"/>
      <sheetName val="K1 "/>
      <sheetName val="O1"/>
      <sheetName val="FF-2"/>
      <sheetName val="cashflowcomp"/>
      <sheetName val="D"/>
      <sheetName val="0110"/>
      <sheetName val="CFlow2004 (2)"/>
      <sheetName val="FF-3"/>
      <sheetName val="Prepayment list"/>
      <sheetName val="Input"/>
      <sheetName val="印(長投公開資訊統計表)"/>
      <sheetName val="請輸入(子公司自結總表元)"/>
      <sheetName val="科子目"/>
      <sheetName val="資產負債表"/>
      <sheetName val="A"/>
      <sheetName val="PxP-CP"/>
      <sheetName val="ForPreSAM"/>
      <sheetName val="XL4Poppy"/>
      <sheetName val="DM SAN PHAM"/>
      <sheetName val="2_대외공문2"/>
      <sheetName val="full_(2)2"/>
      <sheetName val="THEME_CODE2"/>
      <sheetName val="CR_CODE2"/>
      <sheetName val="OPT손익_내수2"/>
      <sheetName val="OPT손익_수출2"/>
      <sheetName val="외주현황_wq12"/>
      <sheetName val="bang_tien_luong2"/>
      <sheetName val="MA_XE2"/>
      <sheetName val="Ho_so2"/>
      <sheetName val="Danh_sach_Hàn_thùng2"/>
      <sheetName val="FUEL_FILLER2"/>
      <sheetName val="N_LIEU-B_HIEM1"/>
      <sheetName val="THONG_SO_VTTC"/>
      <sheetName val="HO_TRO"/>
      <sheetName val="Danh_muc_du_an_-_Khach_hang"/>
      <sheetName val="Bang_tinh_truy_linh_OK"/>
      <sheetName val="Bảng_truy_lĩnh_"/>
      <sheetName val="CATEGORY_"/>
      <sheetName val="K1-1_Addn"/>
      <sheetName val="U101_P&amp;L"/>
      <sheetName val="P_1"/>
      <sheetName val="N_1"/>
      <sheetName val="M_1"/>
      <sheetName val="A301_(2)"/>
      <sheetName val="X-fsml_BS"/>
      <sheetName val="X-fsml_PL"/>
      <sheetName val="X-HK_biscuit_PL"/>
      <sheetName val="X-HK_biscuit_BS"/>
      <sheetName val="X-HK_biscuit_roll"/>
      <sheetName val="A30x_-_PRC_BS"/>
      <sheetName val="A31x_-_PRC_PL"/>
      <sheetName val="A301_Yamauchi_BS"/>
      <sheetName val="A311_Yamauchi_PL"/>
      <sheetName val="A321_Yamauchi_roll"/>
      <sheetName val="A302_FSCB_BS"/>
      <sheetName val="A312_FSCB_PL"/>
      <sheetName val="A322_FSCB_roll"/>
      <sheetName val="A303_GD_FS_BS_"/>
      <sheetName val="A313_GD_GS_PL"/>
      <sheetName val="A323_GD_roll"/>
      <sheetName val="A304_Shantou_Park_BS"/>
      <sheetName val="A314_Shantou_Park_PL"/>
      <sheetName val="A324_Shantou_Park_roll"/>
      <sheetName val="A305_FS_Shantou_BS"/>
      <sheetName val="A315_FS_Shantou_PL"/>
      <sheetName val="A325_FS_Shantou_roll"/>
      <sheetName val="A306_Tohato_SZ_BS"/>
      <sheetName val="A316_Tohato_SZ_PL"/>
      <sheetName val="A326_Tohato_SZ_roll"/>
      <sheetName val="A307_FS_Trading_BS"/>
      <sheetName val="A317_FS_Trading_PL"/>
      <sheetName val="A327_FS_Trading_roll"/>
      <sheetName val="A308_SYZ_BS"/>
      <sheetName val="A318_SYZ_PL"/>
      <sheetName val="A328_SYZ_roll"/>
      <sheetName val="A309_Kanro_FS_BS"/>
      <sheetName val="A319_Kanro_FS_PL"/>
      <sheetName val="A329_Kanro_FS_roll"/>
      <sheetName val="A3010_Li_Fook_BS"/>
      <sheetName val="A3110_Li_Fook_PL"/>
      <sheetName val="A3210_Li_Fook_roll"/>
      <sheetName val="A3011_Kanro_Shantou_BS"/>
      <sheetName val="A3111_Kanro_Shantou_PL"/>
      <sheetName val="A3211_Kanro_Shantou_roll"/>
      <sheetName val="A3012_Duo_Wei_BS"/>
      <sheetName val="A3112_Duo_Wei_PL"/>
      <sheetName val="A3212_Duo_Wei_roll"/>
      <sheetName val="A3212_1_Rolled_PL"/>
      <sheetName val="A3013_SZ_Matchless_BS"/>
      <sheetName val="A3113_SZ_Matchless_PL"/>
      <sheetName val="A3213_SZ_Matchless_FS_roll"/>
      <sheetName val="A3014_Sushi_Pro_BS"/>
      <sheetName val="A3114_Sushi_Pro_PL"/>
      <sheetName val="A3214_Sushi_Pro_roll"/>
      <sheetName val="A3018_KTC_BS"/>
      <sheetName val="A3118_KTC_PL"/>
      <sheetName val="A3019_Shantou_JPI_BS"/>
      <sheetName val="A3119_Shantou_JPI_PL"/>
      <sheetName val="A3219_Shantou_JPI_roll"/>
      <sheetName val="A3015_Tohato_FS_BS"/>
      <sheetName val="A3115_Tohato_FS_PL"/>
      <sheetName val="A3215_Tohato_FS_roll"/>
      <sheetName val="A3016_Matchless_HK_BS"/>
      <sheetName val="A3116_Matchless_HK_PL"/>
      <sheetName val="A3216_Matchless_HK_roll"/>
      <sheetName val="A3017_Pop_BS"/>
      <sheetName val="A3117_Pop_PL"/>
      <sheetName val="A3217_Pop_roll"/>
      <sheetName val="REKAP_JML_TBK_&amp;_BIAYA_"/>
      <sheetName val="集团本部-现流表__"/>
      <sheetName val="集团本部-补充表___"/>
      <sheetName val="FF1_COC"/>
      <sheetName val="Reasonableness_test"/>
      <sheetName val="TB_Worksheet"/>
      <sheetName val="100_1"/>
      <sheetName val="1-OBJ98_1"/>
      <sheetName val="CONTRN_BY_DISTRICT1"/>
      <sheetName val="VISION_20001"/>
      <sheetName val="DATA_SHEET1"/>
      <sheetName val="Forc_-_Metric_Tonnes1"/>
      <sheetName val="Forc_-_Unfaced_Sales_Kd`0001"/>
      <sheetName val="Quantity_MT_-_ACTUAL1"/>
      <sheetName val="PROFIT_BY_PRODUCT1"/>
      <sheetName val="Mth_Mar_Act`00_vs_Bud`001"/>
      <sheetName val="Ytd_Mar_Act`00_vs_Bud`001"/>
      <sheetName val="Mth_Mar_Act`00_vs_Lyr`991"/>
      <sheetName val="Ytd_Mar_Act`00_vs_Lyr`991"/>
      <sheetName val="FACED_SAMES_-_ACTUAM1"/>
      <sheetName val="UNFACED_SAMES_-_ACTUAM1"/>
      <sheetName val="TOTAL_RM_COST1"/>
      <sheetName val="EXP_LINE1"/>
      <sheetName val="TEL-RPL_SALES1"/>
      <sheetName val="Sheet1_(2)1"/>
      <sheetName val="RM-USAGE_MTD_DEC`001"/>
      <sheetName val="TEL_LINE_INCENTIVES1"/>
      <sheetName val="DCF_&amp;_RESULTS1"/>
      <sheetName val="Inputs_&amp;_Summary_Output1"/>
      <sheetName val="Broad_Refresher_Model1"/>
      <sheetName val="Budget_Output"/>
      <sheetName val="K1_"/>
      <sheetName val="CFlow2004_(2)"/>
      <sheetName val="Prepayment_list"/>
      <sheetName val="DM_SAN_PHAM"/>
      <sheetName val="on"/>
      <sheetName val="RAB AR&amp;STR"/>
      <sheetName val="danh muc"/>
      <sheetName val="MÃ"/>
      <sheetName val="NGUỒN"/>
      <sheetName val="du lieu tham chieu"/>
      <sheetName val="HD"/>
      <sheetName val="2_대외공문3"/>
      <sheetName val="full_(2)3"/>
      <sheetName val="THEME_CODE3"/>
      <sheetName val="CR_CODE3"/>
      <sheetName val="OPT손익_내수3"/>
      <sheetName val="OPT손익_수출3"/>
      <sheetName val="외주현황_wq13"/>
      <sheetName val="bang_tien_luong3"/>
      <sheetName val="MA_XE3"/>
      <sheetName val="Ho_so3"/>
      <sheetName val="Danh_sach_Hàn_thùng3"/>
      <sheetName val="FUEL_FILLER3"/>
      <sheetName val="N_LIEU-B_HIEM2"/>
      <sheetName val="THONG_SO_VTTC1"/>
      <sheetName val="HO_TRO1"/>
      <sheetName val="Danh_muc_du_an_-_Khach_hang1"/>
      <sheetName val="Bang_tinh_truy_linh_OK1"/>
      <sheetName val="Bảng_truy_lĩnh_1"/>
      <sheetName val="CATEGORY_1"/>
      <sheetName val="K1-1_Addn1"/>
      <sheetName val="U101_P&amp;L1"/>
      <sheetName val="P_11"/>
      <sheetName val="N_11"/>
      <sheetName val="M_11"/>
      <sheetName val="A301_(2)1"/>
      <sheetName val="X-fsml_BS1"/>
      <sheetName val="X-fsml_PL1"/>
      <sheetName val="X-HK_biscuit_PL1"/>
      <sheetName val="X-HK_biscuit_BS1"/>
      <sheetName val="X-HK_biscuit_roll1"/>
      <sheetName val="A30x_-_PRC_BS1"/>
      <sheetName val="A31x_-_PRC_PL1"/>
      <sheetName val="A301_Yamauchi_BS1"/>
      <sheetName val="A311_Yamauchi_PL1"/>
      <sheetName val="A321_Yamauchi_roll1"/>
      <sheetName val="A302_FSCB_BS1"/>
      <sheetName val="A312_FSCB_PL1"/>
      <sheetName val="A322_FSCB_roll1"/>
      <sheetName val="A303_GD_FS_BS_1"/>
      <sheetName val="A313_GD_GS_PL1"/>
      <sheetName val="A323_GD_roll1"/>
      <sheetName val="A304_Shantou_Park_BS1"/>
      <sheetName val="A314_Shantou_Park_PL1"/>
      <sheetName val="A324_Shantou_Park_roll1"/>
      <sheetName val="A305_FS_Shantou_BS1"/>
      <sheetName val="A315_FS_Shantou_PL1"/>
      <sheetName val="A325_FS_Shantou_roll1"/>
      <sheetName val="A306_Tohato_SZ_BS1"/>
      <sheetName val="A316_Tohato_SZ_PL1"/>
      <sheetName val="A326_Tohato_SZ_roll1"/>
      <sheetName val="A307_FS_Trading_BS1"/>
      <sheetName val="A317_FS_Trading_PL1"/>
      <sheetName val="A327_FS_Trading_roll1"/>
      <sheetName val="A308_SYZ_BS1"/>
      <sheetName val="A318_SYZ_PL1"/>
      <sheetName val="A328_SYZ_roll1"/>
      <sheetName val="A309_Kanro_FS_BS1"/>
      <sheetName val="A319_Kanro_FS_PL1"/>
      <sheetName val="A329_Kanro_FS_roll1"/>
      <sheetName val="A3010_Li_Fook_BS1"/>
      <sheetName val="A3110_Li_Fook_PL1"/>
      <sheetName val="INDEX"/>
      <sheetName val="BUS"/>
      <sheetName val="LOAIXE"/>
      <sheetName val="Nguon PT xetai"/>
      <sheetName val="NGUON"/>
      <sheetName val="Nguon PT xe Ben"/>
      <sheetName val="Bien so"/>
      <sheetName val="dongia (2)"/>
      <sheetName val="A3210_Li_Fook_roll1"/>
      <sheetName val="A3011_Kanro_Shantou_BS1"/>
      <sheetName val="A3111_Kanro_Shantou_PL1"/>
      <sheetName val="A3211_Kanro_Shantou_roll1"/>
      <sheetName val="A3012_Duo_Wei_BS1"/>
      <sheetName val="A3112_Duo_Wei_PL1"/>
      <sheetName val="A3212_Duo_Wei_roll1"/>
      <sheetName val="A3212_1_Rolled_PL1"/>
      <sheetName val="A3013_SZ_Matchless_BS1"/>
      <sheetName val="A3113_SZ_Matchless_PL1"/>
      <sheetName val="A3213_SZ_Matchless_FS_roll1"/>
      <sheetName val="A3014_Sushi_Pro_BS1"/>
      <sheetName val="A3114_Sushi_Pro_PL1"/>
      <sheetName val="A3214_Sushi_Pro_roll1"/>
      <sheetName val="A3018_KTC_BS1"/>
      <sheetName val="A3118_KTC_PL1"/>
      <sheetName val="A3019_Shantou_JPI_BS1"/>
      <sheetName val="A3119_Shantou_JPI_PL1"/>
      <sheetName val="A3219_Shantou_JPI_roll1"/>
      <sheetName val="A3015_Tohato_FS_BS1"/>
      <sheetName val="A3115_Tohato_FS_PL1"/>
      <sheetName val="A3215_Tohato_FS_roll1"/>
      <sheetName val="A3016_Matchless_HK_BS1"/>
      <sheetName val="A3116_Matchless_HK_PL1"/>
      <sheetName val="A3216_Matchless_HK_roll1"/>
      <sheetName val="A3017_Pop_BS1"/>
      <sheetName val="A3117_Pop_PL1"/>
      <sheetName val="A3217_Pop_roll1"/>
      <sheetName val="REKAP_JML_TBK_&amp;_BIAYA_1"/>
      <sheetName val="集团本部-现流表__1"/>
      <sheetName val="集团本部-补充表___1"/>
      <sheetName val="FF1_COC1"/>
      <sheetName val="Reasonableness_test1"/>
      <sheetName val="TB_Worksheet1"/>
      <sheetName val="100_11"/>
      <sheetName val="1-OBJ98_2"/>
      <sheetName val="CONTRN_BY_DISTRICT2"/>
      <sheetName val="VISION_20002"/>
      <sheetName val="DATA_SHEET2"/>
      <sheetName val="Forc_-_Metric_Tonnes2"/>
      <sheetName val="Forc_-_Unfaced_Sales_Kd`0002"/>
      <sheetName val="Quantity_MT_-_ACTUAL2"/>
      <sheetName val="PROFIT_BY_PRODUCT2"/>
      <sheetName val="Mth_Mar_Act`00_vs_Bud`002"/>
      <sheetName val="Ytd_Mar_Act`00_vs_Bud`002"/>
      <sheetName val="Mth_Mar_Act`00_vs_Lyr`992"/>
      <sheetName val="Ytd_Mar_Act`00_vs_Lyr`992"/>
      <sheetName val="FACED_SAMES_-_ACTUAM2"/>
      <sheetName val="UNFACED_SAMES_-_ACTUAM2"/>
      <sheetName val="TOTAL_RM_COST2"/>
      <sheetName val="EXP_LINE2"/>
      <sheetName val="TEL-RPL_SALES2"/>
      <sheetName val="Sheet1_(2)2"/>
      <sheetName val="RM-USAGE_MTD_DEC`002"/>
      <sheetName val="TEL_LINE_INCENTIVES2"/>
      <sheetName val="DCF_&amp;_RESULTS2"/>
      <sheetName val="Inputs_&amp;_Summary_Output2"/>
      <sheetName val="Broad_Refresher_Model2"/>
      <sheetName val="Budget_Output1"/>
      <sheetName val="K1_1"/>
      <sheetName val="CFlow2004_(2)1"/>
      <sheetName val="Prepayment_list1"/>
      <sheetName val="DM_SAN_PHAM1"/>
      <sheetName val="du_lieu_tham_chieu"/>
      <sheetName val="danh_muc"/>
      <sheetName val="RAB_AR&amp;STR"/>
      <sheetName val="Danh mục"/>
      <sheetName val="CHI_TIET"/>
      <sheetName val="thu vien"/>
      <sheetName val="Danh_mục"/>
      <sheetName val="thu_vien"/>
      <sheetName val="VO KHUON"/>
      <sheetName val="DATA CHI PHI DONG KIEN"/>
      <sheetName val="Tháng 3"/>
      <sheetName val="負荷集計（断熱不燃）"/>
      <sheetName val="실행"/>
      <sheetName val="INNOVA"/>
      <sheetName val="MÃ XE"/>
      <sheetName val="Earthwork"/>
      <sheetName val="LTN"/>
      <sheetName val="CAUDIT"/>
      <sheetName val="không xóa"/>
      <sheetName val="KeyData"/>
      <sheetName val="KeyData."/>
      <sheetName val="IBASE"/>
      <sheetName val="tuychon"/>
      <sheetName val="Code"/>
      <sheetName val="TONG HOP"/>
      <sheetName val="0.HMCV-MAVT-MM"/>
      <sheetName val="노임단가"/>
      <sheetName val="MTO REV.2(ARMOR)"/>
      <sheetName val="M6A-208 Steering dust"/>
      <sheetName val="DMCP"/>
      <sheetName val="DMVT (2)"/>
      <sheetName val="GTD"/>
      <sheetName val="E-B.O.M (2)"/>
      <sheetName val="GIA VTC"/>
      <sheetName val="2_대외공문4"/>
      <sheetName val="full_(2)4"/>
      <sheetName val="THEME_CODE4"/>
      <sheetName val="CR_CODE4"/>
      <sheetName val="OPT손익_내수4"/>
      <sheetName val="OPT손익_수출4"/>
      <sheetName val="외주현황_wq14"/>
      <sheetName val="bang_tien_luong4"/>
      <sheetName val="MA_XE4"/>
      <sheetName val="Ho_so4"/>
      <sheetName val="Danh_sach_Hàn_thùng4"/>
      <sheetName val="FUEL_FILLER4"/>
      <sheetName val="N_LIEU-B_HIEM3"/>
      <sheetName val="THONG_SO_VTTC2"/>
      <sheetName val="HO_TRO2"/>
      <sheetName val="Danh_muc_du_an_-_Khach_hang2"/>
      <sheetName val="Bang_tinh_truy_linh_OK2"/>
      <sheetName val="Bảng_truy_lĩnh_2"/>
      <sheetName val="CATEGORY_2"/>
      <sheetName val="K1-1_Addn2"/>
      <sheetName val="U101_P&amp;L2"/>
      <sheetName val="P_12"/>
      <sheetName val="N_12"/>
      <sheetName val="M_12"/>
      <sheetName val="A301_(2)2"/>
      <sheetName val="X-fsml_BS2"/>
      <sheetName val="X-fsml_PL2"/>
      <sheetName val="X-HK_biscuit_PL2"/>
      <sheetName val="X-HK_biscuit_BS2"/>
      <sheetName val="X-HK_biscuit_roll2"/>
      <sheetName val="A30x_-_PRC_BS2"/>
      <sheetName val="A31x_-_PRC_PL2"/>
      <sheetName val="A301_Yamauchi_BS2"/>
      <sheetName val="A311_Yamauchi_PL2"/>
      <sheetName val="A321_Yamauchi_roll2"/>
      <sheetName val="A302_FSCB_BS2"/>
      <sheetName val="A312_FSCB_PL2"/>
      <sheetName val="A322_FSCB_roll2"/>
      <sheetName val="A303_GD_FS_BS_2"/>
      <sheetName val="A313_GD_GS_PL2"/>
      <sheetName val="A323_GD_roll2"/>
      <sheetName val="A304_Shantou_Park_BS2"/>
      <sheetName val="A314_Shantou_Park_PL2"/>
      <sheetName val="A324_Shantou_Park_roll2"/>
      <sheetName val="A305_FS_Shantou_BS2"/>
      <sheetName val="A315_FS_Shantou_PL2"/>
      <sheetName val="A325_FS_Shantou_roll2"/>
      <sheetName val="A306_Tohato_SZ_BS2"/>
      <sheetName val="A316_Tohato_SZ_PL2"/>
      <sheetName val="A326_Tohato_SZ_roll2"/>
      <sheetName val="A307_FS_Trading_BS2"/>
      <sheetName val="A317_FS_Trading_PL2"/>
      <sheetName val="A327_FS_Trading_roll2"/>
      <sheetName val="A308_SYZ_BS2"/>
      <sheetName val="A318_SYZ_PL2"/>
      <sheetName val="A328_SYZ_roll2"/>
      <sheetName val="A309_Kanro_FS_BS2"/>
      <sheetName val="A319_Kanro_FS_PL2"/>
      <sheetName val="A329_Kanro_FS_roll2"/>
      <sheetName val="A3010_Li_Fook_BS2"/>
      <sheetName val="A3110_Li_Fook_PL2"/>
      <sheetName val="A3210_Li_Fook_roll2"/>
      <sheetName val="A3011_Kanro_Shantou_BS2"/>
      <sheetName val="A3111_Kanro_Shantou_PL2"/>
      <sheetName val="A3211_Kanro_Shantou_roll2"/>
      <sheetName val="A3012_Duo_Wei_BS2"/>
      <sheetName val="A3112_Duo_Wei_PL2"/>
      <sheetName val="A3212_Duo_Wei_roll2"/>
      <sheetName val="A3212_1_Rolled_PL2"/>
      <sheetName val="A3013_SZ_Matchless_BS2"/>
      <sheetName val="A3113_SZ_Matchless_PL2"/>
      <sheetName val="A3213_SZ_Matchless_FS_roll2"/>
      <sheetName val="A3014_Sushi_Pro_BS2"/>
      <sheetName val="A3114_Sushi_Pro_PL2"/>
      <sheetName val="A3214_Sushi_Pro_roll2"/>
      <sheetName val="A3018_KTC_BS2"/>
      <sheetName val="A3118_KTC_PL2"/>
      <sheetName val="A3019_Shantou_JPI_BS2"/>
      <sheetName val="A3119_Shantou_JPI_PL2"/>
      <sheetName val="A3219_Shantou_JPI_roll2"/>
      <sheetName val="A3015_Tohato_FS_BS2"/>
      <sheetName val="A3115_Tohato_FS_PL2"/>
      <sheetName val="A3215_Tohato_FS_roll2"/>
      <sheetName val="A3016_Matchless_HK_BS2"/>
      <sheetName val="A3116_Matchless_HK_PL2"/>
      <sheetName val="A3216_Matchless_HK_roll2"/>
      <sheetName val="A3017_Pop_BS2"/>
      <sheetName val="A3117_Pop_PL2"/>
      <sheetName val="A3217_Pop_roll2"/>
      <sheetName val="REKAP_JML_TBK_&amp;_BIAYA_2"/>
      <sheetName val="集团本部-现流表__2"/>
      <sheetName val="集团本部-补充表___2"/>
      <sheetName val="FF1_COC2"/>
      <sheetName val="Reasonableness_test2"/>
      <sheetName val="TB_Worksheet2"/>
      <sheetName val="100_12"/>
      <sheetName val="1-OBJ98_3"/>
      <sheetName val="CONTRN_BY_DISTRICT3"/>
      <sheetName val="VISION_20003"/>
      <sheetName val="DATA_SHEET3"/>
      <sheetName val="Forc_-_Metric_Tonnes3"/>
      <sheetName val="Forc_-_Unfaced_Sales_Kd`0003"/>
      <sheetName val="Quantity_MT_-_ACTUAL3"/>
      <sheetName val="PROFIT_BY_PRODUCT3"/>
      <sheetName val="Mth_Mar_Act`00_vs_Bud`003"/>
      <sheetName val="Ytd_Mar_Act`00_vs_Bud`003"/>
      <sheetName val="Mth_Mar_Act`00_vs_Lyr`993"/>
      <sheetName val="Ytd_Mar_Act`00_vs_Lyr`993"/>
      <sheetName val="FACED_SAMES_-_ACTUAM3"/>
      <sheetName val="UNFACED_SAMES_-_ACTUAM3"/>
      <sheetName val="TOTAL_RM_COST3"/>
      <sheetName val="EXP_LINE3"/>
      <sheetName val="TEL-RPL_SALES3"/>
      <sheetName val="Sheet1_(2)3"/>
      <sheetName val="RM-USAGE_MTD_DEC`003"/>
      <sheetName val="TEL_LINE_INCENTIVES3"/>
      <sheetName val="DCF_&amp;_RESULTS3"/>
      <sheetName val="Inputs_&amp;_Summary_Output3"/>
      <sheetName val="Broad_Refresher_Model3"/>
      <sheetName val="Budget_Output2"/>
      <sheetName val="K1_2"/>
      <sheetName val="CFlow2004_(2)2"/>
      <sheetName val="Prepayment_list2"/>
      <sheetName val="DM_SAN_PHAM2"/>
      <sheetName val="RAB_AR&amp;STR1"/>
      <sheetName val="danh_muc1"/>
      <sheetName val="du_lieu_tham_chieu1"/>
      <sheetName val="Nguon_PT_xetai"/>
      <sheetName val="Nguon_PT_xe_Ben"/>
      <sheetName val="Bien_so"/>
      <sheetName val="dongia_(2)"/>
      <sheetName val="Danh_mục1"/>
      <sheetName val="thu_vien1"/>
      <sheetName val="VO_KHUON"/>
      <sheetName val="DATA_CHI_PHI_DONG_KIEN"/>
      <sheetName val="Tháng_3"/>
      <sheetName val="MÃ_XE"/>
      <sheetName val="không_xóa"/>
      <sheetName val="KeyData_"/>
      <sheetName val="TONG_HOP"/>
      <sheetName val="0_HMCV-MAVT-MM"/>
      <sheetName val="MTO_REV_2(ARMOR)"/>
      <sheetName val="M6A-208_Steering_dust"/>
      <sheetName val="DMVT_(2)"/>
      <sheetName val="E-B_O_M_(2)"/>
      <sheetName val="GIA_VT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38">
          <cell r="B38" t="str">
            <v xml:space="preserve"> ------------</v>
          </cell>
        </row>
      </sheetData>
      <sheetData sheetId="49">
        <row r="38">
          <cell r="B38" t="str">
            <v xml:space="preserve"> ------------</v>
          </cell>
        </row>
      </sheetData>
      <sheetData sheetId="50">
        <row r="38">
          <cell r="B38" t="str">
            <v xml:space="preserve"> ------------</v>
          </cell>
        </row>
      </sheetData>
      <sheetData sheetId="51">
        <row r="38">
          <cell r="B38" t="str">
            <v xml:space="preserve"> ------------</v>
          </cell>
        </row>
      </sheetData>
      <sheetData sheetId="52">
        <row r="38">
          <cell r="B38" t="str">
            <v xml:space="preserve"> ------------</v>
          </cell>
        </row>
      </sheetData>
      <sheetData sheetId="53">
        <row r="38">
          <cell r="B38" t="str">
            <v xml:space="preserve"> ------------</v>
          </cell>
        </row>
      </sheetData>
      <sheetData sheetId="54">
        <row r="38">
          <cell r="B38" t="str">
            <v xml:space="preserve"> ------------</v>
          </cell>
        </row>
      </sheetData>
      <sheetData sheetId="55">
        <row r="38">
          <cell r="B38" t="str">
            <v xml:space="preserve"> ------------</v>
          </cell>
        </row>
      </sheetData>
      <sheetData sheetId="56">
        <row r="38">
          <cell r="B38" t="str">
            <v xml:space="preserve"> ------------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38">
          <cell r="B38" t="str">
            <v xml:space="preserve"> ------------</v>
          </cell>
        </row>
      </sheetData>
      <sheetData sheetId="67">
        <row r="38">
          <cell r="B38" t="str">
            <v xml:space="preserve"> ------------</v>
          </cell>
        </row>
      </sheetData>
      <sheetData sheetId="68">
        <row r="38">
          <cell r="B38" t="str">
            <v xml:space="preserve"> ------------</v>
          </cell>
        </row>
      </sheetData>
      <sheetData sheetId="69">
        <row r="38">
          <cell r="B38" t="str">
            <v xml:space="preserve"> ------------</v>
          </cell>
        </row>
      </sheetData>
      <sheetData sheetId="70">
        <row r="38">
          <cell r="B38" t="str">
            <v xml:space="preserve"> ------------</v>
          </cell>
        </row>
      </sheetData>
      <sheetData sheetId="71">
        <row r="38">
          <cell r="B38" t="str">
            <v xml:space="preserve"> ------------</v>
          </cell>
        </row>
      </sheetData>
      <sheetData sheetId="72">
        <row r="38">
          <cell r="B38" t="str">
            <v xml:space="preserve"> ------------</v>
          </cell>
        </row>
      </sheetData>
      <sheetData sheetId="73">
        <row r="38">
          <cell r="B38" t="str">
            <v xml:space="preserve"> ------------</v>
          </cell>
        </row>
      </sheetData>
      <sheetData sheetId="74">
        <row r="38">
          <cell r="B38" t="str">
            <v xml:space="preserve"> ------------</v>
          </cell>
        </row>
      </sheetData>
      <sheetData sheetId="75">
        <row r="38">
          <cell r="B38" t="str">
            <v xml:space="preserve"> ------------</v>
          </cell>
        </row>
      </sheetData>
      <sheetData sheetId="76">
        <row r="38">
          <cell r="B38" t="str">
            <v xml:space="preserve"> ------------</v>
          </cell>
        </row>
      </sheetData>
      <sheetData sheetId="77">
        <row r="38">
          <cell r="B38" t="str">
            <v xml:space="preserve"> ------------</v>
          </cell>
        </row>
      </sheetData>
      <sheetData sheetId="78">
        <row r="38">
          <cell r="B38" t="str">
            <v xml:space="preserve"> ------------</v>
          </cell>
        </row>
      </sheetData>
      <sheetData sheetId="79" refreshError="1"/>
      <sheetData sheetId="80">
        <row r="38">
          <cell r="B38" t="str">
            <v xml:space="preserve"> ------------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>
        <row r="38">
          <cell r="B38" t="str">
            <v xml:space="preserve"> ------------</v>
          </cell>
        </row>
      </sheetData>
      <sheetData sheetId="86">
        <row r="38">
          <cell r="B38" t="str">
            <v xml:space="preserve"> ------------</v>
          </cell>
        </row>
      </sheetData>
      <sheetData sheetId="87">
        <row r="38">
          <cell r="B38" t="str">
            <v xml:space="preserve"> ------------</v>
          </cell>
        </row>
      </sheetData>
      <sheetData sheetId="88">
        <row r="38">
          <cell r="B38" t="str">
            <v xml:space="preserve"> ------------</v>
          </cell>
        </row>
      </sheetData>
      <sheetData sheetId="89">
        <row r="38">
          <cell r="B38" t="str">
            <v xml:space="preserve"> ------------</v>
          </cell>
        </row>
      </sheetData>
      <sheetData sheetId="90">
        <row r="38">
          <cell r="B38" t="str">
            <v xml:space="preserve"> ------------</v>
          </cell>
        </row>
      </sheetData>
      <sheetData sheetId="91">
        <row r="38">
          <cell r="B38" t="str">
            <v xml:space="preserve"> ------------</v>
          </cell>
        </row>
      </sheetData>
      <sheetData sheetId="92">
        <row r="38">
          <cell r="B38" t="str">
            <v xml:space="preserve"> ------------</v>
          </cell>
        </row>
      </sheetData>
      <sheetData sheetId="93">
        <row r="38">
          <cell r="B38" t="str">
            <v xml:space="preserve"> ------------</v>
          </cell>
        </row>
      </sheetData>
      <sheetData sheetId="94">
        <row r="38">
          <cell r="B38" t="str">
            <v xml:space="preserve"> ------------</v>
          </cell>
        </row>
      </sheetData>
      <sheetData sheetId="95">
        <row r="38">
          <cell r="B38" t="str">
            <v xml:space="preserve"> ------------</v>
          </cell>
        </row>
      </sheetData>
      <sheetData sheetId="96">
        <row r="38">
          <cell r="B38" t="str">
            <v xml:space="preserve"> ------------</v>
          </cell>
        </row>
      </sheetData>
      <sheetData sheetId="97">
        <row r="38">
          <cell r="B38" t="str">
            <v xml:space="preserve"> ------------</v>
          </cell>
        </row>
      </sheetData>
      <sheetData sheetId="98">
        <row r="38">
          <cell r="B38" t="str">
            <v xml:space="preserve"> ------------</v>
          </cell>
        </row>
      </sheetData>
      <sheetData sheetId="99">
        <row r="38">
          <cell r="B38" t="str">
            <v xml:space="preserve"> ------------</v>
          </cell>
        </row>
      </sheetData>
      <sheetData sheetId="100">
        <row r="38">
          <cell r="B38" t="str">
            <v xml:space="preserve"> ------------</v>
          </cell>
        </row>
      </sheetData>
      <sheetData sheetId="101">
        <row r="38">
          <cell r="B38" t="str">
            <v xml:space="preserve"> ------------</v>
          </cell>
        </row>
      </sheetData>
      <sheetData sheetId="102">
        <row r="38">
          <cell r="B38" t="str">
            <v xml:space="preserve"> ------------</v>
          </cell>
        </row>
      </sheetData>
      <sheetData sheetId="103">
        <row r="38">
          <cell r="B38" t="str">
            <v xml:space="preserve"> ------------</v>
          </cell>
        </row>
      </sheetData>
      <sheetData sheetId="104">
        <row r="38">
          <cell r="B38" t="str">
            <v xml:space="preserve"> ------------</v>
          </cell>
        </row>
      </sheetData>
      <sheetData sheetId="105">
        <row r="38">
          <cell r="B38" t="str">
            <v xml:space="preserve"> ------------</v>
          </cell>
        </row>
      </sheetData>
      <sheetData sheetId="106">
        <row r="38">
          <cell r="B38" t="str">
            <v xml:space="preserve"> ------------</v>
          </cell>
        </row>
      </sheetData>
      <sheetData sheetId="107">
        <row r="38">
          <cell r="B38" t="str">
            <v xml:space="preserve"> ------------</v>
          </cell>
        </row>
      </sheetData>
      <sheetData sheetId="108">
        <row r="38">
          <cell r="B38" t="str">
            <v xml:space="preserve"> ------------</v>
          </cell>
        </row>
      </sheetData>
      <sheetData sheetId="109">
        <row r="38">
          <cell r="B38" t="str">
            <v xml:space="preserve"> ------------</v>
          </cell>
        </row>
      </sheetData>
      <sheetData sheetId="110">
        <row r="38">
          <cell r="B38" t="str">
            <v xml:space="preserve"> ------------</v>
          </cell>
        </row>
      </sheetData>
      <sheetData sheetId="111">
        <row r="38">
          <cell r="B38" t="str">
            <v xml:space="preserve"> ------------</v>
          </cell>
        </row>
      </sheetData>
      <sheetData sheetId="112">
        <row r="38">
          <cell r="B38" t="str">
            <v xml:space="preserve"> ------------</v>
          </cell>
        </row>
      </sheetData>
      <sheetData sheetId="113">
        <row r="38">
          <cell r="B38" t="str">
            <v xml:space="preserve"> ------------</v>
          </cell>
        </row>
      </sheetData>
      <sheetData sheetId="114">
        <row r="38">
          <cell r="B38" t="str">
            <v xml:space="preserve"> ------------</v>
          </cell>
        </row>
      </sheetData>
      <sheetData sheetId="115">
        <row r="38">
          <cell r="B38" t="str">
            <v xml:space="preserve"> ------------</v>
          </cell>
        </row>
      </sheetData>
      <sheetData sheetId="116">
        <row r="38">
          <cell r="B38" t="str">
            <v xml:space="preserve"> ------------</v>
          </cell>
        </row>
      </sheetData>
      <sheetData sheetId="117">
        <row r="38">
          <cell r="B38" t="str">
            <v xml:space="preserve"> ------------</v>
          </cell>
        </row>
      </sheetData>
      <sheetData sheetId="118">
        <row r="38">
          <cell r="B38" t="str">
            <v xml:space="preserve"> ------------</v>
          </cell>
        </row>
      </sheetData>
      <sheetData sheetId="119">
        <row r="38">
          <cell r="B38" t="str">
            <v xml:space="preserve"> ------------</v>
          </cell>
        </row>
      </sheetData>
      <sheetData sheetId="120">
        <row r="38">
          <cell r="B38" t="str">
            <v xml:space="preserve"> ------------</v>
          </cell>
        </row>
      </sheetData>
      <sheetData sheetId="121">
        <row r="38">
          <cell r="B38" t="str">
            <v xml:space="preserve"> ------------</v>
          </cell>
        </row>
      </sheetData>
      <sheetData sheetId="122">
        <row r="38">
          <cell r="B38" t="str">
            <v xml:space="preserve"> ------------</v>
          </cell>
        </row>
      </sheetData>
      <sheetData sheetId="123">
        <row r="38">
          <cell r="B38" t="str">
            <v xml:space="preserve"> ------------</v>
          </cell>
        </row>
      </sheetData>
      <sheetData sheetId="124">
        <row r="38">
          <cell r="B38" t="str">
            <v xml:space="preserve"> ------------</v>
          </cell>
        </row>
      </sheetData>
      <sheetData sheetId="125">
        <row r="38">
          <cell r="B38" t="str">
            <v xml:space="preserve"> ------------</v>
          </cell>
        </row>
      </sheetData>
      <sheetData sheetId="126">
        <row r="38">
          <cell r="B38" t="str">
            <v xml:space="preserve"> ------------</v>
          </cell>
        </row>
      </sheetData>
      <sheetData sheetId="127">
        <row r="38">
          <cell r="B38" t="str">
            <v xml:space="preserve"> ------------</v>
          </cell>
        </row>
      </sheetData>
      <sheetData sheetId="128">
        <row r="38">
          <cell r="B38" t="str">
            <v xml:space="preserve"> ------------</v>
          </cell>
        </row>
      </sheetData>
      <sheetData sheetId="129">
        <row r="38">
          <cell r="B38" t="str">
            <v xml:space="preserve"> ------------</v>
          </cell>
        </row>
      </sheetData>
      <sheetData sheetId="130">
        <row r="38">
          <cell r="B38" t="str">
            <v xml:space="preserve"> ------------</v>
          </cell>
        </row>
      </sheetData>
      <sheetData sheetId="131">
        <row r="38">
          <cell r="B38" t="str">
            <v xml:space="preserve"> ------------</v>
          </cell>
        </row>
      </sheetData>
      <sheetData sheetId="132">
        <row r="38">
          <cell r="B38" t="str">
            <v xml:space="preserve"> ------------</v>
          </cell>
        </row>
      </sheetData>
      <sheetData sheetId="133">
        <row r="38">
          <cell r="B38" t="str">
            <v xml:space="preserve"> ------------</v>
          </cell>
        </row>
      </sheetData>
      <sheetData sheetId="134">
        <row r="38">
          <cell r="B38" t="str">
            <v xml:space="preserve"> ------------</v>
          </cell>
        </row>
      </sheetData>
      <sheetData sheetId="135">
        <row r="38">
          <cell r="B38" t="str">
            <v xml:space="preserve"> ------------</v>
          </cell>
        </row>
      </sheetData>
      <sheetData sheetId="136">
        <row r="38">
          <cell r="B38" t="str">
            <v xml:space="preserve"> ------------</v>
          </cell>
        </row>
      </sheetData>
      <sheetData sheetId="137">
        <row r="38">
          <cell r="B38" t="str">
            <v xml:space="preserve"> ------------</v>
          </cell>
        </row>
      </sheetData>
      <sheetData sheetId="138">
        <row r="38">
          <cell r="B38" t="str">
            <v xml:space="preserve"> ------------</v>
          </cell>
        </row>
      </sheetData>
      <sheetData sheetId="139">
        <row r="38">
          <cell r="B38" t="str">
            <v xml:space="preserve"> ------------</v>
          </cell>
        </row>
      </sheetData>
      <sheetData sheetId="140">
        <row r="38">
          <cell r="B38" t="str">
            <v xml:space="preserve"> ------------</v>
          </cell>
        </row>
      </sheetData>
      <sheetData sheetId="141">
        <row r="38">
          <cell r="B38" t="str">
            <v xml:space="preserve"> ------------</v>
          </cell>
        </row>
      </sheetData>
      <sheetData sheetId="142">
        <row r="38">
          <cell r="B38" t="str">
            <v xml:space="preserve"> ------------</v>
          </cell>
        </row>
      </sheetData>
      <sheetData sheetId="143">
        <row r="38">
          <cell r="B38" t="str">
            <v xml:space="preserve"> ------------</v>
          </cell>
        </row>
      </sheetData>
      <sheetData sheetId="144">
        <row r="38">
          <cell r="B38" t="str">
            <v xml:space="preserve"> ------------</v>
          </cell>
        </row>
      </sheetData>
      <sheetData sheetId="145">
        <row r="38">
          <cell r="B38" t="str">
            <v xml:space="preserve"> ------------</v>
          </cell>
        </row>
      </sheetData>
      <sheetData sheetId="146">
        <row r="38">
          <cell r="B38" t="str">
            <v xml:space="preserve"> ------------</v>
          </cell>
        </row>
      </sheetData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>
        <row r="38">
          <cell r="B38" t="str">
            <v xml:space="preserve"> ------------</v>
          </cell>
        </row>
      </sheetData>
      <sheetData sheetId="219">
        <row r="38">
          <cell r="B38" t="str">
            <v xml:space="preserve"> ------------</v>
          </cell>
        </row>
      </sheetData>
      <sheetData sheetId="220">
        <row r="38">
          <cell r="B38" t="str">
            <v xml:space="preserve"> ------------</v>
          </cell>
        </row>
      </sheetData>
      <sheetData sheetId="221">
        <row r="38">
          <cell r="B38" t="str">
            <v xml:space="preserve"> ------------</v>
          </cell>
        </row>
      </sheetData>
      <sheetData sheetId="222">
        <row r="38">
          <cell r="B38" t="str">
            <v xml:space="preserve"> ------------</v>
          </cell>
        </row>
      </sheetData>
      <sheetData sheetId="223">
        <row r="38">
          <cell r="B38" t="str">
            <v xml:space="preserve"> ------------</v>
          </cell>
        </row>
      </sheetData>
      <sheetData sheetId="224">
        <row r="38">
          <cell r="B38" t="str">
            <v xml:space="preserve"> ------------</v>
          </cell>
        </row>
      </sheetData>
      <sheetData sheetId="225">
        <row r="38">
          <cell r="B38" t="str">
            <v xml:space="preserve"> ------------</v>
          </cell>
        </row>
      </sheetData>
      <sheetData sheetId="226">
        <row r="38">
          <cell r="B38" t="str">
            <v xml:space="preserve"> ------------</v>
          </cell>
        </row>
      </sheetData>
      <sheetData sheetId="227">
        <row r="38">
          <cell r="B38" t="str">
            <v xml:space="preserve"> ------------</v>
          </cell>
        </row>
      </sheetData>
      <sheetData sheetId="228">
        <row r="38">
          <cell r="B38" t="str">
            <v xml:space="preserve"> ------------</v>
          </cell>
        </row>
      </sheetData>
      <sheetData sheetId="229">
        <row r="38">
          <cell r="B38" t="str">
            <v xml:space="preserve"> ------------</v>
          </cell>
        </row>
      </sheetData>
      <sheetData sheetId="230">
        <row r="38">
          <cell r="B38" t="str">
            <v xml:space="preserve"> ------------</v>
          </cell>
        </row>
      </sheetData>
      <sheetData sheetId="231">
        <row r="38">
          <cell r="B38" t="str">
            <v xml:space="preserve"> ------------</v>
          </cell>
        </row>
      </sheetData>
      <sheetData sheetId="232">
        <row r="38">
          <cell r="B38" t="str">
            <v xml:space="preserve"> ------------</v>
          </cell>
        </row>
      </sheetData>
      <sheetData sheetId="233">
        <row r="38">
          <cell r="B38" t="str">
            <v xml:space="preserve"> ------------</v>
          </cell>
        </row>
      </sheetData>
      <sheetData sheetId="234">
        <row r="38">
          <cell r="B38" t="str">
            <v xml:space="preserve"> ------------</v>
          </cell>
        </row>
      </sheetData>
      <sheetData sheetId="235">
        <row r="38">
          <cell r="B38" t="str">
            <v xml:space="preserve"> ------------</v>
          </cell>
        </row>
      </sheetData>
      <sheetData sheetId="236">
        <row r="38">
          <cell r="B38" t="str">
            <v xml:space="preserve"> ------------</v>
          </cell>
        </row>
      </sheetData>
      <sheetData sheetId="237">
        <row r="38">
          <cell r="B38" t="str">
            <v xml:space="preserve"> ------------</v>
          </cell>
        </row>
      </sheetData>
      <sheetData sheetId="238" refreshError="1"/>
      <sheetData sheetId="239" refreshError="1"/>
      <sheetData sheetId="240" refreshError="1"/>
      <sheetData sheetId="241">
        <row r="38">
          <cell r="B38" t="str">
            <v xml:space="preserve"> ------------</v>
          </cell>
        </row>
      </sheetData>
      <sheetData sheetId="242">
        <row r="38">
          <cell r="B38" t="str">
            <v xml:space="preserve"> ------------</v>
          </cell>
        </row>
      </sheetData>
      <sheetData sheetId="243">
        <row r="38">
          <cell r="B38" t="str">
            <v xml:space="preserve"> ------------</v>
          </cell>
        </row>
      </sheetData>
      <sheetData sheetId="244">
        <row r="38">
          <cell r="B38" t="str">
            <v xml:space="preserve"> ------------</v>
          </cell>
        </row>
      </sheetData>
      <sheetData sheetId="245">
        <row r="38">
          <cell r="B38" t="str">
            <v xml:space="preserve"> ------------</v>
          </cell>
        </row>
      </sheetData>
      <sheetData sheetId="246">
        <row r="38">
          <cell r="B38" t="str">
            <v xml:space="preserve"> ------------</v>
          </cell>
        </row>
      </sheetData>
      <sheetData sheetId="247">
        <row r="38">
          <cell r="B38" t="str">
            <v xml:space="preserve"> ------------</v>
          </cell>
        </row>
      </sheetData>
      <sheetData sheetId="248">
        <row r="38">
          <cell r="B38" t="str">
            <v xml:space="preserve"> ------------</v>
          </cell>
        </row>
      </sheetData>
      <sheetData sheetId="249">
        <row r="38">
          <cell r="B38" t="str">
            <v xml:space="preserve"> ------------</v>
          </cell>
        </row>
      </sheetData>
      <sheetData sheetId="250">
        <row r="38">
          <cell r="B38" t="str">
            <v xml:space="preserve"> ------------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>
        <row r="38">
          <cell r="B38" t="str">
            <v xml:space="preserve"> ------------</v>
          </cell>
        </row>
      </sheetData>
      <sheetData sheetId="259">
        <row r="38">
          <cell r="B38" t="str">
            <v xml:space="preserve"> ------------</v>
          </cell>
        </row>
      </sheetData>
      <sheetData sheetId="260">
        <row r="38">
          <cell r="B38" t="str">
            <v xml:space="preserve"> ------------</v>
          </cell>
        </row>
      </sheetData>
      <sheetData sheetId="261">
        <row r="38">
          <cell r="B38" t="str">
            <v xml:space="preserve"> ------------</v>
          </cell>
        </row>
      </sheetData>
      <sheetData sheetId="262">
        <row r="38">
          <cell r="B38" t="str">
            <v xml:space="preserve"> ------------</v>
          </cell>
        </row>
      </sheetData>
      <sheetData sheetId="263">
        <row r="38">
          <cell r="B38" t="str">
            <v xml:space="preserve"> ------------</v>
          </cell>
        </row>
      </sheetData>
      <sheetData sheetId="264">
        <row r="38">
          <cell r="B38" t="str">
            <v xml:space="preserve"> ------------</v>
          </cell>
        </row>
      </sheetData>
      <sheetData sheetId="265">
        <row r="38">
          <cell r="B38" t="str">
            <v xml:space="preserve"> ------------</v>
          </cell>
        </row>
      </sheetData>
      <sheetData sheetId="266">
        <row r="38">
          <cell r="B38" t="str">
            <v xml:space="preserve"> ------------</v>
          </cell>
        </row>
      </sheetData>
      <sheetData sheetId="267">
        <row r="38">
          <cell r="B38" t="str">
            <v xml:space="preserve"> ------------</v>
          </cell>
        </row>
      </sheetData>
      <sheetData sheetId="268">
        <row r="38">
          <cell r="B38" t="str">
            <v xml:space="preserve"> ------------</v>
          </cell>
        </row>
      </sheetData>
      <sheetData sheetId="269">
        <row r="38">
          <cell r="B38" t="str">
            <v xml:space="preserve"> ------------</v>
          </cell>
        </row>
      </sheetData>
      <sheetData sheetId="270">
        <row r="38">
          <cell r="B38" t="str">
            <v xml:space="preserve"> ------------</v>
          </cell>
        </row>
      </sheetData>
      <sheetData sheetId="271">
        <row r="38">
          <cell r="B38" t="str">
            <v xml:space="preserve"> ------------</v>
          </cell>
        </row>
      </sheetData>
      <sheetData sheetId="272">
        <row r="38">
          <cell r="B38" t="str">
            <v xml:space="preserve"> ------------</v>
          </cell>
        </row>
      </sheetData>
      <sheetData sheetId="273">
        <row r="38">
          <cell r="B38" t="str">
            <v xml:space="preserve"> ------------</v>
          </cell>
        </row>
      </sheetData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>
        <row r="38">
          <cell r="B38" t="str">
            <v xml:space="preserve"> ------------</v>
          </cell>
        </row>
      </sheetData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>
        <row r="38">
          <cell r="B38" t="str">
            <v xml:space="preserve"> ------------</v>
          </cell>
        </row>
      </sheetData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>
        <row r="38">
          <cell r="B38" t="str">
            <v xml:space="preserve"> ------------</v>
          </cell>
        </row>
      </sheetData>
      <sheetData sheetId="298">
        <row r="38">
          <cell r="B38" t="str">
            <v xml:space="preserve"> ------------</v>
          </cell>
        </row>
      </sheetData>
      <sheetData sheetId="299">
        <row r="38">
          <cell r="B38" t="str">
            <v xml:space="preserve"> ------------</v>
          </cell>
        </row>
      </sheetData>
      <sheetData sheetId="300">
        <row r="38">
          <cell r="B38" t="str">
            <v xml:space="preserve"> ------------</v>
          </cell>
        </row>
      </sheetData>
      <sheetData sheetId="301">
        <row r="38">
          <cell r="B38" t="str">
            <v xml:space="preserve"> ------------</v>
          </cell>
        </row>
      </sheetData>
      <sheetData sheetId="302">
        <row r="38">
          <cell r="B38" t="str">
            <v xml:space="preserve"> ------------</v>
          </cell>
        </row>
      </sheetData>
      <sheetData sheetId="303">
        <row r="38">
          <cell r="B38" t="str">
            <v xml:space="preserve"> ------------</v>
          </cell>
        </row>
      </sheetData>
      <sheetData sheetId="304">
        <row r="38">
          <cell r="B38" t="str">
            <v xml:space="preserve"> ------------</v>
          </cell>
        </row>
      </sheetData>
      <sheetData sheetId="305">
        <row r="38">
          <cell r="B38" t="str">
            <v xml:space="preserve"> ------------</v>
          </cell>
        </row>
      </sheetData>
      <sheetData sheetId="306">
        <row r="38">
          <cell r="B38" t="str">
            <v xml:space="preserve"> ------------</v>
          </cell>
        </row>
      </sheetData>
      <sheetData sheetId="307">
        <row r="38">
          <cell r="B38" t="str">
            <v xml:space="preserve"> ------------</v>
          </cell>
        </row>
      </sheetData>
      <sheetData sheetId="308">
        <row r="38">
          <cell r="B38" t="str">
            <v xml:space="preserve"> ------------</v>
          </cell>
        </row>
      </sheetData>
      <sheetData sheetId="309">
        <row r="38">
          <cell r="B38" t="str">
            <v xml:space="preserve"> ------------</v>
          </cell>
        </row>
      </sheetData>
      <sheetData sheetId="310">
        <row r="38">
          <cell r="B38" t="str">
            <v xml:space="preserve"> ------------</v>
          </cell>
        </row>
      </sheetData>
      <sheetData sheetId="311">
        <row r="38">
          <cell r="B38" t="str">
            <v xml:space="preserve"> ------------</v>
          </cell>
        </row>
      </sheetData>
      <sheetData sheetId="312">
        <row r="38">
          <cell r="B38" t="str">
            <v xml:space="preserve"> ------------</v>
          </cell>
        </row>
      </sheetData>
      <sheetData sheetId="313">
        <row r="38">
          <cell r="B38" t="str">
            <v xml:space="preserve"> ------------</v>
          </cell>
        </row>
      </sheetData>
      <sheetData sheetId="314">
        <row r="38">
          <cell r="B38" t="str">
            <v xml:space="preserve"> ------------</v>
          </cell>
        </row>
      </sheetData>
      <sheetData sheetId="315">
        <row r="38">
          <cell r="B38" t="str">
            <v xml:space="preserve"> ------------</v>
          </cell>
        </row>
      </sheetData>
      <sheetData sheetId="316">
        <row r="38">
          <cell r="B38" t="str">
            <v xml:space="preserve"> ------------</v>
          </cell>
        </row>
      </sheetData>
      <sheetData sheetId="317">
        <row r="38">
          <cell r="B38" t="str">
            <v xml:space="preserve"> ------------</v>
          </cell>
        </row>
      </sheetData>
      <sheetData sheetId="318">
        <row r="38">
          <cell r="B38" t="str">
            <v xml:space="preserve"> ------------</v>
          </cell>
        </row>
      </sheetData>
      <sheetData sheetId="319">
        <row r="38">
          <cell r="B38" t="str">
            <v xml:space="preserve"> ------------</v>
          </cell>
        </row>
      </sheetData>
      <sheetData sheetId="320">
        <row r="38">
          <cell r="B38" t="str">
            <v xml:space="preserve"> ------------</v>
          </cell>
        </row>
      </sheetData>
      <sheetData sheetId="321">
        <row r="38">
          <cell r="B38" t="str">
            <v xml:space="preserve"> ------------</v>
          </cell>
        </row>
      </sheetData>
      <sheetData sheetId="322">
        <row r="38">
          <cell r="B38" t="str">
            <v xml:space="preserve"> ------------</v>
          </cell>
        </row>
      </sheetData>
      <sheetData sheetId="323">
        <row r="38">
          <cell r="B38" t="str">
            <v xml:space="preserve"> ------------</v>
          </cell>
        </row>
      </sheetData>
      <sheetData sheetId="324">
        <row r="38">
          <cell r="B38" t="str">
            <v xml:space="preserve"> ------------</v>
          </cell>
        </row>
      </sheetData>
      <sheetData sheetId="325">
        <row r="38">
          <cell r="B38" t="str">
            <v xml:space="preserve"> ------------</v>
          </cell>
        </row>
      </sheetData>
      <sheetData sheetId="326">
        <row r="38">
          <cell r="B38" t="str">
            <v xml:space="preserve"> ------------</v>
          </cell>
        </row>
      </sheetData>
      <sheetData sheetId="327">
        <row r="38">
          <cell r="B38" t="str">
            <v xml:space="preserve"> ------------</v>
          </cell>
        </row>
      </sheetData>
      <sheetData sheetId="328">
        <row r="38">
          <cell r="B38" t="str">
            <v xml:space="preserve"> ------------</v>
          </cell>
        </row>
      </sheetData>
      <sheetData sheetId="329">
        <row r="38">
          <cell r="B38" t="str">
            <v xml:space="preserve"> ------------</v>
          </cell>
        </row>
      </sheetData>
      <sheetData sheetId="330">
        <row r="38">
          <cell r="B38" t="str">
            <v xml:space="preserve"> ------------</v>
          </cell>
        </row>
      </sheetData>
      <sheetData sheetId="331">
        <row r="38">
          <cell r="B38" t="str">
            <v xml:space="preserve"> ------------</v>
          </cell>
        </row>
      </sheetData>
      <sheetData sheetId="332">
        <row r="38">
          <cell r="B38" t="str">
            <v xml:space="preserve"> ------------</v>
          </cell>
        </row>
      </sheetData>
      <sheetData sheetId="333">
        <row r="38">
          <cell r="B38" t="str">
            <v xml:space="preserve"> ------------</v>
          </cell>
        </row>
      </sheetData>
      <sheetData sheetId="334">
        <row r="38">
          <cell r="B38" t="str">
            <v xml:space="preserve"> ------------</v>
          </cell>
        </row>
      </sheetData>
      <sheetData sheetId="335">
        <row r="38">
          <cell r="B38" t="str">
            <v xml:space="preserve"> ------------</v>
          </cell>
        </row>
      </sheetData>
      <sheetData sheetId="336">
        <row r="38">
          <cell r="B38" t="str">
            <v xml:space="preserve"> ------------</v>
          </cell>
        </row>
      </sheetData>
      <sheetData sheetId="337">
        <row r="38">
          <cell r="B38" t="str">
            <v xml:space="preserve"> ------------</v>
          </cell>
        </row>
      </sheetData>
      <sheetData sheetId="338">
        <row r="38">
          <cell r="B38" t="str">
            <v xml:space="preserve"> ------------</v>
          </cell>
        </row>
      </sheetData>
      <sheetData sheetId="339">
        <row r="38">
          <cell r="B38" t="str">
            <v xml:space="preserve"> ------------</v>
          </cell>
        </row>
      </sheetData>
      <sheetData sheetId="340">
        <row r="38">
          <cell r="B38" t="str">
            <v xml:space="preserve"> ------------</v>
          </cell>
        </row>
      </sheetData>
      <sheetData sheetId="341">
        <row r="38">
          <cell r="B38" t="str">
            <v xml:space="preserve"> ------------</v>
          </cell>
        </row>
      </sheetData>
      <sheetData sheetId="342">
        <row r="38">
          <cell r="B38" t="str">
            <v xml:space="preserve"> ------------</v>
          </cell>
        </row>
      </sheetData>
      <sheetData sheetId="343">
        <row r="38">
          <cell r="B38" t="str">
            <v xml:space="preserve"> ------------</v>
          </cell>
        </row>
      </sheetData>
      <sheetData sheetId="344">
        <row r="38">
          <cell r="B38" t="str">
            <v xml:space="preserve"> ------------</v>
          </cell>
        </row>
      </sheetData>
      <sheetData sheetId="345">
        <row r="38">
          <cell r="B38" t="str">
            <v xml:space="preserve"> ------------</v>
          </cell>
        </row>
      </sheetData>
      <sheetData sheetId="346">
        <row r="38">
          <cell r="B38" t="str">
            <v xml:space="preserve"> ------------</v>
          </cell>
        </row>
      </sheetData>
      <sheetData sheetId="347">
        <row r="38">
          <cell r="B38" t="str">
            <v xml:space="preserve"> ------------</v>
          </cell>
        </row>
      </sheetData>
      <sheetData sheetId="348">
        <row r="38">
          <cell r="B38" t="str">
            <v xml:space="preserve"> ------------</v>
          </cell>
        </row>
      </sheetData>
      <sheetData sheetId="349">
        <row r="38">
          <cell r="B38" t="str">
            <v xml:space="preserve"> ------------</v>
          </cell>
        </row>
      </sheetData>
      <sheetData sheetId="350">
        <row r="38">
          <cell r="B38" t="str">
            <v xml:space="preserve"> ------------</v>
          </cell>
        </row>
      </sheetData>
      <sheetData sheetId="351">
        <row r="38">
          <cell r="B38" t="str">
            <v xml:space="preserve"> ------------</v>
          </cell>
        </row>
      </sheetData>
      <sheetData sheetId="352">
        <row r="38">
          <cell r="B38" t="str">
            <v xml:space="preserve"> ------------</v>
          </cell>
        </row>
      </sheetData>
      <sheetData sheetId="353">
        <row r="38">
          <cell r="B38" t="str">
            <v xml:space="preserve"> ------------</v>
          </cell>
        </row>
      </sheetData>
      <sheetData sheetId="354">
        <row r="38">
          <cell r="B38" t="str">
            <v xml:space="preserve"> ------------</v>
          </cell>
        </row>
      </sheetData>
      <sheetData sheetId="355">
        <row r="38">
          <cell r="B38" t="str">
            <v xml:space="preserve"> ------------</v>
          </cell>
        </row>
      </sheetData>
      <sheetData sheetId="356">
        <row r="38">
          <cell r="B38" t="str">
            <v xml:space="preserve"> ------------</v>
          </cell>
        </row>
      </sheetData>
      <sheetData sheetId="357">
        <row r="38">
          <cell r="B38" t="str">
            <v xml:space="preserve"> ------------</v>
          </cell>
        </row>
      </sheetData>
      <sheetData sheetId="358">
        <row r="38">
          <cell r="B38" t="str">
            <v xml:space="preserve"> ------------</v>
          </cell>
        </row>
      </sheetData>
      <sheetData sheetId="359">
        <row r="38">
          <cell r="B38" t="str">
            <v xml:space="preserve"> ------------</v>
          </cell>
        </row>
      </sheetData>
      <sheetData sheetId="360">
        <row r="38">
          <cell r="B38" t="str">
            <v xml:space="preserve"> ------------</v>
          </cell>
        </row>
      </sheetData>
      <sheetData sheetId="361">
        <row r="38">
          <cell r="B38" t="str">
            <v xml:space="preserve"> ------------</v>
          </cell>
        </row>
      </sheetData>
      <sheetData sheetId="362">
        <row r="38">
          <cell r="B38" t="str">
            <v xml:space="preserve"> ------------</v>
          </cell>
        </row>
      </sheetData>
      <sheetData sheetId="363">
        <row r="38">
          <cell r="B38" t="str">
            <v xml:space="preserve"> ------------</v>
          </cell>
        </row>
      </sheetData>
      <sheetData sheetId="364">
        <row r="38">
          <cell r="B38" t="str">
            <v xml:space="preserve"> ------------</v>
          </cell>
        </row>
      </sheetData>
      <sheetData sheetId="365">
        <row r="38">
          <cell r="B38" t="str">
            <v xml:space="preserve"> ------------</v>
          </cell>
        </row>
      </sheetData>
      <sheetData sheetId="366">
        <row r="38">
          <cell r="B38" t="str">
            <v xml:space="preserve"> ------------</v>
          </cell>
        </row>
      </sheetData>
      <sheetData sheetId="367">
        <row r="38">
          <cell r="B38" t="str">
            <v xml:space="preserve"> ------------</v>
          </cell>
        </row>
      </sheetData>
      <sheetData sheetId="368">
        <row r="38">
          <cell r="B38" t="str">
            <v xml:space="preserve"> ------------</v>
          </cell>
        </row>
      </sheetData>
      <sheetData sheetId="369">
        <row r="38">
          <cell r="B38" t="str">
            <v xml:space="preserve"> ------------</v>
          </cell>
        </row>
      </sheetData>
      <sheetData sheetId="370">
        <row r="38">
          <cell r="B38" t="str">
            <v xml:space="preserve"> ------------</v>
          </cell>
        </row>
      </sheetData>
      <sheetData sheetId="371">
        <row r="38">
          <cell r="B38" t="str">
            <v xml:space="preserve"> ------------</v>
          </cell>
        </row>
      </sheetData>
      <sheetData sheetId="372">
        <row r="38">
          <cell r="B38" t="str">
            <v xml:space="preserve"> ------------</v>
          </cell>
        </row>
      </sheetData>
      <sheetData sheetId="373">
        <row r="38">
          <cell r="B38" t="str">
            <v xml:space="preserve"> ------------</v>
          </cell>
        </row>
      </sheetData>
      <sheetData sheetId="374">
        <row r="38">
          <cell r="B38" t="str">
            <v xml:space="preserve"> ------------</v>
          </cell>
        </row>
      </sheetData>
      <sheetData sheetId="375">
        <row r="38">
          <cell r="B38" t="str">
            <v xml:space="preserve"> ------------</v>
          </cell>
        </row>
      </sheetData>
      <sheetData sheetId="376">
        <row r="38">
          <cell r="B38" t="str">
            <v xml:space="preserve"> ------------</v>
          </cell>
        </row>
      </sheetData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/>
      <sheetData sheetId="394">
        <row r="38">
          <cell r="B38" t="str">
            <v xml:space="preserve"> ------------</v>
          </cell>
        </row>
      </sheetData>
      <sheetData sheetId="395">
        <row r="38">
          <cell r="B38" t="str">
            <v xml:space="preserve"> ------------</v>
          </cell>
        </row>
      </sheetData>
      <sheetData sheetId="396">
        <row r="38">
          <cell r="B38" t="str">
            <v xml:space="preserve"> ------------</v>
          </cell>
        </row>
      </sheetData>
      <sheetData sheetId="397">
        <row r="38">
          <cell r="B38" t="str">
            <v xml:space="preserve"> ------------</v>
          </cell>
        </row>
      </sheetData>
      <sheetData sheetId="398">
        <row r="38">
          <cell r="B38" t="str">
            <v xml:space="preserve"> ------------</v>
          </cell>
        </row>
      </sheetData>
      <sheetData sheetId="399">
        <row r="38">
          <cell r="B38" t="str">
            <v xml:space="preserve"> ------------</v>
          </cell>
        </row>
      </sheetData>
      <sheetData sheetId="400">
        <row r="38">
          <cell r="B38" t="str">
            <v xml:space="preserve"> ------------</v>
          </cell>
        </row>
      </sheetData>
      <sheetData sheetId="401">
        <row r="38">
          <cell r="B38" t="str">
            <v xml:space="preserve"> ------------</v>
          </cell>
        </row>
      </sheetData>
      <sheetData sheetId="402">
        <row r="38">
          <cell r="B38" t="str">
            <v xml:space="preserve"> ------------</v>
          </cell>
        </row>
      </sheetData>
      <sheetData sheetId="403">
        <row r="38">
          <cell r="B38" t="str">
            <v xml:space="preserve"> ------------</v>
          </cell>
        </row>
      </sheetData>
      <sheetData sheetId="404">
        <row r="38">
          <cell r="B38" t="str">
            <v xml:space="preserve"> ------------</v>
          </cell>
        </row>
      </sheetData>
      <sheetData sheetId="405">
        <row r="38">
          <cell r="B38" t="str">
            <v xml:space="preserve"> ------------</v>
          </cell>
        </row>
      </sheetData>
      <sheetData sheetId="406">
        <row r="38">
          <cell r="B38" t="str">
            <v xml:space="preserve"> ------------</v>
          </cell>
        </row>
      </sheetData>
      <sheetData sheetId="407">
        <row r="38">
          <cell r="B38" t="str">
            <v xml:space="preserve"> ------------</v>
          </cell>
        </row>
      </sheetData>
      <sheetData sheetId="408">
        <row r="38">
          <cell r="B38" t="str">
            <v xml:space="preserve"> ------------</v>
          </cell>
        </row>
      </sheetData>
      <sheetData sheetId="409">
        <row r="38">
          <cell r="B38" t="str">
            <v xml:space="preserve"> ------------</v>
          </cell>
        </row>
      </sheetData>
      <sheetData sheetId="410">
        <row r="38">
          <cell r="B38" t="str">
            <v xml:space="preserve"> ------------</v>
          </cell>
        </row>
      </sheetData>
      <sheetData sheetId="411">
        <row r="38">
          <cell r="B38" t="str">
            <v xml:space="preserve"> ------------</v>
          </cell>
        </row>
      </sheetData>
      <sheetData sheetId="412">
        <row r="38">
          <cell r="B38" t="str">
            <v xml:space="preserve"> ------------</v>
          </cell>
        </row>
      </sheetData>
      <sheetData sheetId="413">
        <row r="38">
          <cell r="B38" t="str">
            <v xml:space="preserve"> ------------</v>
          </cell>
        </row>
      </sheetData>
      <sheetData sheetId="414">
        <row r="38">
          <cell r="B38" t="str">
            <v xml:space="preserve"> ------------</v>
          </cell>
        </row>
      </sheetData>
      <sheetData sheetId="415">
        <row r="38">
          <cell r="B38" t="str">
            <v xml:space="preserve"> ------------</v>
          </cell>
        </row>
      </sheetData>
      <sheetData sheetId="416">
        <row r="38">
          <cell r="B38" t="str">
            <v xml:space="preserve"> ------------</v>
          </cell>
        </row>
      </sheetData>
      <sheetData sheetId="417">
        <row r="38">
          <cell r="B38" t="str">
            <v xml:space="preserve"> ------------</v>
          </cell>
        </row>
      </sheetData>
      <sheetData sheetId="418">
        <row r="38">
          <cell r="B38" t="str">
            <v xml:space="preserve"> ------------</v>
          </cell>
        </row>
      </sheetData>
      <sheetData sheetId="419">
        <row r="38">
          <cell r="B38" t="str">
            <v xml:space="preserve"> ------------</v>
          </cell>
        </row>
      </sheetData>
      <sheetData sheetId="420">
        <row r="38">
          <cell r="B38" t="str">
            <v xml:space="preserve"> ------------</v>
          </cell>
        </row>
      </sheetData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 refreshError="1"/>
      <sheetData sheetId="565" refreshError="1"/>
      <sheetData sheetId="566" refreshError="1"/>
      <sheetData sheetId="567" refreshError="1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>
        <row r="6">
          <cell r="A6">
            <v>0</v>
          </cell>
        </row>
      </sheetData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>
        <row r="38">
          <cell r="B38" t="str">
            <v xml:space="preserve"> ------------</v>
          </cell>
        </row>
      </sheetData>
      <sheetData sheetId="612"/>
      <sheetData sheetId="613"/>
      <sheetData sheetId="614">
        <row r="38">
          <cell r="B38" t="str">
            <v xml:space="preserve"> ------------</v>
          </cell>
        </row>
      </sheetData>
      <sheetData sheetId="615">
        <row r="38">
          <cell r="B38" t="str">
            <v xml:space="preserve"> ------------</v>
          </cell>
        </row>
      </sheetData>
      <sheetData sheetId="616">
        <row r="38">
          <cell r="B38" t="str">
            <v xml:space="preserve"> ------------</v>
          </cell>
        </row>
      </sheetData>
      <sheetData sheetId="617">
        <row r="38">
          <cell r="B38" t="str">
            <v xml:space="preserve"> ------------</v>
          </cell>
        </row>
      </sheetData>
      <sheetData sheetId="618">
        <row r="38">
          <cell r="B38" t="str">
            <v xml:space="preserve"> ------------</v>
          </cell>
        </row>
      </sheetData>
      <sheetData sheetId="619">
        <row r="38">
          <cell r="B38" t="str">
            <v xml:space="preserve"> ------------</v>
          </cell>
        </row>
      </sheetData>
      <sheetData sheetId="620">
        <row r="38">
          <cell r="B38" t="str">
            <v xml:space="preserve"> ------------</v>
          </cell>
        </row>
      </sheetData>
      <sheetData sheetId="621">
        <row r="38">
          <cell r="B38" t="str">
            <v xml:space="preserve"> ------------</v>
          </cell>
        </row>
      </sheetData>
      <sheetData sheetId="622">
        <row r="38">
          <cell r="B38" t="str">
            <v xml:space="preserve"> ------------</v>
          </cell>
        </row>
      </sheetData>
      <sheetData sheetId="623">
        <row r="38">
          <cell r="B38" t="str">
            <v xml:space="preserve"> ------------</v>
          </cell>
        </row>
      </sheetData>
      <sheetData sheetId="624">
        <row r="38">
          <cell r="B38" t="str">
            <v xml:space="preserve"> ------------</v>
          </cell>
        </row>
      </sheetData>
      <sheetData sheetId="625">
        <row r="38">
          <cell r="B38" t="str">
            <v xml:space="preserve"> ------------</v>
          </cell>
        </row>
      </sheetData>
      <sheetData sheetId="626">
        <row r="38">
          <cell r="B38" t="str">
            <v xml:space="preserve"> ------------</v>
          </cell>
        </row>
      </sheetData>
      <sheetData sheetId="627">
        <row r="38">
          <cell r="B38" t="str">
            <v xml:space="preserve"> ------------</v>
          </cell>
        </row>
      </sheetData>
      <sheetData sheetId="628">
        <row r="38">
          <cell r="B38" t="str">
            <v xml:space="preserve"> ------------</v>
          </cell>
        </row>
      </sheetData>
      <sheetData sheetId="629">
        <row r="38">
          <cell r="B38" t="str">
            <v xml:space="preserve"> ------------</v>
          </cell>
        </row>
      </sheetData>
      <sheetData sheetId="630">
        <row r="38">
          <cell r="B38" t="str">
            <v xml:space="preserve"> ------------</v>
          </cell>
        </row>
      </sheetData>
      <sheetData sheetId="631">
        <row r="38">
          <cell r="B38" t="str">
            <v xml:space="preserve"> ------------</v>
          </cell>
        </row>
      </sheetData>
      <sheetData sheetId="632">
        <row r="38">
          <cell r="B38" t="str">
            <v xml:space="preserve"> ------------</v>
          </cell>
        </row>
      </sheetData>
      <sheetData sheetId="633">
        <row r="38">
          <cell r="B38" t="str">
            <v xml:space="preserve"> ------------</v>
          </cell>
        </row>
      </sheetData>
      <sheetData sheetId="634">
        <row r="38">
          <cell r="B38" t="str">
            <v xml:space="preserve"> ------------</v>
          </cell>
        </row>
      </sheetData>
      <sheetData sheetId="635">
        <row r="38">
          <cell r="B38" t="str">
            <v xml:space="preserve"> ------------</v>
          </cell>
        </row>
      </sheetData>
      <sheetData sheetId="636">
        <row r="38">
          <cell r="B38" t="str">
            <v xml:space="preserve"> ------------</v>
          </cell>
        </row>
      </sheetData>
      <sheetData sheetId="637">
        <row r="38">
          <cell r="B38" t="str">
            <v xml:space="preserve"> ------------</v>
          </cell>
        </row>
      </sheetData>
      <sheetData sheetId="638">
        <row r="38">
          <cell r="B38" t="str">
            <v xml:space="preserve"> ------------</v>
          </cell>
        </row>
      </sheetData>
      <sheetData sheetId="639">
        <row r="38">
          <cell r="B38" t="str">
            <v xml:space="preserve"> ------------</v>
          </cell>
        </row>
      </sheetData>
      <sheetData sheetId="640">
        <row r="38">
          <cell r="B38" t="str">
            <v xml:space="preserve"> ------------</v>
          </cell>
        </row>
      </sheetData>
      <sheetData sheetId="641">
        <row r="38">
          <cell r="B38" t="str">
            <v xml:space="preserve"> ------------</v>
          </cell>
        </row>
      </sheetData>
      <sheetData sheetId="642">
        <row r="38">
          <cell r="B38" t="str">
            <v xml:space="preserve"> ------------</v>
          </cell>
        </row>
      </sheetData>
      <sheetData sheetId="643">
        <row r="38">
          <cell r="B38" t="str">
            <v xml:space="preserve"> ------------</v>
          </cell>
        </row>
      </sheetData>
      <sheetData sheetId="644">
        <row r="38">
          <cell r="B38" t="str">
            <v xml:space="preserve"> ------------</v>
          </cell>
        </row>
      </sheetData>
      <sheetData sheetId="645">
        <row r="38">
          <cell r="B38" t="str">
            <v xml:space="preserve"> ------------</v>
          </cell>
        </row>
      </sheetData>
      <sheetData sheetId="646">
        <row r="38">
          <cell r="B38" t="str">
            <v xml:space="preserve"> ------------</v>
          </cell>
        </row>
      </sheetData>
      <sheetData sheetId="647">
        <row r="38">
          <cell r="B38" t="str">
            <v xml:space="preserve"> ------------</v>
          </cell>
        </row>
      </sheetData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>
        <row r="38">
          <cell r="B38" t="str">
            <v xml:space="preserve"> ------------</v>
          </cell>
        </row>
      </sheetData>
      <sheetData sheetId="695">
        <row r="38">
          <cell r="B38" t="str">
            <v xml:space="preserve"> ------------</v>
          </cell>
        </row>
      </sheetData>
      <sheetData sheetId="696">
        <row r="38">
          <cell r="B38" t="str">
            <v xml:space="preserve"> ------------</v>
          </cell>
        </row>
      </sheetData>
      <sheetData sheetId="697">
        <row r="38">
          <cell r="B38" t="str">
            <v xml:space="preserve"> ------------</v>
          </cell>
        </row>
      </sheetData>
      <sheetData sheetId="698">
        <row r="38">
          <cell r="B38" t="str">
            <v xml:space="preserve"> ------------</v>
          </cell>
        </row>
      </sheetData>
      <sheetData sheetId="699">
        <row r="38">
          <cell r="B38" t="str">
            <v xml:space="preserve"> ------------</v>
          </cell>
        </row>
      </sheetData>
      <sheetData sheetId="700">
        <row r="38">
          <cell r="B38" t="str">
            <v xml:space="preserve"> ------------</v>
          </cell>
        </row>
      </sheetData>
      <sheetData sheetId="701">
        <row r="38">
          <cell r="B38" t="str">
            <v xml:space="preserve"> ------------</v>
          </cell>
        </row>
      </sheetData>
      <sheetData sheetId="702">
        <row r="38">
          <cell r="B38" t="str">
            <v xml:space="preserve"> ------------</v>
          </cell>
        </row>
      </sheetData>
      <sheetData sheetId="703">
        <row r="38">
          <cell r="B38" t="str">
            <v xml:space="preserve"> ------------</v>
          </cell>
        </row>
      </sheetData>
      <sheetData sheetId="704">
        <row r="38">
          <cell r="B38" t="str">
            <v xml:space="preserve"> ------------</v>
          </cell>
        </row>
      </sheetData>
      <sheetData sheetId="705">
        <row r="38">
          <cell r="B38" t="str">
            <v xml:space="preserve"> ------------</v>
          </cell>
        </row>
      </sheetData>
      <sheetData sheetId="706"/>
      <sheetData sheetId="707">
        <row r="38">
          <cell r="B38" t="str">
            <v xml:space="preserve"> ------------</v>
          </cell>
        </row>
      </sheetData>
      <sheetData sheetId="708">
        <row r="38">
          <cell r="B38" t="str">
            <v xml:space="preserve"> ------------</v>
          </cell>
        </row>
      </sheetData>
      <sheetData sheetId="709">
        <row r="38">
          <cell r="B38" t="str">
            <v xml:space="preserve"> ------------</v>
          </cell>
        </row>
      </sheetData>
      <sheetData sheetId="710">
        <row r="38">
          <cell r="B38" t="str">
            <v xml:space="preserve"> ------------</v>
          </cell>
        </row>
      </sheetData>
      <sheetData sheetId="711">
        <row r="38">
          <cell r="B38" t="str">
            <v xml:space="preserve"> ------------</v>
          </cell>
        </row>
      </sheetData>
      <sheetData sheetId="712">
        <row r="38">
          <cell r="B38" t="str">
            <v xml:space="preserve"> ------------</v>
          </cell>
        </row>
      </sheetData>
      <sheetData sheetId="713">
        <row r="38">
          <cell r="B38" t="str">
            <v xml:space="preserve"> ------------</v>
          </cell>
        </row>
      </sheetData>
      <sheetData sheetId="714"/>
      <sheetData sheetId="715">
        <row r="38">
          <cell r="B38" t="str">
            <v xml:space="preserve"> ------------</v>
          </cell>
        </row>
      </sheetData>
      <sheetData sheetId="716">
        <row r="38">
          <cell r="B38" t="str">
            <v xml:space="preserve"> ------------</v>
          </cell>
        </row>
      </sheetData>
      <sheetData sheetId="717"/>
      <sheetData sheetId="718">
        <row r="38">
          <cell r="B38" t="str">
            <v xml:space="preserve"> ------------</v>
          </cell>
        </row>
      </sheetData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>
        <row r="6">
          <cell r="A6">
            <v>0</v>
          </cell>
        </row>
      </sheetData>
      <sheetData sheetId="739"/>
      <sheetData sheetId="74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uong"/>
      <sheetName val="T01"/>
      <sheetName val="Trương Hoang Chuong - Bang TT t"/>
      <sheetName val="Trương%20Hoang%20Chuong%20-%20B"/>
      <sheetName val="tham chieu"/>
      <sheetName val="INDEX"/>
      <sheetName val="KETQUA"/>
      <sheetName val="Trương_Hoang_Chuong_-_Bang_TT_t"/>
      <sheetName val="tham_chieu"/>
    </sheetNames>
    <definedNames>
      <definedName name="_KDX3" refersTo="#REF!"/>
      <definedName name="Choices_Wrapper" refersTo="#REF!"/>
      <definedName name="DOM" refersTo="#REF!"/>
      <definedName name="DOMUSAGER" refersTo="#REF!"/>
      <definedName name="DOMUSA저장" refersTo="#REF!"/>
      <definedName name="DOM전장" refersTo="#REF!"/>
      <definedName name="GELALL" refersTo="#REF!"/>
      <definedName name="GELALL전장2" refersTo="#REF!"/>
      <definedName name="GER" refersTo="#REF!"/>
      <definedName name="GER전장" refersTo="#REF!"/>
      <definedName name="LC3차서" refersTo="#REF!"/>
      <definedName name="MIPX3" refersTo="#REF!"/>
      <definedName name="TM" refersTo="#REF!"/>
      <definedName name="전장DOM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"/>
      <sheetName val="T1"/>
      <sheetName val="TL1"/>
      <sheetName val="CHI TIẾT"/>
      <sheetName val="mau hoc hoi"/>
      <sheetName val="CAUDIT"/>
      <sheetName val="CHI_TIẾT"/>
      <sheetName val="mau_hoc_hoi"/>
      <sheetName val="CHI_TIẾT1"/>
      <sheetName val="mau_hoc_hoi1"/>
      <sheetName val="Phan loai khuon "/>
      <sheetName val="CHI_TIẾT2"/>
      <sheetName val="mau_hoc_hoi2"/>
      <sheetName val="Phan_loai_khuon_"/>
    </sheetNames>
    <sheetDataSet>
      <sheetData sheetId="0">
        <row r="4">
          <cell r="F4">
            <v>620000</v>
          </cell>
        </row>
        <row r="5">
          <cell r="F5">
            <v>24</v>
          </cell>
        </row>
        <row r="9">
          <cell r="B9" t="str">
            <v>nva</v>
          </cell>
          <cell r="C9" t="str">
            <v>NguyÔn V¨n A</v>
          </cell>
          <cell r="D9">
            <v>5.32</v>
          </cell>
          <cell r="E9" t="str">
            <v>Gi¸m ®èc</v>
          </cell>
          <cell r="F9">
            <v>3000000</v>
          </cell>
          <cell r="G9">
            <v>150000</v>
          </cell>
        </row>
        <row r="10">
          <cell r="B10" t="str">
            <v>nvb</v>
          </cell>
          <cell r="C10" t="str">
            <v>NguyÔn V¨n B</v>
          </cell>
          <cell r="D10">
            <v>4.66</v>
          </cell>
          <cell r="E10" t="str">
            <v>P. G§</v>
          </cell>
          <cell r="F10">
            <v>2800000</v>
          </cell>
          <cell r="G10">
            <v>120000</v>
          </cell>
        </row>
        <row r="11">
          <cell r="B11" t="str">
            <v>nvc</v>
          </cell>
          <cell r="C11" t="str">
            <v>NguyÔn V¨n C</v>
          </cell>
          <cell r="D11">
            <v>4.33</v>
          </cell>
          <cell r="E11" t="str">
            <v>KTT</v>
          </cell>
          <cell r="F11">
            <v>2500000</v>
          </cell>
          <cell r="G11">
            <v>100000</v>
          </cell>
        </row>
        <row r="12">
          <cell r="B12" t="str">
            <v>nvd</v>
          </cell>
          <cell r="C12" t="str">
            <v>NguyÔn V¨n D</v>
          </cell>
          <cell r="D12">
            <v>2.34</v>
          </cell>
          <cell r="E12" t="str">
            <v>nv</v>
          </cell>
          <cell r="F12">
            <v>2000000</v>
          </cell>
          <cell r="G12">
            <v>80000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T"/>
      <sheetName val="POS"/>
      <sheetName val="Sheet4"/>
      <sheetName val="Sheet5"/>
      <sheetName val="15022018"/>
      <sheetName val="TEN"/>
      <sheetName val="Sheet3"/>
      <sheetName val="bill"/>
      <sheetName val="doanh so"/>
      <sheetName val="incentive theo bill va doanh so"/>
      <sheetName val="OT Chart"/>
      <sheetName val="doanh_so"/>
      <sheetName val="incentive_theo_bill_va_doanh_so"/>
      <sheetName val="OT_Chart"/>
      <sheetName val="doanh_so1"/>
      <sheetName val="incentive_theo_bill_va_doanh_s1"/>
      <sheetName val="OT_Chart1"/>
      <sheetName val="doanh_so2"/>
      <sheetName val="incentive_theo_bill_va_doanh_s2"/>
      <sheetName val="OT_Chart2"/>
      <sheetName val="doanh_so4"/>
      <sheetName val="incentive_theo_bill_va_doanh_s4"/>
      <sheetName val="OT_Chart4"/>
      <sheetName val="doanh_so3"/>
      <sheetName val="incentive_theo_bill_va_doanh_s3"/>
      <sheetName val="OT_Chart3"/>
      <sheetName val="doanh_so6"/>
      <sheetName val="incentive_theo_bill_va_doanh_s6"/>
      <sheetName val="OT_Chart6"/>
      <sheetName val="doanh_so5"/>
      <sheetName val="incentive_theo_bill_va_doanh_s5"/>
      <sheetName val="OT_Chart5"/>
      <sheetName val="doanh_so7"/>
      <sheetName val="incentive_theo_bill_va_doanh_s7"/>
      <sheetName val="OT_Chart7"/>
      <sheetName val="doanh_so8"/>
      <sheetName val="incentive_theo_bill_va_doanh_s8"/>
      <sheetName val="OT_Chart8"/>
      <sheetName val="doanh_so9"/>
      <sheetName val="incentive_theo_bill_va_doanh_s9"/>
      <sheetName val="OT_Chart9"/>
      <sheetName val="doanh_so10"/>
      <sheetName val="incentive_theo_bill_va_doanh_10"/>
      <sheetName val="OT_Chart10"/>
      <sheetName val="doanh_so11"/>
      <sheetName val="incentive_theo_bill_va_doanh_11"/>
      <sheetName val="OT_Chart11"/>
      <sheetName val="doanh_so12"/>
      <sheetName val="incentive_theo_bill_va_doanh_12"/>
      <sheetName val="OT_Chart12"/>
      <sheetName val="doanh_so13"/>
      <sheetName val="incentive_theo_bill_va_doanh_13"/>
      <sheetName val="OT_Chart13"/>
      <sheetName val="doanh_so14"/>
      <sheetName val="incentive_theo_bill_va_doanh_14"/>
      <sheetName val="OT_Chart14"/>
      <sheetName val="doanh_so15"/>
      <sheetName val="incentive_theo_bill_va_doanh_15"/>
      <sheetName val="OT_Chart15"/>
      <sheetName val="doanh_so16"/>
      <sheetName val="incentive_theo_bill_va_doanh_16"/>
      <sheetName val="OT_Chart16"/>
      <sheetName val="doanh_so17"/>
      <sheetName val="incentive_theo_bill_va_doanh_17"/>
      <sheetName val="OT_Chart17"/>
      <sheetName val="doanh_so20"/>
      <sheetName val="incentive_theo_bill_va_doanh_20"/>
      <sheetName val="OT_Chart20"/>
      <sheetName val="doanh_so18"/>
      <sheetName val="incentive_theo_bill_va_doanh_18"/>
      <sheetName val="OT_Chart18"/>
      <sheetName val="doanh_so19"/>
      <sheetName val="incentive_theo_bill_va_doanh_19"/>
      <sheetName val="OT_Chart19"/>
      <sheetName val="doanh_so22"/>
      <sheetName val="incentive_theo_bill_va_doanh_22"/>
      <sheetName val="OT_Chart22"/>
      <sheetName val="doanh_so21"/>
      <sheetName val="incentive_theo_bill_va_doanh_21"/>
      <sheetName val="OT_Chart21"/>
      <sheetName val="doanh_so23"/>
      <sheetName val="incentive_theo_bill_va_doanh_23"/>
      <sheetName val="OT_Chart23"/>
      <sheetName val="doanh_so25"/>
      <sheetName val="incentive_theo_bill_va_doanh_25"/>
      <sheetName val="OT_Chart25"/>
      <sheetName val="doanh_so24"/>
      <sheetName val="incentive_theo_bill_va_doanh_24"/>
      <sheetName val="OT_Chart24"/>
      <sheetName val="doanh_so26"/>
      <sheetName val="incentive_theo_bill_va_doanh_26"/>
      <sheetName val="OT_Chart26"/>
      <sheetName val="doanh_so27"/>
      <sheetName val="incentive_theo_bill_va_doanh_27"/>
      <sheetName val="OT_Chart27"/>
      <sheetName val="doanh_so28"/>
      <sheetName val="incentive_theo_bill_va_doanh_28"/>
      <sheetName val="OT_Chart28"/>
      <sheetName val="doanh_so29"/>
      <sheetName val="incentive_theo_bill_va_doanh_29"/>
      <sheetName val="OT_Chart29"/>
      <sheetName val="doanh_so30"/>
      <sheetName val="incentive_theo_bill_va_doanh_30"/>
      <sheetName val="OT_Chart30"/>
      <sheetName val="doanh_so31"/>
      <sheetName val="incentive_theo_bill_va_doanh_31"/>
      <sheetName val="OT_Chart31"/>
      <sheetName val="doanh_so33"/>
      <sheetName val="incentive_theo_bill_va_doanh_33"/>
      <sheetName val="OT_Chart33"/>
      <sheetName val="doanh_so32"/>
      <sheetName val="incentive_theo_bill_va_doanh_32"/>
      <sheetName val="OT_Chart32"/>
      <sheetName val="doanh_so36"/>
      <sheetName val="incentive_theo_bill_va_doanh_36"/>
      <sheetName val="OT_Chart36"/>
      <sheetName val="doanh_so34"/>
      <sheetName val="incentive_theo_bill_va_doanh_34"/>
      <sheetName val="OT_Chart34"/>
      <sheetName val="doanh_so35"/>
      <sheetName val="incentive_theo_bill_va_doanh_35"/>
      <sheetName val="OT_Chart35"/>
      <sheetName val="doanh_so39"/>
      <sheetName val="incentive_theo_bill_va_doanh_39"/>
      <sheetName val="OT_Chart39"/>
      <sheetName val="doanh_so37"/>
      <sheetName val="incentive_theo_bill_va_doanh_37"/>
      <sheetName val="OT_Chart37"/>
      <sheetName val="doanh_so38"/>
      <sheetName val="incentive_theo_bill_va_doanh_38"/>
      <sheetName val="OT_Chart38"/>
      <sheetName val="doanh_so40"/>
      <sheetName val="incentive_theo_bill_va_doanh_40"/>
      <sheetName val="OT_Chart40"/>
      <sheetName val="doanh_so41"/>
      <sheetName val="incentive_theo_bill_va_doanh_41"/>
      <sheetName val="OT_Chart41"/>
      <sheetName val="doanh_so42"/>
      <sheetName val="incentive_theo_bill_va_doanh_42"/>
      <sheetName val="OT_Chart42"/>
      <sheetName val="doanh_so47"/>
      <sheetName val="incentive_theo_bill_va_doanh_47"/>
      <sheetName val="OT_Chart47"/>
      <sheetName val="doanh_so46"/>
      <sheetName val="incentive_theo_bill_va_doanh_46"/>
      <sheetName val="OT_Chart46"/>
      <sheetName val="doanh_so43"/>
      <sheetName val="incentive_theo_bill_va_doanh_43"/>
      <sheetName val="OT_Chart43"/>
      <sheetName val="doanh_so44"/>
      <sheetName val="incentive_theo_bill_va_doanh_44"/>
      <sheetName val="OT_Chart44"/>
      <sheetName val="doanh_so45"/>
      <sheetName val="incentive_theo_bill_va_doanh_45"/>
      <sheetName val="OT_Chart45"/>
      <sheetName val="doanh_so48"/>
      <sheetName val="incentive_theo_bill_va_doanh_48"/>
      <sheetName val="OT_Chart48"/>
      <sheetName val="doanh_so49"/>
      <sheetName val="incentive_theo_bill_va_doanh_49"/>
      <sheetName val="OT_Chart49"/>
      <sheetName val="doanh_so50"/>
      <sheetName val="incentive_theo_bill_va_doanh_50"/>
      <sheetName val="OT_Chart50"/>
      <sheetName val="doanh_so51"/>
      <sheetName val="incentive_theo_bill_va_doanh_51"/>
      <sheetName val="OT_Chart51"/>
      <sheetName val="doanh_so52"/>
      <sheetName val="incentive_theo_bill_va_doanh_52"/>
      <sheetName val="OT_Chart52"/>
      <sheetName val="doanh_so57"/>
      <sheetName val="incentive_theo_bill_va_doanh_57"/>
      <sheetName val="OT_Chart57"/>
      <sheetName val="doanh_so53"/>
      <sheetName val="incentive_theo_bill_va_doanh_53"/>
      <sheetName val="OT_Chart53"/>
      <sheetName val="doanh_so56"/>
      <sheetName val="incentive_theo_bill_va_doanh_56"/>
      <sheetName val="OT_Chart56"/>
      <sheetName val="doanh_so54"/>
      <sheetName val="incentive_theo_bill_va_doanh_54"/>
      <sheetName val="OT_Chart54"/>
      <sheetName val="doanh_so55"/>
      <sheetName val="incentive_theo_bill_va_doanh_55"/>
      <sheetName val="OT_Chart55"/>
      <sheetName val="doanh_so58"/>
      <sheetName val="incentive_theo_bill_va_doanh_58"/>
      <sheetName val="OT_Chart58"/>
      <sheetName val="doanh_so70"/>
      <sheetName val="incentive_theo_bill_va_doanh_70"/>
      <sheetName val="OT_Chart70"/>
      <sheetName val="doanh_so59"/>
      <sheetName val="incentive_theo_bill_va_doanh_59"/>
      <sheetName val="OT_Chart59"/>
      <sheetName val="doanh_so69"/>
      <sheetName val="incentive_theo_bill_va_doanh_69"/>
      <sheetName val="OT_Chart69"/>
      <sheetName val="doanh_so62"/>
      <sheetName val="incentive_theo_bill_va_doanh_62"/>
      <sheetName val="OT_Chart62"/>
      <sheetName val="doanh_so60"/>
      <sheetName val="incentive_theo_bill_va_doanh_60"/>
      <sheetName val="OT_Chart60"/>
      <sheetName val="doanh_so61"/>
      <sheetName val="incentive_theo_bill_va_doanh_61"/>
      <sheetName val="OT_Chart61"/>
      <sheetName val="doanh_so63"/>
      <sheetName val="incentive_theo_bill_va_doanh_63"/>
      <sheetName val="OT_Chart63"/>
      <sheetName val="doanh_so64"/>
      <sheetName val="incentive_theo_bill_va_doanh_64"/>
      <sheetName val="OT_Chart64"/>
      <sheetName val="doanh_so65"/>
      <sheetName val="incentive_theo_bill_va_doanh_65"/>
      <sheetName val="OT_Chart65"/>
      <sheetName val="doanh_so66"/>
      <sheetName val="incentive_theo_bill_va_doanh_66"/>
      <sheetName val="OT_Chart66"/>
      <sheetName val="doanh_so67"/>
      <sheetName val="incentive_theo_bill_va_doanh_67"/>
      <sheetName val="OT_Chart67"/>
      <sheetName val="doanh_so68"/>
      <sheetName val="incentive_theo_bill_va_doanh_68"/>
      <sheetName val="OT_Chart68"/>
      <sheetName val="doanh_so71"/>
      <sheetName val="incentive_theo_bill_va_doanh_71"/>
      <sheetName val="OT_Chart71"/>
      <sheetName val="doanh_so72"/>
      <sheetName val="incentive_theo_bill_va_doanh_72"/>
      <sheetName val="OT_Chart72"/>
      <sheetName val="doanh_so73"/>
      <sheetName val="incentive_theo_bill_va_doanh_73"/>
      <sheetName val="OT_Chart73"/>
      <sheetName val="doanh_so75"/>
      <sheetName val="incentive_theo_bill_va_doanh_75"/>
      <sheetName val="OT_Chart75"/>
      <sheetName val="doanh_so74"/>
      <sheetName val="incentive_theo_bill_va_doanh_74"/>
      <sheetName val="OT_Chart74"/>
      <sheetName val="doanh_so77"/>
      <sheetName val="incentive_theo_bill_va_doanh_77"/>
      <sheetName val="OT_Chart77"/>
      <sheetName val="doanh_so76"/>
      <sheetName val="incentive_theo_bill_va_doanh_76"/>
      <sheetName val="OT_Chart76"/>
      <sheetName val="doanh_so81"/>
      <sheetName val="incentive_theo_bill_va_doanh_81"/>
      <sheetName val="OT_Chart81"/>
      <sheetName val="doanh_so78"/>
      <sheetName val="incentive_theo_bill_va_doanh_78"/>
      <sheetName val="OT_Chart78"/>
      <sheetName val="doanh_so79"/>
      <sheetName val="incentive_theo_bill_va_doanh_79"/>
      <sheetName val="OT_Chart79"/>
      <sheetName val="doanh_so80"/>
      <sheetName val="incentive_theo_bill_va_doanh_80"/>
      <sheetName val="OT_Chart80"/>
      <sheetName val="doanh_so83"/>
      <sheetName val="incentive_theo_bill_va_doanh_83"/>
      <sheetName val="OT_Chart83"/>
      <sheetName val="doanh_so82"/>
      <sheetName val="incentive_theo_bill_va_doanh_82"/>
      <sheetName val="OT_Chart82"/>
      <sheetName val="doanh_so87"/>
      <sheetName val="incentive_theo_bill_va_doanh_87"/>
      <sheetName val="OT_Chart87"/>
      <sheetName val="doanh_so84"/>
      <sheetName val="incentive_theo_bill_va_doanh_84"/>
      <sheetName val="OT_Chart84"/>
      <sheetName val="doanh_so85"/>
      <sheetName val="incentive_theo_bill_va_doanh_85"/>
      <sheetName val="OT_Chart85"/>
      <sheetName val="doanh_so86"/>
      <sheetName val="incentive_theo_bill_va_doanh_86"/>
      <sheetName val="OT_Chart86"/>
      <sheetName val="doanh_so88"/>
      <sheetName val="incentive_theo_bill_va_doanh_88"/>
      <sheetName val="OT_Chart88"/>
      <sheetName val="doanh_so89"/>
      <sheetName val="incentive_theo_bill_va_doanh_89"/>
      <sheetName val="OT_Chart89"/>
      <sheetName val="doanh_so93"/>
      <sheetName val="incentive_theo_bill_va_doanh_93"/>
      <sheetName val="OT_Chart93"/>
      <sheetName val="doanh_so92"/>
      <sheetName val="incentive_theo_bill_va_doanh_92"/>
      <sheetName val="OT_Chart92"/>
      <sheetName val="doanh_so90"/>
      <sheetName val="incentive_theo_bill_va_doanh_90"/>
      <sheetName val="OT_Chart90"/>
      <sheetName val="doanh_so91"/>
      <sheetName val="incentive_theo_bill_va_doanh_91"/>
      <sheetName val="OT_Chart91"/>
      <sheetName val="doanh_so94"/>
      <sheetName val="incentive_theo_bill_va_doanh_94"/>
      <sheetName val="OT_Chart94"/>
      <sheetName val="doanh_so95"/>
      <sheetName val="incentive_theo_bill_va_doanh_95"/>
      <sheetName val="OT_Chart95"/>
      <sheetName val="doanh_so96"/>
      <sheetName val="incentive_theo_bill_va_doanh_96"/>
      <sheetName val="OT_Chart96"/>
      <sheetName val="doanh_so97"/>
      <sheetName val="incentive_theo_bill_va_doanh_97"/>
      <sheetName val="OT_Chart97"/>
      <sheetName val="doanh_so98"/>
      <sheetName val="incentive_theo_bill_va_doanh_98"/>
      <sheetName val="OT_Chart98"/>
      <sheetName val="doanh_so99"/>
      <sheetName val="incentive_theo_bill_va_doanh_99"/>
      <sheetName val="OT_Chart99"/>
      <sheetName val="doanh_so100"/>
      <sheetName val="incentive_theo_bill_va_doanh100"/>
      <sheetName val="OT_Chart100"/>
      <sheetName val="doanh_so106"/>
      <sheetName val="incentive_theo_bill_va_doanh106"/>
      <sheetName val="OT_Chart106"/>
      <sheetName val="doanh_so101"/>
      <sheetName val="incentive_theo_bill_va_doanh101"/>
      <sheetName val="OT_Chart101"/>
      <sheetName val="doanh_so102"/>
      <sheetName val="incentive_theo_bill_va_doanh102"/>
      <sheetName val="OT_Chart102"/>
      <sheetName val="doanh_so103"/>
      <sheetName val="incentive_theo_bill_va_doanh103"/>
      <sheetName val="OT_Chart103"/>
      <sheetName val="doanh_so104"/>
      <sheetName val="incentive_theo_bill_va_doanh104"/>
      <sheetName val="OT_Chart104"/>
      <sheetName val="doanh_so105"/>
      <sheetName val="incentive_theo_bill_va_doanh105"/>
      <sheetName val="OT_Chart105"/>
      <sheetName val="doanh_so107"/>
      <sheetName val="incentive_theo_bill_va_doanh107"/>
      <sheetName val="OT_Chart107"/>
      <sheetName val="doanh_so108"/>
      <sheetName val="incentive_theo_bill_va_doanh108"/>
      <sheetName val="OT_Chart108"/>
      <sheetName val="doanh_so111"/>
      <sheetName val="incentive_theo_bill_va_doanh111"/>
      <sheetName val="OT_Chart111"/>
      <sheetName val="doanh_so109"/>
      <sheetName val="incentive_theo_bill_va_doanh109"/>
      <sheetName val="OT_Chart109"/>
      <sheetName val="doanh_so110"/>
      <sheetName val="incentive_theo_bill_va_doanh110"/>
      <sheetName val="OT_Chart110"/>
      <sheetName val="doanh_so115"/>
      <sheetName val="incentive_theo_bill_va_doanh115"/>
      <sheetName val="OT_Chart115"/>
      <sheetName val="doanh_so112"/>
      <sheetName val="incentive_theo_bill_va_doanh112"/>
      <sheetName val="OT_Chart112"/>
      <sheetName val="doanh_so113"/>
      <sheetName val="incentive_theo_bill_va_doanh113"/>
      <sheetName val="OT_Chart113"/>
      <sheetName val="doanh_so114"/>
      <sheetName val="incentive_theo_bill_va_doanh114"/>
      <sheetName val="OT_Chart114"/>
      <sheetName val="doanh_so116"/>
      <sheetName val="incentive_theo_bill_va_doanh116"/>
      <sheetName val="OT_Chart116"/>
      <sheetName val="doanh_so123"/>
      <sheetName val="incentive_theo_bill_va_doanh123"/>
      <sheetName val="OT_Chart123"/>
      <sheetName val="doanh_so117"/>
      <sheetName val="incentive_theo_bill_va_doanh117"/>
      <sheetName val="OT_Chart117"/>
      <sheetName val="doanh_so118"/>
      <sheetName val="incentive_theo_bill_va_doanh118"/>
      <sheetName val="OT_Chart118"/>
      <sheetName val="doanh_so119"/>
      <sheetName val="incentive_theo_bill_va_doanh119"/>
      <sheetName val="OT_Chart119"/>
      <sheetName val="doanh_so120"/>
      <sheetName val="incentive_theo_bill_va_doanh120"/>
      <sheetName val="OT_Chart120"/>
      <sheetName val="doanh_so121"/>
      <sheetName val="incentive_theo_bill_va_doanh121"/>
      <sheetName val="OT_Chart121"/>
      <sheetName val="doanh_so122"/>
      <sheetName val="incentive_theo_bill_va_doanh122"/>
      <sheetName val="OT_Chart122"/>
      <sheetName val="doanh_so131"/>
      <sheetName val="incentive_theo_bill_va_doanh131"/>
      <sheetName val="OT_Chart131"/>
      <sheetName val="doanh_so125"/>
      <sheetName val="incentive_theo_bill_va_doanh125"/>
      <sheetName val="OT_Chart125"/>
      <sheetName val="doanh_so124"/>
      <sheetName val="incentive_theo_bill_va_doanh124"/>
      <sheetName val="OT_Chart124"/>
      <sheetName val="doanh_so126"/>
      <sheetName val="incentive_theo_bill_va_doanh126"/>
      <sheetName val="OT_Chart126"/>
      <sheetName val="doanh_so127"/>
      <sheetName val="incentive_theo_bill_va_doanh127"/>
      <sheetName val="OT_Chart127"/>
      <sheetName val="doanh_so130"/>
      <sheetName val="incentive_theo_bill_va_doanh130"/>
      <sheetName val="OT_Chart130"/>
      <sheetName val="doanh_so128"/>
      <sheetName val="incentive_theo_bill_va_doanh128"/>
      <sheetName val="OT_Chart128"/>
      <sheetName val="doanh_so129"/>
      <sheetName val="incentive_theo_bill_va_doanh129"/>
      <sheetName val="OT_Chart129"/>
      <sheetName val="doanh_so132"/>
      <sheetName val="incentive_theo_bill_va_doanh132"/>
      <sheetName val="OT_Chart132"/>
      <sheetName val="doanh_so133"/>
      <sheetName val="incentive_theo_bill_va_doanh133"/>
      <sheetName val="OT_Chart133"/>
      <sheetName val="doanh_so135"/>
      <sheetName val="incentive_theo_bill_va_doanh135"/>
      <sheetName val="OT_Chart135"/>
      <sheetName val="doanh_so134"/>
      <sheetName val="incentive_theo_bill_va_doanh134"/>
      <sheetName val="OT_Chart134"/>
      <sheetName val="doanh_so143"/>
      <sheetName val="incentive_theo_bill_va_doanh143"/>
      <sheetName val="OT_Chart143"/>
      <sheetName val="doanh_so136"/>
      <sheetName val="incentive_theo_bill_va_doanh136"/>
      <sheetName val="OT_Chart136"/>
      <sheetName val="doanh_so137"/>
      <sheetName val="incentive_theo_bill_va_doanh137"/>
      <sheetName val="OT_Chart137"/>
      <sheetName val="doanh_so138"/>
      <sheetName val="incentive_theo_bill_va_doanh138"/>
      <sheetName val="OT_Chart138"/>
      <sheetName val="doanh_so139"/>
      <sheetName val="incentive_theo_bill_va_doanh139"/>
      <sheetName val="OT_Chart139"/>
      <sheetName val="doanh_so140"/>
      <sheetName val="incentive_theo_bill_va_doanh140"/>
      <sheetName val="OT_Chart140"/>
      <sheetName val="doanh_so141"/>
      <sheetName val="incentive_theo_bill_va_doanh141"/>
      <sheetName val="OT_Chart141"/>
      <sheetName val="doanh_so142"/>
      <sheetName val="incentive_theo_bill_va_doanh142"/>
      <sheetName val="OT_Chart142"/>
      <sheetName val="doanh_so144"/>
      <sheetName val="incentive_theo_bill_va_doanh144"/>
      <sheetName val="OT_Chart144"/>
      <sheetName val="doanh_so145"/>
      <sheetName val="incentive_theo_bill_va_doanh145"/>
      <sheetName val="OT_Chart145"/>
      <sheetName val="doanh_so146"/>
      <sheetName val="incentive_theo_bill_va_doanh146"/>
      <sheetName val="OT_Chart146"/>
      <sheetName val="doanh_so147"/>
      <sheetName val="incentive_theo_bill_va_doanh147"/>
      <sheetName val="OT_Chart147"/>
      <sheetName val="doanh_so149"/>
      <sheetName val="incentive_theo_bill_va_doanh149"/>
      <sheetName val="OT_Chart149"/>
      <sheetName val="doanh_so148"/>
      <sheetName val="incentive_theo_bill_va_doanh148"/>
      <sheetName val="OT_Chart148"/>
      <sheetName val="doanh_so150"/>
      <sheetName val="incentive_theo_bill_va_doanh150"/>
      <sheetName val="OT_Chart150"/>
      <sheetName val="doanh_so156"/>
      <sheetName val="incentive_theo_bill_va_doanh156"/>
      <sheetName val="OT_Chart156"/>
      <sheetName val="doanh_so155"/>
      <sheetName val="incentive_theo_bill_va_doanh155"/>
      <sheetName val="OT_Chart155"/>
      <sheetName val="doanh_so153"/>
      <sheetName val="incentive_theo_bill_va_doanh153"/>
      <sheetName val="OT_Chart153"/>
      <sheetName val="doanh_so151"/>
      <sheetName val="incentive_theo_bill_va_doanh151"/>
      <sheetName val="OT_Chart151"/>
      <sheetName val="doanh_so152"/>
      <sheetName val="incentive_theo_bill_va_doanh152"/>
      <sheetName val="OT_Chart152"/>
      <sheetName val="doanh_so154"/>
      <sheetName val="incentive_theo_bill_va_doanh154"/>
      <sheetName val="OT_Chart154"/>
      <sheetName val="doanh_so158"/>
      <sheetName val="incentive_theo_bill_va_doanh158"/>
      <sheetName val="OT_Chart158"/>
      <sheetName val="doanh_so157"/>
      <sheetName val="incentive_theo_bill_va_doanh157"/>
      <sheetName val="OT_Chart157"/>
      <sheetName val="doanh_so160"/>
      <sheetName val="incentive_theo_bill_va_doanh160"/>
      <sheetName val="OT_Chart160"/>
      <sheetName val="doanh_so159"/>
      <sheetName val="incentive_theo_bill_va_doanh159"/>
      <sheetName val="OT_Chart159"/>
      <sheetName val="doanh_so162"/>
      <sheetName val="incentive_theo_bill_va_doanh162"/>
      <sheetName val="OT_Chart162"/>
      <sheetName val="doanh_so161"/>
      <sheetName val="incentive_theo_bill_va_doanh161"/>
      <sheetName val="OT_Chart161"/>
      <sheetName val="doanh_so164"/>
      <sheetName val="incentive_theo_bill_va_doanh164"/>
      <sheetName val="OT_Chart164"/>
      <sheetName val="doanh_so163"/>
      <sheetName val="incentive_theo_bill_va_doanh163"/>
      <sheetName val="OT_Chart163"/>
      <sheetName val="doanh_so181"/>
      <sheetName val="incentive_theo_bill_va_doanh181"/>
      <sheetName val="OT_Chart181"/>
      <sheetName val="doanh_so172"/>
      <sheetName val="incentive_theo_bill_va_doanh172"/>
      <sheetName val="OT_Chart172"/>
      <sheetName val="doanh_so167"/>
      <sheetName val="incentive_theo_bill_va_doanh167"/>
      <sheetName val="OT_Chart167"/>
      <sheetName val="doanh_so166"/>
      <sheetName val="incentive_theo_bill_va_doanh166"/>
      <sheetName val="OT_Chart166"/>
      <sheetName val="doanh_so165"/>
      <sheetName val="incentive_theo_bill_va_doanh165"/>
      <sheetName val="OT_Chart165"/>
      <sheetName val="doanh_so168"/>
      <sheetName val="incentive_theo_bill_va_doanh168"/>
      <sheetName val="OT_Chart168"/>
      <sheetName val="doanh_so169"/>
      <sheetName val="incentive_theo_bill_va_doanh169"/>
      <sheetName val="OT_Chart169"/>
      <sheetName val="doanh_so171"/>
      <sheetName val="incentive_theo_bill_va_doanh171"/>
      <sheetName val="OT_Chart171"/>
      <sheetName val="doanh_so170"/>
      <sheetName val="incentive_theo_bill_va_doanh170"/>
      <sheetName val="OT_Chart170"/>
      <sheetName val="doanh_so173"/>
      <sheetName val="incentive_theo_bill_va_doanh173"/>
      <sheetName val="OT_Chart173"/>
      <sheetName val="doanh_so174"/>
      <sheetName val="incentive_theo_bill_va_doanh174"/>
      <sheetName val="OT_Chart174"/>
      <sheetName val="doanh_so175"/>
      <sheetName val="incentive_theo_bill_va_doanh175"/>
      <sheetName val="OT_Chart175"/>
      <sheetName val="doanh_so177"/>
      <sheetName val="incentive_theo_bill_va_doanh177"/>
      <sheetName val="OT_Chart177"/>
      <sheetName val="doanh_so176"/>
      <sheetName val="incentive_theo_bill_va_doanh176"/>
      <sheetName val="OT_Chart176"/>
      <sheetName val="doanh_so178"/>
      <sheetName val="incentive_theo_bill_va_doanh178"/>
      <sheetName val="OT_Chart178"/>
      <sheetName val="doanh_so180"/>
      <sheetName val="incentive_theo_bill_va_doanh180"/>
      <sheetName val="OT_Chart180"/>
      <sheetName val="doanh_so179"/>
      <sheetName val="incentive_theo_bill_va_doanh179"/>
      <sheetName val="OT_Chart179"/>
      <sheetName val="doanh_so192"/>
      <sheetName val="incentive_theo_bill_va_doanh192"/>
      <sheetName val="OT_Chart192"/>
      <sheetName val="doanh_so191"/>
      <sheetName val="incentive_theo_bill_va_doanh191"/>
      <sheetName val="OT_Chart191"/>
      <sheetName val="doanh_so189"/>
      <sheetName val="incentive_theo_bill_va_doanh189"/>
      <sheetName val="OT_Chart189"/>
      <sheetName val="doanh_so187"/>
      <sheetName val="incentive_theo_bill_va_doanh187"/>
      <sheetName val="OT_Chart187"/>
      <sheetName val="doanh_so186"/>
      <sheetName val="incentive_theo_bill_va_doanh186"/>
      <sheetName val="OT_Chart186"/>
      <sheetName val="doanh_so183"/>
      <sheetName val="incentive_theo_bill_va_doanh183"/>
      <sheetName val="OT_Chart183"/>
      <sheetName val="doanh_so182"/>
      <sheetName val="incentive_theo_bill_va_doanh182"/>
      <sheetName val="OT_Chart182"/>
      <sheetName val="doanh_so184"/>
      <sheetName val="incentive_theo_bill_va_doanh184"/>
      <sheetName val="OT_Chart184"/>
      <sheetName val="doanh_so185"/>
      <sheetName val="incentive_theo_bill_va_doanh185"/>
      <sheetName val="OT_Chart185"/>
      <sheetName val="doanh_so188"/>
      <sheetName val="incentive_theo_bill_va_doanh188"/>
      <sheetName val="OT_Chart188"/>
      <sheetName val="doanh_so190"/>
      <sheetName val="incentive_theo_bill_va_doanh190"/>
      <sheetName val="OT_Chart190"/>
      <sheetName val="doanh_so193"/>
      <sheetName val="incentive_theo_bill_va_doanh193"/>
      <sheetName val="OT_Chart193"/>
      <sheetName val="doanh_so194"/>
      <sheetName val="incentive_theo_bill_va_doanh194"/>
      <sheetName val="OT_Chart194"/>
      <sheetName val="doanh_so195"/>
      <sheetName val="incentive_theo_bill_va_doanh195"/>
      <sheetName val="OT_Chart195"/>
      <sheetName val="doanh_so231"/>
      <sheetName val="incentive_theo_bill_va_doanh231"/>
      <sheetName val="OT_Chart231"/>
      <sheetName val="doanh_so217"/>
      <sheetName val="incentive_theo_bill_va_doanh217"/>
      <sheetName val="OT_Chart217"/>
      <sheetName val="doanh_so210"/>
      <sheetName val="incentive_theo_bill_va_doanh210"/>
      <sheetName val="OT_Chart210"/>
      <sheetName val="doanh_so209"/>
      <sheetName val="incentive_theo_bill_va_doanh209"/>
      <sheetName val="OT_Chart209"/>
      <sheetName val="doanh_so208"/>
      <sheetName val="incentive_theo_bill_va_doanh208"/>
      <sheetName val="OT_Chart208"/>
      <sheetName val="doanh_so200"/>
      <sheetName val="incentive_theo_bill_va_doanh200"/>
      <sheetName val="OT_Chart200"/>
      <sheetName val="doanh_so199"/>
      <sheetName val="incentive_theo_bill_va_doanh199"/>
      <sheetName val="OT_Chart199"/>
      <sheetName val="doanh_so197"/>
      <sheetName val="incentive_theo_bill_va_doanh197"/>
      <sheetName val="OT_Chart197"/>
      <sheetName val="doanh_so196"/>
      <sheetName val="incentive_theo_bill_va_doanh196"/>
      <sheetName val="OT_Chart196"/>
      <sheetName val="doanh_so198"/>
      <sheetName val="incentive_theo_bill_va_doanh198"/>
      <sheetName val="OT_Chart198"/>
      <sheetName val="doanh_so201"/>
      <sheetName val="incentive_theo_bill_va_doanh201"/>
      <sheetName val="OT_Chart201"/>
      <sheetName val="doanh_so204"/>
      <sheetName val="incentive_theo_bill_va_doanh204"/>
      <sheetName val="OT_Chart204"/>
      <sheetName val="doanh_so202"/>
      <sheetName val="incentive_theo_bill_va_doanh202"/>
      <sheetName val="OT_Chart202"/>
      <sheetName val="doanh_so203"/>
      <sheetName val="incentive_theo_bill_va_doanh203"/>
      <sheetName val="OT_Chart203"/>
      <sheetName val="doanh_so205"/>
      <sheetName val="incentive_theo_bill_va_doanh205"/>
      <sheetName val="OT_Chart205"/>
      <sheetName val="doanh_so206"/>
      <sheetName val="incentive_theo_bill_va_doanh206"/>
      <sheetName val="OT_Chart206"/>
      <sheetName val="doanh_so207"/>
      <sheetName val="incentive_theo_bill_va_doanh207"/>
      <sheetName val="OT_Chart207"/>
      <sheetName val="doanh_so211"/>
      <sheetName val="incentive_theo_bill_va_doanh211"/>
      <sheetName val="OT_Chart211"/>
      <sheetName val="doanh_so214"/>
      <sheetName val="incentive_theo_bill_va_doanh214"/>
      <sheetName val="OT_Chart214"/>
      <sheetName val="doanh_so213"/>
      <sheetName val="incentive_theo_bill_va_doanh213"/>
      <sheetName val="OT_Chart213"/>
      <sheetName val="doanh_so212"/>
      <sheetName val="incentive_theo_bill_va_doanh212"/>
      <sheetName val="OT_Chart212"/>
      <sheetName val="doanh_so215"/>
      <sheetName val="incentive_theo_bill_va_doanh215"/>
      <sheetName val="OT_Chart215"/>
      <sheetName val="doanh_so216"/>
      <sheetName val="incentive_theo_bill_va_doanh216"/>
      <sheetName val="OT_Chart216"/>
      <sheetName val="doanh_so225"/>
      <sheetName val="incentive_theo_bill_va_doanh225"/>
      <sheetName val="OT_Chart225"/>
      <sheetName val="doanh_so220"/>
      <sheetName val="incentive_theo_bill_va_doanh220"/>
      <sheetName val="OT_Chart220"/>
      <sheetName val="doanh_so218"/>
      <sheetName val="incentive_theo_bill_va_doanh218"/>
      <sheetName val="OT_Chart218"/>
      <sheetName val="doanh_so219"/>
      <sheetName val="incentive_theo_bill_va_doanh219"/>
      <sheetName val="OT_Chart219"/>
      <sheetName val="doanh_so221"/>
      <sheetName val="incentive_theo_bill_va_doanh221"/>
      <sheetName val="OT_Chart221"/>
      <sheetName val="doanh_so222"/>
      <sheetName val="incentive_theo_bill_va_doanh222"/>
      <sheetName val="OT_Chart222"/>
      <sheetName val="doanh_so223"/>
      <sheetName val="incentive_theo_bill_va_doanh223"/>
      <sheetName val="OT_Chart223"/>
      <sheetName val="doanh_so224"/>
      <sheetName val="incentive_theo_bill_va_doanh224"/>
      <sheetName val="OT_Chart224"/>
      <sheetName val="doanh_so226"/>
      <sheetName val="incentive_theo_bill_va_doanh226"/>
      <sheetName val="OT_Chart226"/>
      <sheetName val="doanh_so227"/>
      <sheetName val="incentive_theo_bill_va_doanh227"/>
      <sheetName val="OT_Chart227"/>
      <sheetName val="doanh_so228"/>
      <sheetName val="incentive_theo_bill_va_doanh228"/>
      <sheetName val="OT_Chart228"/>
      <sheetName val="doanh_so229"/>
      <sheetName val="incentive_theo_bill_va_doanh229"/>
      <sheetName val="OT_Chart229"/>
      <sheetName val="doanh_so230"/>
      <sheetName val="incentive_theo_bill_va_doanh230"/>
      <sheetName val="OT_Chart230"/>
      <sheetName val="doanh_so248"/>
      <sheetName val="incentive_theo_bill_va_doanh248"/>
      <sheetName val="OT_Chart248"/>
      <sheetName val="doanh_so234"/>
      <sheetName val="incentive_theo_bill_va_doanh234"/>
      <sheetName val="OT_Chart234"/>
      <sheetName val="doanh_so233"/>
      <sheetName val="incentive_theo_bill_va_doanh233"/>
      <sheetName val="OT_Chart233"/>
      <sheetName val="doanh_so232"/>
      <sheetName val="incentive_theo_bill_va_doanh232"/>
      <sheetName val="OT_Chart232"/>
      <sheetName val="doanh_so236"/>
      <sheetName val="incentive_theo_bill_va_doanh236"/>
      <sheetName val="OT_Chart236"/>
      <sheetName val="doanh_so235"/>
      <sheetName val="incentive_theo_bill_va_doanh235"/>
      <sheetName val="OT_Chart235"/>
      <sheetName val="doanh_so241"/>
      <sheetName val="incentive_theo_bill_va_doanh241"/>
      <sheetName val="OT_Chart241"/>
      <sheetName val="doanh_so237"/>
      <sheetName val="incentive_theo_bill_va_doanh237"/>
      <sheetName val="OT_Chart237"/>
      <sheetName val="doanh_so238"/>
      <sheetName val="incentive_theo_bill_va_doanh238"/>
      <sheetName val="OT_Chart238"/>
      <sheetName val="doanh_so239"/>
      <sheetName val="incentive_theo_bill_va_doanh239"/>
      <sheetName val="OT_Chart239"/>
      <sheetName val="doanh_so240"/>
      <sheetName val="incentive_theo_bill_va_doanh240"/>
      <sheetName val="OT_Chart240"/>
      <sheetName val="doanh_so242"/>
      <sheetName val="incentive_theo_bill_va_doanh242"/>
      <sheetName val="OT_Chart242"/>
      <sheetName val="doanh_so247"/>
      <sheetName val="incentive_theo_bill_va_doanh247"/>
      <sheetName val="OT_Chart247"/>
      <sheetName val="doanh_so243"/>
      <sheetName val="incentive_theo_bill_va_doanh243"/>
      <sheetName val="OT_Chart243"/>
      <sheetName val="doanh_so244"/>
      <sheetName val="incentive_theo_bill_va_doanh244"/>
      <sheetName val="OT_Chart244"/>
      <sheetName val="doanh_so245"/>
      <sheetName val="incentive_theo_bill_va_doanh245"/>
      <sheetName val="OT_Chart245"/>
      <sheetName val="doanh_so246"/>
      <sheetName val="incentive_theo_bill_va_doanh246"/>
      <sheetName val="OT_Chart246"/>
      <sheetName val="doanh_so249"/>
      <sheetName val="incentive_theo_bill_va_doanh249"/>
      <sheetName val="OT_Chart249"/>
      <sheetName val="doanh_so260"/>
      <sheetName val="incentive_theo_bill_va_doanh260"/>
      <sheetName val="OT_Chart260"/>
      <sheetName val="doanh_so250"/>
      <sheetName val="incentive_theo_bill_va_doanh250"/>
      <sheetName val="OT_Chart250"/>
      <sheetName val="doanh_so251"/>
      <sheetName val="incentive_theo_bill_va_doanh251"/>
      <sheetName val="OT_Chart251"/>
      <sheetName val="doanh_so259"/>
      <sheetName val="incentive_theo_bill_va_doanh259"/>
      <sheetName val="OT_Chart259"/>
      <sheetName val="doanh_so252"/>
      <sheetName val="incentive_theo_bill_va_doanh252"/>
      <sheetName val="OT_Chart252"/>
      <sheetName val="doanh_so253"/>
      <sheetName val="incentive_theo_bill_va_doanh253"/>
      <sheetName val="OT_Chart253"/>
      <sheetName val="doanh_so254"/>
      <sheetName val="incentive_theo_bill_va_doanh254"/>
      <sheetName val="OT_Chart254"/>
      <sheetName val="doanh_so255"/>
      <sheetName val="incentive_theo_bill_va_doanh255"/>
      <sheetName val="OT_Chart255"/>
      <sheetName val="doanh_so256"/>
      <sheetName val="incentive_theo_bill_va_doanh256"/>
      <sheetName val="OT_Chart256"/>
      <sheetName val="doanh_so257"/>
      <sheetName val="incentive_theo_bill_va_doanh257"/>
      <sheetName val="OT_Chart257"/>
      <sheetName val="doanh_so258"/>
      <sheetName val="incentive_theo_bill_va_doanh258"/>
      <sheetName val="OT_Chart258"/>
      <sheetName val="doanh_so263"/>
      <sheetName val="incentive_theo_bill_va_doanh263"/>
      <sheetName val="OT_Chart263"/>
      <sheetName val="doanh_so261"/>
      <sheetName val="incentive_theo_bill_va_doanh261"/>
      <sheetName val="OT_Chart261"/>
      <sheetName val="doanh_so262"/>
      <sheetName val="incentive_theo_bill_va_doanh262"/>
      <sheetName val="OT_Chart262"/>
      <sheetName val="doanh_so264"/>
      <sheetName val="incentive_theo_bill_va_doanh264"/>
      <sheetName val="OT_Chart264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LOGIN_ID</v>
          </cell>
          <cell r="B1" t="str">
            <v>EMP_NM</v>
          </cell>
          <cell r="C1" t="str">
            <v>EMP_CD</v>
          </cell>
          <cell r="D1" t="str">
            <v>TEL_NO</v>
          </cell>
          <cell r="E1" t="str">
            <v>MOB_NO</v>
          </cell>
          <cell r="F1" t="str">
            <v>ENTER_DT</v>
          </cell>
          <cell r="G1" t="str">
            <v>RETIRE_DT</v>
          </cell>
          <cell r="H1" t="str">
            <v>REMK</v>
          </cell>
          <cell r="I1" t="str">
            <v>USE_YN</v>
          </cell>
          <cell r="J1" t="str">
            <v>REG_DTM</v>
          </cell>
        </row>
        <row r="2">
          <cell r="A2" t="str">
            <v>0000103</v>
          </cell>
          <cell r="B2" t="str">
            <v>NGUYEN THI YEN LY</v>
          </cell>
          <cell r="C2">
            <v>103</v>
          </cell>
          <cell r="D2">
            <v>965202796</v>
          </cell>
          <cell r="I2">
            <v>1</v>
          </cell>
          <cell r="J2">
            <v>42353.397453587961</v>
          </cell>
        </row>
        <row r="3">
          <cell r="A3" t="str">
            <v>0000115</v>
          </cell>
          <cell r="B3" t="str">
            <v>BUI NGOC VINH</v>
          </cell>
          <cell r="D3">
            <v>1627470580</v>
          </cell>
          <cell r="I3">
            <v>1</v>
          </cell>
          <cell r="J3">
            <v>42474.667218020833</v>
          </cell>
        </row>
        <row r="4">
          <cell r="A4" t="str">
            <v>0000116</v>
          </cell>
          <cell r="B4" t="str">
            <v>NGUYEN DUY HONG AN</v>
          </cell>
          <cell r="D4">
            <v>907995232</v>
          </cell>
          <cell r="I4">
            <v>1</v>
          </cell>
          <cell r="J4">
            <v>42489.65248611111</v>
          </cell>
        </row>
        <row r="5">
          <cell r="A5" t="str">
            <v>0000248</v>
          </cell>
          <cell r="B5" t="str">
            <v>VU THI LAN ANH</v>
          </cell>
          <cell r="D5">
            <v>962805682</v>
          </cell>
          <cell r="I5">
            <v>1</v>
          </cell>
          <cell r="J5">
            <v>42752.549179050926</v>
          </cell>
        </row>
        <row r="6">
          <cell r="A6" t="str">
            <v>0000258</v>
          </cell>
          <cell r="B6" t="str">
            <v>HOANG THI VUONG</v>
          </cell>
          <cell r="D6">
            <v>983448324</v>
          </cell>
          <cell r="I6">
            <v>1</v>
          </cell>
          <cell r="J6">
            <v>42756.629153703703</v>
          </cell>
        </row>
        <row r="7">
          <cell r="A7" t="str">
            <v>0001080</v>
          </cell>
          <cell r="B7" t="str">
            <v>NGUYEN HOANG KHANH</v>
          </cell>
          <cell r="C7">
            <v>1080</v>
          </cell>
          <cell r="D7">
            <v>1694500698</v>
          </cell>
          <cell r="F7">
            <v>20171211</v>
          </cell>
          <cell r="I7">
            <v>1</v>
          </cell>
          <cell r="J7">
            <v>42904.671567129626</v>
          </cell>
        </row>
        <row r="8">
          <cell r="A8" t="str">
            <v>0001111</v>
          </cell>
          <cell r="B8" t="str">
            <v>DOI TRA HANG _ 01</v>
          </cell>
          <cell r="I8">
            <v>1</v>
          </cell>
          <cell r="J8">
            <v>42363.478125347225</v>
          </cell>
        </row>
        <row r="9">
          <cell r="A9" t="str">
            <v>0001112</v>
          </cell>
          <cell r="B9" t="str">
            <v>DOI TRA HANG _ 02</v>
          </cell>
          <cell r="I9">
            <v>1</v>
          </cell>
          <cell r="J9">
            <v>42368.981417557872</v>
          </cell>
        </row>
        <row r="10">
          <cell r="A10" t="str">
            <v>0001113</v>
          </cell>
          <cell r="B10" t="str">
            <v>TELESALE_01</v>
          </cell>
          <cell r="I10">
            <v>1</v>
          </cell>
          <cell r="J10">
            <v>42468.554689930555</v>
          </cell>
        </row>
        <row r="11">
          <cell r="A11" t="str">
            <v>0001114</v>
          </cell>
          <cell r="B11" t="str">
            <v>TELESALE_02</v>
          </cell>
          <cell r="I11">
            <v>1</v>
          </cell>
          <cell r="J11">
            <v>42468.55544841435</v>
          </cell>
        </row>
        <row r="12">
          <cell r="A12" t="str">
            <v>0001115</v>
          </cell>
          <cell r="B12" t="str">
            <v>WHOLESALE_01</v>
          </cell>
          <cell r="I12">
            <v>1</v>
          </cell>
          <cell r="J12">
            <v>42507.418158217595</v>
          </cell>
        </row>
        <row r="13">
          <cell r="A13" t="str">
            <v>0001117</v>
          </cell>
          <cell r="B13" t="str">
            <v>INTERNALSALE_01</v>
          </cell>
          <cell r="I13">
            <v>1</v>
          </cell>
          <cell r="J13">
            <v>42565.4545349537</v>
          </cell>
        </row>
        <row r="14">
          <cell r="A14" t="str">
            <v>0001166</v>
          </cell>
          <cell r="B14" t="str">
            <v>LÊ THỤY AN NHIÊN</v>
          </cell>
          <cell r="C14">
            <v>1166</v>
          </cell>
          <cell r="E14">
            <v>1269606033</v>
          </cell>
          <cell r="F14">
            <v>20170714</v>
          </cell>
          <cell r="I14">
            <v>1</v>
          </cell>
          <cell r="J14">
            <v>42941.709632557868</v>
          </cell>
        </row>
        <row r="15">
          <cell r="A15" t="str">
            <v>0001237</v>
          </cell>
          <cell r="B15" t="str">
            <v>NGUYEN VAN  TIEN</v>
          </cell>
          <cell r="C15">
            <v>212577996</v>
          </cell>
          <cell r="D15">
            <v>1627265431</v>
          </cell>
          <cell r="I15">
            <v>1</v>
          </cell>
          <cell r="J15">
            <v>42964.646766666665</v>
          </cell>
        </row>
        <row r="16">
          <cell r="A16" t="str">
            <v>0001263</v>
          </cell>
          <cell r="B16" t="str">
            <v>LE PHAM TRUC LINH</v>
          </cell>
          <cell r="D16">
            <v>978856902</v>
          </cell>
          <cell r="I16">
            <v>1</v>
          </cell>
          <cell r="J16">
            <v>42980.651310335648</v>
          </cell>
        </row>
        <row r="17">
          <cell r="A17" t="str">
            <v>0001267</v>
          </cell>
          <cell r="B17" t="str">
            <v>ÂU THỊ THẢO NGÂN</v>
          </cell>
          <cell r="C17">
            <v>1267</v>
          </cell>
          <cell r="E17">
            <v>972466486</v>
          </cell>
          <cell r="F17">
            <v>20170825</v>
          </cell>
          <cell r="I17">
            <v>1</v>
          </cell>
          <cell r="J17">
            <v>42979.372226620369</v>
          </cell>
        </row>
        <row r="18">
          <cell r="A18" t="str">
            <v>0001388</v>
          </cell>
          <cell r="B18" t="str">
            <v>NGUYỄN PHƯƠNG NGÂN</v>
          </cell>
          <cell r="C18">
            <v>1388</v>
          </cell>
          <cell r="E18">
            <v>1234881121</v>
          </cell>
          <cell r="F18">
            <v>20171027</v>
          </cell>
          <cell r="I18">
            <v>1</v>
          </cell>
          <cell r="J18">
            <v>43050.680802430557</v>
          </cell>
        </row>
        <row r="19">
          <cell r="A19" t="str">
            <v>0001428</v>
          </cell>
          <cell r="B19" t="str">
            <v>HOANG THI TRANG</v>
          </cell>
          <cell r="D19">
            <v>1657879417</v>
          </cell>
          <cell r="I19">
            <v>1</v>
          </cell>
          <cell r="J19">
            <v>43084.6797883912</v>
          </cell>
        </row>
        <row r="20">
          <cell r="A20" t="str">
            <v>0001429</v>
          </cell>
          <cell r="B20" t="str">
            <v>TRAN THI ANH TU</v>
          </cell>
          <cell r="D20">
            <v>1656246178</v>
          </cell>
          <cell r="I20">
            <v>1</v>
          </cell>
          <cell r="J20">
            <v>43084.678975428244</v>
          </cell>
        </row>
        <row r="21">
          <cell r="A21" t="str">
            <v>0001430</v>
          </cell>
          <cell r="B21" t="str">
            <v>LE THI PHUONG</v>
          </cell>
          <cell r="D21">
            <v>976640613</v>
          </cell>
          <cell r="I21">
            <v>1</v>
          </cell>
          <cell r="J21">
            <v>43084.691408136576</v>
          </cell>
        </row>
        <row r="22">
          <cell r="A22" t="str">
            <v>0001431</v>
          </cell>
          <cell r="B22" t="str">
            <v>BÙI THI HOANG THANH</v>
          </cell>
          <cell r="D22">
            <v>1698522777</v>
          </cell>
          <cell r="I22">
            <v>1</v>
          </cell>
          <cell r="J22">
            <v>43084.683720682871</v>
          </cell>
        </row>
        <row r="23">
          <cell r="A23" t="str">
            <v>0001432</v>
          </cell>
          <cell r="B23" t="str">
            <v>LE THI MY DUYEN</v>
          </cell>
          <cell r="D23">
            <v>1682228603</v>
          </cell>
          <cell r="I23">
            <v>1</v>
          </cell>
          <cell r="J23">
            <v>43084.685754861108</v>
          </cell>
        </row>
        <row r="24">
          <cell r="A24" t="str">
            <v>0001433</v>
          </cell>
          <cell r="B24" t="str">
            <v>DO THI NGOC OANH</v>
          </cell>
          <cell r="D24">
            <v>869839860</v>
          </cell>
          <cell r="I24">
            <v>1</v>
          </cell>
          <cell r="J24">
            <v>43084.684420219906</v>
          </cell>
        </row>
        <row r="25">
          <cell r="A25" t="str">
            <v>0001434</v>
          </cell>
          <cell r="B25" t="str">
            <v>PHAM LE QUAN</v>
          </cell>
          <cell r="D25">
            <v>985851260</v>
          </cell>
          <cell r="I25">
            <v>1</v>
          </cell>
          <cell r="J25">
            <v>43084.682968437497</v>
          </cell>
        </row>
        <row r="26">
          <cell r="A26" t="str">
            <v>0001438</v>
          </cell>
          <cell r="B26" t="str">
            <v>NGUYEN THI THAI THANH TAM</v>
          </cell>
          <cell r="D26">
            <v>1697691580</v>
          </cell>
          <cell r="I26">
            <v>1</v>
          </cell>
          <cell r="J26">
            <v>43084.690617129629</v>
          </cell>
        </row>
        <row r="27">
          <cell r="A27" t="str">
            <v>0001439</v>
          </cell>
          <cell r="B27" t="str">
            <v>NGUYEN THI TUONG NHI</v>
          </cell>
          <cell r="D27">
            <v>902785184</v>
          </cell>
          <cell r="I27">
            <v>1</v>
          </cell>
          <cell r="J27">
            <v>43084.682292164354</v>
          </cell>
        </row>
        <row r="28">
          <cell r="A28" t="str">
            <v>0001440</v>
          </cell>
          <cell r="B28" t="str">
            <v>NGUYEN HOANG THAI ANH</v>
          </cell>
          <cell r="D28">
            <v>979060022</v>
          </cell>
          <cell r="I28">
            <v>1</v>
          </cell>
          <cell r="J28">
            <v>43084.686474768518</v>
          </cell>
        </row>
        <row r="29">
          <cell r="A29" t="str">
            <v>0001444</v>
          </cell>
          <cell r="B29" t="str">
            <v>BUI NGOC KIM YEN</v>
          </cell>
          <cell r="D29">
            <v>1644747955</v>
          </cell>
          <cell r="I29">
            <v>1</v>
          </cell>
          <cell r="J29">
            <v>43087.360439351854</v>
          </cell>
        </row>
        <row r="30">
          <cell r="A30" t="str">
            <v>0001446</v>
          </cell>
          <cell r="B30" t="str">
            <v>HOÀNG TRẦN HUYỀN TRANG</v>
          </cell>
          <cell r="C30">
            <v>1446</v>
          </cell>
          <cell r="E30">
            <v>961788364</v>
          </cell>
          <cell r="F30">
            <v>20171214</v>
          </cell>
          <cell r="I30">
            <v>1</v>
          </cell>
          <cell r="J30">
            <v>43086.359336805559</v>
          </cell>
        </row>
        <row r="31">
          <cell r="A31" t="str">
            <v>0001447</v>
          </cell>
          <cell r="B31" t="str">
            <v>LÊ THỊ NGỌC CHÂU</v>
          </cell>
          <cell r="C31">
            <v>1447</v>
          </cell>
          <cell r="E31">
            <v>1675754015</v>
          </cell>
          <cell r="F31">
            <v>20171214</v>
          </cell>
          <cell r="I31">
            <v>1</v>
          </cell>
          <cell r="J31">
            <v>43088.348466203701</v>
          </cell>
        </row>
        <row r="32">
          <cell r="A32" t="str">
            <v>0001448</v>
          </cell>
          <cell r="B32" t="str">
            <v>LÊ TRIỆU VĨ</v>
          </cell>
          <cell r="C32">
            <v>301715225</v>
          </cell>
          <cell r="E32">
            <v>966671026</v>
          </cell>
          <cell r="F32">
            <v>20171214</v>
          </cell>
          <cell r="I32">
            <v>1</v>
          </cell>
          <cell r="J32">
            <v>43086.445898726852</v>
          </cell>
        </row>
        <row r="33">
          <cell r="A33" t="str">
            <v>0001450</v>
          </cell>
          <cell r="B33" t="str">
            <v>NGUYỄN TRƯƠNG MINH PHƯỢNG</v>
          </cell>
          <cell r="C33">
            <v>1450</v>
          </cell>
          <cell r="E33">
            <v>1694251175</v>
          </cell>
          <cell r="F33">
            <v>20171214</v>
          </cell>
          <cell r="I33">
            <v>1</v>
          </cell>
          <cell r="J33">
            <v>43086.362095682867</v>
          </cell>
        </row>
        <row r="34">
          <cell r="A34" t="str">
            <v>0001451</v>
          </cell>
          <cell r="B34" t="str">
            <v xml:space="preserve">TRẦN THỊ LOAN </v>
          </cell>
          <cell r="C34">
            <v>1451</v>
          </cell>
          <cell r="E34">
            <v>1643129045</v>
          </cell>
          <cell r="F34">
            <v>20171214</v>
          </cell>
          <cell r="I34">
            <v>1</v>
          </cell>
          <cell r="J34">
            <v>43086.448035960646</v>
          </cell>
        </row>
        <row r="35">
          <cell r="A35" t="str">
            <v>0001486</v>
          </cell>
          <cell r="B35" t="str">
            <v>TRẦN THỊ MAI LINH</v>
          </cell>
          <cell r="C35">
            <v>1486</v>
          </cell>
          <cell r="E35">
            <v>1663580047</v>
          </cell>
          <cell r="F35">
            <v>20171220</v>
          </cell>
          <cell r="I35">
            <v>1</v>
          </cell>
          <cell r="J35">
            <v>43093.586680173612</v>
          </cell>
        </row>
        <row r="36">
          <cell r="A36" t="str">
            <v>0001487</v>
          </cell>
          <cell r="B36" t="str">
            <v>VO NGOC KIM NGAN</v>
          </cell>
          <cell r="C36">
            <v>1487</v>
          </cell>
          <cell r="D36">
            <v>966416558</v>
          </cell>
          <cell r="F36">
            <v>20171220</v>
          </cell>
          <cell r="I36">
            <v>1</v>
          </cell>
          <cell r="J36">
            <v>43096.843832789353</v>
          </cell>
        </row>
        <row r="37">
          <cell r="A37" t="str">
            <v>0001488</v>
          </cell>
          <cell r="B37" t="str">
            <v>HUỲNH THIÊN KIM</v>
          </cell>
          <cell r="C37">
            <v>1488</v>
          </cell>
          <cell r="E37">
            <v>1292229914</v>
          </cell>
          <cell r="F37">
            <v>20171220</v>
          </cell>
          <cell r="I37">
            <v>1</v>
          </cell>
          <cell r="J37">
            <v>43093.578030173609</v>
          </cell>
        </row>
        <row r="38">
          <cell r="A38" t="str">
            <v>0001490</v>
          </cell>
          <cell r="B38" t="str">
            <v>HUYNH THI HUYNH NHU</v>
          </cell>
          <cell r="D38">
            <v>1685375929</v>
          </cell>
          <cell r="I38">
            <v>1</v>
          </cell>
          <cell r="J38">
            <v>43096.844845451385</v>
          </cell>
        </row>
        <row r="39">
          <cell r="A39" t="str">
            <v>0001491</v>
          </cell>
          <cell r="B39" t="str">
            <v>MAI KIM NGÂN</v>
          </cell>
          <cell r="C39">
            <v>1491</v>
          </cell>
          <cell r="E39">
            <v>904461713</v>
          </cell>
          <cell r="F39">
            <v>20171220</v>
          </cell>
          <cell r="I39">
            <v>1</v>
          </cell>
          <cell r="J39">
            <v>43093.582060416666</v>
          </cell>
        </row>
        <row r="40">
          <cell r="A40" t="str">
            <v>0001492</v>
          </cell>
          <cell r="B40" t="str">
            <v>NGUYEN NGOC TRUC LAM</v>
          </cell>
          <cell r="D40">
            <v>1206504684</v>
          </cell>
          <cell r="I40">
            <v>1</v>
          </cell>
          <cell r="J40">
            <v>43096.845811377316</v>
          </cell>
        </row>
        <row r="41">
          <cell r="A41" t="str">
            <v>0001499</v>
          </cell>
          <cell r="B41" t="str">
            <v>CAO THỊ TÚ NHƯ</v>
          </cell>
          <cell r="C41">
            <v>1499</v>
          </cell>
          <cell r="E41">
            <v>1697448282</v>
          </cell>
          <cell r="F41">
            <v>20171220</v>
          </cell>
          <cell r="I41">
            <v>1</v>
          </cell>
          <cell r="J41">
            <v>43093.583927546293</v>
          </cell>
        </row>
        <row r="42">
          <cell r="A42" t="str">
            <v>0001500</v>
          </cell>
          <cell r="B42" t="str">
            <v>NGÔ THỊ MỸ DUYÊN</v>
          </cell>
          <cell r="C42">
            <v>25577117</v>
          </cell>
          <cell r="E42">
            <v>906636970</v>
          </cell>
          <cell r="F42">
            <v>20171220</v>
          </cell>
          <cell r="I42">
            <v>1</v>
          </cell>
          <cell r="J42">
            <v>43093.580942673609</v>
          </cell>
        </row>
        <row r="43">
          <cell r="A43" t="str">
            <v>0001502</v>
          </cell>
          <cell r="B43" t="str">
            <v>TRAN DIEM MY</v>
          </cell>
          <cell r="D43">
            <v>1676223245</v>
          </cell>
          <cell r="I43">
            <v>1</v>
          </cell>
          <cell r="J43">
            <v>43096.846814895835</v>
          </cell>
        </row>
        <row r="44">
          <cell r="A44" t="str">
            <v>0001509</v>
          </cell>
          <cell r="B44" t="str">
            <v>PHẠM THỊ YẾN NHI</v>
          </cell>
          <cell r="C44">
            <v>1509</v>
          </cell>
          <cell r="E44">
            <v>941838518</v>
          </cell>
          <cell r="F44">
            <v>20171225</v>
          </cell>
          <cell r="I44">
            <v>1</v>
          </cell>
          <cell r="J44">
            <v>43098.350803240741</v>
          </cell>
        </row>
        <row r="45">
          <cell r="A45" t="str">
            <v>0001515</v>
          </cell>
          <cell r="B45" t="str">
            <v>PHẠM THỊ HẠNH</v>
          </cell>
          <cell r="C45">
            <v>1515</v>
          </cell>
          <cell r="E45">
            <v>1642802198</v>
          </cell>
          <cell r="F45">
            <v>20171225</v>
          </cell>
          <cell r="I45">
            <v>1</v>
          </cell>
          <cell r="J45">
            <v>43098.351863391203</v>
          </cell>
        </row>
        <row r="46">
          <cell r="A46" t="str">
            <v>0001554</v>
          </cell>
          <cell r="B46" t="str">
            <v>LÊ NGUYỄN THÚY LAN TRINH</v>
          </cell>
          <cell r="C46">
            <v>1554</v>
          </cell>
          <cell r="E46">
            <v>1658319981</v>
          </cell>
          <cell r="F46">
            <v>20180103</v>
          </cell>
          <cell r="I46">
            <v>1</v>
          </cell>
          <cell r="J46">
            <v>43108.94817314815</v>
          </cell>
        </row>
        <row r="47">
          <cell r="A47" t="str">
            <v>0001556</v>
          </cell>
          <cell r="B47" t="str">
            <v>TRẦN THỊ SAO BĂNG</v>
          </cell>
          <cell r="C47">
            <v>1556</v>
          </cell>
          <cell r="E47">
            <v>1697872992</v>
          </cell>
          <cell r="F47">
            <v>20180103</v>
          </cell>
          <cell r="I47">
            <v>1</v>
          </cell>
          <cell r="J47">
            <v>43108.95371184028</v>
          </cell>
        </row>
        <row r="48">
          <cell r="A48" t="str">
            <v>0001557</v>
          </cell>
          <cell r="B48" t="str">
            <v>NGUYEN VAN ANH</v>
          </cell>
          <cell r="D48">
            <v>976342949</v>
          </cell>
          <cell r="I48">
            <v>1</v>
          </cell>
          <cell r="J48">
            <v>43113.404097418985</v>
          </cell>
        </row>
        <row r="49">
          <cell r="A49" t="str">
            <v>0001558</v>
          </cell>
          <cell r="B49" t="str">
            <v>NGUYỄN THỊ QUỲNH YÊN</v>
          </cell>
          <cell r="C49">
            <v>187645679</v>
          </cell>
          <cell r="E49">
            <v>1643237076</v>
          </cell>
          <cell r="F49">
            <v>20180103</v>
          </cell>
          <cell r="I49">
            <v>1</v>
          </cell>
          <cell r="J49">
            <v>43108.950455405095</v>
          </cell>
        </row>
        <row r="50">
          <cell r="A50" t="str">
            <v>0001559</v>
          </cell>
          <cell r="B50" t="str">
            <v>LÊ THỊ MỸ HẠNH</v>
          </cell>
          <cell r="C50">
            <v>1559</v>
          </cell>
          <cell r="E50">
            <v>1664705859</v>
          </cell>
          <cell r="F50">
            <v>20180103</v>
          </cell>
          <cell r="I50">
            <v>1</v>
          </cell>
          <cell r="J50">
            <v>43110.723151192127</v>
          </cell>
        </row>
        <row r="51">
          <cell r="A51" t="str">
            <v>0001560</v>
          </cell>
          <cell r="B51" t="str">
            <v>TRẦN THỊ NHỊ HÀ</v>
          </cell>
          <cell r="C51">
            <v>1560</v>
          </cell>
          <cell r="E51">
            <v>1669579178</v>
          </cell>
          <cell r="F51">
            <v>20180103</v>
          </cell>
          <cell r="I51">
            <v>1</v>
          </cell>
          <cell r="J51">
            <v>43111.393078009256</v>
          </cell>
        </row>
        <row r="52">
          <cell r="A52" t="str">
            <v>0001562</v>
          </cell>
          <cell r="B52" t="str">
            <v>NGUYỄN THỊ MỸ DUYÊN</v>
          </cell>
          <cell r="C52">
            <v>1562</v>
          </cell>
          <cell r="E52">
            <v>126426398</v>
          </cell>
          <cell r="F52">
            <v>20180103</v>
          </cell>
          <cell r="I52">
            <v>1</v>
          </cell>
          <cell r="J52">
            <v>43110.759022951388</v>
          </cell>
        </row>
        <row r="53">
          <cell r="A53" t="str">
            <v>0001563</v>
          </cell>
          <cell r="B53" t="str">
            <v>PHAN ĐẶNG HƯƠNG QUỲNH</v>
          </cell>
          <cell r="C53">
            <v>1563</v>
          </cell>
          <cell r="E53">
            <v>1632626477</v>
          </cell>
          <cell r="F53">
            <v>20180103</v>
          </cell>
          <cell r="I53">
            <v>1</v>
          </cell>
          <cell r="J53">
            <v>43114.427844988422</v>
          </cell>
        </row>
        <row r="54">
          <cell r="A54" t="str">
            <v>0001566</v>
          </cell>
          <cell r="B54" t="str">
            <v>VŨ THỊ THANH TUYỀN</v>
          </cell>
          <cell r="C54">
            <v>1566</v>
          </cell>
          <cell r="E54">
            <v>1662916406</v>
          </cell>
          <cell r="F54">
            <v>20180103</v>
          </cell>
          <cell r="I54">
            <v>1</v>
          </cell>
          <cell r="J54">
            <v>43110.71097615741</v>
          </cell>
        </row>
        <row r="55">
          <cell r="A55" t="str">
            <v>0001569</v>
          </cell>
          <cell r="B55" t="str">
            <v>PHẠM TRƯƠNG BÍCH TRÂM</v>
          </cell>
          <cell r="C55">
            <v>1569</v>
          </cell>
          <cell r="E55">
            <v>966391283</v>
          </cell>
          <cell r="F55">
            <v>20180103</v>
          </cell>
          <cell r="I55">
            <v>1</v>
          </cell>
          <cell r="J55">
            <v>43110.7349565162</v>
          </cell>
        </row>
        <row r="56">
          <cell r="A56" t="str">
            <v>0001579</v>
          </cell>
          <cell r="B56" t="str">
            <v>TRAN THI HANG</v>
          </cell>
          <cell r="D56">
            <v>1698605717</v>
          </cell>
          <cell r="I56">
            <v>1</v>
          </cell>
          <cell r="J56">
            <v>43113.400647337963</v>
          </cell>
        </row>
        <row r="57">
          <cell r="A57" t="str">
            <v>0001596</v>
          </cell>
          <cell r="B57" t="str">
            <v>NGUYEN NGOC THAO VY</v>
          </cell>
          <cell r="E57">
            <v>1679051267</v>
          </cell>
          <cell r="I57">
            <v>1</v>
          </cell>
          <cell r="J57">
            <v>43113.406730821756</v>
          </cell>
        </row>
        <row r="58">
          <cell r="A58" t="str">
            <v>0001597</v>
          </cell>
          <cell r="B58" t="str">
            <v>THAI THAO TRANG</v>
          </cell>
          <cell r="E58">
            <v>1638388972</v>
          </cell>
          <cell r="I58">
            <v>1</v>
          </cell>
          <cell r="J58">
            <v>43113.407428819446</v>
          </cell>
        </row>
        <row r="59">
          <cell r="A59" t="str">
            <v>0001598</v>
          </cell>
          <cell r="B59" t="str">
            <v>NGUYEN THI NHA YEN</v>
          </cell>
          <cell r="E59">
            <v>1636403004</v>
          </cell>
          <cell r="I59">
            <v>1</v>
          </cell>
          <cell r="J59">
            <v>43113.41369814815</v>
          </cell>
        </row>
        <row r="60">
          <cell r="A60" t="str">
            <v>0001599</v>
          </cell>
          <cell r="B60" t="str">
            <v>NGUYEN THI THANH THUY</v>
          </cell>
          <cell r="E60">
            <v>1689220513</v>
          </cell>
          <cell r="I60">
            <v>1</v>
          </cell>
          <cell r="J60">
            <v>43113.409509108795</v>
          </cell>
        </row>
        <row r="61">
          <cell r="A61" t="str">
            <v>0001600</v>
          </cell>
          <cell r="B61" t="str">
            <v>TRAN VAN TOAN</v>
          </cell>
          <cell r="E61">
            <v>967946907</v>
          </cell>
          <cell r="I61">
            <v>1</v>
          </cell>
          <cell r="J61">
            <v>43113.405260497682</v>
          </cell>
        </row>
        <row r="62">
          <cell r="A62" t="str">
            <v>0001604</v>
          </cell>
          <cell r="B62" t="str">
            <v>DANG THI HUYNH NHU</v>
          </cell>
          <cell r="D62">
            <v>907015981</v>
          </cell>
          <cell r="F62">
            <v>20180110</v>
          </cell>
          <cell r="I62">
            <v>1</v>
          </cell>
          <cell r="J62">
            <v>43113.404691782409</v>
          </cell>
        </row>
        <row r="63">
          <cell r="A63" t="str">
            <v>0001605</v>
          </cell>
          <cell r="B63" t="str">
            <v>NGUYEN THI MINH CHAU</v>
          </cell>
          <cell r="D63">
            <v>916642126</v>
          </cell>
          <cell r="I63">
            <v>1</v>
          </cell>
          <cell r="J63">
            <v>43113.405745405093</v>
          </cell>
        </row>
        <row r="64">
          <cell r="A64" t="str">
            <v>0001621</v>
          </cell>
          <cell r="B64" t="str">
            <v>NGUYEN THI THUY LIEU</v>
          </cell>
          <cell r="D64">
            <v>1688202578</v>
          </cell>
          <cell r="F64">
            <v>20180115</v>
          </cell>
          <cell r="I64">
            <v>1</v>
          </cell>
          <cell r="J64">
            <v>43122.618590428239</v>
          </cell>
        </row>
        <row r="65">
          <cell r="A65" t="str">
            <v>0001623</v>
          </cell>
          <cell r="B65" t="str">
            <v>TRUONG NGOC TU UYEN</v>
          </cell>
          <cell r="D65">
            <v>934529343</v>
          </cell>
          <cell r="F65">
            <v>20180115</v>
          </cell>
          <cell r="I65">
            <v>1</v>
          </cell>
          <cell r="J65">
            <v>43122.625095914351</v>
          </cell>
        </row>
        <row r="66">
          <cell r="A66" t="str">
            <v>0001642</v>
          </cell>
          <cell r="B66" t="str">
            <v>BUI THI MY HANG</v>
          </cell>
          <cell r="D66">
            <v>1626986366</v>
          </cell>
          <cell r="I66">
            <v>1</v>
          </cell>
          <cell r="J66">
            <v>43122.615391122687</v>
          </cell>
        </row>
        <row r="67">
          <cell r="A67" t="str">
            <v>0001648</v>
          </cell>
          <cell r="B67" t="str">
            <v>UNG NGOC QUYEN</v>
          </cell>
          <cell r="D67">
            <v>903960054</v>
          </cell>
          <cell r="F67">
            <v>20180119</v>
          </cell>
          <cell r="I67">
            <v>1</v>
          </cell>
          <cell r="J67">
            <v>43122.617762118054</v>
          </cell>
        </row>
        <row r="68">
          <cell r="A68" t="str">
            <v>0001661</v>
          </cell>
          <cell r="B68" t="str">
            <v>TRẦN THỊ NGỌC DIỆP</v>
          </cell>
          <cell r="C68">
            <v>1661</v>
          </cell>
          <cell r="E68">
            <v>1658603195</v>
          </cell>
          <cell r="F68">
            <v>20180126</v>
          </cell>
          <cell r="I68">
            <v>1</v>
          </cell>
          <cell r="J68">
            <v>43134.668855324075</v>
          </cell>
        </row>
        <row r="69">
          <cell r="A69" t="str">
            <v>0001672</v>
          </cell>
          <cell r="B69" t="str">
            <v>NGUYỄN THỊ TƯỜNG VY</v>
          </cell>
          <cell r="C69">
            <v>1672</v>
          </cell>
          <cell r="E69">
            <v>1226385192</v>
          </cell>
          <cell r="F69">
            <v>20180129</v>
          </cell>
          <cell r="I69">
            <v>1</v>
          </cell>
          <cell r="J69">
            <v>43131.974839814815</v>
          </cell>
        </row>
        <row r="70">
          <cell r="A70" t="str">
            <v>0001675</v>
          </cell>
          <cell r="B70" t="str">
            <v>DANG PHUOC KIM NGAN</v>
          </cell>
          <cell r="D70">
            <v>936188920</v>
          </cell>
          <cell r="F70">
            <v>20180130</v>
          </cell>
          <cell r="I70">
            <v>1</v>
          </cell>
          <cell r="J70">
            <v>43135.969660879629</v>
          </cell>
        </row>
        <row r="71">
          <cell r="A71" t="str">
            <v>0001677</v>
          </cell>
          <cell r="B71" t="str">
            <v>Nguyễn Thị Xuân Uyên</v>
          </cell>
          <cell r="C71">
            <v>1677</v>
          </cell>
          <cell r="E71">
            <v>1673235601</v>
          </cell>
          <cell r="F71">
            <v>20180131</v>
          </cell>
          <cell r="I71">
            <v>1</v>
          </cell>
          <cell r="J71">
            <v>43135.655726851852</v>
          </cell>
        </row>
        <row r="72">
          <cell r="A72" t="str">
            <v>0001679</v>
          </cell>
          <cell r="B72" t="str">
            <v>TRAN THI PHUONG</v>
          </cell>
          <cell r="D72">
            <v>868276051</v>
          </cell>
          <cell r="I72">
            <v>1</v>
          </cell>
          <cell r="J72">
            <v>43136.968284953706</v>
          </cell>
        </row>
        <row r="73">
          <cell r="A73" t="str">
            <v>0001680</v>
          </cell>
          <cell r="B73" t="str">
            <v>TRAN MAI UYEN</v>
          </cell>
          <cell r="D73">
            <v>1265489949</v>
          </cell>
          <cell r="F73">
            <v>20180131</v>
          </cell>
          <cell r="I73">
            <v>1</v>
          </cell>
          <cell r="J73">
            <v>43139.715328969905</v>
          </cell>
        </row>
        <row r="74">
          <cell r="A74" t="str">
            <v>0001685</v>
          </cell>
          <cell r="B74" t="str">
            <v>VO THI BICH NGOC</v>
          </cell>
          <cell r="D74">
            <v>938452104</v>
          </cell>
          <cell r="F74">
            <v>20180201</v>
          </cell>
          <cell r="I74">
            <v>1</v>
          </cell>
          <cell r="J74">
            <v>43136.719029745371</v>
          </cell>
        </row>
        <row r="75">
          <cell r="A75" t="str">
            <v>0001686</v>
          </cell>
          <cell r="B75" t="str">
            <v>NGUYEN TRUONG MY ANH</v>
          </cell>
          <cell r="D75">
            <v>961563576</v>
          </cell>
          <cell r="F75">
            <v>20180201</v>
          </cell>
          <cell r="I75">
            <v>1</v>
          </cell>
          <cell r="J75">
            <v>43136.842698761575</v>
          </cell>
        </row>
        <row r="76">
          <cell r="A76" t="str">
            <v>0001687</v>
          </cell>
          <cell r="B76" t="str">
            <v>PHAM THI MINH TRUC</v>
          </cell>
          <cell r="D76">
            <v>938630545</v>
          </cell>
          <cell r="F76">
            <v>20180201</v>
          </cell>
          <cell r="I76">
            <v>1</v>
          </cell>
          <cell r="J76">
            <v>43136.720572488426</v>
          </cell>
        </row>
        <row r="77">
          <cell r="A77" t="str">
            <v>0001688</v>
          </cell>
          <cell r="B77" t="str">
            <v>HUYNH VINH TRUONG SON</v>
          </cell>
          <cell r="D77">
            <v>1633180648</v>
          </cell>
          <cell r="F77">
            <v>20180201</v>
          </cell>
          <cell r="I77">
            <v>1</v>
          </cell>
          <cell r="J77">
            <v>43136.862337812498</v>
          </cell>
        </row>
        <row r="78">
          <cell r="A78" t="str">
            <v>0001689</v>
          </cell>
          <cell r="B78" t="str">
            <v>TRAN THI KIM THUY</v>
          </cell>
          <cell r="D78">
            <v>1637635260</v>
          </cell>
          <cell r="F78">
            <v>20180201</v>
          </cell>
          <cell r="I78">
            <v>1</v>
          </cell>
          <cell r="J78">
            <v>43139.945020636573</v>
          </cell>
        </row>
        <row r="79">
          <cell r="A79" t="str">
            <v>0001693</v>
          </cell>
          <cell r="B79" t="str">
            <v>NGUYEN THI NHUNG</v>
          </cell>
          <cell r="D79">
            <v>913036889</v>
          </cell>
          <cell r="F79">
            <v>20180201</v>
          </cell>
          <cell r="I79">
            <v>1</v>
          </cell>
          <cell r="J79">
            <v>43136.711867939812</v>
          </cell>
        </row>
        <row r="80">
          <cell r="A80" t="str">
            <v>0001695</v>
          </cell>
          <cell r="B80" t="str">
            <v>HOÀNG THỊ NGUYỆT NGA</v>
          </cell>
          <cell r="C80">
            <v>1695</v>
          </cell>
          <cell r="E80">
            <v>1634205267</v>
          </cell>
          <cell r="F80">
            <v>20180202</v>
          </cell>
          <cell r="I80">
            <v>1</v>
          </cell>
          <cell r="J80">
            <v>43137.864302662034</v>
          </cell>
        </row>
        <row r="81">
          <cell r="A81" t="str">
            <v>0001698</v>
          </cell>
          <cell r="B81" t="str">
            <v>VÕ THỊ HUYỀN TRANG</v>
          </cell>
          <cell r="C81">
            <v>1698</v>
          </cell>
          <cell r="E81">
            <v>1684872129</v>
          </cell>
          <cell r="F81">
            <v>20180202</v>
          </cell>
          <cell r="I81">
            <v>1</v>
          </cell>
          <cell r="J81">
            <v>43137.865563854168</v>
          </cell>
        </row>
        <row r="82">
          <cell r="A82" t="str">
            <v>0001699</v>
          </cell>
          <cell r="B82" t="str">
            <v>NGUYỄN THỊ CẨM TIÊN</v>
          </cell>
          <cell r="C82">
            <v>1699</v>
          </cell>
          <cell r="E82">
            <v>1869350626</v>
          </cell>
          <cell r="F82">
            <v>20180202</v>
          </cell>
          <cell r="I82">
            <v>1</v>
          </cell>
          <cell r="J82">
            <v>43137.866531446758</v>
          </cell>
        </row>
        <row r="83">
          <cell r="A83" t="str">
            <v>0001700</v>
          </cell>
          <cell r="B83" t="str">
            <v>NGUYỄN LÊ KIỀU HẠNH</v>
          </cell>
          <cell r="C83">
            <v>1700</v>
          </cell>
          <cell r="E83">
            <v>1207470713</v>
          </cell>
          <cell r="F83">
            <v>20180202</v>
          </cell>
          <cell r="I83">
            <v>1</v>
          </cell>
          <cell r="J83">
            <v>43137.867532291668</v>
          </cell>
        </row>
        <row r="84">
          <cell r="A84" t="str">
            <v>0001701</v>
          </cell>
          <cell r="B84" t="str">
            <v>NGUYEN HA THAO VY</v>
          </cell>
          <cell r="D84">
            <v>906388840</v>
          </cell>
          <cell r="F84">
            <v>20180202</v>
          </cell>
          <cell r="I84">
            <v>1</v>
          </cell>
          <cell r="J84">
            <v>43136.845372418982</v>
          </cell>
        </row>
        <row r="85">
          <cell r="A85" t="str">
            <v>0001702</v>
          </cell>
          <cell r="B85" t="str">
            <v>NGUYEN THI CAM TU</v>
          </cell>
          <cell r="D85">
            <v>1207774196</v>
          </cell>
          <cell r="F85">
            <v>20180202</v>
          </cell>
          <cell r="I85">
            <v>1</v>
          </cell>
          <cell r="J85">
            <v>43136.843576006948</v>
          </cell>
        </row>
        <row r="86">
          <cell r="A86" t="str">
            <v>0001703</v>
          </cell>
          <cell r="B86" t="str">
            <v>NGUYEN GIANG THANH</v>
          </cell>
          <cell r="D86">
            <v>965619142</v>
          </cell>
          <cell r="F86">
            <v>20180202</v>
          </cell>
          <cell r="I86">
            <v>1</v>
          </cell>
          <cell r="J86">
            <v>43136.712728622682</v>
          </cell>
        </row>
        <row r="87">
          <cell r="A87" t="str">
            <v>0001704</v>
          </cell>
          <cell r="B87" t="str">
            <v>VO MINH KHUONG</v>
          </cell>
          <cell r="D87">
            <v>869266132</v>
          </cell>
          <cell r="F87">
            <v>20180202</v>
          </cell>
          <cell r="I87">
            <v>1</v>
          </cell>
          <cell r="J87">
            <v>43136.846187303243</v>
          </cell>
        </row>
        <row r="88">
          <cell r="A88" t="str">
            <v>0001705</v>
          </cell>
          <cell r="B88" t="str">
            <v>VÕ ĐẶNG TUYẾT NHUNG</v>
          </cell>
          <cell r="C88">
            <v>1705</v>
          </cell>
          <cell r="E88">
            <v>937366219</v>
          </cell>
          <cell r="F88">
            <v>20180202</v>
          </cell>
          <cell r="I88">
            <v>1</v>
          </cell>
          <cell r="J88">
            <v>43137.868529861109</v>
          </cell>
        </row>
        <row r="89">
          <cell r="A89" t="str">
            <v>0001706</v>
          </cell>
          <cell r="B89" t="str">
            <v>LƯƠNG NỮ THANH VÂN</v>
          </cell>
          <cell r="C89">
            <v>1706</v>
          </cell>
          <cell r="E89">
            <v>962361948</v>
          </cell>
          <cell r="F89">
            <v>20180202</v>
          </cell>
          <cell r="I89">
            <v>1</v>
          </cell>
          <cell r="J89">
            <v>43137.869557291669</v>
          </cell>
        </row>
        <row r="90">
          <cell r="A90" t="str">
            <v>0001709</v>
          </cell>
          <cell r="B90" t="str">
            <v>NGUYỄN THỊ LINH</v>
          </cell>
          <cell r="C90">
            <v>1709</v>
          </cell>
          <cell r="E90">
            <v>1667595187</v>
          </cell>
          <cell r="F90">
            <v>20180205</v>
          </cell>
          <cell r="I90">
            <v>1</v>
          </cell>
          <cell r="J90">
            <v>43142.357419872686</v>
          </cell>
        </row>
        <row r="91">
          <cell r="A91" t="str">
            <v>0001711</v>
          </cell>
          <cell r="B91" t="str">
            <v>NGUYEN KIM NGOAN</v>
          </cell>
          <cell r="D91">
            <v>1219691111</v>
          </cell>
          <cell r="F91">
            <v>20180205</v>
          </cell>
          <cell r="I91">
            <v>1</v>
          </cell>
          <cell r="J91">
            <v>43143.664538854166</v>
          </cell>
        </row>
        <row r="92">
          <cell r="A92" t="str">
            <v>0001712</v>
          </cell>
          <cell r="B92" t="str">
            <v>DINH ANH THU</v>
          </cell>
          <cell r="D92">
            <v>1264196480</v>
          </cell>
          <cell r="F92">
            <v>20180205</v>
          </cell>
          <cell r="I92">
            <v>1</v>
          </cell>
          <cell r="J92">
            <v>43139.955156944445</v>
          </cell>
        </row>
        <row r="93">
          <cell r="A93" t="str">
            <v>0001713</v>
          </cell>
          <cell r="B93" t="str">
            <v>TRAN THI THUY LINH</v>
          </cell>
          <cell r="D93">
            <v>963838305</v>
          </cell>
          <cell r="F93">
            <v>20180205</v>
          </cell>
          <cell r="I93">
            <v>1</v>
          </cell>
          <cell r="J93">
            <v>43139.950785034722</v>
          </cell>
        </row>
        <row r="94">
          <cell r="A94" t="str">
            <v>0001714</v>
          </cell>
          <cell r="B94" t="str">
            <v>DOAN NGOC LONG</v>
          </cell>
          <cell r="D94">
            <v>906880563</v>
          </cell>
          <cell r="F94">
            <v>20180205</v>
          </cell>
          <cell r="I94">
            <v>1</v>
          </cell>
          <cell r="J94">
            <v>43139.945561192129</v>
          </cell>
        </row>
        <row r="95">
          <cell r="A95" t="str">
            <v>0001715</v>
          </cell>
          <cell r="B95" t="str">
            <v>HOANG THANH TRUC</v>
          </cell>
          <cell r="D95">
            <v>938855924</v>
          </cell>
          <cell r="F95">
            <v>20180205</v>
          </cell>
          <cell r="I95">
            <v>1</v>
          </cell>
          <cell r="J95">
            <v>43139.95424363426</v>
          </cell>
        </row>
        <row r="96">
          <cell r="A96" t="str">
            <v>0001716</v>
          </cell>
          <cell r="B96" t="str">
            <v>NGUYEN PHAM HUYEN TRANG</v>
          </cell>
          <cell r="D96">
            <v>903324238</v>
          </cell>
          <cell r="F96">
            <v>20180205</v>
          </cell>
          <cell r="I96">
            <v>1</v>
          </cell>
          <cell r="J96">
            <v>43139.950255243057</v>
          </cell>
        </row>
        <row r="97">
          <cell r="A97" t="str">
            <v>0001717</v>
          </cell>
          <cell r="B97" t="str">
            <v>LÊ NGUYỄN HOÀNG YẾN</v>
          </cell>
          <cell r="C97">
            <v>1717</v>
          </cell>
          <cell r="E97">
            <v>1207628775</v>
          </cell>
          <cell r="F97">
            <v>20180205</v>
          </cell>
          <cell r="I97">
            <v>1</v>
          </cell>
          <cell r="J97">
            <v>43142.34738619213</v>
          </cell>
        </row>
        <row r="98">
          <cell r="A98" t="str">
            <v>0001722</v>
          </cell>
          <cell r="B98" t="str">
            <v>NGO DINH THUY DUNG</v>
          </cell>
          <cell r="D98">
            <v>1678007717</v>
          </cell>
          <cell r="F98">
            <v>20180205</v>
          </cell>
          <cell r="I98">
            <v>1</v>
          </cell>
          <cell r="J98">
            <v>43139.946978784719</v>
          </cell>
        </row>
        <row r="99">
          <cell r="A99" t="str">
            <v>0001728</v>
          </cell>
          <cell r="B99" t="str">
            <v>DINH THI THANH PHUONG</v>
          </cell>
          <cell r="D99">
            <v>1228848127</v>
          </cell>
          <cell r="F99">
            <v>20180206</v>
          </cell>
          <cell r="I99">
            <v>1</v>
          </cell>
          <cell r="J99">
            <v>43139.947944016203</v>
          </cell>
        </row>
        <row r="100">
          <cell r="A100" t="str">
            <v>0001729</v>
          </cell>
          <cell r="B100" t="str">
            <v>LE PHAM YEN NHI</v>
          </cell>
          <cell r="D100">
            <v>987791612</v>
          </cell>
          <cell r="I100">
            <v>1</v>
          </cell>
          <cell r="J100">
            <v>43139.946243668979</v>
          </cell>
        </row>
        <row r="101">
          <cell r="A101" t="str">
            <v>0001730</v>
          </cell>
          <cell r="B101" t="str">
            <v>NGUYEN NGOC MINH KHOA</v>
          </cell>
          <cell r="D101">
            <v>1863701131</v>
          </cell>
          <cell r="F101">
            <v>20180206</v>
          </cell>
          <cell r="I101">
            <v>1</v>
          </cell>
          <cell r="J101">
            <v>43139.955869988429</v>
          </cell>
        </row>
        <row r="102">
          <cell r="A102" t="str">
            <v>0001731</v>
          </cell>
          <cell r="B102" t="str">
            <v>BUI THI MAI HƯƠNG</v>
          </cell>
          <cell r="D102">
            <v>1639305655</v>
          </cell>
          <cell r="F102">
            <v>20180206</v>
          </cell>
          <cell r="I102">
            <v>1</v>
          </cell>
          <cell r="J102">
            <v>43139.951671099538</v>
          </cell>
        </row>
        <row r="103">
          <cell r="A103" t="str">
            <v>0001732</v>
          </cell>
          <cell r="B103" t="str">
            <v>NGUYỄN ĐỨC NAM</v>
          </cell>
          <cell r="C103">
            <v>1732</v>
          </cell>
          <cell r="E103">
            <v>868386618</v>
          </cell>
          <cell r="F103">
            <v>20180206</v>
          </cell>
          <cell r="I103">
            <v>1</v>
          </cell>
          <cell r="J103">
            <v>43142.351342743059</v>
          </cell>
        </row>
        <row r="104">
          <cell r="A104" t="str">
            <v>0001735</v>
          </cell>
          <cell r="B104" t="str">
            <v>NGUYEN NGOC HUYEN</v>
          </cell>
          <cell r="D104">
            <v>976967097</v>
          </cell>
          <cell r="F104">
            <v>20180206</v>
          </cell>
          <cell r="I104">
            <v>1</v>
          </cell>
          <cell r="J104">
            <v>43139.949637384256</v>
          </cell>
        </row>
        <row r="105">
          <cell r="A105" t="str">
            <v>0001736</v>
          </cell>
          <cell r="B105" t="str">
            <v>LÊ THỊ THU HOÀI</v>
          </cell>
          <cell r="C105">
            <v>1736</v>
          </cell>
          <cell r="E105">
            <v>1208587413</v>
          </cell>
          <cell r="F105">
            <v>20180206</v>
          </cell>
          <cell r="I105">
            <v>1</v>
          </cell>
          <cell r="J105">
            <v>43142.353433946759</v>
          </cell>
        </row>
        <row r="106">
          <cell r="A106" t="str">
            <v>0001737</v>
          </cell>
          <cell r="B106" t="str">
            <v>PHAM THU THAO</v>
          </cell>
          <cell r="D106">
            <v>1688804555</v>
          </cell>
          <cell r="F106">
            <v>20180206</v>
          </cell>
          <cell r="I106">
            <v>1</v>
          </cell>
          <cell r="J106">
            <v>43139.95236855324</v>
          </cell>
        </row>
        <row r="107">
          <cell r="A107" t="str">
            <v>0001739</v>
          </cell>
          <cell r="B107" t="str">
            <v>LÊ PHẠM YẾN NHI</v>
          </cell>
          <cell r="C107">
            <v>1739</v>
          </cell>
          <cell r="E107">
            <v>987791612</v>
          </cell>
          <cell r="F107">
            <v>20180206</v>
          </cell>
          <cell r="I107">
            <v>1</v>
          </cell>
          <cell r="J107">
            <v>43142.349421990744</v>
          </cell>
        </row>
        <row r="108">
          <cell r="A108" t="str">
            <v>0001740</v>
          </cell>
          <cell r="B108" t="str">
            <v>NGUYEN TRUNG DUC</v>
          </cell>
          <cell r="D108">
            <v>898995855</v>
          </cell>
          <cell r="F108">
            <v>20180206</v>
          </cell>
          <cell r="I108">
            <v>1</v>
          </cell>
          <cell r="J108">
            <v>43139.94855119213</v>
          </cell>
        </row>
        <row r="109">
          <cell r="A109" t="str">
            <v>0001743</v>
          </cell>
          <cell r="B109" t="str">
            <v>NGUYEN THI THUY TRANG</v>
          </cell>
          <cell r="D109">
            <v>949607083</v>
          </cell>
          <cell r="F109">
            <v>20180207</v>
          </cell>
          <cell r="I109">
            <v>1</v>
          </cell>
          <cell r="J109">
            <v>43143.669454016206</v>
          </cell>
        </row>
        <row r="110">
          <cell r="A110" t="str">
            <v>0001744</v>
          </cell>
          <cell r="B110" t="str">
            <v>DO THI THUY TIEN</v>
          </cell>
          <cell r="D110">
            <v>869167304</v>
          </cell>
          <cell r="F110">
            <v>20180207</v>
          </cell>
          <cell r="I110">
            <v>1</v>
          </cell>
          <cell r="J110">
            <v>43141.423748958332</v>
          </cell>
        </row>
        <row r="111">
          <cell r="A111" t="str">
            <v>0001745</v>
          </cell>
          <cell r="B111" t="str">
            <v>LE THI TUONG VY</v>
          </cell>
          <cell r="D111">
            <v>968946453</v>
          </cell>
          <cell r="F111">
            <v>20180206</v>
          </cell>
          <cell r="I111">
            <v>1</v>
          </cell>
          <cell r="J111">
            <v>43139.956617673612</v>
          </cell>
        </row>
        <row r="112">
          <cell r="A112" t="str">
            <v>0001746</v>
          </cell>
          <cell r="B112" t="str">
            <v>LE NGUYEN PHUONG TRINH</v>
          </cell>
          <cell r="D112">
            <v>1864994506</v>
          </cell>
          <cell r="F112">
            <v>20180207</v>
          </cell>
          <cell r="I112">
            <v>1</v>
          </cell>
          <cell r="J112">
            <v>43141.422438692127</v>
          </cell>
        </row>
        <row r="113">
          <cell r="A113" t="str">
            <v>0001748</v>
          </cell>
          <cell r="B113" t="str">
            <v>PHUNG CAM CHAU</v>
          </cell>
          <cell r="D113">
            <v>906091830</v>
          </cell>
          <cell r="F113">
            <v>20180207</v>
          </cell>
          <cell r="I113">
            <v>1</v>
          </cell>
          <cell r="J113">
            <v>43141.424866006942</v>
          </cell>
        </row>
        <row r="114">
          <cell r="A114" t="str">
            <v>0001749</v>
          </cell>
          <cell r="B114" t="str">
            <v>HA MAI TRAM</v>
          </cell>
          <cell r="D114">
            <v>908628328</v>
          </cell>
          <cell r="F114">
            <v>20180207</v>
          </cell>
          <cell r="I114">
            <v>1</v>
          </cell>
          <cell r="J114">
            <v>43141.425533333335</v>
          </cell>
        </row>
        <row r="115">
          <cell r="A115" t="str">
            <v>0001750</v>
          </cell>
          <cell r="B115" t="str">
            <v>NGUYEN THI THU THUY</v>
          </cell>
          <cell r="D115">
            <v>1678543859</v>
          </cell>
          <cell r="F115">
            <v>20180207</v>
          </cell>
          <cell r="I115">
            <v>1</v>
          </cell>
          <cell r="J115">
            <v>43141.42607804398</v>
          </cell>
        </row>
        <row r="116">
          <cell r="A116" t="str">
            <v>0001751</v>
          </cell>
          <cell r="B116" t="str">
            <v>DANG NGOC NHU GIANG</v>
          </cell>
          <cell r="D116">
            <v>1662620733</v>
          </cell>
          <cell r="F116">
            <v>20180131</v>
          </cell>
          <cell r="I116">
            <v>1</v>
          </cell>
          <cell r="J116">
            <v>43139.953147800923</v>
          </cell>
        </row>
        <row r="117">
          <cell r="A117" t="str">
            <v>0001758</v>
          </cell>
          <cell r="B117" t="str">
            <v>PHAM NGOC HUYEN TRANG</v>
          </cell>
          <cell r="D117">
            <v>981870447</v>
          </cell>
          <cell r="F117">
            <v>20180206</v>
          </cell>
          <cell r="I117">
            <v>1</v>
          </cell>
          <cell r="J117">
            <v>43143.661655983793</v>
          </cell>
        </row>
        <row r="118">
          <cell r="A118" t="str">
            <v>0006868</v>
          </cell>
          <cell r="B118" t="str">
            <v>HUAN LUYEN</v>
          </cell>
          <cell r="I118">
            <v>1</v>
          </cell>
          <cell r="J118">
            <v>42754.608521875001</v>
          </cell>
        </row>
        <row r="119">
          <cell r="A119" t="str">
            <v>0007777</v>
          </cell>
          <cell r="B119" t="str">
            <v>HE LUYEN TAP</v>
          </cell>
          <cell r="I119">
            <v>1</v>
          </cell>
          <cell r="J119">
            <v>42754.60704505787</v>
          </cell>
        </row>
        <row r="120">
          <cell r="A120" t="str">
            <v>1500023</v>
          </cell>
          <cell r="B120" t="str">
            <v>Nguyen Pham Uyen Linh</v>
          </cell>
          <cell r="C120">
            <v>1500023</v>
          </cell>
          <cell r="D120">
            <v>983957057</v>
          </cell>
          <cell r="E120">
            <v>983957057</v>
          </cell>
          <cell r="F120">
            <v>20141201</v>
          </cell>
          <cell r="G120" t="str">
            <v>NULL</v>
          </cell>
          <cell r="H120" t="str">
            <v>NULL</v>
          </cell>
          <cell r="I120">
            <v>1</v>
          </cell>
          <cell r="J120">
            <v>42928.615282719904</v>
          </cell>
        </row>
        <row r="121">
          <cell r="A121" t="str">
            <v>1500052</v>
          </cell>
          <cell r="B121" t="str">
            <v>Hoang Thi Thu Ha</v>
          </cell>
          <cell r="C121">
            <v>1500052</v>
          </cell>
          <cell r="D121">
            <v>906386694</v>
          </cell>
          <cell r="E121">
            <v>906386694</v>
          </cell>
          <cell r="F121">
            <v>20150616</v>
          </cell>
          <cell r="G121" t="str">
            <v>NULL</v>
          </cell>
          <cell r="H121" t="str">
            <v>NULL</v>
          </cell>
          <cell r="I121">
            <v>1</v>
          </cell>
          <cell r="J121">
            <v>42482.449990590278</v>
          </cell>
        </row>
        <row r="122">
          <cell r="A122" t="str">
            <v>1500069</v>
          </cell>
          <cell r="B122" t="str">
            <v>Pham Van Loc</v>
          </cell>
          <cell r="C122">
            <v>1500069</v>
          </cell>
          <cell r="D122" t="str">
            <v>0914 934 937</v>
          </cell>
          <cell r="E122" t="str">
            <v>0914 934 937</v>
          </cell>
          <cell r="F122">
            <v>20150810</v>
          </cell>
          <cell r="G122" t="str">
            <v>NULL</v>
          </cell>
          <cell r="H122" t="str">
            <v>NULL</v>
          </cell>
          <cell r="I122">
            <v>1</v>
          </cell>
          <cell r="J122">
            <v>42503.450736493054</v>
          </cell>
        </row>
        <row r="123">
          <cell r="A123" t="str">
            <v>1500082</v>
          </cell>
          <cell r="B123" t="str">
            <v>Nguyen Tri Hoang Hung</v>
          </cell>
          <cell r="C123">
            <v>1500082</v>
          </cell>
          <cell r="D123">
            <v>973847264</v>
          </cell>
          <cell r="E123">
            <v>973847264</v>
          </cell>
          <cell r="F123">
            <v>20150907</v>
          </cell>
          <cell r="G123" t="str">
            <v>NULL</v>
          </cell>
          <cell r="H123" t="str">
            <v>NULL</v>
          </cell>
          <cell r="I123">
            <v>1</v>
          </cell>
          <cell r="J123">
            <v>42503.450736458333</v>
          </cell>
        </row>
        <row r="124">
          <cell r="A124" t="str">
            <v>1500093</v>
          </cell>
          <cell r="B124" t="str">
            <v>Nguyen Thanh Binh</v>
          </cell>
          <cell r="C124">
            <v>1500093</v>
          </cell>
          <cell r="D124" t="str">
            <v>0909 459 366</v>
          </cell>
          <cell r="E124">
            <v>909459366</v>
          </cell>
          <cell r="F124">
            <v>20150916</v>
          </cell>
          <cell r="G124" t="str">
            <v>NULL</v>
          </cell>
          <cell r="H124" t="str">
            <v>NULL</v>
          </cell>
          <cell r="I124">
            <v>1</v>
          </cell>
          <cell r="J124">
            <v>42928.615284143518</v>
          </cell>
        </row>
        <row r="125">
          <cell r="A125" t="str">
            <v>1500096</v>
          </cell>
          <cell r="B125" t="str">
            <v>Nguyen Huu Tuong Duy</v>
          </cell>
          <cell r="C125">
            <v>1500096</v>
          </cell>
          <cell r="D125" t="str">
            <v>0908 535 616</v>
          </cell>
          <cell r="E125" t="str">
            <v>0908 535 616</v>
          </cell>
          <cell r="F125">
            <v>20150924</v>
          </cell>
          <cell r="G125" t="str">
            <v>NULL</v>
          </cell>
          <cell r="H125" t="str">
            <v>NULL</v>
          </cell>
          <cell r="I125">
            <v>1</v>
          </cell>
          <cell r="J125">
            <v>42942.689566932873</v>
          </cell>
        </row>
        <row r="126">
          <cell r="A126" t="str">
            <v>1500102</v>
          </cell>
          <cell r="B126" t="str">
            <v>Ha Thi Thuy Nga</v>
          </cell>
          <cell r="C126">
            <v>1500102</v>
          </cell>
          <cell r="D126" t="str">
            <v>0935 631 142</v>
          </cell>
          <cell r="E126" t="str">
            <v>0935 631 142</v>
          </cell>
          <cell r="F126">
            <v>20151001</v>
          </cell>
          <cell r="G126" t="str">
            <v>NULL</v>
          </cell>
          <cell r="H126" t="str">
            <v>NULL</v>
          </cell>
          <cell r="I126">
            <v>1</v>
          </cell>
          <cell r="J126">
            <v>42466.694329050923</v>
          </cell>
        </row>
        <row r="127">
          <cell r="A127" t="str">
            <v>1500105</v>
          </cell>
          <cell r="B127" t="str">
            <v>Vo Thi Diep Mai</v>
          </cell>
          <cell r="C127">
            <v>1500105</v>
          </cell>
          <cell r="D127" t="str">
            <v>01265 283 724</v>
          </cell>
          <cell r="E127" t="str">
            <v>01265 283 724</v>
          </cell>
          <cell r="F127">
            <v>20151001</v>
          </cell>
          <cell r="G127" t="str">
            <v>NULL</v>
          </cell>
          <cell r="H127" t="str">
            <v>NULL</v>
          </cell>
          <cell r="I127">
            <v>1</v>
          </cell>
          <cell r="J127">
            <v>42583.711786805557</v>
          </cell>
        </row>
        <row r="128">
          <cell r="A128" t="str">
            <v>1500107</v>
          </cell>
          <cell r="B128" t="str">
            <v>TRAM HUY VAN</v>
          </cell>
          <cell r="I128">
            <v>1</v>
          </cell>
          <cell r="J128">
            <v>42353.469627777777</v>
          </cell>
        </row>
        <row r="129">
          <cell r="A129" t="str">
            <v>1500109</v>
          </cell>
          <cell r="B129" t="str">
            <v>Le Duy Phat</v>
          </cell>
          <cell r="C129">
            <v>1500109</v>
          </cell>
          <cell r="D129" t="str">
            <v>0909 727 342</v>
          </cell>
          <cell r="E129" t="str">
            <v>0909 727 342</v>
          </cell>
          <cell r="F129">
            <v>20151005</v>
          </cell>
          <cell r="G129" t="str">
            <v>NULL</v>
          </cell>
          <cell r="H129" t="str">
            <v>NULL</v>
          </cell>
          <cell r="I129">
            <v>1</v>
          </cell>
          <cell r="J129">
            <v>42951.469428784723</v>
          </cell>
        </row>
        <row r="130">
          <cell r="A130" t="str">
            <v>1500110</v>
          </cell>
          <cell r="B130" t="str">
            <v>Ly Thi Ngoc My</v>
          </cell>
          <cell r="C130">
            <v>1500110</v>
          </cell>
          <cell r="D130">
            <v>1685882011</v>
          </cell>
          <cell r="E130">
            <v>1685882011</v>
          </cell>
          <cell r="F130">
            <v>20151008</v>
          </cell>
          <cell r="G130" t="str">
            <v>NULL</v>
          </cell>
          <cell r="H130" t="str">
            <v>NULL</v>
          </cell>
          <cell r="I130">
            <v>1</v>
          </cell>
          <cell r="J130">
            <v>42583.711786805557</v>
          </cell>
        </row>
        <row r="131">
          <cell r="A131" t="str">
            <v>1500114</v>
          </cell>
          <cell r="B131" t="str">
            <v>Nguyen Thi Thanh Chuc</v>
          </cell>
          <cell r="C131">
            <v>1500114</v>
          </cell>
          <cell r="D131" t="str">
            <v>0909 129 388</v>
          </cell>
          <cell r="E131" t="str">
            <v>NULL</v>
          </cell>
          <cell r="F131">
            <v>20151019</v>
          </cell>
          <cell r="G131" t="str">
            <v>NULL</v>
          </cell>
          <cell r="H131" t="str">
            <v>NULL</v>
          </cell>
          <cell r="I131">
            <v>1</v>
          </cell>
          <cell r="J131">
            <v>43017.460408831015</v>
          </cell>
        </row>
        <row r="132">
          <cell r="A132" t="str">
            <v>1500117</v>
          </cell>
          <cell r="B132" t="str">
            <v>Le Thi Thanh Vy</v>
          </cell>
          <cell r="C132">
            <v>1500117</v>
          </cell>
          <cell r="D132" t="str">
            <v>0937 743 124</v>
          </cell>
          <cell r="E132">
            <v>937743124</v>
          </cell>
          <cell r="F132">
            <v>20151019</v>
          </cell>
          <cell r="I132">
            <v>1</v>
          </cell>
          <cell r="J132">
            <v>42353.563848726852</v>
          </cell>
        </row>
        <row r="133">
          <cell r="A133" t="str">
            <v>1500122</v>
          </cell>
          <cell r="B133" t="str">
            <v>TRAN TUAN ANH</v>
          </cell>
          <cell r="C133">
            <v>1500122</v>
          </cell>
          <cell r="F133">
            <v>20151026</v>
          </cell>
          <cell r="I133">
            <v>1</v>
          </cell>
          <cell r="J133">
            <v>42353.425602662035</v>
          </cell>
        </row>
        <row r="134">
          <cell r="A134" t="str">
            <v>1500128</v>
          </cell>
          <cell r="B134" t="str">
            <v>Pham Minh Thanh</v>
          </cell>
          <cell r="C134">
            <v>1500128</v>
          </cell>
          <cell r="D134">
            <v>908540049</v>
          </cell>
          <cell r="E134">
            <v>908540049</v>
          </cell>
          <cell r="F134">
            <v>20151026</v>
          </cell>
          <cell r="I134">
            <v>1</v>
          </cell>
          <cell r="J134">
            <v>42353.419721261576</v>
          </cell>
        </row>
        <row r="135">
          <cell r="A135" t="str">
            <v>1500130</v>
          </cell>
          <cell r="B135" t="str">
            <v>Le Thi Kim Tuyen</v>
          </cell>
          <cell r="C135">
            <v>1500130</v>
          </cell>
          <cell r="D135">
            <v>974157663</v>
          </cell>
          <cell r="E135">
            <v>974157663</v>
          </cell>
          <cell r="F135">
            <v>20151026</v>
          </cell>
          <cell r="G135" t="str">
            <v>NULL</v>
          </cell>
          <cell r="H135" t="str">
            <v>NULL</v>
          </cell>
          <cell r="I135">
            <v>1</v>
          </cell>
          <cell r="J135">
            <v>42353.409509756944</v>
          </cell>
        </row>
        <row r="136">
          <cell r="A136" t="str">
            <v>1500137</v>
          </cell>
          <cell r="B136" t="str">
            <v>Nguyen Thi Thanh Hang</v>
          </cell>
          <cell r="I136">
            <v>1</v>
          </cell>
          <cell r="J136">
            <v>42353.410673726852</v>
          </cell>
        </row>
        <row r="137">
          <cell r="A137" t="str">
            <v>1500154</v>
          </cell>
          <cell r="B137" t="str">
            <v>Tran Cao Thao Nguyen</v>
          </cell>
          <cell r="C137">
            <v>1500154</v>
          </cell>
          <cell r="D137">
            <v>1698053250</v>
          </cell>
          <cell r="E137">
            <v>1698053250</v>
          </cell>
          <cell r="F137">
            <v>20151026</v>
          </cell>
          <cell r="G137" t="str">
            <v>NULL</v>
          </cell>
          <cell r="H137" t="str">
            <v>NULL</v>
          </cell>
          <cell r="I137">
            <v>1</v>
          </cell>
          <cell r="J137">
            <v>42353.47567728009</v>
          </cell>
        </row>
        <row r="138">
          <cell r="A138" t="str">
            <v>1500167</v>
          </cell>
          <cell r="B138" t="str">
            <v>Nguyen Thi Tuyet Trinh</v>
          </cell>
          <cell r="C138">
            <v>1500167</v>
          </cell>
          <cell r="D138">
            <v>1636103269</v>
          </cell>
          <cell r="E138">
            <v>1636103269</v>
          </cell>
          <cell r="F138">
            <v>20151026</v>
          </cell>
          <cell r="G138" t="str">
            <v>NULL</v>
          </cell>
          <cell r="H138" t="str">
            <v>NULL</v>
          </cell>
          <cell r="I138">
            <v>1</v>
          </cell>
          <cell r="J138">
            <v>42353.407746956022</v>
          </cell>
        </row>
        <row r="139">
          <cell r="A139" t="str">
            <v>1500171</v>
          </cell>
          <cell r="B139" t="str">
            <v>Tran Nguyen Yen Linh</v>
          </cell>
          <cell r="C139">
            <v>1500171</v>
          </cell>
          <cell r="D139">
            <v>1212257861</v>
          </cell>
          <cell r="E139">
            <v>1212257861</v>
          </cell>
          <cell r="F139">
            <v>20151026</v>
          </cell>
          <cell r="G139" t="str">
            <v>NULL</v>
          </cell>
          <cell r="H139" t="str">
            <v>NULL</v>
          </cell>
          <cell r="I139">
            <v>1</v>
          </cell>
          <cell r="J139">
            <v>43138.743744988424</v>
          </cell>
        </row>
        <row r="140">
          <cell r="A140" t="str">
            <v>1500174</v>
          </cell>
          <cell r="B140" t="str">
            <v>Dang Ngoc Chau Tuan</v>
          </cell>
          <cell r="C140">
            <v>1500174</v>
          </cell>
          <cell r="D140">
            <v>1289899456</v>
          </cell>
          <cell r="E140">
            <v>1289899456</v>
          </cell>
          <cell r="F140">
            <v>20151026</v>
          </cell>
          <cell r="G140" t="str">
            <v>NULL</v>
          </cell>
          <cell r="H140" t="str">
            <v>NULL</v>
          </cell>
          <cell r="I140">
            <v>1</v>
          </cell>
          <cell r="J140">
            <v>42725.615310266207</v>
          </cell>
        </row>
        <row r="141">
          <cell r="A141" t="str">
            <v>1500181</v>
          </cell>
          <cell r="B141" t="str">
            <v>Vo Thi Kim Linh</v>
          </cell>
          <cell r="C141">
            <v>1500181</v>
          </cell>
          <cell r="D141">
            <v>933292016</v>
          </cell>
          <cell r="E141">
            <v>933292016</v>
          </cell>
          <cell r="F141">
            <v>20151026</v>
          </cell>
          <cell r="G141" t="str">
            <v>NULL</v>
          </cell>
          <cell r="H141" t="str">
            <v>NULL</v>
          </cell>
          <cell r="I141">
            <v>1</v>
          </cell>
          <cell r="J141">
            <v>43017.502763275465</v>
          </cell>
        </row>
        <row r="142">
          <cell r="A142" t="str">
            <v>1500184</v>
          </cell>
          <cell r="B142" t="str">
            <v>Nguyen Huy Anh</v>
          </cell>
          <cell r="C142">
            <v>1500184</v>
          </cell>
          <cell r="D142">
            <v>1217873363</v>
          </cell>
          <cell r="E142">
            <v>1217873363</v>
          </cell>
          <cell r="F142">
            <v>20151026</v>
          </cell>
          <cell r="G142" t="str">
            <v>NULL</v>
          </cell>
          <cell r="H142" t="str">
            <v>NULL</v>
          </cell>
          <cell r="I142">
            <v>1</v>
          </cell>
          <cell r="J142">
            <v>42926.488218402781</v>
          </cell>
        </row>
        <row r="143">
          <cell r="A143" t="str">
            <v>1500185</v>
          </cell>
          <cell r="B143" t="str">
            <v>Lu Thanh Thanh</v>
          </cell>
          <cell r="C143">
            <v>1500185</v>
          </cell>
          <cell r="D143">
            <v>932756823</v>
          </cell>
          <cell r="E143">
            <v>932756823</v>
          </cell>
          <cell r="F143">
            <v>20151026</v>
          </cell>
          <cell r="G143" t="str">
            <v>NULL</v>
          </cell>
          <cell r="H143" t="str">
            <v>NULL</v>
          </cell>
          <cell r="I143">
            <v>1</v>
          </cell>
          <cell r="J143">
            <v>42725.615309687499</v>
          </cell>
        </row>
        <row r="144">
          <cell r="A144" t="str">
            <v>1500191</v>
          </cell>
          <cell r="B144" t="str">
            <v>Nguyen Huu Phuc</v>
          </cell>
          <cell r="C144">
            <v>1500191</v>
          </cell>
          <cell r="D144">
            <v>1208650386</v>
          </cell>
          <cell r="E144">
            <v>1208650386</v>
          </cell>
          <cell r="F144">
            <v>20151026</v>
          </cell>
          <cell r="G144" t="str">
            <v>NULL</v>
          </cell>
          <cell r="H144" t="str">
            <v>NULL</v>
          </cell>
          <cell r="I144">
            <v>1</v>
          </cell>
          <cell r="J144">
            <v>43017.502763275465</v>
          </cell>
        </row>
        <row r="145">
          <cell r="A145" t="str">
            <v>1500197</v>
          </cell>
          <cell r="B145" t="str">
            <v>Ho Thi Tuyet Mai</v>
          </cell>
          <cell r="C145">
            <v>1500197</v>
          </cell>
          <cell r="D145">
            <v>1669731173</v>
          </cell>
          <cell r="E145">
            <v>1669731173</v>
          </cell>
          <cell r="F145">
            <v>20151026</v>
          </cell>
          <cell r="G145" t="str">
            <v>NULL</v>
          </cell>
          <cell r="H145" t="str">
            <v>NULL</v>
          </cell>
          <cell r="I145">
            <v>1</v>
          </cell>
          <cell r="J145">
            <v>42928.615284722226</v>
          </cell>
        </row>
        <row r="146">
          <cell r="A146" t="str">
            <v>1500198</v>
          </cell>
          <cell r="B146" t="str">
            <v>Do Quang Tu</v>
          </cell>
          <cell r="C146">
            <v>1500198</v>
          </cell>
          <cell r="D146">
            <v>1203839220</v>
          </cell>
          <cell r="E146">
            <v>1203839220</v>
          </cell>
          <cell r="F146">
            <v>20151026</v>
          </cell>
          <cell r="G146" t="str">
            <v>NULL</v>
          </cell>
          <cell r="H146" t="str">
            <v>NULL</v>
          </cell>
          <cell r="I146">
            <v>1</v>
          </cell>
          <cell r="J146">
            <v>43017.502763275465</v>
          </cell>
        </row>
        <row r="147">
          <cell r="A147" t="str">
            <v>1500199</v>
          </cell>
          <cell r="B147" t="str">
            <v>Phan Cong Tu</v>
          </cell>
          <cell r="C147">
            <v>1500199</v>
          </cell>
          <cell r="D147">
            <v>934031582</v>
          </cell>
          <cell r="E147">
            <v>934031582</v>
          </cell>
          <cell r="F147">
            <v>20151026</v>
          </cell>
          <cell r="G147" t="str">
            <v>NULL</v>
          </cell>
          <cell r="H147" t="str">
            <v>NULL</v>
          </cell>
          <cell r="I147">
            <v>1</v>
          </cell>
          <cell r="J147">
            <v>42914.705545949073</v>
          </cell>
        </row>
        <row r="148">
          <cell r="A148" t="str">
            <v>1500201</v>
          </cell>
          <cell r="B148" t="str">
            <v>Truong Ba Tung</v>
          </cell>
          <cell r="C148">
            <v>1500201</v>
          </cell>
          <cell r="D148">
            <v>908838318</v>
          </cell>
          <cell r="E148">
            <v>908838318</v>
          </cell>
          <cell r="F148">
            <v>20151026</v>
          </cell>
          <cell r="G148" t="str">
            <v>NULL</v>
          </cell>
          <cell r="H148" t="str">
            <v>NULL</v>
          </cell>
          <cell r="I148">
            <v>1</v>
          </cell>
          <cell r="J148">
            <v>42914.705546909725</v>
          </cell>
        </row>
        <row r="149">
          <cell r="A149" t="str">
            <v>1500227</v>
          </cell>
          <cell r="B149" t="str">
            <v>Nguyen Thi Hong</v>
          </cell>
          <cell r="C149">
            <v>1500227</v>
          </cell>
          <cell r="D149">
            <v>1652241432</v>
          </cell>
          <cell r="E149">
            <v>1652241432</v>
          </cell>
          <cell r="F149">
            <v>20151026</v>
          </cell>
          <cell r="G149" t="str">
            <v>NULL</v>
          </cell>
          <cell r="H149" t="str">
            <v>NULL</v>
          </cell>
          <cell r="I149">
            <v>1</v>
          </cell>
          <cell r="J149">
            <v>43017.502763275465</v>
          </cell>
        </row>
        <row r="150">
          <cell r="A150" t="str">
            <v>1500228</v>
          </cell>
          <cell r="B150" t="str">
            <v>Tran Ngoc Minh Quan</v>
          </cell>
          <cell r="C150">
            <v>1500228</v>
          </cell>
          <cell r="D150">
            <v>1669795549</v>
          </cell>
          <cell r="E150">
            <v>1669795549</v>
          </cell>
          <cell r="F150">
            <v>20151105</v>
          </cell>
          <cell r="G150" t="str">
            <v>NULL</v>
          </cell>
          <cell r="H150" t="str">
            <v>NULL</v>
          </cell>
          <cell r="I150">
            <v>1</v>
          </cell>
          <cell r="J150">
            <v>42725.615310266207</v>
          </cell>
        </row>
        <row r="151">
          <cell r="A151" t="str">
            <v>1500235</v>
          </cell>
          <cell r="B151" t="str">
            <v>Do Thi Thu Huong</v>
          </cell>
          <cell r="C151">
            <v>1500235</v>
          </cell>
          <cell r="D151">
            <v>908286148</v>
          </cell>
          <cell r="E151">
            <v>908286148</v>
          </cell>
          <cell r="F151">
            <v>20151026</v>
          </cell>
          <cell r="G151">
            <v>20160609</v>
          </cell>
          <cell r="H151" t="str">
            <v>NULL</v>
          </cell>
          <cell r="I151">
            <v>1</v>
          </cell>
          <cell r="J151">
            <v>42510.646525115742</v>
          </cell>
        </row>
        <row r="152">
          <cell r="A152" t="str">
            <v>1500243</v>
          </cell>
          <cell r="B152" t="str">
            <v>Nguyen Thi Huong Lan</v>
          </cell>
          <cell r="C152">
            <v>1500243</v>
          </cell>
          <cell r="D152">
            <v>1265163701</v>
          </cell>
          <cell r="E152">
            <v>1265163701</v>
          </cell>
          <cell r="F152">
            <v>20151026</v>
          </cell>
          <cell r="G152" t="str">
            <v>NULL</v>
          </cell>
          <cell r="H152" t="str">
            <v>NULL</v>
          </cell>
          <cell r="I152">
            <v>1</v>
          </cell>
          <cell r="J152">
            <v>43017.502763275465</v>
          </cell>
        </row>
        <row r="153">
          <cell r="A153" t="str">
            <v>1500244</v>
          </cell>
          <cell r="B153" t="str">
            <v>Duong Kim Thuy</v>
          </cell>
          <cell r="C153">
            <v>1500244</v>
          </cell>
          <cell r="D153">
            <v>937291224</v>
          </cell>
          <cell r="E153">
            <v>937291224</v>
          </cell>
          <cell r="F153">
            <v>20151026</v>
          </cell>
          <cell r="G153" t="str">
            <v>NULL</v>
          </cell>
          <cell r="H153" t="str">
            <v>NULL</v>
          </cell>
          <cell r="I153">
            <v>1</v>
          </cell>
          <cell r="J153">
            <v>42725.615310266207</v>
          </cell>
        </row>
        <row r="154">
          <cell r="A154" t="str">
            <v>1500254</v>
          </cell>
          <cell r="B154" t="str">
            <v>Nguyen Ngoc Vinh Quang</v>
          </cell>
          <cell r="C154">
            <v>1500254</v>
          </cell>
          <cell r="D154">
            <v>938943720</v>
          </cell>
          <cell r="E154">
            <v>938943720</v>
          </cell>
          <cell r="F154">
            <v>20151026</v>
          </cell>
          <cell r="G154" t="str">
            <v>NULL</v>
          </cell>
          <cell r="H154" t="str">
            <v>NULL</v>
          </cell>
          <cell r="I154">
            <v>1</v>
          </cell>
          <cell r="J154">
            <v>43017.502763229168</v>
          </cell>
        </row>
        <row r="155">
          <cell r="A155" t="str">
            <v>1500256</v>
          </cell>
          <cell r="B155" t="str">
            <v>Nguyen Anh Nam</v>
          </cell>
          <cell r="C155">
            <v>1500256</v>
          </cell>
          <cell r="D155">
            <v>933080002</v>
          </cell>
          <cell r="E155">
            <v>933080002</v>
          </cell>
          <cell r="F155">
            <v>20151026</v>
          </cell>
          <cell r="G155" t="str">
            <v>NULL</v>
          </cell>
          <cell r="H155" t="str">
            <v>NULL</v>
          </cell>
          <cell r="I155">
            <v>1</v>
          </cell>
          <cell r="J155">
            <v>43017.5027625</v>
          </cell>
        </row>
        <row r="156">
          <cell r="A156" t="str">
            <v>1500257</v>
          </cell>
          <cell r="B156" t="str">
            <v>Pham Minh Cuong</v>
          </cell>
          <cell r="C156">
            <v>1500257</v>
          </cell>
          <cell r="D156">
            <v>904236213</v>
          </cell>
          <cell r="E156">
            <v>904236213</v>
          </cell>
          <cell r="F156">
            <v>20151026</v>
          </cell>
          <cell r="G156" t="str">
            <v>NULL</v>
          </cell>
          <cell r="H156" t="str">
            <v>NULL</v>
          </cell>
          <cell r="I156">
            <v>1</v>
          </cell>
          <cell r="J156">
            <v>42725.615309687499</v>
          </cell>
        </row>
        <row r="157">
          <cell r="A157" t="str">
            <v>1500260</v>
          </cell>
          <cell r="B157" t="str">
            <v>Trinh Hoang Minh Khang</v>
          </cell>
          <cell r="C157">
            <v>1500260</v>
          </cell>
          <cell r="D157">
            <v>909021741</v>
          </cell>
          <cell r="E157">
            <v>909021741</v>
          </cell>
          <cell r="F157">
            <v>20151026</v>
          </cell>
          <cell r="G157" t="str">
            <v>NULL</v>
          </cell>
          <cell r="H157" t="str">
            <v>NULL</v>
          </cell>
          <cell r="I157">
            <v>1</v>
          </cell>
          <cell r="J157">
            <v>43017.502763229168</v>
          </cell>
        </row>
        <row r="158">
          <cell r="A158" t="str">
            <v>1500265</v>
          </cell>
          <cell r="B158" t="str">
            <v>Nguyen Thuy Thuy Tam</v>
          </cell>
          <cell r="C158">
            <v>1500265</v>
          </cell>
          <cell r="D158">
            <v>932126288</v>
          </cell>
          <cell r="E158">
            <v>932126288</v>
          </cell>
          <cell r="F158">
            <v>20151026</v>
          </cell>
          <cell r="G158" t="str">
            <v>NULL</v>
          </cell>
          <cell r="H158" t="str">
            <v>NULL</v>
          </cell>
          <cell r="I158">
            <v>1</v>
          </cell>
          <cell r="J158">
            <v>43138.743745023145</v>
          </cell>
        </row>
        <row r="159">
          <cell r="A159" t="str">
            <v>1500266</v>
          </cell>
          <cell r="B159" t="str">
            <v>Phan Lien Binh Kha</v>
          </cell>
          <cell r="C159">
            <v>1500266</v>
          </cell>
          <cell r="D159">
            <v>1649683981</v>
          </cell>
          <cell r="E159">
            <v>1649683981</v>
          </cell>
          <cell r="F159">
            <v>20151026</v>
          </cell>
          <cell r="G159" t="str">
            <v>NULL</v>
          </cell>
          <cell r="H159" t="str">
            <v>NULL</v>
          </cell>
          <cell r="I159">
            <v>1</v>
          </cell>
          <cell r="J159">
            <v>42725.615310300927</v>
          </cell>
        </row>
        <row r="160">
          <cell r="A160" t="str">
            <v>1500282</v>
          </cell>
          <cell r="B160" t="str">
            <v>Nguyen Quoc Anh</v>
          </cell>
          <cell r="C160">
            <v>1500282</v>
          </cell>
          <cell r="D160">
            <v>906977617</v>
          </cell>
          <cell r="E160">
            <v>906977617</v>
          </cell>
          <cell r="F160">
            <v>20151026</v>
          </cell>
          <cell r="G160" t="str">
            <v>NULL</v>
          </cell>
          <cell r="H160" t="str">
            <v>NULL</v>
          </cell>
          <cell r="I160">
            <v>1</v>
          </cell>
          <cell r="J160">
            <v>42725.615310300927</v>
          </cell>
        </row>
        <row r="161">
          <cell r="A161" t="str">
            <v>1500287</v>
          </cell>
          <cell r="B161" t="str">
            <v>Huynh An Luan</v>
          </cell>
          <cell r="C161">
            <v>1500287</v>
          </cell>
          <cell r="D161">
            <v>988333279</v>
          </cell>
          <cell r="E161">
            <v>988333279</v>
          </cell>
          <cell r="F161">
            <v>20151028</v>
          </cell>
          <cell r="G161" t="str">
            <v>NULL</v>
          </cell>
          <cell r="H161" t="str">
            <v>NULL</v>
          </cell>
          <cell r="I161">
            <v>1</v>
          </cell>
          <cell r="J161">
            <v>43058.416663043979</v>
          </cell>
        </row>
        <row r="162">
          <cell r="A162" t="str">
            <v>1500295</v>
          </cell>
          <cell r="B162" t="str">
            <v>Nguyen Thi My Hanh</v>
          </cell>
          <cell r="C162">
            <v>1500295</v>
          </cell>
          <cell r="D162">
            <v>974920684</v>
          </cell>
          <cell r="E162">
            <v>974920684</v>
          </cell>
          <cell r="F162">
            <v>20151026</v>
          </cell>
          <cell r="G162" t="str">
            <v>NULL</v>
          </cell>
          <cell r="H162" t="str">
            <v>NULL</v>
          </cell>
          <cell r="I162">
            <v>1</v>
          </cell>
          <cell r="J162">
            <v>43138.743743981482</v>
          </cell>
        </row>
        <row r="163">
          <cell r="A163" t="str">
            <v>1500297</v>
          </cell>
          <cell r="B163" t="str">
            <v>Ta Truc Thuy Ha</v>
          </cell>
          <cell r="C163">
            <v>1500297</v>
          </cell>
          <cell r="D163">
            <v>938026697</v>
          </cell>
          <cell r="E163">
            <v>938026697</v>
          </cell>
          <cell r="F163">
            <v>20151026</v>
          </cell>
          <cell r="G163" t="str">
            <v>NULL</v>
          </cell>
          <cell r="H163" t="str">
            <v>NULL</v>
          </cell>
          <cell r="I163">
            <v>1</v>
          </cell>
          <cell r="J163">
            <v>43138.743744942127</v>
          </cell>
        </row>
        <row r="164">
          <cell r="A164" t="str">
            <v>1500298</v>
          </cell>
          <cell r="B164" t="str">
            <v>Luong Thuy Minh Yen</v>
          </cell>
          <cell r="C164">
            <v>1500298</v>
          </cell>
          <cell r="D164">
            <v>978086370</v>
          </cell>
          <cell r="E164">
            <v>978086370</v>
          </cell>
          <cell r="F164">
            <v>20151026</v>
          </cell>
          <cell r="G164" t="str">
            <v>NULL</v>
          </cell>
          <cell r="H164" t="str">
            <v>NULL</v>
          </cell>
          <cell r="I164">
            <v>1</v>
          </cell>
          <cell r="J164">
            <v>42951.469429201388</v>
          </cell>
        </row>
        <row r="165">
          <cell r="A165" t="str">
            <v>1500300</v>
          </cell>
          <cell r="B165" t="str">
            <v>Than Thi Bich Hang</v>
          </cell>
          <cell r="C165">
            <v>1500300</v>
          </cell>
          <cell r="D165">
            <v>909266195</v>
          </cell>
          <cell r="E165">
            <v>909266195</v>
          </cell>
          <cell r="F165">
            <v>20151026</v>
          </cell>
          <cell r="G165" t="str">
            <v>NULL</v>
          </cell>
          <cell r="H165" t="str">
            <v>NULL</v>
          </cell>
          <cell r="I165">
            <v>1</v>
          </cell>
          <cell r="J165">
            <v>43138.743744942127</v>
          </cell>
        </row>
        <row r="166">
          <cell r="A166" t="str">
            <v>1500301</v>
          </cell>
          <cell r="B166" t="str">
            <v>Luong Thi Tuyet Nhung</v>
          </cell>
          <cell r="C166">
            <v>1500301</v>
          </cell>
          <cell r="D166">
            <v>942831009</v>
          </cell>
          <cell r="E166">
            <v>942831009</v>
          </cell>
          <cell r="F166">
            <v>20151026</v>
          </cell>
          <cell r="G166" t="str">
            <v>NULL</v>
          </cell>
          <cell r="H166" t="str">
            <v>NULL</v>
          </cell>
          <cell r="I166">
            <v>1</v>
          </cell>
          <cell r="J166">
            <v>43138.743744942127</v>
          </cell>
        </row>
        <row r="167">
          <cell r="A167" t="str">
            <v>1500302</v>
          </cell>
          <cell r="B167" t="str">
            <v>Le Thi Tuyet Minh</v>
          </cell>
          <cell r="C167">
            <v>1500302</v>
          </cell>
          <cell r="D167">
            <v>1212323969</v>
          </cell>
          <cell r="E167">
            <v>1212323969</v>
          </cell>
          <cell r="F167">
            <v>20151026</v>
          </cell>
          <cell r="G167" t="str">
            <v>NULL</v>
          </cell>
          <cell r="H167" t="str">
            <v>NULL</v>
          </cell>
          <cell r="I167">
            <v>1</v>
          </cell>
          <cell r="J167">
            <v>43138.743744942127</v>
          </cell>
        </row>
        <row r="168">
          <cell r="A168" t="str">
            <v>1500304</v>
          </cell>
          <cell r="B168" t="str">
            <v>Tran Phung Kieu Anh</v>
          </cell>
          <cell r="C168">
            <v>1500304</v>
          </cell>
          <cell r="D168">
            <v>966771354</v>
          </cell>
          <cell r="E168">
            <v>966771354</v>
          </cell>
          <cell r="F168">
            <v>20151026</v>
          </cell>
          <cell r="G168" t="str">
            <v>NULL</v>
          </cell>
          <cell r="H168" t="str">
            <v>NULL</v>
          </cell>
          <cell r="I168">
            <v>1</v>
          </cell>
          <cell r="J168">
            <v>42725.615310266207</v>
          </cell>
        </row>
        <row r="169">
          <cell r="A169" t="str">
            <v>1500319</v>
          </cell>
          <cell r="B169" t="str">
            <v>Tran Minh Tien</v>
          </cell>
          <cell r="C169">
            <v>1500319</v>
          </cell>
          <cell r="D169">
            <v>973747679</v>
          </cell>
          <cell r="E169">
            <v>973747679</v>
          </cell>
          <cell r="F169">
            <v>20151026</v>
          </cell>
          <cell r="G169" t="str">
            <v>NULL</v>
          </cell>
          <cell r="H169" t="str">
            <v>NULL</v>
          </cell>
          <cell r="I169">
            <v>1</v>
          </cell>
          <cell r="J169">
            <v>43017.502763275465</v>
          </cell>
        </row>
        <row r="170">
          <cell r="A170" t="str">
            <v>1500323</v>
          </cell>
          <cell r="B170" t="str">
            <v>Cao Thi Cam Thuy</v>
          </cell>
          <cell r="C170">
            <v>1500323</v>
          </cell>
          <cell r="D170">
            <v>966827270</v>
          </cell>
          <cell r="E170">
            <v>966827270</v>
          </cell>
          <cell r="F170">
            <v>20151102</v>
          </cell>
          <cell r="G170" t="str">
            <v>NULL</v>
          </cell>
          <cell r="H170" t="str">
            <v>NULL</v>
          </cell>
          <cell r="I170">
            <v>1</v>
          </cell>
          <cell r="J170">
            <v>42951.469429201388</v>
          </cell>
        </row>
        <row r="171">
          <cell r="A171" t="str">
            <v>1500324</v>
          </cell>
          <cell r="B171" t="str">
            <v>Le Huynh Ngoc Quy</v>
          </cell>
          <cell r="C171">
            <v>1500324</v>
          </cell>
          <cell r="D171">
            <v>906966413</v>
          </cell>
          <cell r="E171">
            <v>906966413</v>
          </cell>
          <cell r="F171">
            <v>20151102</v>
          </cell>
          <cell r="G171" t="str">
            <v>NULL</v>
          </cell>
          <cell r="H171" t="str">
            <v>NULL</v>
          </cell>
          <cell r="I171">
            <v>1</v>
          </cell>
          <cell r="J171">
            <v>42725.615310300927</v>
          </cell>
        </row>
        <row r="172">
          <cell r="A172" t="str">
            <v>1500328</v>
          </cell>
          <cell r="B172" t="str">
            <v>Ly Phuong Thao</v>
          </cell>
          <cell r="C172">
            <v>1500328</v>
          </cell>
          <cell r="D172">
            <v>1882995987</v>
          </cell>
          <cell r="E172">
            <v>1882995987</v>
          </cell>
          <cell r="F172">
            <v>20151028</v>
          </cell>
          <cell r="I172">
            <v>1</v>
          </cell>
          <cell r="J172">
            <v>42353.384281979168</v>
          </cell>
        </row>
        <row r="173">
          <cell r="A173" t="str">
            <v>1500341</v>
          </cell>
          <cell r="B173" t="str">
            <v>Mai Nguyen  Song Toan</v>
          </cell>
          <cell r="C173">
            <v>1500341</v>
          </cell>
          <cell r="D173">
            <v>1245925496</v>
          </cell>
          <cell r="E173">
            <v>1245925496</v>
          </cell>
          <cell r="F173">
            <v>20151103</v>
          </cell>
          <cell r="G173" t="str">
            <v>NULL</v>
          </cell>
          <cell r="H173" t="str">
            <v>NULL</v>
          </cell>
          <cell r="I173">
            <v>1</v>
          </cell>
          <cell r="J173">
            <v>42725.615308831017</v>
          </cell>
        </row>
        <row r="174">
          <cell r="A174" t="str">
            <v>1500345</v>
          </cell>
          <cell r="B174" t="str">
            <v>Tran Hien Hai Dang</v>
          </cell>
          <cell r="C174">
            <v>1500345</v>
          </cell>
          <cell r="D174">
            <v>907089941</v>
          </cell>
          <cell r="E174">
            <v>907089941</v>
          </cell>
          <cell r="F174">
            <v>20151102</v>
          </cell>
          <cell r="G174" t="str">
            <v>NULL</v>
          </cell>
          <cell r="H174" t="str">
            <v>NULL</v>
          </cell>
          <cell r="I174">
            <v>1</v>
          </cell>
          <cell r="J174">
            <v>42914.705547418984</v>
          </cell>
        </row>
        <row r="175">
          <cell r="A175" t="str">
            <v>1500347</v>
          </cell>
          <cell r="B175" t="str">
            <v>Huynh Truong Duy</v>
          </cell>
          <cell r="C175">
            <v>1500347</v>
          </cell>
          <cell r="D175">
            <v>1692224605</v>
          </cell>
          <cell r="E175">
            <v>1692224605</v>
          </cell>
          <cell r="F175">
            <v>20151104</v>
          </cell>
          <cell r="G175" t="str">
            <v>NULL</v>
          </cell>
          <cell r="H175" t="str">
            <v>NULL</v>
          </cell>
          <cell r="I175">
            <v>1</v>
          </cell>
          <cell r="J175">
            <v>42725.615309687499</v>
          </cell>
        </row>
        <row r="176">
          <cell r="A176" t="str">
            <v>1500358</v>
          </cell>
          <cell r="B176" t="str">
            <v>Le Quang Trung</v>
          </cell>
          <cell r="C176">
            <v>1500358</v>
          </cell>
          <cell r="D176">
            <v>1687807395</v>
          </cell>
          <cell r="E176" t="str">
            <v>NULL</v>
          </cell>
          <cell r="F176">
            <v>20151111</v>
          </cell>
          <cell r="G176">
            <v>20160428</v>
          </cell>
          <cell r="H176" t="str">
            <v>NULL</v>
          </cell>
          <cell r="I176">
            <v>1</v>
          </cell>
          <cell r="J176">
            <v>42473.472783796293</v>
          </cell>
        </row>
        <row r="177">
          <cell r="A177" t="str">
            <v>1500359</v>
          </cell>
          <cell r="B177" t="str">
            <v>Le Thi My Lien</v>
          </cell>
          <cell r="C177">
            <v>1500359</v>
          </cell>
          <cell r="D177">
            <v>984742772</v>
          </cell>
          <cell r="E177">
            <v>984742772</v>
          </cell>
          <cell r="F177">
            <v>20151111</v>
          </cell>
          <cell r="G177" t="str">
            <v>NULL</v>
          </cell>
          <cell r="H177" t="str">
            <v>NULL</v>
          </cell>
          <cell r="I177">
            <v>1</v>
          </cell>
          <cell r="J177">
            <v>43138.743744942127</v>
          </cell>
        </row>
        <row r="178">
          <cell r="A178" t="str">
            <v>1500361</v>
          </cell>
          <cell r="B178" t="str">
            <v>Nguyen Thi Hong Tham</v>
          </cell>
          <cell r="C178">
            <v>1500361</v>
          </cell>
          <cell r="D178">
            <v>904525256</v>
          </cell>
          <cell r="E178">
            <v>904525256</v>
          </cell>
          <cell r="F178">
            <v>20151116</v>
          </cell>
          <cell r="G178" t="str">
            <v>NULL</v>
          </cell>
          <cell r="H178" t="str">
            <v>NULL</v>
          </cell>
          <cell r="I178">
            <v>1</v>
          </cell>
          <cell r="J178">
            <v>42437.66450914352</v>
          </cell>
        </row>
        <row r="179">
          <cell r="A179" t="str">
            <v>1500364</v>
          </cell>
          <cell r="B179" t="str">
            <v>Trinh Quynh Tram</v>
          </cell>
          <cell r="C179">
            <v>1500364</v>
          </cell>
          <cell r="D179">
            <v>1228876360</v>
          </cell>
          <cell r="E179">
            <v>1228876360</v>
          </cell>
          <cell r="F179">
            <v>20151123</v>
          </cell>
          <cell r="G179" t="str">
            <v>NULL</v>
          </cell>
          <cell r="H179" t="str">
            <v>NULL</v>
          </cell>
          <cell r="I179">
            <v>1</v>
          </cell>
          <cell r="J179">
            <v>42957.404855636574</v>
          </cell>
        </row>
        <row r="180">
          <cell r="A180" t="str">
            <v>1500365</v>
          </cell>
          <cell r="B180" t="str">
            <v>Tran Van Ha</v>
          </cell>
          <cell r="C180">
            <v>1500365</v>
          </cell>
          <cell r="D180">
            <v>972213380</v>
          </cell>
          <cell r="E180">
            <v>972213380</v>
          </cell>
          <cell r="F180">
            <v>20151123</v>
          </cell>
          <cell r="G180" t="str">
            <v>NULL</v>
          </cell>
          <cell r="H180" t="str">
            <v>NULL</v>
          </cell>
          <cell r="I180">
            <v>1</v>
          </cell>
          <cell r="J180">
            <v>42725.61530972222</v>
          </cell>
        </row>
        <row r="181">
          <cell r="A181" t="str">
            <v>1500386</v>
          </cell>
          <cell r="B181" t="str">
            <v>Phan Xuan Tham</v>
          </cell>
          <cell r="I181">
            <v>1</v>
          </cell>
          <cell r="J181">
            <v>42353.406036574073</v>
          </cell>
        </row>
        <row r="182">
          <cell r="A182" t="str">
            <v>1500389</v>
          </cell>
          <cell r="B182" t="str">
            <v>Tran Phi Long</v>
          </cell>
          <cell r="C182">
            <v>1500389</v>
          </cell>
          <cell r="D182">
            <v>986729766</v>
          </cell>
          <cell r="E182" t="str">
            <v>NULL</v>
          </cell>
          <cell r="F182">
            <v>20151215</v>
          </cell>
          <cell r="G182" t="str">
            <v>NULL</v>
          </cell>
          <cell r="H182" t="str">
            <v>NULL</v>
          </cell>
          <cell r="I182">
            <v>1</v>
          </cell>
          <cell r="J182">
            <v>42725.615309837965</v>
          </cell>
        </row>
        <row r="183">
          <cell r="A183" t="str">
            <v>1500401</v>
          </cell>
          <cell r="B183" t="str">
            <v>Le Dang Le Hang</v>
          </cell>
          <cell r="C183">
            <v>1500401</v>
          </cell>
          <cell r="D183">
            <v>903514750</v>
          </cell>
          <cell r="E183" t="str">
            <v>NULL</v>
          </cell>
          <cell r="F183">
            <v>20151111</v>
          </cell>
          <cell r="G183" t="str">
            <v>NULL</v>
          </cell>
          <cell r="H183" t="str">
            <v>NULL</v>
          </cell>
          <cell r="I183">
            <v>1</v>
          </cell>
          <cell r="J183">
            <v>42384.511798842592</v>
          </cell>
        </row>
        <row r="184">
          <cell r="A184" t="str">
            <v>1500402</v>
          </cell>
          <cell r="B184" t="str">
            <v>Le Quang Trung</v>
          </cell>
          <cell r="C184">
            <v>1500402</v>
          </cell>
          <cell r="D184">
            <v>1687807395</v>
          </cell>
          <cell r="E184" t="str">
            <v>NULL</v>
          </cell>
          <cell r="F184">
            <v>20151111</v>
          </cell>
          <cell r="G184" t="str">
            <v>NULL</v>
          </cell>
          <cell r="H184" t="str">
            <v>NULL</v>
          </cell>
          <cell r="I184">
            <v>1</v>
          </cell>
          <cell r="J184">
            <v>42384.511798842592</v>
          </cell>
        </row>
        <row r="185">
          <cell r="A185" t="str">
            <v>1600002</v>
          </cell>
          <cell r="B185" t="str">
            <v>Nguyen Thi Thanh Lieu</v>
          </cell>
          <cell r="C185">
            <v>1600002</v>
          </cell>
          <cell r="D185" t="str">
            <v>NULL</v>
          </cell>
          <cell r="E185">
            <v>935150311</v>
          </cell>
          <cell r="F185">
            <v>20160104</v>
          </cell>
          <cell r="G185" t="str">
            <v>NULL</v>
          </cell>
          <cell r="H185" t="str">
            <v>NULL</v>
          </cell>
          <cell r="I185">
            <v>1</v>
          </cell>
          <cell r="J185">
            <v>42384.469444826391</v>
          </cell>
        </row>
        <row r="186">
          <cell r="A186" t="str">
            <v>1600004</v>
          </cell>
          <cell r="B186" t="str">
            <v>Do Van Anh</v>
          </cell>
          <cell r="C186">
            <v>1600004</v>
          </cell>
          <cell r="D186">
            <v>937846582</v>
          </cell>
          <cell r="E186" t="str">
            <v>NULL</v>
          </cell>
          <cell r="F186">
            <v>20160107</v>
          </cell>
          <cell r="G186" t="str">
            <v>NULL</v>
          </cell>
          <cell r="H186" t="str">
            <v>NULL</v>
          </cell>
          <cell r="I186">
            <v>1</v>
          </cell>
          <cell r="J186">
            <v>42384.469444907409</v>
          </cell>
        </row>
        <row r="187">
          <cell r="A187" t="str">
            <v>1600008</v>
          </cell>
          <cell r="B187" t="str">
            <v>Nguyen Thi Que Thanh</v>
          </cell>
          <cell r="C187">
            <v>1600008</v>
          </cell>
          <cell r="D187">
            <v>974809907</v>
          </cell>
          <cell r="E187" t="str">
            <v>NULL</v>
          </cell>
          <cell r="F187">
            <v>20160108</v>
          </cell>
          <cell r="G187" t="str">
            <v>NULL</v>
          </cell>
          <cell r="H187" t="str">
            <v>NULL</v>
          </cell>
          <cell r="I187">
            <v>1</v>
          </cell>
          <cell r="J187">
            <v>42419.453418865742</v>
          </cell>
        </row>
        <row r="188">
          <cell r="A188" t="str">
            <v>1600013</v>
          </cell>
          <cell r="B188" t="str">
            <v>Le Tuong Vi</v>
          </cell>
          <cell r="C188">
            <v>1600013</v>
          </cell>
          <cell r="D188">
            <v>932081900</v>
          </cell>
          <cell r="E188" t="str">
            <v>NULL</v>
          </cell>
          <cell r="F188">
            <v>20160126</v>
          </cell>
          <cell r="G188" t="str">
            <v>NULL</v>
          </cell>
          <cell r="H188" t="str">
            <v>NULL</v>
          </cell>
          <cell r="I188">
            <v>1</v>
          </cell>
          <cell r="J188">
            <v>42419.495784143517</v>
          </cell>
        </row>
        <row r="189">
          <cell r="A189" t="str">
            <v>1600016</v>
          </cell>
          <cell r="B189" t="str">
            <v>Nguyen Van Nin</v>
          </cell>
          <cell r="C189">
            <v>1600016</v>
          </cell>
          <cell r="D189">
            <v>938387626</v>
          </cell>
          <cell r="E189" t="str">
            <v>NULL</v>
          </cell>
          <cell r="F189">
            <v>20160201</v>
          </cell>
          <cell r="G189" t="str">
            <v>NULL</v>
          </cell>
          <cell r="H189" t="str">
            <v>NULL</v>
          </cell>
          <cell r="I189">
            <v>1</v>
          </cell>
          <cell r="J189">
            <v>42419.495784143517</v>
          </cell>
        </row>
        <row r="190">
          <cell r="A190" t="str">
            <v>1600019</v>
          </cell>
          <cell r="B190" t="str">
            <v>Pham Thanh Tuan</v>
          </cell>
          <cell r="C190">
            <v>1600019</v>
          </cell>
          <cell r="D190">
            <v>906970375</v>
          </cell>
          <cell r="E190" t="str">
            <v>NULL</v>
          </cell>
          <cell r="F190">
            <v>20160204</v>
          </cell>
          <cell r="G190" t="str">
            <v>NULL</v>
          </cell>
          <cell r="H190" t="str">
            <v>NULL</v>
          </cell>
          <cell r="I190">
            <v>1</v>
          </cell>
          <cell r="J190">
            <v>42419.495784143517</v>
          </cell>
        </row>
        <row r="191">
          <cell r="A191" t="str">
            <v>1600031</v>
          </cell>
          <cell r="B191" t="str">
            <v>Nguyen Thi Thom</v>
          </cell>
          <cell r="C191">
            <v>1600031</v>
          </cell>
          <cell r="D191">
            <v>933460598</v>
          </cell>
          <cell r="E191" t="str">
            <v>NULL</v>
          </cell>
          <cell r="F191">
            <v>20160222</v>
          </cell>
          <cell r="G191" t="str">
            <v>NULL</v>
          </cell>
          <cell r="H191" t="str">
            <v>NULL</v>
          </cell>
          <cell r="I191">
            <v>1</v>
          </cell>
          <cell r="J191">
            <v>42438.765898414349</v>
          </cell>
        </row>
        <row r="192">
          <cell r="A192" t="str">
            <v>1600040</v>
          </cell>
          <cell r="B192" t="str">
            <v>Tran Van Tien Em</v>
          </cell>
          <cell r="C192">
            <v>1600040</v>
          </cell>
          <cell r="D192">
            <v>1656987331</v>
          </cell>
          <cell r="E192" t="str">
            <v>NULL</v>
          </cell>
          <cell r="F192">
            <v>20160309</v>
          </cell>
          <cell r="G192" t="str">
            <v>NULL</v>
          </cell>
          <cell r="H192" t="str">
            <v>NULL</v>
          </cell>
          <cell r="I192">
            <v>1</v>
          </cell>
          <cell r="J192">
            <v>42439.739498530093</v>
          </cell>
        </row>
        <row r="193">
          <cell r="A193" t="str">
            <v>1600042</v>
          </cell>
          <cell r="B193" t="str">
            <v>Vo Anh Tuan</v>
          </cell>
          <cell r="C193">
            <v>1600042</v>
          </cell>
          <cell r="D193">
            <v>937897819</v>
          </cell>
          <cell r="E193" t="str">
            <v>NULL</v>
          </cell>
          <cell r="F193">
            <v>20160311</v>
          </cell>
          <cell r="G193" t="str">
            <v>NULL</v>
          </cell>
          <cell r="H193" t="str">
            <v>NULL</v>
          </cell>
          <cell r="I193">
            <v>1</v>
          </cell>
          <cell r="J193">
            <v>42446.59782534722</v>
          </cell>
        </row>
        <row r="194">
          <cell r="A194" t="str">
            <v>1600053</v>
          </cell>
          <cell r="B194" t="str">
            <v>Nguyen Thanh Dat</v>
          </cell>
          <cell r="C194">
            <v>1600053</v>
          </cell>
          <cell r="D194">
            <v>1659315549</v>
          </cell>
          <cell r="E194" t="str">
            <v>NULL</v>
          </cell>
          <cell r="F194">
            <v>20160315</v>
          </cell>
          <cell r="G194" t="str">
            <v>NULL</v>
          </cell>
          <cell r="H194" t="str">
            <v>NULL</v>
          </cell>
          <cell r="I194">
            <v>1</v>
          </cell>
          <cell r="J194">
            <v>42446.724913275466</v>
          </cell>
        </row>
        <row r="195">
          <cell r="A195" t="str">
            <v>1600061</v>
          </cell>
          <cell r="B195" t="str">
            <v>Huynh Xuan An</v>
          </cell>
          <cell r="C195">
            <v>1600061</v>
          </cell>
          <cell r="D195">
            <v>1227338800</v>
          </cell>
          <cell r="E195" t="str">
            <v>NULL</v>
          </cell>
          <cell r="F195">
            <v>20160321</v>
          </cell>
          <cell r="G195" t="str">
            <v>NULL</v>
          </cell>
          <cell r="H195" t="str">
            <v>NULL</v>
          </cell>
          <cell r="I195">
            <v>1</v>
          </cell>
          <cell r="J195">
            <v>42464.492241238426</v>
          </cell>
        </row>
        <row r="196">
          <cell r="A196" t="str">
            <v>1600065</v>
          </cell>
          <cell r="B196" t="str">
            <v>Pham Hong Phuong</v>
          </cell>
          <cell r="C196">
            <v>1600065</v>
          </cell>
          <cell r="D196">
            <v>987878363</v>
          </cell>
          <cell r="E196" t="str">
            <v>NULL</v>
          </cell>
          <cell r="F196">
            <v>20160326</v>
          </cell>
          <cell r="G196" t="str">
            <v>NULL</v>
          </cell>
          <cell r="H196" t="str">
            <v>NULL</v>
          </cell>
          <cell r="I196">
            <v>1</v>
          </cell>
          <cell r="J196">
            <v>42464.492242245367</v>
          </cell>
        </row>
        <row r="197">
          <cell r="A197" t="str">
            <v>1600066</v>
          </cell>
          <cell r="B197" t="str">
            <v>Huynh Thi Mong Thu</v>
          </cell>
          <cell r="C197">
            <v>1600066</v>
          </cell>
          <cell r="D197">
            <v>903780754</v>
          </cell>
          <cell r="E197" t="str">
            <v>NULL</v>
          </cell>
          <cell r="F197">
            <v>20160330</v>
          </cell>
          <cell r="G197" t="str">
            <v>NULL</v>
          </cell>
          <cell r="H197" t="str">
            <v>NULL</v>
          </cell>
          <cell r="I197">
            <v>1</v>
          </cell>
          <cell r="J197">
            <v>42464.492242245367</v>
          </cell>
        </row>
        <row r="198">
          <cell r="A198" t="str">
            <v>1600067</v>
          </cell>
          <cell r="B198" t="str">
            <v>Pham Thi Hong Van</v>
          </cell>
          <cell r="C198">
            <v>1600067</v>
          </cell>
          <cell r="D198">
            <v>1644655335</v>
          </cell>
          <cell r="F198">
            <v>20160401</v>
          </cell>
          <cell r="I198">
            <v>1</v>
          </cell>
          <cell r="J198">
            <v>42464.534607175927</v>
          </cell>
        </row>
        <row r="199">
          <cell r="A199" t="str">
            <v>1600072</v>
          </cell>
          <cell r="B199" t="str">
            <v>Huynh Thanh Thien</v>
          </cell>
          <cell r="C199">
            <v>1600072</v>
          </cell>
          <cell r="D199">
            <v>1264330771</v>
          </cell>
          <cell r="E199" t="str">
            <v>NULL</v>
          </cell>
          <cell r="F199">
            <v>20160406</v>
          </cell>
          <cell r="G199" t="str">
            <v>NULL</v>
          </cell>
          <cell r="H199" t="str">
            <v>NULL</v>
          </cell>
          <cell r="I199">
            <v>1</v>
          </cell>
          <cell r="J199">
            <v>42473.430428125001</v>
          </cell>
        </row>
        <row r="200">
          <cell r="A200" t="str">
            <v>1600082</v>
          </cell>
          <cell r="B200" t="str">
            <v>Truong Pham Khac Duy</v>
          </cell>
          <cell r="C200">
            <v>1600082</v>
          </cell>
          <cell r="D200">
            <v>1242796761</v>
          </cell>
          <cell r="E200" t="str">
            <v>NULL</v>
          </cell>
          <cell r="F200">
            <v>20160429</v>
          </cell>
          <cell r="G200" t="str">
            <v>NULL</v>
          </cell>
          <cell r="H200" t="str">
            <v>NULL</v>
          </cell>
          <cell r="I200">
            <v>1</v>
          </cell>
          <cell r="J200">
            <v>42502.688202118057</v>
          </cell>
        </row>
        <row r="201">
          <cell r="A201" t="str">
            <v>1600102</v>
          </cell>
          <cell r="B201" t="str">
            <v>Truong Tien Dat</v>
          </cell>
          <cell r="C201">
            <v>1600102</v>
          </cell>
          <cell r="D201">
            <v>962779529</v>
          </cell>
          <cell r="E201" t="str">
            <v>NULL</v>
          </cell>
          <cell r="F201">
            <v>20160523</v>
          </cell>
          <cell r="G201" t="str">
            <v>NULL</v>
          </cell>
          <cell r="H201" t="str">
            <v>NULL</v>
          </cell>
          <cell r="I201">
            <v>1</v>
          </cell>
          <cell r="J201">
            <v>42529.636800960645</v>
          </cell>
        </row>
        <row r="202">
          <cell r="A202" t="str">
            <v>1600113</v>
          </cell>
          <cell r="B202" t="str">
            <v>Tran Thi Mong Nghi</v>
          </cell>
          <cell r="C202">
            <v>1600113</v>
          </cell>
          <cell r="D202">
            <v>1675459734</v>
          </cell>
          <cell r="E202" t="str">
            <v>NULL</v>
          </cell>
          <cell r="F202">
            <v>20160606</v>
          </cell>
          <cell r="G202" t="str">
            <v>NULL</v>
          </cell>
          <cell r="H202" t="str">
            <v>NULL</v>
          </cell>
          <cell r="I202">
            <v>1</v>
          </cell>
          <cell r="J202">
            <v>42529.679171296295</v>
          </cell>
        </row>
        <row r="203">
          <cell r="A203" t="str">
            <v>1600114</v>
          </cell>
          <cell r="B203" t="str">
            <v>Nguyen Thi Kim Pha</v>
          </cell>
          <cell r="C203">
            <v>1600114</v>
          </cell>
          <cell r="D203">
            <v>1652886293</v>
          </cell>
          <cell r="E203" t="str">
            <v>NULL</v>
          </cell>
          <cell r="F203">
            <v>20160606</v>
          </cell>
          <cell r="G203" t="str">
            <v>NULL</v>
          </cell>
          <cell r="H203" t="str">
            <v>NULL</v>
          </cell>
          <cell r="I203">
            <v>1</v>
          </cell>
          <cell r="J203">
            <v>42529.679171296295</v>
          </cell>
        </row>
        <row r="204">
          <cell r="A204" t="str">
            <v>1600130</v>
          </cell>
          <cell r="B204" t="str">
            <v>Nguyen Thien Kim Cuong</v>
          </cell>
          <cell r="C204">
            <v>1600130</v>
          </cell>
          <cell r="D204">
            <v>1284881233</v>
          </cell>
          <cell r="E204" t="str">
            <v>NULL</v>
          </cell>
          <cell r="F204">
            <v>20160621</v>
          </cell>
          <cell r="G204" t="str">
            <v>NULL</v>
          </cell>
          <cell r="H204" t="str">
            <v>NULL</v>
          </cell>
          <cell r="I204">
            <v>1</v>
          </cell>
          <cell r="J204">
            <v>42544.665975115742</v>
          </cell>
        </row>
        <row r="205">
          <cell r="A205" t="str">
            <v>1600135</v>
          </cell>
          <cell r="B205" t="str">
            <v>Huynh Huu Loc</v>
          </cell>
          <cell r="C205">
            <v>1600135</v>
          </cell>
          <cell r="D205">
            <v>1654820284</v>
          </cell>
          <cell r="E205" t="str">
            <v>NULL</v>
          </cell>
          <cell r="F205">
            <v>20160704</v>
          </cell>
          <cell r="G205" t="str">
            <v>NULL</v>
          </cell>
          <cell r="H205" t="str">
            <v>NULL</v>
          </cell>
          <cell r="I205">
            <v>1</v>
          </cell>
          <cell r="J205">
            <v>42558.586105057868</v>
          </cell>
        </row>
        <row r="206">
          <cell r="A206" t="str">
            <v>1600142</v>
          </cell>
          <cell r="B206" t="str">
            <v>Nguyen Phuc Loan</v>
          </cell>
          <cell r="C206">
            <v>1600142</v>
          </cell>
          <cell r="D206">
            <v>933266081</v>
          </cell>
          <cell r="E206" t="str">
            <v>NULL</v>
          </cell>
          <cell r="F206">
            <v>20160712</v>
          </cell>
          <cell r="G206" t="str">
            <v>NULL</v>
          </cell>
          <cell r="H206" t="str">
            <v>NULL</v>
          </cell>
          <cell r="I206">
            <v>1</v>
          </cell>
          <cell r="J206">
            <v>42564.599308530094</v>
          </cell>
        </row>
        <row r="207">
          <cell r="A207" t="str">
            <v>1600145</v>
          </cell>
          <cell r="B207" t="str">
            <v>Phung Thi Ly Na</v>
          </cell>
          <cell r="C207">
            <v>1600145</v>
          </cell>
          <cell r="D207">
            <v>1204161786</v>
          </cell>
          <cell r="E207" t="str">
            <v>NULL</v>
          </cell>
          <cell r="F207">
            <v>20160713</v>
          </cell>
          <cell r="G207" t="str">
            <v>NULL</v>
          </cell>
          <cell r="H207" t="str">
            <v>NULL</v>
          </cell>
          <cell r="I207">
            <v>1</v>
          </cell>
          <cell r="J207">
            <v>42569.680554085651</v>
          </cell>
        </row>
        <row r="208">
          <cell r="A208" t="str">
            <v>1600153</v>
          </cell>
          <cell r="B208" t="str">
            <v>Nguyen Quang Cuong</v>
          </cell>
          <cell r="C208">
            <v>1600153</v>
          </cell>
          <cell r="D208">
            <v>903418224</v>
          </cell>
          <cell r="E208" t="str">
            <v>NULL</v>
          </cell>
          <cell r="F208">
            <v>20160728</v>
          </cell>
          <cell r="G208" t="str">
            <v>NULL</v>
          </cell>
          <cell r="H208" t="str">
            <v>NULL</v>
          </cell>
          <cell r="I208">
            <v>1</v>
          </cell>
          <cell r="J208">
            <v>42579.6012821412</v>
          </cell>
        </row>
        <row r="209">
          <cell r="A209" t="str">
            <v>1600155</v>
          </cell>
          <cell r="B209" t="str">
            <v>Vu Thuy An</v>
          </cell>
          <cell r="C209">
            <v>1600155</v>
          </cell>
          <cell r="D209">
            <v>1666949022</v>
          </cell>
          <cell r="E209" t="str">
            <v>NULL</v>
          </cell>
          <cell r="F209">
            <v>20160727</v>
          </cell>
          <cell r="G209" t="str">
            <v>NULL</v>
          </cell>
          <cell r="H209" t="str">
            <v>NULL</v>
          </cell>
          <cell r="I209">
            <v>1</v>
          </cell>
          <cell r="J209">
            <v>42579.601282291667</v>
          </cell>
        </row>
        <row r="210">
          <cell r="A210" t="str">
            <v>1600163</v>
          </cell>
          <cell r="B210" t="str">
            <v>Phan Phuong</v>
          </cell>
          <cell r="C210">
            <v>1600163</v>
          </cell>
          <cell r="D210">
            <v>1634123757</v>
          </cell>
          <cell r="E210" t="str">
            <v>NULL</v>
          </cell>
          <cell r="F210">
            <v>20160804</v>
          </cell>
          <cell r="G210" t="str">
            <v>NULL</v>
          </cell>
          <cell r="H210" t="str">
            <v>NULL</v>
          </cell>
          <cell r="I210">
            <v>1</v>
          </cell>
          <cell r="J210">
            <v>42590.659609027774</v>
          </cell>
        </row>
        <row r="211">
          <cell r="A211" t="str">
            <v>1600179</v>
          </cell>
          <cell r="B211" t="str">
            <v>Bach Hoang Tan</v>
          </cell>
          <cell r="C211">
            <v>1600179</v>
          </cell>
          <cell r="D211">
            <v>979043544</v>
          </cell>
          <cell r="E211" t="str">
            <v>NULL</v>
          </cell>
          <cell r="F211">
            <v>20160829</v>
          </cell>
          <cell r="G211" t="str">
            <v>NULL</v>
          </cell>
          <cell r="H211" t="str">
            <v>NULL</v>
          </cell>
          <cell r="I211">
            <v>1</v>
          </cell>
          <cell r="J211">
            <v>42619.59364363426</v>
          </cell>
        </row>
        <row r="212">
          <cell r="A212" t="str">
            <v>1600185</v>
          </cell>
          <cell r="B212" t="str">
            <v>Nguyen Manh Thao</v>
          </cell>
          <cell r="C212">
            <v>1600185</v>
          </cell>
          <cell r="D212">
            <v>903522085</v>
          </cell>
          <cell r="E212" t="str">
            <v>NULL</v>
          </cell>
          <cell r="F212">
            <v>20160914</v>
          </cell>
          <cell r="G212" t="str">
            <v>NULL</v>
          </cell>
          <cell r="H212" t="str">
            <v>NULL</v>
          </cell>
          <cell r="I212">
            <v>1</v>
          </cell>
          <cell r="J212">
            <v>42627.770826238426</v>
          </cell>
        </row>
        <row r="213">
          <cell r="A213" t="str">
            <v>1600188</v>
          </cell>
          <cell r="B213" t="str">
            <v>Ho Trung Toan</v>
          </cell>
          <cell r="C213">
            <v>1600188</v>
          </cell>
          <cell r="D213">
            <v>901480661</v>
          </cell>
          <cell r="E213" t="str">
            <v>NULL</v>
          </cell>
          <cell r="F213">
            <v>20160921</v>
          </cell>
          <cell r="G213" t="str">
            <v>NULL</v>
          </cell>
          <cell r="H213" t="str">
            <v>NULL</v>
          </cell>
          <cell r="I213">
            <v>1</v>
          </cell>
          <cell r="J213">
            <v>42635.694441817126</v>
          </cell>
        </row>
        <row r="214">
          <cell r="A214" t="str">
            <v>1600202</v>
          </cell>
          <cell r="B214" t="str">
            <v>Truong Huu Tai</v>
          </cell>
          <cell r="C214">
            <v>1600202</v>
          </cell>
          <cell r="D214">
            <v>986750075</v>
          </cell>
          <cell r="E214" t="str">
            <v>NULL</v>
          </cell>
          <cell r="F214">
            <v>20161007</v>
          </cell>
          <cell r="G214" t="str">
            <v>NULL</v>
          </cell>
          <cell r="H214" t="str">
            <v>NULL</v>
          </cell>
          <cell r="I214">
            <v>1</v>
          </cell>
          <cell r="J214">
            <v>42656.719429016201</v>
          </cell>
        </row>
        <row r="215">
          <cell r="A215" t="str">
            <v>1600203</v>
          </cell>
          <cell r="B215" t="str">
            <v>Bui Viet Nha</v>
          </cell>
          <cell r="C215">
            <v>1600203</v>
          </cell>
          <cell r="D215">
            <v>977017081</v>
          </cell>
          <cell r="E215" t="str">
            <v>NULL</v>
          </cell>
          <cell r="F215">
            <v>20161007</v>
          </cell>
          <cell r="G215" t="str">
            <v>NULL</v>
          </cell>
          <cell r="H215" t="str">
            <v>NULL</v>
          </cell>
          <cell r="I215">
            <v>1</v>
          </cell>
          <cell r="J215">
            <v>42656.719429016201</v>
          </cell>
        </row>
        <row r="216">
          <cell r="A216" t="str">
            <v>1600206</v>
          </cell>
          <cell r="B216" t="str">
            <v>Le Bao Tran</v>
          </cell>
          <cell r="C216">
            <v>1600206</v>
          </cell>
          <cell r="D216">
            <v>974596423</v>
          </cell>
          <cell r="E216" t="str">
            <v>NULL</v>
          </cell>
          <cell r="F216">
            <v>20161012</v>
          </cell>
          <cell r="G216" t="str">
            <v>NULL</v>
          </cell>
          <cell r="H216" t="str">
            <v>NULL</v>
          </cell>
          <cell r="I216">
            <v>1</v>
          </cell>
          <cell r="J216">
            <v>42656.761779942128</v>
          </cell>
        </row>
        <row r="217">
          <cell r="A217" t="str">
            <v>1600212</v>
          </cell>
          <cell r="B217" t="str">
            <v>Vo Cong Thanh</v>
          </cell>
          <cell r="C217">
            <v>1600212</v>
          </cell>
          <cell r="D217">
            <v>947901755</v>
          </cell>
          <cell r="E217" t="str">
            <v>NULL</v>
          </cell>
          <cell r="F217">
            <v>20161018</v>
          </cell>
          <cell r="G217" t="str">
            <v>NULL</v>
          </cell>
          <cell r="H217" t="str">
            <v>NULL</v>
          </cell>
          <cell r="I217">
            <v>1</v>
          </cell>
          <cell r="J217">
            <v>42670.754858101849</v>
          </cell>
        </row>
        <row r="218">
          <cell r="A218" t="str">
            <v>1600223</v>
          </cell>
          <cell r="B218" t="str">
            <v>Nguyen Duy Thuy</v>
          </cell>
          <cell r="C218">
            <v>1600223</v>
          </cell>
          <cell r="D218">
            <v>934185839</v>
          </cell>
          <cell r="E218" t="str">
            <v>NULL</v>
          </cell>
          <cell r="F218">
            <v>20161024</v>
          </cell>
          <cell r="G218" t="str">
            <v>NULL</v>
          </cell>
          <cell r="H218" t="str">
            <v>NULL</v>
          </cell>
          <cell r="I218">
            <v>1</v>
          </cell>
          <cell r="J218">
            <v>42674.612495254631</v>
          </cell>
        </row>
        <row r="219">
          <cell r="A219" t="str">
            <v>1600226</v>
          </cell>
          <cell r="B219" t="str">
            <v>Vu Hoang Thu Thao</v>
          </cell>
          <cell r="C219">
            <v>1600226</v>
          </cell>
          <cell r="D219">
            <v>1262248434</v>
          </cell>
          <cell r="E219" t="str">
            <v>NULL</v>
          </cell>
          <cell r="F219">
            <v>20161025</v>
          </cell>
          <cell r="G219" t="str">
            <v>NULL</v>
          </cell>
          <cell r="H219" t="str">
            <v>NULL</v>
          </cell>
          <cell r="I219">
            <v>1</v>
          </cell>
          <cell r="J219">
            <v>42671.655502349538</v>
          </cell>
        </row>
        <row r="220">
          <cell r="A220" t="str">
            <v>1600228</v>
          </cell>
          <cell r="B220" t="str">
            <v>Nguyen Tien Dung</v>
          </cell>
          <cell r="C220">
            <v>1600228</v>
          </cell>
          <cell r="D220">
            <v>1226633026</v>
          </cell>
          <cell r="E220" t="str">
            <v>NULL</v>
          </cell>
          <cell r="F220">
            <v>20161028</v>
          </cell>
          <cell r="G220" t="str">
            <v>NULL</v>
          </cell>
          <cell r="H220" t="str">
            <v>NULL</v>
          </cell>
          <cell r="I220">
            <v>1</v>
          </cell>
          <cell r="J220">
            <v>42674.654866435187</v>
          </cell>
        </row>
        <row r="221">
          <cell r="A221" t="str">
            <v>1600229</v>
          </cell>
          <cell r="B221" t="str">
            <v>Tran Thi Thuy Phuong</v>
          </cell>
          <cell r="C221">
            <v>1600229</v>
          </cell>
          <cell r="D221">
            <v>1208886929</v>
          </cell>
          <cell r="E221" t="str">
            <v>NULL</v>
          </cell>
          <cell r="F221">
            <v>20161101</v>
          </cell>
          <cell r="G221" t="str">
            <v>NULL</v>
          </cell>
          <cell r="H221" t="str">
            <v>NULL</v>
          </cell>
          <cell r="I221">
            <v>1</v>
          </cell>
          <cell r="J221">
            <v>42683.486688622688</v>
          </cell>
        </row>
        <row r="222">
          <cell r="A222" t="str">
            <v>1600235</v>
          </cell>
          <cell r="B222" t="str">
            <v>Tran Thi Thanh Trinh</v>
          </cell>
          <cell r="C222">
            <v>1600235</v>
          </cell>
          <cell r="D222">
            <v>934485509</v>
          </cell>
          <cell r="E222" t="str">
            <v>NULL</v>
          </cell>
          <cell r="F222">
            <v>20161114</v>
          </cell>
          <cell r="G222" t="str">
            <v>NULL</v>
          </cell>
          <cell r="H222" t="str">
            <v>NULL</v>
          </cell>
          <cell r="I222">
            <v>1</v>
          </cell>
          <cell r="J222">
            <v>42690.617348611115</v>
          </cell>
        </row>
        <row r="223">
          <cell r="A223" t="str">
            <v>1600237</v>
          </cell>
          <cell r="B223" t="str">
            <v>Tran Anh Khoi</v>
          </cell>
          <cell r="C223">
            <v>1600237</v>
          </cell>
          <cell r="D223">
            <v>1222415668</v>
          </cell>
          <cell r="E223" t="str">
            <v>NULL</v>
          </cell>
          <cell r="F223">
            <v>20161114</v>
          </cell>
          <cell r="G223" t="str">
            <v>NULL</v>
          </cell>
          <cell r="H223" t="str">
            <v>NULL</v>
          </cell>
          <cell r="I223">
            <v>1</v>
          </cell>
          <cell r="J223">
            <v>42690.65971871528</v>
          </cell>
        </row>
        <row r="224">
          <cell r="A224" t="str">
            <v>1600240</v>
          </cell>
          <cell r="B224" t="str">
            <v>Pham Mai Duyen</v>
          </cell>
          <cell r="C224">
            <v>1600240</v>
          </cell>
          <cell r="D224">
            <v>938931794</v>
          </cell>
          <cell r="E224" t="str">
            <v>NULL</v>
          </cell>
          <cell r="F224">
            <v>20161121</v>
          </cell>
          <cell r="G224" t="str">
            <v>NULL</v>
          </cell>
          <cell r="H224" t="str">
            <v>NULL</v>
          </cell>
          <cell r="I224">
            <v>1</v>
          </cell>
          <cell r="J224">
            <v>42699.585729548613</v>
          </cell>
        </row>
        <row r="225">
          <cell r="A225" t="str">
            <v>1600243</v>
          </cell>
          <cell r="B225" t="str">
            <v>Hoang Nguyen Thuy Vy</v>
          </cell>
          <cell r="C225">
            <v>1600243</v>
          </cell>
          <cell r="D225">
            <v>1286033298</v>
          </cell>
          <cell r="F225">
            <v>20161130</v>
          </cell>
          <cell r="I225">
            <v>1</v>
          </cell>
          <cell r="J225">
            <v>42706.577167326388</v>
          </cell>
        </row>
        <row r="226">
          <cell r="A226" t="str">
            <v>1600244</v>
          </cell>
          <cell r="B226" t="str">
            <v>Tran Trong Tin</v>
          </cell>
          <cell r="C226">
            <v>1600244</v>
          </cell>
          <cell r="D226">
            <v>1669315344</v>
          </cell>
          <cell r="E226" t="str">
            <v>NULL</v>
          </cell>
          <cell r="F226">
            <v>20161130</v>
          </cell>
          <cell r="G226" t="str">
            <v>NULL</v>
          </cell>
          <cell r="H226" t="str">
            <v>NULL</v>
          </cell>
          <cell r="I226">
            <v>1</v>
          </cell>
          <cell r="J226">
            <v>42706.577167326388</v>
          </cell>
        </row>
        <row r="227">
          <cell r="A227" t="str">
            <v>1600253</v>
          </cell>
          <cell r="B227" t="str">
            <v>Truong Thanh Tuan</v>
          </cell>
          <cell r="C227">
            <v>1600253</v>
          </cell>
          <cell r="D227">
            <v>1639490277</v>
          </cell>
          <cell r="E227" t="str">
            <v>NULL</v>
          </cell>
          <cell r="F227">
            <v>20161208</v>
          </cell>
          <cell r="G227" t="str">
            <v>NULL</v>
          </cell>
          <cell r="H227" t="str">
            <v>NULL</v>
          </cell>
          <cell r="I227">
            <v>1</v>
          </cell>
          <cell r="J227">
            <v>42716.617445752316</v>
          </cell>
        </row>
        <row r="228">
          <cell r="A228" t="str">
            <v>1600254</v>
          </cell>
          <cell r="B228" t="str">
            <v>Dao Chiem Quoc Hoa Zon</v>
          </cell>
          <cell r="C228">
            <v>1600254</v>
          </cell>
          <cell r="D228">
            <v>1258030227</v>
          </cell>
          <cell r="E228" t="str">
            <v>NULL</v>
          </cell>
          <cell r="F228">
            <v>20161208</v>
          </cell>
          <cell r="G228" t="str">
            <v>NULL</v>
          </cell>
          <cell r="H228" t="str">
            <v>NULL</v>
          </cell>
          <cell r="I228">
            <v>1</v>
          </cell>
          <cell r="J228">
            <v>42716.617446840275</v>
          </cell>
        </row>
        <row r="229">
          <cell r="A229" t="str">
            <v>1700004</v>
          </cell>
          <cell r="B229" t="str">
            <v>Huynh Thi My Ha</v>
          </cell>
          <cell r="C229">
            <v>1700004</v>
          </cell>
          <cell r="D229">
            <v>933738547</v>
          </cell>
          <cell r="E229" t="str">
            <v>NULL</v>
          </cell>
          <cell r="F229">
            <v>20170101</v>
          </cell>
          <cell r="G229" t="str">
            <v>NULL</v>
          </cell>
          <cell r="H229" t="str">
            <v>NULL</v>
          </cell>
          <cell r="I229">
            <v>1</v>
          </cell>
          <cell r="J229">
            <v>42747.657869675924</v>
          </cell>
        </row>
        <row r="230">
          <cell r="A230" t="str">
            <v>1700022</v>
          </cell>
          <cell r="B230" t="str">
            <v>Le Huu Tu</v>
          </cell>
          <cell r="C230">
            <v>1700022</v>
          </cell>
          <cell r="D230">
            <v>987543815</v>
          </cell>
          <cell r="E230" t="str">
            <v>NULL</v>
          </cell>
          <cell r="F230">
            <v>20170201</v>
          </cell>
          <cell r="G230" t="str">
            <v>NULL</v>
          </cell>
          <cell r="H230" t="str">
            <v>NULL</v>
          </cell>
          <cell r="I230">
            <v>1</v>
          </cell>
          <cell r="J230">
            <v>42782.563183067126</v>
          </cell>
        </row>
        <row r="231">
          <cell r="A231" t="str">
            <v>1700024</v>
          </cell>
          <cell r="B231" t="str">
            <v>Le Thi Tra Giang</v>
          </cell>
          <cell r="C231">
            <v>1700024</v>
          </cell>
          <cell r="D231">
            <v>925973509</v>
          </cell>
          <cell r="F231">
            <v>20170214</v>
          </cell>
          <cell r="I231">
            <v>1</v>
          </cell>
          <cell r="J231">
            <v>42782.605557060182</v>
          </cell>
        </row>
        <row r="232">
          <cell r="A232" t="str">
            <v>1700027</v>
          </cell>
          <cell r="B232" t="str">
            <v>Ngo Thi Nhat Linh</v>
          </cell>
          <cell r="C232">
            <v>1700027</v>
          </cell>
          <cell r="D232">
            <v>964983145</v>
          </cell>
          <cell r="F232">
            <v>20170214</v>
          </cell>
          <cell r="I232">
            <v>1</v>
          </cell>
          <cell r="J232">
            <v>42782.605557175928</v>
          </cell>
        </row>
        <row r="233">
          <cell r="A233" t="str">
            <v>1700029</v>
          </cell>
          <cell r="B233" t="str">
            <v>Pham Thi Bich Quyen</v>
          </cell>
          <cell r="C233">
            <v>1700029</v>
          </cell>
          <cell r="D233">
            <v>901465009</v>
          </cell>
          <cell r="F233">
            <v>20170223</v>
          </cell>
          <cell r="I233">
            <v>1</v>
          </cell>
          <cell r="J233">
            <v>42789.70077476852</v>
          </cell>
        </row>
        <row r="234">
          <cell r="A234" t="str">
            <v>1700030</v>
          </cell>
          <cell r="B234" t="str">
            <v>Nguyen Ngoc Hien</v>
          </cell>
          <cell r="C234">
            <v>1700030</v>
          </cell>
          <cell r="D234">
            <v>901340376</v>
          </cell>
          <cell r="F234">
            <v>20170217</v>
          </cell>
          <cell r="I234">
            <v>1</v>
          </cell>
          <cell r="J234">
            <v>42789.700776701386</v>
          </cell>
        </row>
        <row r="235">
          <cell r="A235" t="str">
            <v>1700036</v>
          </cell>
          <cell r="B235" t="str">
            <v>Le Hoang Bao</v>
          </cell>
          <cell r="C235">
            <v>1700036</v>
          </cell>
          <cell r="D235">
            <v>933410998</v>
          </cell>
          <cell r="E235" t="str">
            <v>NULL</v>
          </cell>
          <cell r="F235">
            <v>20170220</v>
          </cell>
          <cell r="G235" t="str">
            <v>NULL</v>
          </cell>
          <cell r="H235" t="str">
            <v>NULL</v>
          </cell>
          <cell r="I235">
            <v>1</v>
          </cell>
          <cell r="J235">
            <v>42789.74314583333</v>
          </cell>
        </row>
        <row r="236">
          <cell r="A236" t="str">
            <v>1700042</v>
          </cell>
          <cell r="B236" t="str">
            <v>Ha Thi Phuong Linh</v>
          </cell>
          <cell r="C236">
            <v>1700042</v>
          </cell>
          <cell r="D236">
            <v>916754949</v>
          </cell>
          <cell r="F236">
            <v>20170223</v>
          </cell>
          <cell r="I236">
            <v>1</v>
          </cell>
          <cell r="J236">
            <v>42794.470135416668</v>
          </cell>
        </row>
        <row r="237">
          <cell r="A237" t="str">
            <v>1700044</v>
          </cell>
          <cell r="B237" t="str">
            <v>Le Tran Nhu Hao</v>
          </cell>
          <cell r="C237">
            <v>1700044</v>
          </cell>
          <cell r="D237">
            <v>1228755009</v>
          </cell>
          <cell r="F237">
            <v>20170227</v>
          </cell>
          <cell r="I237">
            <v>1</v>
          </cell>
          <cell r="J237">
            <v>42794.470135416668</v>
          </cell>
        </row>
        <row r="238">
          <cell r="A238" t="str">
            <v>1700055</v>
          </cell>
          <cell r="B238" t="str">
            <v>Nguyen Thi Ngoc Tram</v>
          </cell>
          <cell r="C238">
            <v>1700055</v>
          </cell>
          <cell r="D238">
            <v>938420339</v>
          </cell>
          <cell r="E238" t="str">
            <v>NULL</v>
          </cell>
          <cell r="F238">
            <v>20170308</v>
          </cell>
          <cell r="G238" t="str">
            <v>NULL</v>
          </cell>
          <cell r="H238" t="str">
            <v>NULL</v>
          </cell>
          <cell r="I238">
            <v>1</v>
          </cell>
          <cell r="J238">
            <v>42808.366661192129</v>
          </cell>
        </row>
        <row r="239">
          <cell r="A239" t="str">
            <v>1700056</v>
          </cell>
          <cell r="B239" t="str">
            <v>Nguyen Thi Thuy Kieu</v>
          </cell>
          <cell r="C239">
            <v>1700056</v>
          </cell>
          <cell r="D239">
            <v>934160435</v>
          </cell>
          <cell r="E239" t="str">
            <v>NULL</v>
          </cell>
          <cell r="F239">
            <v>20170309</v>
          </cell>
          <cell r="G239" t="str">
            <v>NULL</v>
          </cell>
          <cell r="H239" t="str">
            <v>NULL</v>
          </cell>
          <cell r="I239">
            <v>1</v>
          </cell>
          <cell r="J239">
            <v>42808.409102164354</v>
          </cell>
        </row>
        <row r="240">
          <cell r="A240" t="str">
            <v>1700059</v>
          </cell>
          <cell r="B240" t="str">
            <v>Vo Truong An</v>
          </cell>
          <cell r="C240">
            <v>1700059</v>
          </cell>
          <cell r="D240">
            <v>1268020439</v>
          </cell>
          <cell r="E240" t="str">
            <v>NULL</v>
          </cell>
          <cell r="F240">
            <v>20170313</v>
          </cell>
          <cell r="G240" t="str">
            <v>NULL</v>
          </cell>
          <cell r="H240" t="str">
            <v>NULL</v>
          </cell>
          <cell r="I240">
            <v>1</v>
          </cell>
          <cell r="J240">
            <v>42811.639570023151</v>
          </cell>
        </row>
        <row r="241">
          <cell r="A241" t="str">
            <v>1700060</v>
          </cell>
          <cell r="B241" t="str">
            <v>Vo Truong An</v>
          </cell>
          <cell r="C241">
            <v>1700060</v>
          </cell>
          <cell r="D241">
            <v>1268020439</v>
          </cell>
          <cell r="E241" t="str">
            <v>NULL</v>
          </cell>
          <cell r="F241">
            <v>20170313</v>
          </cell>
          <cell r="G241" t="str">
            <v>NULL</v>
          </cell>
          <cell r="H241" t="str">
            <v>NULL</v>
          </cell>
          <cell r="I241">
            <v>1</v>
          </cell>
          <cell r="J241">
            <v>42811.681945104167</v>
          </cell>
        </row>
        <row r="242">
          <cell r="A242" t="str">
            <v>1700067</v>
          </cell>
          <cell r="B242" t="str">
            <v>Dang Thi Dieu Hien</v>
          </cell>
          <cell r="C242">
            <v>1700067</v>
          </cell>
          <cell r="D242">
            <v>1242917452</v>
          </cell>
          <cell r="F242">
            <v>20170320</v>
          </cell>
          <cell r="I242">
            <v>1</v>
          </cell>
          <cell r="J242">
            <v>42814.772900428237</v>
          </cell>
        </row>
        <row r="243">
          <cell r="A243" t="str">
            <v>1700069</v>
          </cell>
          <cell r="B243" t="str">
            <v>Nguyen Ngoc Huyen Trang</v>
          </cell>
          <cell r="C243">
            <v>1700069</v>
          </cell>
          <cell r="D243">
            <v>909060712</v>
          </cell>
          <cell r="E243" t="str">
            <v>NULL</v>
          </cell>
          <cell r="F243">
            <v>20170321</v>
          </cell>
          <cell r="G243" t="str">
            <v>NULL</v>
          </cell>
          <cell r="H243" t="str">
            <v>NULL</v>
          </cell>
          <cell r="I243">
            <v>1</v>
          </cell>
          <cell r="J243">
            <v>42825.40980011574</v>
          </cell>
        </row>
        <row r="244">
          <cell r="A244" t="str">
            <v>1700072</v>
          </cell>
          <cell r="B244" t="str">
            <v>Nguyen Duc Hieu</v>
          </cell>
          <cell r="C244">
            <v>1700072</v>
          </cell>
          <cell r="D244">
            <v>1266087215</v>
          </cell>
          <cell r="E244" t="str">
            <v>NULL</v>
          </cell>
          <cell r="F244">
            <v>20170323</v>
          </cell>
          <cell r="G244" t="str">
            <v>NULL</v>
          </cell>
          <cell r="H244" t="str">
            <v>NULL</v>
          </cell>
          <cell r="I244">
            <v>1</v>
          </cell>
          <cell r="J244">
            <v>42825.452146909724</v>
          </cell>
        </row>
        <row r="245">
          <cell r="A245" t="str">
            <v>1700075</v>
          </cell>
          <cell r="B245" t="str">
            <v>Phan Chau Nguyen</v>
          </cell>
          <cell r="C245">
            <v>1700075</v>
          </cell>
          <cell r="D245">
            <v>966217263</v>
          </cell>
          <cell r="E245" t="str">
            <v>NULL</v>
          </cell>
          <cell r="F245">
            <v>20170323</v>
          </cell>
          <cell r="G245" t="str">
            <v>NULL</v>
          </cell>
          <cell r="H245" t="str">
            <v>NULL</v>
          </cell>
          <cell r="I245">
            <v>1</v>
          </cell>
          <cell r="J245">
            <v>42825.49458283565</v>
          </cell>
        </row>
        <row r="246">
          <cell r="A246" t="str">
            <v>1700076</v>
          </cell>
          <cell r="B246" t="str">
            <v>Nguyen Tan Dat</v>
          </cell>
          <cell r="C246">
            <v>1700076</v>
          </cell>
          <cell r="D246">
            <v>1679178909</v>
          </cell>
          <cell r="E246" t="str">
            <v>NULL</v>
          </cell>
          <cell r="F246">
            <v>20170324</v>
          </cell>
          <cell r="G246" t="str">
            <v>NULL</v>
          </cell>
          <cell r="H246" t="str">
            <v>NULL</v>
          </cell>
          <cell r="I246">
            <v>1</v>
          </cell>
          <cell r="J246">
            <v>42825.494582905092</v>
          </cell>
        </row>
        <row r="247">
          <cell r="A247" t="str">
            <v>1700077</v>
          </cell>
          <cell r="B247" t="str">
            <v>Nguyen Minh Y</v>
          </cell>
          <cell r="C247">
            <v>1700077</v>
          </cell>
          <cell r="D247">
            <v>961152640</v>
          </cell>
          <cell r="E247" t="str">
            <v>NULL</v>
          </cell>
          <cell r="F247">
            <v>20170328</v>
          </cell>
          <cell r="G247" t="str">
            <v>NULL</v>
          </cell>
          <cell r="H247" t="str">
            <v>NULL</v>
          </cell>
          <cell r="I247">
            <v>1</v>
          </cell>
          <cell r="J247">
            <v>42825.494582951389</v>
          </cell>
        </row>
        <row r="248">
          <cell r="A248" t="str">
            <v>1700082</v>
          </cell>
          <cell r="B248" t="str">
            <v>Tran Nguyen Bich Tran</v>
          </cell>
          <cell r="C248">
            <v>1700082</v>
          </cell>
          <cell r="D248">
            <v>908437728</v>
          </cell>
          <cell r="E248" t="str">
            <v>NULL</v>
          </cell>
          <cell r="F248">
            <v>20170401</v>
          </cell>
          <cell r="G248" t="str">
            <v>NULL</v>
          </cell>
          <cell r="H248" t="str">
            <v>NULL</v>
          </cell>
          <cell r="I248">
            <v>1</v>
          </cell>
          <cell r="J248">
            <v>42834.631287997683</v>
          </cell>
        </row>
        <row r="249">
          <cell r="A249" t="str">
            <v>1700085</v>
          </cell>
          <cell r="B249" t="str">
            <v>Phan Van Binh</v>
          </cell>
          <cell r="C249">
            <v>1700085</v>
          </cell>
          <cell r="D249">
            <v>1864691216</v>
          </cell>
          <cell r="E249" t="str">
            <v>NULL</v>
          </cell>
          <cell r="F249">
            <v>20170401</v>
          </cell>
          <cell r="G249" t="str">
            <v>NULL</v>
          </cell>
          <cell r="H249" t="str">
            <v>NULL</v>
          </cell>
          <cell r="I249">
            <v>1</v>
          </cell>
          <cell r="J249">
            <v>42836.444437303238</v>
          </cell>
        </row>
        <row r="250">
          <cell r="A250" t="str">
            <v>1700094</v>
          </cell>
          <cell r="B250" t="str">
            <v>Nguyen Minh Ly</v>
          </cell>
          <cell r="C250">
            <v>1700094</v>
          </cell>
          <cell r="D250">
            <v>1264726341</v>
          </cell>
          <cell r="E250" t="str">
            <v>NULL</v>
          </cell>
          <cell r="F250">
            <v>20170404</v>
          </cell>
          <cell r="G250" t="str">
            <v>NULL</v>
          </cell>
          <cell r="H250" t="str">
            <v>NULL</v>
          </cell>
          <cell r="I250">
            <v>1</v>
          </cell>
          <cell r="J250">
            <v>42834.647877164352</v>
          </cell>
        </row>
        <row r="251">
          <cell r="A251" t="str">
            <v>1700101</v>
          </cell>
          <cell r="B251" t="str">
            <v>Chau Nhuan Phat</v>
          </cell>
          <cell r="C251">
            <v>1700101</v>
          </cell>
          <cell r="D251">
            <v>907833692</v>
          </cell>
          <cell r="E251" t="str">
            <v>NULL</v>
          </cell>
          <cell r="F251">
            <v>20170410</v>
          </cell>
          <cell r="G251" t="str">
            <v>NULL</v>
          </cell>
          <cell r="H251" t="str">
            <v>NULL</v>
          </cell>
          <cell r="I251">
            <v>1</v>
          </cell>
          <cell r="J251">
            <v>42837.503459722226</v>
          </cell>
        </row>
        <row r="252">
          <cell r="A252" t="str">
            <v>1700102</v>
          </cell>
          <cell r="B252" t="str">
            <v>Luu Ly Thao</v>
          </cell>
          <cell r="C252">
            <v>1700102</v>
          </cell>
          <cell r="D252">
            <v>935670103</v>
          </cell>
          <cell r="E252" t="str">
            <v>NULL</v>
          </cell>
          <cell r="F252">
            <v>20170410</v>
          </cell>
          <cell r="G252" t="str">
            <v>NULL</v>
          </cell>
          <cell r="H252" t="str">
            <v>NULL</v>
          </cell>
          <cell r="I252">
            <v>1</v>
          </cell>
          <cell r="J252">
            <v>42837.503459803243</v>
          </cell>
        </row>
        <row r="253">
          <cell r="A253" t="str">
            <v>1700108</v>
          </cell>
          <cell r="B253" t="str">
            <v>Nguyen Thuy Ngoc Giau</v>
          </cell>
          <cell r="C253">
            <v>1700108</v>
          </cell>
          <cell r="D253">
            <v>903603011</v>
          </cell>
          <cell r="F253">
            <v>20170412</v>
          </cell>
          <cell r="I253">
            <v>1</v>
          </cell>
          <cell r="J253">
            <v>42837.588182488427</v>
          </cell>
        </row>
        <row r="254">
          <cell r="A254" t="str">
            <v>1700109</v>
          </cell>
          <cell r="B254" t="str">
            <v>Le Hoai Bao</v>
          </cell>
          <cell r="C254">
            <v>1700109</v>
          </cell>
          <cell r="D254">
            <v>937743214</v>
          </cell>
          <cell r="E254" t="str">
            <v>NULL</v>
          </cell>
          <cell r="F254">
            <v>20170413</v>
          </cell>
          <cell r="G254" t="str">
            <v>NULL</v>
          </cell>
          <cell r="H254" t="str">
            <v>NULL</v>
          </cell>
          <cell r="I254">
            <v>1</v>
          </cell>
          <cell r="J254">
            <v>42843.518772766205</v>
          </cell>
        </row>
        <row r="255">
          <cell r="A255" t="str">
            <v>1700113</v>
          </cell>
          <cell r="B255" t="str">
            <v>Huynh Minh Tuan</v>
          </cell>
          <cell r="C255">
            <v>1700113</v>
          </cell>
          <cell r="D255">
            <v>1266709546</v>
          </cell>
          <cell r="E255" t="str">
            <v>NULL</v>
          </cell>
          <cell r="F255">
            <v>20170414</v>
          </cell>
          <cell r="G255" t="str">
            <v>NULL</v>
          </cell>
          <cell r="H255" t="str">
            <v>NULL</v>
          </cell>
          <cell r="I255">
            <v>1</v>
          </cell>
          <cell r="J255">
            <v>42843.561124074076</v>
          </cell>
        </row>
        <row r="256">
          <cell r="A256" t="str">
            <v>1700114</v>
          </cell>
          <cell r="B256" t="str">
            <v>Tran Thi Thien An</v>
          </cell>
          <cell r="C256">
            <v>1700114</v>
          </cell>
          <cell r="D256">
            <v>984566667</v>
          </cell>
          <cell r="E256" t="str">
            <v>NULL</v>
          </cell>
          <cell r="F256">
            <v>20170414</v>
          </cell>
          <cell r="G256" t="str">
            <v>NULL</v>
          </cell>
          <cell r="H256" t="str">
            <v>NULL</v>
          </cell>
          <cell r="I256">
            <v>1</v>
          </cell>
          <cell r="J256">
            <v>42843.561124074076</v>
          </cell>
        </row>
        <row r="257">
          <cell r="A257" t="str">
            <v>1700118</v>
          </cell>
          <cell r="B257" t="str">
            <v>Nguyen Duy Hien</v>
          </cell>
          <cell r="C257">
            <v>1700118</v>
          </cell>
          <cell r="D257">
            <v>1673589041</v>
          </cell>
          <cell r="E257" t="str">
            <v>NULL</v>
          </cell>
          <cell r="F257">
            <v>20170418</v>
          </cell>
          <cell r="G257" t="str">
            <v>NULL</v>
          </cell>
          <cell r="H257" t="str">
            <v>NULL</v>
          </cell>
          <cell r="I257">
            <v>1</v>
          </cell>
          <cell r="J257">
            <v>42851.447256863423</v>
          </cell>
        </row>
        <row r="258">
          <cell r="A258" t="str">
            <v>1700119</v>
          </cell>
          <cell r="B258" t="str">
            <v>Le Quoc Hung</v>
          </cell>
          <cell r="C258">
            <v>1700119</v>
          </cell>
          <cell r="D258">
            <v>1689208764</v>
          </cell>
          <cell r="E258" t="str">
            <v>NULL</v>
          </cell>
          <cell r="F258">
            <v>20170418</v>
          </cell>
          <cell r="G258" t="str">
            <v>NULL</v>
          </cell>
          <cell r="H258" t="str">
            <v>NULL</v>
          </cell>
          <cell r="I258">
            <v>1</v>
          </cell>
          <cell r="J258">
            <v>42851.447256944448</v>
          </cell>
        </row>
        <row r="259">
          <cell r="A259" t="str">
            <v>1700126</v>
          </cell>
          <cell r="B259" t="str">
            <v>Tran Hong Hoa</v>
          </cell>
          <cell r="C259">
            <v>1700126</v>
          </cell>
          <cell r="D259">
            <v>1687751587</v>
          </cell>
          <cell r="E259" t="str">
            <v>NULL</v>
          </cell>
          <cell r="F259">
            <v>20170421</v>
          </cell>
          <cell r="G259" t="str">
            <v>NULL</v>
          </cell>
          <cell r="H259" t="str">
            <v>NULL</v>
          </cell>
          <cell r="I259">
            <v>1</v>
          </cell>
          <cell r="J259">
            <v>42853.702111840277</v>
          </cell>
        </row>
        <row r="260">
          <cell r="A260" t="str">
            <v>1700128</v>
          </cell>
          <cell r="B260" t="str">
            <v>Bui Thi Hoa</v>
          </cell>
          <cell r="C260">
            <v>1700128</v>
          </cell>
          <cell r="D260">
            <v>968816905</v>
          </cell>
          <cell r="E260" t="str">
            <v>NULL</v>
          </cell>
          <cell r="F260">
            <v>20170524</v>
          </cell>
          <cell r="G260" t="str">
            <v>NULL</v>
          </cell>
          <cell r="H260" t="str">
            <v>NULL</v>
          </cell>
          <cell r="I260">
            <v>1</v>
          </cell>
          <cell r="J260">
            <v>42858.494453356485</v>
          </cell>
        </row>
        <row r="261">
          <cell r="A261" t="str">
            <v>1700132</v>
          </cell>
          <cell r="B261" t="str">
            <v>Nguyen Dang Cong Minh</v>
          </cell>
          <cell r="C261">
            <v>1700132</v>
          </cell>
          <cell r="D261">
            <v>903006081</v>
          </cell>
          <cell r="E261" t="str">
            <v>NULL</v>
          </cell>
          <cell r="F261">
            <v>20170425</v>
          </cell>
          <cell r="G261" t="str">
            <v>NULL</v>
          </cell>
          <cell r="H261" t="str">
            <v>NULL</v>
          </cell>
          <cell r="I261">
            <v>1</v>
          </cell>
          <cell r="J261">
            <v>42858.494453819447</v>
          </cell>
        </row>
        <row r="262">
          <cell r="A262" t="str">
            <v>1700136</v>
          </cell>
          <cell r="B262" t="str">
            <v>Nguyen Thien Loc</v>
          </cell>
          <cell r="C262">
            <v>1700136</v>
          </cell>
          <cell r="D262">
            <v>908611886</v>
          </cell>
          <cell r="E262" t="str">
            <v>NULL</v>
          </cell>
          <cell r="F262">
            <v>20170503</v>
          </cell>
          <cell r="G262" t="str">
            <v>NULL</v>
          </cell>
          <cell r="H262" t="str">
            <v>NULL</v>
          </cell>
          <cell r="I262">
            <v>1</v>
          </cell>
          <cell r="J262">
            <v>42863.587478275462</v>
          </cell>
        </row>
        <row r="263">
          <cell r="A263" t="str">
            <v>1700139</v>
          </cell>
          <cell r="B263" t="str">
            <v>Tran Kim Vu</v>
          </cell>
          <cell r="C263">
            <v>1700139</v>
          </cell>
          <cell r="D263">
            <v>934826522</v>
          </cell>
          <cell r="E263" t="str">
            <v>NULL</v>
          </cell>
          <cell r="F263">
            <v>20170503</v>
          </cell>
          <cell r="G263" t="str">
            <v>NULL</v>
          </cell>
          <cell r="H263" t="str">
            <v>NULL</v>
          </cell>
          <cell r="I263">
            <v>1</v>
          </cell>
          <cell r="J263">
            <v>42863.629851388891</v>
          </cell>
        </row>
        <row r="264">
          <cell r="A264" t="str">
            <v>1700140</v>
          </cell>
          <cell r="B264" t="str">
            <v>Vo Thi Thanh Tam</v>
          </cell>
          <cell r="C264">
            <v>1700140</v>
          </cell>
          <cell r="D264">
            <v>901318936</v>
          </cell>
          <cell r="F264">
            <v>20170503</v>
          </cell>
          <cell r="I264">
            <v>1</v>
          </cell>
          <cell r="J264">
            <v>42863.629851388891</v>
          </cell>
        </row>
        <row r="265">
          <cell r="A265" t="str">
            <v>1700142</v>
          </cell>
          <cell r="B265" t="str">
            <v>Cao Le Diem Phuong</v>
          </cell>
          <cell r="C265">
            <v>1700142</v>
          </cell>
          <cell r="D265">
            <v>908276764</v>
          </cell>
          <cell r="F265">
            <v>20170504</v>
          </cell>
          <cell r="I265">
            <v>1</v>
          </cell>
          <cell r="J265">
            <v>42863.629852164355</v>
          </cell>
        </row>
        <row r="266">
          <cell r="A266" t="str">
            <v>1700145</v>
          </cell>
          <cell r="B266" t="str">
            <v>Nguyen Thi Phuong Uyen</v>
          </cell>
          <cell r="C266">
            <v>1700145</v>
          </cell>
          <cell r="D266">
            <v>909664023</v>
          </cell>
          <cell r="F266">
            <v>20170508</v>
          </cell>
          <cell r="I266">
            <v>1</v>
          </cell>
          <cell r="J266">
            <v>42866.472193020832</v>
          </cell>
        </row>
        <row r="267">
          <cell r="A267" t="str">
            <v>1700153</v>
          </cell>
          <cell r="B267" t="str">
            <v>Vo Nguyen Yen Lynh</v>
          </cell>
          <cell r="C267">
            <v>1700153</v>
          </cell>
          <cell r="D267">
            <v>1212490992</v>
          </cell>
          <cell r="E267" t="str">
            <v>NULL</v>
          </cell>
          <cell r="F267">
            <v>20170512</v>
          </cell>
          <cell r="G267" t="str">
            <v>NULL</v>
          </cell>
          <cell r="H267" t="str">
            <v>NULL</v>
          </cell>
          <cell r="I267">
            <v>1</v>
          </cell>
          <cell r="J267">
            <v>42870.460390243054</v>
          </cell>
        </row>
        <row r="268">
          <cell r="A268" t="str">
            <v>1700157</v>
          </cell>
          <cell r="B268" t="str">
            <v>To Quoc Tien</v>
          </cell>
          <cell r="C268">
            <v>1700157</v>
          </cell>
          <cell r="D268">
            <v>1203998853</v>
          </cell>
          <cell r="F268">
            <v>20170522</v>
          </cell>
          <cell r="I268">
            <v>1</v>
          </cell>
          <cell r="J268">
            <v>42884.461032372688</v>
          </cell>
        </row>
        <row r="269">
          <cell r="A269" t="str">
            <v>1700161</v>
          </cell>
          <cell r="B269" t="str">
            <v>Nguyen Thi Thanh Tuyen</v>
          </cell>
          <cell r="C269">
            <v>1700161</v>
          </cell>
          <cell r="D269">
            <v>987136964</v>
          </cell>
          <cell r="F269">
            <v>20170522</v>
          </cell>
          <cell r="I269">
            <v>1</v>
          </cell>
          <cell r="J269">
            <v>42884.503405324074</v>
          </cell>
        </row>
        <row r="270">
          <cell r="A270" t="str">
            <v>1700162</v>
          </cell>
          <cell r="B270" t="str">
            <v>Huynh Thi Thao</v>
          </cell>
          <cell r="C270">
            <v>1700162</v>
          </cell>
          <cell r="D270">
            <v>984566377</v>
          </cell>
          <cell r="F270">
            <v>20170523</v>
          </cell>
          <cell r="I270">
            <v>1</v>
          </cell>
          <cell r="J270">
            <v>42884.503405324074</v>
          </cell>
        </row>
        <row r="271">
          <cell r="A271" t="str">
            <v>1700169</v>
          </cell>
          <cell r="B271" t="str">
            <v>Huynh Vu Thuy Oanh</v>
          </cell>
          <cell r="C271">
            <v>1700169</v>
          </cell>
          <cell r="D271">
            <v>1264062067</v>
          </cell>
          <cell r="F271">
            <v>20170601</v>
          </cell>
          <cell r="I271">
            <v>1</v>
          </cell>
          <cell r="J271">
            <v>42895.562536423611</v>
          </cell>
        </row>
        <row r="272">
          <cell r="A272" t="str">
            <v>1700170</v>
          </cell>
          <cell r="B272" t="str">
            <v>Hoang Minh Son</v>
          </cell>
          <cell r="C272">
            <v>1700170</v>
          </cell>
          <cell r="D272">
            <v>963449810</v>
          </cell>
          <cell r="E272" t="str">
            <v>NULL</v>
          </cell>
          <cell r="F272">
            <v>20170601</v>
          </cell>
          <cell r="G272" t="str">
            <v>NULL</v>
          </cell>
          <cell r="H272" t="str">
            <v>NULL</v>
          </cell>
          <cell r="I272">
            <v>1</v>
          </cell>
          <cell r="J272">
            <v>42895.604913425923</v>
          </cell>
        </row>
        <row r="273">
          <cell r="A273" t="str">
            <v>1700176</v>
          </cell>
          <cell r="B273" t="str">
            <v>Nguyen Hoang Huu Khuong</v>
          </cell>
          <cell r="C273">
            <v>1700176</v>
          </cell>
          <cell r="D273">
            <v>1683802219</v>
          </cell>
          <cell r="F273">
            <v>20170609</v>
          </cell>
          <cell r="I273">
            <v>1</v>
          </cell>
          <cell r="J273">
            <v>42899.642314930556</v>
          </cell>
        </row>
        <row r="274">
          <cell r="A274" t="str">
            <v>1700184</v>
          </cell>
          <cell r="B274" t="str">
            <v>Tran Thanh Thuan</v>
          </cell>
          <cell r="C274">
            <v>1700184</v>
          </cell>
          <cell r="D274">
            <v>906082791</v>
          </cell>
          <cell r="E274" t="str">
            <v>NULL</v>
          </cell>
          <cell r="F274">
            <v>20170613</v>
          </cell>
          <cell r="G274" t="str">
            <v>NULL</v>
          </cell>
          <cell r="H274" t="str">
            <v>NULL</v>
          </cell>
          <cell r="I274">
            <v>1</v>
          </cell>
          <cell r="J274">
            <v>42905.704872685186</v>
          </cell>
        </row>
        <row r="275">
          <cell r="A275" t="str">
            <v>1700187</v>
          </cell>
          <cell r="B275" t="str">
            <v>Mai Huynh Phuong Nhi</v>
          </cell>
          <cell r="C275">
            <v>1700187</v>
          </cell>
          <cell r="D275">
            <v>1662969339</v>
          </cell>
          <cell r="E275" t="str">
            <v>NULL</v>
          </cell>
          <cell r="F275">
            <v>20170616</v>
          </cell>
          <cell r="G275" t="str">
            <v>NULL</v>
          </cell>
          <cell r="H275" t="str">
            <v>NULL</v>
          </cell>
          <cell r="I275">
            <v>1</v>
          </cell>
          <cell r="J275">
            <v>42919.493080590277</v>
          </cell>
        </row>
        <row r="276">
          <cell r="A276" t="str">
            <v>1700189</v>
          </cell>
          <cell r="B276" t="str">
            <v>Le Tan Dat</v>
          </cell>
          <cell r="C276">
            <v>1700189</v>
          </cell>
          <cell r="D276">
            <v>933135374</v>
          </cell>
          <cell r="E276" t="str">
            <v>NULL</v>
          </cell>
          <cell r="F276">
            <v>20170616</v>
          </cell>
          <cell r="G276" t="str">
            <v>NULL</v>
          </cell>
          <cell r="H276" t="str">
            <v>NULL</v>
          </cell>
          <cell r="I276">
            <v>1</v>
          </cell>
          <cell r="J276">
            <v>42919.493082442132</v>
          </cell>
        </row>
        <row r="277">
          <cell r="A277" t="str">
            <v>1700190</v>
          </cell>
          <cell r="B277" t="str">
            <v>Nguyen Vu Minh Tien</v>
          </cell>
          <cell r="C277">
            <v>1700190</v>
          </cell>
          <cell r="D277">
            <v>1638413994</v>
          </cell>
          <cell r="E277" t="str">
            <v>NULL</v>
          </cell>
          <cell r="F277">
            <v>20170616</v>
          </cell>
          <cell r="G277" t="str">
            <v>NULL</v>
          </cell>
          <cell r="H277" t="str">
            <v>NULL</v>
          </cell>
          <cell r="I277">
            <v>1</v>
          </cell>
          <cell r="J277">
            <v>42919.493082442132</v>
          </cell>
        </row>
        <row r="278">
          <cell r="A278" t="str">
            <v>1700191</v>
          </cell>
          <cell r="B278" t="str">
            <v>Truong Quoc Vinh</v>
          </cell>
          <cell r="C278">
            <v>1700191</v>
          </cell>
          <cell r="D278">
            <v>902529040</v>
          </cell>
          <cell r="E278" t="str">
            <v>NULL</v>
          </cell>
          <cell r="F278">
            <v>20170616</v>
          </cell>
          <cell r="G278" t="str">
            <v>NULL</v>
          </cell>
          <cell r="H278" t="str">
            <v>NULL</v>
          </cell>
          <cell r="I278">
            <v>1</v>
          </cell>
          <cell r="J278">
            <v>42919.493082442132</v>
          </cell>
        </row>
        <row r="279">
          <cell r="A279" t="str">
            <v>1700192</v>
          </cell>
          <cell r="B279" t="str">
            <v>Ho Hai Nam</v>
          </cell>
          <cell r="C279">
            <v>1700192</v>
          </cell>
          <cell r="D279">
            <v>1682752911</v>
          </cell>
          <cell r="E279" t="str">
            <v>NULL</v>
          </cell>
          <cell r="F279">
            <v>20170616</v>
          </cell>
          <cell r="G279" t="str">
            <v>NULL</v>
          </cell>
          <cell r="H279" t="str">
            <v>NULL</v>
          </cell>
          <cell r="I279">
            <v>1</v>
          </cell>
          <cell r="J279">
            <v>42919.493082442132</v>
          </cell>
        </row>
        <row r="280">
          <cell r="A280" t="str">
            <v>1700193</v>
          </cell>
          <cell r="B280" t="str">
            <v>Nguyen Chi Phong</v>
          </cell>
          <cell r="C280">
            <v>1700193</v>
          </cell>
          <cell r="D280">
            <v>933424441</v>
          </cell>
          <cell r="E280" t="str">
            <v>NULL</v>
          </cell>
          <cell r="F280">
            <v>20170616</v>
          </cell>
          <cell r="G280" t="str">
            <v>NULL</v>
          </cell>
          <cell r="H280" t="str">
            <v>NULL</v>
          </cell>
          <cell r="I280">
            <v>1</v>
          </cell>
          <cell r="J280">
            <v>42919.493082442132</v>
          </cell>
        </row>
        <row r="281">
          <cell r="A281" t="str">
            <v>1700194</v>
          </cell>
          <cell r="B281" t="str">
            <v>Nguyen Khuong Duy</v>
          </cell>
          <cell r="C281">
            <v>1700194</v>
          </cell>
          <cell r="D281">
            <v>902038591</v>
          </cell>
          <cell r="E281" t="str">
            <v>NULL</v>
          </cell>
          <cell r="F281">
            <v>20170616</v>
          </cell>
          <cell r="G281" t="str">
            <v>NULL</v>
          </cell>
          <cell r="H281" t="str">
            <v>NULL</v>
          </cell>
          <cell r="I281">
            <v>1</v>
          </cell>
          <cell r="J281">
            <v>42919.535460798608</v>
          </cell>
        </row>
        <row r="282">
          <cell r="A282" t="str">
            <v>1700195</v>
          </cell>
          <cell r="B282" t="str">
            <v>Tran Quoc Thanh</v>
          </cell>
          <cell r="C282">
            <v>1700195</v>
          </cell>
          <cell r="D282">
            <v>908980260</v>
          </cell>
          <cell r="E282" t="str">
            <v>NULL</v>
          </cell>
          <cell r="F282">
            <v>20170616</v>
          </cell>
          <cell r="G282" t="str">
            <v>NULL</v>
          </cell>
          <cell r="H282" t="str">
            <v>NULL</v>
          </cell>
          <cell r="I282">
            <v>1</v>
          </cell>
          <cell r="J282">
            <v>42919.577800925923</v>
          </cell>
        </row>
        <row r="283">
          <cell r="A283" t="str">
            <v>1700199</v>
          </cell>
          <cell r="B283" t="str">
            <v>Huynh Nguyen Ngoc Quy</v>
          </cell>
          <cell r="C283">
            <v>1700199</v>
          </cell>
          <cell r="D283">
            <v>1204622209</v>
          </cell>
          <cell r="E283" t="str">
            <v>NULL</v>
          </cell>
          <cell r="F283">
            <v>20170616</v>
          </cell>
          <cell r="G283" t="str">
            <v>NULL</v>
          </cell>
          <cell r="H283" t="str">
            <v>NULL</v>
          </cell>
          <cell r="I283">
            <v>1</v>
          </cell>
          <cell r="J283">
            <v>42919.577801192128</v>
          </cell>
        </row>
        <row r="284">
          <cell r="A284" t="str">
            <v>1700204</v>
          </cell>
          <cell r="B284" t="str">
            <v>Le Trong Nguyen</v>
          </cell>
          <cell r="C284">
            <v>1700204</v>
          </cell>
          <cell r="D284">
            <v>966693031</v>
          </cell>
          <cell r="E284" t="str">
            <v>NULL</v>
          </cell>
          <cell r="F284">
            <v>20170622</v>
          </cell>
          <cell r="G284" t="str">
            <v>NULL</v>
          </cell>
          <cell r="H284" t="str">
            <v>NULL</v>
          </cell>
          <cell r="I284">
            <v>1</v>
          </cell>
          <cell r="J284">
            <v>42919.662522916668</v>
          </cell>
        </row>
        <row r="285">
          <cell r="A285" t="str">
            <v>1700207</v>
          </cell>
          <cell r="B285" t="str">
            <v>Dao Thi Thu Nguyet</v>
          </cell>
          <cell r="C285">
            <v>1700207</v>
          </cell>
          <cell r="D285">
            <v>1682105649</v>
          </cell>
          <cell r="E285" t="str">
            <v>NULL</v>
          </cell>
          <cell r="F285">
            <v>20170626</v>
          </cell>
          <cell r="G285" t="str">
            <v>NULL</v>
          </cell>
          <cell r="H285" t="str">
            <v>NULL</v>
          </cell>
          <cell r="I285">
            <v>1</v>
          </cell>
          <cell r="J285">
            <v>42919.704917361109</v>
          </cell>
        </row>
        <row r="286">
          <cell r="A286" t="str">
            <v>1700209</v>
          </cell>
          <cell r="B286" t="str">
            <v>Chu Thi Ngoc Anh</v>
          </cell>
          <cell r="C286">
            <v>1700209</v>
          </cell>
          <cell r="D286">
            <v>988595417</v>
          </cell>
          <cell r="E286" t="str">
            <v>NULL</v>
          </cell>
          <cell r="F286">
            <v>20170627</v>
          </cell>
          <cell r="G286" t="str">
            <v>NULL</v>
          </cell>
          <cell r="H286" t="str">
            <v>NULL</v>
          </cell>
          <cell r="I286">
            <v>1</v>
          </cell>
          <cell r="J286">
            <v>42919.704917361109</v>
          </cell>
        </row>
        <row r="287">
          <cell r="A287" t="str">
            <v>1700219</v>
          </cell>
          <cell r="B287" t="str">
            <v>Ngo Thi Loan Anh</v>
          </cell>
          <cell r="C287">
            <v>1700219</v>
          </cell>
          <cell r="D287">
            <v>1656761384</v>
          </cell>
          <cell r="F287">
            <v>20170703</v>
          </cell>
          <cell r="I287">
            <v>1</v>
          </cell>
          <cell r="J287">
            <v>42926.48821747685</v>
          </cell>
        </row>
        <row r="288">
          <cell r="A288" t="str">
            <v>1700223</v>
          </cell>
          <cell r="B288" t="str">
            <v>Nguyen Thi Kim Van</v>
          </cell>
          <cell r="C288">
            <v>1700223</v>
          </cell>
          <cell r="D288">
            <v>937171659</v>
          </cell>
          <cell r="E288" t="str">
            <v>NULL</v>
          </cell>
          <cell r="F288">
            <v>20170703</v>
          </cell>
          <cell r="G288" t="str">
            <v>NULL</v>
          </cell>
          <cell r="H288" t="str">
            <v>NULL</v>
          </cell>
          <cell r="I288">
            <v>1</v>
          </cell>
          <cell r="J288">
            <v>42926.488219016202</v>
          </cell>
        </row>
        <row r="289">
          <cell r="A289" t="str">
            <v>1700229</v>
          </cell>
          <cell r="B289" t="str">
            <v>Nguyen Thi Yen Ly</v>
          </cell>
          <cell r="C289">
            <v>1700229</v>
          </cell>
          <cell r="D289">
            <v>934128720</v>
          </cell>
          <cell r="E289" t="str">
            <v>NULL</v>
          </cell>
          <cell r="F289">
            <v>20170704</v>
          </cell>
          <cell r="G289" t="str">
            <v>NULL</v>
          </cell>
          <cell r="H289" t="str">
            <v>NULL</v>
          </cell>
          <cell r="I289">
            <v>1</v>
          </cell>
          <cell r="J289">
            <v>42926.572926620371</v>
          </cell>
        </row>
        <row r="290">
          <cell r="A290" t="str">
            <v>1700232</v>
          </cell>
          <cell r="B290" t="str">
            <v>Pham Thi Minh Nhat</v>
          </cell>
          <cell r="C290">
            <v>1700232</v>
          </cell>
          <cell r="D290">
            <v>1203004309</v>
          </cell>
          <cell r="F290">
            <v>20170705</v>
          </cell>
          <cell r="I290">
            <v>1</v>
          </cell>
          <cell r="J290">
            <v>42926.572927083333</v>
          </cell>
        </row>
        <row r="291">
          <cell r="A291" t="str">
            <v>1700233</v>
          </cell>
          <cell r="B291" t="str">
            <v>Tran Ngoc Luan</v>
          </cell>
          <cell r="C291">
            <v>1700233</v>
          </cell>
          <cell r="D291">
            <v>948548506</v>
          </cell>
          <cell r="E291" t="str">
            <v>NULL</v>
          </cell>
          <cell r="F291">
            <v>20170707</v>
          </cell>
          <cell r="G291" t="str">
            <v>NULL</v>
          </cell>
          <cell r="H291" t="str">
            <v>NULL</v>
          </cell>
          <cell r="I291">
            <v>1</v>
          </cell>
          <cell r="J291">
            <v>42929.554241122685</v>
          </cell>
        </row>
        <row r="292">
          <cell r="A292" t="str">
            <v>1700236</v>
          </cell>
          <cell r="B292" t="str">
            <v>Tran Huu Thanh</v>
          </cell>
          <cell r="C292">
            <v>1700236</v>
          </cell>
          <cell r="D292">
            <v>1268674713</v>
          </cell>
          <cell r="E292" t="str">
            <v>NULL</v>
          </cell>
          <cell r="F292">
            <v>20170707</v>
          </cell>
          <cell r="G292" t="str">
            <v>NULL</v>
          </cell>
          <cell r="H292" t="str">
            <v>NULL</v>
          </cell>
          <cell r="I292">
            <v>1</v>
          </cell>
          <cell r="J292">
            <v>42929.59651466435</v>
          </cell>
        </row>
        <row r="293">
          <cell r="A293" t="str">
            <v>1700239</v>
          </cell>
          <cell r="B293" t="str">
            <v>Huynh Thi Thanh Thuy</v>
          </cell>
          <cell r="C293">
            <v>1700239</v>
          </cell>
          <cell r="D293">
            <v>932525892</v>
          </cell>
          <cell r="E293" t="str">
            <v>NULL</v>
          </cell>
          <cell r="F293">
            <v>20170710</v>
          </cell>
          <cell r="G293" t="str">
            <v>NULL</v>
          </cell>
          <cell r="H293" t="str">
            <v>NULL</v>
          </cell>
          <cell r="I293">
            <v>1</v>
          </cell>
          <cell r="J293">
            <v>42929.59651466435</v>
          </cell>
        </row>
        <row r="294">
          <cell r="A294" t="str">
            <v>1700240</v>
          </cell>
          <cell r="B294" t="str">
            <v>Huynh Nhut Nam</v>
          </cell>
          <cell r="C294">
            <v>1700240</v>
          </cell>
          <cell r="D294">
            <v>903194624</v>
          </cell>
          <cell r="E294" t="str">
            <v>NULL</v>
          </cell>
          <cell r="F294">
            <v>20170710</v>
          </cell>
          <cell r="G294" t="str">
            <v>NULL</v>
          </cell>
          <cell r="H294" t="str">
            <v>NULL</v>
          </cell>
          <cell r="I294">
            <v>1</v>
          </cell>
          <cell r="J294">
            <v>42929.59651466435</v>
          </cell>
        </row>
        <row r="295">
          <cell r="A295" t="str">
            <v>1700241</v>
          </cell>
          <cell r="B295" t="str">
            <v>Nguyen Chi Hieu</v>
          </cell>
          <cell r="C295">
            <v>1700241</v>
          </cell>
          <cell r="D295">
            <v>949543310</v>
          </cell>
          <cell r="E295" t="str">
            <v>NULL</v>
          </cell>
          <cell r="F295">
            <v>20170710</v>
          </cell>
          <cell r="G295" t="str">
            <v>NULL</v>
          </cell>
          <cell r="H295" t="str">
            <v>NULL</v>
          </cell>
          <cell r="I295">
            <v>1</v>
          </cell>
          <cell r="J295">
            <v>42929.59651466435</v>
          </cell>
        </row>
        <row r="296">
          <cell r="A296" t="str">
            <v>1700242</v>
          </cell>
          <cell r="B296" t="str">
            <v>Vo Thi Be Nhi</v>
          </cell>
          <cell r="C296">
            <v>1700242</v>
          </cell>
          <cell r="D296">
            <v>933260631</v>
          </cell>
          <cell r="E296" t="str">
            <v>NULL</v>
          </cell>
          <cell r="F296">
            <v>20170710</v>
          </cell>
          <cell r="G296" t="str">
            <v>NULL</v>
          </cell>
          <cell r="H296" t="str">
            <v>NULL</v>
          </cell>
          <cell r="I296">
            <v>1</v>
          </cell>
          <cell r="J296">
            <v>42929.638880671293</v>
          </cell>
        </row>
        <row r="297">
          <cell r="A297" t="str">
            <v>1700244</v>
          </cell>
          <cell r="B297" t="str">
            <v>Tran Phan Trung Nghia</v>
          </cell>
          <cell r="C297">
            <v>1700244</v>
          </cell>
          <cell r="D297">
            <v>939186654</v>
          </cell>
          <cell r="E297" t="str">
            <v>NULL</v>
          </cell>
          <cell r="F297">
            <v>20170711</v>
          </cell>
          <cell r="G297" t="str">
            <v>NULL</v>
          </cell>
          <cell r="H297" t="str">
            <v>NULL</v>
          </cell>
          <cell r="I297">
            <v>1</v>
          </cell>
          <cell r="J297">
            <v>42929.638880752318</v>
          </cell>
        </row>
        <row r="298">
          <cell r="A298" t="str">
            <v>1700247</v>
          </cell>
          <cell r="B298" t="str">
            <v>Pham Thuy Duy</v>
          </cell>
          <cell r="C298">
            <v>1700247</v>
          </cell>
          <cell r="E298">
            <v>981096674</v>
          </cell>
          <cell r="F298">
            <v>20170713</v>
          </cell>
          <cell r="I298">
            <v>1</v>
          </cell>
          <cell r="J298">
            <v>42933.406970833334</v>
          </cell>
        </row>
        <row r="299">
          <cell r="A299" t="str">
            <v>1700248</v>
          </cell>
          <cell r="B299" t="str">
            <v>Ho Van Viet</v>
          </cell>
          <cell r="C299">
            <v>1700248</v>
          </cell>
          <cell r="D299">
            <v>898419948</v>
          </cell>
          <cell r="E299" t="str">
            <v>NULL</v>
          </cell>
          <cell r="F299">
            <v>20170714</v>
          </cell>
          <cell r="G299" t="str">
            <v>NULL</v>
          </cell>
          <cell r="H299" t="str">
            <v>NULL</v>
          </cell>
          <cell r="I299">
            <v>1</v>
          </cell>
          <cell r="J299">
            <v>42933.406970833334</v>
          </cell>
        </row>
        <row r="300">
          <cell r="A300" t="str">
            <v>1700251</v>
          </cell>
          <cell r="B300" t="str">
            <v>Ly Minh Triet</v>
          </cell>
          <cell r="C300">
            <v>1700251</v>
          </cell>
          <cell r="D300">
            <v>934798885</v>
          </cell>
          <cell r="E300" t="str">
            <v>NULL</v>
          </cell>
          <cell r="F300">
            <v>20170718</v>
          </cell>
          <cell r="G300" t="str">
            <v>NULL</v>
          </cell>
          <cell r="H300" t="str">
            <v>NULL</v>
          </cell>
          <cell r="I300">
            <v>1</v>
          </cell>
          <cell r="J300">
            <v>42943.66387103009</v>
          </cell>
        </row>
        <row r="301">
          <cell r="A301" t="str">
            <v>1700252</v>
          </cell>
          <cell r="B301" t="str">
            <v>Vo Kim Xuyen</v>
          </cell>
          <cell r="C301">
            <v>1700252</v>
          </cell>
          <cell r="D301">
            <v>1633424160</v>
          </cell>
          <cell r="E301" t="str">
            <v>NULL</v>
          </cell>
          <cell r="F301">
            <v>20170718</v>
          </cell>
          <cell r="G301" t="str">
            <v>NULL</v>
          </cell>
          <cell r="H301" t="str">
            <v>NULL</v>
          </cell>
          <cell r="I301">
            <v>1</v>
          </cell>
          <cell r="J301">
            <v>42943.66387103009</v>
          </cell>
        </row>
        <row r="302">
          <cell r="A302" t="str">
            <v>1700258</v>
          </cell>
          <cell r="B302" t="str">
            <v>Cao Van Hanh</v>
          </cell>
          <cell r="C302">
            <v>1700258</v>
          </cell>
          <cell r="D302">
            <v>1674479878</v>
          </cell>
          <cell r="E302" t="str">
            <v>NULL</v>
          </cell>
          <cell r="F302">
            <v>20170721</v>
          </cell>
          <cell r="G302" t="str">
            <v>NULL</v>
          </cell>
          <cell r="H302" t="str">
            <v>NULL</v>
          </cell>
          <cell r="I302">
            <v>1</v>
          </cell>
          <cell r="J302">
            <v>42943.706238460647</v>
          </cell>
        </row>
        <row r="303">
          <cell r="A303" t="str">
            <v>1700262</v>
          </cell>
          <cell r="B303" t="str">
            <v>Nguyen Thi Ngoc Huyen</v>
          </cell>
          <cell r="C303">
            <v>1700262</v>
          </cell>
          <cell r="D303">
            <v>902962840</v>
          </cell>
          <cell r="E303" t="str">
            <v>NULL</v>
          </cell>
          <cell r="F303">
            <v>20170721</v>
          </cell>
          <cell r="G303" t="str">
            <v>NULL</v>
          </cell>
          <cell r="H303" t="str">
            <v>NULL</v>
          </cell>
          <cell r="I303">
            <v>1</v>
          </cell>
          <cell r="J303">
            <v>42943.706238506944</v>
          </cell>
        </row>
        <row r="304">
          <cell r="A304" t="str">
            <v>1700264</v>
          </cell>
          <cell r="B304" t="str">
            <v>Pham Thi Hong Duyen</v>
          </cell>
          <cell r="C304">
            <v>1700264</v>
          </cell>
          <cell r="D304">
            <v>902353654</v>
          </cell>
          <cell r="E304" t="str">
            <v>NULL</v>
          </cell>
          <cell r="F304">
            <v>20170724</v>
          </cell>
          <cell r="G304" t="str">
            <v>NULL</v>
          </cell>
          <cell r="H304" t="str">
            <v>NULL</v>
          </cell>
          <cell r="I304">
            <v>1</v>
          </cell>
          <cell r="J304">
            <v>42943.748593090277</v>
          </cell>
        </row>
        <row r="305">
          <cell r="A305" t="str">
            <v>1700265</v>
          </cell>
          <cell r="B305" t="str">
            <v>Bui Chi Thanh</v>
          </cell>
          <cell r="C305">
            <v>1700265</v>
          </cell>
          <cell r="D305">
            <v>1214651959</v>
          </cell>
          <cell r="E305" t="str">
            <v>NULL</v>
          </cell>
          <cell r="F305">
            <v>20170724</v>
          </cell>
          <cell r="G305" t="str">
            <v>NULL</v>
          </cell>
          <cell r="H305" t="str">
            <v>NULL</v>
          </cell>
          <cell r="I305">
            <v>1</v>
          </cell>
          <cell r="J305">
            <v>42943.748593171294</v>
          </cell>
        </row>
        <row r="306">
          <cell r="A306" t="str">
            <v>1700266</v>
          </cell>
          <cell r="B306" t="str">
            <v>Ho Thuy Kieu My</v>
          </cell>
          <cell r="C306">
            <v>1700266</v>
          </cell>
          <cell r="D306" t="str">
            <v>TPHCM</v>
          </cell>
          <cell r="E306" t="str">
            <v>NULL</v>
          </cell>
          <cell r="F306">
            <v>20170724</v>
          </cell>
          <cell r="G306" t="str">
            <v>NULL</v>
          </cell>
          <cell r="H306" t="str">
            <v>NULL</v>
          </cell>
          <cell r="I306">
            <v>1</v>
          </cell>
          <cell r="J306">
            <v>42944.515958796299</v>
          </cell>
        </row>
        <row r="307">
          <cell r="A307" t="str">
            <v>1700267</v>
          </cell>
          <cell r="B307" t="str">
            <v>Nguyen Anh Phuong</v>
          </cell>
          <cell r="C307">
            <v>1700267</v>
          </cell>
          <cell r="D307">
            <v>1652559391</v>
          </cell>
          <cell r="E307" t="str">
            <v>NULL</v>
          </cell>
          <cell r="F307">
            <v>20170725</v>
          </cell>
          <cell r="G307" t="str">
            <v>NULL</v>
          </cell>
          <cell r="H307" t="str">
            <v>NULL</v>
          </cell>
          <cell r="I307">
            <v>1</v>
          </cell>
          <cell r="J307">
            <v>42944.51595883102</v>
          </cell>
        </row>
        <row r="308">
          <cell r="A308" t="str">
            <v>1700268</v>
          </cell>
          <cell r="B308" t="str">
            <v>Nguyen Cong Tien</v>
          </cell>
          <cell r="C308">
            <v>1700268</v>
          </cell>
          <cell r="D308">
            <v>935683569</v>
          </cell>
          <cell r="E308" t="str">
            <v>NULL</v>
          </cell>
          <cell r="F308">
            <v>20170725</v>
          </cell>
          <cell r="G308" t="str">
            <v>NULL</v>
          </cell>
          <cell r="H308" t="str">
            <v>NULL</v>
          </cell>
          <cell r="I308">
            <v>1</v>
          </cell>
          <cell r="J308">
            <v>42944.600679629628</v>
          </cell>
        </row>
        <row r="309">
          <cell r="A309" t="str">
            <v>1700270</v>
          </cell>
          <cell r="B309" t="str">
            <v>Nguyen Tuan Kiet</v>
          </cell>
          <cell r="C309">
            <v>1700270</v>
          </cell>
          <cell r="D309">
            <v>933440322</v>
          </cell>
          <cell r="E309" t="str">
            <v>NULL</v>
          </cell>
          <cell r="F309">
            <v>20170726</v>
          </cell>
          <cell r="G309" t="str">
            <v>NULL</v>
          </cell>
          <cell r="H309" t="str">
            <v>NULL</v>
          </cell>
          <cell r="I309">
            <v>1</v>
          </cell>
          <cell r="J309">
            <v>42944.643030868057</v>
          </cell>
        </row>
        <row r="310">
          <cell r="A310" t="str">
            <v>1700276</v>
          </cell>
          <cell r="B310" t="str">
            <v>Nguyen Thi Thuy Diem</v>
          </cell>
          <cell r="C310">
            <v>1700276</v>
          </cell>
          <cell r="D310">
            <v>1253249547</v>
          </cell>
          <cell r="E310" t="str">
            <v>NULL</v>
          </cell>
          <cell r="F310">
            <v>20170801</v>
          </cell>
          <cell r="G310" t="str">
            <v>NULL</v>
          </cell>
          <cell r="H310" t="str">
            <v>NULL</v>
          </cell>
          <cell r="I310">
            <v>1</v>
          </cell>
          <cell r="J310">
            <v>42950.406946643518</v>
          </cell>
        </row>
        <row r="311">
          <cell r="A311" t="str">
            <v>1700278</v>
          </cell>
          <cell r="B311" t="str">
            <v>Nguyen Duy Khuong</v>
          </cell>
          <cell r="C311">
            <v>1700278</v>
          </cell>
          <cell r="D311">
            <v>1889384702</v>
          </cell>
          <cell r="E311" t="str">
            <v>NULL</v>
          </cell>
          <cell r="F311">
            <v>20170801</v>
          </cell>
          <cell r="G311" t="str">
            <v>NULL</v>
          </cell>
          <cell r="H311" t="str">
            <v>NULL</v>
          </cell>
          <cell r="I311">
            <v>1</v>
          </cell>
          <cell r="J311">
            <v>42950.449292824072</v>
          </cell>
        </row>
        <row r="312">
          <cell r="A312" t="str">
            <v>1700279</v>
          </cell>
          <cell r="B312" t="str">
            <v>Nguyen Thi Hong Ha</v>
          </cell>
          <cell r="C312">
            <v>1700279</v>
          </cell>
          <cell r="D312">
            <v>904377209</v>
          </cell>
          <cell r="E312" t="str">
            <v>NULL</v>
          </cell>
          <cell r="F312">
            <v>20170801</v>
          </cell>
          <cell r="G312" t="str">
            <v>NULL</v>
          </cell>
          <cell r="H312" t="str">
            <v>NULL</v>
          </cell>
          <cell r="I312">
            <v>1</v>
          </cell>
          <cell r="J312">
            <v>42950.661109872686</v>
          </cell>
        </row>
        <row r="313">
          <cell r="A313" t="str">
            <v>1700281</v>
          </cell>
          <cell r="B313" t="str">
            <v>Huynh Duy Khanh</v>
          </cell>
          <cell r="C313">
            <v>1700281</v>
          </cell>
          <cell r="D313">
            <v>1675076304</v>
          </cell>
          <cell r="E313" t="str">
            <v>NULL</v>
          </cell>
          <cell r="F313">
            <v>20170801</v>
          </cell>
          <cell r="G313">
            <v>20170805</v>
          </cell>
          <cell r="H313" t="str">
            <v>NULL</v>
          </cell>
          <cell r="I313">
            <v>1</v>
          </cell>
          <cell r="J313">
            <v>42950.661109953704</v>
          </cell>
        </row>
        <row r="314">
          <cell r="A314" t="str">
            <v>1700282</v>
          </cell>
          <cell r="B314" t="str">
            <v>Nguyen Duc Thang</v>
          </cell>
          <cell r="C314">
            <v>1700282</v>
          </cell>
          <cell r="D314">
            <v>1229469330</v>
          </cell>
          <cell r="E314" t="str">
            <v>NULL</v>
          </cell>
          <cell r="F314">
            <v>20170801</v>
          </cell>
          <cell r="G314" t="str">
            <v>NULL</v>
          </cell>
          <cell r="H314" t="str">
            <v>NULL</v>
          </cell>
          <cell r="I314">
            <v>1</v>
          </cell>
          <cell r="J314">
            <v>42950.661109988425</v>
          </cell>
        </row>
        <row r="315">
          <cell r="A315" t="str">
            <v>1700283</v>
          </cell>
          <cell r="B315" t="str">
            <v>Le Thi My Xiem</v>
          </cell>
          <cell r="C315">
            <v>1700283</v>
          </cell>
          <cell r="D315">
            <v>966275673</v>
          </cell>
          <cell r="E315" t="str">
            <v>NULL</v>
          </cell>
          <cell r="F315">
            <v>20170801</v>
          </cell>
          <cell r="G315" t="str">
            <v>NULL</v>
          </cell>
          <cell r="H315" t="str">
            <v>NULL</v>
          </cell>
          <cell r="I315">
            <v>1</v>
          </cell>
          <cell r="J315">
            <v>42950.703458564814</v>
          </cell>
        </row>
        <row r="316">
          <cell r="A316" t="str">
            <v>1700285</v>
          </cell>
          <cell r="B316" t="str">
            <v>Truong Minh Thi</v>
          </cell>
          <cell r="C316">
            <v>1700285</v>
          </cell>
          <cell r="D316">
            <v>969992647</v>
          </cell>
          <cell r="E316" t="str">
            <v>NULL</v>
          </cell>
          <cell r="F316">
            <v>20170801</v>
          </cell>
          <cell r="G316" t="str">
            <v>NULL</v>
          </cell>
          <cell r="H316" t="str">
            <v>NULL</v>
          </cell>
          <cell r="I316">
            <v>1</v>
          </cell>
          <cell r="J316">
            <v>42950.703458564814</v>
          </cell>
        </row>
        <row r="317">
          <cell r="A317" t="str">
            <v>1700286</v>
          </cell>
          <cell r="B317" t="str">
            <v>Tran Ngoc My</v>
          </cell>
          <cell r="C317">
            <v>1700286</v>
          </cell>
          <cell r="D317">
            <v>963849964</v>
          </cell>
          <cell r="E317" t="str">
            <v>NULL</v>
          </cell>
          <cell r="F317">
            <v>20170802</v>
          </cell>
          <cell r="G317" t="str">
            <v>NULL</v>
          </cell>
          <cell r="H317" t="str">
            <v>NULL</v>
          </cell>
          <cell r="I317">
            <v>1</v>
          </cell>
          <cell r="J317">
            <v>42950.703458564814</v>
          </cell>
        </row>
        <row r="318">
          <cell r="A318" t="str">
            <v>1700289</v>
          </cell>
          <cell r="B318" t="str">
            <v>Dang Minh Tuan</v>
          </cell>
          <cell r="C318">
            <v>1700289</v>
          </cell>
          <cell r="D318">
            <v>932135205</v>
          </cell>
          <cell r="E318" t="str">
            <v>NULL</v>
          </cell>
          <cell r="F318">
            <v>20170808</v>
          </cell>
          <cell r="G318" t="str">
            <v>NULL</v>
          </cell>
          <cell r="H318" t="str">
            <v>NULL</v>
          </cell>
          <cell r="I318">
            <v>1</v>
          </cell>
          <cell r="J318">
            <v>42961.477033483796</v>
          </cell>
        </row>
        <row r="319">
          <cell r="A319" t="str">
            <v>1700293</v>
          </cell>
          <cell r="B319" t="str">
            <v>Nguyen Ngoc Thanh Giang</v>
          </cell>
          <cell r="C319">
            <v>1700293</v>
          </cell>
          <cell r="D319">
            <v>932004475</v>
          </cell>
          <cell r="F319">
            <v>20170809</v>
          </cell>
          <cell r="I319">
            <v>1</v>
          </cell>
          <cell r="J319">
            <v>42961.519395949072</v>
          </cell>
        </row>
        <row r="320">
          <cell r="A320" t="str">
            <v>1700297</v>
          </cell>
          <cell r="B320" t="str">
            <v>Huynh Thi Ngoc Oanh</v>
          </cell>
          <cell r="C320">
            <v>1700297</v>
          </cell>
          <cell r="D320">
            <v>971399968</v>
          </cell>
          <cell r="E320" t="str">
            <v>NULL</v>
          </cell>
          <cell r="F320">
            <v>20170810</v>
          </cell>
          <cell r="G320" t="str">
            <v>NULL</v>
          </cell>
          <cell r="H320" t="str">
            <v>NULL</v>
          </cell>
          <cell r="I320">
            <v>1</v>
          </cell>
          <cell r="J320">
            <v>42961.604100810182</v>
          </cell>
        </row>
        <row r="321">
          <cell r="A321" t="str">
            <v>1700299</v>
          </cell>
          <cell r="B321" t="str">
            <v>Nguyen Duy Tan</v>
          </cell>
          <cell r="C321">
            <v>1700299</v>
          </cell>
          <cell r="D321">
            <v>1249858640</v>
          </cell>
          <cell r="E321" t="str">
            <v>NULL</v>
          </cell>
          <cell r="F321">
            <v>20170811</v>
          </cell>
          <cell r="G321" t="str">
            <v>NULL</v>
          </cell>
          <cell r="H321" t="str">
            <v>NULL</v>
          </cell>
          <cell r="I321">
            <v>1</v>
          </cell>
          <cell r="J321">
            <v>42962.620779826386</v>
          </cell>
        </row>
        <row r="322">
          <cell r="A322" t="str">
            <v>1700300</v>
          </cell>
          <cell r="B322" t="str">
            <v>Do Cao Tri</v>
          </cell>
          <cell r="C322">
            <v>1700300</v>
          </cell>
          <cell r="D322">
            <v>903523141</v>
          </cell>
          <cell r="E322" t="str">
            <v>NULL</v>
          </cell>
          <cell r="F322">
            <v>20170811</v>
          </cell>
          <cell r="G322" t="str">
            <v>NULL</v>
          </cell>
          <cell r="H322" t="str">
            <v>NULL</v>
          </cell>
          <cell r="I322">
            <v>1</v>
          </cell>
          <cell r="J322">
            <v>42962.620779942132</v>
          </cell>
        </row>
        <row r="323">
          <cell r="A323" t="str">
            <v>1700301</v>
          </cell>
          <cell r="B323" t="str">
            <v>Duong Tan Sang</v>
          </cell>
          <cell r="C323">
            <v>1700301</v>
          </cell>
          <cell r="D323">
            <v>908806301</v>
          </cell>
          <cell r="E323" t="str">
            <v>NULL</v>
          </cell>
          <cell r="F323">
            <v>20170817</v>
          </cell>
          <cell r="G323" t="str">
            <v>NULL</v>
          </cell>
          <cell r="H323" t="str">
            <v>NULL</v>
          </cell>
          <cell r="I323">
            <v>1</v>
          </cell>
          <cell r="J323">
            <v>42964.570866550923</v>
          </cell>
        </row>
        <row r="324">
          <cell r="A324" t="str">
            <v>1700302</v>
          </cell>
          <cell r="B324" t="str">
            <v>Nguyen Ngoc Thanh</v>
          </cell>
          <cell r="C324">
            <v>1700302</v>
          </cell>
          <cell r="D324">
            <v>869208408</v>
          </cell>
          <cell r="E324" t="str">
            <v>NULL</v>
          </cell>
          <cell r="F324">
            <v>20170817</v>
          </cell>
          <cell r="G324" t="str">
            <v>NULL</v>
          </cell>
          <cell r="H324" t="str">
            <v>NULL</v>
          </cell>
          <cell r="I324">
            <v>1</v>
          </cell>
          <cell r="J324">
            <v>42971.604691435183</v>
          </cell>
        </row>
        <row r="325">
          <cell r="A325" t="str">
            <v>1700303</v>
          </cell>
          <cell r="B325" t="str">
            <v>Dang Thi Diem</v>
          </cell>
          <cell r="C325">
            <v>1700303</v>
          </cell>
          <cell r="D325">
            <v>1638476011</v>
          </cell>
          <cell r="E325" t="str">
            <v>NULL</v>
          </cell>
          <cell r="F325">
            <v>20170817</v>
          </cell>
          <cell r="G325" t="str">
            <v>NULL</v>
          </cell>
          <cell r="H325" t="str">
            <v>NULL</v>
          </cell>
          <cell r="I325">
            <v>1</v>
          </cell>
          <cell r="J325">
            <v>42971.604691469911</v>
          </cell>
        </row>
        <row r="326">
          <cell r="A326" t="str">
            <v>1700305</v>
          </cell>
          <cell r="B326" t="str">
            <v>Nguyen Thi Kim Trieu</v>
          </cell>
          <cell r="C326">
            <v>1700305</v>
          </cell>
          <cell r="D326">
            <v>962857443</v>
          </cell>
          <cell r="E326" t="str">
            <v>NULL</v>
          </cell>
          <cell r="F326">
            <v>20170817</v>
          </cell>
          <cell r="G326" t="str">
            <v>NULL</v>
          </cell>
          <cell r="H326" t="str">
            <v>NULL</v>
          </cell>
          <cell r="I326">
            <v>1</v>
          </cell>
          <cell r="J326">
            <v>42971.647041122684</v>
          </cell>
        </row>
        <row r="327">
          <cell r="A327" t="str">
            <v>1700308</v>
          </cell>
          <cell r="B327" t="str">
            <v>Le Thi Hong Loan</v>
          </cell>
          <cell r="C327">
            <v>1700308</v>
          </cell>
          <cell r="D327">
            <v>1677282055</v>
          </cell>
          <cell r="E327" t="str">
            <v>NULL</v>
          </cell>
          <cell r="F327">
            <v>20170821</v>
          </cell>
          <cell r="G327" t="str">
            <v>NULL</v>
          </cell>
          <cell r="H327" t="str">
            <v>NULL</v>
          </cell>
          <cell r="I327">
            <v>1</v>
          </cell>
          <cell r="J327">
            <v>42975.67133834491</v>
          </cell>
        </row>
        <row r="328">
          <cell r="A328" t="str">
            <v>1700309</v>
          </cell>
          <cell r="B328" t="str">
            <v>Nguyen Van Pho</v>
          </cell>
          <cell r="C328">
            <v>1700309</v>
          </cell>
          <cell r="D328">
            <v>964441275</v>
          </cell>
          <cell r="E328" t="str">
            <v>NULL</v>
          </cell>
          <cell r="F328">
            <v>20170821</v>
          </cell>
          <cell r="G328" t="str">
            <v>NULL</v>
          </cell>
          <cell r="H328" t="str">
            <v>NULL</v>
          </cell>
          <cell r="I328">
            <v>1</v>
          </cell>
          <cell r="J328">
            <v>42976.476196724536</v>
          </cell>
        </row>
        <row r="329">
          <cell r="A329" t="str">
            <v>1700310</v>
          </cell>
          <cell r="B329" t="str">
            <v>Nguyen Trong Nghia</v>
          </cell>
          <cell r="C329">
            <v>1700310</v>
          </cell>
          <cell r="D329">
            <v>937384742</v>
          </cell>
          <cell r="E329" t="str">
            <v>NULL</v>
          </cell>
          <cell r="F329">
            <v>20170821</v>
          </cell>
          <cell r="G329" t="str">
            <v>NULL</v>
          </cell>
          <cell r="H329" t="str">
            <v>NULL</v>
          </cell>
          <cell r="I329">
            <v>1</v>
          </cell>
          <cell r="J329">
            <v>42976.476196840274</v>
          </cell>
        </row>
        <row r="330">
          <cell r="A330" t="str">
            <v>1700312</v>
          </cell>
          <cell r="B330" t="str">
            <v>Dang Thi Nhu Hong</v>
          </cell>
          <cell r="C330">
            <v>1700312</v>
          </cell>
          <cell r="D330">
            <v>1697459098</v>
          </cell>
          <cell r="F330">
            <v>20170823</v>
          </cell>
          <cell r="I330">
            <v>1</v>
          </cell>
          <cell r="J330">
            <v>42976.560917939816</v>
          </cell>
        </row>
        <row r="331">
          <cell r="A331" t="str">
            <v>1700315</v>
          </cell>
          <cell r="B331" t="str">
            <v>Trinh Thi My Chi</v>
          </cell>
          <cell r="C331">
            <v>1700315</v>
          </cell>
          <cell r="D331">
            <v>1656444661</v>
          </cell>
          <cell r="E331" t="str">
            <v>NULL</v>
          </cell>
          <cell r="F331">
            <v>20170824</v>
          </cell>
          <cell r="G331" t="str">
            <v>NULL</v>
          </cell>
          <cell r="H331" t="str">
            <v>NULL</v>
          </cell>
          <cell r="I331">
            <v>1</v>
          </cell>
          <cell r="J331">
            <v>42976.603293402775</v>
          </cell>
        </row>
        <row r="332">
          <cell r="A332" t="str">
            <v>1700316</v>
          </cell>
          <cell r="B332" t="str">
            <v>Pham Thi Ngoc Diem</v>
          </cell>
          <cell r="C332">
            <v>1700316</v>
          </cell>
          <cell r="D332">
            <v>905625772</v>
          </cell>
          <cell r="F332">
            <v>20170825</v>
          </cell>
          <cell r="I332">
            <v>1</v>
          </cell>
          <cell r="J332">
            <v>42976.645640011571</v>
          </cell>
        </row>
        <row r="333">
          <cell r="A333" t="str">
            <v>1700317</v>
          </cell>
          <cell r="B333" t="str">
            <v>Vo Thi Lai</v>
          </cell>
          <cell r="C333">
            <v>1700317</v>
          </cell>
          <cell r="D333">
            <v>938932083</v>
          </cell>
          <cell r="E333" t="str">
            <v>NULL</v>
          </cell>
          <cell r="F333">
            <v>20170825</v>
          </cell>
          <cell r="G333" t="str">
            <v>NULL</v>
          </cell>
          <cell r="H333" t="str">
            <v>NULL</v>
          </cell>
          <cell r="I333">
            <v>1</v>
          </cell>
          <cell r="J333">
            <v>42976.645640011571</v>
          </cell>
        </row>
        <row r="334">
          <cell r="A334" t="str">
            <v>1700319</v>
          </cell>
          <cell r="B334" t="str">
            <v>Nguyen Thi Nha Trang</v>
          </cell>
          <cell r="C334">
            <v>1700319</v>
          </cell>
          <cell r="D334">
            <v>1258144446</v>
          </cell>
          <cell r="E334" t="str">
            <v>NULL</v>
          </cell>
          <cell r="F334">
            <v>20170828</v>
          </cell>
          <cell r="G334" t="str">
            <v>NULL</v>
          </cell>
          <cell r="H334" t="str">
            <v>NULL</v>
          </cell>
          <cell r="I334">
            <v>1</v>
          </cell>
          <cell r="J334">
            <v>42976.645640011571</v>
          </cell>
        </row>
        <row r="335">
          <cell r="A335" t="str">
            <v>1700320</v>
          </cell>
          <cell r="B335" t="str">
            <v>Quach Thi Ha</v>
          </cell>
          <cell r="C335">
            <v>1700320</v>
          </cell>
          <cell r="D335">
            <v>1684246394</v>
          </cell>
          <cell r="E335" t="str">
            <v>NULL</v>
          </cell>
          <cell r="F335">
            <v>20170828</v>
          </cell>
          <cell r="G335" t="str">
            <v>NULL</v>
          </cell>
          <cell r="H335" t="str">
            <v>NULL</v>
          </cell>
          <cell r="I335">
            <v>1</v>
          </cell>
          <cell r="J335">
            <v>42976.688015081018</v>
          </cell>
        </row>
        <row r="336">
          <cell r="A336" t="str">
            <v>1700322</v>
          </cell>
          <cell r="B336" t="str">
            <v>Nguyen Lam Ngoc Thao</v>
          </cell>
          <cell r="C336">
            <v>1700322</v>
          </cell>
          <cell r="D336">
            <v>1204588999</v>
          </cell>
          <cell r="F336">
            <v>20170828</v>
          </cell>
          <cell r="I336">
            <v>1</v>
          </cell>
          <cell r="J336">
            <v>42976.688015127314</v>
          </cell>
        </row>
        <row r="337">
          <cell r="A337" t="str">
            <v>1700330</v>
          </cell>
          <cell r="B337" t="str">
            <v>Nguyen The Vuong</v>
          </cell>
          <cell r="C337">
            <v>1700330</v>
          </cell>
          <cell r="D337">
            <v>1229094859</v>
          </cell>
          <cell r="E337" t="str">
            <v>NULL</v>
          </cell>
          <cell r="F337">
            <v>20170901</v>
          </cell>
          <cell r="G337" t="str">
            <v>NULL</v>
          </cell>
          <cell r="H337" t="str">
            <v>NULL</v>
          </cell>
          <cell r="I337">
            <v>1</v>
          </cell>
          <cell r="J337">
            <v>42990.640755752313</v>
          </cell>
        </row>
        <row r="338">
          <cell r="A338" t="str">
            <v>1700331</v>
          </cell>
          <cell r="B338" t="str">
            <v>Tran Van Phu</v>
          </cell>
          <cell r="C338">
            <v>1700331</v>
          </cell>
          <cell r="D338">
            <v>1683357365</v>
          </cell>
          <cell r="E338" t="str">
            <v>NULL</v>
          </cell>
          <cell r="F338">
            <v>20170901</v>
          </cell>
          <cell r="G338" t="str">
            <v>NULL</v>
          </cell>
          <cell r="H338" t="str">
            <v>NULL</v>
          </cell>
          <cell r="I338">
            <v>1</v>
          </cell>
          <cell r="J338">
            <v>42990.640757210647</v>
          </cell>
        </row>
        <row r="339">
          <cell r="A339" t="str">
            <v>1700332</v>
          </cell>
          <cell r="B339" t="str">
            <v>Nguyen Thanh Liem</v>
          </cell>
          <cell r="C339">
            <v>1700332</v>
          </cell>
          <cell r="D339">
            <v>1212535585</v>
          </cell>
          <cell r="E339" t="str">
            <v>NULL</v>
          </cell>
          <cell r="F339">
            <v>20170901</v>
          </cell>
          <cell r="G339" t="str">
            <v>NULL</v>
          </cell>
          <cell r="H339" t="str">
            <v>NULL</v>
          </cell>
          <cell r="I339">
            <v>1</v>
          </cell>
          <cell r="J339">
            <v>42990.683116550928</v>
          </cell>
        </row>
        <row r="340">
          <cell r="A340" t="str">
            <v>1700334</v>
          </cell>
          <cell r="B340" t="str">
            <v>Le Phuong Thao</v>
          </cell>
          <cell r="C340">
            <v>1700334</v>
          </cell>
          <cell r="D340">
            <v>1682328902</v>
          </cell>
          <cell r="E340" t="str">
            <v>NULL</v>
          </cell>
          <cell r="F340">
            <v>20170901</v>
          </cell>
          <cell r="G340" t="str">
            <v>NULL</v>
          </cell>
          <cell r="H340" t="str">
            <v>NULL</v>
          </cell>
          <cell r="I340">
            <v>1</v>
          </cell>
          <cell r="J340">
            <v>42990.683117361114</v>
          </cell>
        </row>
        <row r="341">
          <cell r="A341" t="str">
            <v>1700335</v>
          </cell>
          <cell r="B341" t="str">
            <v>Nguyen Khoa Duy</v>
          </cell>
          <cell r="C341">
            <v>1700335</v>
          </cell>
          <cell r="D341">
            <v>917190739</v>
          </cell>
          <cell r="E341" t="str">
            <v>NULL</v>
          </cell>
          <cell r="F341">
            <v>20170908</v>
          </cell>
          <cell r="G341" t="str">
            <v>NULL</v>
          </cell>
          <cell r="H341" t="str">
            <v>NULL</v>
          </cell>
          <cell r="I341">
            <v>1</v>
          </cell>
          <cell r="J341">
            <v>42996.67268758102</v>
          </cell>
        </row>
        <row r="342">
          <cell r="A342" t="str">
            <v>1700336</v>
          </cell>
          <cell r="B342" t="str">
            <v>Vo Viet Trung</v>
          </cell>
          <cell r="C342">
            <v>1700336</v>
          </cell>
          <cell r="D342">
            <v>971172789</v>
          </cell>
          <cell r="E342" t="str">
            <v>NULL</v>
          </cell>
          <cell r="F342">
            <v>20170908</v>
          </cell>
          <cell r="G342" t="str">
            <v>NULL</v>
          </cell>
          <cell r="H342" t="str">
            <v>NULL</v>
          </cell>
          <cell r="I342">
            <v>1</v>
          </cell>
          <cell r="J342">
            <v>42996.715034143519</v>
          </cell>
        </row>
        <row r="343">
          <cell r="A343" t="str">
            <v>1700337</v>
          </cell>
          <cell r="B343" t="str">
            <v>Tran Bao Tai</v>
          </cell>
          <cell r="C343">
            <v>1700337</v>
          </cell>
          <cell r="D343">
            <v>909258167</v>
          </cell>
          <cell r="E343" t="str">
            <v>NULL</v>
          </cell>
          <cell r="F343">
            <v>20170908</v>
          </cell>
          <cell r="G343" t="str">
            <v>NULL</v>
          </cell>
          <cell r="H343" t="str">
            <v>NULL</v>
          </cell>
          <cell r="I343">
            <v>1</v>
          </cell>
          <cell r="J343">
            <v>42996.715034143519</v>
          </cell>
        </row>
        <row r="344">
          <cell r="A344" t="str">
            <v>1700338</v>
          </cell>
          <cell r="B344" t="str">
            <v>Truong Minh Quan</v>
          </cell>
          <cell r="C344">
            <v>1700338</v>
          </cell>
          <cell r="D344">
            <v>1228600137</v>
          </cell>
          <cell r="E344" t="str">
            <v>NULL</v>
          </cell>
          <cell r="F344">
            <v>20170908</v>
          </cell>
          <cell r="G344" t="str">
            <v>NULL</v>
          </cell>
          <cell r="H344" t="str">
            <v>NULL</v>
          </cell>
          <cell r="I344">
            <v>1</v>
          </cell>
          <cell r="J344">
            <v>42996.715034143519</v>
          </cell>
        </row>
        <row r="345">
          <cell r="A345" t="str">
            <v>1700339</v>
          </cell>
          <cell r="B345" t="str">
            <v>Huynh Duc Sam</v>
          </cell>
          <cell r="C345">
            <v>1700339</v>
          </cell>
          <cell r="D345">
            <v>1626164823</v>
          </cell>
          <cell r="E345" t="str">
            <v>NULL</v>
          </cell>
          <cell r="F345">
            <v>20170908</v>
          </cell>
          <cell r="G345" t="str">
            <v>NULL</v>
          </cell>
          <cell r="H345" t="str">
            <v>NULL</v>
          </cell>
          <cell r="I345">
            <v>1</v>
          </cell>
          <cell r="J345">
            <v>42996.715034143519</v>
          </cell>
        </row>
        <row r="346">
          <cell r="A346" t="str">
            <v>1700343</v>
          </cell>
          <cell r="B346" t="str">
            <v>Trinh Thi Thu Hang</v>
          </cell>
          <cell r="C346">
            <v>1700343</v>
          </cell>
          <cell r="D346">
            <v>1655936671</v>
          </cell>
          <cell r="E346" t="str">
            <v>NULL</v>
          </cell>
          <cell r="F346">
            <v>20170912</v>
          </cell>
          <cell r="G346" t="str">
            <v>NULL</v>
          </cell>
          <cell r="H346" t="str">
            <v>NULL</v>
          </cell>
          <cell r="I346">
            <v>1</v>
          </cell>
          <cell r="J346">
            <v>42996.75740829861</v>
          </cell>
        </row>
        <row r="347">
          <cell r="A347" t="str">
            <v>1700344</v>
          </cell>
          <cell r="B347" t="str">
            <v>Ho An Nghia</v>
          </cell>
          <cell r="C347">
            <v>1700344</v>
          </cell>
          <cell r="D347">
            <v>1675274787</v>
          </cell>
          <cell r="E347" t="str">
            <v>NULL</v>
          </cell>
          <cell r="F347">
            <v>20170912</v>
          </cell>
          <cell r="G347" t="str">
            <v>NULL</v>
          </cell>
          <cell r="H347" t="str">
            <v>NULL</v>
          </cell>
          <cell r="I347">
            <v>1</v>
          </cell>
          <cell r="J347">
            <v>42996.75740829861</v>
          </cell>
        </row>
        <row r="348">
          <cell r="A348" t="str">
            <v>1700351</v>
          </cell>
          <cell r="B348" t="str">
            <v>Phan Thi Hai Yen</v>
          </cell>
          <cell r="C348">
            <v>1700351</v>
          </cell>
          <cell r="D348">
            <v>1644433551</v>
          </cell>
          <cell r="F348">
            <v>20170918</v>
          </cell>
          <cell r="I348">
            <v>1</v>
          </cell>
          <cell r="J348">
            <v>43004.61364236111</v>
          </cell>
        </row>
        <row r="349">
          <cell r="A349" t="str">
            <v>1700352</v>
          </cell>
          <cell r="B349" t="str">
            <v>Ho Minh Hung</v>
          </cell>
          <cell r="C349">
            <v>1700352</v>
          </cell>
          <cell r="D349">
            <v>1653446433</v>
          </cell>
          <cell r="E349" t="str">
            <v>NULL</v>
          </cell>
          <cell r="F349">
            <v>20170918</v>
          </cell>
          <cell r="G349" t="str">
            <v>NULL</v>
          </cell>
          <cell r="H349" t="str">
            <v>NULL</v>
          </cell>
          <cell r="I349">
            <v>1</v>
          </cell>
          <cell r="J349">
            <v>43004.61364236111</v>
          </cell>
        </row>
        <row r="350">
          <cell r="A350" t="str">
            <v>1700353</v>
          </cell>
          <cell r="B350" t="str">
            <v>Nguyen Duc Nha</v>
          </cell>
          <cell r="C350">
            <v>1700353</v>
          </cell>
          <cell r="D350">
            <v>907451822</v>
          </cell>
          <cell r="E350" t="str">
            <v>NULL</v>
          </cell>
          <cell r="F350">
            <v>20170918</v>
          </cell>
          <cell r="G350" t="str">
            <v>NULL</v>
          </cell>
          <cell r="H350" t="str">
            <v>NULL</v>
          </cell>
          <cell r="I350">
            <v>1</v>
          </cell>
          <cell r="J350">
            <v>43004.61364236111</v>
          </cell>
        </row>
        <row r="351">
          <cell r="A351" t="str">
            <v>1700354</v>
          </cell>
          <cell r="B351" t="str">
            <v>Doan Thi Minh Tam</v>
          </cell>
          <cell r="C351">
            <v>1700354</v>
          </cell>
          <cell r="D351">
            <v>987727226</v>
          </cell>
          <cell r="E351" t="str">
            <v>NULL</v>
          </cell>
          <cell r="F351">
            <v>20170918</v>
          </cell>
          <cell r="G351" t="str">
            <v>NULL</v>
          </cell>
          <cell r="H351" t="str">
            <v>NULL</v>
          </cell>
          <cell r="I351">
            <v>1</v>
          </cell>
          <cell r="J351">
            <v>43004.613642905089</v>
          </cell>
        </row>
        <row r="352">
          <cell r="A352" t="str">
            <v>1700355</v>
          </cell>
          <cell r="B352" t="str">
            <v>Tra Van Trieu</v>
          </cell>
          <cell r="C352">
            <v>1700355</v>
          </cell>
          <cell r="D352">
            <v>902395411</v>
          </cell>
          <cell r="E352" t="str">
            <v>NULL</v>
          </cell>
          <cell r="F352">
            <v>20170918</v>
          </cell>
          <cell r="G352" t="str">
            <v>NULL</v>
          </cell>
          <cell r="H352" t="str">
            <v>NULL</v>
          </cell>
          <cell r="I352">
            <v>1</v>
          </cell>
          <cell r="J352">
            <v>43004.613642905089</v>
          </cell>
        </row>
        <row r="353">
          <cell r="A353" t="str">
            <v>1700356</v>
          </cell>
          <cell r="B353" t="str">
            <v>Do Thi Quynh Nhu</v>
          </cell>
          <cell r="C353">
            <v>1700356</v>
          </cell>
          <cell r="D353">
            <v>938081495</v>
          </cell>
          <cell r="E353" t="str">
            <v>NULL</v>
          </cell>
          <cell r="F353">
            <v>20170921</v>
          </cell>
          <cell r="G353" t="str">
            <v>NULL</v>
          </cell>
          <cell r="H353" t="str">
            <v>NULL</v>
          </cell>
          <cell r="I353">
            <v>1</v>
          </cell>
          <cell r="J353">
            <v>43004.655986608799</v>
          </cell>
        </row>
        <row r="354">
          <cell r="A354" t="str">
            <v>1700357</v>
          </cell>
          <cell r="B354" t="str">
            <v>Le Thi Kim Thom</v>
          </cell>
          <cell r="C354">
            <v>1700357</v>
          </cell>
          <cell r="D354">
            <v>907549672</v>
          </cell>
          <cell r="F354">
            <v>20170921</v>
          </cell>
          <cell r="I354">
            <v>1</v>
          </cell>
          <cell r="J354">
            <v>43004.655986608799</v>
          </cell>
        </row>
        <row r="355">
          <cell r="A355" t="str">
            <v>1700359</v>
          </cell>
          <cell r="B355" t="str">
            <v>Nguyen Hoang Nguyen Hanh</v>
          </cell>
          <cell r="C355">
            <v>1700359</v>
          </cell>
          <cell r="D355">
            <v>1285886663</v>
          </cell>
          <cell r="F355">
            <v>20170925</v>
          </cell>
          <cell r="I355">
            <v>1</v>
          </cell>
          <cell r="J355">
            <v>43010.640128587962</v>
          </cell>
        </row>
        <row r="356">
          <cell r="A356" t="str">
            <v>1700361</v>
          </cell>
          <cell r="B356" t="str">
            <v>Tran Phi Long</v>
          </cell>
          <cell r="C356">
            <v>1700361</v>
          </cell>
          <cell r="D356">
            <v>1655098053</v>
          </cell>
          <cell r="E356" t="str">
            <v>NULL</v>
          </cell>
          <cell r="F356">
            <v>20170925</v>
          </cell>
          <cell r="G356" t="str">
            <v>NULL</v>
          </cell>
          <cell r="H356" t="str">
            <v>NULL</v>
          </cell>
          <cell r="I356">
            <v>1</v>
          </cell>
          <cell r="J356">
            <v>43010.640128587962</v>
          </cell>
        </row>
        <row r="357">
          <cell r="A357" t="str">
            <v>1700363</v>
          </cell>
          <cell r="B357" t="str">
            <v>Huynh Thu Giang</v>
          </cell>
          <cell r="C357">
            <v>1700363</v>
          </cell>
          <cell r="D357">
            <v>983603524</v>
          </cell>
          <cell r="E357" t="str">
            <v>NULL</v>
          </cell>
          <cell r="F357">
            <v>20170927</v>
          </cell>
          <cell r="G357" t="str">
            <v>NULL</v>
          </cell>
          <cell r="H357" t="str">
            <v>NULL</v>
          </cell>
          <cell r="I357">
            <v>1</v>
          </cell>
          <cell r="J357">
            <v>43010.682498761576</v>
          </cell>
        </row>
        <row r="358">
          <cell r="A358" t="str">
            <v>1700364</v>
          </cell>
          <cell r="B358" t="str">
            <v>Vu Duy Cuong</v>
          </cell>
          <cell r="C358">
            <v>1700364</v>
          </cell>
          <cell r="D358">
            <v>1674025873</v>
          </cell>
          <cell r="E358" t="str">
            <v>NULL</v>
          </cell>
          <cell r="F358">
            <v>20171003</v>
          </cell>
          <cell r="G358" t="str">
            <v>NULL</v>
          </cell>
          <cell r="H358" t="str">
            <v>NULL</v>
          </cell>
          <cell r="I358">
            <v>1</v>
          </cell>
          <cell r="J358">
            <v>43019.620827349536</v>
          </cell>
        </row>
        <row r="359">
          <cell r="A359" t="str">
            <v>1700365</v>
          </cell>
          <cell r="B359" t="str">
            <v>Phan Thi Ngoc Giau</v>
          </cell>
          <cell r="C359">
            <v>1700365</v>
          </cell>
          <cell r="D359">
            <v>909710026</v>
          </cell>
          <cell r="E359" t="str">
            <v>NULL</v>
          </cell>
          <cell r="F359">
            <v>20171003</v>
          </cell>
          <cell r="G359" t="str">
            <v>NULL</v>
          </cell>
          <cell r="H359" t="str">
            <v>NULL</v>
          </cell>
          <cell r="I359">
            <v>1</v>
          </cell>
          <cell r="J359">
            <v>43019.620828969906</v>
          </cell>
        </row>
        <row r="360">
          <cell r="A360" t="str">
            <v>1700366</v>
          </cell>
          <cell r="B360" t="str">
            <v>Thai Thi Thach Thao</v>
          </cell>
          <cell r="C360">
            <v>1700366</v>
          </cell>
          <cell r="D360">
            <v>1886919374</v>
          </cell>
          <cell r="F360">
            <v>20171003</v>
          </cell>
          <cell r="I360">
            <v>1</v>
          </cell>
          <cell r="J360">
            <v>43019.620828969906</v>
          </cell>
        </row>
        <row r="361">
          <cell r="A361" t="str">
            <v>1700370</v>
          </cell>
          <cell r="B361" t="str">
            <v>Ton Thuy Huong</v>
          </cell>
          <cell r="C361">
            <v>1700370</v>
          </cell>
          <cell r="D361">
            <v>931464519</v>
          </cell>
          <cell r="E361" t="str">
            <v>NULL</v>
          </cell>
          <cell r="F361">
            <v>20171005</v>
          </cell>
          <cell r="G361" t="str">
            <v>NULL</v>
          </cell>
          <cell r="H361" t="str">
            <v>NULL</v>
          </cell>
          <cell r="I361">
            <v>1</v>
          </cell>
          <cell r="J361">
            <v>43020.388861307867</v>
          </cell>
        </row>
        <row r="362">
          <cell r="A362" t="str">
            <v>1700371</v>
          </cell>
          <cell r="B362" t="str">
            <v>Nguyen Thanh Duoc</v>
          </cell>
          <cell r="C362">
            <v>1700371</v>
          </cell>
          <cell r="D362">
            <v>1694003001</v>
          </cell>
          <cell r="E362" t="str">
            <v>NULL</v>
          </cell>
          <cell r="F362">
            <v>20171005</v>
          </cell>
          <cell r="G362" t="str">
            <v>NULL</v>
          </cell>
          <cell r="H362" t="str">
            <v>NULL</v>
          </cell>
          <cell r="I362">
            <v>1</v>
          </cell>
          <cell r="J362">
            <v>43020.388861423613</v>
          </cell>
        </row>
        <row r="363">
          <cell r="A363" t="str">
            <v>1700372</v>
          </cell>
          <cell r="B363" t="str">
            <v>Le Van Hieu</v>
          </cell>
          <cell r="C363">
            <v>1700372</v>
          </cell>
          <cell r="D363">
            <v>1677097195</v>
          </cell>
          <cell r="E363" t="str">
            <v>NULL</v>
          </cell>
          <cell r="F363">
            <v>20171005</v>
          </cell>
          <cell r="G363" t="str">
            <v>NULL</v>
          </cell>
          <cell r="H363" t="str">
            <v>NULL</v>
          </cell>
          <cell r="I363">
            <v>1</v>
          </cell>
          <cell r="J363">
            <v>43020.388861423613</v>
          </cell>
        </row>
        <row r="364">
          <cell r="A364" t="str">
            <v>1700376</v>
          </cell>
          <cell r="B364" t="str">
            <v>Du Thanh Phat</v>
          </cell>
          <cell r="C364">
            <v>1700376</v>
          </cell>
          <cell r="D364">
            <v>972479871</v>
          </cell>
          <cell r="E364" t="str">
            <v>NULL</v>
          </cell>
          <cell r="F364">
            <v>20171009</v>
          </cell>
          <cell r="G364" t="str">
            <v>NULL</v>
          </cell>
          <cell r="H364" t="str">
            <v>NULL</v>
          </cell>
          <cell r="I364">
            <v>1</v>
          </cell>
          <cell r="J364">
            <v>43020.388862187501</v>
          </cell>
        </row>
        <row r="365">
          <cell r="A365" t="str">
            <v>1700377</v>
          </cell>
          <cell r="B365" t="str">
            <v>Tran Luu Thu Thao</v>
          </cell>
          <cell r="C365">
            <v>1700377</v>
          </cell>
          <cell r="D365">
            <v>979146524</v>
          </cell>
          <cell r="E365" t="str">
            <v>NULL</v>
          </cell>
          <cell r="F365">
            <v>20171009</v>
          </cell>
          <cell r="G365" t="str">
            <v>NULL</v>
          </cell>
          <cell r="H365" t="str">
            <v>NULL</v>
          </cell>
          <cell r="I365">
            <v>1</v>
          </cell>
          <cell r="J365">
            <v>43020.431233946758</v>
          </cell>
        </row>
        <row r="366">
          <cell r="A366" t="str">
            <v>1700379</v>
          </cell>
          <cell r="B366" t="str">
            <v>Nguyen Thi Thuy Ngan</v>
          </cell>
          <cell r="C366">
            <v>1700379</v>
          </cell>
          <cell r="D366">
            <v>1219514893</v>
          </cell>
          <cell r="E366" t="str">
            <v>NULL</v>
          </cell>
          <cell r="F366">
            <v>20171010</v>
          </cell>
          <cell r="G366" t="str">
            <v>NULL</v>
          </cell>
          <cell r="H366" t="str">
            <v>NULL</v>
          </cell>
          <cell r="I366">
            <v>1</v>
          </cell>
          <cell r="J366">
            <v>43020.431233946758</v>
          </cell>
        </row>
        <row r="367">
          <cell r="A367" t="str">
            <v>1700380</v>
          </cell>
          <cell r="B367" t="str">
            <v>Le Ha Thanh Duy</v>
          </cell>
          <cell r="C367">
            <v>1700380</v>
          </cell>
          <cell r="D367">
            <v>1206185573</v>
          </cell>
          <cell r="E367" t="str">
            <v>NULL</v>
          </cell>
          <cell r="F367">
            <v>20171012</v>
          </cell>
          <cell r="G367" t="str">
            <v>NULL</v>
          </cell>
          <cell r="H367" t="str">
            <v>NULL</v>
          </cell>
          <cell r="I367">
            <v>1</v>
          </cell>
          <cell r="J367">
            <v>43025.434716435186</v>
          </cell>
        </row>
        <row r="368">
          <cell r="A368" t="str">
            <v>1700381</v>
          </cell>
          <cell r="B368" t="str">
            <v>Le Kim Linh</v>
          </cell>
          <cell r="C368">
            <v>1700381</v>
          </cell>
          <cell r="D368">
            <v>947922388</v>
          </cell>
          <cell r="E368" t="str">
            <v>NULL</v>
          </cell>
          <cell r="F368">
            <v>20171013</v>
          </cell>
          <cell r="G368" t="str">
            <v>NULL</v>
          </cell>
          <cell r="H368" t="str">
            <v>NULL</v>
          </cell>
          <cell r="I368">
            <v>1</v>
          </cell>
          <cell r="J368">
            <v>43025.434718252312</v>
          </cell>
        </row>
        <row r="369">
          <cell r="A369" t="str">
            <v>1700382</v>
          </cell>
          <cell r="B369" t="str">
            <v>Pham Thi Phuong Thao</v>
          </cell>
          <cell r="C369">
            <v>1700382</v>
          </cell>
          <cell r="D369">
            <v>937110374</v>
          </cell>
          <cell r="E369" t="str">
            <v>NULL</v>
          </cell>
          <cell r="F369">
            <v>20171013</v>
          </cell>
          <cell r="G369" t="str">
            <v>NULL</v>
          </cell>
          <cell r="H369" t="str">
            <v>NULL</v>
          </cell>
          <cell r="I369">
            <v>1</v>
          </cell>
          <cell r="J369">
            <v>43025.434718252312</v>
          </cell>
        </row>
        <row r="370">
          <cell r="A370" t="str">
            <v>1700384</v>
          </cell>
          <cell r="B370" t="str">
            <v>Vu Le Anh Phuong</v>
          </cell>
          <cell r="C370">
            <v>1700384</v>
          </cell>
          <cell r="D370">
            <v>1229797100</v>
          </cell>
          <cell r="E370" t="str">
            <v>NULL</v>
          </cell>
          <cell r="F370">
            <v>20171019</v>
          </cell>
          <cell r="G370" t="str">
            <v>NULL</v>
          </cell>
          <cell r="H370" t="str">
            <v>NULL</v>
          </cell>
          <cell r="I370">
            <v>1</v>
          </cell>
          <cell r="J370">
            <v>43038.662496527781</v>
          </cell>
        </row>
        <row r="371">
          <cell r="A371" t="str">
            <v>1700388</v>
          </cell>
          <cell r="B371" t="str">
            <v>Tong Le Quan</v>
          </cell>
          <cell r="C371">
            <v>1700388</v>
          </cell>
          <cell r="D371">
            <v>962555439</v>
          </cell>
          <cell r="E371" t="str">
            <v>NULL</v>
          </cell>
          <cell r="F371">
            <v>20171023</v>
          </cell>
          <cell r="G371" t="str">
            <v>NULL</v>
          </cell>
          <cell r="H371" t="str">
            <v>NULL</v>
          </cell>
          <cell r="I371">
            <v>1</v>
          </cell>
          <cell r="J371">
            <v>43038.662496527781</v>
          </cell>
        </row>
        <row r="372">
          <cell r="A372" t="str">
            <v>1700389</v>
          </cell>
          <cell r="B372" t="str">
            <v>Phan Thi Thanh Vi</v>
          </cell>
          <cell r="C372">
            <v>1700389</v>
          </cell>
          <cell r="D372">
            <v>934099273</v>
          </cell>
          <cell r="E372" t="str">
            <v>NULL</v>
          </cell>
          <cell r="F372">
            <v>20171023</v>
          </cell>
          <cell r="G372" t="str">
            <v>NULL</v>
          </cell>
          <cell r="H372" t="str">
            <v>NULL</v>
          </cell>
          <cell r="I372">
            <v>1</v>
          </cell>
          <cell r="J372">
            <v>43038.662496527781</v>
          </cell>
        </row>
        <row r="373">
          <cell r="A373" t="str">
            <v>1700390</v>
          </cell>
          <cell r="B373" t="str">
            <v>Pham Thi Thich</v>
          </cell>
          <cell r="C373">
            <v>1700390</v>
          </cell>
          <cell r="D373">
            <v>1643659220</v>
          </cell>
          <cell r="E373" t="str">
            <v>NULL</v>
          </cell>
          <cell r="F373">
            <v>20171023</v>
          </cell>
          <cell r="G373" t="str">
            <v>NULL</v>
          </cell>
          <cell r="H373" t="str">
            <v>NULL</v>
          </cell>
          <cell r="I373">
            <v>1</v>
          </cell>
          <cell r="J373">
            <v>43038.704868020832</v>
          </cell>
        </row>
        <row r="374">
          <cell r="A374" t="str">
            <v>1700392</v>
          </cell>
          <cell r="B374" t="str">
            <v>Nguyen Thi Thuy Ngan</v>
          </cell>
          <cell r="C374">
            <v>1700392</v>
          </cell>
          <cell r="D374">
            <v>1652280087</v>
          </cell>
          <cell r="E374" t="str">
            <v>NULL</v>
          </cell>
          <cell r="F374">
            <v>20171023</v>
          </cell>
          <cell r="G374" t="str">
            <v>NULL</v>
          </cell>
          <cell r="H374" t="str">
            <v>NULL</v>
          </cell>
          <cell r="I374">
            <v>1</v>
          </cell>
          <cell r="J374">
            <v>43038.704868090281</v>
          </cell>
        </row>
        <row r="375">
          <cell r="A375" t="str">
            <v>1700393</v>
          </cell>
          <cell r="B375" t="str">
            <v>Hoang Van Duc</v>
          </cell>
          <cell r="C375">
            <v>1700393</v>
          </cell>
          <cell r="D375">
            <v>977873213</v>
          </cell>
          <cell r="E375" t="str">
            <v>NULL</v>
          </cell>
          <cell r="F375">
            <v>20171023</v>
          </cell>
          <cell r="G375" t="str">
            <v>NULL</v>
          </cell>
          <cell r="H375" t="str">
            <v>NULL</v>
          </cell>
          <cell r="I375">
            <v>1</v>
          </cell>
          <cell r="J375">
            <v>43038.704868090281</v>
          </cell>
        </row>
        <row r="376">
          <cell r="A376" t="str">
            <v>1700394</v>
          </cell>
          <cell r="B376" t="str">
            <v>Do Ngoc Hai Yen</v>
          </cell>
          <cell r="C376">
            <v>1700394</v>
          </cell>
          <cell r="D376">
            <v>1637249579</v>
          </cell>
          <cell r="F376">
            <v>20171023</v>
          </cell>
          <cell r="I376">
            <v>1</v>
          </cell>
          <cell r="J376">
            <v>43038.704868090281</v>
          </cell>
        </row>
        <row r="377">
          <cell r="A377" t="str">
            <v>1700395</v>
          </cell>
          <cell r="B377" t="str">
            <v>Nguyen Dinh Thai Son</v>
          </cell>
          <cell r="C377">
            <v>1700395</v>
          </cell>
          <cell r="D377">
            <v>938699708</v>
          </cell>
          <cell r="E377" t="str">
            <v>NULL</v>
          </cell>
          <cell r="F377">
            <v>20171025</v>
          </cell>
          <cell r="G377" t="str">
            <v>NULL</v>
          </cell>
          <cell r="H377" t="str">
            <v>NULL</v>
          </cell>
          <cell r="I377">
            <v>1</v>
          </cell>
          <cell r="J377">
            <v>43038.704868090281</v>
          </cell>
        </row>
        <row r="378">
          <cell r="A378" t="str">
            <v>1700399</v>
          </cell>
          <cell r="B378" t="str">
            <v>Chung Tan Phat</v>
          </cell>
          <cell r="C378">
            <v>1700399</v>
          </cell>
          <cell r="D378">
            <v>1229691856</v>
          </cell>
          <cell r="E378" t="str">
            <v>NULL</v>
          </cell>
          <cell r="F378">
            <v>20171027</v>
          </cell>
          <cell r="G378" t="str">
            <v>NULL</v>
          </cell>
          <cell r="H378" t="str">
            <v>NULL</v>
          </cell>
          <cell r="I378">
            <v>1</v>
          </cell>
          <cell r="J378">
            <v>43038.747215428244</v>
          </cell>
        </row>
        <row r="379">
          <cell r="A379" t="str">
            <v>1700403</v>
          </cell>
          <cell r="B379" t="str">
            <v>Nguyen Nu Huyen Tran</v>
          </cell>
          <cell r="C379">
            <v>1700403</v>
          </cell>
          <cell r="D379">
            <v>1672966899</v>
          </cell>
          <cell r="E379" t="str">
            <v>NULL</v>
          </cell>
          <cell r="F379">
            <v>20171107</v>
          </cell>
          <cell r="G379" t="str">
            <v>NULL</v>
          </cell>
          <cell r="H379" t="str">
            <v>NULL</v>
          </cell>
          <cell r="I379">
            <v>1</v>
          </cell>
          <cell r="J379">
            <v>43049.561790706015</v>
          </cell>
        </row>
        <row r="380">
          <cell r="A380" t="str">
            <v>1700404</v>
          </cell>
          <cell r="B380" t="str">
            <v>Nguyen Thi Hoai</v>
          </cell>
          <cell r="C380">
            <v>1700404</v>
          </cell>
          <cell r="D380">
            <v>962948196</v>
          </cell>
          <cell r="F380">
            <v>20171108</v>
          </cell>
          <cell r="I380">
            <v>1</v>
          </cell>
          <cell r="J380">
            <v>43049.604163159725</v>
          </cell>
        </row>
        <row r="381">
          <cell r="A381" t="str">
            <v>1700405</v>
          </cell>
          <cell r="B381" t="str">
            <v>Huynh Thanh Duc</v>
          </cell>
          <cell r="C381">
            <v>1700405</v>
          </cell>
          <cell r="D381">
            <v>945602072</v>
          </cell>
          <cell r="E381" t="str">
            <v>NULL</v>
          </cell>
          <cell r="F381">
            <v>20171108</v>
          </cell>
          <cell r="G381" t="str">
            <v>NULL</v>
          </cell>
          <cell r="H381" t="str">
            <v>NULL</v>
          </cell>
          <cell r="I381">
            <v>1</v>
          </cell>
          <cell r="J381">
            <v>43049.604163159725</v>
          </cell>
        </row>
        <row r="382">
          <cell r="A382" t="str">
            <v>1700406</v>
          </cell>
          <cell r="B382" t="str">
            <v>Le Thi Bich Vy</v>
          </cell>
          <cell r="C382">
            <v>1700406</v>
          </cell>
          <cell r="D382">
            <v>1694522722</v>
          </cell>
          <cell r="E382" t="str">
            <v>NULL</v>
          </cell>
          <cell r="F382">
            <v>20171109</v>
          </cell>
          <cell r="G382" t="str">
            <v>NULL</v>
          </cell>
          <cell r="H382" t="str">
            <v>NULL</v>
          </cell>
          <cell r="I382">
            <v>1</v>
          </cell>
          <cell r="J382">
            <v>43049.604163194446</v>
          </cell>
        </row>
        <row r="383">
          <cell r="A383" t="str">
            <v>1700408</v>
          </cell>
          <cell r="B383" t="str">
            <v>Nguyen Duc Dinh</v>
          </cell>
          <cell r="C383">
            <v>1700408</v>
          </cell>
          <cell r="D383">
            <v>1677655909</v>
          </cell>
          <cell r="E383" t="str">
            <v>NULL</v>
          </cell>
          <cell r="F383">
            <v>20171113</v>
          </cell>
          <cell r="G383" t="str">
            <v>NULL</v>
          </cell>
          <cell r="H383" t="str">
            <v>NULL</v>
          </cell>
          <cell r="I383">
            <v>1</v>
          </cell>
          <cell r="J383">
            <v>43054.731937349534</v>
          </cell>
        </row>
        <row r="384">
          <cell r="A384" t="str">
            <v>1700409</v>
          </cell>
          <cell r="B384" t="str">
            <v>Nguyen Van Phuong</v>
          </cell>
          <cell r="C384">
            <v>1700409</v>
          </cell>
          <cell r="D384">
            <v>1658209543</v>
          </cell>
          <cell r="E384" t="str">
            <v>NULL</v>
          </cell>
          <cell r="F384">
            <v>20171113</v>
          </cell>
          <cell r="G384" t="str">
            <v>NULL</v>
          </cell>
          <cell r="H384" t="str">
            <v>NULL</v>
          </cell>
          <cell r="I384">
            <v>1</v>
          </cell>
          <cell r="J384">
            <v>43054.731937349534</v>
          </cell>
        </row>
        <row r="385">
          <cell r="A385" t="str">
            <v>1700411</v>
          </cell>
          <cell r="B385" t="str">
            <v>NGUYỄN THỊ THANH THÚY</v>
          </cell>
          <cell r="C385">
            <v>1700411</v>
          </cell>
          <cell r="D385">
            <v>1285588663</v>
          </cell>
          <cell r="F385">
            <v>20171120</v>
          </cell>
          <cell r="I385">
            <v>1</v>
          </cell>
          <cell r="J385">
            <v>43068.477087384257</v>
          </cell>
        </row>
        <row r="386">
          <cell r="A386" t="str">
            <v>1700412</v>
          </cell>
          <cell r="B386" t="str">
            <v>Nguyen Thi Tuyet Nga</v>
          </cell>
          <cell r="C386">
            <v>1700412</v>
          </cell>
          <cell r="D386">
            <v>972852810</v>
          </cell>
          <cell r="E386" t="str">
            <v>NULL</v>
          </cell>
          <cell r="F386">
            <v>20171120</v>
          </cell>
          <cell r="G386" t="str">
            <v>NULL</v>
          </cell>
          <cell r="H386" t="str">
            <v>NULL</v>
          </cell>
          <cell r="I386">
            <v>1</v>
          </cell>
          <cell r="J386">
            <v>43068.47708769676</v>
          </cell>
        </row>
        <row r="387">
          <cell r="A387" t="str">
            <v>1700413</v>
          </cell>
          <cell r="B387" t="str">
            <v>Truong Thi Thanh Truc</v>
          </cell>
          <cell r="C387">
            <v>1700413</v>
          </cell>
          <cell r="D387">
            <v>1639839182</v>
          </cell>
          <cell r="E387" t="str">
            <v>NULL</v>
          </cell>
          <cell r="F387">
            <v>20171120</v>
          </cell>
          <cell r="G387" t="str">
            <v>NULL</v>
          </cell>
          <cell r="H387" t="str">
            <v>NULL</v>
          </cell>
          <cell r="I387">
            <v>1</v>
          </cell>
          <cell r="J387">
            <v>43068.47708769676</v>
          </cell>
        </row>
        <row r="388">
          <cell r="A388" t="str">
            <v>1700415</v>
          </cell>
          <cell r="B388" t="str">
            <v>Nguyen Hue Mai Trinh</v>
          </cell>
          <cell r="C388">
            <v>1700415</v>
          </cell>
          <cell r="D388">
            <v>982123542</v>
          </cell>
          <cell r="E388" t="str">
            <v>NULL</v>
          </cell>
          <cell r="F388">
            <v>20171120</v>
          </cell>
          <cell r="G388" t="str">
            <v>NULL</v>
          </cell>
          <cell r="H388" t="str">
            <v>NULL</v>
          </cell>
          <cell r="I388">
            <v>1</v>
          </cell>
          <cell r="J388">
            <v>43068.47708769676</v>
          </cell>
        </row>
        <row r="389">
          <cell r="A389" t="str">
            <v>1700416</v>
          </cell>
          <cell r="B389" t="str">
            <v>Nguyen Thi Hong Ngoc Diep</v>
          </cell>
          <cell r="C389">
            <v>1700416</v>
          </cell>
          <cell r="D389">
            <v>902678583</v>
          </cell>
          <cell r="E389" t="str">
            <v>NULL</v>
          </cell>
          <cell r="F389">
            <v>20171120</v>
          </cell>
          <cell r="G389" t="str">
            <v>NULL</v>
          </cell>
          <cell r="H389" t="str">
            <v>NULL</v>
          </cell>
          <cell r="I389">
            <v>1</v>
          </cell>
          <cell r="J389">
            <v>43068.47708773148</v>
          </cell>
        </row>
        <row r="390">
          <cell r="A390" t="str">
            <v>1700418</v>
          </cell>
          <cell r="B390" t="str">
            <v>La Vu Anh Khoa</v>
          </cell>
          <cell r="C390">
            <v>1700418</v>
          </cell>
          <cell r="D390">
            <v>934016735</v>
          </cell>
          <cell r="E390" t="str">
            <v>NULL</v>
          </cell>
          <cell r="F390">
            <v>20171120</v>
          </cell>
          <cell r="G390" t="str">
            <v>NULL</v>
          </cell>
          <cell r="H390" t="str">
            <v>NULL</v>
          </cell>
          <cell r="I390">
            <v>1</v>
          </cell>
          <cell r="J390">
            <v>43068.519443483798</v>
          </cell>
        </row>
        <row r="391">
          <cell r="A391" t="str">
            <v>1700419</v>
          </cell>
          <cell r="B391" t="str">
            <v>Le Thi Kim Vi</v>
          </cell>
          <cell r="C391">
            <v>1700419</v>
          </cell>
          <cell r="D391">
            <v>908864397</v>
          </cell>
          <cell r="F391">
            <v>20171121</v>
          </cell>
          <cell r="I391">
            <v>1</v>
          </cell>
          <cell r="J391">
            <v>43068.519443483798</v>
          </cell>
        </row>
        <row r="392">
          <cell r="A392" t="str">
            <v>1700421</v>
          </cell>
          <cell r="B392" t="str">
            <v>Nguyen Duc Huynh</v>
          </cell>
          <cell r="C392">
            <v>1700421</v>
          </cell>
          <cell r="D392">
            <v>969521133</v>
          </cell>
          <cell r="E392" t="str">
            <v>NULL</v>
          </cell>
          <cell r="F392">
            <v>20171121</v>
          </cell>
          <cell r="G392" t="str">
            <v>NULL</v>
          </cell>
          <cell r="H392" t="str">
            <v>NULL</v>
          </cell>
          <cell r="I392">
            <v>1</v>
          </cell>
          <cell r="J392">
            <v>43068.604157291666</v>
          </cell>
        </row>
        <row r="393">
          <cell r="A393" t="str">
            <v>1700422</v>
          </cell>
          <cell r="B393" t="str">
            <v>Nguyen Thi Ngoc Tien</v>
          </cell>
          <cell r="C393">
            <v>1700422</v>
          </cell>
          <cell r="D393">
            <v>944281062</v>
          </cell>
          <cell r="E393" t="str">
            <v>NULL</v>
          </cell>
          <cell r="F393">
            <v>20171124</v>
          </cell>
          <cell r="G393" t="str">
            <v>NULL</v>
          </cell>
          <cell r="H393" t="str">
            <v>NULL</v>
          </cell>
          <cell r="I393">
            <v>1</v>
          </cell>
          <cell r="J393">
            <v>43069.45139047454</v>
          </cell>
        </row>
        <row r="394">
          <cell r="A394" t="str">
            <v>1700424</v>
          </cell>
          <cell r="B394" t="str">
            <v>Phung Minh Hoa</v>
          </cell>
          <cell r="C394">
            <v>1700424</v>
          </cell>
          <cell r="D394">
            <v>969495950</v>
          </cell>
          <cell r="E394" t="str">
            <v>NULL</v>
          </cell>
          <cell r="F394">
            <v>20171128</v>
          </cell>
          <cell r="G394" t="str">
            <v>NULL</v>
          </cell>
          <cell r="H394" t="str">
            <v>NULL</v>
          </cell>
          <cell r="I394">
            <v>1</v>
          </cell>
          <cell r="J394">
            <v>43069.451390509261</v>
          </cell>
        </row>
        <row r="395">
          <cell r="A395" t="str">
            <v>1700425</v>
          </cell>
          <cell r="B395" t="str">
            <v>Cao Minh Phuoc</v>
          </cell>
          <cell r="C395">
            <v>1700425</v>
          </cell>
          <cell r="D395">
            <v>938094727</v>
          </cell>
          <cell r="E395" t="str">
            <v>NULL</v>
          </cell>
          <cell r="F395">
            <v>20171201</v>
          </cell>
          <cell r="G395" t="str">
            <v>NULL</v>
          </cell>
          <cell r="H395" t="str">
            <v>NULL</v>
          </cell>
          <cell r="I395">
            <v>1</v>
          </cell>
          <cell r="J395">
            <v>43075.513894363423</v>
          </cell>
        </row>
        <row r="396">
          <cell r="A396" t="str">
            <v>1700426</v>
          </cell>
          <cell r="B396" t="str">
            <v>Nguyen Van Minh</v>
          </cell>
          <cell r="C396">
            <v>1700426</v>
          </cell>
          <cell r="D396">
            <v>1208782138</v>
          </cell>
          <cell r="E396" t="str">
            <v>NULL</v>
          </cell>
          <cell r="F396">
            <v>20171201</v>
          </cell>
          <cell r="G396" t="str">
            <v>NULL</v>
          </cell>
          <cell r="H396" t="str">
            <v>NULL</v>
          </cell>
          <cell r="I396">
            <v>1</v>
          </cell>
          <cell r="J396">
            <v>43075.513894444448</v>
          </cell>
        </row>
        <row r="397">
          <cell r="A397" t="str">
            <v>1700427</v>
          </cell>
          <cell r="B397" t="str">
            <v>Do Ngoc Tram</v>
          </cell>
          <cell r="C397">
            <v>1700427</v>
          </cell>
          <cell r="D397">
            <v>932702500</v>
          </cell>
          <cell r="E397" t="str">
            <v>NULL</v>
          </cell>
          <cell r="F397">
            <v>20171201</v>
          </cell>
          <cell r="G397" t="str">
            <v>NULL</v>
          </cell>
          <cell r="H397" t="str">
            <v>NULL</v>
          </cell>
          <cell r="I397">
            <v>1</v>
          </cell>
          <cell r="J397">
            <v>43075.513894444448</v>
          </cell>
        </row>
        <row r="398">
          <cell r="A398" t="str">
            <v>1700428</v>
          </cell>
          <cell r="B398" t="str">
            <v>Nguyen Thi Bao Phuong</v>
          </cell>
          <cell r="C398">
            <v>1700428</v>
          </cell>
          <cell r="D398">
            <v>906940927</v>
          </cell>
          <cell r="E398" t="str">
            <v>NULL</v>
          </cell>
          <cell r="F398">
            <v>20171201</v>
          </cell>
          <cell r="G398" t="str">
            <v>NULL</v>
          </cell>
          <cell r="H398" t="str">
            <v>NULL</v>
          </cell>
          <cell r="I398">
            <v>1</v>
          </cell>
          <cell r="J398">
            <v>43075.556239618054</v>
          </cell>
        </row>
        <row r="399">
          <cell r="A399" t="str">
            <v>1700429</v>
          </cell>
          <cell r="B399" t="str">
            <v>Phan Khanh Tuong</v>
          </cell>
          <cell r="C399">
            <v>1700429</v>
          </cell>
          <cell r="D399">
            <v>1649209467</v>
          </cell>
          <cell r="E399" t="str">
            <v>NULL</v>
          </cell>
          <cell r="F399">
            <v>20171204</v>
          </cell>
          <cell r="G399" t="str">
            <v>NULL</v>
          </cell>
          <cell r="H399" t="str">
            <v>NULL</v>
          </cell>
          <cell r="I399">
            <v>1</v>
          </cell>
          <cell r="J399">
            <v>43075.556239699072</v>
          </cell>
        </row>
        <row r="400">
          <cell r="A400" t="str">
            <v>1700430</v>
          </cell>
          <cell r="B400" t="str">
            <v>Quach Thi Kieu Trinh</v>
          </cell>
          <cell r="C400">
            <v>1700430</v>
          </cell>
          <cell r="D400">
            <v>964078503</v>
          </cell>
          <cell r="E400" t="str">
            <v>NULL</v>
          </cell>
          <cell r="F400">
            <v>20171204</v>
          </cell>
          <cell r="G400" t="str">
            <v>NULL</v>
          </cell>
          <cell r="H400" t="str">
            <v>NULL</v>
          </cell>
          <cell r="I400">
            <v>1</v>
          </cell>
          <cell r="J400">
            <v>43075.556239699072</v>
          </cell>
        </row>
        <row r="401">
          <cell r="A401" t="str">
            <v>1700431</v>
          </cell>
          <cell r="B401" t="str">
            <v>Du Hue Linh</v>
          </cell>
          <cell r="C401">
            <v>1700431</v>
          </cell>
          <cell r="D401">
            <v>949830794</v>
          </cell>
          <cell r="F401">
            <v>20171213</v>
          </cell>
          <cell r="I401">
            <v>1</v>
          </cell>
          <cell r="J401">
            <v>43082.726379594904</v>
          </cell>
        </row>
        <row r="402">
          <cell r="A402" t="str">
            <v>1700432</v>
          </cell>
          <cell r="B402" t="str">
            <v>Huynh Thi Kim Ngan</v>
          </cell>
          <cell r="C402">
            <v>1700432</v>
          </cell>
          <cell r="D402">
            <v>1223755306</v>
          </cell>
          <cell r="F402">
            <v>20171211</v>
          </cell>
          <cell r="I402">
            <v>1</v>
          </cell>
          <cell r="J402">
            <v>43082.726380706015</v>
          </cell>
        </row>
        <row r="403">
          <cell r="A403" t="str">
            <v>1700433</v>
          </cell>
          <cell r="B403" t="str">
            <v>Phan Hoang Mai Han</v>
          </cell>
          <cell r="C403">
            <v>1700433</v>
          </cell>
          <cell r="D403">
            <v>938087129</v>
          </cell>
          <cell r="E403" t="str">
            <v>NULL</v>
          </cell>
          <cell r="F403">
            <v>20171214</v>
          </cell>
          <cell r="G403" t="str">
            <v>NULL</v>
          </cell>
          <cell r="H403" t="str">
            <v>NULL</v>
          </cell>
          <cell r="I403">
            <v>1</v>
          </cell>
          <cell r="J403">
            <v>43088.471521215281</v>
          </cell>
        </row>
        <row r="404">
          <cell r="A404" t="str">
            <v>1700434</v>
          </cell>
          <cell r="B404" t="str">
            <v>Nguyen Gia Cong</v>
          </cell>
          <cell r="C404">
            <v>1700434</v>
          </cell>
          <cell r="D404">
            <v>972963930</v>
          </cell>
          <cell r="E404" t="str">
            <v>NULL</v>
          </cell>
          <cell r="F404">
            <v>20171220</v>
          </cell>
          <cell r="G404" t="str">
            <v>NULL</v>
          </cell>
          <cell r="H404" t="str">
            <v>NULL</v>
          </cell>
          <cell r="I404">
            <v>1</v>
          </cell>
          <cell r="J404">
            <v>43093.58486894676</v>
          </cell>
        </row>
        <row r="405">
          <cell r="A405" t="str">
            <v>1700435</v>
          </cell>
          <cell r="B405" t="str">
            <v>Le Thi Tuyet Vy</v>
          </cell>
          <cell r="C405">
            <v>1700435</v>
          </cell>
          <cell r="D405">
            <v>985044479</v>
          </cell>
          <cell r="E405" t="str">
            <v>NULL</v>
          </cell>
          <cell r="F405">
            <v>20171220</v>
          </cell>
          <cell r="G405" t="str">
            <v>NULL</v>
          </cell>
          <cell r="H405" t="str">
            <v>NULL</v>
          </cell>
          <cell r="I405">
            <v>1</v>
          </cell>
          <cell r="J405">
            <v>43094.736932951389</v>
          </cell>
        </row>
        <row r="406">
          <cell r="A406" t="str">
            <v>1700436</v>
          </cell>
          <cell r="B406" t="str">
            <v>Tran Thi Xuan Loan</v>
          </cell>
          <cell r="C406">
            <v>1700436</v>
          </cell>
          <cell r="D406">
            <v>937452477</v>
          </cell>
          <cell r="E406" t="str">
            <v>NULL</v>
          </cell>
          <cell r="F406">
            <v>20171220</v>
          </cell>
          <cell r="G406" t="str">
            <v>NULL</v>
          </cell>
          <cell r="H406" t="str">
            <v>NULL</v>
          </cell>
          <cell r="I406">
            <v>1</v>
          </cell>
          <cell r="J406">
            <v>43093.585769328703</v>
          </cell>
        </row>
        <row r="407">
          <cell r="A407" t="str">
            <v>1700437</v>
          </cell>
          <cell r="B407" t="str">
            <v>Le Thi Le Huyen</v>
          </cell>
          <cell r="C407">
            <v>1700437</v>
          </cell>
          <cell r="D407">
            <v>938481547</v>
          </cell>
          <cell r="E407" t="str">
            <v>NULL</v>
          </cell>
          <cell r="F407">
            <v>20171220</v>
          </cell>
          <cell r="G407" t="str">
            <v>NULL</v>
          </cell>
          <cell r="H407" t="str">
            <v>NULL</v>
          </cell>
          <cell r="I407">
            <v>1</v>
          </cell>
          <cell r="J407">
            <v>43103.511795983795</v>
          </cell>
        </row>
        <row r="408">
          <cell r="A408" t="str">
            <v>1700438</v>
          </cell>
          <cell r="B408" t="str">
            <v>Dinh Thanh My Lam</v>
          </cell>
          <cell r="C408">
            <v>1700438</v>
          </cell>
          <cell r="D408">
            <v>1214978057</v>
          </cell>
          <cell r="E408" t="str">
            <v>NULL</v>
          </cell>
          <cell r="F408">
            <v>20171220</v>
          </cell>
          <cell r="G408" t="str">
            <v>NULL</v>
          </cell>
          <cell r="H408" t="str">
            <v>NULL</v>
          </cell>
          <cell r="I408">
            <v>1</v>
          </cell>
          <cell r="J408">
            <v>43103.511796064813</v>
          </cell>
        </row>
        <row r="409">
          <cell r="A409" t="str">
            <v>1700439</v>
          </cell>
          <cell r="B409" t="str">
            <v>Le Ho My Phung</v>
          </cell>
          <cell r="C409">
            <v>1700439</v>
          </cell>
          <cell r="D409">
            <v>1673737492</v>
          </cell>
          <cell r="E409" t="str">
            <v>NULL</v>
          </cell>
          <cell r="F409">
            <v>20171220</v>
          </cell>
          <cell r="G409" t="str">
            <v>NULL</v>
          </cell>
          <cell r="H409" t="str">
            <v>NULL</v>
          </cell>
          <cell r="I409">
            <v>1</v>
          </cell>
          <cell r="J409">
            <v>43094.738426655094</v>
          </cell>
        </row>
        <row r="410">
          <cell r="A410" t="str">
            <v>1700440</v>
          </cell>
          <cell r="B410" t="str">
            <v>Nguyen Thi Thuy Linh</v>
          </cell>
          <cell r="C410">
            <v>1700440</v>
          </cell>
          <cell r="D410">
            <v>1627339150</v>
          </cell>
          <cell r="E410" t="str">
            <v>NULL</v>
          </cell>
          <cell r="F410">
            <v>20171225</v>
          </cell>
          <cell r="G410" t="str">
            <v>NULL</v>
          </cell>
          <cell r="H410" t="str">
            <v>NULL</v>
          </cell>
          <cell r="I410">
            <v>1</v>
          </cell>
          <cell r="J410">
            <v>43103.511796064813</v>
          </cell>
        </row>
        <row r="411">
          <cell r="A411" t="str">
            <v>1700441</v>
          </cell>
          <cell r="B411" t="str">
            <v>Nguyen Thi Kim Thuy</v>
          </cell>
          <cell r="C411">
            <v>1700441</v>
          </cell>
          <cell r="D411">
            <v>1692958198</v>
          </cell>
          <cell r="E411" t="str">
            <v>NULL</v>
          </cell>
          <cell r="F411">
            <v>20171225</v>
          </cell>
          <cell r="G411" t="str">
            <v>NULL</v>
          </cell>
          <cell r="H411" t="str">
            <v>NULL</v>
          </cell>
          <cell r="I411">
            <v>1</v>
          </cell>
          <cell r="J411">
            <v>43103.511796099534</v>
          </cell>
        </row>
        <row r="412">
          <cell r="A412" t="str">
            <v>1700443</v>
          </cell>
          <cell r="B412" t="str">
            <v>Huynh Thi Dieu An</v>
          </cell>
          <cell r="C412">
            <v>1700443</v>
          </cell>
          <cell r="D412">
            <v>972863102</v>
          </cell>
          <cell r="E412" t="str">
            <v>NULL</v>
          </cell>
          <cell r="F412">
            <v>20171225</v>
          </cell>
          <cell r="G412" t="str">
            <v>NULL</v>
          </cell>
          <cell r="H412" t="str">
            <v>NULL</v>
          </cell>
          <cell r="I412">
            <v>1</v>
          </cell>
          <cell r="J412">
            <v>43103.596516550926</v>
          </cell>
        </row>
        <row r="413">
          <cell r="A413" t="str">
            <v>1700444</v>
          </cell>
          <cell r="B413" t="str">
            <v>Pham Ba Vinh</v>
          </cell>
          <cell r="C413">
            <v>1700444</v>
          </cell>
          <cell r="D413">
            <v>902400125</v>
          </cell>
          <cell r="E413" t="str">
            <v>NULL</v>
          </cell>
          <cell r="F413">
            <v>20171229</v>
          </cell>
          <cell r="G413" t="str">
            <v>NULL</v>
          </cell>
          <cell r="H413" t="str">
            <v>NULL</v>
          </cell>
          <cell r="I413">
            <v>1</v>
          </cell>
          <cell r="J413">
            <v>43103.681237731478</v>
          </cell>
        </row>
        <row r="414">
          <cell r="A414" t="str">
            <v>1700445</v>
          </cell>
          <cell r="B414" t="str">
            <v>Mai Bich Tuyen</v>
          </cell>
          <cell r="C414">
            <v>1700445</v>
          </cell>
          <cell r="D414">
            <v>1207469403</v>
          </cell>
          <cell r="E414" t="str">
            <v>NULL</v>
          </cell>
          <cell r="F414">
            <v>20171229</v>
          </cell>
          <cell r="G414" t="str">
            <v>NULL</v>
          </cell>
          <cell r="H414" t="str">
            <v>NULL</v>
          </cell>
          <cell r="I414">
            <v>1</v>
          </cell>
          <cell r="J414">
            <v>43103.681237731478</v>
          </cell>
        </row>
        <row r="415">
          <cell r="A415" t="str">
            <v>1800001</v>
          </cell>
          <cell r="B415" t="str">
            <v>Vo Duong Phong</v>
          </cell>
          <cell r="C415">
            <v>1800001</v>
          </cell>
          <cell r="D415">
            <v>1636583606</v>
          </cell>
          <cell r="E415" t="str">
            <v>NULL</v>
          </cell>
          <cell r="F415">
            <v>20180102</v>
          </cell>
          <cell r="G415" t="str">
            <v>NULL</v>
          </cell>
          <cell r="H415" t="str">
            <v>NULL</v>
          </cell>
          <cell r="I415">
            <v>1</v>
          </cell>
          <cell r="J415">
            <v>43105.713875000001</v>
          </cell>
        </row>
        <row r="416">
          <cell r="A416" t="str">
            <v>1800002</v>
          </cell>
          <cell r="B416" t="str">
            <v>Vu Thi Mai Phuong</v>
          </cell>
          <cell r="C416">
            <v>1800002</v>
          </cell>
          <cell r="D416">
            <v>966119358</v>
          </cell>
          <cell r="F416">
            <v>20180103</v>
          </cell>
          <cell r="I416">
            <v>1</v>
          </cell>
          <cell r="J416">
            <v>43105.713875000001</v>
          </cell>
        </row>
        <row r="417">
          <cell r="A417" t="str">
            <v>1800003</v>
          </cell>
          <cell r="B417" t="str">
            <v>Le Nguyen Bich Ngoc</v>
          </cell>
          <cell r="C417">
            <v>1800003</v>
          </cell>
          <cell r="D417">
            <v>938143507</v>
          </cell>
          <cell r="F417">
            <v>20180103</v>
          </cell>
          <cell r="I417">
            <v>1</v>
          </cell>
          <cell r="J417">
            <v>43105.713875000001</v>
          </cell>
        </row>
        <row r="418">
          <cell r="A418" t="str">
            <v>1800004</v>
          </cell>
          <cell r="B418" t="str">
            <v>Nguyen Thi Thanh Thuy</v>
          </cell>
          <cell r="C418">
            <v>1800004</v>
          </cell>
          <cell r="D418">
            <v>932924205</v>
          </cell>
          <cell r="E418" t="str">
            <v>NULL</v>
          </cell>
          <cell r="F418">
            <v>20180103</v>
          </cell>
          <cell r="G418" t="str">
            <v>NULL</v>
          </cell>
          <cell r="H418" t="str">
            <v>NULL</v>
          </cell>
          <cell r="I418">
            <v>1</v>
          </cell>
          <cell r="J418">
            <v>43105.713875000001</v>
          </cell>
        </row>
        <row r="419">
          <cell r="A419" t="str">
            <v>1800005</v>
          </cell>
          <cell r="B419" t="str">
            <v>Le Thi Thanh Thu</v>
          </cell>
          <cell r="C419">
            <v>1800005</v>
          </cell>
          <cell r="D419">
            <v>967021522</v>
          </cell>
          <cell r="E419" t="str">
            <v>NULL</v>
          </cell>
          <cell r="F419">
            <v>20180109</v>
          </cell>
          <cell r="G419" t="str">
            <v>NULL</v>
          </cell>
          <cell r="H419" t="str">
            <v>NULL</v>
          </cell>
          <cell r="I419">
            <v>1</v>
          </cell>
          <cell r="J419">
            <v>43115.511817557868</v>
          </cell>
        </row>
        <row r="420">
          <cell r="A420" t="str">
            <v>1800006</v>
          </cell>
          <cell r="B420" t="str">
            <v>Nguyen Thi Minh Chi</v>
          </cell>
          <cell r="C420">
            <v>1800006</v>
          </cell>
          <cell r="D420">
            <v>906414645</v>
          </cell>
          <cell r="E420" t="str">
            <v>NULL</v>
          </cell>
          <cell r="F420">
            <v>20180110</v>
          </cell>
          <cell r="G420" t="str">
            <v>NULL</v>
          </cell>
          <cell r="H420" t="str">
            <v>NULL</v>
          </cell>
          <cell r="I420">
            <v>1</v>
          </cell>
          <cell r="J420">
            <v>43113.412383877316</v>
          </cell>
        </row>
        <row r="421">
          <cell r="A421" t="str">
            <v>1800008</v>
          </cell>
          <cell r="B421" t="str">
            <v>Nguyen Kim Ngan</v>
          </cell>
          <cell r="C421">
            <v>1800008</v>
          </cell>
          <cell r="D421">
            <v>1666989335</v>
          </cell>
          <cell r="E421" t="str">
            <v>NULL</v>
          </cell>
          <cell r="F421">
            <v>20180111</v>
          </cell>
          <cell r="G421" t="str">
            <v>NULL</v>
          </cell>
          <cell r="H421" t="str">
            <v>NULL</v>
          </cell>
          <cell r="I421">
            <v>1</v>
          </cell>
          <cell r="J421">
            <v>43113.402114039352</v>
          </cell>
        </row>
        <row r="422">
          <cell r="A422" t="str">
            <v>1800009</v>
          </cell>
          <cell r="B422" t="str">
            <v>Tran Ngoc Phuong Thao</v>
          </cell>
          <cell r="C422">
            <v>1800009</v>
          </cell>
          <cell r="D422">
            <v>1655953650</v>
          </cell>
          <cell r="F422">
            <v>20180115</v>
          </cell>
          <cell r="I422">
            <v>1</v>
          </cell>
          <cell r="J422">
            <v>43118.518747685186</v>
          </cell>
        </row>
        <row r="423">
          <cell r="A423" t="str">
            <v>1800010</v>
          </cell>
          <cell r="B423" t="str">
            <v>Nguyen Thi Bich Hang</v>
          </cell>
          <cell r="C423">
            <v>1800010</v>
          </cell>
          <cell r="D423">
            <v>1648895180</v>
          </cell>
          <cell r="E423" t="str">
            <v>NULL</v>
          </cell>
          <cell r="F423">
            <v>20180115</v>
          </cell>
          <cell r="G423" t="str">
            <v>NULL</v>
          </cell>
          <cell r="H423" t="str">
            <v>NULL</v>
          </cell>
          <cell r="I423">
            <v>1</v>
          </cell>
          <cell r="J423">
            <v>43118.518748229166</v>
          </cell>
        </row>
        <row r="424">
          <cell r="A424" t="str">
            <v>1800011</v>
          </cell>
          <cell r="B424" t="str">
            <v>Truong Thi Bich Duyen</v>
          </cell>
          <cell r="C424">
            <v>1800011</v>
          </cell>
          <cell r="D424">
            <v>904346570</v>
          </cell>
          <cell r="E424" t="str">
            <v>NULL</v>
          </cell>
          <cell r="F424">
            <v>20180115</v>
          </cell>
          <cell r="G424" t="str">
            <v>NULL</v>
          </cell>
          <cell r="H424" t="str">
            <v>NULL</v>
          </cell>
          <cell r="I424">
            <v>1</v>
          </cell>
          <cell r="J424">
            <v>43118.518748263887</v>
          </cell>
        </row>
        <row r="425">
          <cell r="A425" t="str">
            <v>1800012</v>
          </cell>
          <cell r="B425" t="str">
            <v>Nguyen Ngo Dang Khoa</v>
          </cell>
          <cell r="C425">
            <v>1800012</v>
          </cell>
          <cell r="D425">
            <v>1222100070</v>
          </cell>
          <cell r="E425" t="str">
            <v>NULL</v>
          </cell>
          <cell r="F425">
            <v>20180115</v>
          </cell>
          <cell r="G425" t="str">
            <v>NULL</v>
          </cell>
          <cell r="H425" t="str">
            <v>NULL</v>
          </cell>
          <cell r="I425">
            <v>1</v>
          </cell>
          <cell r="J425">
            <v>43119.662497997684</v>
          </cell>
        </row>
        <row r="426">
          <cell r="A426" t="str">
            <v>1800013</v>
          </cell>
          <cell r="B426" t="str">
            <v>Nguyen Thao Trang</v>
          </cell>
          <cell r="C426">
            <v>1800013</v>
          </cell>
          <cell r="D426">
            <v>1289529669</v>
          </cell>
          <cell r="E426" t="str">
            <v>NULL</v>
          </cell>
          <cell r="F426">
            <v>20180118</v>
          </cell>
          <cell r="G426" t="str">
            <v>NULL</v>
          </cell>
          <cell r="H426" t="str">
            <v>NULL</v>
          </cell>
          <cell r="I426">
            <v>1</v>
          </cell>
          <cell r="J426">
            <v>43122.616395023149</v>
          </cell>
        </row>
        <row r="427">
          <cell r="A427" t="str">
            <v>1800014</v>
          </cell>
          <cell r="B427" t="str">
            <v>Hoang Quoc Minh</v>
          </cell>
          <cell r="C427">
            <v>1800014</v>
          </cell>
          <cell r="D427">
            <v>1247681479</v>
          </cell>
          <cell r="E427" t="str">
            <v>NULL</v>
          </cell>
          <cell r="F427">
            <v>20180118</v>
          </cell>
          <cell r="G427" t="str">
            <v>NULL</v>
          </cell>
          <cell r="H427" t="str">
            <v>NULL</v>
          </cell>
          <cell r="I427">
            <v>1</v>
          </cell>
          <cell r="J427">
            <v>43130.562493518519</v>
          </cell>
        </row>
        <row r="428">
          <cell r="A428" t="str">
            <v>1800015</v>
          </cell>
          <cell r="B428" t="str">
            <v>Nguyen Van Khanh Em</v>
          </cell>
          <cell r="C428">
            <v>1800015</v>
          </cell>
          <cell r="D428">
            <v>934035804</v>
          </cell>
          <cell r="E428" t="str">
            <v>NULL</v>
          </cell>
          <cell r="F428">
            <v>20180123</v>
          </cell>
          <cell r="G428" t="str">
            <v>NULL</v>
          </cell>
          <cell r="H428" t="str">
            <v>NULL</v>
          </cell>
          <cell r="I428">
            <v>1</v>
          </cell>
          <cell r="J428">
            <v>43130.604862465276</v>
          </cell>
        </row>
        <row r="429">
          <cell r="A429" t="str">
            <v>1800016</v>
          </cell>
          <cell r="B429" t="str">
            <v>Huynh Le Thuy Minh</v>
          </cell>
          <cell r="C429">
            <v>1800016</v>
          </cell>
          <cell r="D429">
            <v>936741571</v>
          </cell>
          <cell r="F429">
            <v>20180123</v>
          </cell>
          <cell r="I429">
            <v>1</v>
          </cell>
          <cell r="J429">
            <v>43130.604862465276</v>
          </cell>
        </row>
        <row r="430">
          <cell r="A430" t="str">
            <v>1800017</v>
          </cell>
          <cell r="B430" t="str">
            <v>Phan Nguyen Truc Nhu</v>
          </cell>
          <cell r="C430">
            <v>1800017</v>
          </cell>
          <cell r="D430">
            <v>988474657</v>
          </cell>
          <cell r="E430" t="str">
            <v>NULL</v>
          </cell>
          <cell r="F430">
            <v>20180124</v>
          </cell>
          <cell r="G430" t="str">
            <v>NULL</v>
          </cell>
          <cell r="H430" t="str">
            <v>NULL</v>
          </cell>
          <cell r="I430">
            <v>1</v>
          </cell>
          <cell r="J430">
            <v>43130.604862465276</v>
          </cell>
        </row>
        <row r="431">
          <cell r="A431" t="str">
            <v>1800018</v>
          </cell>
          <cell r="B431" t="str">
            <v>Pham Thi Bich Tram</v>
          </cell>
          <cell r="C431">
            <v>1800018</v>
          </cell>
          <cell r="D431">
            <v>1672318636</v>
          </cell>
          <cell r="F431">
            <v>20180126</v>
          </cell>
          <cell r="I431">
            <v>1</v>
          </cell>
          <cell r="J431">
            <v>43130.604862465276</v>
          </cell>
        </row>
        <row r="432">
          <cell r="A432" t="str">
            <v>1800019</v>
          </cell>
          <cell r="B432" t="str">
            <v>Nguyen Thanh Phuong</v>
          </cell>
          <cell r="C432">
            <v>1800019</v>
          </cell>
          <cell r="D432">
            <v>1668450446</v>
          </cell>
          <cell r="E432" t="str">
            <v>NULL</v>
          </cell>
          <cell r="F432">
            <v>20180125</v>
          </cell>
          <cell r="G432" t="str">
            <v>NULL</v>
          </cell>
          <cell r="H432" t="str">
            <v>NULL</v>
          </cell>
          <cell r="I432">
            <v>1</v>
          </cell>
          <cell r="J432">
            <v>43130.604862465276</v>
          </cell>
        </row>
        <row r="433">
          <cell r="A433" t="str">
            <v>1800020</v>
          </cell>
          <cell r="B433" t="str">
            <v>Chung The Loc</v>
          </cell>
          <cell r="C433">
            <v>1800020</v>
          </cell>
          <cell r="D433">
            <v>919674703</v>
          </cell>
          <cell r="E433" t="str">
            <v>NULL</v>
          </cell>
          <cell r="F433">
            <v>20180126</v>
          </cell>
          <cell r="G433" t="str">
            <v>NULL</v>
          </cell>
          <cell r="H433" t="str">
            <v>NULL</v>
          </cell>
          <cell r="I433">
            <v>1</v>
          </cell>
          <cell r="J433">
            <v>43136.660425462964</v>
          </cell>
        </row>
        <row r="434">
          <cell r="A434" t="str">
            <v>1800021</v>
          </cell>
          <cell r="B434" t="str">
            <v>Chau Thi Kim Hien</v>
          </cell>
          <cell r="C434">
            <v>1800021</v>
          </cell>
          <cell r="D434">
            <v>918545026</v>
          </cell>
          <cell r="E434" t="str">
            <v>NULL</v>
          </cell>
          <cell r="F434">
            <v>20180129</v>
          </cell>
          <cell r="G434" t="str">
            <v>NULL</v>
          </cell>
          <cell r="H434" t="str">
            <v>NULL</v>
          </cell>
          <cell r="I434">
            <v>1</v>
          </cell>
          <cell r="J434">
            <v>43134.666093784719</v>
          </cell>
        </row>
        <row r="435">
          <cell r="A435" t="str">
            <v>1800022</v>
          </cell>
          <cell r="B435" t="str">
            <v>Le Thi Tuyet Mai</v>
          </cell>
          <cell r="C435">
            <v>1800022</v>
          </cell>
          <cell r="D435">
            <v>1656809405</v>
          </cell>
          <cell r="E435" t="str">
            <v>NULL</v>
          </cell>
          <cell r="F435">
            <v>20180129</v>
          </cell>
          <cell r="G435" t="str">
            <v>NULL</v>
          </cell>
          <cell r="H435" t="str">
            <v>NULL</v>
          </cell>
          <cell r="I435">
            <v>1</v>
          </cell>
          <cell r="J435">
            <v>43136.660427430557</v>
          </cell>
        </row>
        <row r="436">
          <cell r="A436" t="str">
            <v>1800023</v>
          </cell>
          <cell r="B436" t="str">
            <v>Dang Thi Nhu My</v>
          </cell>
          <cell r="C436">
            <v>1800023</v>
          </cell>
          <cell r="D436">
            <v>977670559</v>
          </cell>
          <cell r="E436" t="str">
            <v>NULL</v>
          </cell>
          <cell r="F436">
            <v>20180126</v>
          </cell>
          <cell r="G436" t="str">
            <v>NULL</v>
          </cell>
          <cell r="H436" t="str">
            <v>NULL</v>
          </cell>
          <cell r="I436">
            <v>1</v>
          </cell>
          <cell r="J436">
            <v>43131.854867743059</v>
          </cell>
        </row>
        <row r="437">
          <cell r="A437" t="str">
            <v>1800025</v>
          </cell>
          <cell r="B437" t="str">
            <v>Lam Thi Thanh Ngan</v>
          </cell>
          <cell r="C437">
            <v>1800025</v>
          </cell>
          <cell r="D437">
            <v>933103963</v>
          </cell>
          <cell r="E437" t="str">
            <v>NULL</v>
          </cell>
          <cell r="F437">
            <v>20180201</v>
          </cell>
          <cell r="G437" t="str">
            <v>NULL</v>
          </cell>
          <cell r="H437" t="str">
            <v>NULL</v>
          </cell>
          <cell r="I437">
            <v>1</v>
          </cell>
          <cell r="J437">
            <v>43144.479874652781</v>
          </cell>
        </row>
        <row r="438">
          <cell r="A438" t="str">
            <v>1800028</v>
          </cell>
          <cell r="B438" t="str">
            <v>Hoang Thi Thom</v>
          </cell>
          <cell r="C438">
            <v>1800028</v>
          </cell>
          <cell r="D438">
            <v>902652018</v>
          </cell>
          <cell r="E438" t="str">
            <v>NULL</v>
          </cell>
          <cell r="F438">
            <v>20180202</v>
          </cell>
          <cell r="G438" t="str">
            <v>NULL</v>
          </cell>
          <cell r="H438" t="str">
            <v>NULL</v>
          </cell>
          <cell r="I438">
            <v>1</v>
          </cell>
          <cell r="J438">
            <v>43144.47987653935</v>
          </cell>
        </row>
        <row r="439">
          <cell r="A439" t="str">
            <v>1800029</v>
          </cell>
          <cell r="B439" t="str">
            <v>Phan Huu Duc</v>
          </cell>
          <cell r="C439">
            <v>1800029</v>
          </cell>
          <cell r="D439">
            <v>981669284</v>
          </cell>
          <cell r="E439" t="str">
            <v>NULL</v>
          </cell>
          <cell r="F439">
            <v>20180205</v>
          </cell>
          <cell r="G439" t="str">
            <v>NULL</v>
          </cell>
          <cell r="H439" t="str">
            <v>NULL</v>
          </cell>
          <cell r="I439">
            <v>1</v>
          </cell>
          <cell r="J439">
            <v>43144.47987653935</v>
          </cell>
        </row>
        <row r="440">
          <cell r="A440" t="str">
            <v>1800030</v>
          </cell>
          <cell r="B440" t="str">
            <v>Nguyen Trong Duc</v>
          </cell>
          <cell r="C440">
            <v>1800030</v>
          </cell>
          <cell r="D440">
            <v>1225953378</v>
          </cell>
          <cell r="E440" t="str">
            <v>NULL</v>
          </cell>
          <cell r="F440">
            <v>20180208</v>
          </cell>
          <cell r="G440" t="str">
            <v>NULL</v>
          </cell>
          <cell r="H440" t="str">
            <v>NULL</v>
          </cell>
          <cell r="I440">
            <v>1</v>
          </cell>
          <cell r="J440">
            <v>43144.522211724536</v>
          </cell>
        </row>
        <row r="441">
          <cell r="A441" t="str">
            <v>8000001</v>
          </cell>
          <cell r="B441" t="str">
            <v>MobileCashierManager</v>
          </cell>
          <cell r="C441">
            <v>8000001</v>
          </cell>
          <cell r="I441">
            <v>1</v>
          </cell>
          <cell r="J441">
            <v>42941.469347372687</v>
          </cell>
        </row>
        <row r="442">
          <cell r="A442" t="str">
            <v>8000002</v>
          </cell>
          <cell r="B442" t="str">
            <v>MobileTempCashier</v>
          </cell>
          <cell r="C442">
            <v>8000002</v>
          </cell>
          <cell r="I442">
            <v>1</v>
          </cell>
          <cell r="J442">
            <v>42942.418492824072</v>
          </cell>
        </row>
        <row r="443">
          <cell r="A443" t="str">
            <v>8000003</v>
          </cell>
          <cell r="B443" t="str">
            <v>MobileTempCashier3</v>
          </cell>
          <cell r="I443">
            <v>1</v>
          </cell>
          <cell r="J443">
            <v>43122.589166631944</v>
          </cell>
        </row>
        <row r="444">
          <cell r="A444" t="str">
            <v>9901</v>
          </cell>
          <cell r="B444" t="str">
            <v>9901 CASHIER</v>
          </cell>
          <cell r="I444">
            <v>1</v>
          </cell>
          <cell r="J444">
            <v>42359.466955324075</v>
          </cell>
        </row>
        <row r="445">
          <cell r="A445" t="str">
            <v>9902</v>
          </cell>
          <cell r="B445" t="str">
            <v>9902 CASHIER</v>
          </cell>
          <cell r="I445">
            <v>1</v>
          </cell>
          <cell r="J445">
            <v>42359.66259753472</v>
          </cell>
        </row>
        <row r="446">
          <cell r="A446" t="str">
            <v>9903</v>
          </cell>
          <cell r="B446" t="str">
            <v>9903 CASHIER</v>
          </cell>
          <cell r="I446">
            <v>1</v>
          </cell>
          <cell r="J446">
            <v>42359.662844560182</v>
          </cell>
        </row>
        <row r="447">
          <cell r="A447" t="str">
            <v>9998</v>
          </cell>
          <cell r="B447" t="str">
            <v>CHECK01</v>
          </cell>
          <cell r="I447">
            <v>1</v>
          </cell>
          <cell r="J447">
            <v>42780.426539930559</v>
          </cell>
        </row>
      </sheetData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Probation_Time"/>
      <sheetName val="OT"/>
      <sheetName val="OT_Detail"/>
      <sheetName val="NIGHT_SHIFT"/>
      <sheetName val="Bank_account"/>
      <sheetName val="Tien_mat"/>
      <sheetName val="Thong_tin_NV_nhan_tien_mat"/>
      <sheetName val="TIME_TABLE_02_2016"/>
      <sheetName val="TIME_TABLE_03_2016"/>
      <sheetName val="Probation_Time1"/>
      <sheetName val="OT_Detail1"/>
      <sheetName val="NIGHT_SHIFT1"/>
      <sheetName val="Bank_account1"/>
      <sheetName val="Tien_mat1"/>
      <sheetName val="Thong_tin_NV_nhan_tien_mat1"/>
      <sheetName val="TIME_TABLE_02_20161"/>
      <sheetName val="TIME_TABLE_03_20161"/>
      <sheetName val="Probation_Time2"/>
      <sheetName val="OT_Detail2"/>
      <sheetName val="NIGHT_SHIFT2"/>
      <sheetName val="Bank_account2"/>
      <sheetName val="Tien_mat2"/>
      <sheetName val="Thong_tin_NV_nhan_tien_mat2"/>
      <sheetName val="TIME_TABLE_02_20162"/>
      <sheetName val="TIME_TABLE_03_20162"/>
      <sheetName val="Probation_Time5"/>
      <sheetName val="OT_Detail5"/>
      <sheetName val="NIGHT_SHIFT5"/>
      <sheetName val="Bank_account5"/>
      <sheetName val="Tien_mat5"/>
      <sheetName val="Thong_tin_NV_nhan_tien_mat5"/>
      <sheetName val="TIME_TABLE_02_20165"/>
      <sheetName val="TIME_TABLE_03_20165"/>
      <sheetName val="Probation_Time3"/>
      <sheetName val="OT_Detail3"/>
      <sheetName val="NIGHT_SHIFT3"/>
      <sheetName val="Bank_account3"/>
      <sheetName val="Tien_mat3"/>
      <sheetName val="Thong_tin_NV_nhan_tien_mat3"/>
      <sheetName val="TIME_TABLE_02_20163"/>
      <sheetName val="TIME_TABLE_03_20163"/>
      <sheetName val="Probation_Time4"/>
      <sheetName val="OT_Detail4"/>
      <sheetName val="NIGHT_SHIFT4"/>
      <sheetName val="Bank_account4"/>
      <sheetName val="Tien_mat4"/>
      <sheetName val="Thong_tin_NV_nhan_tien_mat4"/>
      <sheetName val="TIME_TABLE_02_20164"/>
      <sheetName val="TIME_TABLE_03_20164"/>
      <sheetName val="Probation_Time10"/>
      <sheetName val="OT_Detail10"/>
      <sheetName val="NIGHT_SHIFT10"/>
      <sheetName val="Bank_account10"/>
      <sheetName val="Tien_mat10"/>
      <sheetName val="Thong_tin_NV_nhan_tien_mat10"/>
      <sheetName val="TIME_TABLE_02_201610"/>
      <sheetName val="TIME_TABLE_03_201610"/>
      <sheetName val="Probation_Time6"/>
      <sheetName val="OT_Detail6"/>
      <sheetName val="NIGHT_SHIFT6"/>
      <sheetName val="Bank_account6"/>
      <sheetName val="Tien_mat6"/>
      <sheetName val="Thong_tin_NV_nhan_tien_mat6"/>
      <sheetName val="TIME_TABLE_02_20166"/>
      <sheetName val="TIME_TABLE_03_20166"/>
      <sheetName val="Probation_Time8"/>
      <sheetName val="OT_Detail8"/>
      <sheetName val="NIGHT_SHIFT8"/>
      <sheetName val="Bank_account8"/>
      <sheetName val="Tien_mat8"/>
      <sheetName val="Thong_tin_NV_nhan_tien_mat8"/>
      <sheetName val="TIME_TABLE_02_20168"/>
      <sheetName val="TIME_TABLE_03_20168"/>
      <sheetName val="Probation_Time7"/>
      <sheetName val="OT_Detail7"/>
      <sheetName val="NIGHT_SHIFT7"/>
      <sheetName val="Bank_account7"/>
      <sheetName val="Tien_mat7"/>
      <sheetName val="Thong_tin_NV_nhan_tien_mat7"/>
      <sheetName val="TIME_TABLE_02_20167"/>
      <sheetName val="TIME_TABLE_03_20167"/>
      <sheetName val="Probation_Time9"/>
      <sheetName val="OT_Detail9"/>
      <sheetName val="NIGHT_SHIFT9"/>
      <sheetName val="Bank_account9"/>
      <sheetName val="Tien_mat9"/>
      <sheetName val="Thong_tin_NV_nhan_tien_mat9"/>
      <sheetName val="TIME_TABLE_02_20169"/>
      <sheetName val="TIME_TABLE_03_20169"/>
      <sheetName val="Probation_Time38"/>
      <sheetName val="OT_Detail38"/>
      <sheetName val="NIGHT_SHIFT38"/>
      <sheetName val="Bank_account38"/>
      <sheetName val="Tien_mat38"/>
      <sheetName val="Thong_tin_NV_nhan_tien_mat38"/>
      <sheetName val="TIME_TABLE_02_201638"/>
      <sheetName val="TIME_TABLE_03_201638"/>
      <sheetName val="Probation_Time22"/>
      <sheetName val="OT_Detail22"/>
      <sheetName val="NIGHT_SHIFT22"/>
      <sheetName val="Bank_account22"/>
      <sheetName val="Tien_mat22"/>
      <sheetName val="Thong_tin_NV_nhan_tien_mat22"/>
      <sheetName val="TIME_TABLE_02_201622"/>
      <sheetName val="TIME_TABLE_03_201622"/>
      <sheetName val="Probation_Time12"/>
      <sheetName val="OT_Detail12"/>
      <sheetName val="NIGHT_SHIFT12"/>
      <sheetName val="Bank_account12"/>
      <sheetName val="Tien_mat12"/>
      <sheetName val="Thong_tin_NV_nhan_tien_mat12"/>
      <sheetName val="TIME_TABLE_02_201612"/>
      <sheetName val="TIME_TABLE_03_201612"/>
      <sheetName val="Probation_Time11"/>
      <sheetName val="OT_Detail11"/>
      <sheetName val="NIGHT_SHIFT11"/>
      <sheetName val="Bank_account11"/>
      <sheetName val="Tien_mat11"/>
      <sheetName val="Thong_tin_NV_nhan_tien_mat11"/>
      <sheetName val="TIME_TABLE_02_201611"/>
      <sheetName val="TIME_TABLE_03_201611"/>
      <sheetName val="Probation_Time13"/>
      <sheetName val="OT_Detail13"/>
      <sheetName val="NIGHT_SHIFT13"/>
      <sheetName val="Bank_account13"/>
      <sheetName val="Tien_mat13"/>
      <sheetName val="Thong_tin_NV_nhan_tien_mat13"/>
      <sheetName val="TIME_TABLE_02_201613"/>
      <sheetName val="TIME_TABLE_03_201613"/>
      <sheetName val="Probation_Time14"/>
      <sheetName val="OT_Detail14"/>
      <sheetName val="NIGHT_SHIFT14"/>
      <sheetName val="Bank_account14"/>
      <sheetName val="Tien_mat14"/>
      <sheetName val="Thong_tin_NV_nhan_tien_mat14"/>
      <sheetName val="TIME_TABLE_02_201614"/>
      <sheetName val="TIME_TABLE_03_201614"/>
      <sheetName val="Probation_Time15"/>
      <sheetName val="OT_Detail15"/>
      <sheetName val="NIGHT_SHIFT15"/>
      <sheetName val="Bank_account15"/>
      <sheetName val="Tien_mat15"/>
      <sheetName val="Thong_tin_NV_nhan_tien_mat15"/>
      <sheetName val="TIME_TABLE_02_201615"/>
      <sheetName val="TIME_TABLE_03_201615"/>
      <sheetName val="Probation_Time16"/>
      <sheetName val="OT_Detail16"/>
      <sheetName val="NIGHT_SHIFT16"/>
      <sheetName val="Bank_account16"/>
      <sheetName val="Tien_mat16"/>
      <sheetName val="Thong_tin_NV_nhan_tien_mat16"/>
      <sheetName val="TIME_TABLE_02_201616"/>
      <sheetName val="TIME_TABLE_03_201616"/>
      <sheetName val="Probation_Time17"/>
      <sheetName val="OT_Detail17"/>
      <sheetName val="NIGHT_SHIFT17"/>
      <sheetName val="Bank_account17"/>
      <sheetName val="Tien_mat17"/>
      <sheetName val="Thong_tin_NV_nhan_tien_mat17"/>
      <sheetName val="TIME_TABLE_02_201617"/>
      <sheetName val="TIME_TABLE_03_201617"/>
      <sheetName val="Probation_Time18"/>
      <sheetName val="OT_Detail18"/>
      <sheetName val="NIGHT_SHIFT18"/>
      <sheetName val="Bank_account18"/>
      <sheetName val="Tien_mat18"/>
      <sheetName val="Thong_tin_NV_nhan_tien_mat18"/>
      <sheetName val="TIME_TABLE_02_201618"/>
      <sheetName val="TIME_TABLE_03_201618"/>
      <sheetName val="Probation_Time19"/>
      <sheetName val="OT_Detail19"/>
      <sheetName val="NIGHT_SHIFT19"/>
      <sheetName val="Bank_account19"/>
      <sheetName val="Tien_mat19"/>
      <sheetName val="Thong_tin_NV_nhan_tien_mat19"/>
      <sheetName val="TIME_TABLE_02_201619"/>
      <sheetName val="TIME_TABLE_03_201619"/>
      <sheetName val="Probation_Time21"/>
      <sheetName val="OT_Detail21"/>
      <sheetName val="NIGHT_SHIFT21"/>
      <sheetName val="Bank_account21"/>
      <sheetName val="Tien_mat21"/>
      <sheetName val="Thong_tin_NV_nhan_tien_mat21"/>
      <sheetName val="TIME_TABLE_02_201621"/>
      <sheetName val="TIME_TABLE_03_201621"/>
      <sheetName val="Probation_Time20"/>
      <sheetName val="OT_Detail20"/>
      <sheetName val="NIGHT_SHIFT20"/>
      <sheetName val="Bank_account20"/>
      <sheetName val="Tien_mat20"/>
      <sheetName val="Thong_tin_NV_nhan_tien_mat20"/>
      <sheetName val="TIME_TABLE_02_201620"/>
      <sheetName val="TIME_TABLE_03_201620"/>
      <sheetName val="Probation_Time23"/>
      <sheetName val="OT_Detail23"/>
      <sheetName val="NIGHT_SHIFT23"/>
      <sheetName val="Bank_account23"/>
      <sheetName val="Tien_mat23"/>
      <sheetName val="Thong_tin_NV_nhan_tien_mat23"/>
      <sheetName val="TIME_TABLE_02_201623"/>
      <sheetName val="TIME_TABLE_03_201623"/>
      <sheetName val="Probation_Time24"/>
      <sheetName val="OT_Detail24"/>
      <sheetName val="NIGHT_SHIFT24"/>
      <sheetName val="Bank_account24"/>
      <sheetName val="Tien_mat24"/>
      <sheetName val="Thong_tin_NV_nhan_tien_mat24"/>
      <sheetName val="TIME_TABLE_02_201624"/>
      <sheetName val="TIME_TABLE_03_201624"/>
      <sheetName val="Probation_Time25"/>
      <sheetName val="OT_Detail25"/>
      <sheetName val="NIGHT_SHIFT25"/>
      <sheetName val="Bank_account25"/>
      <sheetName val="Tien_mat25"/>
      <sheetName val="Thong_tin_NV_nhan_tien_mat25"/>
      <sheetName val="TIME_TABLE_02_201625"/>
      <sheetName val="TIME_TABLE_03_201625"/>
      <sheetName val="Probation_Time26"/>
      <sheetName val="OT_Detail26"/>
      <sheetName val="NIGHT_SHIFT26"/>
      <sheetName val="Bank_account26"/>
      <sheetName val="Tien_mat26"/>
      <sheetName val="Thong_tin_NV_nhan_tien_mat26"/>
      <sheetName val="TIME_TABLE_02_201626"/>
      <sheetName val="TIME_TABLE_03_201626"/>
      <sheetName val="Probation_Time27"/>
      <sheetName val="OT_Detail27"/>
      <sheetName val="NIGHT_SHIFT27"/>
      <sheetName val="Bank_account27"/>
      <sheetName val="Tien_mat27"/>
      <sheetName val="Thong_tin_NV_nhan_tien_mat27"/>
      <sheetName val="TIME_TABLE_02_201627"/>
      <sheetName val="TIME_TABLE_03_201627"/>
      <sheetName val="Probation_Time28"/>
      <sheetName val="OT_Detail28"/>
      <sheetName val="NIGHT_SHIFT28"/>
      <sheetName val="Bank_account28"/>
      <sheetName val="Tien_mat28"/>
      <sheetName val="Thong_tin_NV_nhan_tien_mat28"/>
      <sheetName val="TIME_TABLE_02_201628"/>
      <sheetName val="TIME_TABLE_03_201628"/>
      <sheetName val="Probation_Time29"/>
      <sheetName val="OT_Detail29"/>
      <sheetName val="NIGHT_SHIFT29"/>
      <sheetName val="Bank_account29"/>
      <sheetName val="Tien_mat29"/>
      <sheetName val="Thong_tin_NV_nhan_tien_mat29"/>
      <sheetName val="TIME_TABLE_02_201629"/>
      <sheetName val="TIME_TABLE_03_201629"/>
      <sheetName val="Probation_Time30"/>
      <sheetName val="OT_Detail30"/>
      <sheetName val="NIGHT_SHIFT30"/>
      <sheetName val="Bank_account30"/>
      <sheetName val="Tien_mat30"/>
      <sheetName val="Thong_tin_NV_nhan_tien_mat30"/>
      <sheetName val="TIME_TABLE_02_201630"/>
      <sheetName val="TIME_TABLE_03_201630"/>
      <sheetName val="Probation_Time31"/>
      <sheetName val="OT_Detail31"/>
      <sheetName val="NIGHT_SHIFT31"/>
      <sheetName val="Bank_account31"/>
      <sheetName val="Tien_mat31"/>
      <sheetName val="Thong_tin_NV_nhan_tien_mat31"/>
      <sheetName val="TIME_TABLE_02_201631"/>
      <sheetName val="TIME_TABLE_03_201631"/>
      <sheetName val="Probation_Time33"/>
      <sheetName val="OT_Detail33"/>
      <sheetName val="NIGHT_SHIFT33"/>
      <sheetName val="Bank_account33"/>
      <sheetName val="Tien_mat33"/>
      <sheetName val="Thong_tin_NV_nhan_tien_mat33"/>
      <sheetName val="TIME_TABLE_02_201633"/>
      <sheetName val="TIME_TABLE_03_201633"/>
      <sheetName val="Probation_Time32"/>
      <sheetName val="OT_Detail32"/>
      <sheetName val="NIGHT_SHIFT32"/>
      <sheetName val="Bank_account32"/>
      <sheetName val="Tien_mat32"/>
      <sheetName val="Thong_tin_NV_nhan_tien_mat32"/>
      <sheetName val="TIME_TABLE_02_201632"/>
      <sheetName val="TIME_TABLE_03_201632"/>
      <sheetName val="Probation_Time34"/>
      <sheetName val="OT_Detail34"/>
      <sheetName val="NIGHT_SHIFT34"/>
      <sheetName val="Bank_account34"/>
      <sheetName val="Tien_mat34"/>
      <sheetName val="Thong_tin_NV_nhan_tien_mat34"/>
      <sheetName val="TIME_TABLE_02_201634"/>
      <sheetName val="TIME_TABLE_03_201634"/>
      <sheetName val="Probation_Time35"/>
      <sheetName val="OT_Detail35"/>
      <sheetName val="NIGHT_SHIFT35"/>
      <sheetName val="Bank_account35"/>
      <sheetName val="Tien_mat35"/>
      <sheetName val="Thong_tin_NV_nhan_tien_mat35"/>
      <sheetName val="TIME_TABLE_02_201635"/>
      <sheetName val="TIME_TABLE_03_201635"/>
      <sheetName val="Probation_Time36"/>
      <sheetName val="OT_Detail36"/>
      <sheetName val="NIGHT_SHIFT36"/>
      <sheetName val="Bank_account36"/>
      <sheetName val="Tien_mat36"/>
      <sheetName val="Thong_tin_NV_nhan_tien_mat36"/>
      <sheetName val="TIME_TABLE_02_201636"/>
      <sheetName val="TIME_TABLE_03_201636"/>
      <sheetName val="Probation_Time37"/>
      <sheetName val="OT_Detail37"/>
      <sheetName val="NIGHT_SHIFT37"/>
      <sheetName val="Bank_account37"/>
      <sheetName val="Tien_mat37"/>
      <sheetName val="Thong_tin_NV_nhan_tien_mat37"/>
      <sheetName val="TIME_TABLE_02_201637"/>
      <sheetName val="TIME_TABLE_03_201637"/>
      <sheetName val="Probation_Time39"/>
      <sheetName val="OT_Detail39"/>
      <sheetName val="NIGHT_SHIFT39"/>
      <sheetName val="Bank_account39"/>
      <sheetName val="Tien_mat39"/>
      <sheetName val="Thong_tin_NV_nhan_tien_mat39"/>
      <sheetName val="TIME_TABLE_02_201639"/>
      <sheetName val="TIME_TABLE_03_201639"/>
      <sheetName val="Probation_Time40"/>
      <sheetName val="OT_Detail40"/>
      <sheetName val="NIGHT_SHIFT40"/>
      <sheetName val="Bank_account40"/>
      <sheetName val="Tien_mat40"/>
      <sheetName val="Thong_tin_NV_nhan_tien_mat40"/>
      <sheetName val="TIME_TABLE_02_201640"/>
      <sheetName val="TIME_TABLE_03_201640"/>
      <sheetName val="Probation_Time41"/>
      <sheetName val="OT_Detail41"/>
      <sheetName val="NIGHT_SHIFT41"/>
      <sheetName val="Bank_account41"/>
      <sheetName val="Tien_mat41"/>
      <sheetName val="Thong_tin_NV_nhan_tien_mat41"/>
      <sheetName val="TIME_TABLE_02_201641"/>
      <sheetName val="TIME_TABLE_03_201641"/>
      <sheetName val="Probation_Time42"/>
      <sheetName val="OT_Detail42"/>
      <sheetName val="NIGHT_SHIFT42"/>
      <sheetName val="Bank_account42"/>
      <sheetName val="Tien_mat42"/>
      <sheetName val="Thong_tin_NV_nhan_tien_mat42"/>
      <sheetName val="TIME_TABLE_02_201642"/>
      <sheetName val="TIME_TABLE_03_201642"/>
      <sheetName val="Probation_Time66"/>
      <sheetName val="OT_Detail66"/>
      <sheetName val="NIGHT_SHIFT66"/>
      <sheetName val="Bank_account66"/>
      <sheetName val="Tien_mat66"/>
      <sheetName val="Thong_tin_NV_nhan_tien_mat66"/>
      <sheetName val="TIME_TABLE_02_201666"/>
      <sheetName val="TIME_TABLE_03_201666"/>
      <sheetName val="Probation_Time43"/>
      <sheetName val="OT_Detail43"/>
      <sheetName val="NIGHT_SHIFT43"/>
      <sheetName val="Bank_account43"/>
      <sheetName val="Tien_mat43"/>
      <sheetName val="Thong_tin_NV_nhan_tien_mat43"/>
      <sheetName val="TIME_TABLE_02_201643"/>
      <sheetName val="TIME_TABLE_03_201643"/>
      <sheetName val="Probation_Time45"/>
      <sheetName val="OT_Detail45"/>
      <sheetName val="NIGHT_SHIFT45"/>
      <sheetName val="Bank_account45"/>
      <sheetName val="Tien_mat45"/>
      <sheetName val="Thong_tin_NV_nhan_tien_mat45"/>
      <sheetName val="TIME_TABLE_02_201645"/>
      <sheetName val="TIME_TABLE_03_201645"/>
      <sheetName val="Probation_Time44"/>
      <sheetName val="OT_Detail44"/>
      <sheetName val="NIGHT_SHIFT44"/>
      <sheetName val="Bank_account44"/>
      <sheetName val="Tien_mat44"/>
      <sheetName val="Thong_tin_NV_nhan_tien_mat44"/>
      <sheetName val="TIME_TABLE_02_201644"/>
      <sheetName val="TIME_TABLE_03_201644"/>
      <sheetName val="Probation_Time46"/>
      <sheetName val="OT_Detail46"/>
      <sheetName val="NIGHT_SHIFT46"/>
      <sheetName val="Bank_account46"/>
      <sheetName val="Tien_mat46"/>
      <sheetName val="Thong_tin_NV_nhan_tien_mat46"/>
      <sheetName val="TIME_TABLE_02_201646"/>
      <sheetName val="TIME_TABLE_03_201646"/>
      <sheetName val="Probation_Time49"/>
      <sheetName val="OT_Detail49"/>
      <sheetName val="NIGHT_SHIFT49"/>
      <sheetName val="Bank_account49"/>
      <sheetName val="Tien_mat49"/>
      <sheetName val="Thong_tin_NV_nhan_tien_mat49"/>
      <sheetName val="TIME_TABLE_02_201649"/>
      <sheetName val="TIME_TABLE_03_201649"/>
      <sheetName val="Probation_Time47"/>
      <sheetName val="OT_Detail47"/>
      <sheetName val="NIGHT_SHIFT47"/>
      <sheetName val="Bank_account47"/>
      <sheetName val="Tien_mat47"/>
      <sheetName val="Thong_tin_NV_nhan_tien_mat47"/>
      <sheetName val="TIME_TABLE_02_201647"/>
      <sheetName val="TIME_TABLE_03_201647"/>
      <sheetName val="Probation_Time48"/>
      <sheetName val="OT_Detail48"/>
      <sheetName val="NIGHT_SHIFT48"/>
      <sheetName val="Bank_account48"/>
      <sheetName val="Tien_mat48"/>
      <sheetName val="Thong_tin_NV_nhan_tien_mat48"/>
      <sheetName val="TIME_TABLE_02_201648"/>
      <sheetName val="TIME_TABLE_03_201648"/>
      <sheetName val="Probation_Time50"/>
      <sheetName val="OT_Detail50"/>
      <sheetName val="NIGHT_SHIFT50"/>
      <sheetName val="Bank_account50"/>
      <sheetName val="Tien_mat50"/>
      <sheetName val="Thong_tin_NV_nhan_tien_mat50"/>
      <sheetName val="TIME_TABLE_02_201650"/>
      <sheetName val="TIME_TABLE_03_201650"/>
      <sheetName val="Probation_Time51"/>
      <sheetName val="OT_Detail51"/>
      <sheetName val="NIGHT_SHIFT51"/>
      <sheetName val="Bank_account51"/>
      <sheetName val="Tien_mat51"/>
      <sheetName val="Thong_tin_NV_nhan_tien_mat51"/>
      <sheetName val="TIME_TABLE_02_201651"/>
      <sheetName val="TIME_TABLE_03_201651"/>
      <sheetName val="Probation_Time52"/>
      <sheetName val="OT_Detail52"/>
      <sheetName val="NIGHT_SHIFT52"/>
      <sheetName val="Bank_account52"/>
      <sheetName val="Tien_mat52"/>
      <sheetName val="Thong_tin_NV_nhan_tien_mat52"/>
      <sheetName val="TIME_TABLE_02_201652"/>
      <sheetName val="TIME_TABLE_03_201652"/>
      <sheetName val="Probation_Time54"/>
      <sheetName val="OT_Detail54"/>
      <sheetName val="NIGHT_SHIFT54"/>
      <sheetName val="Bank_account54"/>
      <sheetName val="Tien_mat54"/>
      <sheetName val="Thong_tin_NV_nhan_tien_mat54"/>
      <sheetName val="TIME_TABLE_02_201654"/>
      <sheetName val="TIME_TABLE_03_201654"/>
      <sheetName val="Probation_Time53"/>
      <sheetName val="OT_Detail53"/>
      <sheetName val="NIGHT_SHIFT53"/>
      <sheetName val="Bank_account53"/>
      <sheetName val="Tien_mat53"/>
      <sheetName val="Thong_tin_NV_nhan_tien_mat53"/>
      <sheetName val="TIME_TABLE_02_201653"/>
      <sheetName val="TIME_TABLE_03_201653"/>
      <sheetName val="Probation_Time55"/>
      <sheetName val="OT_Detail55"/>
      <sheetName val="NIGHT_SHIFT55"/>
      <sheetName val="Bank_account55"/>
      <sheetName val="Tien_mat55"/>
      <sheetName val="Thong_tin_NV_nhan_tien_mat55"/>
      <sheetName val="TIME_TABLE_02_201655"/>
      <sheetName val="TIME_TABLE_03_201655"/>
      <sheetName val="Probation_Time57"/>
      <sheetName val="OT_Detail57"/>
      <sheetName val="NIGHT_SHIFT57"/>
      <sheetName val="Bank_account57"/>
      <sheetName val="Tien_mat57"/>
      <sheetName val="Thong_tin_NV_nhan_tien_mat57"/>
      <sheetName val="TIME_TABLE_02_201657"/>
      <sheetName val="TIME_TABLE_03_201657"/>
      <sheetName val="Probation_Time56"/>
      <sheetName val="OT_Detail56"/>
      <sheetName val="NIGHT_SHIFT56"/>
      <sheetName val="Bank_account56"/>
      <sheetName val="Tien_mat56"/>
      <sheetName val="Thong_tin_NV_nhan_tien_mat56"/>
      <sheetName val="TIME_TABLE_02_201656"/>
      <sheetName val="TIME_TABLE_03_201656"/>
      <sheetName val="Probation_Time58"/>
      <sheetName val="OT_Detail58"/>
      <sheetName val="NIGHT_SHIFT58"/>
      <sheetName val="Bank_account58"/>
      <sheetName val="Tien_mat58"/>
      <sheetName val="Thong_tin_NV_nhan_tien_mat58"/>
      <sheetName val="TIME_TABLE_02_201658"/>
      <sheetName val="TIME_TABLE_03_201658"/>
      <sheetName val="Probation_Time59"/>
      <sheetName val="OT_Detail59"/>
      <sheetName val="NIGHT_SHIFT59"/>
      <sheetName val="Bank_account59"/>
      <sheetName val="Tien_mat59"/>
      <sheetName val="Thong_tin_NV_nhan_tien_mat59"/>
      <sheetName val="TIME_TABLE_02_201659"/>
      <sheetName val="TIME_TABLE_03_201659"/>
      <sheetName val="Probation_Time61"/>
      <sheetName val="OT_Detail61"/>
      <sheetName val="NIGHT_SHIFT61"/>
      <sheetName val="Bank_account61"/>
      <sheetName val="Tien_mat61"/>
      <sheetName val="Thong_tin_NV_nhan_tien_mat61"/>
      <sheetName val="TIME_TABLE_02_201661"/>
      <sheetName val="TIME_TABLE_03_201661"/>
      <sheetName val="Probation_Time60"/>
      <sheetName val="OT_Detail60"/>
      <sheetName val="NIGHT_SHIFT60"/>
      <sheetName val="Bank_account60"/>
      <sheetName val="Tien_mat60"/>
      <sheetName val="Thong_tin_NV_nhan_tien_mat60"/>
      <sheetName val="TIME_TABLE_02_201660"/>
      <sheetName val="TIME_TABLE_03_201660"/>
      <sheetName val="Probation_Time62"/>
      <sheetName val="OT_Detail62"/>
      <sheetName val="NIGHT_SHIFT62"/>
      <sheetName val="Bank_account62"/>
      <sheetName val="Tien_mat62"/>
      <sheetName val="Thong_tin_NV_nhan_tien_mat62"/>
      <sheetName val="TIME_TABLE_02_201662"/>
      <sheetName val="TIME_TABLE_03_201662"/>
      <sheetName val="Probation_Time63"/>
      <sheetName val="OT_Detail63"/>
      <sheetName val="NIGHT_SHIFT63"/>
      <sheetName val="Bank_account63"/>
      <sheetName val="Tien_mat63"/>
      <sheetName val="Thong_tin_NV_nhan_tien_mat63"/>
      <sheetName val="TIME_TABLE_02_201663"/>
      <sheetName val="TIME_TABLE_03_201663"/>
      <sheetName val="Probation_Time64"/>
      <sheetName val="OT_Detail64"/>
      <sheetName val="NIGHT_SHIFT64"/>
      <sheetName val="Bank_account64"/>
      <sheetName val="Tien_mat64"/>
      <sheetName val="Thong_tin_NV_nhan_tien_mat64"/>
      <sheetName val="TIME_TABLE_02_201664"/>
      <sheetName val="TIME_TABLE_03_201664"/>
      <sheetName val="Probation_Time65"/>
      <sheetName val="OT_Detail65"/>
      <sheetName val="NIGHT_SHIFT65"/>
      <sheetName val="Bank_account65"/>
      <sheetName val="Tien_mat65"/>
      <sheetName val="Thong_tin_NV_nhan_tien_mat65"/>
      <sheetName val="TIME_TABLE_02_201665"/>
      <sheetName val="TIME_TABLE_03_201665"/>
      <sheetName val="Probation_Time67"/>
      <sheetName val="OT_Detail67"/>
      <sheetName val="NIGHT_SHIFT67"/>
      <sheetName val="Bank_account67"/>
      <sheetName val="Tien_mat67"/>
      <sheetName val="Thong_tin_NV_nhan_tien_mat67"/>
      <sheetName val="TIME_TABLE_02_201667"/>
      <sheetName val="TIME_TABLE_03_201667"/>
      <sheetName val="Probation_Time69"/>
      <sheetName val="OT_Detail69"/>
      <sheetName val="NIGHT_SHIFT69"/>
      <sheetName val="Bank_account69"/>
      <sheetName val="Tien_mat69"/>
      <sheetName val="Thong_tin_NV_nhan_tien_mat69"/>
      <sheetName val="TIME_TABLE_02_201669"/>
      <sheetName val="TIME_TABLE_03_201669"/>
      <sheetName val="Probation_Time68"/>
      <sheetName val="OT_Detail68"/>
      <sheetName val="NIGHT_SHIFT68"/>
      <sheetName val="Bank_account68"/>
      <sheetName val="Tien_mat68"/>
      <sheetName val="Thong_tin_NV_nhan_tien_mat68"/>
      <sheetName val="TIME_TABLE_02_201668"/>
      <sheetName val="TIME_TABLE_03_201668"/>
      <sheetName val="Probation_Time74"/>
      <sheetName val="OT_Detail74"/>
      <sheetName val="NIGHT_SHIFT74"/>
      <sheetName val="Bank_account74"/>
      <sheetName val="Tien_mat74"/>
      <sheetName val="Thong_tin_NV_nhan_tien_mat74"/>
      <sheetName val="TIME_TABLE_02_201674"/>
      <sheetName val="TIME_TABLE_03_201674"/>
      <sheetName val="Probation_Time70"/>
      <sheetName val="OT_Detail70"/>
      <sheetName val="NIGHT_SHIFT70"/>
      <sheetName val="Bank_account70"/>
      <sheetName val="Tien_mat70"/>
      <sheetName val="Thong_tin_NV_nhan_tien_mat70"/>
      <sheetName val="TIME_TABLE_02_201670"/>
      <sheetName val="TIME_TABLE_03_201670"/>
      <sheetName val="Probation_Time71"/>
      <sheetName val="OT_Detail71"/>
      <sheetName val="NIGHT_SHIFT71"/>
      <sheetName val="Bank_account71"/>
      <sheetName val="Tien_mat71"/>
      <sheetName val="Thong_tin_NV_nhan_tien_mat71"/>
      <sheetName val="TIME_TABLE_02_201671"/>
      <sheetName val="TIME_TABLE_03_201671"/>
      <sheetName val="Probation_Time72"/>
      <sheetName val="OT_Detail72"/>
      <sheetName val="NIGHT_SHIFT72"/>
      <sheetName val="Bank_account72"/>
      <sheetName val="Tien_mat72"/>
      <sheetName val="Thong_tin_NV_nhan_tien_mat72"/>
      <sheetName val="TIME_TABLE_02_201672"/>
      <sheetName val="TIME_TABLE_03_201672"/>
      <sheetName val="Probation_Time73"/>
      <sheetName val="OT_Detail73"/>
      <sheetName val="NIGHT_SHIFT73"/>
      <sheetName val="Bank_account73"/>
      <sheetName val="Tien_mat73"/>
      <sheetName val="Thong_tin_NV_nhan_tien_mat73"/>
      <sheetName val="TIME_TABLE_02_201673"/>
      <sheetName val="TIME_TABLE_03_201673"/>
      <sheetName val="Probation_Time75"/>
      <sheetName val="OT_Detail75"/>
      <sheetName val="NIGHT_SHIFT75"/>
      <sheetName val="Bank_account75"/>
      <sheetName val="Tien_mat75"/>
      <sheetName val="Thong_tin_NV_nhan_tien_mat75"/>
      <sheetName val="TIME_TABLE_02_201675"/>
      <sheetName val="TIME_TABLE_03_201675"/>
      <sheetName val="Probation_Time76"/>
      <sheetName val="OT_Detail76"/>
      <sheetName val="NIGHT_SHIFT76"/>
      <sheetName val="Bank_account76"/>
      <sheetName val="Tien_mat76"/>
      <sheetName val="Thong_tin_NV_nhan_tien_mat76"/>
      <sheetName val="TIME_TABLE_02_201676"/>
      <sheetName val="TIME_TABLE_03_201676"/>
      <sheetName val="Probation_Time77"/>
      <sheetName val="OT_Detail77"/>
      <sheetName val="NIGHT_SHIFT77"/>
      <sheetName val="Bank_account77"/>
      <sheetName val="Tien_mat77"/>
      <sheetName val="Thong_tin_NV_nhan_tien_mat77"/>
      <sheetName val="TIME_TABLE_02_201677"/>
      <sheetName val="TIME_TABLE_03_201677"/>
      <sheetName val="Probation_Time78"/>
      <sheetName val="OT_Detail78"/>
      <sheetName val="NIGHT_SHIFT78"/>
      <sheetName val="Bank_account78"/>
      <sheetName val="Tien_mat78"/>
      <sheetName val="Thong_tin_NV_nhan_tien_mat78"/>
      <sheetName val="TIME_TABLE_02_201678"/>
      <sheetName val="TIME_TABLE_03_201678"/>
      <sheetName val="Probation_Time82"/>
      <sheetName val="OT_Detail82"/>
      <sheetName val="NIGHT_SHIFT82"/>
      <sheetName val="Bank_account82"/>
      <sheetName val="Tien_mat82"/>
      <sheetName val="Thong_tin_NV_nhan_tien_mat82"/>
      <sheetName val="TIME_TABLE_02_201682"/>
      <sheetName val="TIME_TABLE_03_201682"/>
      <sheetName val="Probation_Time79"/>
      <sheetName val="OT_Detail79"/>
      <sheetName val="NIGHT_SHIFT79"/>
      <sheetName val="Bank_account79"/>
      <sheetName val="Tien_mat79"/>
      <sheetName val="Thong_tin_NV_nhan_tien_mat79"/>
      <sheetName val="TIME_TABLE_02_201679"/>
      <sheetName val="TIME_TABLE_03_201679"/>
      <sheetName val="Probation_Time80"/>
      <sheetName val="OT_Detail80"/>
      <sheetName val="NIGHT_SHIFT80"/>
      <sheetName val="Bank_account80"/>
      <sheetName val="Tien_mat80"/>
      <sheetName val="Thong_tin_NV_nhan_tien_mat80"/>
      <sheetName val="TIME_TABLE_02_201680"/>
      <sheetName val="TIME_TABLE_03_201680"/>
      <sheetName val="Probation_Time81"/>
      <sheetName val="OT_Detail81"/>
      <sheetName val="NIGHT_SHIFT81"/>
      <sheetName val="Bank_account81"/>
      <sheetName val="Tien_mat81"/>
      <sheetName val="Thong_tin_NV_nhan_tien_mat81"/>
      <sheetName val="TIME_TABLE_02_201681"/>
      <sheetName val="TIME_TABLE_03_201681"/>
      <sheetName val="Probation_Time217"/>
      <sheetName val="OT_Detail217"/>
      <sheetName val="NIGHT_SHIFT217"/>
      <sheetName val="Bank_account217"/>
      <sheetName val="Tien_mat217"/>
      <sheetName val="Thong_tin_NV_nhan_tien_mat217"/>
      <sheetName val="TIME_TABLE_02_2016217"/>
      <sheetName val="TIME_TABLE_03_2016217"/>
      <sheetName val="Probation_Time83"/>
      <sheetName val="OT_Detail83"/>
      <sheetName val="NIGHT_SHIFT83"/>
      <sheetName val="Bank_account83"/>
      <sheetName val="Tien_mat83"/>
      <sheetName val="Thong_tin_NV_nhan_tien_mat83"/>
      <sheetName val="TIME_TABLE_02_201683"/>
      <sheetName val="TIME_TABLE_03_201683"/>
      <sheetName val="Probation_Time84"/>
      <sheetName val="OT_Detail84"/>
      <sheetName val="NIGHT_SHIFT84"/>
      <sheetName val="Bank_account84"/>
      <sheetName val="Tien_mat84"/>
      <sheetName val="Thong_tin_NV_nhan_tien_mat84"/>
      <sheetName val="TIME_TABLE_02_201684"/>
      <sheetName val="TIME_TABLE_03_201684"/>
      <sheetName val="Probation_Time86"/>
      <sheetName val="OT_Detail86"/>
      <sheetName val="NIGHT_SHIFT86"/>
      <sheetName val="Bank_account86"/>
      <sheetName val="Tien_mat86"/>
      <sheetName val="Thong_tin_NV_nhan_tien_mat86"/>
      <sheetName val="TIME_TABLE_02_201686"/>
      <sheetName val="TIME_TABLE_03_201686"/>
      <sheetName val="Probation_Time85"/>
      <sheetName val="OT_Detail85"/>
      <sheetName val="NIGHT_SHIFT85"/>
      <sheetName val="Bank_account85"/>
      <sheetName val="Tien_mat85"/>
      <sheetName val="Thong_tin_NV_nhan_tien_mat85"/>
      <sheetName val="TIME_TABLE_02_201685"/>
      <sheetName val="TIME_TABLE_03_201685"/>
      <sheetName val="Probation_Time87"/>
      <sheetName val="OT_Detail87"/>
      <sheetName val="NIGHT_SHIFT87"/>
      <sheetName val="Bank_account87"/>
      <sheetName val="Tien_mat87"/>
      <sheetName val="Thong_tin_NV_nhan_tien_mat87"/>
      <sheetName val="TIME_TABLE_02_201687"/>
      <sheetName val="TIME_TABLE_03_201687"/>
      <sheetName val="Probation_Time88"/>
      <sheetName val="OT_Detail88"/>
      <sheetName val="NIGHT_SHIFT88"/>
      <sheetName val="Bank_account88"/>
      <sheetName val="Tien_mat88"/>
      <sheetName val="Thong_tin_NV_nhan_tien_mat88"/>
      <sheetName val="TIME_TABLE_02_201688"/>
      <sheetName val="TIME_TABLE_03_201688"/>
      <sheetName val="Probation_Time89"/>
      <sheetName val="OT_Detail89"/>
      <sheetName val="NIGHT_SHIFT89"/>
      <sheetName val="Bank_account89"/>
      <sheetName val="Tien_mat89"/>
      <sheetName val="Thong_tin_NV_nhan_tien_mat89"/>
      <sheetName val="TIME_TABLE_02_201689"/>
      <sheetName val="TIME_TABLE_03_201689"/>
      <sheetName val="Probation_Time93"/>
      <sheetName val="OT_Detail93"/>
      <sheetName val="NIGHT_SHIFT93"/>
      <sheetName val="Bank_account93"/>
      <sheetName val="Tien_mat93"/>
      <sheetName val="Thong_tin_NV_nhan_tien_mat93"/>
      <sheetName val="TIME_TABLE_02_201693"/>
      <sheetName val="TIME_TABLE_03_201693"/>
      <sheetName val="Probation_Time90"/>
      <sheetName val="OT_Detail90"/>
      <sheetName val="NIGHT_SHIFT90"/>
      <sheetName val="Bank_account90"/>
      <sheetName val="Tien_mat90"/>
      <sheetName val="Thong_tin_NV_nhan_tien_mat90"/>
      <sheetName val="TIME_TABLE_02_201690"/>
      <sheetName val="TIME_TABLE_03_201690"/>
      <sheetName val="Probation_Time91"/>
      <sheetName val="OT_Detail91"/>
      <sheetName val="NIGHT_SHIFT91"/>
      <sheetName val="Bank_account91"/>
      <sheetName val="Tien_mat91"/>
      <sheetName val="Thong_tin_NV_nhan_tien_mat91"/>
      <sheetName val="TIME_TABLE_02_201691"/>
      <sheetName val="TIME_TABLE_03_201691"/>
      <sheetName val="Probation_Time92"/>
      <sheetName val="OT_Detail92"/>
      <sheetName val="NIGHT_SHIFT92"/>
      <sheetName val="Bank_account92"/>
      <sheetName val="Tien_mat92"/>
      <sheetName val="Thong_tin_NV_nhan_tien_mat92"/>
      <sheetName val="TIME_TABLE_02_201692"/>
      <sheetName val="TIME_TABLE_03_201692"/>
      <sheetName val="Probation_Time94"/>
      <sheetName val="OT_Detail94"/>
      <sheetName val="NIGHT_SHIFT94"/>
      <sheetName val="Bank_account94"/>
      <sheetName val="Tien_mat94"/>
      <sheetName val="Thong_tin_NV_nhan_tien_mat94"/>
      <sheetName val="TIME_TABLE_02_201694"/>
      <sheetName val="TIME_TABLE_03_201694"/>
      <sheetName val="Probation_Time95"/>
      <sheetName val="OT_Detail95"/>
      <sheetName val="NIGHT_SHIFT95"/>
      <sheetName val="Bank_account95"/>
      <sheetName val="Tien_mat95"/>
      <sheetName val="Thong_tin_NV_nhan_tien_mat95"/>
      <sheetName val="TIME_TABLE_02_201695"/>
      <sheetName val="TIME_TABLE_03_201695"/>
      <sheetName val="Probation_Time98"/>
      <sheetName val="OT_Detail98"/>
      <sheetName val="NIGHT_SHIFT98"/>
      <sheetName val="Bank_account98"/>
      <sheetName val="Tien_mat98"/>
      <sheetName val="Thong_tin_NV_nhan_tien_mat98"/>
      <sheetName val="TIME_TABLE_02_201698"/>
      <sheetName val="TIME_TABLE_03_201698"/>
      <sheetName val="Probation_Time96"/>
      <sheetName val="OT_Detail96"/>
      <sheetName val="NIGHT_SHIFT96"/>
      <sheetName val="Bank_account96"/>
      <sheetName val="Tien_mat96"/>
      <sheetName val="Thong_tin_NV_nhan_tien_mat96"/>
      <sheetName val="TIME_TABLE_02_201696"/>
      <sheetName val="TIME_TABLE_03_201696"/>
      <sheetName val="Probation_Time97"/>
      <sheetName val="OT_Detail97"/>
      <sheetName val="NIGHT_SHIFT97"/>
      <sheetName val="Bank_account97"/>
      <sheetName val="Tien_mat97"/>
      <sheetName val="Thong_tin_NV_nhan_tien_mat97"/>
      <sheetName val="TIME_TABLE_02_201697"/>
      <sheetName val="TIME_TABLE_03_201697"/>
      <sheetName val="Probation_Time100"/>
      <sheetName val="OT_Detail100"/>
      <sheetName val="NIGHT_SHIFT100"/>
      <sheetName val="Bank_account100"/>
      <sheetName val="Tien_mat100"/>
      <sheetName val="Thong_tin_NV_nhan_tien_mat100"/>
      <sheetName val="TIME_TABLE_02_2016100"/>
      <sheetName val="TIME_TABLE_03_2016100"/>
      <sheetName val="Probation_Time99"/>
      <sheetName val="OT_Detail99"/>
      <sheetName val="NIGHT_SHIFT99"/>
      <sheetName val="Bank_account99"/>
      <sheetName val="Tien_mat99"/>
      <sheetName val="Thong_tin_NV_nhan_tien_mat99"/>
      <sheetName val="TIME_TABLE_02_201699"/>
      <sheetName val="TIME_TABLE_03_201699"/>
      <sheetName val="Probation_Time101"/>
      <sheetName val="OT_Detail101"/>
      <sheetName val="NIGHT_SHIFT101"/>
      <sheetName val="Bank_account101"/>
      <sheetName val="Tien_mat101"/>
      <sheetName val="Thong_tin_NV_nhan_tien_mat101"/>
      <sheetName val="TIME_TABLE_02_2016101"/>
      <sheetName val="TIME_TABLE_03_2016101"/>
      <sheetName val="Probation_Time106"/>
      <sheetName val="OT_Detail106"/>
      <sheetName val="NIGHT_SHIFT106"/>
      <sheetName val="Bank_account106"/>
      <sheetName val="Tien_mat106"/>
      <sheetName val="Thong_tin_NV_nhan_tien_mat106"/>
      <sheetName val="TIME_TABLE_02_2016106"/>
      <sheetName val="TIME_TABLE_03_2016106"/>
      <sheetName val="Probation_Time103"/>
      <sheetName val="OT_Detail103"/>
      <sheetName val="NIGHT_SHIFT103"/>
      <sheetName val="Bank_account103"/>
      <sheetName val="Tien_mat103"/>
      <sheetName val="Thong_tin_NV_nhan_tien_mat103"/>
      <sheetName val="TIME_TABLE_02_2016103"/>
      <sheetName val="TIME_TABLE_03_2016103"/>
      <sheetName val="Probation_Time102"/>
      <sheetName val="OT_Detail102"/>
      <sheetName val="NIGHT_SHIFT102"/>
      <sheetName val="Bank_account102"/>
      <sheetName val="Tien_mat102"/>
      <sheetName val="Thong_tin_NV_nhan_tien_mat102"/>
      <sheetName val="TIME_TABLE_02_2016102"/>
      <sheetName val="TIME_TABLE_03_2016102"/>
      <sheetName val="Probation_Time104"/>
      <sheetName val="OT_Detail104"/>
      <sheetName val="NIGHT_SHIFT104"/>
      <sheetName val="Bank_account104"/>
      <sheetName val="Tien_mat104"/>
      <sheetName val="Thong_tin_NV_nhan_tien_mat104"/>
      <sheetName val="TIME_TABLE_02_2016104"/>
      <sheetName val="TIME_TABLE_03_2016104"/>
      <sheetName val="Probation_Time105"/>
      <sheetName val="OT_Detail105"/>
      <sheetName val="NIGHT_SHIFT105"/>
      <sheetName val="Bank_account105"/>
      <sheetName val="Tien_mat105"/>
      <sheetName val="Thong_tin_NV_nhan_tien_mat105"/>
      <sheetName val="TIME_TABLE_02_2016105"/>
      <sheetName val="TIME_TABLE_03_2016105"/>
      <sheetName val="Probation_Time112"/>
      <sheetName val="OT_Detail112"/>
      <sheetName val="NIGHT_SHIFT112"/>
      <sheetName val="Bank_account112"/>
      <sheetName val="Tien_mat112"/>
      <sheetName val="Thong_tin_NV_nhan_tien_mat112"/>
      <sheetName val="TIME_TABLE_02_2016112"/>
      <sheetName val="TIME_TABLE_03_2016112"/>
      <sheetName val="Probation_Time107"/>
      <sheetName val="OT_Detail107"/>
      <sheetName val="NIGHT_SHIFT107"/>
      <sheetName val="Bank_account107"/>
      <sheetName val="Tien_mat107"/>
      <sheetName val="Thong_tin_NV_nhan_tien_mat107"/>
      <sheetName val="TIME_TABLE_02_2016107"/>
      <sheetName val="TIME_TABLE_03_2016107"/>
      <sheetName val="Probation_Time108"/>
      <sheetName val="OT_Detail108"/>
      <sheetName val="NIGHT_SHIFT108"/>
      <sheetName val="Bank_account108"/>
      <sheetName val="Tien_mat108"/>
      <sheetName val="Thong_tin_NV_nhan_tien_mat108"/>
      <sheetName val="TIME_TABLE_02_2016108"/>
      <sheetName val="TIME_TABLE_03_2016108"/>
      <sheetName val="Probation_Time109"/>
      <sheetName val="OT_Detail109"/>
      <sheetName val="NIGHT_SHIFT109"/>
      <sheetName val="Bank_account109"/>
      <sheetName val="Tien_mat109"/>
      <sheetName val="Thong_tin_NV_nhan_tien_mat109"/>
      <sheetName val="TIME_TABLE_02_2016109"/>
      <sheetName val="TIME_TABLE_03_2016109"/>
      <sheetName val="Probation_Time110"/>
      <sheetName val="OT_Detail110"/>
      <sheetName val="NIGHT_SHIFT110"/>
      <sheetName val="Bank_account110"/>
      <sheetName val="Tien_mat110"/>
      <sheetName val="Thong_tin_NV_nhan_tien_mat110"/>
      <sheetName val="TIME_TABLE_02_2016110"/>
      <sheetName val="TIME_TABLE_03_2016110"/>
      <sheetName val="Probation_Time111"/>
      <sheetName val="OT_Detail111"/>
      <sheetName val="NIGHT_SHIFT111"/>
      <sheetName val="Bank_account111"/>
      <sheetName val="Tien_mat111"/>
      <sheetName val="Thong_tin_NV_nhan_tien_mat111"/>
      <sheetName val="TIME_TABLE_02_2016111"/>
      <sheetName val="TIME_TABLE_03_2016111"/>
      <sheetName val="Probation_Time113"/>
      <sheetName val="OT_Detail113"/>
      <sheetName val="NIGHT_SHIFT113"/>
      <sheetName val="Bank_account113"/>
      <sheetName val="Tien_mat113"/>
      <sheetName val="Thong_tin_NV_nhan_tien_mat113"/>
      <sheetName val="TIME_TABLE_02_2016113"/>
      <sheetName val="TIME_TABLE_03_2016113"/>
      <sheetName val="Probation_Time114"/>
      <sheetName val="OT_Detail114"/>
      <sheetName val="NIGHT_SHIFT114"/>
      <sheetName val="Bank_account114"/>
      <sheetName val="Tien_mat114"/>
      <sheetName val="Thong_tin_NV_nhan_tien_mat114"/>
      <sheetName val="TIME_TABLE_02_2016114"/>
      <sheetName val="TIME_TABLE_03_2016114"/>
      <sheetName val="Probation_Time115"/>
      <sheetName val="OT_Detail115"/>
      <sheetName val="NIGHT_SHIFT115"/>
      <sheetName val="Bank_account115"/>
      <sheetName val="Tien_mat115"/>
      <sheetName val="Thong_tin_NV_nhan_tien_mat115"/>
      <sheetName val="TIME_TABLE_02_2016115"/>
      <sheetName val="TIME_TABLE_03_2016115"/>
      <sheetName val="Probation_Time116"/>
      <sheetName val="OT_Detail116"/>
      <sheetName val="NIGHT_SHIFT116"/>
      <sheetName val="Bank_account116"/>
      <sheetName val="Tien_mat116"/>
      <sheetName val="Thong_tin_NV_nhan_tien_mat116"/>
      <sheetName val="TIME_TABLE_02_2016116"/>
      <sheetName val="TIME_TABLE_03_2016116"/>
      <sheetName val="Probation_Time117"/>
      <sheetName val="OT_Detail117"/>
      <sheetName val="NIGHT_SHIFT117"/>
      <sheetName val="Bank_account117"/>
      <sheetName val="Tien_mat117"/>
      <sheetName val="Thong_tin_NV_nhan_tien_mat117"/>
      <sheetName val="TIME_TABLE_02_2016117"/>
      <sheetName val="TIME_TABLE_03_2016117"/>
      <sheetName val="Probation_Time119"/>
      <sheetName val="OT_Detail119"/>
      <sheetName val="NIGHT_SHIFT119"/>
      <sheetName val="Bank_account119"/>
      <sheetName val="Tien_mat119"/>
      <sheetName val="Thong_tin_NV_nhan_tien_mat119"/>
      <sheetName val="TIME_TABLE_02_2016119"/>
      <sheetName val="TIME_TABLE_03_2016119"/>
      <sheetName val="Probation_Time118"/>
      <sheetName val="OT_Detail118"/>
      <sheetName val="NIGHT_SHIFT118"/>
      <sheetName val="Bank_account118"/>
      <sheetName val="Tien_mat118"/>
      <sheetName val="Thong_tin_NV_nhan_tien_mat118"/>
      <sheetName val="TIME_TABLE_02_2016118"/>
      <sheetName val="TIME_TABLE_03_2016118"/>
      <sheetName val="Probation_Time120"/>
      <sheetName val="OT_Detail120"/>
      <sheetName val="NIGHT_SHIFT120"/>
      <sheetName val="Bank_account120"/>
      <sheetName val="Tien_mat120"/>
      <sheetName val="Thong_tin_NV_nhan_tien_mat120"/>
      <sheetName val="TIME_TABLE_02_2016120"/>
      <sheetName val="TIME_TABLE_03_2016120"/>
      <sheetName val="Probation_Time121"/>
      <sheetName val="OT_Detail121"/>
      <sheetName val="NIGHT_SHIFT121"/>
      <sheetName val="Bank_account121"/>
      <sheetName val="Tien_mat121"/>
      <sheetName val="Thong_tin_NV_nhan_tien_mat121"/>
      <sheetName val="TIME_TABLE_02_2016121"/>
      <sheetName val="TIME_TABLE_03_2016121"/>
      <sheetName val="Probation_Time122"/>
      <sheetName val="OT_Detail122"/>
      <sheetName val="NIGHT_SHIFT122"/>
      <sheetName val="Bank_account122"/>
      <sheetName val="Tien_mat122"/>
      <sheetName val="Thong_tin_NV_nhan_tien_mat122"/>
      <sheetName val="TIME_TABLE_02_2016122"/>
      <sheetName val="TIME_TABLE_03_2016122"/>
      <sheetName val="Probation_Time125"/>
      <sheetName val="OT_Detail125"/>
      <sheetName val="NIGHT_SHIFT125"/>
      <sheetName val="Bank_account125"/>
      <sheetName val="Tien_mat125"/>
      <sheetName val="Thong_tin_NV_nhan_tien_mat125"/>
      <sheetName val="TIME_TABLE_02_2016125"/>
      <sheetName val="TIME_TABLE_03_2016125"/>
      <sheetName val="Probation_Time123"/>
      <sheetName val="OT_Detail123"/>
      <sheetName val="NIGHT_SHIFT123"/>
      <sheetName val="Bank_account123"/>
      <sheetName val="Tien_mat123"/>
      <sheetName val="Thong_tin_NV_nhan_tien_mat123"/>
      <sheetName val="TIME_TABLE_02_2016123"/>
      <sheetName val="TIME_TABLE_03_2016123"/>
      <sheetName val="Probation_Time124"/>
      <sheetName val="OT_Detail124"/>
      <sheetName val="NIGHT_SHIFT124"/>
      <sheetName val="Bank_account124"/>
      <sheetName val="Tien_mat124"/>
      <sheetName val="Thong_tin_NV_nhan_tien_mat124"/>
      <sheetName val="TIME_TABLE_02_2016124"/>
      <sheetName val="TIME_TABLE_03_2016124"/>
      <sheetName val="Probation_Time128"/>
      <sheetName val="OT_Detail128"/>
      <sheetName val="NIGHT_SHIFT128"/>
      <sheetName val="Bank_account128"/>
      <sheetName val="Tien_mat128"/>
      <sheetName val="Thong_tin_NV_nhan_tien_mat128"/>
      <sheetName val="TIME_TABLE_02_2016128"/>
      <sheetName val="TIME_TABLE_03_2016128"/>
      <sheetName val="Probation_Time126"/>
      <sheetName val="OT_Detail126"/>
      <sheetName val="NIGHT_SHIFT126"/>
      <sheetName val="Bank_account126"/>
      <sheetName val="Tien_mat126"/>
      <sheetName val="Thong_tin_NV_nhan_tien_mat126"/>
      <sheetName val="TIME_TABLE_02_2016126"/>
      <sheetName val="TIME_TABLE_03_2016126"/>
      <sheetName val="Probation_Time127"/>
      <sheetName val="OT_Detail127"/>
      <sheetName val="NIGHT_SHIFT127"/>
      <sheetName val="Bank_account127"/>
      <sheetName val="Tien_mat127"/>
      <sheetName val="Thong_tin_NV_nhan_tien_mat127"/>
      <sheetName val="TIME_TABLE_02_2016127"/>
      <sheetName val="TIME_TABLE_03_2016127"/>
      <sheetName val="Probation_Time129"/>
      <sheetName val="OT_Detail129"/>
      <sheetName val="NIGHT_SHIFT129"/>
      <sheetName val="Bank_account129"/>
      <sheetName val="Tien_mat129"/>
      <sheetName val="Thong_tin_NV_nhan_tien_mat129"/>
      <sheetName val="TIME_TABLE_02_2016129"/>
      <sheetName val="TIME_TABLE_03_2016129"/>
      <sheetName val="Probation_Time130"/>
      <sheetName val="OT_Detail130"/>
      <sheetName val="NIGHT_SHIFT130"/>
      <sheetName val="Bank_account130"/>
      <sheetName val="Tien_mat130"/>
      <sheetName val="Thong_tin_NV_nhan_tien_mat130"/>
      <sheetName val="TIME_TABLE_02_2016130"/>
      <sheetName val="TIME_TABLE_03_2016130"/>
      <sheetName val="Probation_Time131"/>
      <sheetName val="OT_Detail131"/>
      <sheetName val="NIGHT_SHIFT131"/>
      <sheetName val="Bank_account131"/>
      <sheetName val="Tien_mat131"/>
      <sheetName val="Thong_tin_NV_nhan_tien_mat131"/>
      <sheetName val="TIME_TABLE_02_2016131"/>
      <sheetName val="TIME_TABLE_03_2016131"/>
      <sheetName val="Probation_Time132"/>
      <sheetName val="OT_Detail132"/>
      <sheetName val="NIGHT_SHIFT132"/>
      <sheetName val="Bank_account132"/>
      <sheetName val="Tien_mat132"/>
      <sheetName val="Thong_tin_NV_nhan_tien_mat132"/>
      <sheetName val="TIME_TABLE_02_2016132"/>
      <sheetName val="TIME_TABLE_03_2016132"/>
      <sheetName val="Probation_Time133"/>
      <sheetName val="OT_Detail133"/>
      <sheetName val="NIGHT_SHIFT133"/>
      <sheetName val="Bank_account133"/>
      <sheetName val="Tien_mat133"/>
      <sheetName val="Thong_tin_NV_nhan_tien_mat133"/>
      <sheetName val="TIME_TABLE_02_2016133"/>
      <sheetName val="TIME_TABLE_03_2016133"/>
      <sheetName val="Probation_Time134"/>
      <sheetName val="OT_Detail134"/>
      <sheetName val="NIGHT_SHIFT134"/>
      <sheetName val="Bank_account134"/>
      <sheetName val="Tien_mat134"/>
      <sheetName val="Thong_tin_NV_nhan_tien_mat134"/>
      <sheetName val="TIME_TABLE_02_2016134"/>
      <sheetName val="TIME_TABLE_03_2016134"/>
      <sheetName val="Probation_Time136"/>
      <sheetName val="OT_Detail136"/>
      <sheetName val="NIGHT_SHIFT136"/>
      <sheetName val="Bank_account136"/>
      <sheetName val="Tien_mat136"/>
      <sheetName val="Thong_tin_NV_nhan_tien_mat136"/>
      <sheetName val="TIME_TABLE_02_2016136"/>
      <sheetName val="TIME_TABLE_03_2016136"/>
      <sheetName val="Probation_Time135"/>
      <sheetName val="OT_Detail135"/>
      <sheetName val="NIGHT_SHIFT135"/>
      <sheetName val="Bank_account135"/>
      <sheetName val="Tien_mat135"/>
      <sheetName val="Thong_tin_NV_nhan_tien_mat135"/>
      <sheetName val="TIME_TABLE_02_2016135"/>
      <sheetName val="TIME_TABLE_03_2016135"/>
      <sheetName val="Probation_Time137"/>
      <sheetName val="OT_Detail137"/>
      <sheetName val="NIGHT_SHIFT137"/>
      <sheetName val="Bank_account137"/>
      <sheetName val="Tien_mat137"/>
      <sheetName val="Thong_tin_NV_nhan_tien_mat137"/>
      <sheetName val="TIME_TABLE_02_2016137"/>
      <sheetName val="TIME_TABLE_03_2016137"/>
      <sheetName val="Probation_Time138"/>
      <sheetName val="OT_Detail138"/>
      <sheetName val="NIGHT_SHIFT138"/>
      <sheetName val="Bank_account138"/>
      <sheetName val="Tien_mat138"/>
      <sheetName val="Thong_tin_NV_nhan_tien_mat138"/>
      <sheetName val="TIME_TABLE_02_2016138"/>
      <sheetName val="TIME_TABLE_03_2016138"/>
      <sheetName val="Probation_Time139"/>
      <sheetName val="OT_Detail139"/>
      <sheetName val="NIGHT_SHIFT139"/>
      <sheetName val="Bank_account139"/>
      <sheetName val="Tien_mat139"/>
      <sheetName val="Thong_tin_NV_nhan_tien_mat139"/>
      <sheetName val="TIME_TABLE_02_2016139"/>
      <sheetName val="TIME_TABLE_03_2016139"/>
      <sheetName val="Probation_Time140"/>
      <sheetName val="OT_Detail140"/>
      <sheetName val="NIGHT_SHIFT140"/>
      <sheetName val="Bank_account140"/>
      <sheetName val="Tien_mat140"/>
      <sheetName val="Thong_tin_NV_nhan_tien_mat140"/>
      <sheetName val="TIME_TABLE_02_2016140"/>
      <sheetName val="TIME_TABLE_03_2016140"/>
      <sheetName val="Probation_Time141"/>
      <sheetName val="OT_Detail141"/>
      <sheetName val="NIGHT_SHIFT141"/>
      <sheetName val="Bank_account141"/>
      <sheetName val="Tien_mat141"/>
      <sheetName val="Thong_tin_NV_nhan_tien_mat141"/>
      <sheetName val="TIME_TABLE_02_2016141"/>
      <sheetName val="TIME_TABLE_03_2016141"/>
      <sheetName val="Probation_Time142"/>
      <sheetName val="OT_Detail142"/>
      <sheetName val="NIGHT_SHIFT142"/>
      <sheetName val="Bank_account142"/>
      <sheetName val="Tien_mat142"/>
      <sheetName val="Thong_tin_NV_nhan_tien_mat142"/>
      <sheetName val="TIME_TABLE_02_2016142"/>
      <sheetName val="TIME_TABLE_03_2016142"/>
      <sheetName val="Probation_Time143"/>
      <sheetName val="OT_Detail143"/>
      <sheetName val="NIGHT_SHIFT143"/>
      <sheetName val="Bank_account143"/>
      <sheetName val="Tien_mat143"/>
      <sheetName val="Thong_tin_NV_nhan_tien_mat143"/>
      <sheetName val="TIME_TABLE_02_2016143"/>
      <sheetName val="TIME_TABLE_03_2016143"/>
      <sheetName val="Probation_Time144"/>
      <sheetName val="OT_Detail144"/>
      <sheetName val="NIGHT_SHIFT144"/>
      <sheetName val="Bank_account144"/>
      <sheetName val="Tien_mat144"/>
      <sheetName val="Thong_tin_NV_nhan_tien_mat144"/>
      <sheetName val="TIME_TABLE_02_2016144"/>
      <sheetName val="TIME_TABLE_03_2016144"/>
      <sheetName val="Probation_Time145"/>
      <sheetName val="OT_Detail145"/>
      <sheetName val="NIGHT_SHIFT145"/>
      <sheetName val="Bank_account145"/>
      <sheetName val="Tien_mat145"/>
      <sheetName val="Thong_tin_NV_nhan_tien_mat145"/>
      <sheetName val="TIME_TABLE_02_2016145"/>
      <sheetName val="TIME_TABLE_03_2016145"/>
      <sheetName val="Probation_Time149"/>
      <sheetName val="OT_Detail149"/>
      <sheetName val="NIGHT_SHIFT149"/>
      <sheetName val="Bank_account149"/>
      <sheetName val="Tien_mat149"/>
      <sheetName val="Thong_tin_NV_nhan_tien_mat149"/>
      <sheetName val="TIME_TABLE_02_2016149"/>
      <sheetName val="TIME_TABLE_03_2016149"/>
      <sheetName val="Probation_Time146"/>
      <sheetName val="OT_Detail146"/>
      <sheetName val="NIGHT_SHIFT146"/>
      <sheetName val="Bank_account146"/>
      <sheetName val="Tien_mat146"/>
      <sheetName val="Thong_tin_NV_nhan_tien_mat146"/>
      <sheetName val="TIME_TABLE_02_2016146"/>
      <sheetName val="TIME_TABLE_03_2016146"/>
      <sheetName val="Probation_Time147"/>
      <sheetName val="OT_Detail147"/>
      <sheetName val="NIGHT_SHIFT147"/>
      <sheetName val="Bank_account147"/>
      <sheetName val="Tien_mat147"/>
      <sheetName val="Thong_tin_NV_nhan_tien_mat147"/>
      <sheetName val="TIME_TABLE_02_2016147"/>
      <sheetName val="TIME_TABLE_03_2016147"/>
      <sheetName val="Probation_Time148"/>
      <sheetName val="OT_Detail148"/>
      <sheetName val="NIGHT_SHIFT148"/>
      <sheetName val="Bank_account148"/>
      <sheetName val="Tien_mat148"/>
      <sheetName val="Thong_tin_NV_nhan_tien_mat148"/>
      <sheetName val="TIME_TABLE_02_2016148"/>
      <sheetName val="TIME_TABLE_03_2016148"/>
      <sheetName val="Probation_Time152"/>
      <sheetName val="OT_Detail152"/>
      <sheetName val="NIGHT_SHIFT152"/>
      <sheetName val="Bank_account152"/>
      <sheetName val="Tien_mat152"/>
      <sheetName val="Thong_tin_NV_nhan_tien_mat152"/>
      <sheetName val="TIME_TABLE_02_2016152"/>
      <sheetName val="TIME_TABLE_03_2016152"/>
      <sheetName val="Probation_Time150"/>
      <sheetName val="OT_Detail150"/>
      <sheetName val="NIGHT_SHIFT150"/>
      <sheetName val="Bank_account150"/>
      <sheetName val="Tien_mat150"/>
      <sheetName val="Thong_tin_NV_nhan_tien_mat150"/>
      <sheetName val="TIME_TABLE_02_2016150"/>
      <sheetName val="TIME_TABLE_03_2016150"/>
      <sheetName val="Probation_Time151"/>
      <sheetName val="OT_Detail151"/>
      <sheetName val="NIGHT_SHIFT151"/>
      <sheetName val="Bank_account151"/>
      <sheetName val="Tien_mat151"/>
      <sheetName val="Thong_tin_NV_nhan_tien_mat151"/>
      <sheetName val="TIME_TABLE_02_2016151"/>
      <sheetName val="TIME_TABLE_03_2016151"/>
      <sheetName val="Probation_Time153"/>
      <sheetName val="OT_Detail153"/>
      <sheetName val="NIGHT_SHIFT153"/>
      <sheetName val="Bank_account153"/>
      <sheetName val="Tien_mat153"/>
      <sheetName val="Thong_tin_NV_nhan_tien_mat153"/>
      <sheetName val="TIME_TABLE_02_2016153"/>
      <sheetName val="TIME_TABLE_03_2016153"/>
      <sheetName val="Probation_Time154"/>
      <sheetName val="OT_Detail154"/>
      <sheetName val="NIGHT_SHIFT154"/>
      <sheetName val="Bank_account154"/>
      <sheetName val="Tien_mat154"/>
      <sheetName val="Thong_tin_NV_nhan_tien_mat154"/>
      <sheetName val="TIME_TABLE_02_2016154"/>
      <sheetName val="TIME_TABLE_03_2016154"/>
      <sheetName val="Probation_Time155"/>
      <sheetName val="OT_Detail155"/>
      <sheetName val="NIGHT_SHIFT155"/>
      <sheetName val="Bank_account155"/>
      <sheetName val="Tien_mat155"/>
      <sheetName val="Thong_tin_NV_nhan_tien_mat155"/>
      <sheetName val="TIME_TABLE_02_2016155"/>
      <sheetName val="TIME_TABLE_03_2016155"/>
      <sheetName val="Probation_Time156"/>
      <sheetName val="OT_Detail156"/>
      <sheetName val="NIGHT_SHIFT156"/>
      <sheetName val="Bank_account156"/>
      <sheetName val="Tien_mat156"/>
      <sheetName val="Thong_tin_NV_nhan_tien_mat156"/>
      <sheetName val="TIME_TABLE_02_2016156"/>
      <sheetName val="TIME_TABLE_03_2016156"/>
      <sheetName val="Probation_Time162"/>
      <sheetName val="OT_Detail162"/>
      <sheetName val="NIGHT_SHIFT162"/>
      <sheetName val="Bank_account162"/>
      <sheetName val="Tien_mat162"/>
      <sheetName val="Thong_tin_NV_nhan_tien_mat162"/>
      <sheetName val="TIME_TABLE_02_2016162"/>
      <sheetName val="TIME_TABLE_03_2016162"/>
      <sheetName val="Probation_Time159"/>
      <sheetName val="OT_Detail159"/>
      <sheetName val="NIGHT_SHIFT159"/>
      <sheetName val="Bank_account159"/>
      <sheetName val="Tien_mat159"/>
      <sheetName val="Thong_tin_NV_nhan_tien_mat159"/>
      <sheetName val="TIME_TABLE_02_2016159"/>
      <sheetName val="TIME_TABLE_03_2016159"/>
      <sheetName val="Probation_Time157"/>
      <sheetName val="OT_Detail157"/>
      <sheetName val="NIGHT_SHIFT157"/>
      <sheetName val="Bank_account157"/>
      <sheetName val="Tien_mat157"/>
      <sheetName val="Thong_tin_NV_nhan_tien_mat157"/>
      <sheetName val="TIME_TABLE_02_2016157"/>
      <sheetName val="TIME_TABLE_03_2016157"/>
      <sheetName val="Probation_Time158"/>
      <sheetName val="OT_Detail158"/>
      <sheetName val="NIGHT_SHIFT158"/>
      <sheetName val="Bank_account158"/>
      <sheetName val="Tien_mat158"/>
      <sheetName val="Thong_tin_NV_nhan_tien_mat158"/>
      <sheetName val="TIME_TABLE_02_2016158"/>
      <sheetName val="TIME_TABLE_03_2016158"/>
      <sheetName val="Probation_Time160"/>
      <sheetName val="OT_Detail160"/>
      <sheetName val="NIGHT_SHIFT160"/>
      <sheetName val="Bank_account160"/>
      <sheetName val="Tien_mat160"/>
      <sheetName val="Thong_tin_NV_nhan_tien_mat160"/>
      <sheetName val="TIME_TABLE_02_2016160"/>
      <sheetName val="TIME_TABLE_03_2016160"/>
      <sheetName val="Probation_Time161"/>
      <sheetName val="OT_Detail161"/>
      <sheetName val="NIGHT_SHIFT161"/>
      <sheetName val="Bank_account161"/>
      <sheetName val="Tien_mat161"/>
      <sheetName val="Thong_tin_NV_nhan_tien_mat161"/>
      <sheetName val="TIME_TABLE_02_2016161"/>
      <sheetName val="TIME_TABLE_03_2016161"/>
      <sheetName val="Probation_Time163"/>
      <sheetName val="OT_Detail163"/>
      <sheetName val="NIGHT_SHIFT163"/>
      <sheetName val="Bank_account163"/>
      <sheetName val="Tien_mat163"/>
      <sheetName val="Thong_tin_NV_nhan_tien_mat163"/>
      <sheetName val="TIME_TABLE_02_2016163"/>
      <sheetName val="TIME_TABLE_03_2016163"/>
      <sheetName val="Probation_Time164"/>
      <sheetName val="OT_Detail164"/>
      <sheetName val="NIGHT_SHIFT164"/>
      <sheetName val="Bank_account164"/>
      <sheetName val="Tien_mat164"/>
      <sheetName val="Thong_tin_NV_nhan_tien_mat164"/>
      <sheetName val="TIME_TABLE_02_2016164"/>
      <sheetName val="TIME_TABLE_03_2016164"/>
      <sheetName val="Probation_Time165"/>
      <sheetName val="OT_Detail165"/>
      <sheetName val="NIGHT_SHIFT165"/>
      <sheetName val="Bank_account165"/>
      <sheetName val="Tien_mat165"/>
      <sheetName val="Thong_tin_NV_nhan_tien_mat165"/>
      <sheetName val="TIME_TABLE_02_2016165"/>
      <sheetName val="TIME_TABLE_03_2016165"/>
      <sheetName val="Probation_Time166"/>
      <sheetName val="OT_Detail166"/>
      <sheetName val="NIGHT_SHIFT166"/>
      <sheetName val="Bank_account166"/>
      <sheetName val="Tien_mat166"/>
      <sheetName val="Thong_tin_NV_nhan_tien_mat166"/>
      <sheetName val="TIME_TABLE_02_2016166"/>
      <sheetName val="TIME_TABLE_03_2016166"/>
      <sheetName val="Probation_Time171"/>
      <sheetName val="OT_Detail171"/>
      <sheetName val="NIGHT_SHIFT171"/>
      <sheetName val="Bank_account171"/>
      <sheetName val="Tien_mat171"/>
      <sheetName val="Thong_tin_NV_nhan_tien_mat171"/>
      <sheetName val="TIME_TABLE_02_2016171"/>
      <sheetName val="TIME_TABLE_03_2016171"/>
      <sheetName val="Probation_Time167"/>
      <sheetName val="OT_Detail167"/>
      <sheetName val="NIGHT_SHIFT167"/>
      <sheetName val="Bank_account167"/>
      <sheetName val="Tien_mat167"/>
      <sheetName val="Thong_tin_NV_nhan_tien_mat167"/>
      <sheetName val="TIME_TABLE_02_2016167"/>
      <sheetName val="TIME_TABLE_03_2016167"/>
      <sheetName val="Probation_Time168"/>
      <sheetName val="OT_Detail168"/>
      <sheetName val="NIGHT_SHIFT168"/>
      <sheetName val="Bank_account168"/>
      <sheetName val="Tien_mat168"/>
      <sheetName val="Thong_tin_NV_nhan_tien_mat168"/>
      <sheetName val="TIME_TABLE_02_2016168"/>
      <sheetName val="TIME_TABLE_03_2016168"/>
      <sheetName val="Probation_Time169"/>
      <sheetName val="OT_Detail169"/>
      <sheetName val="NIGHT_SHIFT169"/>
      <sheetName val="Bank_account169"/>
      <sheetName val="Tien_mat169"/>
      <sheetName val="Thong_tin_NV_nhan_tien_mat169"/>
      <sheetName val="TIME_TABLE_02_2016169"/>
      <sheetName val="TIME_TABLE_03_2016169"/>
      <sheetName val="Probation_Time170"/>
      <sheetName val="OT_Detail170"/>
      <sheetName val="NIGHT_SHIFT170"/>
      <sheetName val="Bank_account170"/>
      <sheetName val="Tien_mat170"/>
      <sheetName val="Thong_tin_NV_nhan_tien_mat170"/>
      <sheetName val="TIME_TABLE_02_2016170"/>
      <sheetName val="TIME_TABLE_03_2016170"/>
      <sheetName val="Probation_Time172"/>
      <sheetName val="OT_Detail172"/>
      <sheetName val="NIGHT_SHIFT172"/>
      <sheetName val="Bank_account172"/>
      <sheetName val="Tien_mat172"/>
      <sheetName val="Thong_tin_NV_nhan_tien_mat172"/>
      <sheetName val="TIME_TABLE_02_2016172"/>
      <sheetName val="TIME_TABLE_03_2016172"/>
      <sheetName val="Probation_Time173"/>
      <sheetName val="OT_Detail173"/>
      <sheetName val="NIGHT_SHIFT173"/>
      <sheetName val="Bank_account173"/>
      <sheetName val="Tien_mat173"/>
      <sheetName val="Thong_tin_NV_nhan_tien_mat173"/>
      <sheetName val="TIME_TABLE_02_2016173"/>
      <sheetName val="TIME_TABLE_03_2016173"/>
      <sheetName val="Probation_Time179"/>
      <sheetName val="OT_Detail179"/>
      <sheetName val="NIGHT_SHIFT179"/>
      <sheetName val="Bank_account179"/>
      <sheetName val="Tien_mat179"/>
      <sheetName val="Thong_tin_NV_nhan_tien_mat179"/>
      <sheetName val="TIME_TABLE_02_2016179"/>
      <sheetName val="TIME_TABLE_03_2016179"/>
      <sheetName val="Probation_Time174"/>
      <sheetName val="OT_Detail174"/>
      <sheetName val="NIGHT_SHIFT174"/>
      <sheetName val="Bank_account174"/>
      <sheetName val="Tien_mat174"/>
      <sheetName val="Thong_tin_NV_nhan_tien_mat174"/>
      <sheetName val="TIME_TABLE_02_2016174"/>
      <sheetName val="TIME_TABLE_03_2016174"/>
      <sheetName val="Probation_Time175"/>
      <sheetName val="OT_Detail175"/>
      <sheetName val="NIGHT_SHIFT175"/>
      <sheetName val="Bank_account175"/>
      <sheetName val="Tien_mat175"/>
      <sheetName val="Thong_tin_NV_nhan_tien_mat175"/>
      <sheetName val="TIME_TABLE_02_2016175"/>
      <sheetName val="TIME_TABLE_03_2016175"/>
      <sheetName val="Probation_Time176"/>
      <sheetName val="OT_Detail176"/>
      <sheetName val="NIGHT_SHIFT176"/>
      <sheetName val="Bank_account176"/>
      <sheetName val="Tien_mat176"/>
      <sheetName val="Thong_tin_NV_nhan_tien_mat176"/>
      <sheetName val="TIME_TABLE_02_2016176"/>
      <sheetName val="TIME_TABLE_03_2016176"/>
      <sheetName val="Probation_Time177"/>
      <sheetName val="OT_Detail177"/>
      <sheetName val="NIGHT_SHIFT177"/>
      <sheetName val="Bank_account177"/>
      <sheetName val="Tien_mat177"/>
      <sheetName val="Thong_tin_NV_nhan_tien_mat177"/>
      <sheetName val="TIME_TABLE_02_2016177"/>
      <sheetName val="TIME_TABLE_03_2016177"/>
      <sheetName val="Probation_Time178"/>
      <sheetName val="OT_Detail178"/>
      <sheetName val="NIGHT_SHIFT178"/>
      <sheetName val="Bank_account178"/>
      <sheetName val="Tien_mat178"/>
      <sheetName val="Thong_tin_NV_nhan_tien_mat178"/>
      <sheetName val="TIME_TABLE_02_2016178"/>
      <sheetName val="TIME_TABLE_03_2016178"/>
      <sheetName val="Probation_Time180"/>
      <sheetName val="OT_Detail180"/>
      <sheetName val="NIGHT_SHIFT180"/>
      <sheetName val="Bank_account180"/>
      <sheetName val="Tien_mat180"/>
      <sheetName val="Thong_tin_NV_nhan_tien_mat180"/>
      <sheetName val="TIME_TABLE_02_2016180"/>
      <sheetName val="TIME_TABLE_03_2016180"/>
      <sheetName val="Probation_Time181"/>
      <sheetName val="OT_Detail181"/>
      <sheetName val="NIGHT_SHIFT181"/>
      <sheetName val="Bank_account181"/>
      <sheetName val="Tien_mat181"/>
      <sheetName val="Thong_tin_NV_nhan_tien_mat181"/>
      <sheetName val="TIME_TABLE_02_2016181"/>
      <sheetName val="TIME_TABLE_03_2016181"/>
      <sheetName val="Probation_Time183"/>
      <sheetName val="OT_Detail183"/>
      <sheetName val="NIGHT_SHIFT183"/>
      <sheetName val="Bank_account183"/>
      <sheetName val="Tien_mat183"/>
      <sheetName val="Thong_tin_NV_nhan_tien_mat183"/>
      <sheetName val="TIME_TABLE_02_2016183"/>
      <sheetName val="TIME_TABLE_03_2016183"/>
      <sheetName val="Probation_Time182"/>
      <sheetName val="OT_Detail182"/>
      <sheetName val="NIGHT_SHIFT182"/>
      <sheetName val="Bank_account182"/>
      <sheetName val="Tien_mat182"/>
      <sheetName val="Thong_tin_NV_nhan_tien_mat182"/>
      <sheetName val="TIME_TABLE_02_2016182"/>
      <sheetName val="TIME_TABLE_03_2016182"/>
      <sheetName val="Probation_Time184"/>
      <sheetName val="OT_Detail184"/>
      <sheetName val="NIGHT_SHIFT184"/>
      <sheetName val="Bank_account184"/>
      <sheetName val="Tien_mat184"/>
      <sheetName val="Thong_tin_NV_nhan_tien_mat184"/>
      <sheetName val="TIME_TABLE_02_2016184"/>
      <sheetName val="TIME_TABLE_03_2016184"/>
      <sheetName val="Probation_Time185"/>
      <sheetName val="OT_Detail185"/>
      <sheetName val="NIGHT_SHIFT185"/>
      <sheetName val="Bank_account185"/>
      <sheetName val="Tien_mat185"/>
      <sheetName val="Thong_tin_NV_nhan_tien_mat185"/>
      <sheetName val="TIME_TABLE_02_2016185"/>
      <sheetName val="TIME_TABLE_03_2016185"/>
      <sheetName val="Probation_Time208"/>
      <sheetName val="OT_Detail208"/>
      <sheetName val="NIGHT_SHIFT208"/>
      <sheetName val="Bank_account208"/>
      <sheetName val="Tien_mat208"/>
      <sheetName val="Thong_tin_NV_nhan_tien_mat208"/>
      <sheetName val="TIME_TABLE_02_2016208"/>
      <sheetName val="TIME_TABLE_03_2016208"/>
      <sheetName val="Probation_Time190"/>
      <sheetName val="OT_Detail190"/>
      <sheetName val="NIGHT_SHIFT190"/>
      <sheetName val="Bank_account190"/>
      <sheetName val="Tien_mat190"/>
      <sheetName val="Thong_tin_NV_nhan_tien_mat190"/>
      <sheetName val="TIME_TABLE_02_2016190"/>
      <sheetName val="TIME_TABLE_03_2016190"/>
      <sheetName val="Probation_Time186"/>
      <sheetName val="OT_Detail186"/>
      <sheetName val="NIGHT_SHIFT186"/>
      <sheetName val="Bank_account186"/>
      <sheetName val="Tien_mat186"/>
      <sheetName val="Thong_tin_NV_nhan_tien_mat186"/>
      <sheetName val="TIME_TABLE_02_2016186"/>
      <sheetName val="TIME_TABLE_03_2016186"/>
      <sheetName val="Probation_Time188"/>
      <sheetName val="OT_Detail188"/>
      <sheetName val="NIGHT_SHIFT188"/>
      <sheetName val="Bank_account188"/>
      <sheetName val="Tien_mat188"/>
      <sheetName val="Thong_tin_NV_nhan_tien_mat188"/>
      <sheetName val="TIME_TABLE_02_2016188"/>
      <sheetName val="TIME_TABLE_03_2016188"/>
      <sheetName val="Probation_Time187"/>
      <sheetName val="OT_Detail187"/>
      <sheetName val="NIGHT_SHIFT187"/>
      <sheetName val="Bank_account187"/>
      <sheetName val="Tien_mat187"/>
      <sheetName val="Thong_tin_NV_nhan_tien_mat187"/>
      <sheetName val="TIME_TABLE_02_2016187"/>
      <sheetName val="TIME_TABLE_03_2016187"/>
      <sheetName val="Probation_Time189"/>
      <sheetName val="OT_Detail189"/>
      <sheetName val="NIGHT_SHIFT189"/>
      <sheetName val="Bank_account189"/>
      <sheetName val="Tien_mat189"/>
      <sheetName val="Thong_tin_NV_nhan_tien_mat189"/>
      <sheetName val="TIME_TABLE_02_2016189"/>
      <sheetName val="TIME_TABLE_03_2016189"/>
      <sheetName val="Probation_Time207"/>
      <sheetName val="OT_Detail207"/>
      <sheetName val="NIGHT_SHIFT207"/>
      <sheetName val="Bank_account207"/>
      <sheetName val="Tien_mat207"/>
      <sheetName val="Thong_tin_NV_nhan_tien_mat207"/>
      <sheetName val="TIME_TABLE_02_2016207"/>
      <sheetName val="TIME_TABLE_03_2016207"/>
      <sheetName val="Probation_Time191"/>
      <sheetName val="OT_Detail191"/>
      <sheetName val="NIGHT_SHIFT191"/>
      <sheetName val="Bank_account191"/>
      <sheetName val="Tien_mat191"/>
      <sheetName val="Thong_tin_NV_nhan_tien_mat191"/>
      <sheetName val="TIME_TABLE_02_2016191"/>
      <sheetName val="TIME_TABLE_03_2016191"/>
      <sheetName val="Probation_Time192"/>
      <sheetName val="OT_Detail192"/>
      <sheetName val="NIGHT_SHIFT192"/>
      <sheetName val="Bank_account192"/>
      <sheetName val="Tien_mat192"/>
      <sheetName val="Thong_tin_NV_nhan_tien_mat192"/>
      <sheetName val="TIME_TABLE_02_2016192"/>
      <sheetName val="TIME_TABLE_03_2016192"/>
      <sheetName val="Probation_Time193"/>
      <sheetName val="OT_Detail193"/>
      <sheetName val="NIGHT_SHIFT193"/>
      <sheetName val="Bank_account193"/>
      <sheetName val="Tien_mat193"/>
      <sheetName val="Thong_tin_NV_nhan_tien_mat193"/>
      <sheetName val="TIME_TABLE_02_2016193"/>
      <sheetName val="TIME_TABLE_03_2016193"/>
      <sheetName val="Probation_Time194"/>
      <sheetName val="OT_Detail194"/>
      <sheetName val="NIGHT_SHIFT194"/>
      <sheetName val="Bank_account194"/>
      <sheetName val="Tien_mat194"/>
      <sheetName val="Thong_tin_NV_nhan_tien_mat194"/>
      <sheetName val="TIME_TABLE_02_2016194"/>
      <sheetName val="TIME_TABLE_03_2016194"/>
      <sheetName val="Probation_Time204"/>
      <sheetName val="OT_Detail204"/>
      <sheetName val="NIGHT_SHIFT204"/>
      <sheetName val="Bank_account204"/>
      <sheetName val="Tien_mat204"/>
      <sheetName val="Thong_tin_NV_nhan_tien_mat204"/>
      <sheetName val="TIME_TABLE_02_2016204"/>
      <sheetName val="TIME_TABLE_03_2016204"/>
      <sheetName val="Probation_Time202"/>
      <sheetName val="OT_Detail202"/>
      <sheetName val="NIGHT_SHIFT202"/>
      <sheetName val="Bank_account202"/>
      <sheetName val="Tien_mat202"/>
      <sheetName val="Thong_tin_NV_nhan_tien_mat202"/>
      <sheetName val="TIME_TABLE_02_2016202"/>
      <sheetName val="TIME_TABLE_03_2016202"/>
      <sheetName val="Probation_Time195"/>
      <sheetName val="OT_Detail195"/>
      <sheetName val="NIGHT_SHIFT195"/>
      <sheetName val="Bank_account195"/>
      <sheetName val="Tien_mat195"/>
      <sheetName val="Thong_tin_NV_nhan_tien_mat195"/>
      <sheetName val="TIME_TABLE_02_2016195"/>
      <sheetName val="TIME_TABLE_03_2016195"/>
      <sheetName val="Probation_Time198"/>
      <sheetName val="OT_Detail198"/>
      <sheetName val="NIGHT_SHIFT198"/>
      <sheetName val="Bank_account198"/>
      <sheetName val="Tien_mat198"/>
      <sheetName val="Thong_tin_NV_nhan_tien_mat198"/>
      <sheetName val="TIME_TABLE_02_2016198"/>
      <sheetName val="TIME_TABLE_03_2016198"/>
      <sheetName val="Probation_Time196"/>
      <sheetName val="OT_Detail196"/>
      <sheetName val="NIGHT_SHIFT196"/>
      <sheetName val="Bank_account196"/>
      <sheetName val="Tien_mat196"/>
      <sheetName val="Thong_tin_NV_nhan_tien_mat196"/>
      <sheetName val="TIME_TABLE_02_2016196"/>
      <sheetName val="TIME_TABLE_03_2016196"/>
      <sheetName val="Probation_Time197"/>
      <sheetName val="OT_Detail197"/>
      <sheetName val="NIGHT_SHIFT197"/>
      <sheetName val="Bank_account197"/>
      <sheetName val="Tien_mat197"/>
      <sheetName val="Thong_tin_NV_nhan_tien_mat197"/>
      <sheetName val="TIME_TABLE_02_2016197"/>
      <sheetName val="TIME_TABLE_03_2016197"/>
      <sheetName val="Probation_Time199"/>
      <sheetName val="OT_Detail199"/>
      <sheetName val="NIGHT_SHIFT199"/>
      <sheetName val="Bank_account199"/>
      <sheetName val="Tien_mat199"/>
      <sheetName val="Thong_tin_NV_nhan_tien_mat199"/>
      <sheetName val="TIME_TABLE_02_2016199"/>
      <sheetName val="TIME_TABLE_03_2016199"/>
      <sheetName val="Probation_Time200"/>
      <sheetName val="OT_Detail200"/>
      <sheetName val="NIGHT_SHIFT200"/>
      <sheetName val="Bank_account200"/>
      <sheetName val="Tien_mat200"/>
      <sheetName val="Thong_tin_NV_nhan_tien_mat200"/>
      <sheetName val="TIME_TABLE_02_2016200"/>
      <sheetName val="TIME_TABLE_03_2016200"/>
      <sheetName val="Probation_Time201"/>
      <sheetName val="OT_Detail201"/>
      <sheetName val="NIGHT_SHIFT201"/>
      <sheetName val="Bank_account201"/>
      <sheetName val="Tien_mat201"/>
      <sheetName val="Thong_tin_NV_nhan_tien_mat201"/>
      <sheetName val="TIME_TABLE_02_2016201"/>
      <sheetName val="TIME_TABLE_03_2016201"/>
      <sheetName val="Probation_Time203"/>
      <sheetName val="OT_Detail203"/>
      <sheetName val="NIGHT_SHIFT203"/>
      <sheetName val="Bank_account203"/>
      <sheetName val="Tien_mat203"/>
      <sheetName val="Thong_tin_NV_nhan_tien_mat203"/>
      <sheetName val="TIME_TABLE_02_2016203"/>
      <sheetName val="TIME_TABLE_03_2016203"/>
      <sheetName val="Probation_Time205"/>
      <sheetName val="OT_Detail205"/>
      <sheetName val="NIGHT_SHIFT205"/>
      <sheetName val="Bank_account205"/>
      <sheetName val="Tien_mat205"/>
      <sheetName val="Thong_tin_NV_nhan_tien_mat205"/>
      <sheetName val="TIME_TABLE_02_2016205"/>
      <sheetName val="TIME_TABLE_03_2016205"/>
      <sheetName val="Probation_Time206"/>
      <sheetName val="OT_Detail206"/>
      <sheetName val="NIGHT_SHIFT206"/>
      <sheetName val="Bank_account206"/>
      <sheetName val="Tien_mat206"/>
      <sheetName val="Thong_tin_NV_nhan_tien_mat206"/>
      <sheetName val="TIME_TABLE_02_2016206"/>
      <sheetName val="TIME_TABLE_03_2016206"/>
      <sheetName val="Probation_Time209"/>
      <sheetName val="OT_Detail209"/>
      <sheetName val="NIGHT_SHIFT209"/>
      <sheetName val="Bank_account209"/>
      <sheetName val="Tien_mat209"/>
      <sheetName val="Thong_tin_NV_nhan_tien_mat209"/>
      <sheetName val="TIME_TABLE_02_2016209"/>
      <sheetName val="TIME_TABLE_03_2016209"/>
      <sheetName val="Probation_Time210"/>
      <sheetName val="OT_Detail210"/>
      <sheetName val="NIGHT_SHIFT210"/>
      <sheetName val="Bank_account210"/>
      <sheetName val="Tien_mat210"/>
      <sheetName val="Thong_tin_NV_nhan_tien_mat210"/>
      <sheetName val="TIME_TABLE_02_2016210"/>
      <sheetName val="TIME_TABLE_03_2016210"/>
      <sheetName val="Probation_Time211"/>
      <sheetName val="OT_Detail211"/>
      <sheetName val="NIGHT_SHIFT211"/>
      <sheetName val="Bank_account211"/>
      <sheetName val="Tien_mat211"/>
      <sheetName val="Thong_tin_NV_nhan_tien_mat211"/>
      <sheetName val="TIME_TABLE_02_2016211"/>
      <sheetName val="TIME_TABLE_03_2016211"/>
      <sheetName val="Probation_Time212"/>
      <sheetName val="OT_Detail212"/>
      <sheetName val="NIGHT_SHIFT212"/>
      <sheetName val="Bank_account212"/>
      <sheetName val="Tien_mat212"/>
      <sheetName val="Thong_tin_NV_nhan_tien_mat212"/>
      <sheetName val="TIME_TABLE_02_2016212"/>
      <sheetName val="TIME_TABLE_03_2016212"/>
      <sheetName val="Probation_Time214"/>
      <sheetName val="OT_Detail214"/>
      <sheetName val="NIGHT_SHIFT214"/>
      <sheetName val="Bank_account214"/>
      <sheetName val="Tien_mat214"/>
      <sheetName val="Thong_tin_NV_nhan_tien_mat214"/>
      <sheetName val="TIME_TABLE_02_2016214"/>
      <sheetName val="TIME_TABLE_03_2016214"/>
      <sheetName val="Probation_Time213"/>
      <sheetName val="OT_Detail213"/>
      <sheetName val="NIGHT_SHIFT213"/>
      <sheetName val="Bank_account213"/>
      <sheetName val="Tien_mat213"/>
      <sheetName val="Thong_tin_NV_nhan_tien_mat213"/>
      <sheetName val="TIME_TABLE_02_2016213"/>
      <sheetName val="TIME_TABLE_03_2016213"/>
      <sheetName val="Probation_Time215"/>
      <sheetName val="OT_Detail215"/>
      <sheetName val="NIGHT_SHIFT215"/>
      <sheetName val="Bank_account215"/>
      <sheetName val="Tien_mat215"/>
      <sheetName val="Thong_tin_NV_nhan_tien_mat215"/>
      <sheetName val="TIME_TABLE_02_2016215"/>
      <sheetName val="TIME_TABLE_03_2016215"/>
      <sheetName val="Probation_Time216"/>
      <sheetName val="OT_Detail216"/>
      <sheetName val="NIGHT_SHIFT216"/>
      <sheetName val="Bank_account216"/>
      <sheetName val="Tien_mat216"/>
      <sheetName val="Thong_tin_NV_nhan_tien_mat216"/>
      <sheetName val="TIME_TABLE_02_2016216"/>
      <sheetName val="TIME_TABLE_03_2016216"/>
      <sheetName val="Probation_Time218"/>
      <sheetName val="OT_Detail218"/>
      <sheetName val="NIGHT_SHIFT218"/>
      <sheetName val="Bank_account218"/>
      <sheetName val="Tien_mat218"/>
      <sheetName val="Thong_tin_NV_nhan_tien_mat218"/>
      <sheetName val="TIME_TABLE_02_2016218"/>
      <sheetName val="TIME_TABLE_03_2016218"/>
      <sheetName val="Probation_Time219"/>
      <sheetName val="OT_Detail219"/>
      <sheetName val="NIGHT_SHIFT219"/>
      <sheetName val="Bank_account219"/>
      <sheetName val="Tien_mat219"/>
      <sheetName val="Thong_tin_NV_nhan_tien_mat219"/>
      <sheetName val="TIME_TABLE_02_2016219"/>
      <sheetName val="TIME_TABLE_03_2016219"/>
      <sheetName val="Probation_Time220"/>
      <sheetName val="OT_Detail220"/>
      <sheetName val="NIGHT_SHIFT220"/>
      <sheetName val="Bank_account220"/>
      <sheetName val="Tien_mat220"/>
      <sheetName val="Thong_tin_NV_nhan_tien_mat220"/>
      <sheetName val="TIME_TABLE_02_2016220"/>
      <sheetName val="TIME_TABLE_03_2016220"/>
      <sheetName val="Probation_Time221"/>
      <sheetName val="OT_Detail221"/>
      <sheetName val="NIGHT_SHIFT221"/>
      <sheetName val="Bank_account221"/>
      <sheetName val="Tien_mat221"/>
      <sheetName val="Thong_tin_NV_nhan_tien_mat221"/>
      <sheetName val="TIME_TABLE_02_2016221"/>
      <sheetName val="TIME_TABLE_03_2016221"/>
      <sheetName val="Probation_Time235"/>
      <sheetName val="OT_Detail235"/>
      <sheetName val="NIGHT_SHIFT235"/>
      <sheetName val="Bank_account235"/>
      <sheetName val="Tien_mat235"/>
      <sheetName val="Thong_tin_NV_nhan_tien_mat235"/>
      <sheetName val="TIME_TABLE_02_2016235"/>
      <sheetName val="TIME_TABLE_03_2016235"/>
      <sheetName val="Probation_Time222"/>
      <sheetName val="OT_Detail222"/>
      <sheetName val="NIGHT_SHIFT222"/>
      <sheetName val="Bank_account222"/>
      <sheetName val="Tien_mat222"/>
      <sheetName val="Thong_tin_NV_nhan_tien_mat222"/>
      <sheetName val="TIME_TABLE_02_2016222"/>
      <sheetName val="TIME_TABLE_03_2016222"/>
      <sheetName val="Probation_Time226"/>
      <sheetName val="OT_Detail226"/>
      <sheetName val="NIGHT_SHIFT226"/>
      <sheetName val="Bank_account226"/>
      <sheetName val="Tien_mat226"/>
      <sheetName val="Thong_tin_NV_nhan_tien_mat226"/>
      <sheetName val="TIME_TABLE_02_2016226"/>
      <sheetName val="TIME_TABLE_03_2016226"/>
      <sheetName val="Probation_Time223"/>
      <sheetName val="OT_Detail223"/>
      <sheetName val="NIGHT_SHIFT223"/>
      <sheetName val="Bank_account223"/>
      <sheetName val="Tien_mat223"/>
      <sheetName val="Thong_tin_NV_nhan_tien_mat223"/>
      <sheetName val="TIME_TABLE_02_2016223"/>
      <sheetName val="TIME_TABLE_03_2016223"/>
      <sheetName val="Probation_Time224"/>
      <sheetName val="OT_Detail224"/>
      <sheetName val="NIGHT_SHIFT224"/>
      <sheetName val="Bank_account224"/>
      <sheetName val="Tien_mat224"/>
      <sheetName val="Thong_tin_NV_nhan_tien_mat224"/>
      <sheetName val="TIME_TABLE_02_2016224"/>
      <sheetName val="TIME_TABLE_03_2016224"/>
      <sheetName val="Probation_Time225"/>
      <sheetName val="OT_Detail225"/>
      <sheetName val="NIGHT_SHIFT225"/>
      <sheetName val="Bank_account225"/>
      <sheetName val="Tien_mat225"/>
      <sheetName val="Thong_tin_NV_nhan_tien_mat225"/>
      <sheetName val="TIME_TABLE_02_2016225"/>
      <sheetName val="TIME_TABLE_03_2016225"/>
      <sheetName val="Probation_Time227"/>
      <sheetName val="OT_Detail227"/>
      <sheetName val="NIGHT_SHIFT227"/>
      <sheetName val="Bank_account227"/>
      <sheetName val="Tien_mat227"/>
      <sheetName val="Thong_tin_NV_nhan_tien_mat227"/>
      <sheetName val="TIME_TABLE_02_2016227"/>
      <sheetName val="TIME_TABLE_03_2016227"/>
      <sheetName val="Probation_Time228"/>
      <sheetName val="OT_Detail228"/>
      <sheetName val="NIGHT_SHIFT228"/>
      <sheetName val="Bank_account228"/>
      <sheetName val="Tien_mat228"/>
      <sheetName val="Thong_tin_NV_nhan_tien_mat228"/>
      <sheetName val="TIME_TABLE_02_2016228"/>
      <sheetName val="TIME_TABLE_03_2016228"/>
      <sheetName val="Probation_Time232"/>
      <sheetName val="OT_Detail232"/>
      <sheetName val="NIGHT_SHIFT232"/>
      <sheetName val="Bank_account232"/>
      <sheetName val="Tien_mat232"/>
      <sheetName val="Thong_tin_NV_nhan_tien_mat232"/>
      <sheetName val="TIME_TABLE_02_2016232"/>
      <sheetName val="TIME_TABLE_03_2016232"/>
      <sheetName val="Probation_Time231"/>
      <sheetName val="OT_Detail231"/>
      <sheetName val="NIGHT_SHIFT231"/>
      <sheetName val="Bank_account231"/>
      <sheetName val="Tien_mat231"/>
      <sheetName val="Thong_tin_NV_nhan_tien_mat231"/>
      <sheetName val="TIME_TABLE_02_2016231"/>
      <sheetName val="TIME_TABLE_03_2016231"/>
      <sheetName val="Probation_Time229"/>
      <sheetName val="OT_Detail229"/>
      <sheetName val="NIGHT_SHIFT229"/>
      <sheetName val="Bank_account229"/>
      <sheetName val="Tien_mat229"/>
      <sheetName val="Thong_tin_NV_nhan_tien_mat229"/>
      <sheetName val="TIME_TABLE_02_2016229"/>
      <sheetName val="TIME_TABLE_03_2016229"/>
      <sheetName val="Probation_Time230"/>
      <sheetName val="OT_Detail230"/>
      <sheetName val="NIGHT_SHIFT230"/>
      <sheetName val="Bank_account230"/>
      <sheetName val="Tien_mat230"/>
      <sheetName val="Thong_tin_NV_nhan_tien_mat230"/>
      <sheetName val="TIME_TABLE_02_2016230"/>
      <sheetName val="TIME_TABLE_03_2016230"/>
      <sheetName val="Probation_Time233"/>
      <sheetName val="OT_Detail233"/>
      <sheetName val="NIGHT_SHIFT233"/>
      <sheetName val="Bank_account233"/>
      <sheetName val="Tien_mat233"/>
      <sheetName val="Thong_tin_NV_nhan_tien_mat233"/>
      <sheetName val="TIME_TABLE_02_2016233"/>
      <sheetName val="TIME_TABLE_03_2016233"/>
      <sheetName val="Probation_Time234"/>
      <sheetName val="OT_Detail234"/>
      <sheetName val="NIGHT_SHIFT234"/>
      <sheetName val="Bank_account234"/>
      <sheetName val="Tien_mat234"/>
      <sheetName val="Thong_tin_NV_nhan_tien_mat234"/>
      <sheetName val="TIME_TABLE_02_2016234"/>
      <sheetName val="TIME_TABLE_03_2016234"/>
      <sheetName val="Probation_Time236"/>
      <sheetName val="OT_Detail236"/>
      <sheetName val="NIGHT_SHIFT236"/>
      <sheetName val="Bank_account236"/>
      <sheetName val="Tien_mat236"/>
      <sheetName val="Thong_tin_NV_nhan_tien_mat236"/>
      <sheetName val="TIME_TABLE_02_2016236"/>
      <sheetName val="TIME_TABLE_03_2016236"/>
      <sheetName val="Probation_Time237"/>
      <sheetName val="OT_Detail237"/>
      <sheetName val="NIGHT_SHIFT237"/>
      <sheetName val="Bank_account237"/>
      <sheetName val="Tien_mat237"/>
      <sheetName val="Thong_tin_NV_nhan_tien_mat237"/>
      <sheetName val="TIME_TABLE_02_2016237"/>
      <sheetName val="TIME_TABLE_03_2016237"/>
      <sheetName val="Probation_Time362"/>
      <sheetName val="OT_Detail362"/>
      <sheetName val="NIGHT_SHIFT362"/>
      <sheetName val="Bank_account362"/>
      <sheetName val="Tien_mat362"/>
      <sheetName val="Thong_tin_NV_nhan_tien_mat362"/>
      <sheetName val="TIME_TABLE_02_2016362"/>
      <sheetName val="TIME_TABLE_03_2016362"/>
      <sheetName val="Probation_Time238"/>
      <sheetName val="OT_Detail238"/>
      <sheetName val="NIGHT_SHIFT238"/>
      <sheetName val="Bank_account238"/>
      <sheetName val="Tien_mat238"/>
      <sheetName val="Thong_tin_NV_nhan_tien_mat238"/>
      <sheetName val="TIME_TABLE_02_2016238"/>
      <sheetName val="TIME_TABLE_03_2016238"/>
      <sheetName val="Probation_Time239"/>
      <sheetName val="OT_Detail239"/>
      <sheetName val="NIGHT_SHIFT239"/>
      <sheetName val="Bank_account239"/>
      <sheetName val="Tien_mat239"/>
      <sheetName val="Thong_tin_NV_nhan_tien_mat239"/>
      <sheetName val="TIME_TABLE_02_2016239"/>
      <sheetName val="TIME_TABLE_03_2016239"/>
      <sheetName val="Probation_Time240"/>
      <sheetName val="OT_Detail240"/>
      <sheetName val="NIGHT_SHIFT240"/>
      <sheetName val="Bank_account240"/>
      <sheetName val="Tien_mat240"/>
      <sheetName val="Thong_tin_NV_nhan_tien_mat240"/>
      <sheetName val="TIME_TABLE_02_2016240"/>
      <sheetName val="TIME_TABLE_03_2016240"/>
      <sheetName val="Probation_Time241"/>
      <sheetName val="OT_Detail241"/>
      <sheetName val="NIGHT_SHIFT241"/>
      <sheetName val="Bank_account241"/>
      <sheetName val="Tien_mat241"/>
      <sheetName val="Thong_tin_NV_nhan_tien_mat241"/>
      <sheetName val="TIME_TABLE_02_2016241"/>
      <sheetName val="TIME_TABLE_03_2016241"/>
      <sheetName val="Probation_Time242"/>
      <sheetName val="OT_Detail242"/>
      <sheetName val="NIGHT_SHIFT242"/>
      <sheetName val="Bank_account242"/>
      <sheetName val="Tien_mat242"/>
      <sheetName val="Thong_tin_NV_nhan_tien_mat242"/>
      <sheetName val="TIME_TABLE_02_2016242"/>
      <sheetName val="TIME_TABLE_03_2016242"/>
      <sheetName val="Probation_Time243"/>
      <sheetName val="OT_Detail243"/>
      <sheetName val="NIGHT_SHIFT243"/>
      <sheetName val="Bank_account243"/>
      <sheetName val="Tien_mat243"/>
      <sheetName val="Thong_tin_NV_nhan_tien_mat243"/>
      <sheetName val="TIME_TABLE_02_2016243"/>
      <sheetName val="TIME_TABLE_03_2016243"/>
      <sheetName val="Probation_Time246"/>
      <sheetName val="OT_Detail246"/>
      <sheetName val="NIGHT_SHIFT246"/>
      <sheetName val="Bank_account246"/>
      <sheetName val="Tien_mat246"/>
      <sheetName val="Thong_tin_NV_nhan_tien_mat246"/>
      <sheetName val="TIME_TABLE_02_2016246"/>
      <sheetName val="TIME_TABLE_03_2016246"/>
      <sheetName val="Probation_Time244"/>
      <sheetName val="OT_Detail244"/>
      <sheetName val="NIGHT_SHIFT244"/>
      <sheetName val="Bank_account244"/>
      <sheetName val="Tien_mat244"/>
      <sheetName val="Thong_tin_NV_nhan_tien_mat244"/>
      <sheetName val="TIME_TABLE_02_2016244"/>
      <sheetName val="TIME_TABLE_03_2016244"/>
      <sheetName val="Probation_Time245"/>
      <sheetName val="OT_Detail245"/>
      <sheetName val="NIGHT_SHIFT245"/>
      <sheetName val="Bank_account245"/>
      <sheetName val="Tien_mat245"/>
      <sheetName val="Thong_tin_NV_nhan_tien_mat245"/>
      <sheetName val="TIME_TABLE_02_2016245"/>
      <sheetName val="TIME_TABLE_03_2016245"/>
      <sheetName val="Probation_Time248"/>
      <sheetName val="OT_Detail248"/>
      <sheetName val="NIGHT_SHIFT248"/>
      <sheetName val="Bank_account248"/>
      <sheetName val="Tien_mat248"/>
      <sheetName val="Thong_tin_NV_nhan_tien_mat248"/>
      <sheetName val="TIME_TABLE_02_2016248"/>
      <sheetName val="TIME_TABLE_03_2016248"/>
      <sheetName val="Probation_Time247"/>
      <sheetName val="OT_Detail247"/>
      <sheetName val="NIGHT_SHIFT247"/>
      <sheetName val="Bank_account247"/>
      <sheetName val="Tien_mat247"/>
      <sheetName val="Thong_tin_NV_nhan_tien_mat247"/>
      <sheetName val="TIME_TABLE_02_2016247"/>
      <sheetName val="TIME_TABLE_03_2016247"/>
      <sheetName val="Probation_Time249"/>
      <sheetName val="OT_Detail249"/>
      <sheetName val="NIGHT_SHIFT249"/>
      <sheetName val="Bank_account249"/>
      <sheetName val="Tien_mat249"/>
      <sheetName val="Thong_tin_NV_nhan_tien_mat249"/>
      <sheetName val="TIME_TABLE_02_2016249"/>
      <sheetName val="TIME_TABLE_03_2016249"/>
      <sheetName val="Probation_Time250"/>
      <sheetName val="OT_Detail250"/>
      <sheetName val="NIGHT_SHIFT250"/>
      <sheetName val="Bank_account250"/>
      <sheetName val="Tien_mat250"/>
      <sheetName val="Thong_tin_NV_nhan_tien_mat250"/>
      <sheetName val="TIME_TABLE_02_2016250"/>
      <sheetName val="TIME_TABLE_03_2016250"/>
      <sheetName val="Probation_Time251"/>
      <sheetName val="OT_Detail251"/>
      <sheetName val="NIGHT_SHIFT251"/>
      <sheetName val="Bank_account251"/>
      <sheetName val="Tien_mat251"/>
      <sheetName val="Thong_tin_NV_nhan_tien_mat251"/>
      <sheetName val="TIME_TABLE_02_2016251"/>
      <sheetName val="TIME_TABLE_03_2016251"/>
      <sheetName val="Probation_Time252"/>
      <sheetName val="OT_Detail252"/>
      <sheetName val="NIGHT_SHIFT252"/>
      <sheetName val="Bank_account252"/>
      <sheetName val="Tien_mat252"/>
      <sheetName val="Thong_tin_NV_nhan_tien_mat252"/>
      <sheetName val="TIME_TABLE_02_2016252"/>
      <sheetName val="TIME_TABLE_03_2016252"/>
      <sheetName val="Probation_Time253"/>
      <sheetName val="OT_Detail253"/>
      <sheetName val="NIGHT_SHIFT253"/>
      <sheetName val="Bank_account253"/>
      <sheetName val="Tien_mat253"/>
      <sheetName val="Thong_tin_NV_nhan_tien_mat253"/>
      <sheetName val="TIME_TABLE_02_2016253"/>
      <sheetName val="TIME_TABLE_03_2016253"/>
      <sheetName val="Probation_Time254"/>
      <sheetName val="OT_Detail254"/>
      <sheetName val="NIGHT_SHIFT254"/>
      <sheetName val="Bank_account254"/>
      <sheetName val="Tien_mat254"/>
      <sheetName val="Thong_tin_NV_nhan_tien_mat254"/>
      <sheetName val="TIME_TABLE_02_2016254"/>
      <sheetName val="TIME_TABLE_03_2016254"/>
      <sheetName val="Probation_Time255"/>
      <sheetName val="OT_Detail255"/>
      <sheetName val="NIGHT_SHIFT255"/>
      <sheetName val="Bank_account255"/>
      <sheetName val="Tien_mat255"/>
      <sheetName val="Thong_tin_NV_nhan_tien_mat255"/>
      <sheetName val="TIME_TABLE_02_2016255"/>
      <sheetName val="TIME_TABLE_03_2016255"/>
      <sheetName val="Probation_Time256"/>
      <sheetName val="OT_Detail256"/>
      <sheetName val="NIGHT_SHIFT256"/>
      <sheetName val="Bank_account256"/>
      <sheetName val="Tien_mat256"/>
      <sheetName val="Thong_tin_NV_nhan_tien_mat256"/>
      <sheetName val="TIME_TABLE_02_2016256"/>
      <sheetName val="TIME_TABLE_03_2016256"/>
      <sheetName val="Probation_Time257"/>
      <sheetName val="OT_Detail257"/>
      <sheetName val="NIGHT_SHIFT257"/>
      <sheetName val="Bank_account257"/>
      <sheetName val="Tien_mat257"/>
      <sheetName val="Thong_tin_NV_nhan_tien_mat257"/>
      <sheetName val="TIME_TABLE_02_2016257"/>
      <sheetName val="TIME_TABLE_03_2016257"/>
      <sheetName val="Probation_Time258"/>
      <sheetName val="OT_Detail258"/>
      <sheetName val="NIGHT_SHIFT258"/>
      <sheetName val="Bank_account258"/>
      <sheetName val="Tien_mat258"/>
      <sheetName val="Thong_tin_NV_nhan_tien_mat258"/>
      <sheetName val="TIME_TABLE_02_2016258"/>
      <sheetName val="TIME_TABLE_03_2016258"/>
      <sheetName val="Probation_Time262"/>
      <sheetName val="OT_Detail262"/>
      <sheetName val="NIGHT_SHIFT262"/>
      <sheetName val="Bank_account262"/>
      <sheetName val="Tien_mat262"/>
      <sheetName val="Thong_tin_NV_nhan_tien_mat262"/>
      <sheetName val="TIME_TABLE_02_2016262"/>
      <sheetName val="TIME_TABLE_03_2016262"/>
      <sheetName val="Probation_Time259"/>
      <sheetName val="OT_Detail259"/>
      <sheetName val="NIGHT_SHIFT259"/>
      <sheetName val="Bank_account259"/>
      <sheetName val="Tien_mat259"/>
      <sheetName val="Thong_tin_NV_nhan_tien_mat259"/>
      <sheetName val="TIME_TABLE_02_2016259"/>
      <sheetName val="TIME_TABLE_03_2016259"/>
      <sheetName val="Probation_Time260"/>
      <sheetName val="OT_Detail260"/>
      <sheetName val="NIGHT_SHIFT260"/>
      <sheetName val="Bank_account260"/>
      <sheetName val="Tien_mat260"/>
      <sheetName val="Thong_tin_NV_nhan_tien_mat260"/>
      <sheetName val="TIME_TABLE_02_2016260"/>
      <sheetName val="TIME_TABLE_03_2016260"/>
      <sheetName val="Probation_Time261"/>
      <sheetName val="OT_Detail261"/>
      <sheetName val="NIGHT_SHIFT261"/>
      <sheetName val="Bank_account261"/>
      <sheetName val="Tien_mat261"/>
      <sheetName val="Thong_tin_NV_nhan_tien_mat261"/>
      <sheetName val="TIME_TABLE_02_2016261"/>
      <sheetName val="TIME_TABLE_03_2016261"/>
      <sheetName val="Probation_Time264"/>
      <sheetName val="OT_Detail264"/>
      <sheetName val="NIGHT_SHIFT264"/>
      <sheetName val="Bank_account264"/>
      <sheetName val="Tien_mat264"/>
      <sheetName val="Thong_tin_NV_nhan_tien_mat264"/>
      <sheetName val="TIME_TABLE_02_2016264"/>
      <sheetName val="TIME_TABLE_03_2016264"/>
      <sheetName val="Probation_Time263"/>
      <sheetName val="OT_Detail263"/>
      <sheetName val="NIGHT_SHIFT263"/>
      <sheetName val="Bank_account263"/>
      <sheetName val="Tien_mat263"/>
      <sheetName val="Thong_tin_NV_nhan_tien_mat263"/>
      <sheetName val="TIME_TABLE_02_2016263"/>
      <sheetName val="TIME_TABLE_03_2016263"/>
      <sheetName val="Probation_Time265"/>
      <sheetName val="OT_Detail265"/>
      <sheetName val="NIGHT_SHIFT265"/>
      <sheetName val="Bank_account265"/>
      <sheetName val="Tien_mat265"/>
      <sheetName val="Thong_tin_NV_nhan_tien_mat265"/>
      <sheetName val="TIME_TABLE_02_2016265"/>
      <sheetName val="TIME_TABLE_03_2016265"/>
      <sheetName val="Probation_Time266"/>
      <sheetName val="OT_Detail266"/>
      <sheetName val="NIGHT_SHIFT266"/>
      <sheetName val="Bank_account266"/>
      <sheetName val="Tien_mat266"/>
      <sheetName val="Thong_tin_NV_nhan_tien_mat266"/>
      <sheetName val="TIME_TABLE_02_2016266"/>
      <sheetName val="TIME_TABLE_03_2016266"/>
      <sheetName val="Probation_Time267"/>
      <sheetName val="OT_Detail267"/>
      <sheetName val="NIGHT_SHIFT267"/>
      <sheetName val="Bank_account267"/>
      <sheetName val="Tien_mat267"/>
      <sheetName val="Thong_tin_NV_nhan_tien_mat267"/>
      <sheetName val="TIME_TABLE_02_2016267"/>
      <sheetName val="TIME_TABLE_03_2016267"/>
      <sheetName val="Probation_Time271"/>
      <sheetName val="OT_Detail271"/>
      <sheetName val="NIGHT_SHIFT271"/>
      <sheetName val="Bank_account271"/>
      <sheetName val="Tien_mat271"/>
      <sheetName val="Thong_tin_NV_nhan_tien_mat271"/>
      <sheetName val="TIME_TABLE_02_2016271"/>
      <sheetName val="TIME_TABLE_03_2016271"/>
      <sheetName val="Probation_Time269"/>
      <sheetName val="OT_Detail269"/>
      <sheetName val="NIGHT_SHIFT269"/>
      <sheetName val="Bank_account269"/>
      <sheetName val="Tien_mat269"/>
      <sheetName val="Thong_tin_NV_nhan_tien_mat269"/>
      <sheetName val="TIME_TABLE_02_2016269"/>
      <sheetName val="TIME_TABLE_03_2016269"/>
      <sheetName val="Probation_Time268"/>
      <sheetName val="OT_Detail268"/>
      <sheetName val="NIGHT_SHIFT268"/>
      <sheetName val="Bank_account268"/>
      <sheetName val="Tien_mat268"/>
      <sheetName val="Thong_tin_NV_nhan_tien_mat268"/>
      <sheetName val="TIME_TABLE_02_2016268"/>
      <sheetName val="TIME_TABLE_03_2016268"/>
      <sheetName val="Probation_Time270"/>
      <sheetName val="OT_Detail270"/>
      <sheetName val="NIGHT_SHIFT270"/>
      <sheetName val="Bank_account270"/>
      <sheetName val="Tien_mat270"/>
      <sheetName val="Thong_tin_NV_nhan_tien_mat270"/>
      <sheetName val="TIME_TABLE_02_2016270"/>
      <sheetName val="TIME_TABLE_03_2016270"/>
      <sheetName val="Probation_Time272"/>
      <sheetName val="OT_Detail272"/>
      <sheetName val="NIGHT_SHIFT272"/>
      <sheetName val="Bank_account272"/>
      <sheetName val="Tien_mat272"/>
      <sheetName val="Thong_tin_NV_nhan_tien_mat272"/>
      <sheetName val="TIME_TABLE_02_2016272"/>
      <sheetName val="TIME_TABLE_03_2016272"/>
      <sheetName val="Probation_Time273"/>
      <sheetName val="OT_Detail273"/>
      <sheetName val="NIGHT_SHIFT273"/>
      <sheetName val="Bank_account273"/>
      <sheetName val="Tien_mat273"/>
      <sheetName val="Thong_tin_NV_nhan_tien_mat273"/>
      <sheetName val="TIME_TABLE_02_2016273"/>
      <sheetName val="TIME_TABLE_03_2016273"/>
      <sheetName val="Probation_Time274"/>
      <sheetName val="OT_Detail274"/>
      <sheetName val="NIGHT_SHIFT274"/>
      <sheetName val="Bank_account274"/>
      <sheetName val="Tien_mat274"/>
      <sheetName val="Thong_tin_NV_nhan_tien_mat274"/>
      <sheetName val="TIME_TABLE_02_2016274"/>
      <sheetName val="TIME_TABLE_03_2016274"/>
      <sheetName val="Probation_Time275"/>
      <sheetName val="OT_Detail275"/>
      <sheetName val="NIGHT_SHIFT275"/>
      <sheetName val="Bank_account275"/>
      <sheetName val="Tien_mat275"/>
      <sheetName val="Thong_tin_NV_nhan_tien_mat275"/>
      <sheetName val="TIME_TABLE_02_2016275"/>
      <sheetName val="TIME_TABLE_03_2016275"/>
      <sheetName val="Probation_Time276"/>
      <sheetName val="OT_Detail276"/>
      <sheetName val="NIGHT_SHIFT276"/>
      <sheetName val="Bank_account276"/>
      <sheetName val="Tien_mat276"/>
      <sheetName val="Thong_tin_NV_nhan_tien_mat276"/>
      <sheetName val="TIME_TABLE_02_2016276"/>
      <sheetName val="TIME_TABLE_03_2016276"/>
      <sheetName val="Probation_Time290"/>
      <sheetName val="OT_Detail290"/>
      <sheetName val="NIGHT_SHIFT290"/>
      <sheetName val="Bank_account290"/>
      <sheetName val="Tien_mat290"/>
      <sheetName val="Thong_tin_NV_nhan_tien_mat290"/>
      <sheetName val="TIME_TABLE_02_2016290"/>
      <sheetName val="TIME_TABLE_03_2016290"/>
      <sheetName val="Probation_Time277"/>
      <sheetName val="OT_Detail277"/>
      <sheetName val="NIGHT_SHIFT277"/>
      <sheetName val="Bank_account277"/>
      <sheetName val="Tien_mat277"/>
      <sheetName val="Thong_tin_NV_nhan_tien_mat277"/>
      <sheetName val="TIME_TABLE_02_2016277"/>
      <sheetName val="TIME_TABLE_03_2016277"/>
      <sheetName val="Probation_Time278"/>
      <sheetName val="OT_Detail278"/>
      <sheetName val="NIGHT_SHIFT278"/>
      <sheetName val="Bank_account278"/>
      <sheetName val="Tien_mat278"/>
      <sheetName val="Thong_tin_NV_nhan_tien_mat278"/>
      <sheetName val="TIME_TABLE_02_2016278"/>
      <sheetName val="TIME_TABLE_03_2016278"/>
      <sheetName val="Probation_Time281"/>
      <sheetName val="OT_Detail281"/>
      <sheetName val="NIGHT_SHIFT281"/>
      <sheetName val="Bank_account281"/>
      <sheetName val="Tien_mat281"/>
      <sheetName val="Thong_tin_NV_nhan_tien_mat281"/>
      <sheetName val="TIME_TABLE_02_2016281"/>
      <sheetName val="TIME_TABLE_03_2016281"/>
      <sheetName val="Probation_Time279"/>
      <sheetName val="OT_Detail279"/>
      <sheetName val="NIGHT_SHIFT279"/>
      <sheetName val="Bank_account279"/>
      <sheetName val="Tien_mat279"/>
      <sheetName val="Thong_tin_NV_nhan_tien_mat279"/>
      <sheetName val="TIME_TABLE_02_2016279"/>
      <sheetName val="TIME_TABLE_03_2016279"/>
      <sheetName val="Probation_Time280"/>
      <sheetName val="OT_Detail280"/>
      <sheetName val="NIGHT_SHIFT280"/>
      <sheetName val="Bank_account280"/>
      <sheetName val="Tien_mat280"/>
      <sheetName val="Thong_tin_NV_nhan_tien_mat280"/>
      <sheetName val="TIME_TABLE_02_2016280"/>
      <sheetName val="TIME_TABLE_03_2016280"/>
      <sheetName val="Probation_Time282"/>
      <sheetName val="OT_Detail282"/>
      <sheetName val="NIGHT_SHIFT282"/>
      <sheetName val="Bank_account282"/>
      <sheetName val="Tien_mat282"/>
      <sheetName val="Thong_tin_NV_nhan_tien_mat282"/>
      <sheetName val="TIME_TABLE_02_2016282"/>
      <sheetName val="TIME_TABLE_03_2016282"/>
      <sheetName val="Probation_Time283"/>
      <sheetName val="OT_Detail283"/>
      <sheetName val="NIGHT_SHIFT283"/>
      <sheetName val="Bank_account283"/>
      <sheetName val="Tien_mat283"/>
      <sheetName val="Thong_tin_NV_nhan_tien_mat283"/>
      <sheetName val="TIME_TABLE_02_2016283"/>
      <sheetName val="TIME_TABLE_03_2016283"/>
      <sheetName val="Probation_Time288"/>
      <sheetName val="OT_Detail288"/>
      <sheetName val="NIGHT_SHIFT288"/>
      <sheetName val="Bank_account288"/>
      <sheetName val="Tien_mat288"/>
      <sheetName val="Thong_tin_NV_nhan_tien_mat288"/>
      <sheetName val="TIME_TABLE_02_2016288"/>
      <sheetName val="TIME_TABLE_03_2016288"/>
      <sheetName val="Probation_Time284"/>
      <sheetName val="OT_Detail284"/>
      <sheetName val="NIGHT_SHIFT284"/>
      <sheetName val="Bank_account284"/>
      <sheetName val="Tien_mat284"/>
      <sheetName val="Thong_tin_NV_nhan_tien_mat284"/>
      <sheetName val="TIME_TABLE_02_2016284"/>
      <sheetName val="TIME_TABLE_03_2016284"/>
      <sheetName val="Probation_Time286"/>
      <sheetName val="OT_Detail286"/>
      <sheetName val="NIGHT_SHIFT286"/>
      <sheetName val="Bank_account286"/>
      <sheetName val="Tien_mat286"/>
      <sheetName val="Thong_tin_NV_nhan_tien_mat286"/>
      <sheetName val="TIME_TABLE_02_2016286"/>
      <sheetName val="TIME_TABLE_03_2016286"/>
      <sheetName val="Probation_Time285"/>
      <sheetName val="OT_Detail285"/>
      <sheetName val="NIGHT_SHIFT285"/>
      <sheetName val="Bank_account285"/>
      <sheetName val="Tien_mat285"/>
      <sheetName val="Thong_tin_NV_nhan_tien_mat285"/>
      <sheetName val="TIME_TABLE_02_2016285"/>
      <sheetName val="TIME_TABLE_03_2016285"/>
      <sheetName val="Probation_Time287"/>
      <sheetName val="OT_Detail287"/>
      <sheetName val="NIGHT_SHIFT287"/>
      <sheetName val="Bank_account287"/>
      <sheetName val="Tien_mat287"/>
      <sheetName val="Thong_tin_NV_nhan_tien_mat287"/>
      <sheetName val="TIME_TABLE_02_2016287"/>
      <sheetName val="TIME_TABLE_03_2016287"/>
      <sheetName val="Probation_Time289"/>
      <sheetName val="OT_Detail289"/>
      <sheetName val="NIGHT_SHIFT289"/>
      <sheetName val="Bank_account289"/>
      <sheetName val="Tien_mat289"/>
      <sheetName val="Thong_tin_NV_nhan_tien_mat289"/>
      <sheetName val="TIME_TABLE_02_2016289"/>
      <sheetName val="TIME_TABLE_03_2016289"/>
      <sheetName val="Probation_Time291"/>
      <sheetName val="OT_Detail291"/>
      <sheetName val="NIGHT_SHIFT291"/>
      <sheetName val="Bank_account291"/>
      <sheetName val="Tien_mat291"/>
      <sheetName val="Thong_tin_NV_nhan_tien_mat291"/>
      <sheetName val="TIME_TABLE_02_2016291"/>
      <sheetName val="TIME_TABLE_03_2016291"/>
      <sheetName val="Probation_Time293"/>
      <sheetName val="OT_Detail293"/>
      <sheetName val="NIGHT_SHIFT293"/>
      <sheetName val="Bank_account293"/>
      <sheetName val="Tien_mat293"/>
      <sheetName val="Thong_tin_NV_nhan_tien_mat293"/>
      <sheetName val="TIME_TABLE_02_2016293"/>
      <sheetName val="TIME_TABLE_03_2016293"/>
      <sheetName val="Probation_Time292"/>
      <sheetName val="OT_Detail292"/>
      <sheetName val="NIGHT_SHIFT292"/>
      <sheetName val="Bank_account292"/>
      <sheetName val="Tien_mat292"/>
      <sheetName val="Thong_tin_NV_nhan_tien_mat292"/>
      <sheetName val="TIME_TABLE_02_2016292"/>
      <sheetName val="TIME_TABLE_03_2016292"/>
      <sheetName val="Probation_Time301"/>
      <sheetName val="OT_Detail301"/>
      <sheetName val="NIGHT_SHIFT301"/>
      <sheetName val="Bank_account301"/>
      <sheetName val="Tien_mat301"/>
      <sheetName val="Thong_tin_NV_nhan_tien_mat301"/>
      <sheetName val="TIME_TABLE_02_2016301"/>
      <sheetName val="TIME_TABLE_03_2016301"/>
      <sheetName val="Probation_Time294"/>
      <sheetName val="OT_Detail294"/>
      <sheetName val="NIGHT_SHIFT294"/>
      <sheetName val="Bank_account294"/>
      <sheetName val="Tien_mat294"/>
      <sheetName val="Thong_tin_NV_nhan_tien_mat294"/>
      <sheetName val="TIME_TABLE_02_2016294"/>
      <sheetName val="TIME_TABLE_03_2016294"/>
      <sheetName val="Probation_Time295"/>
      <sheetName val="OT_Detail295"/>
      <sheetName val="NIGHT_SHIFT295"/>
      <sheetName val="Bank_account295"/>
      <sheetName val="Tien_mat295"/>
      <sheetName val="Thong_tin_NV_nhan_tien_mat295"/>
      <sheetName val="TIME_TABLE_02_2016295"/>
      <sheetName val="TIME_TABLE_03_2016295"/>
      <sheetName val="Probation_Time296"/>
      <sheetName val="OT_Detail296"/>
      <sheetName val="NIGHT_SHIFT296"/>
      <sheetName val="Bank_account296"/>
      <sheetName val="Tien_mat296"/>
      <sheetName val="Thong_tin_NV_nhan_tien_mat296"/>
      <sheetName val="TIME_TABLE_02_2016296"/>
      <sheetName val="TIME_TABLE_03_2016296"/>
      <sheetName val="Probation_Time297"/>
      <sheetName val="OT_Detail297"/>
      <sheetName val="NIGHT_SHIFT297"/>
      <sheetName val="Bank_account297"/>
      <sheetName val="Tien_mat297"/>
      <sheetName val="Thong_tin_NV_nhan_tien_mat297"/>
      <sheetName val="TIME_TABLE_02_2016297"/>
      <sheetName val="TIME_TABLE_03_2016297"/>
      <sheetName val="Probation_Time298"/>
      <sheetName val="OT_Detail298"/>
      <sheetName val="NIGHT_SHIFT298"/>
      <sheetName val="Bank_account298"/>
      <sheetName val="Tien_mat298"/>
      <sheetName val="Thong_tin_NV_nhan_tien_mat298"/>
      <sheetName val="TIME_TABLE_02_2016298"/>
      <sheetName val="TIME_TABLE_03_2016298"/>
      <sheetName val="Probation_Time299"/>
      <sheetName val="OT_Detail299"/>
      <sheetName val="NIGHT_SHIFT299"/>
      <sheetName val="Bank_account299"/>
      <sheetName val="Tien_mat299"/>
      <sheetName val="Thong_tin_NV_nhan_tien_mat299"/>
      <sheetName val="TIME_TABLE_02_2016299"/>
      <sheetName val="TIME_TABLE_03_2016299"/>
      <sheetName val="Probation_Time300"/>
      <sheetName val="OT_Detail300"/>
      <sheetName val="NIGHT_SHIFT300"/>
      <sheetName val="Bank_account300"/>
      <sheetName val="Tien_mat300"/>
      <sheetName val="Thong_tin_NV_nhan_tien_mat300"/>
      <sheetName val="TIME_TABLE_02_2016300"/>
      <sheetName val="TIME_TABLE_03_2016300"/>
      <sheetName val="Probation_Time302"/>
      <sheetName val="OT_Detail302"/>
      <sheetName val="NIGHT_SHIFT302"/>
      <sheetName val="Bank_account302"/>
      <sheetName val="Tien_mat302"/>
      <sheetName val="Thong_tin_NV_nhan_tien_mat302"/>
      <sheetName val="TIME_TABLE_02_2016302"/>
      <sheetName val="TIME_TABLE_03_2016302"/>
      <sheetName val="Probation_Time303"/>
      <sheetName val="OT_Detail303"/>
      <sheetName val="NIGHT_SHIFT303"/>
      <sheetName val="Bank_account303"/>
      <sheetName val="Tien_mat303"/>
      <sheetName val="Thong_tin_NV_nhan_tien_mat303"/>
      <sheetName val="TIME_TABLE_02_2016303"/>
      <sheetName val="TIME_TABLE_03_2016303"/>
      <sheetName val="Probation_Time304"/>
      <sheetName val="OT_Detail304"/>
      <sheetName val="NIGHT_SHIFT304"/>
      <sheetName val="Bank_account304"/>
      <sheetName val="Tien_mat304"/>
      <sheetName val="Thong_tin_NV_nhan_tien_mat304"/>
      <sheetName val="TIME_TABLE_02_2016304"/>
      <sheetName val="TIME_TABLE_03_2016304"/>
      <sheetName val="Probation_Time305"/>
      <sheetName val="OT_Detail305"/>
      <sheetName val="NIGHT_SHIFT305"/>
      <sheetName val="Bank_account305"/>
      <sheetName val="Tien_mat305"/>
      <sheetName val="Thong_tin_NV_nhan_tien_mat305"/>
      <sheetName val="TIME_TABLE_02_2016305"/>
      <sheetName val="TIME_TABLE_03_2016305"/>
      <sheetName val="Probation_Time306"/>
      <sheetName val="OT_Detail306"/>
      <sheetName val="NIGHT_SHIFT306"/>
      <sheetName val="Bank_account306"/>
      <sheetName val="Tien_mat306"/>
      <sheetName val="Thong_tin_NV_nhan_tien_mat306"/>
      <sheetName val="TIME_TABLE_02_2016306"/>
      <sheetName val="TIME_TABLE_03_2016306"/>
      <sheetName val="Probation_Time307"/>
      <sheetName val="OT_Detail307"/>
      <sheetName val="NIGHT_SHIFT307"/>
      <sheetName val="Bank_account307"/>
      <sheetName val="Tien_mat307"/>
      <sheetName val="Thong_tin_NV_nhan_tien_mat307"/>
      <sheetName val="TIME_TABLE_02_2016307"/>
      <sheetName val="TIME_TABLE_03_2016307"/>
      <sheetName val="Probation_Time320"/>
      <sheetName val="OT_Detail320"/>
      <sheetName val="NIGHT_SHIFT320"/>
      <sheetName val="Bank_account320"/>
      <sheetName val="Tien_mat320"/>
      <sheetName val="Thong_tin_NV_nhan_tien_mat320"/>
      <sheetName val="TIME_TABLE_02_2016320"/>
      <sheetName val="TIME_TABLE_03_2016320"/>
      <sheetName val="Probation_Time308"/>
      <sheetName val="OT_Detail308"/>
      <sheetName val="NIGHT_SHIFT308"/>
      <sheetName val="Bank_account308"/>
      <sheetName val="Tien_mat308"/>
      <sheetName val="Thong_tin_NV_nhan_tien_mat308"/>
      <sheetName val="TIME_TABLE_02_2016308"/>
      <sheetName val="TIME_TABLE_03_2016308"/>
      <sheetName val="Probation_Time310"/>
      <sheetName val="OT_Detail310"/>
      <sheetName val="NIGHT_SHIFT310"/>
      <sheetName val="Bank_account310"/>
      <sheetName val="Tien_mat310"/>
      <sheetName val="Thong_tin_NV_nhan_tien_mat310"/>
      <sheetName val="TIME_TABLE_02_2016310"/>
      <sheetName val="TIME_TABLE_03_2016310"/>
      <sheetName val="Probation_Time309"/>
      <sheetName val="OT_Detail309"/>
      <sheetName val="NIGHT_SHIFT309"/>
      <sheetName val="Bank_account309"/>
      <sheetName val="Tien_mat309"/>
      <sheetName val="Thong_tin_NV_nhan_tien_mat309"/>
      <sheetName val="TIME_TABLE_02_2016309"/>
      <sheetName val="TIME_TABLE_03_2016309"/>
      <sheetName val="Probation_Time311"/>
      <sheetName val="OT_Detail311"/>
      <sheetName val="NIGHT_SHIFT311"/>
      <sheetName val="Bank_account311"/>
      <sheetName val="Tien_mat311"/>
      <sheetName val="Thong_tin_NV_nhan_tien_mat311"/>
      <sheetName val="TIME_TABLE_02_2016311"/>
      <sheetName val="TIME_TABLE_03_2016311"/>
      <sheetName val="Probation_Time314"/>
      <sheetName val="OT_Detail314"/>
      <sheetName val="NIGHT_SHIFT314"/>
      <sheetName val="Bank_account314"/>
      <sheetName val="Tien_mat314"/>
      <sheetName val="Thong_tin_NV_nhan_tien_mat314"/>
      <sheetName val="TIME_TABLE_02_2016314"/>
      <sheetName val="TIME_TABLE_03_2016314"/>
      <sheetName val="Probation_Time312"/>
      <sheetName val="OT_Detail312"/>
      <sheetName val="NIGHT_SHIFT312"/>
      <sheetName val="Bank_account312"/>
      <sheetName val="Tien_mat312"/>
      <sheetName val="Thong_tin_NV_nhan_tien_mat312"/>
      <sheetName val="TIME_TABLE_02_2016312"/>
      <sheetName val="TIME_TABLE_03_2016312"/>
      <sheetName val="Probation_Time313"/>
      <sheetName val="OT_Detail313"/>
      <sheetName val="NIGHT_SHIFT313"/>
      <sheetName val="Bank_account313"/>
      <sheetName val="Tien_mat313"/>
      <sheetName val="Thong_tin_NV_nhan_tien_mat313"/>
      <sheetName val="TIME_TABLE_02_2016313"/>
      <sheetName val="TIME_TABLE_03_2016313"/>
      <sheetName val="Probation_Time319"/>
      <sheetName val="OT_Detail319"/>
      <sheetName val="NIGHT_SHIFT319"/>
      <sheetName val="Bank_account319"/>
      <sheetName val="Tien_mat319"/>
      <sheetName val="Thong_tin_NV_nhan_tien_mat319"/>
      <sheetName val="TIME_TABLE_02_2016319"/>
      <sheetName val="TIME_TABLE_03_2016319"/>
      <sheetName val="Probation_Time315"/>
      <sheetName val="OT_Detail315"/>
      <sheetName val="NIGHT_SHIFT315"/>
      <sheetName val="Bank_account315"/>
      <sheetName val="Tien_mat315"/>
      <sheetName val="Thong_tin_NV_nhan_tien_mat315"/>
      <sheetName val="TIME_TABLE_02_2016315"/>
      <sheetName val="TIME_TABLE_03_2016315"/>
      <sheetName val="Probation_Time317"/>
      <sheetName val="OT_Detail317"/>
      <sheetName val="NIGHT_SHIFT317"/>
      <sheetName val="Bank_account317"/>
      <sheetName val="Tien_mat317"/>
      <sheetName val="Thong_tin_NV_nhan_tien_mat317"/>
      <sheetName val="TIME_TABLE_02_2016317"/>
      <sheetName val="TIME_TABLE_03_2016317"/>
      <sheetName val="Probation_Time316"/>
      <sheetName val="OT_Detail316"/>
      <sheetName val="NIGHT_SHIFT316"/>
      <sheetName val="Bank_account316"/>
      <sheetName val="Tien_mat316"/>
      <sheetName val="Thong_tin_NV_nhan_tien_mat316"/>
      <sheetName val="TIME_TABLE_02_2016316"/>
      <sheetName val="TIME_TABLE_03_2016316"/>
      <sheetName val="Probation_Time318"/>
      <sheetName val="OT_Detail318"/>
      <sheetName val="NIGHT_SHIFT318"/>
      <sheetName val="Bank_account318"/>
      <sheetName val="Tien_mat318"/>
      <sheetName val="Thong_tin_NV_nhan_tien_mat318"/>
      <sheetName val="TIME_TABLE_02_2016318"/>
      <sheetName val="TIME_TABLE_03_2016318"/>
      <sheetName val="Probation_Time321"/>
      <sheetName val="OT_Detail321"/>
      <sheetName val="NIGHT_SHIFT321"/>
      <sheetName val="Bank_account321"/>
      <sheetName val="Tien_mat321"/>
      <sheetName val="Thong_tin_NV_nhan_tien_mat321"/>
      <sheetName val="TIME_TABLE_02_2016321"/>
      <sheetName val="TIME_TABLE_03_2016321"/>
      <sheetName val="Probation_Time322"/>
      <sheetName val="OT_Detail322"/>
      <sheetName val="NIGHT_SHIFT322"/>
      <sheetName val="Bank_account322"/>
      <sheetName val="Tien_mat322"/>
      <sheetName val="Thong_tin_NV_nhan_tien_mat322"/>
      <sheetName val="TIME_TABLE_02_2016322"/>
      <sheetName val="TIME_TABLE_03_2016322"/>
      <sheetName val="Probation_Time324"/>
      <sheetName val="OT_Detail324"/>
      <sheetName val="NIGHT_SHIFT324"/>
      <sheetName val="Bank_account324"/>
      <sheetName val="Tien_mat324"/>
      <sheetName val="Thong_tin_NV_nhan_tien_mat324"/>
      <sheetName val="TIME_TABLE_02_2016324"/>
      <sheetName val="TIME_TABLE_03_2016324"/>
      <sheetName val="Probation_Time323"/>
      <sheetName val="OT_Detail323"/>
      <sheetName val="NIGHT_SHIFT323"/>
      <sheetName val="Bank_account323"/>
      <sheetName val="Tien_mat323"/>
      <sheetName val="Thong_tin_NV_nhan_tien_mat323"/>
      <sheetName val="TIME_TABLE_02_2016323"/>
      <sheetName val="TIME_TABLE_03_2016323"/>
      <sheetName val="Probation_Time325"/>
      <sheetName val="OT_Detail325"/>
      <sheetName val="NIGHT_SHIFT325"/>
      <sheetName val="Bank_account325"/>
      <sheetName val="Tien_mat325"/>
      <sheetName val="Thong_tin_NV_nhan_tien_mat325"/>
      <sheetName val="TIME_TABLE_02_2016325"/>
      <sheetName val="TIME_TABLE_03_2016325"/>
      <sheetName val="Probation_Time328"/>
      <sheetName val="OT_Detail328"/>
      <sheetName val="NIGHT_SHIFT328"/>
      <sheetName val="Bank_account328"/>
      <sheetName val="Tien_mat328"/>
      <sheetName val="Thong_tin_NV_nhan_tien_mat328"/>
      <sheetName val="TIME_TABLE_02_2016328"/>
      <sheetName val="TIME_TABLE_03_2016328"/>
      <sheetName val="Probation_Time326"/>
      <sheetName val="OT_Detail326"/>
      <sheetName val="NIGHT_SHIFT326"/>
      <sheetName val="Bank_account326"/>
      <sheetName val="Tien_mat326"/>
      <sheetName val="Thong_tin_NV_nhan_tien_mat326"/>
      <sheetName val="TIME_TABLE_02_2016326"/>
      <sheetName val="TIME_TABLE_03_2016326"/>
      <sheetName val="Probation_Time327"/>
      <sheetName val="OT_Detail327"/>
      <sheetName val="NIGHT_SHIFT327"/>
      <sheetName val="Bank_account327"/>
      <sheetName val="Tien_mat327"/>
      <sheetName val="Thong_tin_NV_nhan_tien_mat327"/>
      <sheetName val="TIME_TABLE_02_2016327"/>
      <sheetName val="TIME_TABLE_03_2016327"/>
      <sheetName val="Probation_Time329"/>
      <sheetName val="OT_Detail329"/>
      <sheetName val="NIGHT_SHIFT329"/>
      <sheetName val="Bank_account329"/>
      <sheetName val="Tien_mat329"/>
      <sheetName val="Thong_tin_NV_nhan_tien_mat329"/>
      <sheetName val="TIME_TABLE_02_2016329"/>
      <sheetName val="TIME_TABLE_03_2016329"/>
      <sheetName val="Probation_Time331"/>
      <sheetName val="OT_Detail331"/>
      <sheetName val="NIGHT_SHIFT331"/>
      <sheetName val="Bank_account331"/>
      <sheetName val="Tien_mat331"/>
      <sheetName val="Thong_tin_NV_nhan_tien_mat331"/>
      <sheetName val="TIME_TABLE_02_2016331"/>
      <sheetName val="TIME_TABLE_03_2016331"/>
      <sheetName val="Probation_Time330"/>
      <sheetName val="OT_Detail330"/>
      <sheetName val="NIGHT_SHIFT330"/>
      <sheetName val="Bank_account330"/>
      <sheetName val="Tien_mat330"/>
      <sheetName val="Thong_tin_NV_nhan_tien_mat330"/>
      <sheetName val="TIME_TABLE_02_2016330"/>
      <sheetName val="TIME_TABLE_03_2016330"/>
      <sheetName val="Probation_Time332"/>
      <sheetName val="OT_Detail332"/>
      <sheetName val="NIGHT_SHIFT332"/>
      <sheetName val="Bank_account332"/>
      <sheetName val="Tien_mat332"/>
      <sheetName val="Thong_tin_NV_nhan_tien_mat332"/>
      <sheetName val="TIME_TABLE_02_2016332"/>
      <sheetName val="TIME_TABLE_03_2016332"/>
      <sheetName val="Probation_Time333"/>
      <sheetName val="OT_Detail333"/>
      <sheetName val="NIGHT_SHIFT333"/>
      <sheetName val="Bank_account333"/>
      <sheetName val="Tien_mat333"/>
      <sheetName val="Thong_tin_NV_nhan_tien_mat333"/>
      <sheetName val="TIME_TABLE_02_2016333"/>
      <sheetName val="TIME_TABLE_03_2016333"/>
      <sheetName val="Probation_Time360"/>
      <sheetName val="OT_Detail360"/>
      <sheetName val="NIGHT_SHIFT360"/>
      <sheetName val="Bank_account360"/>
      <sheetName val="Tien_mat360"/>
      <sheetName val="Thong_tin_NV_nhan_tien_mat360"/>
      <sheetName val="TIME_TABLE_02_2016360"/>
      <sheetName val="TIME_TABLE_03_2016360"/>
      <sheetName val="Probation_Time334"/>
      <sheetName val="OT_Detail334"/>
      <sheetName val="NIGHT_SHIFT334"/>
      <sheetName val="Bank_account334"/>
      <sheetName val="Tien_mat334"/>
      <sheetName val="Thong_tin_NV_nhan_tien_mat334"/>
      <sheetName val="TIME_TABLE_02_2016334"/>
      <sheetName val="TIME_TABLE_03_2016334"/>
      <sheetName val="Probation_Time335"/>
      <sheetName val="OT_Detail335"/>
      <sheetName val="NIGHT_SHIFT335"/>
      <sheetName val="Bank_account335"/>
      <sheetName val="Tien_mat335"/>
      <sheetName val="Thong_tin_NV_nhan_tien_mat335"/>
      <sheetName val="TIME_TABLE_02_2016335"/>
      <sheetName val="TIME_TABLE_03_2016335"/>
      <sheetName val="Probation_Time336"/>
      <sheetName val="OT_Detail336"/>
      <sheetName val="NIGHT_SHIFT336"/>
      <sheetName val="Bank_account336"/>
      <sheetName val="Tien_mat336"/>
      <sheetName val="Thong_tin_NV_nhan_tien_mat336"/>
      <sheetName val="TIME_TABLE_02_2016336"/>
      <sheetName val="TIME_TABLE_03_2016336"/>
      <sheetName val="Probation_Time337"/>
      <sheetName val="OT_Detail337"/>
      <sheetName val="NIGHT_SHIFT337"/>
      <sheetName val="Bank_account337"/>
      <sheetName val="Tien_mat337"/>
      <sheetName val="Thong_tin_NV_nhan_tien_mat337"/>
      <sheetName val="TIME_TABLE_02_2016337"/>
      <sheetName val="TIME_TABLE_03_2016337"/>
      <sheetName val="Probation_Time338"/>
      <sheetName val="OT_Detail338"/>
      <sheetName val="NIGHT_SHIFT338"/>
      <sheetName val="Bank_account338"/>
      <sheetName val="Tien_mat338"/>
      <sheetName val="Thong_tin_NV_nhan_tien_mat338"/>
      <sheetName val="TIME_TABLE_02_2016338"/>
      <sheetName val="TIME_TABLE_03_2016338"/>
      <sheetName val="Probation_Time339"/>
      <sheetName val="OT_Detail339"/>
      <sheetName val="NIGHT_SHIFT339"/>
      <sheetName val="Bank_account339"/>
      <sheetName val="Tien_mat339"/>
      <sheetName val="Thong_tin_NV_nhan_tien_mat339"/>
      <sheetName val="TIME_TABLE_02_2016339"/>
      <sheetName val="TIME_TABLE_03_2016339"/>
      <sheetName val="Probation_Time343"/>
      <sheetName val="OT_Detail343"/>
      <sheetName val="NIGHT_SHIFT343"/>
      <sheetName val="Bank_account343"/>
      <sheetName val="Tien_mat343"/>
      <sheetName val="Thong_tin_NV_nhan_tien_mat343"/>
      <sheetName val="TIME_TABLE_02_2016343"/>
      <sheetName val="TIME_TABLE_03_2016343"/>
      <sheetName val="Probation_Time340"/>
      <sheetName val="OT_Detail340"/>
      <sheetName val="NIGHT_SHIFT340"/>
      <sheetName val="Bank_account340"/>
      <sheetName val="Tien_mat340"/>
      <sheetName val="Thong_tin_NV_nhan_tien_mat340"/>
      <sheetName val="TIME_TABLE_02_2016340"/>
      <sheetName val="TIME_TABLE_03_2016340"/>
      <sheetName val="Probation_Time341"/>
      <sheetName val="OT_Detail341"/>
      <sheetName val="NIGHT_SHIFT341"/>
      <sheetName val="Bank_account341"/>
      <sheetName val="Tien_mat341"/>
      <sheetName val="Thong_tin_NV_nhan_tien_mat341"/>
      <sheetName val="TIME_TABLE_02_2016341"/>
      <sheetName val="TIME_TABLE_03_2016341"/>
      <sheetName val="Probation_Time342"/>
      <sheetName val="OT_Detail342"/>
      <sheetName val="NIGHT_SHIFT342"/>
      <sheetName val="Bank_account342"/>
      <sheetName val="Tien_mat342"/>
      <sheetName val="Thong_tin_NV_nhan_tien_mat342"/>
      <sheetName val="TIME_TABLE_02_2016342"/>
      <sheetName val="TIME_TABLE_03_2016342"/>
      <sheetName val="Probation_Time344"/>
      <sheetName val="OT_Detail344"/>
      <sheetName val="NIGHT_SHIFT344"/>
      <sheetName val="Bank_account344"/>
      <sheetName val="Tien_mat344"/>
      <sheetName val="Thong_tin_NV_nhan_tien_mat344"/>
      <sheetName val="TIME_TABLE_02_2016344"/>
      <sheetName val="TIME_TABLE_03_2016344"/>
      <sheetName val="Probation_Time345"/>
      <sheetName val="OT_Detail345"/>
      <sheetName val="NIGHT_SHIFT345"/>
      <sheetName val="Bank_account345"/>
      <sheetName val="Tien_mat345"/>
      <sheetName val="Thong_tin_NV_nhan_tien_mat345"/>
      <sheetName val="TIME_TABLE_02_2016345"/>
      <sheetName val="TIME_TABLE_03_2016345"/>
      <sheetName val="Probation_Time347"/>
      <sheetName val="OT_Detail347"/>
      <sheetName val="NIGHT_SHIFT347"/>
      <sheetName val="Bank_account347"/>
      <sheetName val="Tien_mat347"/>
      <sheetName val="Thong_tin_NV_nhan_tien_mat347"/>
      <sheetName val="TIME_TABLE_02_2016347"/>
      <sheetName val="TIME_TABLE_03_2016347"/>
      <sheetName val="Probation_Time346"/>
      <sheetName val="OT_Detail346"/>
      <sheetName val="NIGHT_SHIFT346"/>
      <sheetName val="Bank_account346"/>
      <sheetName val="Tien_mat346"/>
      <sheetName val="Thong_tin_NV_nhan_tien_mat346"/>
      <sheetName val="TIME_TABLE_02_2016346"/>
      <sheetName val="TIME_TABLE_03_2016346"/>
      <sheetName val="Probation_Time348"/>
      <sheetName val="OT_Detail348"/>
      <sheetName val="NIGHT_SHIFT348"/>
      <sheetName val="Bank_account348"/>
      <sheetName val="Tien_mat348"/>
      <sheetName val="Thong_tin_NV_nhan_tien_mat348"/>
      <sheetName val="TIME_TABLE_02_2016348"/>
      <sheetName val="TIME_TABLE_03_2016348"/>
      <sheetName val="Probation_Time349"/>
      <sheetName val="OT_Detail349"/>
      <sheetName val="NIGHT_SHIFT349"/>
      <sheetName val="Bank_account349"/>
      <sheetName val="Tien_mat349"/>
      <sheetName val="Thong_tin_NV_nhan_tien_mat349"/>
      <sheetName val="TIME_TABLE_02_2016349"/>
      <sheetName val="TIME_TABLE_03_2016349"/>
      <sheetName val="Probation_Time350"/>
      <sheetName val="OT_Detail350"/>
      <sheetName val="NIGHT_SHIFT350"/>
      <sheetName val="Bank_account350"/>
      <sheetName val="Tien_mat350"/>
      <sheetName val="Thong_tin_NV_nhan_tien_mat350"/>
      <sheetName val="TIME_TABLE_02_2016350"/>
      <sheetName val="TIME_TABLE_03_2016350"/>
      <sheetName val="Probation_Time351"/>
      <sheetName val="OT_Detail351"/>
      <sheetName val="NIGHT_SHIFT351"/>
      <sheetName val="Bank_account351"/>
      <sheetName val="Tien_mat351"/>
      <sheetName val="Thong_tin_NV_nhan_tien_mat351"/>
      <sheetName val="TIME_TABLE_02_2016351"/>
      <sheetName val="TIME_TABLE_03_2016351"/>
      <sheetName val="Probation_Time352"/>
      <sheetName val="OT_Detail352"/>
      <sheetName val="NIGHT_SHIFT352"/>
      <sheetName val="Bank_account352"/>
      <sheetName val="Tien_mat352"/>
      <sheetName val="Thong_tin_NV_nhan_tien_mat352"/>
      <sheetName val="TIME_TABLE_02_2016352"/>
      <sheetName val="TIME_TABLE_03_2016352"/>
      <sheetName val="Probation_Time353"/>
      <sheetName val="OT_Detail353"/>
      <sheetName val="NIGHT_SHIFT353"/>
      <sheetName val="Bank_account353"/>
      <sheetName val="Tien_mat353"/>
      <sheetName val="Thong_tin_NV_nhan_tien_mat353"/>
      <sheetName val="TIME_TABLE_02_2016353"/>
      <sheetName val="TIME_TABLE_03_2016353"/>
      <sheetName val="Probation_Time355"/>
      <sheetName val="OT_Detail355"/>
      <sheetName val="NIGHT_SHIFT355"/>
      <sheetName val="Bank_account355"/>
      <sheetName val="Tien_mat355"/>
      <sheetName val="Thong_tin_NV_nhan_tien_mat355"/>
      <sheetName val="TIME_TABLE_02_2016355"/>
      <sheetName val="TIME_TABLE_03_2016355"/>
      <sheetName val="Probation_Time354"/>
      <sheetName val="OT_Detail354"/>
      <sheetName val="NIGHT_SHIFT354"/>
      <sheetName val="Bank_account354"/>
      <sheetName val="Tien_mat354"/>
      <sheetName val="Thong_tin_NV_nhan_tien_mat354"/>
      <sheetName val="TIME_TABLE_02_2016354"/>
      <sheetName val="TIME_TABLE_03_2016354"/>
      <sheetName val="Probation_Time356"/>
      <sheetName val="OT_Detail356"/>
      <sheetName val="NIGHT_SHIFT356"/>
      <sheetName val="Bank_account356"/>
      <sheetName val="Tien_mat356"/>
      <sheetName val="Thong_tin_NV_nhan_tien_mat356"/>
      <sheetName val="TIME_TABLE_02_2016356"/>
      <sheetName val="TIME_TABLE_03_2016356"/>
      <sheetName val="Probation_Time357"/>
      <sheetName val="OT_Detail357"/>
      <sheetName val="NIGHT_SHIFT357"/>
      <sheetName val="Bank_account357"/>
      <sheetName val="Tien_mat357"/>
      <sheetName val="Thong_tin_NV_nhan_tien_mat357"/>
      <sheetName val="TIME_TABLE_02_2016357"/>
      <sheetName val="TIME_TABLE_03_2016357"/>
      <sheetName val="Probation_Time358"/>
      <sheetName val="OT_Detail358"/>
      <sheetName val="NIGHT_SHIFT358"/>
      <sheetName val="Bank_account358"/>
      <sheetName val="Tien_mat358"/>
      <sheetName val="Thong_tin_NV_nhan_tien_mat358"/>
      <sheetName val="TIME_TABLE_02_2016358"/>
      <sheetName val="TIME_TABLE_03_2016358"/>
      <sheetName val="Probation_Time359"/>
      <sheetName val="OT_Detail359"/>
      <sheetName val="NIGHT_SHIFT359"/>
      <sheetName val="Bank_account359"/>
      <sheetName val="Tien_mat359"/>
      <sheetName val="Thong_tin_NV_nhan_tien_mat359"/>
      <sheetName val="TIME_TABLE_02_2016359"/>
      <sheetName val="TIME_TABLE_03_2016359"/>
      <sheetName val="Probation_Time361"/>
      <sheetName val="OT_Detail361"/>
      <sheetName val="NIGHT_SHIFT361"/>
      <sheetName val="Bank_account361"/>
      <sheetName val="Tien_mat361"/>
      <sheetName val="Thong_tin_NV_nhan_tien_mat361"/>
      <sheetName val="TIME_TABLE_02_2016361"/>
      <sheetName val="TIME_TABLE_03_2016361"/>
      <sheetName val="Probation_Time363"/>
      <sheetName val="OT_Detail363"/>
      <sheetName val="NIGHT_SHIFT363"/>
      <sheetName val="Bank_account363"/>
      <sheetName val="Tien_mat363"/>
      <sheetName val="Thong_tin_NV_nhan_tien_mat363"/>
      <sheetName val="TIME_TABLE_02_2016363"/>
      <sheetName val="TIME_TABLE_03_2016363"/>
      <sheetName val="Probation Time"/>
      <sheetName val="OT Detail"/>
      <sheetName val="NIGHT SHIFT"/>
      <sheetName val="Bank account"/>
      <sheetName val="Tien mat"/>
      <sheetName val="Thong tin NV nhan tien mat"/>
      <sheetName val="TIME TABLE 02.2016"/>
      <sheetName val="TIME TABLE 03.2016"/>
      <sheetName val="Probation_Time364"/>
      <sheetName val="OT_Detail364"/>
      <sheetName val="NIGHT_SHIFT364"/>
      <sheetName val="Bank_account364"/>
      <sheetName val="Tien_mat364"/>
      <sheetName val="Thong_tin_NV_nhan_tien_mat364"/>
      <sheetName val="TIME_TABLE_02_2016364"/>
      <sheetName val="TIME_TABLE_03_2016364"/>
      <sheetName val="Probation_Time365"/>
      <sheetName val="OT_Detail365"/>
      <sheetName val="NIGHT_SHIFT365"/>
      <sheetName val="Bank_account365"/>
      <sheetName val="Tien_mat365"/>
      <sheetName val="Thong_tin_NV_nhan_tien_mat365"/>
      <sheetName val="TIME_TABLE_02_2016365"/>
      <sheetName val="TIME_TABLE_03_2016365"/>
      <sheetName val="Probation_Time366"/>
      <sheetName val="OT_Detail366"/>
      <sheetName val="NIGHT_SHIFT366"/>
      <sheetName val="Bank_account366"/>
      <sheetName val="Tien_mat366"/>
      <sheetName val="Thong_tin_NV_nhan_tien_mat366"/>
      <sheetName val="TIME_TABLE_02_2016366"/>
      <sheetName val="TIME_TABLE_03_2016366"/>
      <sheetName val="Probation_Time367"/>
      <sheetName val="OT_Detail367"/>
      <sheetName val="NIGHT_SHIFT367"/>
      <sheetName val="Bank_account367"/>
      <sheetName val="Tien_mat367"/>
      <sheetName val="Thong_tin_NV_nhan_tien_mat367"/>
      <sheetName val="TIME_TABLE_02_2016367"/>
      <sheetName val="TIME_TABLE_03_2016367"/>
      <sheetName val="Probation_Time368"/>
      <sheetName val="OT_Detail368"/>
      <sheetName val="NIGHT_SHIFT368"/>
      <sheetName val="Bank_account368"/>
      <sheetName val="Tien_mat368"/>
      <sheetName val="Thong_tin_NV_nhan_tien_mat368"/>
      <sheetName val="TIME_TABLE_02_2016368"/>
      <sheetName val="TIME_TABLE_03_2016368"/>
      <sheetName val="Probation_Time380"/>
      <sheetName val="OT_Detail380"/>
      <sheetName val="NIGHT_SHIFT380"/>
      <sheetName val="Bank_account380"/>
      <sheetName val="Tien_mat380"/>
      <sheetName val="Thong_tin_NV_nhan_tien_mat380"/>
      <sheetName val="TIME_TABLE_02_2016380"/>
      <sheetName val="TIME_TABLE_03_2016380"/>
      <sheetName val="Probation_Time369"/>
      <sheetName val="OT_Detail369"/>
      <sheetName val="NIGHT_SHIFT369"/>
      <sheetName val="Bank_account369"/>
      <sheetName val="Tien_mat369"/>
      <sheetName val="Thong_tin_NV_nhan_tien_mat369"/>
      <sheetName val="TIME_TABLE_02_2016369"/>
      <sheetName val="TIME_TABLE_03_2016369"/>
      <sheetName val="Probation_Time370"/>
      <sheetName val="OT_Detail370"/>
      <sheetName val="NIGHT_SHIFT370"/>
      <sheetName val="Bank_account370"/>
      <sheetName val="Tien_mat370"/>
      <sheetName val="Thong_tin_NV_nhan_tien_mat370"/>
      <sheetName val="TIME_TABLE_02_2016370"/>
      <sheetName val="TIME_TABLE_03_2016370"/>
      <sheetName val="Probation_Time371"/>
      <sheetName val="OT_Detail371"/>
      <sheetName val="NIGHT_SHIFT371"/>
      <sheetName val="Bank_account371"/>
      <sheetName val="Tien_mat371"/>
      <sheetName val="Thong_tin_NV_nhan_tien_mat371"/>
      <sheetName val="TIME_TABLE_02_2016371"/>
      <sheetName val="TIME_TABLE_03_2016371"/>
      <sheetName val="Probation_Time375"/>
      <sheetName val="OT_Detail375"/>
      <sheetName val="NIGHT_SHIFT375"/>
      <sheetName val="Bank_account375"/>
      <sheetName val="Tien_mat375"/>
      <sheetName val="Thong_tin_NV_nhan_tien_mat375"/>
      <sheetName val="TIME_TABLE_02_2016375"/>
      <sheetName val="TIME_TABLE_03_2016375"/>
      <sheetName val="Probation_Time372"/>
      <sheetName val="OT_Detail372"/>
      <sheetName val="NIGHT_SHIFT372"/>
      <sheetName val="Bank_account372"/>
      <sheetName val="Tien_mat372"/>
      <sheetName val="Thong_tin_NV_nhan_tien_mat372"/>
      <sheetName val="TIME_TABLE_02_2016372"/>
      <sheetName val="TIME_TABLE_03_2016372"/>
      <sheetName val="Probation_Time373"/>
      <sheetName val="OT_Detail373"/>
      <sheetName val="NIGHT_SHIFT373"/>
      <sheetName val="Bank_account373"/>
      <sheetName val="Tien_mat373"/>
      <sheetName val="Thong_tin_NV_nhan_tien_mat373"/>
      <sheetName val="TIME_TABLE_02_2016373"/>
      <sheetName val="TIME_TABLE_03_2016373"/>
      <sheetName val="Probation_Time374"/>
      <sheetName val="OT_Detail374"/>
      <sheetName val="NIGHT_SHIFT374"/>
      <sheetName val="Bank_account374"/>
      <sheetName val="Tien_mat374"/>
      <sheetName val="Thong_tin_NV_nhan_tien_mat374"/>
      <sheetName val="TIME_TABLE_02_2016374"/>
      <sheetName val="TIME_TABLE_03_2016374"/>
      <sheetName val="Probation_Time376"/>
      <sheetName val="OT_Detail376"/>
      <sheetName val="NIGHT_SHIFT376"/>
      <sheetName val="Bank_account376"/>
      <sheetName val="Tien_mat376"/>
      <sheetName val="Thong_tin_NV_nhan_tien_mat376"/>
      <sheetName val="TIME_TABLE_02_2016376"/>
      <sheetName val="TIME_TABLE_03_2016376"/>
      <sheetName val="Probation_Time377"/>
      <sheetName val="OT_Detail377"/>
      <sheetName val="NIGHT_SHIFT377"/>
      <sheetName val="Bank_account377"/>
      <sheetName val="Tien_mat377"/>
      <sheetName val="Thong_tin_NV_nhan_tien_mat377"/>
      <sheetName val="TIME_TABLE_02_2016377"/>
      <sheetName val="TIME_TABLE_03_2016377"/>
      <sheetName val="Probation_Time378"/>
      <sheetName val="OT_Detail378"/>
      <sheetName val="NIGHT_SHIFT378"/>
      <sheetName val="Bank_account378"/>
      <sheetName val="Tien_mat378"/>
      <sheetName val="Thong_tin_NV_nhan_tien_mat378"/>
      <sheetName val="TIME_TABLE_02_2016378"/>
      <sheetName val="TIME_TABLE_03_2016378"/>
      <sheetName val="Probation_Time379"/>
      <sheetName val="OT_Detail379"/>
      <sheetName val="NIGHT_SHIFT379"/>
      <sheetName val="Bank_account379"/>
      <sheetName val="Tien_mat379"/>
      <sheetName val="Thong_tin_NV_nhan_tien_mat379"/>
      <sheetName val="TIME_TABLE_02_2016379"/>
      <sheetName val="TIME_TABLE_03_2016379"/>
      <sheetName val="Probation_Time381"/>
      <sheetName val="OT_Detail381"/>
      <sheetName val="NIGHT_SHIFT381"/>
      <sheetName val="Bank_account381"/>
      <sheetName val="Tien_mat381"/>
      <sheetName val="Thong_tin_NV_nhan_tien_mat381"/>
      <sheetName val="TIME_TABLE_02_2016381"/>
      <sheetName val="TIME_TABLE_03_2016381"/>
      <sheetName val="Probation_Time382"/>
      <sheetName val="OT_Detail382"/>
      <sheetName val="NIGHT_SHIFT382"/>
      <sheetName val="Bank_account382"/>
      <sheetName val="Tien_mat382"/>
      <sheetName val="Thong_tin_NV_nhan_tien_mat382"/>
      <sheetName val="TIME_TABLE_02_2016382"/>
      <sheetName val="TIME_TABLE_03_2016382"/>
      <sheetName val="Probation_Time401"/>
      <sheetName val="OT_Detail401"/>
      <sheetName val="NIGHT_SHIFT401"/>
      <sheetName val="Bank_account401"/>
      <sheetName val="Tien_mat401"/>
      <sheetName val="Thong_tin_NV_nhan_tien_mat401"/>
      <sheetName val="TIME_TABLE_02_2016401"/>
      <sheetName val="TIME_TABLE_03_2016401"/>
      <sheetName val="Probation_Time383"/>
      <sheetName val="OT_Detail383"/>
      <sheetName val="NIGHT_SHIFT383"/>
      <sheetName val="Bank_account383"/>
      <sheetName val="Tien_mat383"/>
      <sheetName val="Thong_tin_NV_nhan_tien_mat383"/>
      <sheetName val="TIME_TABLE_02_2016383"/>
      <sheetName val="TIME_TABLE_03_2016383"/>
      <sheetName val="Probation_Time384"/>
      <sheetName val="OT_Detail384"/>
      <sheetName val="NIGHT_SHIFT384"/>
      <sheetName val="Bank_account384"/>
      <sheetName val="Tien_mat384"/>
      <sheetName val="Thong_tin_NV_nhan_tien_mat384"/>
      <sheetName val="TIME_TABLE_02_2016384"/>
      <sheetName val="TIME_TABLE_03_2016384"/>
      <sheetName val="Probation_Time385"/>
      <sheetName val="OT_Detail385"/>
      <sheetName val="NIGHT_SHIFT385"/>
      <sheetName val="Bank_account385"/>
      <sheetName val="Tien_mat385"/>
      <sheetName val="Thong_tin_NV_nhan_tien_mat385"/>
      <sheetName val="TIME_TABLE_02_2016385"/>
      <sheetName val="TIME_TABLE_03_2016385"/>
      <sheetName val="Probation_Time386"/>
      <sheetName val="OT_Detail386"/>
      <sheetName val="NIGHT_SHIFT386"/>
      <sheetName val="Bank_account386"/>
      <sheetName val="Tien_mat386"/>
      <sheetName val="Thong_tin_NV_nhan_tien_mat386"/>
      <sheetName val="TIME_TABLE_02_2016386"/>
      <sheetName val="TIME_TABLE_03_2016386"/>
      <sheetName val="Probation_Time387"/>
      <sheetName val="OT_Detail387"/>
      <sheetName val="NIGHT_SHIFT387"/>
      <sheetName val="Bank_account387"/>
      <sheetName val="Tien_mat387"/>
      <sheetName val="Thong_tin_NV_nhan_tien_mat387"/>
      <sheetName val="TIME_TABLE_02_2016387"/>
      <sheetName val="TIME_TABLE_03_2016387"/>
      <sheetName val="Probation_Time388"/>
      <sheetName val="OT_Detail388"/>
      <sheetName val="NIGHT_SHIFT388"/>
      <sheetName val="Bank_account388"/>
      <sheetName val="Tien_mat388"/>
      <sheetName val="Thong_tin_NV_nhan_tien_mat388"/>
      <sheetName val="TIME_TABLE_02_2016388"/>
      <sheetName val="TIME_TABLE_03_2016388"/>
      <sheetName val="Probation_Time389"/>
      <sheetName val="OT_Detail389"/>
      <sheetName val="NIGHT_SHIFT389"/>
      <sheetName val="Bank_account389"/>
      <sheetName val="Tien_mat389"/>
      <sheetName val="Thong_tin_NV_nhan_tien_mat389"/>
      <sheetName val="TIME_TABLE_02_2016389"/>
      <sheetName val="TIME_TABLE_03_2016389"/>
      <sheetName val="Probation_Time390"/>
      <sheetName val="OT_Detail390"/>
      <sheetName val="NIGHT_SHIFT390"/>
      <sheetName val="Bank_account390"/>
      <sheetName val="Tien_mat390"/>
      <sheetName val="Thong_tin_NV_nhan_tien_mat390"/>
      <sheetName val="TIME_TABLE_02_2016390"/>
      <sheetName val="TIME_TABLE_03_2016390"/>
      <sheetName val="Probation_Time392"/>
      <sheetName val="OT_Detail392"/>
      <sheetName val="NIGHT_SHIFT392"/>
      <sheetName val="Bank_account392"/>
      <sheetName val="Tien_mat392"/>
      <sheetName val="Thong_tin_NV_nhan_tien_mat392"/>
      <sheetName val="TIME_TABLE_02_2016392"/>
      <sheetName val="TIME_TABLE_03_2016392"/>
      <sheetName val="Probation_Time391"/>
      <sheetName val="OT_Detail391"/>
      <sheetName val="NIGHT_SHIFT391"/>
      <sheetName val="Bank_account391"/>
      <sheetName val="Tien_mat391"/>
      <sheetName val="Thong_tin_NV_nhan_tien_mat391"/>
      <sheetName val="TIME_TABLE_02_2016391"/>
      <sheetName val="TIME_TABLE_03_2016391"/>
      <sheetName val="Probation_Time395"/>
      <sheetName val="OT_Detail395"/>
      <sheetName val="NIGHT_SHIFT395"/>
      <sheetName val="Bank_account395"/>
      <sheetName val="Tien_mat395"/>
      <sheetName val="Thong_tin_NV_nhan_tien_mat395"/>
      <sheetName val="TIME_TABLE_02_2016395"/>
      <sheetName val="TIME_TABLE_03_2016395"/>
      <sheetName val="Probation_Time394"/>
      <sheetName val="OT_Detail394"/>
      <sheetName val="NIGHT_SHIFT394"/>
      <sheetName val="Bank_account394"/>
      <sheetName val="Tien_mat394"/>
      <sheetName val="Thong_tin_NV_nhan_tien_mat394"/>
      <sheetName val="TIME_TABLE_02_2016394"/>
      <sheetName val="TIME_TABLE_03_2016394"/>
      <sheetName val="Probation_Time393"/>
      <sheetName val="OT_Detail393"/>
      <sheetName val="NIGHT_SHIFT393"/>
      <sheetName val="Bank_account393"/>
      <sheetName val="Tien_mat393"/>
      <sheetName val="Thong_tin_NV_nhan_tien_mat393"/>
      <sheetName val="TIME_TABLE_02_2016393"/>
      <sheetName val="TIME_TABLE_03_2016393"/>
      <sheetName val="Probation_Time396"/>
      <sheetName val="OT_Detail396"/>
      <sheetName val="NIGHT_SHIFT396"/>
      <sheetName val="Bank_account396"/>
      <sheetName val="Tien_mat396"/>
      <sheetName val="Thong_tin_NV_nhan_tien_mat396"/>
      <sheetName val="TIME_TABLE_02_2016396"/>
      <sheetName val="TIME_TABLE_03_2016396"/>
      <sheetName val="Probation_Time400"/>
      <sheetName val="OT_Detail400"/>
      <sheetName val="NIGHT_SHIFT400"/>
      <sheetName val="Bank_account400"/>
      <sheetName val="Tien_mat400"/>
      <sheetName val="Thong_tin_NV_nhan_tien_mat400"/>
      <sheetName val="TIME_TABLE_02_2016400"/>
      <sheetName val="TIME_TABLE_03_2016400"/>
      <sheetName val="Probation_Time397"/>
      <sheetName val="OT_Detail397"/>
      <sheetName val="NIGHT_SHIFT397"/>
      <sheetName val="Bank_account397"/>
      <sheetName val="Tien_mat397"/>
      <sheetName val="Thong_tin_NV_nhan_tien_mat397"/>
      <sheetName val="TIME_TABLE_02_2016397"/>
      <sheetName val="TIME_TABLE_03_2016397"/>
      <sheetName val="Probation_Time398"/>
      <sheetName val="OT_Detail398"/>
      <sheetName val="NIGHT_SHIFT398"/>
      <sheetName val="Bank_account398"/>
      <sheetName val="Tien_mat398"/>
      <sheetName val="Thong_tin_NV_nhan_tien_mat398"/>
      <sheetName val="TIME_TABLE_02_2016398"/>
      <sheetName val="TIME_TABLE_03_2016398"/>
      <sheetName val="Probation_Time399"/>
      <sheetName val="OT_Detail399"/>
      <sheetName val="NIGHT_SHIFT399"/>
      <sheetName val="Bank_account399"/>
      <sheetName val="Tien_mat399"/>
      <sheetName val="Thong_tin_NV_nhan_tien_mat399"/>
      <sheetName val="TIME_TABLE_02_2016399"/>
      <sheetName val="TIME_TABLE_03_2016399"/>
      <sheetName val="Probation_Time413"/>
      <sheetName val="OT_Detail413"/>
      <sheetName val="NIGHT_SHIFT413"/>
      <sheetName val="Bank_account413"/>
      <sheetName val="Tien_mat413"/>
      <sheetName val="Thong_tin_NV_nhan_tien_mat413"/>
      <sheetName val="TIME_TABLE_02_2016413"/>
      <sheetName val="TIME_TABLE_03_2016413"/>
      <sheetName val="Probation_Time402"/>
      <sheetName val="OT_Detail402"/>
      <sheetName val="NIGHT_SHIFT402"/>
      <sheetName val="Bank_account402"/>
      <sheetName val="Tien_mat402"/>
      <sheetName val="Thong_tin_NV_nhan_tien_mat402"/>
      <sheetName val="TIME_TABLE_02_2016402"/>
      <sheetName val="TIME_TABLE_03_2016402"/>
      <sheetName val="Probation_Time403"/>
      <sheetName val="OT_Detail403"/>
      <sheetName val="NIGHT_SHIFT403"/>
      <sheetName val="Bank_account403"/>
      <sheetName val="Tien_mat403"/>
      <sheetName val="Thong_tin_NV_nhan_tien_mat403"/>
      <sheetName val="TIME_TABLE_02_2016403"/>
      <sheetName val="TIME_TABLE_03_2016403"/>
      <sheetName val="Probation_Time404"/>
      <sheetName val="OT_Detail404"/>
      <sheetName val="NIGHT_SHIFT404"/>
      <sheetName val="Bank_account404"/>
      <sheetName val="Tien_mat404"/>
      <sheetName val="Thong_tin_NV_nhan_tien_mat404"/>
      <sheetName val="TIME_TABLE_02_2016404"/>
      <sheetName val="TIME_TABLE_03_2016404"/>
      <sheetName val="Probation_Time405"/>
      <sheetName val="OT_Detail405"/>
      <sheetName val="NIGHT_SHIFT405"/>
      <sheetName val="Bank_account405"/>
      <sheetName val="Tien_mat405"/>
      <sheetName val="Thong_tin_NV_nhan_tien_mat405"/>
      <sheetName val="TIME_TABLE_02_2016405"/>
      <sheetName val="TIME_TABLE_03_2016405"/>
      <sheetName val="Probation_Time406"/>
      <sheetName val="OT_Detail406"/>
      <sheetName val="NIGHT_SHIFT406"/>
      <sheetName val="Bank_account406"/>
      <sheetName val="Tien_mat406"/>
      <sheetName val="Thong_tin_NV_nhan_tien_mat406"/>
      <sheetName val="TIME_TABLE_02_2016406"/>
      <sheetName val="TIME_TABLE_03_2016406"/>
      <sheetName val="Probation_Time408"/>
      <sheetName val="OT_Detail408"/>
      <sheetName val="NIGHT_SHIFT408"/>
      <sheetName val="Bank_account408"/>
      <sheetName val="Tien_mat408"/>
      <sheetName val="Thong_tin_NV_nhan_tien_mat408"/>
      <sheetName val="TIME_TABLE_02_2016408"/>
      <sheetName val="TIME_TABLE_03_2016408"/>
      <sheetName val="Probation_Time407"/>
      <sheetName val="OT_Detail407"/>
      <sheetName val="NIGHT_SHIFT407"/>
      <sheetName val="Bank_account407"/>
      <sheetName val="Tien_mat407"/>
      <sheetName val="Thong_tin_NV_nhan_tien_mat407"/>
      <sheetName val="TIME_TABLE_02_2016407"/>
      <sheetName val="TIME_TABLE_03_2016407"/>
      <sheetName val="Probation_Time409"/>
      <sheetName val="OT_Detail409"/>
      <sheetName val="NIGHT_SHIFT409"/>
      <sheetName val="Bank_account409"/>
      <sheetName val="Tien_mat409"/>
      <sheetName val="Thong_tin_NV_nhan_tien_mat409"/>
      <sheetName val="TIME_TABLE_02_2016409"/>
      <sheetName val="TIME_TABLE_03_2016409"/>
      <sheetName val="Probation_Time410"/>
      <sheetName val="OT_Detail410"/>
      <sheetName val="NIGHT_SHIFT410"/>
      <sheetName val="Bank_account410"/>
      <sheetName val="Tien_mat410"/>
      <sheetName val="Thong_tin_NV_nhan_tien_mat410"/>
      <sheetName val="TIME_TABLE_02_2016410"/>
      <sheetName val="TIME_TABLE_03_2016410"/>
      <sheetName val="Probation_Time411"/>
      <sheetName val="OT_Detail411"/>
      <sheetName val="NIGHT_SHIFT411"/>
      <sheetName val="Bank_account411"/>
      <sheetName val="Tien_mat411"/>
      <sheetName val="Thong_tin_NV_nhan_tien_mat411"/>
      <sheetName val="TIME_TABLE_02_2016411"/>
      <sheetName val="TIME_TABLE_03_2016411"/>
      <sheetName val="Probation_Time412"/>
      <sheetName val="OT_Detail412"/>
      <sheetName val="NIGHT_SHIFT412"/>
      <sheetName val="Bank_account412"/>
      <sheetName val="Tien_mat412"/>
      <sheetName val="Thong_tin_NV_nhan_tien_mat412"/>
      <sheetName val="TIME_TABLE_02_2016412"/>
      <sheetName val="TIME_TABLE_03_2016412"/>
      <sheetName val="Probation_Time414"/>
      <sheetName val="OT_Detail414"/>
      <sheetName val="NIGHT_SHIFT414"/>
      <sheetName val="Bank_account414"/>
      <sheetName val="Tien_mat414"/>
      <sheetName val="Thong_tin_NV_nhan_tien_mat414"/>
      <sheetName val="TIME_TABLE_02_2016414"/>
      <sheetName val="TIME_TABLE_03_2016414"/>
      <sheetName val="Probation_Time415"/>
      <sheetName val="OT_Detail415"/>
      <sheetName val="NIGHT_SHIFT415"/>
      <sheetName val="Bank_account415"/>
      <sheetName val="Tien_mat415"/>
      <sheetName val="Thong_tin_NV_nhan_tien_mat415"/>
      <sheetName val="TIME_TABLE_02_2016415"/>
      <sheetName val="TIME_TABLE_03_2016415"/>
      <sheetName val="Probation_Time416"/>
      <sheetName val="OT_Detail416"/>
      <sheetName val="NIGHT_SHIFT416"/>
      <sheetName val="Bank_account416"/>
      <sheetName val="Tien_mat416"/>
      <sheetName val="Thong_tin_NV_nhan_tien_mat416"/>
      <sheetName val="TIME_TABLE_02_2016416"/>
      <sheetName val="TIME_TABLE_03_2016416"/>
      <sheetName val="Probation_Time417"/>
      <sheetName val="OT_Detail417"/>
      <sheetName val="NIGHT_SHIFT417"/>
      <sheetName val="Bank_account417"/>
      <sheetName val="Tien_mat417"/>
      <sheetName val="Thong_tin_NV_nhan_tien_mat417"/>
      <sheetName val="TIME_TABLE_02_2016417"/>
      <sheetName val="TIME_TABLE_03_2016417"/>
      <sheetName val="Probation_Time418"/>
      <sheetName val="OT_Detail418"/>
      <sheetName val="NIGHT_SHIFT418"/>
      <sheetName val="Bank_account418"/>
      <sheetName val="Tien_mat418"/>
      <sheetName val="Thong_tin_NV_nhan_tien_mat418"/>
      <sheetName val="TIME_TABLE_02_2016418"/>
      <sheetName val="TIME_TABLE_03_2016418"/>
      <sheetName val="Probation_Time419"/>
      <sheetName val="OT_Detail419"/>
      <sheetName val="NIGHT_SHIFT419"/>
      <sheetName val="Bank_account419"/>
      <sheetName val="Tien_mat419"/>
      <sheetName val="Thong_tin_NV_nhan_tien_mat419"/>
      <sheetName val="TIME_TABLE_02_2016419"/>
      <sheetName val="TIME_TABLE_03_2016419"/>
      <sheetName val="Probation_Time420"/>
      <sheetName val="OT_Detail420"/>
      <sheetName val="NIGHT_SHIFT420"/>
      <sheetName val="Bank_account420"/>
      <sheetName val="Tien_mat420"/>
      <sheetName val="Thong_tin_NV_nhan_tien_mat420"/>
      <sheetName val="TIME_TABLE_02_2016420"/>
      <sheetName val="TIME_TABLE_03_2016420"/>
      <sheetName val="Probation_Time421"/>
      <sheetName val="OT_Detail421"/>
      <sheetName val="NIGHT_SHIFT421"/>
      <sheetName val="Bank_account421"/>
      <sheetName val="Tien_mat421"/>
      <sheetName val="Thong_tin_NV_nhan_tien_mat421"/>
      <sheetName val="TIME_TABLE_02_2016421"/>
      <sheetName val="TIME_TABLE_03_2016421"/>
      <sheetName val="Probation_Time422"/>
      <sheetName val="OT_Detail422"/>
      <sheetName val="NIGHT_SHIFT422"/>
      <sheetName val="Bank_account422"/>
      <sheetName val="Tien_mat422"/>
      <sheetName val="Thong_tin_NV_nhan_tien_mat422"/>
      <sheetName val="TIME_TABLE_02_2016422"/>
      <sheetName val="TIME_TABLE_03_2016422"/>
      <sheetName val="Probation_Time423"/>
      <sheetName val="OT_Detail423"/>
      <sheetName val="NIGHT_SHIFT423"/>
      <sheetName val="Bank_account423"/>
      <sheetName val="Tien_mat423"/>
      <sheetName val="Thong_tin_NV_nhan_tien_mat423"/>
      <sheetName val="TIME_TABLE_02_2016423"/>
      <sheetName val="TIME_TABLE_03_2016423"/>
      <sheetName val="Probation_Time424"/>
      <sheetName val="OT_Detail424"/>
      <sheetName val="NIGHT_SHIFT424"/>
      <sheetName val="Bank_account424"/>
      <sheetName val="Tien_mat424"/>
      <sheetName val="Thong_tin_NV_nhan_tien_mat424"/>
      <sheetName val="TIME_TABLE_02_2016424"/>
      <sheetName val="TIME_TABLE_03_2016424"/>
      <sheetName val="Probation_Time425"/>
      <sheetName val="OT_Detail425"/>
      <sheetName val="NIGHT_SHIFT425"/>
      <sheetName val="Bank_account425"/>
      <sheetName val="Tien_mat425"/>
      <sheetName val="Thong_tin_NV_nhan_tien_mat425"/>
      <sheetName val="TIME_TABLE_02_2016425"/>
      <sheetName val="TIME_TABLE_03_2016425"/>
      <sheetName val="Probation_Time426"/>
      <sheetName val="OT_Detail426"/>
      <sheetName val="NIGHT_SHIFT426"/>
      <sheetName val="Bank_account426"/>
      <sheetName val="Tien_mat426"/>
      <sheetName val="Thong_tin_NV_nhan_tien_mat426"/>
      <sheetName val="TIME_TABLE_02_2016426"/>
      <sheetName val="TIME_TABLE_03_2016426"/>
      <sheetName val="Probation_Time427"/>
      <sheetName val="OT_Detail427"/>
      <sheetName val="NIGHT_SHIFT427"/>
      <sheetName val="Bank_account427"/>
      <sheetName val="Tien_mat427"/>
      <sheetName val="Thong_tin_NV_nhan_tien_mat427"/>
      <sheetName val="TIME_TABLE_02_2016427"/>
      <sheetName val="TIME_TABLE_03_2016427"/>
      <sheetName val="Probation_Time428"/>
      <sheetName val="OT_Detail428"/>
      <sheetName val="NIGHT_SHIFT428"/>
      <sheetName val="Bank_account428"/>
      <sheetName val="Tien_mat428"/>
      <sheetName val="Thong_tin_NV_nhan_tien_mat428"/>
      <sheetName val="TIME_TABLE_02_2016428"/>
      <sheetName val="TIME_TABLE_03_2016428"/>
      <sheetName val="Probation_Time429"/>
      <sheetName val="OT_Detail429"/>
      <sheetName val="NIGHT_SHIFT429"/>
      <sheetName val="Bank_account429"/>
      <sheetName val="Tien_mat429"/>
      <sheetName val="Thong_tin_NV_nhan_tien_mat429"/>
      <sheetName val="TIME_TABLE_02_2016429"/>
      <sheetName val="TIME_TABLE_03_2016429"/>
      <sheetName val="Probation_Time434"/>
      <sheetName val="OT_Detail434"/>
      <sheetName val="NIGHT_SHIFT434"/>
      <sheetName val="Bank_account434"/>
      <sheetName val="Tien_mat434"/>
      <sheetName val="Thong_tin_NV_nhan_tien_mat434"/>
      <sheetName val="TIME_TABLE_02_2016434"/>
      <sheetName val="TIME_TABLE_03_2016434"/>
      <sheetName val="Probation_Time430"/>
      <sheetName val="OT_Detail430"/>
      <sheetName val="NIGHT_SHIFT430"/>
      <sheetName val="Bank_account430"/>
      <sheetName val="Tien_mat430"/>
      <sheetName val="Thong_tin_NV_nhan_tien_mat430"/>
      <sheetName val="TIME_TABLE_02_2016430"/>
      <sheetName val="TIME_TABLE_03_2016430"/>
      <sheetName val="Probation_Time431"/>
      <sheetName val="OT_Detail431"/>
      <sheetName val="NIGHT_SHIFT431"/>
      <sheetName val="Bank_account431"/>
      <sheetName val="Tien_mat431"/>
      <sheetName val="Thong_tin_NV_nhan_tien_mat431"/>
      <sheetName val="TIME_TABLE_02_2016431"/>
      <sheetName val="TIME_TABLE_03_2016431"/>
      <sheetName val="Probation_Time432"/>
      <sheetName val="OT_Detail432"/>
      <sheetName val="NIGHT_SHIFT432"/>
      <sheetName val="Bank_account432"/>
      <sheetName val="Tien_mat432"/>
      <sheetName val="Thong_tin_NV_nhan_tien_mat432"/>
      <sheetName val="TIME_TABLE_02_2016432"/>
      <sheetName val="TIME_TABLE_03_2016432"/>
      <sheetName val="Probation_Time433"/>
      <sheetName val="OT_Detail433"/>
      <sheetName val="NIGHT_SHIFT433"/>
      <sheetName val="Bank_account433"/>
      <sheetName val="Tien_mat433"/>
      <sheetName val="Thong_tin_NV_nhan_tien_mat433"/>
      <sheetName val="TIME_TABLE_02_2016433"/>
      <sheetName val="TIME_TABLE_03_2016433"/>
      <sheetName val="Probation_Time435"/>
      <sheetName val="OT_Detail435"/>
      <sheetName val="NIGHT_SHIFT435"/>
      <sheetName val="Bank_account435"/>
      <sheetName val="Tien_mat435"/>
      <sheetName val="Thong_tin_NV_nhan_tien_mat435"/>
      <sheetName val="TIME_TABLE_02_2016435"/>
      <sheetName val="TIME_TABLE_03_2016435"/>
      <sheetName val="Probation_Time436"/>
      <sheetName val="OT_Detail436"/>
      <sheetName val="NIGHT_SHIFT436"/>
      <sheetName val="Bank_account436"/>
      <sheetName val="Tien_mat436"/>
      <sheetName val="Thong_tin_NV_nhan_tien_mat436"/>
      <sheetName val="TIME_TABLE_02_2016436"/>
      <sheetName val="TIME_TABLE_03_2016436"/>
      <sheetName val="Probation_Time437"/>
      <sheetName val="OT_Detail437"/>
      <sheetName val="NIGHT_SHIFT437"/>
      <sheetName val="Bank_account437"/>
      <sheetName val="Tien_mat437"/>
      <sheetName val="Thong_tin_NV_nhan_tien_mat437"/>
      <sheetName val="TIME_TABLE_02_2016437"/>
      <sheetName val="TIME_TABLE_03_2016437"/>
      <sheetName val="Probation_Time438"/>
      <sheetName val="OT_Detail438"/>
      <sheetName val="NIGHT_SHIFT438"/>
      <sheetName val="Bank_account438"/>
      <sheetName val="Tien_mat438"/>
      <sheetName val="Thong_tin_NV_nhan_tien_mat438"/>
      <sheetName val="TIME_TABLE_02_2016438"/>
      <sheetName val="TIME_TABLE_03_2016438"/>
      <sheetName val="Probation_Time442"/>
      <sheetName val="OT_Detail442"/>
      <sheetName val="NIGHT_SHIFT442"/>
      <sheetName val="Bank_account442"/>
      <sheetName val="Tien_mat442"/>
      <sheetName val="Thong_tin_NV_nhan_tien_mat442"/>
      <sheetName val="TIME_TABLE_02_2016442"/>
      <sheetName val="TIME_TABLE_03_2016442"/>
      <sheetName val="Probation_Time439"/>
      <sheetName val="OT_Detail439"/>
      <sheetName val="NIGHT_SHIFT439"/>
      <sheetName val="Bank_account439"/>
      <sheetName val="Tien_mat439"/>
      <sheetName val="Thong_tin_NV_nhan_tien_mat439"/>
      <sheetName val="TIME_TABLE_02_2016439"/>
      <sheetName val="TIME_TABLE_03_2016439"/>
      <sheetName val="Probation_Time440"/>
      <sheetName val="OT_Detail440"/>
      <sheetName val="NIGHT_SHIFT440"/>
      <sheetName val="Bank_account440"/>
      <sheetName val="Tien_mat440"/>
      <sheetName val="Thong_tin_NV_nhan_tien_mat440"/>
      <sheetName val="TIME_TABLE_02_2016440"/>
      <sheetName val="TIME_TABLE_03_2016440"/>
      <sheetName val="Probation_Time441"/>
      <sheetName val="OT_Detail441"/>
      <sheetName val="NIGHT_SHIFT441"/>
      <sheetName val="Bank_account441"/>
      <sheetName val="Tien_mat441"/>
      <sheetName val="Thong_tin_NV_nhan_tien_mat441"/>
      <sheetName val="TIME_TABLE_02_2016441"/>
      <sheetName val="TIME_TABLE_03_2016441"/>
      <sheetName val="Probation_Time454"/>
      <sheetName val="OT_Detail454"/>
      <sheetName val="NIGHT_SHIFT454"/>
      <sheetName val="Bank_account454"/>
      <sheetName val="Tien_mat454"/>
      <sheetName val="Thong_tin_NV_nhan_tien_mat454"/>
      <sheetName val="TIME_TABLE_02_2016454"/>
      <sheetName val="TIME_TABLE_03_2016454"/>
      <sheetName val="Probation_Time451"/>
      <sheetName val="OT_Detail451"/>
      <sheetName val="NIGHT_SHIFT451"/>
      <sheetName val="Bank_account451"/>
      <sheetName val="Tien_mat451"/>
      <sheetName val="Thong_tin_NV_nhan_tien_mat451"/>
      <sheetName val="TIME_TABLE_02_2016451"/>
      <sheetName val="TIME_TABLE_03_2016451"/>
      <sheetName val="Probation_Time443"/>
      <sheetName val="OT_Detail443"/>
      <sheetName val="NIGHT_SHIFT443"/>
      <sheetName val="Bank_account443"/>
      <sheetName val="Tien_mat443"/>
      <sheetName val="Thong_tin_NV_nhan_tien_mat443"/>
      <sheetName val="TIME_TABLE_02_2016443"/>
      <sheetName val="TIME_TABLE_03_2016443"/>
      <sheetName val="Probation_Time444"/>
      <sheetName val="OT_Detail444"/>
      <sheetName val="NIGHT_SHIFT444"/>
      <sheetName val="Bank_account444"/>
      <sheetName val="Tien_mat444"/>
      <sheetName val="Thong_tin_NV_nhan_tien_mat444"/>
      <sheetName val="TIME_TABLE_02_2016444"/>
      <sheetName val="TIME_TABLE_03_2016444"/>
      <sheetName val="Probation_Time445"/>
      <sheetName val="OT_Detail445"/>
      <sheetName val="NIGHT_SHIFT445"/>
      <sheetName val="Bank_account445"/>
      <sheetName val="Tien_mat445"/>
      <sheetName val="Thong_tin_NV_nhan_tien_mat445"/>
      <sheetName val="TIME_TABLE_02_2016445"/>
      <sheetName val="TIME_TABLE_03_2016445"/>
      <sheetName val="Probation_Time449"/>
      <sheetName val="OT_Detail449"/>
      <sheetName val="NIGHT_SHIFT449"/>
      <sheetName val="Bank_account449"/>
      <sheetName val="Tien_mat449"/>
      <sheetName val="Thong_tin_NV_nhan_tien_mat449"/>
      <sheetName val="TIME_TABLE_02_2016449"/>
      <sheetName val="TIME_TABLE_03_2016449"/>
      <sheetName val="Probation_Time446"/>
      <sheetName val="OT_Detail446"/>
      <sheetName val="NIGHT_SHIFT446"/>
      <sheetName val="Bank_account446"/>
      <sheetName val="Tien_mat446"/>
      <sheetName val="Thong_tin_NV_nhan_tien_mat446"/>
      <sheetName val="TIME_TABLE_02_2016446"/>
      <sheetName val="TIME_TABLE_03_2016446"/>
      <sheetName val="Probation_Time447"/>
      <sheetName val="OT_Detail447"/>
      <sheetName val="NIGHT_SHIFT447"/>
      <sheetName val="Bank_account447"/>
      <sheetName val="Tien_mat447"/>
      <sheetName val="Thong_tin_NV_nhan_tien_mat447"/>
      <sheetName val="TIME_TABLE_02_2016447"/>
      <sheetName val="TIME_TABLE_03_2016447"/>
      <sheetName val="Probation_Time448"/>
      <sheetName val="OT_Detail448"/>
      <sheetName val="NIGHT_SHIFT448"/>
      <sheetName val="Bank_account448"/>
      <sheetName val="Tien_mat448"/>
      <sheetName val="Thong_tin_NV_nhan_tien_mat448"/>
      <sheetName val="TIME_TABLE_02_2016448"/>
      <sheetName val="TIME_TABLE_03_2016448"/>
      <sheetName val="Probation_Time450"/>
      <sheetName val="OT_Detail450"/>
      <sheetName val="NIGHT_SHIFT450"/>
      <sheetName val="Bank_account450"/>
      <sheetName val="Tien_mat450"/>
      <sheetName val="Thong_tin_NV_nhan_tien_mat450"/>
      <sheetName val="TIME_TABLE_02_2016450"/>
      <sheetName val="TIME_TABLE_03_2016450"/>
      <sheetName val="Probation_Time453"/>
      <sheetName val="OT_Detail453"/>
      <sheetName val="NIGHT_SHIFT453"/>
      <sheetName val="Bank_account453"/>
      <sheetName val="Tien_mat453"/>
      <sheetName val="Thong_tin_NV_nhan_tien_mat453"/>
      <sheetName val="TIME_TABLE_02_2016453"/>
      <sheetName val="TIME_TABLE_03_2016453"/>
      <sheetName val="Probation_Time452"/>
      <sheetName val="OT_Detail452"/>
      <sheetName val="NIGHT_SHIFT452"/>
      <sheetName val="Bank_account452"/>
      <sheetName val="Tien_mat452"/>
      <sheetName val="Thong_tin_NV_nhan_tien_mat452"/>
      <sheetName val="TIME_TABLE_02_2016452"/>
      <sheetName val="TIME_TABLE_03_2016452"/>
      <sheetName val="Probation_Time455"/>
      <sheetName val="OT_Detail455"/>
      <sheetName val="NIGHT_SHIFT455"/>
      <sheetName val="Bank_account455"/>
      <sheetName val="Tien_mat455"/>
      <sheetName val="Thong_tin_NV_nhan_tien_mat455"/>
      <sheetName val="TIME_TABLE_02_2016455"/>
      <sheetName val="TIME_TABLE_03_2016455"/>
      <sheetName val="Probation_Time467"/>
      <sheetName val="OT_Detail467"/>
      <sheetName val="NIGHT_SHIFT467"/>
      <sheetName val="Bank_account467"/>
      <sheetName val="Tien_mat467"/>
      <sheetName val="Thong_tin_NV_nhan_tien_mat467"/>
      <sheetName val="TIME_TABLE_02_2016467"/>
      <sheetName val="TIME_TABLE_03_2016467"/>
      <sheetName val="Probation_Time459"/>
      <sheetName val="OT_Detail459"/>
      <sheetName val="NIGHT_SHIFT459"/>
      <sheetName val="Bank_account459"/>
      <sheetName val="Tien_mat459"/>
      <sheetName val="Thong_tin_NV_nhan_tien_mat459"/>
      <sheetName val="TIME_TABLE_02_2016459"/>
      <sheetName val="TIME_TABLE_03_2016459"/>
      <sheetName val="Probation_Time456"/>
      <sheetName val="OT_Detail456"/>
      <sheetName val="NIGHT_SHIFT456"/>
      <sheetName val="Bank_account456"/>
      <sheetName val="Tien_mat456"/>
      <sheetName val="Thong_tin_NV_nhan_tien_mat456"/>
      <sheetName val="TIME_TABLE_02_2016456"/>
      <sheetName val="TIME_TABLE_03_2016456"/>
      <sheetName val="Probation_Time457"/>
      <sheetName val="OT_Detail457"/>
      <sheetName val="NIGHT_SHIFT457"/>
      <sheetName val="Bank_account457"/>
      <sheetName val="Tien_mat457"/>
      <sheetName val="Thong_tin_NV_nhan_tien_mat457"/>
      <sheetName val="TIME_TABLE_02_2016457"/>
      <sheetName val="TIME_TABLE_03_2016457"/>
      <sheetName val="Probation_Time458"/>
      <sheetName val="OT_Detail458"/>
      <sheetName val="NIGHT_SHIFT458"/>
      <sheetName val="Bank_account458"/>
      <sheetName val="Tien_mat458"/>
      <sheetName val="Thong_tin_NV_nhan_tien_mat458"/>
      <sheetName val="TIME_TABLE_02_2016458"/>
      <sheetName val="TIME_TABLE_03_2016458"/>
      <sheetName val="Probation_Time460"/>
      <sheetName val="OT_Detail460"/>
      <sheetName val="NIGHT_SHIFT460"/>
      <sheetName val="Bank_account460"/>
      <sheetName val="Tien_mat460"/>
      <sheetName val="Thong_tin_NV_nhan_tien_mat460"/>
      <sheetName val="TIME_TABLE_02_2016460"/>
      <sheetName val="TIME_TABLE_03_2016460"/>
      <sheetName val="Probation_Time465"/>
      <sheetName val="OT_Detail465"/>
      <sheetName val="NIGHT_SHIFT465"/>
      <sheetName val="Bank_account465"/>
      <sheetName val="Tien_mat465"/>
      <sheetName val="Thong_tin_NV_nhan_tien_mat465"/>
      <sheetName val="TIME_TABLE_02_2016465"/>
      <sheetName val="TIME_TABLE_03_2016465"/>
      <sheetName val="Probation_Time461"/>
      <sheetName val="OT_Detail461"/>
      <sheetName val="NIGHT_SHIFT461"/>
      <sheetName val="Bank_account461"/>
      <sheetName val="Tien_mat461"/>
      <sheetName val="Thong_tin_NV_nhan_tien_mat461"/>
      <sheetName val="TIME_TABLE_02_2016461"/>
      <sheetName val="TIME_TABLE_03_2016461"/>
      <sheetName val="Probation_Time462"/>
      <sheetName val="OT_Detail462"/>
      <sheetName val="NIGHT_SHIFT462"/>
      <sheetName val="Bank_account462"/>
      <sheetName val="Tien_mat462"/>
      <sheetName val="Thong_tin_NV_nhan_tien_mat462"/>
      <sheetName val="TIME_TABLE_02_2016462"/>
      <sheetName val="TIME_TABLE_03_2016462"/>
      <sheetName val="Probation_Time463"/>
      <sheetName val="OT_Detail463"/>
      <sheetName val="NIGHT_SHIFT463"/>
      <sheetName val="Bank_account463"/>
      <sheetName val="Tien_mat463"/>
      <sheetName val="Thong_tin_NV_nhan_tien_mat463"/>
      <sheetName val="TIME_TABLE_02_2016463"/>
      <sheetName val="TIME_TABLE_03_2016463"/>
      <sheetName val="Probation_Time464"/>
      <sheetName val="OT_Detail464"/>
      <sheetName val="NIGHT_SHIFT464"/>
      <sheetName val="Bank_account464"/>
      <sheetName val="Tien_mat464"/>
      <sheetName val="Thong_tin_NV_nhan_tien_mat464"/>
      <sheetName val="TIME_TABLE_02_2016464"/>
      <sheetName val="TIME_TABLE_03_2016464"/>
      <sheetName val="Probation_Time466"/>
      <sheetName val="OT_Detail466"/>
      <sheetName val="NIGHT_SHIFT466"/>
      <sheetName val="Bank_account466"/>
      <sheetName val="Tien_mat466"/>
      <sheetName val="Thong_tin_NV_nhan_tien_mat466"/>
      <sheetName val="TIME_TABLE_02_2016466"/>
      <sheetName val="TIME_TABLE_03_2016466"/>
      <sheetName val="Probation_Time468"/>
      <sheetName val="OT_Detail468"/>
      <sheetName val="NIGHT_SHIFT468"/>
      <sheetName val="Bank_account468"/>
      <sheetName val="Tien_mat468"/>
      <sheetName val="Thong_tin_NV_nhan_tien_mat468"/>
      <sheetName val="TIME_TABLE_02_2016468"/>
      <sheetName val="TIME_TABLE_03_2016468"/>
      <sheetName val="Probation_Time469"/>
      <sheetName val="OT_Detail469"/>
      <sheetName val="NIGHT_SHIFT469"/>
      <sheetName val="Bank_account469"/>
      <sheetName val="Tien_mat469"/>
      <sheetName val="Thong_tin_NV_nhan_tien_mat469"/>
      <sheetName val="TIME_TABLE_02_2016469"/>
      <sheetName val="TIME_TABLE_03_2016469"/>
      <sheetName val="Probation_Time470"/>
      <sheetName val="OT_Detail470"/>
      <sheetName val="NIGHT_SHIFT470"/>
      <sheetName val="Bank_account470"/>
      <sheetName val="Tien_mat470"/>
      <sheetName val="Thong_tin_NV_nhan_tien_mat470"/>
      <sheetName val="TIME_TABLE_02_2016470"/>
      <sheetName val="TIME_TABLE_03_2016470"/>
      <sheetName val="Probation_Time471"/>
      <sheetName val="OT_Detail471"/>
      <sheetName val="NIGHT_SHIFT471"/>
      <sheetName val="Bank_account471"/>
      <sheetName val="Tien_mat471"/>
      <sheetName val="Thong_tin_NV_nhan_tien_mat471"/>
      <sheetName val="TIME_TABLE_02_2016471"/>
      <sheetName val="TIME_TABLE_03_2016471"/>
      <sheetName val="Probation_Time472"/>
      <sheetName val="OT_Detail472"/>
      <sheetName val="NIGHT_SHIFT472"/>
      <sheetName val="Bank_account472"/>
      <sheetName val="Tien_mat472"/>
      <sheetName val="Thong_tin_NV_nhan_tien_mat472"/>
      <sheetName val="TIME_TABLE_02_2016472"/>
      <sheetName val="TIME_TABLE_03_2016472"/>
      <sheetName val="Probation_Time473"/>
      <sheetName val="OT_Detail473"/>
      <sheetName val="NIGHT_SHIFT473"/>
      <sheetName val="Bank_account473"/>
      <sheetName val="Tien_mat473"/>
      <sheetName val="Thong_tin_NV_nhan_tien_mat473"/>
      <sheetName val="TIME_TABLE_02_2016473"/>
      <sheetName val="TIME_TABLE_03_2016473"/>
      <sheetName val="Probation_Time474"/>
      <sheetName val="OT_Detail474"/>
      <sheetName val="NIGHT_SHIFT474"/>
      <sheetName val="Bank_account474"/>
      <sheetName val="Tien_mat474"/>
      <sheetName val="Thong_tin_NV_nhan_tien_mat474"/>
      <sheetName val="TIME_TABLE_02_2016474"/>
      <sheetName val="TIME_TABLE_03_2016474"/>
      <sheetName val="Probation_Time475"/>
      <sheetName val="OT_Detail475"/>
      <sheetName val="NIGHT_SHIFT475"/>
      <sheetName val="Bank_account475"/>
      <sheetName val="Tien_mat475"/>
      <sheetName val="Thong_tin_NV_nhan_tien_mat475"/>
      <sheetName val="TIME_TABLE_02_2016475"/>
      <sheetName val="TIME_TABLE_03_2016475"/>
      <sheetName val="Probation_Time477"/>
      <sheetName val="OT_Detail477"/>
      <sheetName val="NIGHT_SHIFT477"/>
      <sheetName val="Bank_account477"/>
      <sheetName val="Tien_mat477"/>
      <sheetName val="Thong_tin_NV_nhan_tien_mat477"/>
      <sheetName val="TIME_TABLE_02_2016477"/>
      <sheetName val="TIME_TABLE_03_2016477"/>
      <sheetName val="Probation_Time476"/>
      <sheetName val="OT_Detail476"/>
      <sheetName val="NIGHT_SHIFT476"/>
      <sheetName val="Bank_account476"/>
      <sheetName val="Tien_mat476"/>
      <sheetName val="Thong_tin_NV_nhan_tien_mat476"/>
      <sheetName val="TIME_TABLE_02_2016476"/>
      <sheetName val="TIME_TABLE_03_2016476"/>
      <sheetName val="Probation_Time478"/>
      <sheetName val="OT_Detail478"/>
      <sheetName val="NIGHT_SHIFT478"/>
      <sheetName val="Bank_account478"/>
      <sheetName val="Tien_mat478"/>
      <sheetName val="Thong_tin_NV_nhan_tien_mat478"/>
      <sheetName val="TIME_TABLE_02_2016478"/>
      <sheetName val="TIME_TABLE_03_2016478"/>
      <sheetName val="Probation_Time479"/>
      <sheetName val="OT_Detail479"/>
      <sheetName val="NIGHT_SHIFT479"/>
      <sheetName val="Bank_account479"/>
      <sheetName val="Tien_mat479"/>
      <sheetName val="Thong_tin_NV_nhan_tien_mat479"/>
      <sheetName val="TIME_TABLE_02_2016479"/>
      <sheetName val="TIME_TABLE_03_2016479"/>
      <sheetName val="Probation_Time484"/>
      <sheetName val="OT_Detail484"/>
      <sheetName val="NIGHT_SHIFT484"/>
      <sheetName val="Bank_account484"/>
      <sheetName val="Tien_mat484"/>
      <sheetName val="Thong_tin_NV_nhan_tien_mat484"/>
      <sheetName val="TIME_TABLE_02_2016484"/>
      <sheetName val="TIME_TABLE_03_2016484"/>
      <sheetName val="Probation_Time480"/>
      <sheetName val="OT_Detail480"/>
      <sheetName val="NIGHT_SHIFT480"/>
      <sheetName val="Bank_account480"/>
      <sheetName val="Tien_mat480"/>
      <sheetName val="Thong_tin_NV_nhan_tien_mat480"/>
      <sheetName val="TIME_TABLE_02_2016480"/>
      <sheetName val="TIME_TABLE_03_2016480"/>
      <sheetName val="Probation_Time481"/>
      <sheetName val="OT_Detail481"/>
      <sheetName val="NIGHT_SHIFT481"/>
      <sheetName val="Bank_account481"/>
      <sheetName val="Tien_mat481"/>
      <sheetName val="Thong_tin_NV_nhan_tien_mat481"/>
      <sheetName val="TIME_TABLE_02_2016481"/>
      <sheetName val="TIME_TABLE_03_2016481"/>
      <sheetName val="Probation_Time482"/>
      <sheetName val="OT_Detail482"/>
      <sheetName val="NIGHT_SHIFT482"/>
      <sheetName val="Bank_account482"/>
      <sheetName val="Tien_mat482"/>
      <sheetName val="Thong_tin_NV_nhan_tien_mat482"/>
      <sheetName val="TIME_TABLE_02_2016482"/>
      <sheetName val="TIME_TABLE_03_2016482"/>
      <sheetName val="Probation_Time483"/>
      <sheetName val="OT_Detail483"/>
      <sheetName val="NIGHT_SHIFT483"/>
      <sheetName val="Bank_account483"/>
      <sheetName val="Tien_mat483"/>
      <sheetName val="Thong_tin_NV_nhan_tien_mat483"/>
      <sheetName val="TIME_TABLE_02_2016483"/>
      <sheetName val="TIME_TABLE_03_2016483"/>
      <sheetName val="Probation_Time486"/>
      <sheetName val="OT_Detail486"/>
      <sheetName val="NIGHT_SHIFT486"/>
      <sheetName val="Bank_account486"/>
      <sheetName val="Tien_mat486"/>
      <sheetName val="Thong_tin_NV_nhan_tien_mat486"/>
      <sheetName val="TIME_TABLE_02_2016486"/>
      <sheetName val="TIME_TABLE_03_2016486"/>
      <sheetName val="Probation_Time485"/>
      <sheetName val="OT_Detail485"/>
      <sheetName val="NIGHT_SHIFT485"/>
      <sheetName val="Bank_account485"/>
      <sheetName val="Tien_mat485"/>
      <sheetName val="Thong_tin_NV_nhan_tien_mat485"/>
      <sheetName val="TIME_TABLE_02_2016485"/>
      <sheetName val="TIME_TABLE_03_2016485"/>
    </sheetNames>
    <sheetDataSet>
      <sheetData sheetId="0">
        <row r="19">
          <cell r="IH19" t="str">
            <v>Month</v>
          </cell>
          <cell r="XEP19" t="str">
            <v>Month</v>
          </cell>
          <cell r="XEQ19" t="str">
            <v>Days</v>
          </cell>
          <cell r="XER19" t="str">
            <v>22 ngay</v>
          </cell>
          <cell r="XES19" t="str">
            <v>26 ngay</v>
          </cell>
        </row>
        <row r="20">
          <cell r="XEP20">
            <v>1</v>
          </cell>
          <cell r="XEQ20">
            <v>31</v>
          </cell>
          <cell r="XER20">
            <v>22</v>
          </cell>
          <cell r="XES20">
            <v>27</v>
          </cell>
        </row>
        <row r="21">
          <cell r="XEP21">
            <v>2</v>
          </cell>
          <cell r="XEQ21">
            <v>28</v>
          </cell>
          <cell r="XER21">
            <v>20</v>
          </cell>
          <cell r="XES21">
            <v>24</v>
          </cell>
        </row>
        <row r="22">
          <cell r="XEP22">
            <v>3</v>
          </cell>
          <cell r="XEQ22">
            <v>31</v>
          </cell>
          <cell r="XER22">
            <v>22</v>
          </cell>
          <cell r="XES22">
            <v>26</v>
          </cell>
        </row>
        <row r="23">
          <cell r="XEP23">
            <v>4</v>
          </cell>
          <cell r="XEQ23">
            <v>30</v>
          </cell>
          <cell r="XER23">
            <v>22</v>
          </cell>
          <cell r="XES23">
            <v>26</v>
          </cell>
        </row>
        <row r="24">
          <cell r="XEP24">
            <v>5</v>
          </cell>
          <cell r="XEQ24">
            <v>31</v>
          </cell>
          <cell r="XER24">
            <v>21</v>
          </cell>
          <cell r="XES24">
            <v>26</v>
          </cell>
        </row>
        <row r="25">
          <cell r="XEP25">
            <v>6</v>
          </cell>
          <cell r="XEQ25">
            <v>30</v>
          </cell>
          <cell r="XER25">
            <v>22</v>
          </cell>
          <cell r="XES25">
            <v>26</v>
          </cell>
        </row>
        <row r="26">
          <cell r="XEP26">
            <v>7</v>
          </cell>
          <cell r="XEQ26">
            <v>31</v>
          </cell>
          <cell r="XER26">
            <v>23</v>
          </cell>
          <cell r="XES26">
            <v>27</v>
          </cell>
        </row>
        <row r="27">
          <cell r="XEP27">
            <v>8</v>
          </cell>
          <cell r="XEQ27">
            <v>31</v>
          </cell>
          <cell r="XER27">
            <v>21</v>
          </cell>
          <cell r="XES27">
            <v>26</v>
          </cell>
        </row>
        <row r="29">
          <cell r="XEP29">
            <v>9</v>
          </cell>
          <cell r="XEQ29">
            <v>30</v>
          </cell>
          <cell r="XER29">
            <v>22</v>
          </cell>
          <cell r="XES29">
            <v>26</v>
          </cell>
        </row>
        <row r="30">
          <cell r="XEP30">
            <v>10</v>
          </cell>
          <cell r="XEQ30">
            <v>31</v>
          </cell>
          <cell r="XER30">
            <v>22</v>
          </cell>
          <cell r="XES30">
            <v>27</v>
          </cell>
        </row>
        <row r="31">
          <cell r="XEP31">
            <v>11</v>
          </cell>
          <cell r="XEQ31">
            <v>30</v>
          </cell>
          <cell r="XER31">
            <v>21</v>
          </cell>
          <cell r="XES31">
            <v>25</v>
          </cell>
        </row>
        <row r="32">
          <cell r="XEP32">
            <v>12</v>
          </cell>
          <cell r="XEQ32">
            <v>31</v>
          </cell>
          <cell r="XER32">
            <v>23</v>
          </cell>
          <cell r="XES32">
            <v>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ACE"/>
      <sheetName val="HIACE"/>
      <sheetName val="CAMRY"/>
      <sheetName val="LAND"/>
      <sheetName val="COROLLA"/>
      <sheetName val="INNOVA"/>
      <sheetName val="CROWN"/>
      <sheetName val="VIOS"/>
      <sheetName val="GSV40L"/>
      <sheetName val="ACV40L"/>
      <sheetName val="Other"/>
      <sheetName val="Sheet1"/>
      <sheetName val="AutoOpen Stub Data"/>
      <sheetName val="Customize Your Invoice"/>
      <sheetName val="Invoice"/>
      <sheetName val="Macros"/>
      <sheetName val="ATW"/>
      <sheetName val="Lock"/>
      <sheetName val="Intl Data Table"/>
      <sheetName val="TemplateInformation"/>
      <sheetName val="INVOICE1"/>
      <sheetName val="MTL$-INTER"/>
      <sheetName val="IBASE"/>
      <sheetName val="Ma xe+TVBH"/>
      <sheetName val="MA BC ONLINE"/>
      <sheetName val="Mã"/>
      <sheetName val="List chọn"/>
      <sheetName val="INDEX"/>
      <sheetName val="THVT"/>
      <sheetName val="th t 02"/>
      <sheetName val="chot mazda"/>
      <sheetName val="danh muc"/>
      <sheetName val="BANG MA CN"/>
      <sheetName val="DATA"/>
      <sheetName val="Sheet3"/>
      <sheetName val="Sheet2"/>
      <sheetName val="BẢNG KÊ CHỨNG TỪ - HỢP NHẤT"/>
      <sheetName val="MAZDA NTT"/>
      <sheetName val="MAZDA NVL"/>
      <sheetName val="TỔNG"/>
      <sheetName val="Sheet4"/>
      <sheetName val="IND-XE"/>
      <sheetName val="thamkhao"/>
      <sheetName val="Danh Mục"/>
      <sheetName val="HUONG DAN"/>
      <sheetName val="DM"/>
      <sheetName val="TinhThanhPho-QuanHuyen"/>
      <sheetName val="AutoOpen_Stub_Data"/>
      <sheetName val="Customize_Your_Invoice"/>
      <sheetName val="Intl_Data_Table"/>
      <sheetName val="Ma_xe+TVBH"/>
      <sheetName val="MA_BC_ONLINE"/>
      <sheetName val="List_chọn"/>
      <sheetName val="th_t_02"/>
      <sheetName val="chot_mazda"/>
      <sheetName val="danh_muc"/>
      <sheetName val="BANG_MA_CN"/>
      <sheetName val="BẢNG_KÊ_CHỨNG_TỪ_-_HỢP_NHẤT"/>
      <sheetName val="MAZDA_NTT"/>
      <sheetName val="MAZDA_NVL"/>
      <sheetName val="Danh_Mục"/>
      <sheetName val="HUONG_DAN"/>
      <sheetName val="AutoOpen_Stub_Data1"/>
      <sheetName val="Customize_Your_Invoice1"/>
      <sheetName val="Intl_Data_Table1"/>
      <sheetName val="Ma_xe+TVBH1"/>
      <sheetName val="MA_BC_ONLINE1"/>
      <sheetName val="List_chọn1"/>
      <sheetName val="th_t_021"/>
      <sheetName val="chot_mazda1"/>
      <sheetName val="danh_muc1"/>
      <sheetName val="BANG_MA_CN1"/>
      <sheetName val="BẢNG_KÊ_CHỨNG_TỪ_-_HỢP_NHẤT1"/>
      <sheetName val="MAZDA_NTT1"/>
      <sheetName val="MAZDA_NVL1"/>
      <sheetName val="Danh_Mục1"/>
      <sheetName val="HUONG_DAN1"/>
      <sheetName val="AutoOpen_Stub_Data2"/>
      <sheetName val="Customize_Your_Invoice2"/>
      <sheetName val="Intl_Data_Table2"/>
      <sheetName val="Ma_xe+TVBH2"/>
      <sheetName val="MA_BC_ONLINE2"/>
      <sheetName val="List_chọn2"/>
      <sheetName val="th_t_022"/>
      <sheetName val="chot_mazda2"/>
      <sheetName val="danh_muc2"/>
      <sheetName val="BANG_MA_CN2"/>
      <sheetName val="BẢNG_KÊ_CHỨNG_TỪ_-_HỢP_NHẤT2"/>
      <sheetName val="MAZDA_NTT2"/>
      <sheetName val="MAZDA_NVL2"/>
      <sheetName val="Danh_Mục2"/>
      <sheetName val="HUONG_DAN2"/>
      <sheetName val="AutoOpen_Stub_Data5"/>
      <sheetName val="Customize_Your_Invoice5"/>
      <sheetName val="Intl_Data_Table5"/>
      <sheetName val="Ma_xe+TVBH5"/>
      <sheetName val="MA_BC_ONLINE5"/>
      <sheetName val="List_chọn5"/>
      <sheetName val="th_t_025"/>
      <sheetName val="chot_mazda5"/>
      <sheetName val="danh_muc5"/>
      <sheetName val="BANG_MA_CN5"/>
      <sheetName val="BẢNG_KÊ_CHỨNG_TỪ_-_HỢP_NHẤT5"/>
      <sheetName val="MAZDA_NTT5"/>
      <sheetName val="MAZDA_NVL5"/>
      <sheetName val="Danh_Mục5"/>
      <sheetName val="HUONG_DAN5"/>
      <sheetName val="AutoOpen_Stub_Data3"/>
      <sheetName val="Customize_Your_Invoice3"/>
      <sheetName val="Intl_Data_Table3"/>
      <sheetName val="Ma_xe+TVBH3"/>
      <sheetName val="MA_BC_ONLINE3"/>
      <sheetName val="List_chọn3"/>
      <sheetName val="th_t_023"/>
      <sheetName val="chot_mazda3"/>
      <sheetName val="danh_muc3"/>
      <sheetName val="BANG_MA_CN3"/>
      <sheetName val="BẢNG_KÊ_CHỨNG_TỪ_-_HỢP_NHẤT3"/>
      <sheetName val="MAZDA_NTT3"/>
      <sheetName val="MAZDA_NVL3"/>
      <sheetName val="Danh_Mục3"/>
      <sheetName val="HUONG_DAN3"/>
      <sheetName val="AutoOpen_Stub_Data4"/>
      <sheetName val="Customize_Your_Invoice4"/>
      <sheetName val="Intl_Data_Table4"/>
      <sheetName val="Ma_xe+TVBH4"/>
      <sheetName val="MA_BC_ONLINE4"/>
      <sheetName val="List_chọn4"/>
      <sheetName val="th_t_024"/>
      <sheetName val="chot_mazda4"/>
      <sheetName val="danh_muc4"/>
      <sheetName val="BANG_MA_CN4"/>
      <sheetName val="BẢNG_KÊ_CHỨNG_TỪ_-_HỢP_NHẤT4"/>
      <sheetName val="MAZDA_NTT4"/>
      <sheetName val="MAZDA_NVL4"/>
      <sheetName val="Danh_Mục4"/>
      <sheetName val="HUONG_DAN4"/>
      <sheetName val="AutoOpen_Stub_Data6"/>
      <sheetName val="Customize_Your_Invoice6"/>
      <sheetName val="Intl_Data_Table6"/>
      <sheetName val="Ma_xe+TVBH6"/>
      <sheetName val="MA_BC_ONLINE6"/>
      <sheetName val="List_chọn6"/>
      <sheetName val="th_t_026"/>
      <sheetName val="chot_mazda6"/>
      <sheetName val="danh_muc6"/>
      <sheetName val="BANG_MA_CN6"/>
      <sheetName val="BẢNG_KÊ_CHỨNG_TỪ_-_HỢP_NHẤT6"/>
      <sheetName val="MAZDA_NTT6"/>
      <sheetName val="MAZDA_NVL6"/>
      <sheetName val="Danh_Mục6"/>
      <sheetName val="HUONG_DAN6"/>
      <sheetName val="Ds"/>
      <sheetName val="HTCD"/>
      <sheetName val="Tong hop DSNS xet luong"/>
      <sheetName val="KPI-in KMP BMW MINI "/>
      <sheetName val="CODE"/>
      <sheetName val="List BLĐ duyet vuot khung"/>
      <sheetName val="AutoOpen_Stub_Data7"/>
      <sheetName val="Customize_Your_Invoice7"/>
      <sheetName val="Intl_Data_Table7"/>
      <sheetName val="Ma_xe+TVBH7"/>
      <sheetName val="MA_BC_ONLINE7"/>
      <sheetName val="List_chọn7"/>
      <sheetName val="th_t_027"/>
      <sheetName val="chot_mazda7"/>
      <sheetName val="danh_muc7"/>
      <sheetName val="BANG_MA_CN7"/>
      <sheetName val="BẢNG_KÊ_CHỨNG_TỪ_-_HỢP_NHẤT7"/>
      <sheetName val="MAZDA_NTT7"/>
      <sheetName val="MAZDA_NVL7"/>
      <sheetName val="Danh_Mục7"/>
      <sheetName val="HUONG_DAN7"/>
      <sheetName val="Tong_hop_DSNS_xet_luong"/>
      <sheetName val="AutoOpen_Stub_Data8"/>
      <sheetName val="Customize_Your_Invoice8"/>
      <sheetName val="Intl_Data_Table8"/>
      <sheetName val="Ma_xe+TVBH8"/>
      <sheetName val="MA_BC_ONLINE8"/>
      <sheetName val="List_chọn8"/>
      <sheetName val="th_t_028"/>
      <sheetName val="chot_mazda8"/>
      <sheetName val="danh_muc8"/>
      <sheetName val="BANG_MA_CN8"/>
      <sheetName val="BẢNG_KÊ_CHỨNG_TỪ_-_HỢP_NHẤT8"/>
      <sheetName val="MAZDA_NTT8"/>
      <sheetName val="MAZDA_NVL8"/>
      <sheetName val="Danh_Mục8"/>
      <sheetName val="HUONG_DAN8"/>
      <sheetName val="Tong_hop_DSNS_xet_luong1"/>
      <sheetName val="외주현황.wq1"/>
      <sheetName val="#REF"/>
      <sheetName val="HSXL"/>
      <sheetName val="CP suamaybom"/>
      <sheetName val="Giá TB"/>
      <sheetName val="System"/>
      <sheetName val="SILICATE"/>
      <sheetName val="Thông tin"/>
      <sheetName val="CODE LIST"/>
      <sheetName val="Cong 6T"/>
      <sheetName val="Phan tich"/>
      <sheetName val="TinhGiaMTC"/>
      <sheetName val="TH MTC"/>
      <sheetName val="TH N.Cong"/>
      <sheetName val="TinhGiaNC"/>
      <sheetName val="TH Vat tu"/>
      <sheetName val="DMCP"/>
      <sheetName val="BC TỒN C.NỢ"/>
      <sheetName val="TỔNG HỢP"/>
      <sheetName val="B.C NGÀY"/>
      <sheetName val="Code TVBH"/>
      <sheetName val="Code Sản phẩm"/>
      <sheetName val="Bang tinh truy linh OK"/>
      <sheetName val="BUS"/>
      <sheetName val="LOAIXE"/>
      <sheetName val="Nguon PT xetai"/>
      <sheetName val="NGUON"/>
      <sheetName val="Nguon PT xe Ben"/>
      <sheetName val="Bien so"/>
      <sheetName val="AutoOpen_Stub_Data9"/>
      <sheetName val="Customize_Your_Invoice9"/>
      <sheetName val="Intl_Data_Table9"/>
      <sheetName val="Ma_xe+TVBH9"/>
      <sheetName val="MA_BC_ONLINE9"/>
      <sheetName val="List_chọn9"/>
      <sheetName val="th_t_029"/>
      <sheetName val="chot_mazda9"/>
      <sheetName val="danh_muc9"/>
      <sheetName val="BANG_MA_CN9"/>
      <sheetName val="BẢNG_KÊ_CHỨNG_TỪ_-_HỢP_NHẤT9"/>
      <sheetName val="MAZDA_NTT9"/>
      <sheetName val="MAZDA_NVL9"/>
      <sheetName val="Danh_Mục9"/>
      <sheetName val="HUONG_DAN9"/>
      <sheetName val="Tong_hop_DSNS_xet_luong2"/>
      <sheetName val="List_BLĐ_duyet_vuot_khung"/>
      <sheetName val="KPI-in_KMP_BMW_MINI_"/>
      <sheetName val="외주현황_wq1"/>
      <sheetName val="AutoOpen_Stub_Data10"/>
      <sheetName val="Customize_Your_Invoice10"/>
      <sheetName val="Intl_Data_Table10"/>
      <sheetName val="Ma_xe+TVBH10"/>
      <sheetName val="MA_BC_ONLINE10"/>
      <sheetName val="List_chọn10"/>
      <sheetName val="th_t_0210"/>
      <sheetName val="chot_mazda10"/>
      <sheetName val="danh_muc10"/>
      <sheetName val="BANG_MA_CN10"/>
      <sheetName val="BẢNG_KÊ_CHỨNG_TỪ_-_HỢP_NHẤT10"/>
      <sheetName val="MAZDA_NTT10"/>
      <sheetName val="MAZDA_NVL10"/>
      <sheetName val="Danh_Mục10"/>
      <sheetName val="HUONG_DAN10"/>
      <sheetName val="Tong_hop_DSNS_xet_luong3"/>
      <sheetName val="List_BLĐ_duyet_vuot_khung1"/>
      <sheetName val="KPI-in_KMP_BMW_MINI_1"/>
      <sheetName val="외주현황_wq11"/>
      <sheetName val="CPKS_TK"/>
      <sheetName val="nhan sự ht"/>
      <sheetName val="cong t2"/>
      <sheetName val="LŨY KẾ"/>
      <sheetName val="HC cbnv"/>
      <sheetName val="AutoOpen_Stub_Data11"/>
      <sheetName val="Customize_Your_Invoice11"/>
      <sheetName val="Intl_Data_Table11"/>
      <sheetName val="Ma_xe+TVBH11"/>
      <sheetName val="MA_BC_ONLINE11"/>
      <sheetName val="List_chọn11"/>
      <sheetName val="th_t_0211"/>
      <sheetName val="chot_mazda11"/>
      <sheetName val="danh_muc11"/>
      <sheetName val="BANG_MA_CN11"/>
      <sheetName val="BẢNG_KÊ_CHỨNG_TỪ_-_HỢP_NHẤT11"/>
      <sheetName val="MAZDA_NTT11"/>
      <sheetName val="MAZDA_NVL11"/>
      <sheetName val="Danh_Mục11"/>
      <sheetName val="HUONG_DAN11"/>
      <sheetName val="Tong_hop_DSNS_xet_luong4"/>
      <sheetName val="KPI-in_KMP_BMW_MINI_2"/>
      <sheetName val="List_BLĐ_duyet_vuot_khung2"/>
      <sheetName val="외주현황_wq12"/>
      <sheetName val="CP_suamaybom"/>
      <sheetName val="Giá_TB"/>
      <sheetName val="Thông_tin"/>
      <sheetName val="CODE_LIST"/>
      <sheetName val="Cong_6T"/>
      <sheetName val="Phan_tich"/>
      <sheetName val="TH_MTC"/>
      <sheetName val="TH_N_Cong"/>
      <sheetName val="TH_Vat_tu"/>
      <sheetName val="BC_TỒN_C_NỢ"/>
      <sheetName val="TỔNG_HỢP"/>
      <sheetName val="B_C_NGÀY"/>
      <sheetName val="Code_TVBH"/>
      <sheetName val="Code_Sản_phẩm"/>
      <sheetName val="Bang_tinh_truy_linh_OK"/>
      <sheetName val="Nguon_PT_xetai"/>
      <sheetName val="Nguon_PT_xe_Ben"/>
      <sheetName val="Bien_so"/>
      <sheetName val="nhan_sự_ht"/>
      <sheetName val="cong_t2"/>
      <sheetName val="LŨY_KẾ"/>
      <sheetName val="HC_cbnv"/>
    </sheetNames>
    <sheetDataSet>
      <sheetData sheetId="0"/>
      <sheetData sheetId="1"/>
      <sheetData sheetId="2"/>
      <sheetData sheetId="3"/>
      <sheetData sheetId="4">
        <row r="15">
          <cell r="E15" t="str">
            <v>QTY</v>
          </cell>
        </row>
      </sheetData>
      <sheetData sheetId="5">
        <row r="15">
          <cell r="E15" t="str">
            <v>QTY</v>
          </cell>
        </row>
        <row r="28">
          <cell r="D28">
            <v>100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/>
      <sheetData sheetId="20"/>
      <sheetData sheetId="21"/>
      <sheetData sheetId="22"/>
      <sheetData sheetId="23" refreshError="1"/>
      <sheetData sheetId="24" refreshError="1"/>
      <sheetData sheetId="25"/>
      <sheetData sheetId="26" refreshError="1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>
        <row r="28">
          <cell r="D28">
            <v>0</v>
          </cell>
        </row>
      </sheetData>
      <sheetData sheetId="34">
        <row r="28">
          <cell r="D28">
            <v>0</v>
          </cell>
        </row>
      </sheetData>
      <sheetData sheetId="35">
        <row r="28">
          <cell r="D28">
            <v>0</v>
          </cell>
        </row>
      </sheetData>
      <sheetData sheetId="36" refreshError="1"/>
      <sheetData sheetId="37" refreshError="1"/>
      <sheetData sheetId="38" refreshError="1"/>
      <sheetData sheetId="39">
        <row r="28">
          <cell r="D28">
            <v>0</v>
          </cell>
        </row>
      </sheetData>
      <sheetData sheetId="40">
        <row r="28">
          <cell r="D28">
            <v>0</v>
          </cell>
        </row>
      </sheetData>
      <sheetData sheetId="41">
        <row r="28">
          <cell r="D28">
            <v>0</v>
          </cell>
        </row>
      </sheetData>
      <sheetData sheetId="42">
        <row r="28">
          <cell r="D28">
            <v>0</v>
          </cell>
        </row>
      </sheetData>
      <sheetData sheetId="43" refreshError="1"/>
      <sheetData sheetId="44" refreshError="1"/>
      <sheetData sheetId="45"/>
      <sheetData sheetId="46">
        <row r="28">
          <cell r="D28">
            <v>0</v>
          </cell>
        </row>
      </sheetData>
      <sheetData sheetId="47">
        <row r="28">
          <cell r="D28">
            <v>0</v>
          </cell>
        </row>
      </sheetData>
      <sheetData sheetId="48">
        <row r="28">
          <cell r="D28">
            <v>0</v>
          </cell>
        </row>
      </sheetData>
      <sheetData sheetId="49">
        <row r="28">
          <cell r="D28">
            <v>0</v>
          </cell>
        </row>
      </sheetData>
      <sheetData sheetId="50">
        <row r="28">
          <cell r="D28">
            <v>0</v>
          </cell>
        </row>
      </sheetData>
      <sheetData sheetId="51">
        <row r="28">
          <cell r="D28">
            <v>0</v>
          </cell>
        </row>
      </sheetData>
      <sheetData sheetId="52">
        <row r="28">
          <cell r="D28">
            <v>0</v>
          </cell>
        </row>
      </sheetData>
      <sheetData sheetId="53">
        <row r="28">
          <cell r="D28">
            <v>0</v>
          </cell>
        </row>
      </sheetData>
      <sheetData sheetId="54">
        <row r="28">
          <cell r="D28">
            <v>0</v>
          </cell>
        </row>
      </sheetData>
      <sheetData sheetId="55">
        <row r="28">
          <cell r="D28">
            <v>0</v>
          </cell>
        </row>
      </sheetData>
      <sheetData sheetId="56">
        <row r="28">
          <cell r="D28">
            <v>0</v>
          </cell>
        </row>
      </sheetData>
      <sheetData sheetId="57">
        <row r="28">
          <cell r="D28">
            <v>0</v>
          </cell>
        </row>
      </sheetData>
      <sheetData sheetId="58">
        <row r="28">
          <cell r="D28">
            <v>0</v>
          </cell>
        </row>
      </sheetData>
      <sheetData sheetId="59">
        <row r="28">
          <cell r="D28">
            <v>0</v>
          </cell>
        </row>
      </sheetData>
      <sheetData sheetId="60">
        <row r="28">
          <cell r="D28">
            <v>0</v>
          </cell>
        </row>
      </sheetData>
      <sheetData sheetId="61">
        <row r="28">
          <cell r="D28">
            <v>0</v>
          </cell>
        </row>
      </sheetData>
      <sheetData sheetId="62">
        <row r="28">
          <cell r="D28">
            <v>0</v>
          </cell>
        </row>
      </sheetData>
      <sheetData sheetId="63">
        <row r="28">
          <cell r="D28">
            <v>0</v>
          </cell>
        </row>
      </sheetData>
      <sheetData sheetId="64">
        <row r="28">
          <cell r="D28">
            <v>0</v>
          </cell>
        </row>
      </sheetData>
      <sheetData sheetId="65">
        <row r="28">
          <cell r="D28">
            <v>0</v>
          </cell>
        </row>
      </sheetData>
      <sheetData sheetId="66">
        <row r="28">
          <cell r="D28">
            <v>0</v>
          </cell>
        </row>
      </sheetData>
      <sheetData sheetId="67">
        <row r="28">
          <cell r="D28">
            <v>0</v>
          </cell>
        </row>
      </sheetData>
      <sheetData sheetId="68">
        <row r="28">
          <cell r="D28">
            <v>0</v>
          </cell>
        </row>
      </sheetData>
      <sheetData sheetId="69">
        <row r="28">
          <cell r="D28">
            <v>0</v>
          </cell>
        </row>
      </sheetData>
      <sheetData sheetId="70">
        <row r="28">
          <cell r="D28">
            <v>0</v>
          </cell>
        </row>
      </sheetData>
      <sheetData sheetId="71">
        <row r="28">
          <cell r="D28">
            <v>0</v>
          </cell>
        </row>
      </sheetData>
      <sheetData sheetId="72">
        <row r="28">
          <cell r="D28">
            <v>0</v>
          </cell>
        </row>
      </sheetData>
      <sheetData sheetId="73">
        <row r="28">
          <cell r="D28">
            <v>0</v>
          </cell>
        </row>
      </sheetData>
      <sheetData sheetId="74">
        <row r="28">
          <cell r="D28">
            <v>0</v>
          </cell>
        </row>
      </sheetData>
      <sheetData sheetId="75">
        <row r="28">
          <cell r="D28">
            <v>0</v>
          </cell>
        </row>
      </sheetData>
      <sheetData sheetId="76">
        <row r="28">
          <cell r="D28">
            <v>0</v>
          </cell>
        </row>
      </sheetData>
      <sheetData sheetId="77">
        <row r="28">
          <cell r="D28">
            <v>0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28">
          <cell r="D28">
            <v>0</v>
          </cell>
        </row>
      </sheetData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h sach"/>
      <sheetName val="BAO CAO"/>
      <sheetName val="LLTN"/>
      <sheetName val="2014"/>
      <sheetName val="DIEU CHINH 20.01.2016"/>
      <sheetName val="DM"/>
      <sheetName val="CHI TIẾT"/>
      <sheetName val="THƯ VIỆN"/>
      <sheetName val="Danh_sach"/>
      <sheetName val="BAO_CAO"/>
      <sheetName val="DIEU_CHINH_20_01_2016"/>
      <sheetName val="CHI_TIẾT"/>
      <sheetName val="THƯ_VIỆN"/>
      <sheetName val="Danh_sach1"/>
      <sheetName val="BAO_CAO1"/>
      <sheetName val="DIEU_CHINH_20_01_20161"/>
      <sheetName val="CHI_TIẾT1"/>
      <sheetName val="THƯ_VIỆN1"/>
      <sheetName val="Danh_sach2"/>
      <sheetName val="BAO_CAO2"/>
      <sheetName val="DIEU_CHINH_20_01_20162"/>
      <sheetName val="CHI_TIẾT2"/>
      <sheetName val="THƯ_VIỆN2"/>
      <sheetName val="Danh_sach3"/>
      <sheetName val="BAO_CAO3"/>
      <sheetName val="DIEU_CHINH_20_01_20163"/>
      <sheetName val="CHI_TIẾT3"/>
      <sheetName val="THƯ_VIỆN3"/>
      <sheetName val="Danh_sach4"/>
      <sheetName val="BAO_CAO4"/>
      <sheetName val="DIEU_CHINH_20_01_20164"/>
      <sheetName val="CHI_TIẾT4"/>
      <sheetName val="THƯ_VIỆN4"/>
      <sheetName val="Danh_sach5"/>
      <sheetName val="BAO_CAO5"/>
      <sheetName val="DIEU_CHINH_20_01_20165"/>
      <sheetName val="CHI_TIẾT5"/>
      <sheetName val="THƯ_VIỆN5"/>
      <sheetName val="Danh_sach6"/>
      <sheetName val="BAO_CAO6"/>
      <sheetName val="DIEU_CHINH_20_01_20166"/>
      <sheetName val="CHI_TIẾT6"/>
      <sheetName val="THƯ_VIỆN6"/>
      <sheetName val="Danh_sach7"/>
      <sheetName val="BAO_CAO7"/>
      <sheetName val="DIEU_CHINH_20_01_20167"/>
      <sheetName val="CHI_TIẾT7"/>
      <sheetName val="THƯ_VIỆN7"/>
      <sheetName val="Danh_sach8"/>
      <sheetName val="BAO_CAO8"/>
      <sheetName val="DIEU_CHINH_20_01_20168"/>
      <sheetName val="CHI_TIẾT8"/>
      <sheetName val="THƯ_VIỆN8"/>
      <sheetName val="10.2018"/>
      <sheetName val="1- NM XE TAI - TONG HOP DANH GI"/>
      <sheetName val="Danh_sach9"/>
      <sheetName val="BAO_CAO9"/>
      <sheetName val="DIEU_CHINH_20_01_20169"/>
      <sheetName val="CHI_TIẾT9"/>
      <sheetName val="THƯ_VIỆN9"/>
      <sheetName val="10_2018"/>
      <sheetName val="Bang tinh truy linh OK"/>
      <sheetName val="INNOVA"/>
      <sheetName val="HSXL"/>
      <sheetName val="CP suamaybom"/>
      <sheetName val="Giá TB"/>
      <sheetName val="Phan tich DG"/>
      <sheetName val="TH vat tu"/>
      <sheetName val="Danh_sach10"/>
      <sheetName val="BAO_CAO10"/>
      <sheetName val="DIEU_CHINH_20_01_201610"/>
      <sheetName val="CHI_TIẾT10"/>
      <sheetName val="THƯ_VIỆN10"/>
      <sheetName val="10_20181"/>
      <sheetName val="1-_NM_XE_TAI_-_TONG_HOP_DANH_GI"/>
      <sheetName val="Bang_tinh_truy_linh_OK"/>
      <sheetName val="CP_suamaybom"/>
      <sheetName val="Giá_TB"/>
      <sheetName val="Phan_tich_DG"/>
      <sheetName val="TH_vat_tu"/>
      <sheetName val="05-3BK-TNCN"/>
      <sheetName val="Data"/>
      <sheetName val="HDSD"/>
      <sheetName val="Danh_sach11"/>
      <sheetName val="BAO_CAO11"/>
      <sheetName val="DIEU_CHINH_20_01_201611"/>
      <sheetName val="CHI_TIẾT11"/>
      <sheetName val="THƯ_VIỆN11"/>
      <sheetName val="10_20182"/>
      <sheetName val="1-_NM_XE_TAI_-_TONG_HOP_DANH_G1"/>
      <sheetName val="Bang_tinh_truy_linh_OK1"/>
      <sheetName val="CP_suamaybom1"/>
      <sheetName val="Giá_TB1"/>
      <sheetName val="Phan_tich_DG1"/>
      <sheetName val="TH_vat_tu1"/>
      <sheetName val="D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4">
          <cell r="B4" t="str">
            <v>An Giang</v>
          </cell>
        </row>
      </sheetData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_based_on_Distance_(20만)"/>
      <sheetName val="Staff_Data"/>
      <sheetName val="SALE_DATA"/>
      <sheetName val="SUMMARY"/>
      <sheetName val="Sheet1"/>
      <sheetName val="NAM"/>
      <sheetName val="DAT"/>
      <sheetName val="PHONG"/>
      <sheetName val="DUY"/>
      <sheetName val="TIEN"/>
      <sheetName val="THANH"/>
      <sheetName val="VINH"/>
      <sheetName val="Cost_based_on_Distance_(20만)33"/>
      <sheetName val="Staff_Data33"/>
      <sheetName val="SALE_DATA33"/>
      <sheetName val="Cost_based_on_Distance_(20만)1"/>
      <sheetName val="Staff_Data1"/>
      <sheetName val="SALE_DATA1"/>
      <sheetName val="Cost_based_on_Distance_(20만)2"/>
      <sheetName val="Staff_Data2"/>
      <sheetName val="SALE_DATA2"/>
      <sheetName val="Cost_based_on_Distance_(20만)3"/>
      <sheetName val="Staff_Data3"/>
      <sheetName val="SALE_DATA3"/>
      <sheetName val="Cost_based_on_Distance_(20만)4"/>
      <sheetName val="Staff_Data4"/>
      <sheetName val="SALE_DATA4"/>
      <sheetName val="Cost_based_on_Distance_(20만)6"/>
      <sheetName val="Staff_Data6"/>
      <sheetName val="SALE_DATA6"/>
      <sheetName val="Cost_based_on_Distance_(20만)5"/>
      <sheetName val="Staff_Data5"/>
      <sheetName val="SALE_DATA5"/>
      <sheetName val="Cost_based_on_Distance_(20만)7"/>
      <sheetName val="Staff_Data7"/>
      <sheetName val="SALE_DATA7"/>
      <sheetName val="Cost_based_on_Distance_(20만)8"/>
      <sheetName val="Staff_Data8"/>
      <sheetName val="SALE_DATA8"/>
      <sheetName val="Cost_based_on_Distance_(20만)13"/>
      <sheetName val="Staff_Data13"/>
      <sheetName val="SALE_DATA13"/>
      <sheetName val="Cost_based_on_Distance_(20만)9"/>
      <sheetName val="Staff_Data9"/>
      <sheetName val="SALE_DATA9"/>
      <sheetName val="Cost_based_on_Distance_(20만)10"/>
      <sheetName val="Staff_Data10"/>
      <sheetName val="SALE_DATA10"/>
      <sheetName val="Cost_based_on_Distance_(20만)11"/>
      <sheetName val="Staff_Data11"/>
      <sheetName val="SALE_DATA11"/>
      <sheetName val="Cost_based_on_Distance_(20만)12"/>
      <sheetName val="Staff_Data12"/>
      <sheetName val="SALE_DATA12"/>
      <sheetName val="Cost_based_on_Distance_(20만)14"/>
      <sheetName val="Staff_Data14"/>
      <sheetName val="SALE_DATA14"/>
      <sheetName val="Cost_based_on_Distance_(20만)15"/>
      <sheetName val="Staff_Data15"/>
      <sheetName val="SALE_DATA15"/>
      <sheetName val="Cost_based_on_Distance_(20만)16"/>
      <sheetName val="Staff_Data16"/>
      <sheetName val="SALE_DATA16"/>
      <sheetName val="Cost_based_on_Distance_(20만)22"/>
      <sheetName val="Staff_Data22"/>
      <sheetName val="SALE_DATA22"/>
      <sheetName val="Cost_based_on_Distance_(20만)17"/>
      <sheetName val="Staff_Data17"/>
      <sheetName val="SALE_DATA17"/>
      <sheetName val="Cost_based_on_Distance_(20만)18"/>
      <sheetName val="Staff_Data18"/>
      <sheetName val="SALE_DATA18"/>
      <sheetName val="Cost_based_on_Distance_(20만)19"/>
      <sheetName val="Staff_Data19"/>
      <sheetName val="SALE_DATA19"/>
      <sheetName val="Cost_based_on_Distance_(20만)20"/>
      <sheetName val="Staff_Data20"/>
      <sheetName val="SALE_DATA20"/>
      <sheetName val="Cost_based_on_Distance_(20만)21"/>
      <sheetName val="Staff_Data21"/>
      <sheetName val="SALE_DATA21"/>
      <sheetName val="Cost_based_on_Distance_(20만)25"/>
      <sheetName val="Staff_Data25"/>
      <sheetName val="SALE_DATA25"/>
      <sheetName val="Cost_based_on_Distance_(20만)23"/>
      <sheetName val="Staff_Data23"/>
      <sheetName val="SALE_DATA23"/>
      <sheetName val="Cost_based_on_Distance_(20만)24"/>
      <sheetName val="Staff_Data24"/>
      <sheetName val="SALE_DATA24"/>
      <sheetName val="Cost_based_on_Distance_(20만)26"/>
      <sheetName val="Staff_Data26"/>
      <sheetName val="SALE_DATA26"/>
      <sheetName val="Cost_based_on_Distance_(20만)29"/>
      <sheetName val="Staff_Data29"/>
      <sheetName val="SALE_DATA29"/>
      <sheetName val="Cost_based_on_Distance_(20만)27"/>
      <sheetName val="Staff_Data27"/>
      <sheetName val="SALE_DATA27"/>
      <sheetName val="Cost_based_on_Distance_(20만)28"/>
      <sheetName val="Staff_Data28"/>
      <sheetName val="SALE_DATA28"/>
      <sheetName val="Cost_based_on_Distance_(20만)32"/>
      <sheetName val="Staff_Data32"/>
      <sheetName val="SALE_DATA32"/>
      <sheetName val="Cost_based_on_Distance_(20만)30"/>
      <sheetName val="Staff_Data30"/>
      <sheetName val="SALE_DATA30"/>
      <sheetName val="Cost_based_on_Distance_(20만)31"/>
      <sheetName val="Staff_Data31"/>
      <sheetName val="SALE_DATA31"/>
      <sheetName val="Cost_based_on_Distance_(20만)39"/>
      <sheetName val="Staff_Data39"/>
      <sheetName val="SALE_DATA39"/>
      <sheetName val="Cost_based_on_Distance_(20만)34"/>
      <sheetName val="Staff_Data34"/>
      <sheetName val="SALE_DATA34"/>
      <sheetName val="Cost_based_on_Distance_(20만)35"/>
      <sheetName val="Staff_Data35"/>
      <sheetName val="SALE_DATA35"/>
      <sheetName val="Cost_based_on_Distance_(20만)36"/>
      <sheetName val="Staff_Data36"/>
      <sheetName val="SALE_DATA36"/>
      <sheetName val="Cost_based_on_Distance_(20만)37"/>
      <sheetName val="Staff_Data37"/>
      <sheetName val="SALE_DATA37"/>
      <sheetName val="Cost_based_on_Distance_(20만)38"/>
      <sheetName val="Staff_Data38"/>
      <sheetName val="SALE_DATA38"/>
      <sheetName val="Cost_based_on_Distance_(20만)40"/>
      <sheetName val="Staff_Data40"/>
      <sheetName val="SALE_DATA40"/>
      <sheetName val="Cost_based_on_Distance_(20만)41"/>
      <sheetName val="Staff_Data41"/>
      <sheetName val="SALE_DATA41"/>
      <sheetName val="Cost_based_on_Distance_(20만)46"/>
      <sheetName val="Staff_Data46"/>
      <sheetName val="SALE_DATA46"/>
      <sheetName val="Cost_based_on_Distance_(20만)42"/>
      <sheetName val="Staff_Data42"/>
      <sheetName val="SALE_DATA42"/>
      <sheetName val="Cost_based_on_Distance_(20만)43"/>
      <sheetName val="Staff_Data43"/>
      <sheetName val="SALE_DATA43"/>
      <sheetName val="Cost_based_on_Distance_(20만)44"/>
      <sheetName val="Staff_Data44"/>
      <sheetName val="SALE_DATA44"/>
      <sheetName val="Cost_based_on_Distance_(20만)45"/>
      <sheetName val="Staff_Data45"/>
      <sheetName val="SALE_DATA45"/>
      <sheetName val="Cost_based_on_Distance_(20만)48"/>
      <sheetName val="Staff_Data48"/>
      <sheetName val="SALE_DATA48"/>
      <sheetName val="Cost_based_on_Distance_(20만)47"/>
      <sheetName val="Staff_Data47"/>
      <sheetName val="SALE_DATA47"/>
      <sheetName val="Cost_based_on_Distance_(20만)49"/>
      <sheetName val="Staff_Data49"/>
      <sheetName val="SALE_DATA49"/>
      <sheetName val="Cost_based_on_Distance_(20만)50"/>
      <sheetName val="Staff_Data50"/>
      <sheetName val="SALE_DATA50"/>
      <sheetName val="Cost_based_on_Distance_(20만)51"/>
      <sheetName val="Staff_Data51"/>
      <sheetName val="SALE_DATA51"/>
      <sheetName val="Cost_based_on_Distance_(20만)52"/>
      <sheetName val="Staff_Data52"/>
      <sheetName val="SALE_DATA52"/>
      <sheetName val="Cost_based_on_Distance_(20만)53"/>
      <sheetName val="Staff_Data53"/>
      <sheetName val="SALE_DATA53"/>
      <sheetName val="Cost_based_on_Distance_(20만)54"/>
      <sheetName val="Staff_Data54"/>
      <sheetName val="SALE_DATA54"/>
      <sheetName val="Cost_based_on_Distance_(20만)55"/>
      <sheetName val="Staff_Data55"/>
      <sheetName val="SALE_DATA55"/>
      <sheetName val="Cost_based_on_Distance_(20만)56"/>
      <sheetName val="Staff_Data56"/>
      <sheetName val="SALE_DATA56"/>
      <sheetName val="Cost_based_on_Distance_(20만)57"/>
      <sheetName val="Staff_Data57"/>
      <sheetName val="SALE_DATA57"/>
      <sheetName val="Cost_based_on_Distance_(20만)58"/>
      <sheetName val="Staff_Data58"/>
      <sheetName val="SALE_DATA58"/>
      <sheetName val="Cost_based_on_Distance_(20만)59"/>
      <sheetName val="Staff_Data59"/>
      <sheetName val="SALE_DATA59"/>
      <sheetName val="Cost_based_on_Distance_(20만)60"/>
      <sheetName val="Staff_Data60"/>
      <sheetName val="SALE_DATA60"/>
      <sheetName val="Cost_based_on_Distance_(20만)61"/>
      <sheetName val="Staff_Data61"/>
      <sheetName val="SALE_DATA61"/>
      <sheetName val="Cost_based_on_Distance_(20만)63"/>
      <sheetName val="Staff_Data63"/>
      <sheetName val="SALE_DATA63"/>
      <sheetName val="Cost_based_on_Distance_(20만)62"/>
      <sheetName val="Staff_Data62"/>
      <sheetName val="SALE_DATA62"/>
      <sheetName val="Cost_based_on_Distance_(20만)90"/>
      <sheetName val="Staff_Data90"/>
      <sheetName val="SALE_DATA90"/>
      <sheetName val="Cost_based_on_Distance_(20만)64"/>
      <sheetName val="Staff_Data64"/>
      <sheetName val="SALE_DATA64"/>
      <sheetName val="Cost_based_on_Distance_(20만)65"/>
      <sheetName val="Staff_Data65"/>
      <sheetName val="SALE_DATA65"/>
      <sheetName val="Cost_based_on_Distance_(20만)66"/>
      <sheetName val="Staff_Data66"/>
      <sheetName val="SALE_DATA66"/>
      <sheetName val="Cost_based_on_Distance_(20만)67"/>
      <sheetName val="Staff_Data67"/>
      <sheetName val="SALE_DATA67"/>
      <sheetName val="Cost_based_on_Distance_(20만)68"/>
      <sheetName val="Staff_Data68"/>
      <sheetName val="SALE_DATA68"/>
      <sheetName val="Cost_based_on_Distance_(20만)69"/>
      <sheetName val="Staff_Data69"/>
      <sheetName val="SALE_DATA69"/>
      <sheetName val="Cost_based_on_Distance_(20만)70"/>
      <sheetName val="Staff_Data70"/>
      <sheetName val="SALE_DATA70"/>
      <sheetName val="Cost_based_on_Distance_(20만)71"/>
      <sheetName val="Staff_Data71"/>
      <sheetName val="SALE_DATA71"/>
      <sheetName val="Cost_based_on_Distance_(20만)72"/>
      <sheetName val="Staff_Data72"/>
      <sheetName val="SALE_DATA72"/>
      <sheetName val="Cost_based_on_Distance_(20만)73"/>
      <sheetName val="Staff_Data73"/>
      <sheetName val="SALE_DATA73"/>
      <sheetName val="Cost_based_on_Distance_(20만)74"/>
      <sheetName val="Staff_Data74"/>
      <sheetName val="SALE_DATA74"/>
      <sheetName val="Cost_based_on_Distance_(20만)75"/>
      <sheetName val="Staff_Data75"/>
      <sheetName val="SALE_DATA75"/>
      <sheetName val="Cost_based_on_Distance_(20만)77"/>
      <sheetName val="Staff_Data77"/>
      <sheetName val="SALE_DATA77"/>
      <sheetName val="Cost_based_on_Distance_(20만)76"/>
      <sheetName val="Staff_Data76"/>
      <sheetName val="SALE_DATA76"/>
      <sheetName val="Cost_based_on_Distance_(20만)78"/>
      <sheetName val="Staff_Data78"/>
      <sheetName val="SALE_DATA78"/>
      <sheetName val="Cost_based_on_Distance_(20만)79"/>
      <sheetName val="Staff_Data79"/>
      <sheetName val="SALE_DATA79"/>
      <sheetName val="Cost_based_on_Distance_(20만)80"/>
      <sheetName val="Staff_Data80"/>
      <sheetName val="SALE_DATA80"/>
      <sheetName val="Cost_based_on_Distance_(20만)81"/>
      <sheetName val="Staff_Data81"/>
      <sheetName val="SALE_DATA81"/>
      <sheetName val="Cost_based_on_Distance_(20만)83"/>
      <sheetName val="Staff_Data83"/>
      <sheetName val="SALE_DATA83"/>
      <sheetName val="Cost_based_on_Distance_(20만)82"/>
      <sheetName val="Staff_Data82"/>
      <sheetName val="SALE_DATA82"/>
      <sheetName val="Cost_based_on_Distance_(20만)84"/>
      <sheetName val="Staff_Data84"/>
      <sheetName val="SALE_DATA84"/>
      <sheetName val="Cost_based_on_Distance_(20만)85"/>
      <sheetName val="Staff_Data85"/>
      <sheetName val="SALE_DATA85"/>
      <sheetName val="Cost_based_on_Distance_(20만)86"/>
      <sheetName val="Staff_Data86"/>
      <sheetName val="SALE_DATA86"/>
      <sheetName val="Cost_based_on_Distance_(20만)87"/>
      <sheetName val="Staff_Data87"/>
      <sheetName val="SALE_DATA87"/>
      <sheetName val="Cost_based_on_Distance_(20만)88"/>
      <sheetName val="Staff_Data88"/>
      <sheetName val="SALE_DATA88"/>
      <sheetName val="Cost_based_on_Distance_(20만)89"/>
      <sheetName val="Staff_Data89"/>
      <sheetName val="SALE_DATA89"/>
      <sheetName val="Cost_based_on_Distance_(20만)91"/>
      <sheetName val="Staff_Data91"/>
      <sheetName val="SALE_DATA91"/>
      <sheetName val="Cost_based_on_Distance_(20만)96"/>
      <sheetName val="Staff_Data96"/>
      <sheetName val="SALE_DATA96"/>
      <sheetName val="Cost_based_on_Distance_(20만)93"/>
      <sheetName val="Staff_Data93"/>
      <sheetName val="SALE_DATA93"/>
      <sheetName val="Cost_based_on_Distance_(20만)92"/>
      <sheetName val="Staff_Data92"/>
      <sheetName val="SALE_DATA92"/>
      <sheetName val="Cost_based_on_Distance_(20만)94"/>
      <sheetName val="Staff_Data94"/>
      <sheetName val="SALE_DATA94"/>
      <sheetName val="Cost_based_on_Distance_(20만)95"/>
      <sheetName val="Staff_Data95"/>
      <sheetName val="SALE_DATA95"/>
      <sheetName val="Cost based on Distance (20만)"/>
      <sheetName val="Staff Data"/>
      <sheetName val="SALE DATA"/>
      <sheetName val="Cost_based_on_Distance_(20만)97"/>
      <sheetName val="Staff_Data97"/>
      <sheetName val="SALE_DATA97"/>
      <sheetName val="Cost_based_on_Distance_(20만)98"/>
      <sheetName val="Staff_Data98"/>
      <sheetName val="SALE_DATA98"/>
      <sheetName val="Cost_based_on_Distance_(20만)99"/>
      <sheetName val="Staff_Data99"/>
      <sheetName val="SALE_DATA99"/>
      <sheetName val="Cost_based_on_Distance_(20만)100"/>
      <sheetName val="Staff_Data100"/>
      <sheetName val="SALE_DATA100"/>
      <sheetName val="Cost_based_on_Distance_(20만)101"/>
      <sheetName val="Staff_Data101"/>
      <sheetName val="SALE_DATA101"/>
      <sheetName val="Cost_based_on_Distance_(20만)102"/>
      <sheetName val="Staff_Data102"/>
      <sheetName val="SALE_DATA102"/>
      <sheetName val="Cost_based_on_Distance_(20만)103"/>
      <sheetName val="Staff_Data103"/>
      <sheetName val="SALE_DATA103"/>
      <sheetName val="Cost_based_on_Distance_(20만)104"/>
      <sheetName val="Staff_Data104"/>
      <sheetName val="SALE_DATA104"/>
      <sheetName val="Cost_based_on_Distance_(20만)105"/>
      <sheetName val="Staff_Data105"/>
      <sheetName val="SALE_DATA105"/>
      <sheetName val="Cost_based_on_Distance_(20만)106"/>
      <sheetName val="Staff_Data106"/>
      <sheetName val="SALE_DATA106"/>
      <sheetName val="Cost_based_on_Distance_(20만)108"/>
      <sheetName val="Staff_Data108"/>
      <sheetName val="SALE_DATA108"/>
      <sheetName val="Cost_based_on_Distance_(20만)107"/>
      <sheetName val="Staff_Data107"/>
      <sheetName val="SALE_DATA107"/>
      <sheetName val="Cost_based_on_Distance_(20만)109"/>
      <sheetName val="Staff_Data109"/>
      <sheetName val="SALE_DATA109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C2" t="str">
            <v>NHÂN VIÊN GIAO HÀNG</v>
          </cell>
        </row>
      </sheetData>
      <sheetData sheetId="14"/>
      <sheetData sheetId="15"/>
      <sheetData sheetId="16">
        <row r="2">
          <cell r="C2" t="str">
            <v>NHÂN VIÊN GIAO HÀNG</v>
          </cell>
        </row>
      </sheetData>
      <sheetData sheetId="17"/>
      <sheetData sheetId="18"/>
      <sheetData sheetId="19">
        <row r="2">
          <cell r="C2" t="str">
            <v>NHÂN VIÊN GIAO HÀNG</v>
          </cell>
        </row>
      </sheetData>
      <sheetData sheetId="20"/>
      <sheetData sheetId="21"/>
      <sheetData sheetId="22">
        <row r="2">
          <cell r="C2" t="str">
            <v>NHÂN VIÊN GIAO HÀNG</v>
          </cell>
        </row>
      </sheetData>
      <sheetData sheetId="23"/>
      <sheetData sheetId="24"/>
      <sheetData sheetId="25">
        <row r="2">
          <cell r="C2" t="str">
            <v>NHÂN VIÊN GIAO HÀNG</v>
          </cell>
        </row>
      </sheetData>
      <sheetData sheetId="26"/>
      <sheetData sheetId="27"/>
      <sheetData sheetId="28">
        <row r="2">
          <cell r="C2" t="str">
            <v>NHÂN VIÊN GIAO HÀNG</v>
          </cell>
        </row>
      </sheetData>
      <sheetData sheetId="29"/>
      <sheetData sheetId="30"/>
      <sheetData sheetId="31">
        <row r="2">
          <cell r="C2" t="str">
            <v>NHÂN VIÊN GIAO HÀNG</v>
          </cell>
        </row>
      </sheetData>
      <sheetData sheetId="32"/>
      <sheetData sheetId="33"/>
      <sheetData sheetId="34">
        <row r="2">
          <cell r="C2" t="str">
            <v>NHÂN VIÊN GIAO HÀNG</v>
          </cell>
        </row>
      </sheetData>
      <sheetData sheetId="35"/>
      <sheetData sheetId="36"/>
      <sheetData sheetId="37">
        <row r="2">
          <cell r="C2" t="str">
            <v>NHÂN VIÊN GIAO HÀNG</v>
          </cell>
        </row>
      </sheetData>
      <sheetData sheetId="38"/>
      <sheetData sheetId="39"/>
      <sheetData sheetId="40">
        <row r="2">
          <cell r="C2" t="str">
            <v>NHÂN VIÊN GIAO HÀNG</v>
          </cell>
        </row>
      </sheetData>
      <sheetData sheetId="41"/>
      <sheetData sheetId="42"/>
      <sheetData sheetId="43">
        <row r="2">
          <cell r="C2" t="str">
            <v>NHÂN VIÊN GIAO HÀNG</v>
          </cell>
        </row>
      </sheetData>
      <sheetData sheetId="44"/>
      <sheetData sheetId="45"/>
      <sheetData sheetId="46">
        <row r="2">
          <cell r="C2" t="str">
            <v>NHÂN VIÊN GIAO HÀNG</v>
          </cell>
        </row>
      </sheetData>
      <sheetData sheetId="47"/>
      <sheetData sheetId="48"/>
      <sheetData sheetId="49">
        <row r="2">
          <cell r="C2" t="str">
            <v>NHÂN VIÊN GIAO HÀNG</v>
          </cell>
        </row>
      </sheetData>
      <sheetData sheetId="50"/>
      <sheetData sheetId="51"/>
      <sheetData sheetId="52">
        <row r="2">
          <cell r="C2" t="str">
            <v>NHÂN VIÊN GIAO HÀNG</v>
          </cell>
        </row>
      </sheetData>
      <sheetData sheetId="53"/>
      <sheetData sheetId="54"/>
      <sheetData sheetId="55">
        <row r="2">
          <cell r="C2" t="str">
            <v>NHÂN VIÊN GIAO HÀNG</v>
          </cell>
        </row>
      </sheetData>
      <sheetData sheetId="56"/>
      <sheetData sheetId="57"/>
      <sheetData sheetId="58">
        <row r="2">
          <cell r="C2" t="str">
            <v>NHÂN VIÊN GIAO HÀNG</v>
          </cell>
        </row>
      </sheetData>
      <sheetData sheetId="59"/>
      <sheetData sheetId="60"/>
      <sheetData sheetId="61">
        <row r="2">
          <cell r="C2" t="str">
            <v>NHÂN VIÊN GIAO HÀNG</v>
          </cell>
        </row>
      </sheetData>
      <sheetData sheetId="62"/>
      <sheetData sheetId="63"/>
      <sheetData sheetId="64">
        <row r="2">
          <cell r="C2" t="str">
            <v>NHÂN VIÊN GIAO HÀNG</v>
          </cell>
        </row>
      </sheetData>
      <sheetData sheetId="65"/>
      <sheetData sheetId="66"/>
      <sheetData sheetId="67">
        <row r="2">
          <cell r="C2" t="str">
            <v>NHÂN VIÊN GIAO HÀNG</v>
          </cell>
        </row>
      </sheetData>
      <sheetData sheetId="68"/>
      <sheetData sheetId="69"/>
      <sheetData sheetId="70">
        <row r="2">
          <cell r="C2" t="str">
            <v>NHÂN VIÊN GIAO HÀNG</v>
          </cell>
        </row>
      </sheetData>
      <sheetData sheetId="71"/>
      <sheetData sheetId="72"/>
      <sheetData sheetId="73">
        <row r="2">
          <cell r="C2" t="str">
            <v>NHÂN VIÊN GIAO HÀNG</v>
          </cell>
        </row>
      </sheetData>
      <sheetData sheetId="74"/>
      <sheetData sheetId="75"/>
      <sheetData sheetId="76">
        <row r="2">
          <cell r="C2" t="str">
            <v>NHÂN VIÊN GIAO HÀNG</v>
          </cell>
        </row>
      </sheetData>
      <sheetData sheetId="77"/>
      <sheetData sheetId="78"/>
      <sheetData sheetId="79">
        <row r="2">
          <cell r="C2" t="str">
            <v>NHÂN VIÊN GIAO HÀNG</v>
          </cell>
        </row>
      </sheetData>
      <sheetData sheetId="80"/>
      <sheetData sheetId="81"/>
      <sheetData sheetId="82">
        <row r="2">
          <cell r="C2" t="str">
            <v>NHÂN VIÊN GIAO HÀNG</v>
          </cell>
        </row>
      </sheetData>
      <sheetData sheetId="83"/>
      <sheetData sheetId="84"/>
      <sheetData sheetId="85">
        <row r="2">
          <cell r="C2" t="str">
            <v>NHÂN VIÊN GIAO HÀNG</v>
          </cell>
        </row>
      </sheetData>
      <sheetData sheetId="86"/>
      <sheetData sheetId="87"/>
      <sheetData sheetId="88">
        <row r="2">
          <cell r="C2" t="str">
            <v>NHÂN VIÊN GIAO HÀNG</v>
          </cell>
        </row>
      </sheetData>
      <sheetData sheetId="89"/>
      <sheetData sheetId="90"/>
      <sheetData sheetId="91">
        <row r="2">
          <cell r="C2" t="str">
            <v>NHÂN VIÊN GIAO HÀNG</v>
          </cell>
        </row>
      </sheetData>
      <sheetData sheetId="92"/>
      <sheetData sheetId="93"/>
      <sheetData sheetId="94">
        <row r="2">
          <cell r="C2" t="str">
            <v>NHÂN VIÊN GIAO HÀNG</v>
          </cell>
        </row>
      </sheetData>
      <sheetData sheetId="95"/>
      <sheetData sheetId="96"/>
      <sheetData sheetId="97">
        <row r="2">
          <cell r="C2" t="str">
            <v>NHÂN VIÊN GIAO HÀNG</v>
          </cell>
        </row>
      </sheetData>
      <sheetData sheetId="98"/>
      <sheetData sheetId="99"/>
      <sheetData sheetId="100">
        <row r="2">
          <cell r="C2" t="str">
            <v>NHÂN VIÊN GIAO HÀNG</v>
          </cell>
        </row>
      </sheetData>
      <sheetData sheetId="101"/>
      <sheetData sheetId="102"/>
      <sheetData sheetId="103">
        <row r="2">
          <cell r="C2" t="str">
            <v>NHÂN VIÊN GIAO HÀNG</v>
          </cell>
        </row>
      </sheetData>
      <sheetData sheetId="104"/>
      <sheetData sheetId="105"/>
      <sheetData sheetId="106">
        <row r="2">
          <cell r="C2" t="str">
            <v>NHÂN VIÊN GIAO HÀNG</v>
          </cell>
        </row>
      </sheetData>
      <sheetData sheetId="107"/>
      <sheetData sheetId="108"/>
      <sheetData sheetId="109">
        <row r="2">
          <cell r="C2" t="str">
            <v>NHÂN VIÊN GIAO HÀNG</v>
          </cell>
        </row>
      </sheetData>
      <sheetData sheetId="110"/>
      <sheetData sheetId="111"/>
      <sheetData sheetId="112">
        <row r="2">
          <cell r="C2" t="str">
            <v>NHÂN VIÊN GIAO HÀNG</v>
          </cell>
        </row>
      </sheetData>
      <sheetData sheetId="113"/>
      <sheetData sheetId="114"/>
      <sheetData sheetId="115">
        <row r="2">
          <cell r="C2" t="str">
            <v>NHÂN VIÊN GIAO HÀNG</v>
          </cell>
        </row>
      </sheetData>
      <sheetData sheetId="116"/>
      <sheetData sheetId="117"/>
      <sheetData sheetId="118">
        <row r="2">
          <cell r="C2" t="str">
            <v>NHÂN VIÊN GIAO HÀNG</v>
          </cell>
        </row>
      </sheetData>
      <sheetData sheetId="119"/>
      <sheetData sheetId="120"/>
      <sheetData sheetId="121">
        <row r="2">
          <cell r="C2" t="str">
            <v>NHÂN VIÊN GIAO HÀNG</v>
          </cell>
        </row>
      </sheetData>
      <sheetData sheetId="122"/>
      <sheetData sheetId="123"/>
      <sheetData sheetId="124">
        <row r="2">
          <cell r="C2" t="str">
            <v>NHÂN VIÊN GIAO HÀNG</v>
          </cell>
        </row>
      </sheetData>
      <sheetData sheetId="125"/>
      <sheetData sheetId="126"/>
      <sheetData sheetId="127">
        <row r="2">
          <cell r="C2" t="str">
            <v>NHÂN VIÊN GIAO HÀNG</v>
          </cell>
        </row>
      </sheetData>
      <sheetData sheetId="128"/>
      <sheetData sheetId="129"/>
      <sheetData sheetId="130">
        <row r="2">
          <cell r="C2" t="str">
            <v>NHÂN VIÊN GIAO HÀNG</v>
          </cell>
        </row>
      </sheetData>
      <sheetData sheetId="131"/>
      <sheetData sheetId="132"/>
      <sheetData sheetId="133">
        <row r="2">
          <cell r="C2" t="str">
            <v>NHÂN VIÊN GIAO HÀNG</v>
          </cell>
        </row>
      </sheetData>
      <sheetData sheetId="134"/>
      <sheetData sheetId="135"/>
      <sheetData sheetId="136">
        <row r="2">
          <cell r="C2" t="str">
            <v>NHÂN VIÊN GIAO HÀNG</v>
          </cell>
        </row>
      </sheetData>
      <sheetData sheetId="137"/>
      <sheetData sheetId="138"/>
      <sheetData sheetId="139">
        <row r="2">
          <cell r="C2" t="str">
            <v>NHÂN VIÊN GIAO HÀNG</v>
          </cell>
        </row>
      </sheetData>
      <sheetData sheetId="140"/>
      <sheetData sheetId="141"/>
      <sheetData sheetId="142">
        <row r="2">
          <cell r="C2" t="str">
            <v>NHÂN VIÊN GIAO HÀNG</v>
          </cell>
        </row>
      </sheetData>
      <sheetData sheetId="143"/>
      <sheetData sheetId="144"/>
      <sheetData sheetId="145">
        <row r="2">
          <cell r="C2" t="str">
            <v>NHÂN VIÊN GIAO HÀNG</v>
          </cell>
        </row>
      </sheetData>
      <sheetData sheetId="146"/>
      <sheetData sheetId="147"/>
      <sheetData sheetId="148">
        <row r="2">
          <cell r="C2" t="str">
            <v>NHÂN VIÊN GIAO HÀNG</v>
          </cell>
        </row>
      </sheetData>
      <sheetData sheetId="149"/>
      <sheetData sheetId="150"/>
      <sheetData sheetId="151">
        <row r="2">
          <cell r="C2" t="str">
            <v>NHÂN VIÊN GIAO HÀNG</v>
          </cell>
        </row>
      </sheetData>
      <sheetData sheetId="152"/>
      <sheetData sheetId="153"/>
      <sheetData sheetId="154">
        <row r="2">
          <cell r="C2" t="str">
            <v>NHÂN VIÊN GIAO HÀNG</v>
          </cell>
        </row>
      </sheetData>
      <sheetData sheetId="155"/>
      <sheetData sheetId="156"/>
      <sheetData sheetId="157">
        <row r="2">
          <cell r="C2" t="str">
            <v>NHÂN VIÊN GIAO HÀNG</v>
          </cell>
        </row>
      </sheetData>
      <sheetData sheetId="158"/>
      <sheetData sheetId="159"/>
      <sheetData sheetId="160">
        <row r="2">
          <cell r="C2" t="str">
            <v>NHÂN VIÊN GIAO HÀNG</v>
          </cell>
        </row>
      </sheetData>
      <sheetData sheetId="161"/>
      <sheetData sheetId="162"/>
      <sheetData sheetId="163">
        <row r="2">
          <cell r="C2" t="str">
            <v>NHÂN VIÊN GIAO HÀNG</v>
          </cell>
        </row>
      </sheetData>
      <sheetData sheetId="164"/>
      <sheetData sheetId="165"/>
      <sheetData sheetId="166">
        <row r="2">
          <cell r="C2" t="str">
            <v>NHÂN VIÊN GIAO HÀNG</v>
          </cell>
        </row>
      </sheetData>
      <sheetData sheetId="167"/>
      <sheetData sheetId="168"/>
      <sheetData sheetId="169">
        <row r="2">
          <cell r="C2" t="str">
            <v>NHÂN VIÊN GIAO HÀNG</v>
          </cell>
        </row>
      </sheetData>
      <sheetData sheetId="170"/>
      <sheetData sheetId="171"/>
      <sheetData sheetId="172">
        <row r="2">
          <cell r="C2" t="str">
            <v>NHÂN VIÊN GIAO HÀNG</v>
          </cell>
        </row>
      </sheetData>
      <sheetData sheetId="173"/>
      <sheetData sheetId="174"/>
      <sheetData sheetId="175">
        <row r="2">
          <cell r="C2" t="str">
            <v>NHÂN VIÊN GIAO HÀNG</v>
          </cell>
        </row>
      </sheetData>
      <sheetData sheetId="176"/>
      <sheetData sheetId="177"/>
      <sheetData sheetId="178">
        <row r="2">
          <cell r="C2" t="str">
            <v>NHÂN VIÊN GIAO HÀNG</v>
          </cell>
        </row>
      </sheetData>
      <sheetData sheetId="179"/>
      <sheetData sheetId="180"/>
      <sheetData sheetId="181">
        <row r="2">
          <cell r="C2" t="str">
            <v>NHÂN VIÊN GIAO HÀNG</v>
          </cell>
        </row>
      </sheetData>
      <sheetData sheetId="182"/>
      <sheetData sheetId="183"/>
      <sheetData sheetId="184">
        <row r="2">
          <cell r="C2" t="str">
            <v>NHÂN VIÊN GIAO HÀNG</v>
          </cell>
        </row>
      </sheetData>
      <sheetData sheetId="185"/>
      <sheetData sheetId="186"/>
      <sheetData sheetId="187">
        <row r="2">
          <cell r="C2" t="str">
            <v>NHÂN VIÊN GIAO HÀNG</v>
          </cell>
        </row>
      </sheetData>
      <sheetData sheetId="188"/>
      <sheetData sheetId="189"/>
      <sheetData sheetId="190">
        <row r="2">
          <cell r="C2" t="str">
            <v>NHÂN VIÊN GIAO HÀNG</v>
          </cell>
        </row>
      </sheetData>
      <sheetData sheetId="191"/>
      <sheetData sheetId="192"/>
      <sheetData sheetId="193">
        <row r="2">
          <cell r="C2" t="str">
            <v>NHÂN VIÊN GIAO HÀNG</v>
          </cell>
        </row>
      </sheetData>
      <sheetData sheetId="194"/>
      <sheetData sheetId="195"/>
      <sheetData sheetId="196">
        <row r="2">
          <cell r="C2" t="str">
            <v>NHÂN VIÊN GIAO HÀNG</v>
          </cell>
        </row>
      </sheetData>
      <sheetData sheetId="197"/>
      <sheetData sheetId="198"/>
      <sheetData sheetId="199">
        <row r="2">
          <cell r="C2" t="str">
            <v>NHÂN VIÊN GIAO HÀNG</v>
          </cell>
        </row>
      </sheetData>
      <sheetData sheetId="200"/>
      <sheetData sheetId="201"/>
      <sheetData sheetId="202">
        <row r="2">
          <cell r="C2" t="str">
            <v>NHÂN VIÊN GIAO HÀNG</v>
          </cell>
        </row>
      </sheetData>
      <sheetData sheetId="203"/>
      <sheetData sheetId="204"/>
      <sheetData sheetId="205">
        <row r="2">
          <cell r="C2" t="str">
            <v>NHÂN VIÊN GIAO HÀNG</v>
          </cell>
        </row>
      </sheetData>
      <sheetData sheetId="206"/>
      <sheetData sheetId="207"/>
      <sheetData sheetId="208">
        <row r="2">
          <cell r="C2" t="str">
            <v>NHÂN VIÊN GIAO HÀNG</v>
          </cell>
        </row>
      </sheetData>
      <sheetData sheetId="209"/>
      <sheetData sheetId="210"/>
      <sheetData sheetId="211">
        <row r="2">
          <cell r="C2" t="str">
            <v>NHÂN VIÊN GIAO HÀNG</v>
          </cell>
        </row>
      </sheetData>
      <sheetData sheetId="212"/>
      <sheetData sheetId="213"/>
      <sheetData sheetId="214">
        <row r="2">
          <cell r="C2" t="str">
            <v>NHÂN VIÊN GIAO HÀNG</v>
          </cell>
        </row>
      </sheetData>
      <sheetData sheetId="215"/>
      <sheetData sheetId="216"/>
      <sheetData sheetId="217">
        <row r="2">
          <cell r="C2" t="str">
            <v>NHÂN VIÊN GIAO HÀNG</v>
          </cell>
        </row>
      </sheetData>
      <sheetData sheetId="218"/>
      <sheetData sheetId="219"/>
      <sheetData sheetId="220">
        <row r="2">
          <cell r="C2" t="str">
            <v>NHÂN VIÊN GIAO HÀNG</v>
          </cell>
        </row>
      </sheetData>
      <sheetData sheetId="221"/>
      <sheetData sheetId="222"/>
      <sheetData sheetId="223">
        <row r="2">
          <cell r="C2" t="str">
            <v>NHÂN VIÊN GIAO HÀNG</v>
          </cell>
        </row>
      </sheetData>
      <sheetData sheetId="224"/>
      <sheetData sheetId="225"/>
      <sheetData sheetId="226">
        <row r="2">
          <cell r="C2" t="str">
            <v>NHÂN VIÊN GIAO HÀNG</v>
          </cell>
        </row>
      </sheetData>
      <sheetData sheetId="227"/>
      <sheetData sheetId="228"/>
      <sheetData sheetId="229">
        <row r="2">
          <cell r="C2" t="str">
            <v>NHÂN VIÊN GIAO HÀNG</v>
          </cell>
        </row>
      </sheetData>
      <sheetData sheetId="230"/>
      <sheetData sheetId="231"/>
      <sheetData sheetId="232">
        <row r="2">
          <cell r="C2" t="str">
            <v>NHÂN VIÊN GIAO HÀNG</v>
          </cell>
        </row>
      </sheetData>
      <sheetData sheetId="233"/>
      <sheetData sheetId="234"/>
      <sheetData sheetId="235">
        <row r="2">
          <cell r="C2" t="str">
            <v>NHÂN VIÊN GIAO HÀNG</v>
          </cell>
        </row>
      </sheetData>
      <sheetData sheetId="236"/>
      <sheetData sheetId="237"/>
      <sheetData sheetId="238">
        <row r="2">
          <cell r="C2" t="str">
            <v>NHÂN VIÊN GIAO HÀNG</v>
          </cell>
        </row>
      </sheetData>
      <sheetData sheetId="239"/>
      <sheetData sheetId="240"/>
      <sheetData sheetId="241">
        <row r="2">
          <cell r="C2" t="str">
            <v>NHÂN VIÊN GIAO HÀNG</v>
          </cell>
        </row>
      </sheetData>
      <sheetData sheetId="242"/>
      <sheetData sheetId="243"/>
      <sheetData sheetId="244">
        <row r="2">
          <cell r="C2" t="str">
            <v>NHÂN VIÊN GIAO HÀNG</v>
          </cell>
        </row>
      </sheetData>
      <sheetData sheetId="245"/>
      <sheetData sheetId="246"/>
      <sheetData sheetId="247">
        <row r="2">
          <cell r="C2" t="str">
            <v>NHÂN VIÊN GIAO HÀNG</v>
          </cell>
        </row>
      </sheetData>
      <sheetData sheetId="248"/>
      <sheetData sheetId="249"/>
      <sheetData sheetId="250">
        <row r="2">
          <cell r="C2" t="str">
            <v>NHÂN VIÊN GIAO HÀNG</v>
          </cell>
        </row>
      </sheetData>
      <sheetData sheetId="251"/>
      <sheetData sheetId="252"/>
      <sheetData sheetId="253">
        <row r="2">
          <cell r="C2" t="str">
            <v>NHÂN VIÊN GIAO HÀNG</v>
          </cell>
        </row>
      </sheetData>
      <sheetData sheetId="254"/>
      <sheetData sheetId="255"/>
      <sheetData sheetId="256">
        <row r="2">
          <cell r="C2" t="str">
            <v>NHÂN VIÊN GIAO HÀNG</v>
          </cell>
        </row>
      </sheetData>
      <sheetData sheetId="257"/>
      <sheetData sheetId="258"/>
      <sheetData sheetId="259">
        <row r="2">
          <cell r="C2" t="str">
            <v>NHÂN VIÊN GIAO HÀNG</v>
          </cell>
        </row>
      </sheetData>
      <sheetData sheetId="260"/>
      <sheetData sheetId="261"/>
      <sheetData sheetId="262">
        <row r="2">
          <cell r="C2" t="str">
            <v>NHÂN VIÊN GIAO HÀNG</v>
          </cell>
        </row>
      </sheetData>
      <sheetData sheetId="263"/>
      <sheetData sheetId="264"/>
      <sheetData sheetId="265">
        <row r="2">
          <cell r="C2" t="str">
            <v>NHÂN VIÊN GIAO HÀNG</v>
          </cell>
        </row>
      </sheetData>
      <sheetData sheetId="266"/>
      <sheetData sheetId="267"/>
      <sheetData sheetId="268">
        <row r="2">
          <cell r="C2" t="str">
            <v>NHÂN VIÊN GIAO HÀNG</v>
          </cell>
        </row>
      </sheetData>
      <sheetData sheetId="269"/>
      <sheetData sheetId="270"/>
      <sheetData sheetId="271">
        <row r="2">
          <cell r="C2" t="str">
            <v>NHÂN VIÊN GIAO HÀNG</v>
          </cell>
        </row>
      </sheetData>
      <sheetData sheetId="272"/>
      <sheetData sheetId="273"/>
      <sheetData sheetId="274">
        <row r="2">
          <cell r="C2" t="str">
            <v>NHÂN VIÊN GIAO HÀNG</v>
          </cell>
        </row>
      </sheetData>
      <sheetData sheetId="275"/>
      <sheetData sheetId="276"/>
      <sheetData sheetId="277">
        <row r="2">
          <cell r="C2" t="str">
            <v>NHÂN VIÊN GIAO HÀNG</v>
          </cell>
        </row>
      </sheetData>
      <sheetData sheetId="278"/>
      <sheetData sheetId="279"/>
      <sheetData sheetId="280">
        <row r="2">
          <cell r="C2" t="str">
            <v>NHÂN VIÊN GIAO HÀNG</v>
          </cell>
        </row>
      </sheetData>
      <sheetData sheetId="281"/>
      <sheetData sheetId="282"/>
      <sheetData sheetId="283">
        <row r="2">
          <cell r="C2" t="str">
            <v>NHÂN VIÊN GIAO HÀNG</v>
          </cell>
        </row>
      </sheetData>
      <sheetData sheetId="284"/>
      <sheetData sheetId="285"/>
      <sheetData sheetId="286">
        <row r="2">
          <cell r="C2" t="str">
            <v>NHÂN VIÊN GIAO HÀNG</v>
          </cell>
        </row>
      </sheetData>
      <sheetData sheetId="287"/>
      <sheetData sheetId="288"/>
      <sheetData sheetId="289">
        <row r="2">
          <cell r="C2" t="str">
            <v>NHÂN VIÊN GIAO HÀNG</v>
          </cell>
        </row>
      </sheetData>
      <sheetData sheetId="290"/>
      <sheetData sheetId="291"/>
      <sheetData sheetId="292">
        <row r="2">
          <cell r="C2" t="str">
            <v>NHÂN VIÊN GIAO HÀNG</v>
          </cell>
        </row>
      </sheetData>
      <sheetData sheetId="293"/>
      <sheetData sheetId="294"/>
      <sheetData sheetId="295">
        <row r="2">
          <cell r="C2" t="str">
            <v>NHÂN VIÊN GIAO HÀNG</v>
          </cell>
        </row>
      </sheetData>
      <sheetData sheetId="296"/>
      <sheetData sheetId="297"/>
      <sheetData sheetId="298">
        <row r="2">
          <cell r="C2" t="str">
            <v>NHÂN VIÊN GIAO HÀNG</v>
          </cell>
        </row>
      </sheetData>
      <sheetData sheetId="299"/>
      <sheetData sheetId="300"/>
      <sheetData sheetId="301">
        <row r="2">
          <cell r="C2" t="str">
            <v>NHÂN VIÊN GIAO HÀNG</v>
          </cell>
          <cell r="G2" t="str">
            <v>PICKER &amp; PACKER</v>
          </cell>
        </row>
        <row r="3">
          <cell r="C3">
            <v>0</v>
          </cell>
          <cell r="G3">
            <v>0</v>
          </cell>
        </row>
        <row r="4">
          <cell r="C4" t="str">
            <v>TRẦN QUỐC THANH</v>
          </cell>
          <cell r="G4" t="str">
            <v>NGUYỄN ĐẶNG CÔNG MINH</v>
          </cell>
          <cell r="J4" t="str">
            <v>TLS</v>
          </cell>
        </row>
        <row r="5">
          <cell r="C5" t="str">
            <v>LÊ TẤN ĐẠT</v>
          </cell>
          <cell r="G5" t="str">
            <v>PHAN PHẠM ANH THƯ</v>
          </cell>
          <cell r="J5" t="str">
            <v>APP</v>
          </cell>
        </row>
        <row r="6">
          <cell r="C6" t="str">
            <v>HỒ HẢI NAM</v>
          </cell>
          <cell r="G6" t="str">
            <v>PHAN THỊ THANH VI</v>
          </cell>
        </row>
        <row r="7">
          <cell r="C7" t="str">
            <v>NGUYỄN CHÍ PHONG</v>
          </cell>
          <cell r="G7" t="str">
            <v>TRỊNH THỊ THU HẰNG</v>
          </cell>
        </row>
        <row r="8">
          <cell r="C8" t="str">
            <v>NGUYỄN VŨ MINH TIẾN</v>
          </cell>
          <cell r="G8" t="str">
            <v>LÊ HỮU NHÂN</v>
          </cell>
        </row>
        <row r="9">
          <cell r="C9" t="str">
            <v>NGUYỄN KHƯƠNG DUY</v>
          </cell>
          <cell r="G9" t="str">
            <v>NGUYỄN CAO HUY TRUNG</v>
          </cell>
        </row>
        <row r="10">
          <cell r="C10" t="str">
            <v>TRƯƠNG QUỐC VĨNH</v>
          </cell>
          <cell r="G10" t="str">
            <v>HUỲNH NGUYỄN NGỌC QUÝ</v>
          </cell>
        </row>
        <row r="11">
          <cell r="G11" t="str">
            <v>ĐÀO THỊ KIỀU OANH</v>
          </cell>
        </row>
        <row r="12">
          <cell r="G12" t="str">
            <v>VŨ LÊ ÁNH PHƯƠNG</v>
          </cell>
        </row>
        <row r="13">
          <cell r="G13" t="str">
            <v>CHUNG TẤN PHÁT</v>
          </cell>
        </row>
        <row r="14">
          <cell r="G14" t="str">
            <v>HOÀNG VĂN ĐỨC</v>
          </cell>
        </row>
        <row r="15">
          <cell r="G15" t="str">
            <v>LA VŨ ANH KHOA</v>
          </cell>
        </row>
        <row r="16">
          <cell r="G16" t="str">
            <v>TRẦN QUỐC THANH</v>
          </cell>
        </row>
        <row r="17">
          <cell r="G17" t="str">
            <v>LÊ TẤN ĐẠT</v>
          </cell>
        </row>
        <row r="18">
          <cell r="G18" t="str">
            <v>HỒ HẢI NAM</v>
          </cell>
        </row>
        <row r="19">
          <cell r="G19" t="str">
            <v>NGUYỄN CHÍ PHONG</v>
          </cell>
        </row>
        <row r="20">
          <cell r="G20" t="str">
            <v>NGUYỄN VŨ MINH TIẾN</v>
          </cell>
        </row>
        <row r="21">
          <cell r="G21" t="str">
            <v>NGUYỄN KHƯƠNG DUY</v>
          </cell>
        </row>
        <row r="22">
          <cell r="G22" t="str">
            <v>TRƯƠNG QUỐC VĨNH</v>
          </cell>
        </row>
      </sheetData>
      <sheetData sheetId="302"/>
      <sheetData sheetId="303"/>
      <sheetData sheetId="304">
        <row r="2">
          <cell r="C2" t="str">
            <v>NHÂN VIÊN GIAO HÀNG</v>
          </cell>
        </row>
      </sheetData>
      <sheetData sheetId="305"/>
      <sheetData sheetId="306"/>
      <sheetData sheetId="307">
        <row r="2">
          <cell r="C2" t="str">
            <v>NHÂN VIÊN GIAO HÀNG</v>
          </cell>
        </row>
      </sheetData>
      <sheetData sheetId="308"/>
      <sheetData sheetId="309"/>
      <sheetData sheetId="310">
        <row r="2">
          <cell r="C2" t="str">
            <v>NHÂN VIÊN GIAO HÀNG</v>
          </cell>
        </row>
      </sheetData>
      <sheetData sheetId="311"/>
      <sheetData sheetId="312"/>
      <sheetData sheetId="313">
        <row r="2">
          <cell r="C2" t="str">
            <v>NHÂN VIÊN GIAO HÀNG</v>
          </cell>
        </row>
      </sheetData>
      <sheetData sheetId="314"/>
      <sheetData sheetId="315"/>
      <sheetData sheetId="316">
        <row r="2">
          <cell r="C2" t="str">
            <v>NHÂN VIÊN GIAO HÀNG</v>
          </cell>
        </row>
      </sheetData>
      <sheetData sheetId="317"/>
      <sheetData sheetId="318"/>
      <sheetData sheetId="319">
        <row r="2">
          <cell r="C2" t="str">
            <v>NHÂN VIÊN GIAO HÀNG</v>
          </cell>
        </row>
      </sheetData>
      <sheetData sheetId="320"/>
      <sheetData sheetId="321"/>
      <sheetData sheetId="322">
        <row r="2">
          <cell r="C2" t="str">
            <v>NHÂN VIÊN GIAO HÀNG</v>
          </cell>
        </row>
      </sheetData>
      <sheetData sheetId="323"/>
      <sheetData sheetId="324"/>
      <sheetData sheetId="325">
        <row r="2">
          <cell r="C2" t="str">
            <v>NHÂN VIÊN GIAO HÀNG</v>
          </cell>
        </row>
      </sheetData>
      <sheetData sheetId="326"/>
      <sheetData sheetId="327"/>
      <sheetData sheetId="328">
        <row r="2">
          <cell r="C2" t="str">
            <v>NHÂN VIÊN GIAO HÀNG</v>
          </cell>
        </row>
      </sheetData>
      <sheetData sheetId="329"/>
      <sheetData sheetId="330"/>
      <sheetData sheetId="331">
        <row r="2">
          <cell r="C2" t="str">
            <v>NHÂN VIÊN GIAO HÀNG</v>
          </cell>
        </row>
      </sheetData>
      <sheetData sheetId="332"/>
      <sheetData sheetId="333"/>
      <sheetData sheetId="334">
        <row r="2">
          <cell r="C2" t="str">
            <v>NHÂN VIÊN GIAO HÀNG</v>
          </cell>
        </row>
      </sheetData>
      <sheetData sheetId="335"/>
      <sheetData sheetId="336"/>
      <sheetData sheetId="337">
        <row r="2">
          <cell r="C2" t="str">
            <v>NHÂN VIÊN GIAO HÀNG</v>
          </cell>
        </row>
      </sheetData>
      <sheetData sheetId="338"/>
      <sheetData sheetId="339"/>
      <sheetData sheetId="340">
        <row r="2">
          <cell r="C2" t="str">
            <v>NHÂN VIÊN GIAO HÀNG</v>
          </cell>
        </row>
      </sheetData>
      <sheetData sheetId="34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Discipline_Staticstic9"/>
      <sheetName val="remarks"/>
      <sheetName val="Mar"/>
      <sheetName val="career_path9"/>
      <sheetName val="SOP"/>
      <sheetName val="InOut"/>
      <sheetName val="Root"/>
      <sheetName val="F-P"/>
      <sheetName val="Report"/>
      <sheetName val="C&amp;B11032016"/>
      <sheetName val="Lookupsalary"/>
      <sheetName val="Employees_data9"/>
      <sheetName val="Sheet3"/>
      <sheetName val="TongHop"/>
      <sheetName val="Training"/>
      <sheetName val="Sheet1"/>
      <sheetName val="Sheet2"/>
      <sheetName val="Payroll"/>
      <sheetName val="Discipline_Staticstic"/>
      <sheetName val="career_path"/>
      <sheetName val="Employees_data"/>
      <sheetName val="Discipline_Staticstic1"/>
      <sheetName val="career_path1"/>
      <sheetName val="Employees_data1"/>
      <sheetName val="Discipline_Staticstic2"/>
      <sheetName val="career_path2"/>
      <sheetName val="Employees_data2"/>
      <sheetName val="Discipline_Staticstic4"/>
      <sheetName val="career_path4"/>
      <sheetName val="Employees_data4"/>
      <sheetName val="Discipline_Staticstic3"/>
      <sheetName val="career_path3"/>
      <sheetName val="Employees_data3"/>
      <sheetName val="Discipline_Staticstic5"/>
      <sheetName val="career_path5"/>
      <sheetName val="Employees_data5"/>
      <sheetName val="Discipline_Staticstic6"/>
      <sheetName val="career_path6"/>
      <sheetName val="Employees_data6"/>
      <sheetName val="Discipline_Staticstic8"/>
      <sheetName val="career_path8"/>
      <sheetName val="Employees_data8"/>
      <sheetName val="Discipline_Staticstic7"/>
      <sheetName val="career_path7"/>
      <sheetName val="Employees_data7"/>
      <sheetName val="Discipline_Staticstic37"/>
      <sheetName val="career_path37"/>
      <sheetName val="Employees_data37"/>
      <sheetName val="Discipline_Staticstic21"/>
      <sheetName val="career_path21"/>
      <sheetName val="Employees_data21"/>
      <sheetName val="Discipline_Staticstic11"/>
      <sheetName val="career_path11"/>
      <sheetName val="Employees_data11"/>
      <sheetName val="Discipline_Staticstic10"/>
      <sheetName val="career_path10"/>
      <sheetName val="Employees_data10"/>
      <sheetName val="Discipline_Staticstic12"/>
      <sheetName val="career_path12"/>
      <sheetName val="Employees_data12"/>
      <sheetName val="Discipline_Staticstic13"/>
      <sheetName val="career_path13"/>
      <sheetName val="Employees_data13"/>
      <sheetName val="Discipline_Staticstic14"/>
      <sheetName val="career_path14"/>
      <sheetName val="Employees_data14"/>
      <sheetName val="Discipline_Staticstic15"/>
      <sheetName val="career_path15"/>
      <sheetName val="Employees_data15"/>
      <sheetName val="Discipline_Staticstic16"/>
      <sheetName val="career_path16"/>
      <sheetName val="Employees_data16"/>
      <sheetName val="Discipline_Staticstic17"/>
      <sheetName val="career_path17"/>
      <sheetName val="Employees_data17"/>
      <sheetName val="Discipline_Staticstic18"/>
      <sheetName val="career_path18"/>
      <sheetName val="Employees_data18"/>
      <sheetName val="Discipline_Staticstic20"/>
      <sheetName val="career_path20"/>
      <sheetName val="Employees_data20"/>
      <sheetName val="Discipline_Staticstic19"/>
      <sheetName val="career_path19"/>
      <sheetName val="Employees_data19"/>
      <sheetName val="Discipline_Staticstic22"/>
      <sheetName val="career_path22"/>
      <sheetName val="Employees_data22"/>
      <sheetName val="Discipline_Staticstic23"/>
      <sheetName val="career_path23"/>
      <sheetName val="Employees_data23"/>
      <sheetName val="Discipline_Staticstic24"/>
      <sheetName val="career_path24"/>
      <sheetName val="Employees_data24"/>
      <sheetName val="Discipline_Staticstic25"/>
      <sheetName val="career_path25"/>
      <sheetName val="Employees_data25"/>
      <sheetName val="Discipline_Staticstic26"/>
      <sheetName val="career_path26"/>
      <sheetName val="Employees_data26"/>
      <sheetName val="Discipline_Staticstic27"/>
      <sheetName val="career_path27"/>
      <sheetName val="Employees_data27"/>
      <sheetName val="Discipline_Staticstic28"/>
      <sheetName val="career_path28"/>
      <sheetName val="Employees_data28"/>
      <sheetName val="Discipline_Staticstic29"/>
      <sheetName val="career_path29"/>
      <sheetName val="Employees_data29"/>
      <sheetName val="Discipline_Staticstic30"/>
      <sheetName val="career_path30"/>
      <sheetName val="Employees_data30"/>
      <sheetName val="Discipline_Staticstic32"/>
      <sheetName val="career_path32"/>
      <sheetName val="Employees_data32"/>
      <sheetName val="Discipline_Staticstic31"/>
      <sheetName val="career_path31"/>
      <sheetName val="Employees_data31"/>
      <sheetName val="Discipline_Staticstic33"/>
      <sheetName val="career_path33"/>
      <sheetName val="Employees_data33"/>
      <sheetName val="Discipline_Staticstic34"/>
      <sheetName val="career_path34"/>
      <sheetName val="Employees_data34"/>
      <sheetName val="Discipline_Staticstic35"/>
      <sheetName val="career_path35"/>
      <sheetName val="Employees_data35"/>
      <sheetName val="Discipline_Staticstic36"/>
      <sheetName val="career_path36"/>
      <sheetName val="Employees_data36"/>
      <sheetName val="Discipline_Staticstic38"/>
      <sheetName val="career_path38"/>
      <sheetName val="Employees_data38"/>
      <sheetName val="Discipline_Staticstic39"/>
      <sheetName val="career_path39"/>
      <sheetName val="Employees_data39"/>
      <sheetName val="Discipline_Staticstic40"/>
      <sheetName val="career_path40"/>
      <sheetName val="Employees_data40"/>
      <sheetName val="Discipline_Staticstic41"/>
      <sheetName val="career_path41"/>
      <sheetName val="Employees_data41"/>
      <sheetName val="Discipline_Staticstic57"/>
      <sheetName val="career_path57"/>
      <sheetName val="Employees_data57"/>
      <sheetName val="Discipline_Staticstic42"/>
      <sheetName val="career_path42"/>
      <sheetName val="Employees_data42"/>
      <sheetName val="Discipline_Staticstic43"/>
      <sheetName val="career_path43"/>
      <sheetName val="Employees_data43"/>
      <sheetName val="Discipline_Staticstic46"/>
      <sheetName val="career_path46"/>
      <sheetName val="Employees_data46"/>
      <sheetName val="Discipline_Staticstic44"/>
      <sheetName val="career_path44"/>
      <sheetName val="Employees_data44"/>
      <sheetName val="Discipline_Staticstic45"/>
      <sheetName val="career_path45"/>
      <sheetName val="Employees_data45"/>
      <sheetName val="Discipline_Staticstic47"/>
      <sheetName val="career_path47"/>
      <sheetName val="Employees_data47"/>
      <sheetName val="Discipline_Staticstic48"/>
      <sheetName val="career_path48"/>
      <sheetName val="Employees_data48"/>
      <sheetName val="Discipline_Staticstic49"/>
      <sheetName val="career_path49"/>
      <sheetName val="Employees_data49"/>
      <sheetName val="Discipline_Staticstic51"/>
      <sheetName val="career_path51"/>
      <sheetName val="Employees_data51"/>
      <sheetName val="Discipline_Staticstic50"/>
      <sheetName val="career_path50"/>
      <sheetName val="Employees_data50"/>
      <sheetName val="Discipline_Staticstic52"/>
      <sheetName val="career_path52"/>
      <sheetName val="Employees_data52"/>
      <sheetName val="Discipline_Staticstic53"/>
      <sheetName val="career_path53"/>
      <sheetName val="Employees_data53"/>
      <sheetName val="Discipline_Staticstic54"/>
      <sheetName val="career_path54"/>
      <sheetName val="Employees_data54"/>
      <sheetName val="Discipline_Staticstic55"/>
      <sheetName val="career_path55"/>
      <sheetName val="Employees_data55"/>
      <sheetName val="Discipline_Staticstic56"/>
      <sheetName val="career_path56"/>
      <sheetName val="Employees_data56"/>
      <sheetName val="Discipline_Staticstic58"/>
      <sheetName val="career_path58"/>
      <sheetName val="Employees_data58"/>
      <sheetName val="Discipline_Staticstic60"/>
      <sheetName val="career_path60"/>
      <sheetName val="Employees_data60"/>
      <sheetName val="Discipline_Staticstic59"/>
      <sheetName val="career_path59"/>
      <sheetName val="Employees_data59"/>
      <sheetName val="Discipline_Staticstic65"/>
      <sheetName val="career_path65"/>
      <sheetName val="Employees_data65"/>
      <sheetName val="Discipline_Staticstic61"/>
      <sheetName val="career_path61"/>
      <sheetName val="Employees_data61"/>
      <sheetName val="Discipline_Staticstic62"/>
      <sheetName val="career_path62"/>
      <sheetName val="Employees_data62"/>
      <sheetName val="Discipline_Staticstic63"/>
      <sheetName val="career_path63"/>
      <sheetName val="Employees_data63"/>
      <sheetName val="Discipline_Staticstic64"/>
      <sheetName val="career_path64"/>
      <sheetName val="Employees_data64"/>
      <sheetName val="Discipline_Staticstic66"/>
      <sheetName val="career_path66"/>
      <sheetName val="Employees_data66"/>
      <sheetName val="Discipline_Staticstic67"/>
      <sheetName val="career_path67"/>
      <sheetName val="Employees_data67"/>
      <sheetName val="Discipline_Staticstic68"/>
      <sheetName val="career_path68"/>
      <sheetName val="Employees_data68"/>
      <sheetName val="Discipline_Staticstic69"/>
      <sheetName val="career_path69"/>
      <sheetName val="Employees_data69"/>
      <sheetName val="Discipline_Staticstic70"/>
      <sheetName val="career_path70"/>
      <sheetName val="Employees_data70"/>
      <sheetName val="Discipline_Staticstic71"/>
      <sheetName val="career_path71"/>
      <sheetName val="Employees_data71"/>
      <sheetName val="Discipline_Staticstic90"/>
      <sheetName val="career_path90"/>
      <sheetName val="Employees_data90"/>
      <sheetName val="Discipline_Staticstic72"/>
      <sheetName val="career_path72"/>
      <sheetName val="Employees_data72"/>
      <sheetName val="Discipline_Staticstic73"/>
      <sheetName val="career_path73"/>
      <sheetName val="Employees_data73"/>
      <sheetName val="Discipline_Staticstic74"/>
      <sheetName val="career_path74"/>
      <sheetName val="Employees_data74"/>
      <sheetName val="Discipline_Staticstic78"/>
      <sheetName val="career_path78"/>
      <sheetName val="Employees_data78"/>
      <sheetName val="Discipline_Staticstic75"/>
      <sheetName val="career_path75"/>
      <sheetName val="Employees_data75"/>
      <sheetName val="Discipline_Staticstic76"/>
      <sheetName val="career_path76"/>
      <sheetName val="Employees_data76"/>
      <sheetName val="Discipline_Staticstic77"/>
      <sheetName val="career_path77"/>
      <sheetName val="Employees_data77"/>
      <sheetName val="Discipline_Staticstic79"/>
      <sheetName val="career_path79"/>
      <sheetName val="Employees_data79"/>
      <sheetName val="Discipline_Staticstic80"/>
      <sheetName val="career_path80"/>
      <sheetName val="Employees_data80"/>
      <sheetName val="Discipline_Staticstic83"/>
      <sheetName val="career_path83"/>
      <sheetName val="Employees_data83"/>
      <sheetName val="Discipline_Staticstic81"/>
      <sheetName val="career_path81"/>
      <sheetName val="Employees_data81"/>
      <sheetName val="Discipline_Staticstic82"/>
      <sheetName val="career_path82"/>
      <sheetName val="Employees_data82"/>
      <sheetName val="Discipline_Staticstic85"/>
      <sheetName val="career_path85"/>
      <sheetName val="Employees_data85"/>
      <sheetName val="Discipline_Staticstic84"/>
      <sheetName val="career_path84"/>
      <sheetName val="Employees_data84"/>
      <sheetName val="Discipline_Staticstic87"/>
      <sheetName val="career_path87"/>
      <sheetName val="Employees_data87"/>
      <sheetName val="Discipline_Staticstic86"/>
      <sheetName val="career_path86"/>
      <sheetName val="Employees_data86"/>
      <sheetName val="Discipline_Staticstic88"/>
      <sheetName val="career_path88"/>
      <sheetName val="Employees_data88"/>
      <sheetName val="Discipline_Staticstic89"/>
      <sheetName val="career_path89"/>
      <sheetName val="Employees_data89"/>
      <sheetName val="Discipline_Staticstic96"/>
      <sheetName val="career_path96"/>
      <sheetName val="Employees_data96"/>
      <sheetName val="Discipline_Staticstic91"/>
      <sheetName val="career_path91"/>
      <sheetName val="Employees_data91"/>
      <sheetName val="Discipline_Staticstic92"/>
      <sheetName val="career_path92"/>
      <sheetName val="Employees_data92"/>
      <sheetName val="Discipline_Staticstic93"/>
      <sheetName val="career_path93"/>
      <sheetName val="Employees_data93"/>
      <sheetName val="Discipline_Staticstic94"/>
      <sheetName val="career_path94"/>
      <sheetName val="Employees_data94"/>
      <sheetName val="Discipline_Staticstic95"/>
      <sheetName val="career_path95"/>
      <sheetName val="Employees_data95"/>
      <sheetName val="Discipline_Staticstic97"/>
      <sheetName val="career_path97"/>
      <sheetName val="Employees_data97"/>
      <sheetName val="Discipline_Staticstic98"/>
      <sheetName val="career_path98"/>
      <sheetName val="Employees_data98"/>
      <sheetName val="Discipline_Staticstic99"/>
      <sheetName val="career_path99"/>
      <sheetName val="Employees_data99"/>
      <sheetName val="Discipline_Staticstic100"/>
      <sheetName val="career_path100"/>
      <sheetName val="Employees_data100"/>
      <sheetName val="Discipline_Staticstic101"/>
      <sheetName val="career_path101"/>
      <sheetName val="Employees_data101"/>
      <sheetName val="Discipline_Staticstic104"/>
      <sheetName val="career_path104"/>
      <sheetName val="Employees_data104"/>
      <sheetName val="Discipline_Staticstic102"/>
      <sheetName val="career_path102"/>
      <sheetName val="Employees_data102"/>
      <sheetName val="Discipline_Staticstic103"/>
      <sheetName val="career_path103"/>
      <sheetName val="Employees_data103"/>
      <sheetName val="Discipline_Staticstic107"/>
      <sheetName val="career_path107"/>
      <sheetName val="Employees_data107"/>
      <sheetName val="Discipline_Staticstic105"/>
      <sheetName val="career_path105"/>
      <sheetName val="Employees_data105"/>
      <sheetName val="Discipline_Staticstic106"/>
      <sheetName val="career_path106"/>
      <sheetName val="Employees_data106"/>
      <sheetName val="Discipline_Staticstic108"/>
      <sheetName val="career_path108"/>
      <sheetName val="Employees_data108"/>
      <sheetName val="Discipline_Staticstic109"/>
      <sheetName val="career_path109"/>
      <sheetName val="Employees_data109"/>
      <sheetName val="Discipline_Staticstic110"/>
      <sheetName val="career_path110"/>
      <sheetName val="Employees_data110"/>
      <sheetName val="Discipline_Staticstic111"/>
      <sheetName val="career_path111"/>
      <sheetName val="Employees_data111"/>
      <sheetName val="Discipline_Staticstic112"/>
      <sheetName val="career_path112"/>
      <sheetName val="Employees_data112"/>
      <sheetName val="Discipline_Staticstic114"/>
      <sheetName val="career_path114"/>
      <sheetName val="Employees_data114"/>
      <sheetName val="Discipline_Staticstic113"/>
      <sheetName val="career_path113"/>
      <sheetName val="Employees_data113"/>
      <sheetName val="Discipline_Staticstic115"/>
      <sheetName val="career_path115"/>
      <sheetName val="Employees_data115"/>
      <sheetName val="Discipline_Staticstic116"/>
      <sheetName val="career_path116"/>
      <sheetName val="Employees_data116"/>
      <sheetName val="Discipline_Staticstic117"/>
      <sheetName val="career_path117"/>
      <sheetName val="Employees_data117"/>
      <sheetName val="Discipline_Staticstic118"/>
      <sheetName val="career_path118"/>
      <sheetName val="Employees_data118"/>
      <sheetName val="Discipline_Staticstic122"/>
      <sheetName val="career_path122"/>
      <sheetName val="Employees_data122"/>
      <sheetName val="Discipline_Staticstic119"/>
      <sheetName val="career_path119"/>
      <sheetName val="Employees_data119"/>
      <sheetName val="Discipline_Staticstic120"/>
      <sheetName val="career_path120"/>
      <sheetName val="Employees_data120"/>
      <sheetName val="Discipline_Staticstic121"/>
      <sheetName val="career_path121"/>
      <sheetName val="Employees_data121"/>
      <sheetName val="Discipline_Staticstic133"/>
      <sheetName val="career_path133"/>
      <sheetName val="Employees_data133"/>
      <sheetName val="Discipline_Staticstic123"/>
      <sheetName val="career_path123"/>
      <sheetName val="Employees_data123"/>
      <sheetName val="Discipline_Staticstic125"/>
      <sheetName val="career_path125"/>
      <sheetName val="Employees_data125"/>
      <sheetName val="Discipline_Staticstic124"/>
      <sheetName val="career_path124"/>
      <sheetName val="Employees_data124"/>
      <sheetName val="Discipline_Staticstic126"/>
      <sheetName val="career_path126"/>
      <sheetName val="Employees_data126"/>
      <sheetName val="Discipline_Staticstic127"/>
      <sheetName val="career_path127"/>
      <sheetName val="Employees_data127"/>
      <sheetName val="Discipline_Staticstic128"/>
      <sheetName val="career_path128"/>
      <sheetName val="Employees_data128"/>
      <sheetName val="Discipline_Staticstic129"/>
      <sheetName val="career_path129"/>
      <sheetName val="Employees_data129"/>
      <sheetName val="Discipline_Staticstic130"/>
      <sheetName val="career_path130"/>
      <sheetName val="Employees_data130"/>
      <sheetName val="Discipline_Staticstic131"/>
      <sheetName val="career_path131"/>
      <sheetName val="Employees_data131"/>
      <sheetName val="Discipline_Staticstic132"/>
      <sheetName val="career_path132"/>
      <sheetName val="Employees_data132"/>
      <sheetName val="Discipline_Staticstic134"/>
      <sheetName val="career_path134"/>
      <sheetName val="Employees_data134"/>
      <sheetName val="Discipline_Staticstic135"/>
      <sheetName val="career_path135"/>
      <sheetName val="Employees_data135"/>
      <sheetName val="Discipline_Staticstic136"/>
      <sheetName val="career_path136"/>
      <sheetName val="Employees_data136"/>
      <sheetName val="Discipline_Staticstic137"/>
      <sheetName val="career_path137"/>
      <sheetName val="Employees_data137"/>
      <sheetName val="Discipline_Staticstic138"/>
      <sheetName val="career_path138"/>
      <sheetName val="Employees_data138"/>
      <sheetName val="Discipline_Staticstic144"/>
      <sheetName val="career_path144"/>
      <sheetName val="Employees_data144"/>
      <sheetName val="Discipline_Staticstic139"/>
      <sheetName val="career_path139"/>
      <sheetName val="Employees_data139"/>
      <sheetName val="Discipline_Staticstic140"/>
      <sheetName val="career_path140"/>
      <sheetName val="Employees_data140"/>
      <sheetName val="Discipline_Staticstic141"/>
      <sheetName val="career_path141"/>
      <sheetName val="Employees_data141"/>
      <sheetName val="Discipline_Staticstic142"/>
      <sheetName val="career_path142"/>
      <sheetName val="Employees_data142"/>
      <sheetName val="Discipline_Staticstic143"/>
      <sheetName val="career_path143"/>
      <sheetName val="Employees_data143"/>
      <sheetName val="Discipline_Staticstic145"/>
      <sheetName val="career_path145"/>
      <sheetName val="Employees_data145"/>
      <sheetName val="Discipline_Staticstic153"/>
      <sheetName val="career_path153"/>
      <sheetName val="Employees_data153"/>
      <sheetName val="Discipline_Staticstic146"/>
      <sheetName val="career_path146"/>
      <sheetName val="Employees_data146"/>
      <sheetName val="Discipline_Staticstic147"/>
      <sheetName val="career_path147"/>
      <sheetName val="Employees_data147"/>
      <sheetName val="Discipline_Staticstic151"/>
      <sheetName val="career_path151"/>
      <sheetName val="Employees_data151"/>
      <sheetName val="Discipline_Staticstic148"/>
      <sheetName val="career_path148"/>
      <sheetName val="Employees_data148"/>
      <sheetName val="Discipline_Staticstic149"/>
      <sheetName val="career_path149"/>
      <sheetName val="Employees_data149"/>
      <sheetName val="Discipline_Staticstic150"/>
      <sheetName val="career_path150"/>
      <sheetName val="Employees_data150"/>
      <sheetName val="Discipline_Staticstic152"/>
      <sheetName val="career_path152"/>
      <sheetName val="Employees_data152"/>
      <sheetName val="Discipline_Staticstic155"/>
      <sheetName val="career_path155"/>
      <sheetName val="Employees_data155"/>
      <sheetName val="Discipline_Staticstic154"/>
      <sheetName val="career_path154"/>
      <sheetName val="Employees_data154"/>
      <sheetName val="Discipline_Staticstic156"/>
      <sheetName val="career_path156"/>
      <sheetName val="Employees_data156"/>
      <sheetName val="Discipline_Staticstic158"/>
      <sheetName val="career_path158"/>
      <sheetName val="Employees_data158"/>
      <sheetName val="Discipline_Staticstic157"/>
      <sheetName val="career_path157"/>
      <sheetName val="Employees_data157"/>
      <sheetName val="Discipline_Staticstic160"/>
      <sheetName val="career_path160"/>
      <sheetName val="Employees_data160"/>
      <sheetName val="Discipline_Staticstic159"/>
      <sheetName val="career_path159"/>
      <sheetName val="Employees_data159"/>
      <sheetName val="Discipline_Staticstic161"/>
      <sheetName val="career_path161"/>
      <sheetName val="Employees_data161"/>
      <sheetName val="Discipline_Staticstic162"/>
      <sheetName val="career_path162"/>
      <sheetName val="Employees_data162"/>
      <sheetName val="Discipline_Staticstic210"/>
      <sheetName val="career_path210"/>
      <sheetName val="Employees_data210"/>
      <sheetName val="Discipline_Staticstic179"/>
      <sheetName val="career_path179"/>
      <sheetName val="Employees_data179"/>
      <sheetName val="Discipline_Staticstic164"/>
      <sheetName val="career_path164"/>
      <sheetName val="Employees_data164"/>
      <sheetName val="Discipline_Staticstic163"/>
      <sheetName val="career_path163"/>
      <sheetName val="Employees_data163"/>
      <sheetName val="Discipline_Staticstic166"/>
      <sheetName val="career_path166"/>
      <sheetName val="Employees_data166"/>
      <sheetName val="Discipline_Staticstic165"/>
      <sheetName val="career_path165"/>
      <sheetName val="Employees_data165"/>
      <sheetName val="Discipline_Staticstic167"/>
      <sheetName val="career_path167"/>
      <sheetName val="Employees_data167"/>
      <sheetName val="Discipline_Staticstic168"/>
      <sheetName val="career_path168"/>
      <sheetName val="Employees_data168"/>
      <sheetName val="Discipline_Staticstic169"/>
      <sheetName val="career_path169"/>
      <sheetName val="Employees_data169"/>
      <sheetName val="Discipline_Staticstic170"/>
      <sheetName val="career_path170"/>
      <sheetName val="Employees_data170"/>
      <sheetName val="Discipline_Staticstic171"/>
      <sheetName val="career_path171"/>
      <sheetName val="Employees_data171"/>
      <sheetName val="Discipline_Staticstic173"/>
      <sheetName val="career_path173"/>
      <sheetName val="Employees_data173"/>
      <sheetName val="Discipline_Staticstic172"/>
      <sheetName val="career_path172"/>
      <sheetName val="Employees_data172"/>
      <sheetName val="Discipline_Staticstic174"/>
      <sheetName val="career_path174"/>
      <sheetName val="Employees_data174"/>
      <sheetName val="Discipline_Staticstic177"/>
      <sheetName val="career_path177"/>
      <sheetName val="Employees_data177"/>
      <sheetName val="Discipline_Staticstic175"/>
      <sheetName val="career_path175"/>
      <sheetName val="Employees_data175"/>
      <sheetName val="Discipline_Staticstic176"/>
      <sheetName val="career_path176"/>
      <sheetName val="Employees_data176"/>
      <sheetName val="Discipline_Staticstic178"/>
      <sheetName val="career_path178"/>
      <sheetName val="Employees_data178"/>
      <sheetName val="Discipline_Staticstic180"/>
      <sheetName val="career_path180"/>
      <sheetName val="Employees_data180"/>
      <sheetName val="Discipline_Staticstic182"/>
      <sheetName val="career_path182"/>
      <sheetName val="Employees_data182"/>
      <sheetName val="Discipline_Staticstic181"/>
      <sheetName val="career_path181"/>
      <sheetName val="Employees_data181"/>
      <sheetName val="Discipline_Staticstic183"/>
      <sheetName val="career_path183"/>
      <sheetName val="Employees_data183"/>
      <sheetName val="Discipline_Staticstic193"/>
      <sheetName val="career_path193"/>
      <sheetName val="Employees_data193"/>
      <sheetName val="Discipline_Staticstic184"/>
      <sheetName val="career_path184"/>
      <sheetName val="Employees_data184"/>
      <sheetName val="Discipline_Staticstic185"/>
      <sheetName val="career_path185"/>
      <sheetName val="Employees_data185"/>
      <sheetName val="Discipline_Staticstic186"/>
      <sheetName val="career_path186"/>
      <sheetName val="Employees_data186"/>
      <sheetName val="Discipline_Staticstic187"/>
      <sheetName val="career_path187"/>
      <sheetName val="Employees_data187"/>
      <sheetName val="Discipline_Staticstic188"/>
      <sheetName val="career_path188"/>
      <sheetName val="Employees_data188"/>
      <sheetName val="Discipline_Staticstic189"/>
      <sheetName val="career_path189"/>
      <sheetName val="Employees_data189"/>
      <sheetName val="Discipline_Staticstic190"/>
      <sheetName val="career_path190"/>
      <sheetName val="Employees_data190"/>
      <sheetName val="Discipline_Staticstic191"/>
      <sheetName val="career_path191"/>
      <sheetName val="Employees_data191"/>
      <sheetName val="Discipline_Staticstic192"/>
      <sheetName val="career_path192"/>
      <sheetName val="Employees_data192"/>
      <sheetName val="Discipline_Staticstic195"/>
      <sheetName val="career_path195"/>
      <sheetName val="Employees_data195"/>
      <sheetName val="Discipline_Staticstic194"/>
      <sheetName val="career_path194"/>
      <sheetName val="Employees_data194"/>
      <sheetName val="Discipline_Staticstic196"/>
      <sheetName val="career_path196"/>
      <sheetName val="Employees_data196"/>
      <sheetName val="Discipline_Staticstic197"/>
      <sheetName val="career_path197"/>
      <sheetName val="Employees_data197"/>
      <sheetName val="Discipline_Staticstic200"/>
      <sheetName val="career_path200"/>
      <sheetName val="Employees_data200"/>
      <sheetName val="Discipline_Staticstic198"/>
      <sheetName val="career_path198"/>
      <sheetName val="Employees_data198"/>
      <sheetName val="Discipline_Staticstic199"/>
      <sheetName val="career_path199"/>
      <sheetName val="Employees_data199"/>
      <sheetName val="Discipline_Staticstic201"/>
      <sheetName val="career_path201"/>
      <sheetName val="Employees_data201"/>
      <sheetName val="Discipline_Staticstic202"/>
      <sheetName val="career_path202"/>
      <sheetName val="Employees_data202"/>
      <sheetName val="Discipline_Staticstic204"/>
      <sheetName val="career_path204"/>
      <sheetName val="Employees_data204"/>
      <sheetName val="Discipline_Staticstic203"/>
      <sheetName val="career_path203"/>
      <sheetName val="Employees_data203"/>
      <sheetName val="Discipline_Staticstic205"/>
      <sheetName val="career_path205"/>
      <sheetName val="Employees_data205"/>
      <sheetName val="Discipline_Staticstic206"/>
      <sheetName val="career_path206"/>
      <sheetName val="Employees_data206"/>
      <sheetName val="Discipline_Staticstic207"/>
      <sheetName val="career_path207"/>
      <sheetName val="Employees_data207"/>
      <sheetName val="Discipline_Staticstic209"/>
      <sheetName val="career_path209"/>
      <sheetName val="Employees_data209"/>
      <sheetName val="Discipline_Staticstic208"/>
      <sheetName val="career_path208"/>
      <sheetName val="Employees_data208"/>
      <sheetName val="Discipline_Staticstic212"/>
      <sheetName val="career_path212"/>
      <sheetName val="Employees_data212"/>
      <sheetName val="Discipline_Staticstic211"/>
      <sheetName val="career_path211"/>
      <sheetName val="Employees_data211"/>
      <sheetName val="Discipline_Staticstic213"/>
      <sheetName val="career_path213"/>
      <sheetName val="Employees_data213"/>
      <sheetName val="Discipline_Staticstic214"/>
      <sheetName val="career_path214"/>
      <sheetName val="Employees_data214"/>
      <sheetName val="Discipline_Staticstic215"/>
      <sheetName val="career_path215"/>
      <sheetName val="Employees_data215"/>
      <sheetName val="Discipline_Staticstic216"/>
      <sheetName val="career_path216"/>
      <sheetName val="Employees_data216"/>
      <sheetName val="Discipline_Staticstic218"/>
      <sheetName val="career_path218"/>
      <sheetName val="Employees_data218"/>
      <sheetName val="Discipline_Staticstic217"/>
      <sheetName val="career_path217"/>
      <sheetName val="Employees_data217"/>
      <sheetName val="Discipline_Staticstic219"/>
      <sheetName val="career_path219"/>
      <sheetName val="Employees_data219"/>
      <sheetName val="Discipline_Staticstic221"/>
      <sheetName val="career_path221"/>
      <sheetName val="Employees_data221"/>
      <sheetName val="Discipline_Staticstic220"/>
      <sheetName val="career_path220"/>
      <sheetName val="Employees_data220"/>
      <sheetName val="Discipline_Staticstic224"/>
      <sheetName val="career_path224"/>
      <sheetName val="Employees_data224"/>
      <sheetName val="Discipline_Staticstic222"/>
      <sheetName val="career_path222"/>
      <sheetName val="Employees_data222"/>
      <sheetName val="Discipline_Staticstic223"/>
      <sheetName val="career_path223"/>
      <sheetName val="Employees_data223"/>
      <sheetName val="Discipline_Staticstic235"/>
      <sheetName val="career_path235"/>
      <sheetName val="Employees_data235"/>
      <sheetName val="Discipline_Staticstic225"/>
      <sheetName val="career_path225"/>
      <sheetName val="Employees_data225"/>
      <sheetName val="Discipline_Staticstic226"/>
      <sheetName val="career_path226"/>
      <sheetName val="Employees_data226"/>
      <sheetName val="Discipline_Staticstic227"/>
      <sheetName val="career_path227"/>
      <sheetName val="Employees_data227"/>
      <sheetName val="Discipline_Staticstic228"/>
      <sheetName val="career_path228"/>
      <sheetName val="Employees_data228"/>
      <sheetName val="Discipline_Staticstic230"/>
      <sheetName val="career_path230"/>
      <sheetName val="Employees_data230"/>
      <sheetName val="Discipline_Staticstic229"/>
      <sheetName val="career_path229"/>
      <sheetName val="Employees_data229"/>
      <sheetName val="Discipline_Staticstic231"/>
      <sheetName val="career_path231"/>
      <sheetName val="Employees_data231"/>
      <sheetName val="Discipline_Staticstic232"/>
      <sheetName val="career_path232"/>
      <sheetName val="Employees_data232"/>
      <sheetName val="Discipline_Staticstic233"/>
      <sheetName val="career_path233"/>
      <sheetName val="Employees_data233"/>
      <sheetName val="Discipline_Staticstic234"/>
      <sheetName val="career_path234"/>
      <sheetName val="Employees_data234"/>
      <sheetName val="Discipline_Staticstic236"/>
      <sheetName val="career_path236"/>
      <sheetName val="Employees_data236"/>
      <sheetName val="Discipline_Staticstic249"/>
      <sheetName val="career_path249"/>
      <sheetName val="Employees_data249"/>
      <sheetName val="Discipline_Staticstic237"/>
      <sheetName val="career_path237"/>
      <sheetName val="Employees_data237"/>
      <sheetName val="Discipline_Staticstic239"/>
      <sheetName val="career_path239"/>
      <sheetName val="Employees_data239"/>
      <sheetName val="Discipline_Staticstic238"/>
      <sheetName val="career_path238"/>
      <sheetName val="Employees_data238"/>
      <sheetName val="Discipline_Staticstic240"/>
      <sheetName val="career_path240"/>
      <sheetName val="Employees_data240"/>
      <sheetName val="Discipline_Staticstic241"/>
      <sheetName val="career_path241"/>
      <sheetName val="Employees_data241"/>
      <sheetName val="Discipline_Staticstic242"/>
      <sheetName val="career_path242"/>
      <sheetName val="Employees_data242"/>
      <sheetName val="Discipline_Staticstic244"/>
      <sheetName val="career_path244"/>
      <sheetName val="Employees_data244"/>
      <sheetName val="Discipline_Staticstic243"/>
      <sheetName val="career_path243"/>
      <sheetName val="Employees_data243"/>
      <sheetName val="Discipline_Staticstic246"/>
      <sheetName val="career_path246"/>
      <sheetName val="Employees_data246"/>
      <sheetName val="Discipline_Staticstic245"/>
      <sheetName val="career_path245"/>
      <sheetName val="Employees_data245"/>
      <sheetName val="Discipline_Staticstic248"/>
      <sheetName val="career_path248"/>
      <sheetName val="Employees_data248"/>
      <sheetName val="Discipline_Staticstic247"/>
      <sheetName val="career_path247"/>
      <sheetName val="Employees_data247"/>
      <sheetName val="Discipline_Staticstic250"/>
      <sheetName val="career_path250"/>
      <sheetName val="Employees_data250"/>
      <sheetName val="Discipline_Staticstic251"/>
      <sheetName val="career_path251"/>
      <sheetName val="Employees_data251"/>
      <sheetName val="Discipline_Staticstic252"/>
      <sheetName val="career_path252"/>
      <sheetName val="Employees_data252"/>
      <sheetName val="Discipline_Staticstic253"/>
      <sheetName val="career_path253"/>
      <sheetName val="Employees_data253"/>
      <sheetName val="Discipline_Staticstic254"/>
      <sheetName val="career_path254"/>
      <sheetName val="Employees_data254"/>
      <sheetName val="Discipline_Staticstic255"/>
      <sheetName val="career_path255"/>
      <sheetName val="Employees_data255"/>
      <sheetName val="Discipline_Staticstic259"/>
      <sheetName val="career_path259"/>
      <sheetName val="Employees_data259"/>
      <sheetName val="Discipline_Staticstic256"/>
      <sheetName val="career_path256"/>
      <sheetName val="Employees_data256"/>
      <sheetName val="Discipline_Staticstic257"/>
      <sheetName val="career_path257"/>
      <sheetName val="Employees_data257"/>
      <sheetName val="Discipline_Staticstic258"/>
      <sheetName val="career_path258"/>
      <sheetName val="Employees_data258"/>
      <sheetName val="Discipline_Staticstic260"/>
      <sheetName val="career_path260"/>
      <sheetName val="Employees_data260"/>
      <sheetName val="Discipline_Staticstic261"/>
      <sheetName val="career_path261"/>
      <sheetName val="Employees_data261"/>
      <sheetName val="Discipline_Staticstic262"/>
      <sheetName val="career_path262"/>
      <sheetName val="Employees_data262"/>
      <sheetName val="Discipline_Staticstic263"/>
      <sheetName val="career_path263"/>
      <sheetName val="Employees_data263"/>
      <sheetName val="Discipline_Staticstic264"/>
      <sheetName val="career_path264"/>
      <sheetName val="Employees_data264"/>
      <sheetName val="Discipline_Staticstic266"/>
      <sheetName val="career_path266"/>
      <sheetName val="Employees_data266"/>
      <sheetName val="Discipline_Staticstic265"/>
      <sheetName val="career_path265"/>
      <sheetName val="Employees_data265"/>
      <sheetName val="Discipline_Staticstic267"/>
      <sheetName val="career_path267"/>
      <sheetName val="Employees_data267"/>
      <sheetName val="Discipline_Staticstic268"/>
      <sheetName val="career_path268"/>
      <sheetName val="Employees_data268"/>
      <sheetName val="Discipline_Staticstic270"/>
      <sheetName val="career_path270"/>
      <sheetName val="Employees_data270"/>
      <sheetName val="Discipline_Staticstic269"/>
      <sheetName val="career_path269"/>
      <sheetName val="Employees_data269"/>
      <sheetName val="Discipline_Staticstic271"/>
      <sheetName val="career_path271"/>
      <sheetName val="Employees_data271"/>
      <sheetName val="Discipline_Staticstic272"/>
      <sheetName val="career_path272"/>
      <sheetName val="Employees_data272"/>
      <sheetName val="Discipline_Staticstic273"/>
      <sheetName val="career_path273"/>
      <sheetName val="Employees_data273"/>
      <sheetName val="Discipline_Staticstic274"/>
      <sheetName val="career_path274"/>
      <sheetName val="Employees_data274"/>
      <sheetName val="Discipline_Staticstic275"/>
      <sheetName val="career_path275"/>
      <sheetName val="Employees_data275"/>
      <sheetName val="Discipline_Staticstic276"/>
      <sheetName val="career_path276"/>
      <sheetName val="Employees_data276"/>
      <sheetName val="Discipline_Staticstic278"/>
      <sheetName val="career_path278"/>
      <sheetName val="Employees_data278"/>
      <sheetName val="Discipline_Staticstic277"/>
      <sheetName val="career_path277"/>
      <sheetName val="Employees_data277"/>
      <sheetName val="Discipline_Staticstic279"/>
      <sheetName val="career_path279"/>
      <sheetName val="Employees_data279"/>
      <sheetName val="Discipline_Staticstic291"/>
      <sheetName val="career_path291"/>
      <sheetName val="Employees_data291"/>
      <sheetName val="Discipline_Staticstic280"/>
      <sheetName val="career_path280"/>
      <sheetName val="Employees_data280"/>
      <sheetName val="Discipline_Staticstic281"/>
      <sheetName val="career_path281"/>
      <sheetName val="Employees_data281"/>
      <sheetName val="Discipline_Staticstic282"/>
      <sheetName val="career_path282"/>
      <sheetName val="Employees_data282"/>
      <sheetName val="Discipline_Staticstic287"/>
      <sheetName val="career_path287"/>
      <sheetName val="Employees_data287"/>
      <sheetName val="Discipline_Staticstic283"/>
      <sheetName val="career_path283"/>
      <sheetName val="Employees_data283"/>
      <sheetName val="Discipline_Staticstic284"/>
      <sheetName val="career_path284"/>
      <sheetName val="Employees_data284"/>
      <sheetName val="Discipline_Staticstic285"/>
      <sheetName val="career_path285"/>
      <sheetName val="Employees_data285"/>
      <sheetName val="Discipline_Staticstic286"/>
      <sheetName val="career_path286"/>
      <sheetName val="Employees_data286"/>
      <sheetName val="Discipline_Staticstic288"/>
      <sheetName val="career_path288"/>
      <sheetName val="Employees_data288"/>
      <sheetName val="Discipline_Staticstic290"/>
      <sheetName val="career_path290"/>
      <sheetName val="Employees_data290"/>
      <sheetName val="Discipline_Staticstic289"/>
      <sheetName val="career_path289"/>
      <sheetName val="Employees_data289"/>
      <sheetName val="Discipline_Staticstic300"/>
      <sheetName val="career_path300"/>
      <sheetName val="Employees_data300"/>
      <sheetName val="Discipline_Staticstic295"/>
      <sheetName val="career_path295"/>
      <sheetName val="Employees_data295"/>
      <sheetName val="Discipline_Staticstic292"/>
      <sheetName val="career_path292"/>
      <sheetName val="Employees_data292"/>
      <sheetName val="Discipline_Staticstic293"/>
      <sheetName val="career_path293"/>
      <sheetName val="Employees_data293"/>
      <sheetName val="Discipline_Staticstic294"/>
      <sheetName val="career_path294"/>
      <sheetName val="Employees_data294"/>
      <sheetName val="Discipline_Staticstic296"/>
      <sheetName val="career_path296"/>
      <sheetName val="Employees_data296"/>
      <sheetName val="Discipline_Staticstic297"/>
      <sheetName val="career_path297"/>
      <sheetName val="Employees_data297"/>
      <sheetName val="Discipline_Staticstic298"/>
      <sheetName val="career_path298"/>
      <sheetName val="Employees_data298"/>
      <sheetName val="Discipline_Staticstic299"/>
      <sheetName val="career_path299"/>
      <sheetName val="Employees_data299"/>
      <sheetName val="Discipline_Staticstic302"/>
      <sheetName val="career_path302"/>
      <sheetName val="Employees_data302"/>
      <sheetName val="Discipline_Staticstic301"/>
      <sheetName val="career_path301"/>
      <sheetName val="Employees_data301"/>
      <sheetName val="Discipline Staticstic"/>
      <sheetName val="career path"/>
      <sheetName val="Employees data"/>
      <sheetName val="Discipline_Staticstic303"/>
      <sheetName val="career_path303"/>
      <sheetName val="Employees_data303"/>
      <sheetName val="Discipline_Staticstic304"/>
      <sheetName val="career_path304"/>
      <sheetName val="Employees_data304"/>
      <sheetName val="Discipline_Staticstic305"/>
      <sheetName val="career_path305"/>
      <sheetName val="Employees_data305"/>
      <sheetName val="Discipline_Staticstic306"/>
      <sheetName val="career_path306"/>
      <sheetName val="Employees_data306"/>
      <sheetName val="Discipline_Staticstic307"/>
      <sheetName val="career_path307"/>
      <sheetName val="Employees_data307"/>
      <sheetName val="Discipline_Staticstic308"/>
      <sheetName val="career_path308"/>
      <sheetName val="Employees_data308"/>
      <sheetName val="Discipline_Staticstic309"/>
      <sheetName val="career_path309"/>
      <sheetName val="Employees_data309"/>
      <sheetName val="Discipline_Staticstic310"/>
      <sheetName val="career_path310"/>
      <sheetName val="Employees_data310"/>
      <sheetName val="Discipline_Staticstic314"/>
      <sheetName val="career_path314"/>
      <sheetName val="Employees_data314"/>
      <sheetName val="Discipline_Staticstic311"/>
      <sheetName val="career_path311"/>
      <sheetName val="Employees_data311"/>
      <sheetName val="Discipline_Staticstic312"/>
      <sheetName val="career_path312"/>
      <sheetName val="Employees_data312"/>
      <sheetName val="Discipline_Staticstic313"/>
      <sheetName val="career_path313"/>
      <sheetName val="Employees_data313"/>
      <sheetName val="Discipline_Staticstic315"/>
      <sheetName val="career_path315"/>
      <sheetName val="Employees_data315"/>
      <sheetName val="Discipline_Staticstic316"/>
      <sheetName val="career_path316"/>
      <sheetName val="Employees_data316"/>
      <sheetName val="Discipline_Staticstic317"/>
      <sheetName val="career_path317"/>
      <sheetName val="Employees_data317"/>
      <sheetName val="Discipline_Staticstic318"/>
      <sheetName val="career_path318"/>
      <sheetName val="Employees_data318"/>
      <sheetName val="Discipline_Staticstic319"/>
      <sheetName val="career_path319"/>
      <sheetName val="Employees_data319"/>
      <sheetName val="Discipline_Staticstic320"/>
      <sheetName val="career_path320"/>
      <sheetName val="Employees_data320"/>
      <sheetName val="Discipline_Staticstic321"/>
      <sheetName val="career_path321"/>
      <sheetName val="Employees_data321"/>
      <sheetName val="Discipline_Staticstic323"/>
      <sheetName val="career_path323"/>
      <sheetName val="Employees_data323"/>
      <sheetName val="Discipline_Staticstic322"/>
      <sheetName val="career_path322"/>
      <sheetName val="Employees_data322"/>
      <sheetName val="Discipline_Staticstic325"/>
      <sheetName val="career_path325"/>
      <sheetName val="Employees_data325"/>
      <sheetName val="Discipline_Staticstic324"/>
      <sheetName val="career_path324"/>
      <sheetName val="Employees_data3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CZ2">
            <v>42452.658423726854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">
          <cell r="CZ2">
            <v>42452.658423726854</v>
          </cell>
        </row>
      </sheetData>
      <sheetData sheetId="22"/>
      <sheetData sheetId="23"/>
      <sheetData sheetId="24">
        <row r="2">
          <cell r="CZ2">
            <v>42452.658423726854</v>
          </cell>
        </row>
      </sheetData>
      <sheetData sheetId="25"/>
      <sheetData sheetId="26"/>
      <sheetData sheetId="27">
        <row r="2">
          <cell r="CZ2">
            <v>42452.658423726854</v>
          </cell>
        </row>
      </sheetData>
      <sheetData sheetId="28"/>
      <sheetData sheetId="29"/>
      <sheetData sheetId="30">
        <row r="2">
          <cell r="CZ2">
            <v>42452.658423726854</v>
          </cell>
        </row>
      </sheetData>
      <sheetData sheetId="31"/>
      <sheetData sheetId="32"/>
      <sheetData sheetId="33">
        <row r="2">
          <cell r="CZ2">
            <v>42452.658423726854</v>
          </cell>
        </row>
      </sheetData>
      <sheetData sheetId="34"/>
      <sheetData sheetId="35"/>
      <sheetData sheetId="36">
        <row r="2">
          <cell r="CZ2">
            <v>42452.658423726854</v>
          </cell>
        </row>
      </sheetData>
      <sheetData sheetId="37"/>
      <sheetData sheetId="38"/>
      <sheetData sheetId="39">
        <row r="2">
          <cell r="CZ2">
            <v>42452.658423726854</v>
          </cell>
        </row>
      </sheetData>
      <sheetData sheetId="40"/>
      <sheetData sheetId="41"/>
      <sheetData sheetId="42">
        <row r="2">
          <cell r="CZ2">
            <v>42452.658423726854</v>
          </cell>
        </row>
      </sheetData>
      <sheetData sheetId="43"/>
      <sheetData sheetId="44"/>
      <sheetData sheetId="45">
        <row r="2">
          <cell r="CZ2">
            <v>42452.658423726854</v>
          </cell>
        </row>
      </sheetData>
      <sheetData sheetId="46"/>
      <sheetData sheetId="47"/>
      <sheetData sheetId="48">
        <row r="2">
          <cell r="CZ2">
            <v>42452.658423726854</v>
          </cell>
        </row>
      </sheetData>
      <sheetData sheetId="49"/>
      <sheetData sheetId="50"/>
      <sheetData sheetId="51">
        <row r="2">
          <cell r="CZ2">
            <v>42452.658423726854</v>
          </cell>
        </row>
      </sheetData>
      <sheetData sheetId="52"/>
      <sheetData sheetId="53"/>
      <sheetData sheetId="54">
        <row r="2">
          <cell r="CZ2">
            <v>42452.658423726854</v>
          </cell>
        </row>
      </sheetData>
      <sheetData sheetId="55"/>
      <sheetData sheetId="56"/>
      <sheetData sheetId="57">
        <row r="2">
          <cell r="CZ2">
            <v>42452.658423726854</v>
          </cell>
        </row>
      </sheetData>
      <sheetData sheetId="58"/>
      <sheetData sheetId="59"/>
      <sheetData sheetId="60">
        <row r="2">
          <cell r="CZ2">
            <v>42452.658423726854</v>
          </cell>
        </row>
      </sheetData>
      <sheetData sheetId="61"/>
      <sheetData sheetId="62"/>
      <sheetData sheetId="63">
        <row r="2">
          <cell r="CZ2">
            <v>42452.658423726854</v>
          </cell>
        </row>
      </sheetData>
      <sheetData sheetId="64"/>
      <sheetData sheetId="65"/>
      <sheetData sheetId="66">
        <row r="2">
          <cell r="CZ2">
            <v>42452.658423726854</v>
          </cell>
        </row>
      </sheetData>
      <sheetData sheetId="67"/>
      <sheetData sheetId="68"/>
      <sheetData sheetId="69">
        <row r="2">
          <cell r="CZ2">
            <v>42452.658423726854</v>
          </cell>
        </row>
      </sheetData>
      <sheetData sheetId="70"/>
      <sheetData sheetId="71"/>
      <sheetData sheetId="72">
        <row r="2">
          <cell r="CZ2">
            <v>42452.658423726854</v>
          </cell>
        </row>
      </sheetData>
      <sheetData sheetId="73"/>
      <sheetData sheetId="74"/>
      <sheetData sheetId="75">
        <row r="2">
          <cell r="CZ2">
            <v>42452.658423726854</v>
          </cell>
        </row>
      </sheetData>
      <sheetData sheetId="76"/>
      <sheetData sheetId="77"/>
      <sheetData sheetId="78">
        <row r="2">
          <cell r="CZ2">
            <v>42452.658423726854</v>
          </cell>
        </row>
      </sheetData>
      <sheetData sheetId="79"/>
      <sheetData sheetId="80"/>
      <sheetData sheetId="81">
        <row r="2">
          <cell r="CZ2">
            <v>42452.658423726854</v>
          </cell>
        </row>
      </sheetData>
      <sheetData sheetId="82"/>
      <sheetData sheetId="83"/>
      <sheetData sheetId="84">
        <row r="2">
          <cell r="CZ2">
            <v>42452.658423726854</v>
          </cell>
        </row>
      </sheetData>
      <sheetData sheetId="85"/>
      <sheetData sheetId="86"/>
      <sheetData sheetId="87">
        <row r="2">
          <cell r="CZ2">
            <v>42452.658423726854</v>
          </cell>
        </row>
      </sheetData>
      <sheetData sheetId="88"/>
      <sheetData sheetId="89"/>
      <sheetData sheetId="90">
        <row r="2">
          <cell r="CZ2">
            <v>42452.658423726854</v>
          </cell>
        </row>
      </sheetData>
      <sheetData sheetId="91"/>
      <sheetData sheetId="92"/>
      <sheetData sheetId="93">
        <row r="2">
          <cell r="CZ2">
            <v>42452.658423726854</v>
          </cell>
        </row>
      </sheetData>
      <sheetData sheetId="94"/>
      <sheetData sheetId="95"/>
      <sheetData sheetId="96">
        <row r="2">
          <cell r="CZ2">
            <v>42452.658423726854</v>
          </cell>
        </row>
      </sheetData>
      <sheetData sheetId="97"/>
      <sheetData sheetId="98"/>
      <sheetData sheetId="99">
        <row r="2">
          <cell r="CZ2">
            <v>42452.658423726854</v>
          </cell>
        </row>
      </sheetData>
      <sheetData sheetId="100"/>
      <sheetData sheetId="101"/>
      <sheetData sheetId="102">
        <row r="2">
          <cell r="CZ2">
            <v>42452.658423726854</v>
          </cell>
        </row>
      </sheetData>
      <sheetData sheetId="103"/>
      <sheetData sheetId="104"/>
      <sheetData sheetId="105">
        <row r="2">
          <cell r="CZ2">
            <v>42452.658423726854</v>
          </cell>
        </row>
      </sheetData>
      <sheetData sheetId="106"/>
      <sheetData sheetId="107"/>
      <sheetData sheetId="108">
        <row r="2">
          <cell r="CZ2">
            <v>42452.658423726854</v>
          </cell>
        </row>
      </sheetData>
      <sheetData sheetId="109"/>
      <sheetData sheetId="110"/>
      <sheetData sheetId="111">
        <row r="2">
          <cell r="CZ2">
            <v>42452.658423726854</v>
          </cell>
        </row>
      </sheetData>
      <sheetData sheetId="112"/>
      <sheetData sheetId="113"/>
      <sheetData sheetId="114">
        <row r="2">
          <cell r="CZ2">
            <v>42452.658423726854</v>
          </cell>
        </row>
      </sheetData>
      <sheetData sheetId="115"/>
      <sheetData sheetId="116"/>
      <sheetData sheetId="117">
        <row r="2">
          <cell r="CZ2">
            <v>42452.658423726854</v>
          </cell>
        </row>
      </sheetData>
      <sheetData sheetId="118"/>
      <sheetData sheetId="119"/>
      <sheetData sheetId="120">
        <row r="2">
          <cell r="CZ2">
            <v>42452.658423726854</v>
          </cell>
        </row>
      </sheetData>
      <sheetData sheetId="121"/>
      <sheetData sheetId="122"/>
      <sheetData sheetId="123">
        <row r="2">
          <cell r="CZ2">
            <v>42452.658423726854</v>
          </cell>
        </row>
      </sheetData>
      <sheetData sheetId="124"/>
      <sheetData sheetId="125"/>
      <sheetData sheetId="126">
        <row r="2">
          <cell r="CZ2">
            <v>42452.658423726854</v>
          </cell>
        </row>
      </sheetData>
      <sheetData sheetId="127"/>
      <sheetData sheetId="128"/>
      <sheetData sheetId="129">
        <row r="2">
          <cell r="CZ2">
            <v>42452.658423726854</v>
          </cell>
        </row>
      </sheetData>
      <sheetData sheetId="130"/>
      <sheetData sheetId="131"/>
      <sheetData sheetId="132">
        <row r="2">
          <cell r="CZ2">
            <v>42452.658423726854</v>
          </cell>
        </row>
      </sheetData>
      <sheetData sheetId="133"/>
      <sheetData sheetId="134"/>
      <sheetData sheetId="135">
        <row r="2">
          <cell r="CZ2">
            <v>42452.658423726854</v>
          </cell>
        </row>
      </sheetData>
      <sheetData sheetId="136"/>
      <sheetData sheetId="137"/>
      <sheetData sheetId="138">
        <row r="2">
          <cell r="CZ2">
            <v>42452.658423726854</v>
          </cell>
        </row>
      </sheetData>
      <sheetData sheetId="139"/>
      <sheetData sheetId="140"/>
      <sheetData sheetId="141">
        <row r="2">
          <cell r="CZ2">
            <v>42452.658423726854</v>
          </cell>
        </row>
      </sheetData>
      <sheetData sheetId="142"/>
      <sheetData sheetId="143"/>
      <sheetData sheetId="144">
        <row r="2">
          <cell r="CZ2">
            <v>42452.658423726854</v>
          </cell>
        </row>
      </sheetData>
      <sheetData sheetId="145"/>
      <sheetData sheetId="146"/>
      <sheetData sheetId="147">
        <row r="2">
          <cell r="CZ2">
            <v>42452.658423726854</v>
          </cell>
        </row>
      </sheetData>
      <sheetData sheetId="148"/>
      <sheetData sheetId="149"/>
      <sheetData sheetId="150">
        <row r="2">
          <cell r="CZ2">
            <v>42452.658423726854</v>
          </cell>
        </row>
      </sheetData>
      <sheetData sheetId="151"/>
      <sheetData sheetId="152"/>
      <sheetData sheetId="153">
        <row r="2">
          <cell r="CZ2">
            <v>42452.658423726854</v>
          </cell>
        </row>
      </sheetData>
      <sheetData sheetId="154"/>
      <sheetData sheetId="155"/>
      <sheetData sheetId="156">
        <row r="2">
          <cell r="CZ2">
            <v>42452.658423726854</v>
          </cell>
        </row>
      </sheetData>
      <sheetData sheetId="157"/>
      <sheetData sheetId="158"/>
      <sheetData sheetId="159">
        <row r="2">
          <cell r="CZ2">
            <v>42452.658423726854</v>
          </cell>
        </row>
      </sheetData>
      <sheetData sheetId="160"/>
      <sheetData sheetId="161"/>
      <sheetData sheetId="162">
        <row r="2">
          <cell r="CZ2">
            <v>42452.658423726854</v>
          </cell>
        </row>
      </sheetData>
      <sheetData sheetId="163"/>
      <sheetData sheetId="164"/>
      <sheetData sheetId="165">
        <row r="2">
          <cell r="CZ2">
            <v>42452.658423726854</v>
          </cell>
        </row>
      </sheetData>
      <sheetData sheetId="166"/>
      <sheetData sheetId="167"/>
      <sheetData sheetId="168">
        <row r="2">
          <cell r="CZ2">
            <v>42452.658423726854</v>
          </cell>
        </row>
      </sheetData>
      <sheetData sheetId="169"/>
      <sheetData sheetId="170"/>
      <sheetData sheetId="171">
        <row r="2">
          <cell r="CZ2">
            <v>42452.658423726854</v>
          </cell>
        </row>
      </sheetData>
      <sheetData sheetId="172"/>
      <sheetData sheetId="173"/>
      <sheetData sheetId="174">
        <row r="2">
          <cell r="CZ2">
            <v>42452.658423726854</v>
          </cell>
        </row>
      </sheetData>
      <sheetData sheetId="175"/>
      <sheetData sheetId="176"/>
      <sheetData sheetId="177">
        <row r="2">
          <cell r="CZ2">
            <v>42452.658423726854</v>
          </cell>
        </row>
      </sheetData>
      <sheetData sheetId="178"/>
      <sheetData sheetId="179"/>
      <sheetData sheetId="180">
        <row r="2">
          <cell r="CZ2">
            <v>42452.658423726854</v>
          </cell>
        </row>
      </sheetData>
      <sheetData sheetId="181"/>
      <sheetData sheetId="182"/>
      <sheetData sheetId="183">
        <row r="2">
          <cell r="CZ2">
            <v>42452.658423726854</v>
          </cell>
        </row>
      </sheetData>
      <sheetData sheetId="184"/>
      <sheetData sheetId="185"/>
      <sheetData sheetId="186">
        <row r="2">
          <cell r="CZ2">
            <v>42452.658423726854</v>
          </cell>
        </row>
      </sheetData>
      <sheetData sheetId="187"/>
      <sheetData sheetId="188"/>
      <sheetData sheetId="189">
        <row r="2">
          <cell r="CZ2">
            <v>42452.658423726854</v>
          </cell>
        </row>
      </sheetData>
      <sheetData sheetId="190"/>
      <sheetData sheetId="191"/>
      <sheetData sheetId="192">
        <row r="2">
          <cell r="CZ2">
            <v>42452.658423726854</v>
          </cell>
        </row>
      </sheetData>
      <sheetData sheetId="193"/>
      <sheetData sheetId="194"/>
      <sheetData sheetId="195">
        <row r="2">
          <cell r="CZ2">
            <v>42452.658423726854</v>
          </cell>
        </row>
      </sheetData>
      <sheetData sheetId="196"/>
      <sheetData sheetId="197"/>
      <sheetData sheetId="198">
        <row r="2">
          <cell r="CZ2">
            <v>42452.658423726854</v>
          </cell>
        </row>
      </sheetData>
      <sheetData sheetId="199"/>
      <sheetData sheetId="200"/>
      <sheetData sheetId="201">
        <row r="2">
          <cell r="CZ2">
            <v>42452.658423726854</v>
          </cell>
        </row>
      </sheetData>
      <sheetData sheetId="202"/>
      <sheetData sheetId="203"/>
      <sheetData sheetId="204">
        <row r="2">
          <cell r="CZ2">
            <v>42452.658423726854</v>
          </cell>
        </row>
      </sheetData>
      <sheetData sheetId="205"/>
      <sheetData sheetId="206"/>
      <sheetData sheetId="207">
        <row r="2">
          <cell r="CZ2">
            <v>42452.658423726854</v>
          </cell>
        </row>
      </sheetData>
      <sheetData sheetId="208"/>
      <sheetData sheetId="209"/>
      <sheetData sheetId="210">
        <row r="2">
          <cell r="CZ2">
            <v>42452.658423726854</v>
          </cell>
        </row>
      </sheetData>
      <sheetData sheetId="211"/>
      <sheetData sheetId="212"/>
      <sheetData sheetId="213">
        <row r="2">
          <cell r="CZ2">
            <v>42452.658423726854</v>
          </cell>
        </row>
      </sheetData>
      <sheetData sheetId="214"/>
      <sheetData sheetId="215"/>
      <sheetData sheetId="216">
        <row r="2">
          <cell r="CZ2">
            <v>42452.658423726854</v>
          </cell>
        </row>
      </sheetData>
      <sheetData sheetId="217"/>
      <sheetData sheetId="218"/>
      <sheetData sheetId="219">
        <row r="2">
          <cell r="CZ2">
            <v>42452.658423726854</v>
          </cell>
        </row>
      </sheetData>
      <sheetData sheetId="220"/>
      <sheetData sheetId="221"/>
      <sheetData sheetId="222">
        <row r="2">
          <cell r="CZ2">
            <v>42452.658423726854</v>
          </cell>
        </row>
      </sheetData>
      <sheetData sheetId="223"/>
      <sheetData sheetId="224"/>
      <sheetData sheetId="225">
        <row r="2">
          <cell r="CZ2">
            <v>42452.658423726854</v>
          </cell>
        </row>
      </sheetData>
      <sheetData sheetId="226"/>
      <sheetData sheetId="227"/>
      <sheetData sheetId="228">
        <row r="2">
          <cell r="CZ2">
            <v>42452.658423726854</v>
          </cell>
        </row>
      </sheetData>
      <sheetData sheetId="229"/>
      <sheetData sheetId="230"/>
      <sheetData sheetId="231">
        <row r="2">
          <cell r="CZ2">
            <v>42452.658423726854</v>
          </cell>
        </row>
      </sheetData>
      <sheetData sheetId="232"/>
      <sheetData sheetId="233"/>
      <sheetData sheetId="234">
        <row r="2">
          <cell r="CZ2">
            <v>42452.658423726854</v>
          </cell>
        </row>
      </sheetData>
      <sheetData sheetId="235"/>
      <sheetData sheetId="236"/>
      <sheetData sheetId="237">
        <row r="2">
          <cell r="CZ2">
            <v>42452.658423726854</v>
          </cell>
        </row>
      </sheetData>
      <sheetData sheetId="238"/>
      <sheetData sheetId="239"/>
      <sheetData sheetId="240">
        <row r="2">
          <cell r="CZ2">
            <v>42452.658423726854</v>
          </cell>
        </row>
      </sheetData>
      <sheetData sheetId="241"/>
      <sheetData sheetId="242"/>
      <sheetData sheetId="243">
        <row r="2">
          <cell r="CZ2">
            <v>42452.658423726854</v>
          </cell>
        </row>
      </sheetData>
      <sheetData sheetId="244"/>
      <sheetData sheetId="245"/>
      <sheetData sheetId="246">
        <row r="2">
          <cell r="CZ2">
            <v>42452.658423726854</v>
          </cell>
        </row>
      </sheetData>
      <sheetData sheetId="247"/>
      <sheetData sheetId="248"/>
      <sheetData sheetId="249">
        <row r="2">
          <cell r="CZ2">
            <v>42452.658423726854</v>
          </cell>
        </row>
      </sheetData>
      <sheetData sheetId="250"/>
      <sheetData sheetId="251"/>
      <sheetData sheetId="252">
        <row r="2">
          <cell r="CZ2">
            <v>42452.658423726854</v>
          </cell>
        </row>
      </sheetData>
      <sheetData sheetId="253"/>
      <sheetData sheetId="254"/>
      <sheetData sheetId="255">
        <row r="2">
          <cell r="CZ2">
            <v>42452.658423726854</v>
          </cell>
        </row>
      </sheetData>
      <sheetData sheetId="256"/>
      <sheetData sheetId="257"/>
      <sheetData sheetId="258">
        <row r="2">
          <cell r="CZ2">
            <v>42452.658423726854</v>
          </cell>
        </row>
      </sheetData>
      <sheetData sheetId="259"/>
      <sheetData sheetId="260"/>
      <sheetData sheetId="261">
        <row r="2">
          <cell r="CZ2">
            <v>42452.658423726854</v>
          </cell>
        </row>
      </sheetData>
      <sheetData sheetId="262"/>
      <sheetData sheetId="263"/>
      <sheetData sheetId="264">
        <row r="2">
          <cell r="CZ2">
            <v>42452.658423726854</v>
          </cell>
        </row>
      </sheetData>
      <sheetData sheetId="265"/>
      <sheetData sheetId="266"/>
      <sheetData sheetId="267">
        <row r="2">
          <cell r="CZ2">
            <v>42452.658423726854</v>
          </cell>
        </row>
      </sheetData>
      <sheetData sheetId="268"/>
      <sheetData sheetId="269"/>
      <sheetData sheetId="270">
        <row r="2">
          <cell r="CZ2">
            <v>42452.658423726854</v>
          </cell>
        </row>
      </sheetData>
      <sheetData sheetId="271"/>
      <sheetData sheetId="272"/>
      <sheetData sheetId="273">
        <row r="2">
          <cell r="CZ2">
            <v>42452.658423726854</v>
          </cell>
        </row>
      </sheetData>
      <sheetData sheetId="274"/>
      <sheetData sheetId="275"/>
      <sheetData sheetId="276">
        <row r="2">
          <cell r="CZ2">
            <v>42452.658423726854</v>
          </cell>
        </row>
      </sheetData>
      <sheetData sheetId="277"/>
      <sheetData sheetId="278"/>
      <sheetData sheetId="279">
        <row r="2">
          <cell r="CZ2">
            <v>42452.658423726854</v>
          </cell>
        </row>
      </sheetData>
      <sheetData sheetId="280"/>
      <sheetData sheetId="281"/>
      <sheetData sheetId="282">
        <row r="2">
          <cell r="CZ2">
            <v>42452.658423726854</v>
          </cell>
        </row>
      </sheetData>
      <sheetData sheetId="283"/>
      <sheetData sheetId="284"/>
      <sheetData sheetId="285">
        <row r="2">
          <cell r="CZ2">
            <v>42452.658423726854</v>
          </cell>
        </row>
      </sheetData>
      <sheetData sheetId="286"/>
      <sheetData sheetId="287"/>
      <sheetData sheetId="288">
        <row r="2">
          <cell r="CZ2">
            <v>42452.658423726854</v>
          </cell>
        </row>
      </sheetData>
      <sheetData sheetId="289"/>
      <sheetData sheetId="290"/>
      <sheetData sheetId="291">
        <row r="2">
          <cell r="CZ2">
            <v>42452.658423726854</v>
          </cell>
        </row>
      </sheetData>
      <sheetData sheetId="292"/>
      <sheetData sheetId="293"/>
      <sheetData sheetId="294">
        <row r="2">
          <cell r="CZ2">
            <v>42452.658423726854</v>
          </cell>
        </row>
      </sheetData>
      <sheetData sheetId="295"/>
      <sheetData sheetId="296"/>
      <sheetData sheetId="297">
        <row r="2">
          <cell r="CZ2">
            <v>42452.658423726854</v>
          </cell>
        </row>
      </sheetData>
      <sheetData sheetId="298"/>
      <sheetData sheetId="299"/>
      <sheetData sheetId="300">
        <row r="2">
          <cell r="CZ2">
            <v>42452.658423726854</v>
          </cell>
        </row>
      </sheetData>
      <sheetData sheetId="301"/>
      <sheetData sheetId="302"/>
      <sheetData sheetId="303">
        <row r="2">
          <cell r="CZ2">
            <v>42452.658423726854</v>
          </cell>
        </row>
      </sheetData>
      <sheetData sheetId="304"/>
      <sheetData sheetId="305"/>
      <sheetData sheetId="306">
        <row r="2">
          <cell r="CZ2">
            <v>42452.658423726854</v>
          </cell>
        </row>
      </sheetData>
      <sheetData sheetId="307"/>
      <sheetData sheetId="308"/>
      <sheetData sheetId="309">
        <row r="2">
          <cell r="CZ2">
            <v>42452.658423726854</v>
          </cell>
        </row>
      </sheetData>
      <sheetData sheetId="310"/>
      <sheetData sheetId="311"/>
      <sheetData sheetId="312">
        <row r="2">
          <cell r="CZ2">
            <v>42452.658423726854</v>
          </cell>
        </row>
      </sheetData>
      <sheetData sheetId="313"/>
      <sheetData sheetId="314"/>
      <sheetData sheetId="315">
        <row r="2">
          <cell r="CZ2">
            <v>42452.658423726854</v>
          </cell>
        </row>
      </sheetData>
      <sheetData sheetId="316"/>
      <sheetData sheetId="317"/>
      <sheetData sheetId="318">
        <row r="2">
          <cell r="CZ2">
            <v>42452.658423726854</v>
          </cell>
        </row>
      </sheetData>
      <sheetData sheetId="319"/>
      <sheetData sheetId="320"/>
      <sheetData sheetId="321">
        <row r="2">
          <cell r="CZ2">
            <v>42452.658423726854</v>
          </cell>
        </row>
      </sheetData>
      <sheetData sheetId="322"/>
      <sheetData sheetId="323"/>
      <sheetData sheetId="324">
        <row r="2">
          <cell r="CZ2">
            <v>42452.658423726854</v>
          </cell>
        </row>
      </sheetData>
      <sheetData sheetId="325"/>
      <sheetData sheetId="326"/>
      <sheetData sheetId="327">
        <row r="2">
          <cell r="CZ2">
            <v>42452.658423726854</v>
          </cell>
        </row>
      </sheetData>
      <sheetData sheetId="328"/>
      <sheetData sheetId="329"/>
      <sheetData sheetId="330">
        <row r="2">
          <cell r="CZ2">
            <v>42452.658423726854</v>
          </cell>
        </row>
      </sheetData>
      <sheetData sheetId="331"/>
      <sheetData sheetId="332"/>
      <sheetData sheetId="333">
        <row r="2">
          <cell r="CZ2">
            <v>42452.658423726854</v>
          </cell>
        </row>
      </sheetData>
      <sheetData sheetId="334"/>
      <sheetData sheetId="335"/>
      <sheetData sheetId="336">
        <row r="2">
          <cell r="CZ2">
            <v>42452.658423726854</v>
          </cell>
        </row>
      </sheetData>
      <sheetData sheetId="337"/>
      <sheetData sheetId="338"/>
      <sheetData sheetId="339">
        <row r="2">
          <cell r="CZ2">
            <v>42452.658423726854</v>
          </cell>
        </row>
      </sheetData>
      <sheetData sheetId="340"/>
      <sheetData sheetId="341"/>
      <sheetData sheetId="342">
        <row r="2">
          <cell r="CZ2">
            <v>42452.658423726854</v>
          </cell>
        </row>
      </sheetData>
      <sheetData sheetId="343"/>
      <sheetData sheetId="344"/>
      <sheetData sheetId="345">
        <row r="2">
          <cell r="CZ2">
            <v>42452.658423726854</v>
          </cell>
        </row>
      </sheetData>
      <sheetData sheetId="346"/>
      <sheetData sheetId="347"/>
      <sheetData sheetId="348">
        <row r="2">
          <cell r="CZ2">
            <v>42452.658423726854</v>
          </cell>
        </row>
      </sheetData>
      <sheetData sheetId="349"/>
      <sheetData sheetId="350"/>
      <sheetData sheetId="351">
        <row r="2">
          <cell r="CZ2">
            <v>42452.658423726854</v>
          </cell>
        </row>
      </sheetData>
      <sheetData sheetId="352"/>
      <sheetData sheetId="353"/>
      <sheetData sheetId="354">
        <row r="2">
          <cell r="CZ2">
            <v>42452.658423726854</v>
          </cell>
        </row>
      </sheetData>
      <sheetData sheetId="355"/>
      <sheetData sheetId="356"/>
      <sheetData sheetId="357">
        <row r="2">
          <cell r="CZ2">
            <v>42452.658423726854</v>
          </cell>
        </row>
      </sheetData>
      <sheetData sheetId="358"/>
      <sheetData sheetId="359"/>
      <sheetData sheetId="360">
        <row r="2">
          <cell r="CZ2">
            <v>42452.658423726854</v>
          </cell>
        </row>
      </sheetData>
      <sheetData sheetId="361"/>
      <sheetData sheetId="362"/>
      <sheetData sheetId="363">
        <row r="2">
          <cell r="CZ2">
            <v>42452.658423726854</v>
          </cell>
        </row>
      </sheetData>
      <sheetData sheetId="364"/>
      <sheetData sheetId="365"/>
      <sheetData sheetId="366">
        <row r="2">
          <cell r="CZ2">
            <v>42452.658423726854</v>
          </cell>
        </row>
      </sheetData>
      <sheetData sheetId="367"/>
      <sheetData sheetId="368"/>
      <sheetData sheetId="369">
        <row r="2">
          <cell r="CZ2">
            <v>42452.658423726854</v>
          </cell>
        </row>
      </sheetData>
      <sheetData sheetId="370"/>
      <sheetData sheetId="371"/>
      <sheetData sheetId="372">
        <row r="2">
          <cell r="CZ2">
            <v>42452.658423726854</v>
          </cell>
        </row>
      </sheetData>
      <sheetData sheetId="373"/>
      <sheetData sheetId="374"/>
      <sheetData sheetId="375">
        <row r="2">
          <cell r="CZ2">
            <v>42452.658423726854</v>
          </cell>
        </row>
      </sheetData>
      <sheetData sheetId="376"/>
      <sheetData sheetId="377"/>
      <sheetData sheetId="378">
        <row r="2">
          <cell r="CZ2">
            <v>42452.658423726854</v>
          </cell>
        </row>
      </sheetData>
      <sheetData sheetId="379"/>
      <sheetData sheetId="380"/>
      <sheetData sheetId="381">
        <row r="2">
          <cell r="CZ2">
            <v>42452.658423726854</v>
          </cell>
        </row>
      </sheetData>
      <sheetData sheetId="382"/>
      <sheetData sheetId="383"/>
      <sheetData sheetId="384">
        <row r="2">
          <cell r="CZ2">
            <v>42452.658423726854</v>
          </cell>
        </row>
      </sheetData>
      <sheetData sheetId="385"/>
      <sheetData sheetId="386"/>
      <sheetData sheetId="387">
        <row r="2">
          <cell r="CZ2">
            <v>42452.658423726854</v>
          </cell>
        </row>
      </sheetData>
      <sheetData sheetId="388"/>
      <sheetData sheetId="389"/>
      <sheetData sheetId="390">
        <row r="2">
          <cell r="CZ2">
            <v>42452.658423726854</v>
          </cell>
        </row>
      </sheetData>
      <sheetData sheetId="391"/>
      <sheetData sheetId="392"/>
      <sheetData sheetId="393">
        <row r="2">
          <cell r="CZ2">
            <v>42452.658423726854</v>
          </cell>
        </row>
      </sheetData>
      <sheetData sheetId="394"/>
      <sheetData sheetId="395"/>
      <sheetData sheetId="396">
        <row r="2">
          <cell r="CZ2">
            <v>42452.658423726854</v>
          </cell>
        </row>
      </sheetData>
      <sheetData sheetId="397"/>
      <sheetData sheetId="398"/>
      <sheetData sheetId="399">
        <row r="2">
          <cell r="CZ2">
            <v>42452.658423726854</v>
          </cell>
        </row>
      </sheetData>
      <sheetData sheetId="400"/>
      <sheetData sheetId="401"/>
      <sheetData sheetId="402">
        <row r="2">
          <cell r="CZ2">
            <v>42452.658423726854</v>
          </cell>
        </row>
      </sheetData>
      <sheetData sheetId="403"/>
      <sheetData sheetId="404"/>
      <sheetData sheetId="405">
        <row r="2">
          <cell r="CZ2">
            <v>42452.658423726854</v>
          </cell>
        </row>
      </sheetData>
      <sheetData sheetId="406"/>
      <sheetData sheetId="407"/>
      <sheetData sheetId="408">
        <row r="2">
          <cell r="CZ2">
            <v>42452.658423726854</v>
          </cell>
        </row>
      </sheetData>
      <sheetData sheetId="409"/>
      <sheetData sheetId="410"/>
      <sheetData sheetId="411">
        <row r="2">
          <cell r="CZ2">
            <v>42452.658423726854</v>
          </cell>
        </row>
      </sheetData>
      <sheetData sheetId="412"/>
      <sheetData sheetId="413"/>
      <sheetData sheetId="414">
        <row r="2">
          <cell r="CZ2">
            <v>42452.658423726854</v>
          </cell>
        </row>
      </sheetData>
      <sheetData sheetId="415"/>
      <sheetData sheetId="416"/>
      <sheetData sheetId="417">
        <row r="2">
          <cell r="CZ2">
            <v>42452.658423726854</v>
          </cell>
        </row>
      </sheetData>
      <sheetData sheetId="418"/>
      <sheetData sheetId="419"/>
      <sheetData sheetId="420">
        <row r="2">
          <cell r="CZ2">
            <v>42452.658423726854</v>
          </cell>
        </row>
      </sheetData>
      <sheetData sheetId="421"/>
      <sheetData sheetId="422"/>
      <sheetData sheetId="423">
        <row r="2">
          <cell r="CZ2">
            <v>42452.658423726854</v>
          </cell>
        </row>
      </sheetData>
      <sheetData sheetId="424"/>
      <sheetData sheetId="425"/>
      <sheetData sheetId="426">
        <row r="2">
          <cell r="CZ2">
            <v>42452.658423726854</v>
          </cell>
        </row>
      </sheetData>
      <sheetData sheetId="427"/>
      <sheetData sheetId="428"/>
      <sheetData sheetId="429">
        <row r="2">
          <cell r="CZ2">
            <v>42452.658423726854</v>
          </cell>
        </row>
      </sheetData>
      <sheetData sheetId="430"/>
      <sheetData sheetId="431"/>
      <sheetData sheetId="432">
        <row r="2">
          <cell r="CZ2">
            <v>42452.658423726854</v>
          </cell>
        </row>
      </sheetData>
      <sheetData sheetId="433"/>
      <sheetData sheetId="434"/>
      <sheetData sheetId="435">
        <row r="2">
          <cell r="CZ2">
            <v>42452.658423726854</v>
          </cell>
        </row>
      </sheetData>
      <sheetData sheetId="436"/>
      <sheetData sheetId="437"/>
      <sheetData sheetId="438">
        <row r="2">
          <cell r="CZ2">
            <v>42452.658423726854</v>
          </cell>
        </row>
      </sheetData>
      <sheetData sheetId="439"/>
      <sheetData sheetId="440"/>
      <sheetData sheetId="441">
        <row r="2">
          <cell r="CZ2">
            <v>42452.658423726854</v>
          </cell>
        </row>
      </sheetData>
      <sheetData sheetId="442"/>
      <sheetData sheetId="443"/>
      <sheetData sheetId="444">
        <row r="2">
          <cell r="CZ2">
            <v>42452.658423726854</v>
          </cell>
        </row>
      </sheetData>
      <sheetData sheetId="445"/>
      <sheetData sheetId="446"/>
      <sheetData sheetId="447">
        <row r="2">
          <cell r="CZ2">
            <v>42452.658423726854</v>
          </cell>
        </row>
      </sheetData>
      <sheetData sheetId="448"/>
      <sheetData sheetId="449"/>
      <sheetData sheetId="450">
        <row r="2">
          <cell r="CZ2">
            <v>42452.658423726854</v>
          </cell>
        </row>
      </sheetData>
      <sheetData sheetId="451"/>
      <sheetData sheetId="452"/>
      <sheetData sheetId="453">
        <row r="2">
          <cell r="CZ2">
            <v>42452.658423726854</v>
          </cell>
        </row>
      </sheetData>
      <sheetData sheetId="454"/>
      <sheetData sheetId="455"/>
      <sheetData sheetId="456">
        <row r="2">
          <cell r="CZ2">
            <v>42452.658423726854</v>
          </cell>
        </row>
      </sheetData>
      <sheetData sheetId="457"/>
      <sheetData sheetId="458"/>
      <sheetData sheetId="459">
        <row r="2">
          <cell r="CZ2">
            <v>42452.658423726854</v>
          </cell>
        </row>
      </sheetData>
      <sheetData sheetId="460"/>
      <sheetData sheetId="461"/>
      <sheetData sheetId="462">
        <row r="2">
          <cell r="CZ2">
            <v>42452.658423726854</v>
          </cell>
        </row>
      </sheetData>
      <sheetData sheetId="463"/>
      <sheetData sheetId="464"/>
      <sheetData sheetId="465">
        <row r="2">
          <cell r="CZ2">
            <v>42452.658423726854</v>
          </cell>
        </row>
      </sheetData>
      <sheetData sheetId="466"/>
      <sheetData sheetId="467"/>
      <sheetData sheetId="468">
        <row r="2">
          <cell r="CZ2">
            <v>42452.658423726854</v>
          </cell>
        </row>
      </sheetData>
      <sheetData sheetId="469"/>
      <sheetData sheetId="470"/>
      <sheetData sheetId="471">
        <row r="2">
          <cell r="CZ2">
            <v>42452.658423726854</v>
          </cell>
        </row>
      </sheetData>
      <sheetData sheetId="472"/>
      <sheetData sheetId="473"/>
      <sheetData sheetId="474">
        <row r="2">
          <cell r="CZ2">
            <v>42452.658423726854</v>
          </cell>
        </row>
      </sheetData>
      <sheetData sheetId="475"/>
      <sheetData sheetId="476"/>
      <sheetData sheetId="477">
        <row r="2">
          <cell r="CZ2">
            <v>42452.658423726854</v>
          </cell>
        </row>
      </sheetData>
      <sheetData sheetId="478"/>
      <sheetData sheetId="479"/>
      <sheetData sheetId="480">
        <row r="2">
          <cell r="CZ2">
            <v>42452.658423726854</v>
          </cell>
        </row>
      </sheetData>
      <sheetData sheetId="481"/>
      <sheetData sheetId="482"/>
      <sheetData sheetId="483">
        <row r="2">
          <cell r="CZ2">
            <v>42452.658423726854</v>
          </cell>
        </row>
      </sheetData>
      <sheetData sheetId="484"/>
      <sheetData sheetId="485"/>
      <sheetData sheetId="486">
        <row r="2">
          <cell r="CZ2">
            <v>42452.658423726854</v>
          </cell>
        </row>
      </sheetData>
      <sheetData sheetId="487"/>
      <sheetData sheetId="488"/>
      <sheetData sheetId="489">
        <row r="2">
          <cell r="CZ2">
            <v>42452.658423726854</v>
          </cell>
        </row>
      </sheetData>
      <sheetData sheetId="490"/>
      <sheetData sheetId="491"/>
      <sheetData sheetId="492">
        <row r="2">
          <cell r="CZ2">
            <v>42452.658423726854</v>
          </cell>
        </row>
      </sheetData>
      <sheetData sheetId="493"/>
      <sheetData sheetId="494"/>
      <sheetData sheetId="495">
        <row r="2">
          <cell r="CZ2">
            <v>42452.658423726854</v>
          </cell>
        </row>
      </sheetData>
      <sheetData sheetId="496"/>
      <sheetData sheetId="497"/>
      <sheetData sheetId="498">
        <row r="2">
          <cell r="CZ2">
            <v>42452.658423726854</v>
          </cell>
        </row>
      </sheetData>
      <sheetData sheetId="499"/>
      <sheetData sheetId="500"/>
      <sheetData sheetId="501">
        <row r="2">
          <cell r="CZ2">
            <v>42452.658423726854</v>
          </cell>
        </row>
      </sheetData>
      <sheetData sheetId="502"/>
      <sheetData sheetId="503"/>
      <sheetData sheetId="504">
        <row r="2">
          <cell r="CZ2">
            <v>42452.658423726854</v>
          </cell>
        </row>
      </sheetData>
      <sheetData sheetId="505"/>
      <sheetData sheetId="506"/>
      <sheetData sheetId="507">
        <row r="2">
          <cell r="CZ2">
            <v>42452.658423726854</v>
          </cell>
        </row>
      </sheetData>
      <sheetData sheetId="508"/>
      <sheetData sheetId="509"/>
      <sheetData sheetId="510">
        <row r="2">
          <cell r="CZ2">
            <v>42452.658423726854</v>
          </cell>
        </row>
      </sheetData>
      <sheetData sheetId="511"/>
      <sheetData sheetId="512"/>
      <sheetData sheetId="513">
        <row r="2">
          <cell r="CZ2">
            <v>42452.658423726854</v>
          </cell>
        </row>
      </sheetData>
      <sheetData sheetId="514"/>
      <sheetData sheetId="515"/>
      <sheetData sheetId="516">
        <row r="2">
          <cell r="CZ2">
            <v>42452.658423726854</v>
          </cell>
        </row>
      </sheetData>
      <sheetData sheetId="517"/>
      <sheetData sheetId="518"/>
      <sheetData sheetId="519">
        <row r="2">
          <cell r="CZ2">
            <v>42452.658423726854</v>
          </cell>
        </row>
      </sheetData>
      <sheetData sheetId="520"/>
      <sheetData sheetId="521"/>
      <sheetData sheetId="522">
        <row r="2">
          <cell r="CZ2">
            <v>42452.658423726854</v>
          </cell>
        </row>
      </sheetData>
      <sheetData sheetId="523"/>
      <sheetData sheetId="524"/>
      <sheetData sheetId="525">
        <row r="2">
          <cell r="CZ2">
            <v>42452.658423726854</v>
          </cell>
        </row>
      </sheetData>
      <sheetData sheetId="526"/>
      <sheetData sheetId="527"/>
      <sheetData sheetId="528">
        <row r="2">
          <cell r="CZ2">
            <v>42452.658423726854</v>
          </cell>
        </row>
      </sheetData>
      <sheetData sheetId="529"/>
      <sheetData sheetId="530"/>
      <sheetData sheetId="531">
        <row r="2">
          <cell r="CZ2">
            <v>42452.658423726854</v>
          </cell>
        </row>
      </sheetData>
      <sheetData sheetId="532"/>
      <sheetData sheetId="533"/>
      <sheetData sheetId="534">
        <row r="2">
          <cell r="CZ2">
            <v>42452.658423726854</v>
          </cell>
        </row>
      </sheetData>
      <sheetData sheetId="535"/>
      <sheetData sheetId="536"/>
      <sheetData sheetId="537">
        <row r="2">
          <cell r="CZ2">
            <v>42452.658423726854</v>
          </cell>
        </row>
      </sheetData>
      <sheetData sheetId="538"/>
      <sheetData sheetId="539"/>
      <sheetData sheetId="540">
        <row r="2">
          <cell r="CZ2">
            <v>42452.658423726854</v>
          </cell>
        </row>
      </sheetData>
      <sheetData sheetId="541"/>
      <sheetData sheetId="542"/>
      <sheetData sheetId="543">
        <row r="2">
          <cell r="CZ2">
            <v>42452.658423726854</v>
          </cell>
        </row>
      </sheetData>
      <sheetData sheetId="544"/>
      <sheetData sheetId="545"/>
      <sheetData sheetId="546">
        <row r="2">
          <cell r="CZ2">
            <v>42452.658423726854</v>
          </cell>
        </row>
      </sheetData>
      <sheetData sheetId="547"/>
      <sheetData sheetId="548"/>
      <sheetData sheetId="549">
        <row r="2">
          <cell r="CZ2">
            <v>42452.658423726854</v>
          </cell>
        </row>
      </sheetData>
      <sheetData sheetId="550"/>
      <sheetData sheetId="551"/>
      <sheetData sheetId="552">
        <row r="2">
          <cell r="CZ2">
            <v>42452.658423726854</v>
          </cell>
        </row>
      </sheetData>
      <sheetData sheetId="553"/>
      <sheetData sheetId="554"/>
      <sheetData sheetId="555">
        <row r="2">
          <cell r="CZ2">
            <v>42452.658423726854</v>
          </cell>
        </row>
      </sheetData>
      <sheetData sheetId="556"/>
      <sheetData sheetId="557"/>
      <sheetData sheetId="558">
        <row r="2">
          <cell r="CZ2">
            <v>42452.658423726854</v>
          </cell>
        </row>
      </sheetData>
      <sheetData sheetId="559"/>
      <sheetData sheetId="560"/>
      <sheetData sheetId="561">
        <row r="2">
          <cell r="CZ2">
            <v>42452.658423726854</v>
          </cell>
        </row>
      </sheetData>
      <sheetData sheetId="562"/>
      <sheetData sheetId="563"/>
      <sheetData sheetId="564">
        <row r="2">
          <cell r="CZ2">
            <v>42452.658423726854</v>
          </cell>
        </row>
      </sheetData>
      <sheetData sheetId="565"/>
      <sheetData sheetId="566"/>
      <sheetData sheetId="567">
        <row r="2">
          <cell r="CZ2">
            <v>42452.658423726854</v>
          </cell>
        </row>
      </sheetData>
      <sheetData sheetId="568"/>
      <sheetData sheetId="569"/>
      <sheetData sheetId="570">
        <row r="2">
          <cell r="CZ2">
            <v>42452.658423726854</v>
          </cell>
        </row>
      </sheetData>
      <sheetData sheetId="571"/>
      <sheetData sheetId="572"/>
      <sheetData sheetId="573">
        <row r="2">
          <cell r="CZ2">
            <v>42452.658423726854</v>
          </cell>
        </row>
      </sheetData>
      <sheetData sheetId="574"/>
      <sheetData sheetId="575"/>
      <sheetData sheetId="576">
        <row r="2">
          <cell r="CZ2">
            <v>42452.658423726854</v>
          </cell>
        </row>
      </sheetData>
      <sheetData sheetId="577"/>
      <sheetData sheetId="578"/>
      <sheetData sheetId="579">
        <row r="2">
          <cell r="CZ2">
            <v>42452.658423726854</v>
          </cell>
        </row>
      </sheetData>
      <sheetData sheetId="580"/>
      <sheetData sheetId="581"/>
      <sheetData sheetId="582">
        <row r="2">
          <cell r="CZ2">
            <v>42452.658423726854</v>
          </cell>
        </row>
      </sheetData>
      <sheetData sheetId="583"/>
      <sheetData sheetId="584"/>
      <sheetData sheetId="585">
        <row r="2">
          <cell r="CZ2">
            <v>42452.658423726854</v>
          </cell>
        </row>
      </sheetData>
      <sheetData sheetId="586"/>
      <sheetData sheetId="587"/>
      <sheetData sheetId="588">
        <row r="2">
          <cell r="CZ2">
            <v>42452.658423726854</v>
          </cell>
        </row>
      </sheetData>
      <sheetData sheetId="589"/>
      <sheetData sheetId="590"/>
      <sheetData sheetId="591">
        <row r="2">
          <cell r="CZ2">
            <v>42452.658423726854</v>
          </cell>
        </row>
      </sheetData>
      <sheetData sheetId="592"/>
      <sheetData sheetId="593"/>
      <sheetData sheetId="594">
        <row r="2">
          <cell r="CZ2">
            <v>42452.658423726854</v>
          </cell>
        </row>
      </sheetData>
      <sheetData sheetId="595"/>
      <sheetData sheetId="596"/>
      <sheetData sheetId="597">
        <row r="2">
          <cell r="CZ2">
            <v>42452.658423726854</v>
          </cell>
        </row>
      </sheetData>
      <sheetData sheetId="598"/>
      <sheetData sheetId="599"/>
      <sheetData sheetId="600">
        <row r="2">
          <cell r="CZ2">
            <v>42452.658423726854</v>
          </cell>
        </row>
      </sheetData>
      <sheetData sheetId="601"/>
      <sheetData sheetId="602"/>
      <sheetData sheetId="603">
        <row r="2">
          <cell r="CZ2">
            <v>42452.658423726854</v>
          </cell>
        </row>
      </sheetData>
      <sheetData sheetId="604"/>
      <sheetData sheetId="605"/>
      <sheetData sheetId="606">
        <row r="2">
          <cell r="CZ2">
            <v>42452.658423726854</v>
          </cell>
        </row>
      </sheetData>
      <sheetData sheetId="607"/>
      <sheetData sheetId="608"/>
      <sheetData sheetId="609">
        <row r="2">
          <cell r="CZ2">
            <v>42452.658423726854</v>
          </cell>
        </row>
      </sheetData>
      <sheetData sheetId="610"/>
      <sheetData sheetId="611"/>
      <sheetData sheetId="612">
        <row r="2">
          <cell r="CZ2">
            <v>42452.658423726854</v>
          </cell>
        </row>
      </sheetData>
      <sheetData sheetId="613"/>
      <sheetData sheetId="614"/>
      <sheetData sheetId="615">
        <row r="2">
          <cell r="CZ2">
            <v>42452.658423726854</v>
          </cell>
        </row>
      </sheetData>
      <sheetData sheetId="616"/>
      <sheetData sheetId="617"/>
      <sheetData sheetId="618">
        <row r="2">
          <cell r="CZ2">
            <v>42452.658423726854</v>
          </cell>
        </row>
      </sheetData>
      <sheetData sheetId="619"/>
      <sheetData sheetId="620"/>
      <sheetData sheetId="621">
        <row r="2">
          <cell r="CZ2">
            <v>42452.658423726854</v>
          </cell>
        </row>
      </sheetData>
      <sheetData sheetId="622"/>
      <sheetData sheetId="623"/>
      <sheetData sheetId="624">
        <row r="2">
          <cell r="CZ2">
            <v>42452.658423726854</v>
          </cell>
        </row>
      </sheetData>
      <sheetData sheetId="625"/>
      <sheetData sheetId="626"/>
      <sheetData sheetId="627">
        <row r="2">
          <cell r="CZ2">
            <v>42452.658423726854</v>
          </cell>
        </row>
      </sheetData>
      <sheetData sheetId="628"/>
      <sheetData sheetId="629"/>
      <sheetData sheetId="630">
        <row r="2">
          <cell r="CZ2">
            <v>42452.658423726854</v>
          </cell>
        </row>
      </sheetData>
      <sheetData sheetId="631"/>
      <sheetData sheetId="632"/>
      <sheetData sheetId="633">
        <row r="2">
          <cell r="CZ2">
            <v>42452.658423726854</v>
          </cell>
        </row>
      </sheetData>
      <sheetData sheetId="634"/>
      <sheetData sheetId="635"/>
      <sheetData sheetId="636">
        <row r="2">
          <cell r="CZ2">
            <v>42452.658423726854</v>
          </cell>
        </row>
      </sheetData>
      <sheetData sheetId="637"/>
      <sheetData sheetId="638"/>
      <sheetData sheetId="639">
        <row r="2">
          <cell r="CZ2">
            <v>42452.658423726854</v>
          </cell>
        </row>
      </sheetData>
      <sheetData sheetId="640"/>
      <sheetData sheetId="641"/>
      <sheetData sheetId="642">
        <row r="2">
          <cell r="CZ2">
            <v>42452.658423726854</v>
          </cell>
        </row>
      </sheetData>
      <sheetData sheetId="643"/>
      <sheetData sheetId="644"/>
      <sheetData sheetId="645">
        <row r="2">
          <cell r="CZ2">
            <v>42452.658423726854</v>
          </cell>
        </row>
      </sheetData>
      <sheetData sheetId="646"/>
      <sheetData sheetId="647"/>
      <sheetData sheetId="648">
        <row r="2">
          <cell r="CZ2">
            <v>42452.658423726854</v>
          </cell>
        </row>
      </sheetData>
      <sheetData sheetId="649"/>
      <sheetData sheetId="650"/>
      <sheetData sheetId="651">
        <row r="2">
          <cell r="CZ2">
            <v>42452.658423726854</v>
          </cell>
        </row>
      </sheetData>
      <sheetData sheetId="652"/>
      <sheetData sheetId="653"/>
      <sheetData sheetId="654">
        <row r="2">
          <cell r="CZ2">
            <v>42452.658423726854</v>
          </cell>
        </row>
      </sheetData>
      <sheetData sheetId="655"/>
      <sheetData sheetId="656"/>
      <sheetData sheetId="657">
        <row r="2">
          <cell r="CZ2">
            <v>42452.658423726854</v>
          </cell>
        </row>
      </sheetData>
      <sheetData sheetId="658"/>
      <sheetData sheetId="659"/>
      <sheetData sheetId="660">
        <row r="2">
          <cell r="CZ2">
            <v>42452.658423726854</v>
          </cell>
        </row>
      </sheetData>
      <sheetData sheetId="661"/>
      <sheetData sheetId="662"/>
      <sheetData sheetId="663">
        <row r="2">
          <cell r="CZ2">
            <v>42452.658423726854</v>
          </cell>
        </row>
      </sheetData>
      <sheetData sheetId="664"/>
      <sheetData sheetId="665"/>
      <sheetData sheetId="666">
        <row r="2">
          <cell r="CZ2">
            <v>42452.658423726854</v>
          </cell>
        </row>
      </sheetData>
      <sheetData sheetId="667"/>
      <sheetData sheetId="668"/>
      <sheetData sheetId="669">
        <row r="2">
          <cell r="CZ2">
            <v>42452.658423726854</v>
          </cell>
        </row>
      </sheetData>
      <sheetData sheetId="670"/>
      <sheetData sheetId="671"/>
      <sheetData sheetId="672">
        <row r="2">
          <cell r="CZ2">
            <v>42452.658423726854</v>
          </cell>
        </row>
      </sheetData>
      <sheetData sheetId="673"/>
      <sheetData sheetId="674"/>
      <sheetData sheetId="675">
        <row r="2">
          <cell r="CZ2">
            <v>42452.658423726854</v>
          </cell>
        </row>
      </sheetData>
      <sheetData sheetId="676"/>
      <sheetData sheetId="677"/>
      <sheetData sheetId="678">
        <row r="2">
          <cell r="CZ2">
            <v>42452.658423726854</v>
          </cell>
        </row>
      </sheetData>
      <sheetData sheetId="679"/>
      <sheetData sheetId="680"/>
      <sheetData sheetId="681">
        <row r="2">
          <cell r="CZ2">
            <v>42452.658423726854</v>
          </cell>
        </row>
      </sheetData>
      <sheetData sheetId="682"/>
      <sheetData sheetId="683"/>
      <sheetData sheetId="684">
        <row r="2">
          <cell r="CZ2">
            <v>42452.658423726854</v>
          </cell>
        </row>
      </sheetData>
      <sheetData sheetId="685"/>
      <sheetData sheetId="686"/>
      <sheetData sheetId="687">
        <row r="2">
          <cell r="CZ2">
            <v>42452.658423726854</v>
          </cell>
        </row>
      </sheetData>
      <sheetData sheetId="688"/>
      <sheetData sheetId="689"/>
      <sheetData sheetId="690">
        <row r="2">
          <cell r="CZ2">
            <v>42452.658423726854</v>
          </cell>
        </row>
      </sheetData>
      <sheetData sheetId="691"/>
      <sheetData sheetId="692"/>
      <sheetData sheetId="693">
        <row r="2">
          <cell r="CZ2">
            <v>42452.658423726854</v>
          </cell>
        </row>
      </sheetData>
      <sheetData sheetId="694"/>
      <sheetData sheetId="695"/>
      <sheetData sheetId="696">
        <row r="2">
          <cell r="CZ2">
            <v>42452.658423726854</v>
          </cell>
        </row>
      </sheetData>
      <sheetData sheetId="697"/>
      <sheetData sheetId="698"/>
      <sheetData sheetId="699">
        <row r="2">
          <cell r="CZ2">
            <v>42452.658423726854</v>
          </cell>
        </row>
      </sheetData>
      <sheetData sheetId="700"/>
      <sheetData sheetId="701"/>
      <sheetData sheetId="702">
        <row r="2">
          <cell r="CZ2">
            <v>42452.658423726854</v>
          </cell>
        </row>
      </sheetData>
      <sheetData sheetId="703"/>
      <sheetData sheetId="704"/>
      <sheetData sheetId="705">
        <row r="2">
          <cell r="CZ2">
            <v>42452.658423726854</v>
          </cell>
        </row>
      </sheetData>
      <sheetData sheetId="706"/>
      <sheetData sheetId="707"/>
      <sheetData sheetId="708">
        <row r="2">
          <cell r="CZ2">
            <v>42452.658423726854</v>
          </cell>
        </row>
      </sheetData>
      <sheetData sheetId="709"/>
      <sheetData sheetId="710"/>
      <sheetData sheetId="711">
        <row r="2">
          <cell r="CZ2">
            <v>42452.658423726854</v>
          </cell>
        </row>
      </sheetData>
      <sheetData sheetId="712"/>
      <sheetData sheetId="713"/>
      <sheetData sheetId="714">
        <row r="2">
          <cell r="CZ2">
            <v>42452.658423726854</v>
          </cell>
        </row>
      </sheetData>
      <sheetData sheetId="715"/>
      <sheetData sheetId="716"/>
      <sheetData sheetId="717">
        <row r="2">
          <cell r="CZ2">
            <v>42452.658423726854</v>
          </cell>
        </row>
      </sheetData>
      <sheetData sheetId="718"/>
      <sheetData sheetId="719"/>
      <sheetData sheetId="720">
        <row r="2">
          <cell r="CZ2">
            <v>42452.658423726854</v>
          </cell>
        </row>
      </sheetData>
      <sheetData sheetId="721"/>
      <sheetData sheetId="722"/>
      <sheetData sheetId="723">
        <row r="2">
          <cell r="CZ2">
            <v>42452.658423726854</v>
          </cell>
        </row>
      </sheetData>
      <sheetData sheetId="724"/>
      <sheetData sheetId="725"/>
      <sheetData sheetId="726">
        <row r="2">
          <cell r="CZ2">
            <v>42452.658423726854</v>
          </cell>
        </row>
      </sheetData>
      <sheetData sheetId="727"/>
      <sheetData sheetId="728"/>
      <sheetData sheetId="729">
        <row r="2">
          <cell r="CZ2">
            <v>42452.658423726854</v>
          </cell>
        </row>
      </sheetData>
      <sheetData sheetId="730"/>
      <sheetData sheetId="731"/>
      <sheetData sheetId="732">
        <row r="2">
          <cell r="CZ2">
            <v>42452.658423726854</v>
          </cell>
        </row>
      </sheetData>
      <sheetData sheetId="733"/>
      <sheetData sheetId="734"/>
      <sheetData sheetId="735">
        <row r="2">
          <cell r="CZ2">
            <v>42452.658423726854</v>
          </cell>
        </row>
      </sheetData>
      <sheetData sheetId="736"/>
      <sheetData sheetId="737"/>
      <sheetData sheetId="738">
        <row r="2">
          <cell r="CZ2">
            <v>42452.658423726854</v>
          </cell>
        </row>
      </sheetData>
      <sheetData sheetId="739"/>
      <sheetData sheetId="740"/>
      <sheetData sheetId="741">
        <row r="2">
          <cell r="CZ2">
            <v>42452.658423726854</v>
          </cell>
        </row>
      </sheetData>
      <sheetData sheetId="742"/>
      <sheetData sheetId="743"/>
      <sheetData sheetId="744">
        <row r="2">
          <cell r="CZ2">
            <v>42452.658423726854</v>
          </cell>
        </row>
      </sheetData>
      <sheetData sheetId="745"/>
      <sheetData sheetId="746"/>
      <sheetData sheetId="747">
        <row r="2">
          <cell r="CZ2">
            <v>42452.658423726854</v>
          </cell>
        </row>
      </sheetData>
      <sheetData sheetId="748"/>
      <sheetData sheetId="749"/>
      <sheetData sheetId="750">
        <row r="2">
          <cell r="CZ2">
            <v>42452.658423726854</v>
          </cell>
        </row>
      </sheetData>
      <sheetData sheetId="751"/>
      <sheetData sheetId="752"/>
      <sheetData sheetId="753">
        <row r="2">
          <cell r="CZ2">
            <v>42452.658423726854</v>
          </cell>
        </row>
      </sheetData>
      <sheetData sheetId="754"/>
      <sheetData sheetId="755"/>
      <sheetData sheetId="756">
        <row r="2">
          <cell r="CZ2">
            <v>42452.658423726854</v>
          </cell>
        </row>
      </sheetData>
      <sheetData sheetId="757"/>
      <sheetData sheetId="758"/>
      <sheetData sheetId="759">
        <row r="2">
          <cell r="CZ2">
            <v>42452.658423726854</v>
          </cell>
        </row>
      </sheetData>
      <sheetData sheetId="760"/>
      <sheetData sheetId="761"/>
      <sheetData sheetId="762">
        <row r="2">
          <cell r="CZ2">
            <v>42452.658423726854</v>
          </cell>
        </row>
      </sheetData>
      <sheetData sheetId="763"/>
      <sheetData sheetId="764"/>
      <sheetData sheetId="765">
        <row r="2">
          <cell r="CZ2">
            <v>42452.658423726854</v>
          </cell>
        </row>
      </sheetData>
      <sheetData sheetId="766"/>
      <sheetData sheetId="767"/>
      <sheetData sheetId="768">
        <row r="2">
          <cell r="CZ2">
            <v>42452.658423726854</v>
          </cell>
        </row>
      </sheetData>
      <sheetData sheetId="769"/>
      <sheetData sheetId="770"/>
      <sheetData sheetId="771">
        <row r="2">
          <cell r="CZ2">
            <v>42452.658423726854</v>
          </cell>
        </row>
      </sheetData>
      <sheetData sheetId="772"/>
      <sheetData sheetId="773"/>
      <sheetData sheetId="774">
        <row r="2">
          <cell r="CZ2">
            <v>42452.658423726854</v>
          </cell>
        </row>
      </sheetData>
      <sheetData sheetId="775"/>
      <sheetData sheetId="776"/>
      <sheetData sheetId="777">
        <row r="2">
          <cell r="CZ2">
            <v>42452.658423726854</v>
          </cell>
        </row>
      </sheetData>
      <sheetData sheetId="778"/>
      <sheetData sheetId="779"/>
      <sheetData sheetId="780">
        <row r="2">
          <cell r="CZ2">
            <v>42452.658423726854</v>
          </cell>
        </row>
      </sheetData>
      <sheetData sheetId="781"/>
      <sheetData sheetId="782"/>
      <sheetData sheetId="783">
        <row r="2">
          <cell r="CZ2">
            <v>42452.658423726854</v>
          </cell>
        </row>
      </sheetData>
      <sheetData sheetId="784"/>
      <sheetData sheetId="785"/>
      <sheetData sheetId="786">
        <row r="2">
          <cell r="CZ2">
            <v>42452.658423726854</v>
          </cell>
        </row>
      </sheetData>
      <sheetData sheetId="787"/>
      <sheetData sheetId="788"/>
      <sheetData sheetId="789">
        <row r="2">
          <cell r="CZ2">
            <v>42452.658423726854</v>
          </cell>
        </row>
      </sheetData>
      <sheetData sheetId="790"/>
      <sheetData sheetId="791"/>
      <sheetData sheetId="792">
        <row r="2">
          <cell r="CZ2">
            <v>42452.658423726854</v>
          </cell>
        </row>
      </sheetData>
      <sheetData sheetId="793"/>
      <sheetData sheetId="794"/>
      <sheetData sheetId="795">
        <row r="2">
          <cell r="CZ2">
            <v>42452.658423726854</v>
          </cell>
        </row>
      </sheetData>
      <sheetData sheetId="796"/>
      <sheetData sheetId="797"/>
      <sheetData sheetId="798">
        <row r="2">
          <cell r="CZ2">
            <v>42452.658423726854</v>
          </cell>
        </row>
      </sheetData>
      <sheetData sheetId="799"/>
      <sheetData sheetId="800"/>
      <sheetData sheetId="801">
        <row r="2">
          <cell r="CZ2">
            <v>42452.658423726854</v>
          </cell>
        </row>
      </sheetData>
      <sheetData sheetId="802"/>
      <sheetData sheetId="803"/>
      <sheetData sheetId="804">
        <row r="2">
          <cell r="CZ2">
            <v>42452.658423726854</v>
          </cell>
        </row>
      </sheetData>
      <sheetData sheetId="805"/>
      <sheetData sheetId="806"/>
      <sheetData sheetId="807">
        <row r="2">
          <cell r="CZ2">
            <v>42452.658423726854</v>
          </cell>
        </row>
      </sheetData>
      <sheetData sheetId="808"/>
      <sheetData sheetId="809"/>
      <sheetData sheetId="810">
        <row r="2">
          <cell r="CZ2">
            <v>42452.658423726854</v>
          </cell>
        </row>
      </sheetData>
      <sheetData sheetId="811"/>
      <sheetData sheetId="812"/>
      <sheetData sheetId="813">
        <row r="2">
          <cell r="CZ2">
            <v>42452.658423726854</v>
          </cell>
        </row>
      </sheetData>
      <sheetData sheetId="814"/>
      <sheetData sheetId="815"/>
      <sheetData sheetId="816">
        <row r="2">
          <cell r="CZ2">
            <v>42452.658423726854</v>
          </cell>
        </row>
      </sheetData>
      <sheetData sheetId="817"/>
      <sheetData sheetId="818"/>
      <sheetData sheetId="819">
        <row r="2">
          <cell r="CZ2">
            <v>42452.658423726854</v>
          </cell>
        </row>
      </sheetData>
      <sheetData sheetId="820"/>
      <sheetData sheetId="821"/>
      <sheetData sheetId="822">
        <row r="2">
          <cell r="CZ2">
            <v>42452.658423726854</v>
          </cell>
        </row>
      </sheetData>
      <sheetData sheetId="823"/>
      <sheetData sheetId="824"/>
      <sheetData sheetId="825">
        <row r="2">
          <cell r="CZ2">
            <v>42452.658423726854</v>
          </cell>
        </row>
      </sheetData>
      <sheetData sheetId="826"/>
      <sheetData sheetId="827"/>
      <sheetData sheetId="828">
        <row r="2">
          <cell r="CZ2">
            <v>42452.658423726854</v>
          </cell>
        </row>
      </sheetData>
      <sheetData sheetId="829"/>
      <sheetData sheetId="830"/>
      <sheetData sheetId="831">
        <row r="2">
          <cell r="CZ2">
            <v>42452.658423726854</v>
          </cell>
        </row>
      </sheetData>
      <sheetData sheetId="832"/>
      <sheetData sheetId="833"/>
      <sheetData sheetId="834">
        <row r="2">
          <cell r="CZ2">
            <v>42452.658423726854</v>
          </cell>
        </row>
      </sheetData>
      <sheetData sheetId="835"/>
      <sheetData sheetId="836"/>
      <sheetData sheetId="837">
        <row r="2">
          <cell r="CZ2">
            <v>42452.658423726854</v>
          </cell>
        </row>
      </sheetData>
      <sheetData sheetId="838"/>
      <sheetData sheetId="839"/>
      <sheetData sheetId="840">
        <row r="2">
          <cell r="CZ2">
            <v>42452.658423726854</v>
          </cell>
        </row>
      </sheetData>
      <sheetData sheetId="841"/>
      <sheetData sheetId="842"/>
      <sheetData sheetId="843">
        <row r="2">
          <cell r="CZ2">
            <v>42452.658423726854</v>
          </cell>
        </row>
      </sheetData>
      <sheetData sheetId="844"/>
      <sheetData sheetId="845"/>
      <sheetData sheetId="846">
        <row r="2">
          <cell r="CZ2">
            <v>42452.658423726854</v>
          </cell>
        </row>
      </sheetData>
      <sheetData sheetId="847"/>
      <sheetData sheetId="848"/>
      <sheetData sheetId="849">
        <row r="2">
          <cell r="CZ2">
            <v>42452.658423726854</v>
          </cell>
        </row>
      </sheetData>
      <sheetData sheetId="850"/>
      <sheetData sheetId="851"/>
      <sheetData sheetId="852">
        <row r="2">
          <cell r="CZ2">
            <v>42452.658423726854</v>
          </cell>
        </row>
      </sheetData>
      <sheetData sheetId="853"/>
      <sheetData sheetId="854"/>
      <sheetData sheetId="855">
        <row r="2">
          <cell r="CZ2">
            <v>42452.658423726854</v>
          </cell>
        </row>
      </sheetData>
      <sheetData sheetId="856"/>
      <sheetData sheetId="857"/>
      <sheetData sheetId="858">
        <row r="2">
          <cell r="CZ2">
            <v>42452.658423726854</v>
          </cell>
        </row>
      </sheetData>
      <sheetData sheetId="859"/>
      <sheetData sheetId="860"/>
      <sheetData sheetId="861">
        <row r="2">
          <cell r="CZ2">
            <v>42452.658423726854</v>
          </cell>
        </row>
      </sheetData>
      <sheetData sheetId="862"/>
      <sheetData sheetId="863"/>
      <sheetData sheetId="864">
        <row r="2">
          <cell r="CZ2">
            <v>42452.658423726854</v>
          </cell>
        </row>
      </sheetData>
      <sheetData sheetId="865"/>
      <sheetData sheetId="866"/>
      <sheetData sheetId="867">
        <row r="2">
          <cell r="CZ2">
            <v>42452.658423726854</v>
          </cell>
        </row>
      </sheetData>
      <sheetData sheetId="868"/>
      <sheetData sheetId="869"/>
      <sheetData sheetId="870">
        <row r="2">
          <cell r="CZ2">
            <v>42452.658423726854</v>
          </cell>
        </row>
      </sheetData>
      <sheetData sheetId="871"/>
      <sheetData sheetId="872"/>
      <sheetData sheetId="873">
        <row r="2">
          <cell r="CZ2">
            <v>42452.658423726854</v>
          </cell>
        </row>
      </sheetData>
      <sheetData sheetId="874"/>
      <sheetData sheetId="875"/>
      <sheetData sheetId="876">
        <row r="2">
          <cell r="CZ2">
            <v>42452.658423726854</v>
          </cell>
        </row>
      </sheetData>
      <sheetData sheetId="877"/>
      <sheetData sheetId="878"/>
      <sheetData sheetId="879">
        <row r="2">
          <cell r="CZ2">
            <v>42452.658423726854</v>
          </cell>
        </row>
      </sheetData>
      <sheetData sheetId="880"/>
      <sheetData sheetId="881"/>
      <sheetData sheetId="882">
        <row r="2">
          <cell r="CZ2">
            <v>42452.658423726854</v>
          </cell>
        </row>
      </sheetData>
      <sheetData sheetId="883"/>
      <sheetData sheetId="884"/>
      <sheetData sheetId="885">
        <row r="2">
          <cell r="CZ2">
            <v>42452.658423726854</v>
          </cell>
        </row>
      </sheetData>
      <sheetData sheetId="886"/>
      <sheetData sheetId="887"/>
      <sheetData sheetId="888">
        <row r="2">
          <cell r="CZ2">
            <v>42452.658423726854</v>
          </cell>
        </row>
      </sheetData>
      <sheetData sheetId="889"/>
      <sheetData sheetId="890"/>
      <sheetData sheetId="891">
        <row r="2">
          <cell r="CZ2">
            <v>42452.658423726854</v>
          </cell>
        </row>
      </sheetData>
      <sheetData sheetId="892"/>
      <sheetData sheetId="893"/>
      <sheetData sheetId="894">
        <row r="2">
          <cell r="CZ2">
            <v>42452.658423726854</v>
          </cell>
        </row>
      </sheetData>
      <sheetData sheetId="895"/>
      <sheetData sheetId="896"/>
      <sheetData sheetId="897">
        <row r="2">
          <cell r="CZ2">
            <v>42452.658423726854</v>
          </cell>
        </row>
      </sheetData>
      <sheetData sheetId="898"/>
      <sheetData sheetId="899"/>
      <sheetData sheetId="900">
        <row r="2">
          <cell r="CZ2">
            <v>42452.658423726854</v>
          </cell>
        </row>
      </sheetData>
      <sheetData sheetId="901"/>
      <sheetData sheetId="902"/>
      <sheetData sheetId="903">
        <row r="2">
          <cell r="CZ2">
            <v>42452.658423726854</v>
          </cell>
        </row>
      </sheetData>
      <sheetData sheetId="904"/>
      <sheetData sheetId="905"/>
      <sheetData sheetId="906">
        <row r="2">
          <cell r="CZ2">
            <v>42452.658423726854</v>
          </cell>
        </row>
      </sheetData>
      <sheetData sheetId="907"/>
      <sheetData sheetId="908"/>
      <sheetData sheetId="909">
        <row r="2">
          <cell r="CZ2">
            <v>42452.658423726854</v>
          </cell>
        </row>
      </sheetData>
      <sheetData sheetId="910"/>
      <sheetData sheetId="911"/>
      <sheetData sheetId="912">
        <row r="2">
          <cell r="CZ2">
            <v>42452.658423726854</v>
          </cell>
        </row>
      </sheetData>
      <sheetData sheetId="913"/>
      <sheetData sheetId="914"/>
      <sheetData sheetId="915">
        <row r="2">
          <cell r="CZ2">
            <v>42452.658423726854</v>
          </cell>
        </row>
      </sheetData>
      <sheetData sheetId="916"/>
      <sheetData sheetId="917"/>
      <sheetData sheetId="918">
        <row r="2">
          <cell r="CZ2">
            <v>42452.658423726854</v>
          </cell>
        </row>
      </sheetData>
      <sheetData sheetId="919"/>
      <sheetData sheetId="920"/>
      <sheetData sheetId="921">
        <row r="2">
          <cell r="CZ2">
            <v>42452.658423726854</v>
          </cell>
        </row>
      </sheetData>
      <sheetData sheetId="922"/>
      <sheetData sheetId="923"/>
      <sheetData sheetId="924">
        <row r="2">
          <cell r="CZ2">
            <v>42452.658423726854</v>
          </cell>
        </row>
      </sheetData>
      <sheetData sheetId="925"/>
      <sheetData sheetId="926"/>
      <sheetData sheetId="927">
        <row r="2">
          <cell r="CZ2">
            <v>42452.658423726854</v>
          </cell>
        </row>
      </sheetData>
      <sheetData sheetId="928"/>
      <sheetData sheetId="929"/>
      <sheetData sheetId="930">
        <row r="2">
          <cell r="CZ2">
            <v>42452.658423726854</v>
          </cell>
        </row>
      </sheetData>
      <sheetData sheetId="931"/>
      <sheetData sheetId="932"/>
      <sheetData sheetId="933">
        <row r="2">
          <cell r="CZ2">
            <v>42452.658423726854</v>
          </cell>
        </row>
      </sheetData>
      <sheetData sheetId="934"/>
      <sheetData sheetId="935"/>
      <sheetData sheetId="936">
        <row r="2">
          <cell r="CZ2">
            <v>42452.658423726854</v>
          </cell>
        </row>
      </sheetData>
      <sheetData sheetId="937"/>
      <sheetData sheetId="938"/>
      <sheetData sheetId="939">
        <row r="2">
          <cell r="CZ2">
            <v>42452.658423726854</v>
          </cell>
        </row>
      </sheetData>
      <sheetData sheetId="940"/>
      <sheetData sheetId="941"/>
      <sheetData sheetId="942">
        <row r="2">
          <cell r="CZ2">
            <v>42452.658423726854</v>
          </cell>
        </row>
      </sheetData>
      <sheetData sheetId="943"/>
      <sheetData sheetId="944"/>
      <sheetData sheetId="945">
        <row r="2">
          <cell r="CZ2">
            <v>42452.658423726854</v>
          </cell>
        </row>
      </sheetData>
      <sheetData sheetId="946"/>
      <sheetData sheetId="947"/>
      <sheetData sheetId="948">
        <row r="2">
          <cell r="CZ2">
            <v>42452.658423726854</v>
          </cell>
        </row>
      </sheetData>
      <sheetData sheetId="949"/>
      <sheetData sheetId="950"/>
      <sheetData sheetId="951">
        <row r="2">
          <cell r="CZ2">
            <v>42452.658423726854</v>
          </cell>
        </row>
      </sheetData>
      <sheetData sheetId="952"/>
      <sheetData sheetId="953"/>
      <sheetData sheetId="954">
        <row r="2">
          <cell r="CZ2">
            <v>42452.658423726854</v>
          </cell>
        </row>
      </sheetData>
      <sheetData sheetId="955"/>
      <sheetData sheetId="956"/>
      <sheetData sheetId="957">
        <row r="2">
          <cell r="CZ2">
            <v>42452.658423726854</v>
          </cell>
        </row>
      </sheetData>
      <sheetData sheetId="958"/>
      <sheetData sheetId="959"/>
      <sheetData sheetId="960">
        <row r="2">
          <cell r="CZ2">
            <v>42452.658423726854</v>
          </cell>
        </row>
      </sheetData>
      <sheetData sheetId="961"/>
      <sheetData sheetId="962"/>
      <sheetData sheetId="963">
        <row r="2">
          <cell r="CZ2">
            <v>42452.658423726854</v>
          </cell>
        </row>
      </sheetData>
      <sheetData sheetId="964"/>
      <sheetData sheetId="965"/>
      <sheetData sheetId="966">
        <row r="2">
          <cell r="CZ2">
            <v>42452.658423726854</v>
          </cell>
        </row>
      </sheetData>
      <sheetData sheetId="967"/>
      <sheetData sheetId="968"/>
      <sheetData sheetId="969">
        <row r="2">
          <cell r="CZ2">
            <v>42452.658423726854</v>
          </cell>
        </row>
      </sheetData>
      <sheetData sheetId="970"/>
      <sheetData sheetId="971"/>
      <sheetData sheetId="972">
        <row r="2">
          <cell r="CZ2">
            <v>42452.658423726854</v>
          </cell>
        </row>
      </sheetData>
      <sheetData sheetId="973"/>
      <sheetData sheetId="974"/>
      <sheetData sheetId="975">
        <row r="2">
          <cell r="CZ2">
            <v>42452.658423726854</v>
          </cell>
        </row>
      </sheetData>
      <sheetData sheetId="976"/>
      <sheetData sheetId="977"/>
      <sheetData sheetId="978">
        <row r="2">
          <cell r="CZ2">
            <v>42452.658423726854</v>
          </cell>
        </row>
      </sheetData>
      <sheetData sheetId="979"/>
      <sheetData sheetId="980"/>
      <sheetData sheetId="981">
        <row r="2">
          <cell r="CZ2">
            <v>42452.658423726854</v>
          </cell>
        </row>
      </sheetData>
      <sheetData sheetId="982"/>
      <sheetData sheetId="983"/>
      <sheetData sheetId="984">
        <row r="2">
          <cell r="CZ2">
            <v>42452.658423726854</v>
          </cell>
        </row>
      </sheetData>
      <sheetData sheetId="985"/>
      <sheetData sheetId="986"/>
      <sheetData sheetId="987">
        <row r="2">
          <cell r="CZ2">
            <v>42452.658423726854</v>
          </cell>
        </row>
      </sheetData>
      <sheetData sheetId="988"/>
      <sheetData sheetId="989"/>
      <sheetData sheetId="990">
        <row r="2">
          <cell r="CZ2">
            <v>42452.658423726854</v>
          </cell>
        </row>
      </sheetData>
      <sheetData sheetId="991"/>
      <sheetData sheetId="992"/>
      <sheetData sheetId="993">
        <row r="2">
          <cell r="CZ2">
            <v>42452.658423726854</v>
          </cell>
        </row>
      </sheetData>
      <sheetData sheetId="994"/>
      <sheetData sheetId="995"/>
      <sheetData sheetId="996">
        <row r="2">
          <cell r="CZ2">
            <v>42452.658423726854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-3BK-TNCN"/>
      <sheetName val="Data"/>
      <sheetName val="HDSD"/>
      <sheetName val="Ds"/>
      <sheetName val="Danh sach"/>
      <sheetName val="Danh_sach"/>
      <sheetName val="Bang_Ke_05_3"/>
      <sheetName val="Danh sách thép"/>
    </sheetNames>
    <sheetDataSet>
      <sheetData sheetId="0" refreshError="1"/>
      <sheetData sheetId="1" refreshError="1">
        <row r="4">
          <cell r="B4" t="str">
            <v>An Giang</v>
          </cell>
          <cell r="D4" t="str">
            <v>Quận Ba Đình</v>
          </cell>
          <cell r="F4" t="str">
            <v>101</v>
          </cell>
          <cell r="G4" t="str">
            <v>Phường Phúc Xá</v>
          </cell>
          <cell r="I4" t="str">
            <v>10101</v>
          </cell>
          <cell r="J4" t="str">
            <v>Việt Nam</v>
          </cell>
        </row>
        <row r="5">
          <cell r="B5" t="str">
            <v>Bà Rịa - Vũng Tàu</v>
          </cell>
          <cell r="D5" t="str">
            <v>Quận Tây Hồ</v>
          </cell>
          <cell r="F5" t="str">
            <v>101</v>
          </cell>
          <cell r="G5" t="str">
            <v>Phường Trúc Bạch</v>
          </cell>
          <cell r="I5" t="str">
            <v>10101</v>
          </cell>
          <cell r="J5" t="str">
            <v>Khác</v>
          </cell>
        </row>
        <row r="6">
          <cell r="B6" t="str">
            <v>Bắc Cạn</v>
          </cell>
          <cell r="D6" t="str">
            <v>Quận Hoàn Kiếm</v>
          </cell>
          <cell r="F6" t="str">
            <v>101</v>
          </cell>
          <cell r="G6" t="str">
            <v>Phường Vĩnh Phúc</v>
          </cell>
          <cell r="I6" t="str">
            <v>10101</v>
          </cell>
        </row>
        <row r="7">
          <cell r="B7" t="str">
            <v>Bắc Giang</v>
          </cell>
          <cell r="D7" t="str">
            <v>Quận Long Biên</v>
          </cell>
          <cell r="F7" t="str">
            <v>101</v>
          </cell>
          <cell r="G7" t="str">
            <v>Phường Cống Vị</v>
          </cell>
          <cell r="I7" t="str">
            <v>10101</v>
          </cell>
        </row>
        <row r="8">
          <cell r="B8" t="str">
            <v>Bạc Liêu</v>
          </cell>
          <cell r="D8" t="str">
            <v>Quận Hai Bà Trưng</v>
          </cell>
          <cell r="F8" t="str">
            <v>101</v>
          </cell>
          <cell r="G8" t="str">
            <v>Phường Liễu Giai</v>
          </cell>
          <cell r="I8" t="str">
            <v>10101</v>
          </cell>
        </row>
        <row r="9">
          <cell r="B9" t="str">
            <v>Bắc Ninh</v>
          </cell>
          <cell r="D9" t="str">
            <v>Quận Hoàng Mai</v>
          </cell>
          <cell r="F9" t="str">
            <v>101</v>
          </cell>
          <cell r="G9" t="str">
            <v>P. Nguyễn Trung Trực</v>
          </cell>
          <cell r="I9" t="str">
            <v>10101</v>
          </cell>
        </row>
        <row r="10">
          <cell r="B10" t="str">
            <v>Bến Tre</v>
          </cell>
          <cell r="D10" t="str">
            <v>Quận Đống đa</v>
          </cell>
          <cell r="F10" t="str">
            <v>101</v>
          </cell>
          <cell r="G10" t="str">
            <v>Phường Ngọc Hà</v>
          </cell>
          <cell r="I10" t="str">
            <v>10101</v>
          </cell>
        </row>
        <row r="11">
          <cell r="B11" t="str">
            <v>Bình Định</v>
          </cell>
          <cell r="D11" t="str">
            <v>Quận Thanh Xuân</v>
          </cell>
          <cell r="F11" t="str">
            <v>101</v>
          </cell>
          <cell r="G11" t="str">
            <v>Phường Đội Cấn</v>
          </cell>
          <cell r="I11" t="str">
            <v>10101</v>
          </cell>
        </row>
        <row r="12">
          <cell r="B12" t="str">
            <v>Bình Dương</v>
          </cell>
          <cell r="D12" t="str">
            <v>Quận Cầu Giấy</v>
          </cell>
          <cell r="F12" t="str">
            <v>101</v>
          </cell>
          <cell r="G12" t="str">
            <v>Phường Kim Mã</v>
          </cell>
          <cell r="I12" t="str">
            <v>10101</v>
          </cell>
        </row>
        <row r="13">
          <cell r="B13" t="str">
            <v>Bình Phước</v>
          </cell>
          <cell r="D13" t="str">
            <v>Huyện Sóc Sơn</v>
          </cell>
          <cell r="F13" t="str">
            <v>101</v>
          </cell>
          <cell r="G13" t="str">
            <v>Phường Giảng Võ</v>
          </cell>
          <cell r="I13" t="str">
            <v>10101</v>
          </cell>
        </row>
        <row r="14">
          <cell r="B14" t="str">
            <v>Bình Thuận</v>
          </cell>
          <cell r="D14" t="str">
            <v>Huyện Đông Anh</v>
          </cell>
          <cell r="F14" t="str">
            <v>101</v>
          </cell>
          <cell r="G14" t="str">
            <v>Phường Thành Công</v>
          </cell>
          <cell r="I14" t="str">
            <v>10101</v>
          </cell>
        </row>
        <row r="15">
          <cell r="B15" t="str">
            <v>Cà Mau</v>
          </cell>
          <cell r="D15" t="str">
            <v>Huyện Gia Lâm</v>
          </cell>
          <cell r="F15" t="str">
            <v>101</v>
          </cell>
          <cell r="G15" t="str">
            <v>Phường Điện Biên</v>
          </cell>
          <cell r="I15" t="str">
            <v>10101</v>
          </cell>
        </row>
        <row r="16">
          <cell r="B16" t="str">
            <v>Cần Thơ</v>
          </cell>
          <cell r="D16" t="str">
            <v>Huyện Từ Liêm</v>
          </cell>
          <cell r="F16" t="str">
            <v>101</v>
          </cell>
          <cell r="G16" t="str">
            <v>Phường Quán Thánh</v>
          </cell>
          <cell r="I16" t="str">
            <v>10101</v>
          </cell>
        </row>
        <row r="17">
          <cell r="B17" t="str">
            <v>Cao Bằng</v>
          </cell>
          <cell r="D17" t="str">
            <v>Huyện Thanh Trì</v>
          </cell>
          <cell r="F17" t="str">
            <v>101</v>
          </cell>
          <cell r="G17" t="str">
            <v>Phường Ngọc Khánh</v>
          </cell>
          <cell r="I17" t="str">
            <v>10101</v>
          </cell>
        </row>
        <row r="18">
          <cell r="B18" t="str">
            <v>Đà Nẵng</v>
          </cell>
          <cell r="D18" t="str">
            <v>Huyện Mê Linh</v>
          </cell>
          <cell r="F18" t="str">
            <v>101</v>
          </cell>
          <cell r="G18" t="str">
            <v>Phường Nhật Tân</v>
          </cell>
          <cell r="I18" t="str">
            <v>10103</v>
          </cell>
        </row>
        <row r="19">
          <cell r="B19" t="str">
            <v>Đắc Lắc</v>
          </cell>
          <cell r="D19" t="str">
            <v>Quận Hà Đông</v>
          </cell>
          <cell r="F19" t="str">
            <v>101</v>
          </cell>
          <cell r="G19" t="str">
            <v>Phường Tứ Liên</v>
          </cell>
          <cell r="I19" t="str">
            <v>10103</v>
          </cell>
        </row>
        <row r="20">
          <cell r="B20" t="str">
            <v>Đắk Nông</v>
          </cell>
          <cell r="D20" t="str">
            <v>Thị Xã Sơn Tây</v>
          </cell>
          <cell r="F20" t="str">
            <v>101</v>
          </cell>
          <cell r="G20" t="str">
            <v>Phường Quảng An</v>
          </cell>
          <cell r="I20" t="str">
            <v>10103</v>
          </cell>
        </row>
        <row r="21">
          <cell r="B21" t="str">
            <v>Điện Biên</v>
          </cell>
          <cell r="D21" t="str">
            <v>Huyện Phúc Thọ</v>
          </cell>
          <cell r="F21" t="str">
            <v>101</v>
          </cell>
          <cell r="G21" t="str">
            <v>Phường Xuân La</v>
          </cell>
          <cell r="I21" t="str">
            <v>10103</v>
          </cell>
        </row>
        <row r="22">
          <cell r="B22" t="str">
            <v>Đồng Nai</v>
          </cell>
          <cell r="D22" t="str">
            <v>Huyện Đan Phượng</v>
          </cell>
          <cell r="F22" t="str">
            <v>101</v>
          </cell>
          <cell r="G22" t="str">
            <v>Phường Bưởi</v>
          </cell>
          <cell r="I22" t="str">
            <v>10103</v>
          </cell>
        </row>
        <row r="23">
          <cell r="B23" t="str">
            <v>Đồng Tháp</v>
          </cell>
          <cell r="D23" t="str">
            <v>Huyện Thạch Thất</v>
          </cell>
          <cell r="F23" t="str">
            <v>101</v>
          </cell>
          <cell r="G23" t="str">
            <v>Phường Thuỵ Khuê</v>
          </cell>
          <cell r="I23" t="str">
            <v>10103</v>
          </cell>
        </row>
        <row r="24">
          <cell r="B24" t="str">
            <v>Gia Lai</v>
          </cell>
          <cell r="D24" t="str">
            <v>Huyện Hòai Đức</v>
          </cell>
          <cell r="F24" t="str">
            <v>101</v>
          </cell>
          <cell r="G24" t="str">
            <v>Phường Phú Thượng</v>
          </cell>
          <cell r="I24" t="str">
            <v>10103</v>
          </cell>
        </row>
        <row r="25">
          <cell r="B25" t="str">
            <v>Hà Giang</v>
          </cell>
          <cell r="D25" t="str">
            <v>Huyện Quốc Oai</v>
          </cell>
          <cell r="F25" t="str">
            <v>101</v>
          </cell>
          <cell r="G25" t="str">
            <v>Phường Yên Phụ</v>
          </cell>
          <cell r="I25" t="str">
            <v>10103</v>
          </cell>
        </row>
        <row r="26">
          <cell r="B26" t="str">
            <v>Hà Nam</v>
          </cell>
          <cell r="D26" t="str">
            <v>Huyện Thanh Oai</v>
          </cell>
          <cell r="F26" t="str">
            <v>101</v>
          </cell>
          <cell r="G26" t="str">
            <v>Phường Phúc Tân</v>
          </cell>
          <cell r="I26" t="str">
            <v>10105</v>
          </cell>
        </row>
        <row r="27">
          <cell r="B27" t="str">
            <v>Hà Nội</v>
          </cell>
          <cell r="D27" t="str">
            <v>Huyện Thường Tín</v>
          </cell>
          <cell r="F27" t="str">
            <v>101</v>
          </cell>
          <cell r="G27" t="str">
            <v>Phường Hàng Mã</v>
          </cell>
          <cell r="I27" t="str">
            <v>10105</v>
          </cell>
        </row>
        <row r="28">
          <cell r="B28" t="str">
            <v>Hà Tĩnh</v>
          </cell>
          <cell r="D28" t="str">
            <v>Huyện Mỹ Đức</v>
          </cell>
          <cell r="F28" t="str">
            <v>101</v>
          </cell>
          <cell r="G28" t="str">
            <v>Phường Hàng Buồm</v>
          </cell>
          <cell r="I28" t="str">
            <v>10105</v>
          </cell>
        </row>
        <row r="29">
          <cell r="B29" t="str">
            <v>Hải Dương</v>
          </cell>
          <cell r="D29" t="str">
            <v>Huyện ứng Hòa</v>
          </cell>
          <cell r="F29" t="str">
            <v>101</v>
          </cell>
          <cell r="G29" t="str">
            <v>Phường Hàng Đào</v>
          </cell>
          <cell r="I29" t="str">
            <v>10105</v>
          </cell>
        </row>
        <row r="30">
          <cell r="B30" t="str">
            <v>Hải Phòng</v>
          </cell>
          <cell r="D30" t="str">
            <v>Huyện Phú Xuyên</v>
          </cell>
          <cell r="F30" t="str">
            <v>101</v>
          </cell>
          <cell r="G30" t="str">
            <v>Phường Hàng Bồ</v>
          </cell>
          <cell r="I30" t="str">
            <v>10105</v>
          </cell>
        </row>
        <row r="31">
          <cell r="B31" t="str">
            <v>Hậu Giang</v>
          </cell>
          <cell r="D31" t="str">
            <v>Huyện Ba Vì</v>
          </cell>
          <cell r="F31" t="str">
            <v>101</v>
          </cell>
          <cell r="G31" t="str">
            <v>Phường Lý Thái Tổ</v>
          </cell>
          <cell r="I31" t="str">
            <v>10105</v>
          </cell>
        </row>
        <row r="32">
          <cell r="B32" t="str">
            <v>Hòa Bình</v>
          </cell>
          <cell r="D32" t="str">
            <v>Huyện Chương Mỹ</v>
          </cell>
          <cell r="F32" t="str">
            <v>101</v>
          </cell>
          <cell r="G32" t="str">
            <v>Phường Hàng Bạc</v>
          </cell>
          <cell r="I32" t="str">
            <v>10105</v>
          </cell>
        </row>
        <row r="33">
          <cell r="B33" t="str">
            <v>Hưng Yên</v>
          </cell>
          <cell r="D33" t="str">
            <v>Quận Nam Từ Liêm</v>
          </cell>
          <cell r="F33" t="str">
            <v>101</v>
          </cell>
          <cell r="G33" t="str">
            <v>Phường Chương Dương</v>
          </cell>
          <cell r="I33" t="str">
            <v>10105</v>
          </cell>
        </row>
        <row r="34">
          <cell r="B34" t="str">
            <v>Khánh Hòa</v>
          </cell>
          <cell r="D34" t="str">
            <v>Quận Bắc Từ Liêm</v>
          </cell>
          <cell r="F34" t="str">
            <v>101</v>
          </cell>
          <cell r="G34" t="str">
            <v>Phường Hàng Trống</v>
          </cell>
          <cell r="I34" t="str">
            <v>10105</v>
          </cell>
        </row>
        <row r="35">
          <cell r="B35" t="str">
            <v>Kiên Giang</v>
          </cell>
          <cell r="D35" t="str">
            <v>Quận Hồng Bàng</v>
          </cell>
          <cell r="F35" t="str">
            <v>103</v>
          </cell>
          <cell r="G35" t="str">
            <v>Phường Cửa Nam</v>
          </cell>
          <cell r="I35" t="str">
            <v>10105</v>
          </cell>
        </row>
        <row r="36">
          <cell r="B36" t="str">
            <v>Kon Tum</v>
          </cell>
          <cell r="D36" t="str">
            <v>Quận Ngô Quyền</v>
          </cell>
          <cell r="F36" t="str">
            <v>103</v>
          </cell>
          <cell r="G36" t="str">
            <v>Phường Trần Hưng Đạo</v>
          </cell>
          <cell r="I36" t="str">
            <v>10105</v>
          </cell>
        </row>
        <row r="37">
          <cell r="B37" t="str">
            <v>Lai Châu</v>
          </cell>
          <cell r="D37" t="str">
            <v>Quận Hải An</v>
          </cell>
          <cell r="F37" t="str">
            <v>103</v>
          </cell>
          <cell r="G37" t="str">
            <v>Phường Phan Chu Trinh</v>
          </cell>
          <cell r="I37" t="str">
            <v>10105</v>
          </cell>
        </row>
        <row r="38">
          <cell r="B38" t="str">
            <v>Lâm Đồng</v>
          </cell>
          <cell r="D38" t="str">
            <v>Quận Lê Chân</v>
          </cell>
          <cell r="F38" t="str">
            <v>103</v>
          </cell>
          <cell r="G38" t="str">
            <v>Phường Hàng Bài</v>
          </cell>
          <cell r="I38" t="str">
            <v>10105</v>
          </cell>
        </row>
        <row r="39">
          <cell r="B39" t="str">
            <v>Lạng Sơn</v>
          </cell>
          <cell r="D39" t="str">
            <v>Quận Kiến An</v>
          </cell>
          <cell r="F39" t="str">
            <v>103</v>
          </cell>
          <cell r="G39" t="str">
            <v>Phường Hàng Bông</v>
          </cell>
          <cell r="I39" t="str">
            <v>10105</v>
          </cell>
        </row>
        <row r="40">
          <cell r="B40" t="str">
            <v>Lào Cai</v>
          </cell>
          <cell r="D40" t="str">
            <v>Quận Đồ Sơn</v>
          </cell>
          <cell r="F40" t="str">
            <v>103</v>
          </cell>
          <cell r="G40" t="str">
            <v>Phường Đồng Xuân</v>
          </cell>
          <cell r="I40" t="str">
            <v>10105</v>
          </cell>
        </row>
        <row r="41">
          <cell r="B41" t="str">
            <v>Long An</v>
          </cell>
          <cell r="D41" t="str">
            <v>Huyện Thuỷ Nguyên</v>
          </cell>
          <cell r="F41" t="str">
            <v>103</v>
          </cell>
          <cell r="G41" t="str">
            <v>Phường Cửa Đông</v>
          </cell>
          <cell r="I41" t="str">
            <v>10105</v>
          </cell>
        </row>
        <row r="42">
          <cell r="B42" t="str">
            <v>Nam Định</v>
          </cell>
          <cell r="D42" t="str">
            <v>Huyện An Dương</v>
          </cell>
          <cell r="F42" t="str">
            <v>103</v>
          </cell>
          <cell r="G42" t="str">
            <v>Phường Hàng Gai</v>
          </cell>
          <cell r="I42" t="str">
            <v>10105</v>
          </cell>
        </row>
        <row r="43">
          <cell r="B43" t="str">
            <v>Nghệ An</v>
          </cell>
          <cell r="D43" t="str">
            <v>Huyện An Lão</v>
          </cell>
          <cell r="F43" t="str">
            <v>103</v>
          </cell>
          <cell r="G43" t="str">
            <v>Phường Tràng Tiền</v>
          </cell>
          <cell r="I43" t="str">
            <v>10105</v>
          </cell>
        </row>
        <row r="44">
          <cell r="B44" t="str">
            <v>Ninh Bình</v>
          </cell>
          <cell r="D44" t="str">
            <v>Huyện Kiến Thuỵ</v>
          </cell>
          <cell r="F44" t="str">
            <v>103</v>
          </cell>
          <cell r="G44" t="str">
            <v>Phường Giang Biên</v>
          </cell>
          <cell r="I44" t="str">
            <v>10106</v>
          </cell>
        </row>
        <row r="45">
          <cell r="B45" t="str">
            <v>Ninh Thuận</v>
          </cell>
          <cell r="D45" t="str">
            <v>Huyện Tiên Lãng</v>
          </cell>
          <cell r="F45" t="str">
            <v>103</v>
          </cell>
          <cell r="G45" t="str">
            <v>Phường Đức Giang</v>
          </cell>
          <cell r="I45" t="str">
            <v>10106</v>
          </cell>
        </row>
        <row r="46">
          <cell r="B46" t="str">
            <v>Phú Thọ</v>
          </cell>
          <cell r="D46" t="str">
            <v>Huyện Vĩnh Bảo</v>
          </cell>
          <cell r="F46" t="str">
            <v>103</v>
          </cell>
          <cell r="G46" t="str">
            <v>Phường Việt Hưng</v>
          </cell>
          <cell r="I46" t="str">
            <v>10106</v>
          </cell>
        </row>
        <row r="47">
          <cell r="B47" t="str">
            <v>Phú Yên</v>
          </cell>
          <cell r="D47" t="str">
            <v>Huyện Cát Hải</v>
          </cell>
          <cell r="F47" t="str">
            <v>103</v>
          </cell>
          <cell r="G47" t="str">
            <v>Phường Gia Thuỵ</v>
          </cell>
          <cell r="I47" t="str">
            <v>10106</v>
          </cell>
        </row>
        <row r="48">
          <cell r="B48" t="str">
            <v>Quảng Bình</v>
          </cell>
          <cell r="D48" t="str">
            <v>Huyện Bạch Long Vĩ</v>
          </cell>
          <cell r="F48" t="str">
            <v>103</v>
          </cell>
          <cell r="G48" t="str">
            <v>Phường Phúc Lợi</v>
          </cell>
          <cell r="I48" t="str">
            <v>10106</v>
          </cell>
        </row>
        <row r="49">
          <cell r="B49" t="str">
            <v>Quảng Nam</v>
          </cell>
          <cell r="D49" t="str">
            <v>Quận Dương Kinh</v>
          </cell>
          <cell r="F49" t="str">
            <v>103</v>
          </cell>
          <cell r="G49" t="str">
            <v>Phường Bồ Đề</v>
          </cell>
          <cell r="I49" t="str">
            <v>10106</v>
          </cell>
        </row>
        <row r="50">
          <cell r="B50" t="str">
            <v>Quảng Ngãi</v>
          </cell>
          <cell r="D50" t="str">
            <v>Thành phố Hải Dương</v>
          </cell>
          <cell r="F50" t="str">
            <v>107</v>
          </cell>
          <cell r="G50" t="str">
            <v>Phường Sài Đồng</v>
          </cell>
          <cell r="I50" t="str">
            <v>10106</v>
          </cell>
        </row>
        <row r="51">
          <cell r="B51" t="str">
            <v>Quảng Ninh</v>
          </cell>
          <cell r="D51" t="str">
            <v>Thị xã Chí Linh</v>
          </cell>
          <cell r="F51" t="str">
            <v>107</v>
          </cell>
          <cell r="G51" t="str">
            <v>Phường Thạch Bàn</v>
          </cell>
          <cell r="I51" t="str">
            <v>10106</v>
          </cell>
        </row>
        <row r="52">
          <cell r="B52" t="str">
            <v>Quảng Trị</v>
          </cell>
          <cell r="D52" t="str">
            <v>Huyện Nam Sách</v>
          </cell>
          <cell r="F52" t="str">
            <v>107</v>
          </cell>
          <cell r="G52" t="str">
            <v>Phường Phúc Đồng</v>
          </cell>
          <cell r="I52" t="str">
            <v>10106</v>
          </cell>
        </row>
        <row r="53">
          <cell r="B53" t="str">
            <v>Sóc Trăng</v>
          </cell>
          <cell r="D53" t="str">
            <v>Huyện Thanh Hà</v>
          </cell>
          <cell r="F53" t="str">
            <v>107</v>
          </cell>
          <cell r="G53" t="str">
            <v>Phường Cự Khối</v>
          </cell>
          <cell r="I53" t="str">
            <v>10106</v>
          </cell>
        </row>
        <row r="54">
          <cell r="B54" t="str">
            <v>Sơn La</v>
          </cell>
          <cell r="D54" t="str">
            <v>Huyện Kinh Môn</v>
          </cell>
          <cell r="F54" t="str">
            <v>107</v>
          </cell>
          <cell r="G54" t="str">
            <v>Phường Thượng Thanh</v>
          </cell>
          <cell r="I54" t="str">
            <v>10106</v>
          </cell>
        </row>
        <row r="55">
          <cell r="B55" t="str">
            <v>Tây Ninh</v>
          </cell>
          <cell r="D55" t="str">
            <v>Huyện Kim Thành</v>
          </cell>
          <cell r="F55" t="str">
            <v>107</v>
          </cell>
          <cell r="G55" t="str">
            <v>Phường Ngọc Thuỵ</v>
          </cell>
          <cell r="I55" t="str">
            <v>10106</v>
          </cell>
        </row>
        <row r="56">
          <cell r="B56" t="str">
            <v>Thái Bình</v>
          </cell>
          <cell r="D56" t="str">
            <v>Huyện Gia Lộc</v>
          </cell>
          <cell r="F56" t="str">
            <v>107</v>
          </cell>
          <cell r="G56" t="str">
            <v>Phường Ngọc Lâm</v>
          </cell>
          <cell r="I56" t="str">
            <v>10106</v>
          </cell>
        </row>
        <row r="57">
          <cell r="B57" t="str">
            <v>Thái Nguyên</v>
          </cell>
          <cell r="D57" t="str">
            <v>Huyện Tứ Kỳ</v>
          </cell>
          <cell r="F57" t="str">
            <v>107</v>
          </cell>
          <cell r="G57" t="str">
            <v>Phường Long Biên</v>
          </cell>
          <cell r="I57" t="str">
            <v>10106</v>
          </cell>
        </row>
        <row r="58">
          <cell r="B58" t="str">
            <v>Thanh Hoá</v>
          </cell>
          <cell r="D58" t="str">
            <v>Huyện Cẩm Giàng</v>
          </cell>
          <cell r="F58" t="str">
            <v>107</v>
          </cell>
          <cell r="G58" t="str">
            <v>Phường Lê Đại Hành</v>
          </cell>
          <cell r="I58" t="str">
            <v>10107</v>
          </cell>
        </row>
        <row r="59">
          <cell r="B59" t="str">
            <v>Thừa Thiên - Huế</v>
          </cell>
          <cell r="D59" t="str">
            <v>Huyện Bình Giang</v>
          </cell>
          <cell r="F59" t="str">
            <v>107</v>
          </cell>
          <cell r="G59" t="str">
            <v>Phường Đồng Nhân</v>
          </cell>
          <cell r="I59" t="str">
            <v>10107</v>
          </cell>
        </row>
        <row r="60">
          <cell r="B60" t="str">
            <v>Tiền Giang</v>
          </cell>
          <cell r="D60" t="str">
            <v>Huyện Thanh Miện</v>
          </cell>
          <cell r="F60" t="str">
            <v>107</v>
          </cell>
          <cell r="G60" t="str">
            <v>Phường Đống Mác</v>
          </cell>
          <cell r="I60" t="str">
            <v>10107</v>
          </cell>
        </row>
        <row r="61">
          <cell r="B61" t="str">
            <v>TP Hồ Chí Minh</v>
          </cell>
          <cell r="D61" t="str">
            <v>Huyện Ninh Giang</v>
          </cell>
          <cell r="F61" t="str">
            <v>107</v>
          </cell>
          <cell r="G61" t="str">
            <v>Phường Thanh Lương</v>
          </cell>
          <cell r="I61" t="str">
            <v>10107</v>
          </cell>
        </row>
        <row r="62">
          <cell r="B62" t="str">
            <v>Trà Vinh</v>
          </cell>
          <cell r="D62" t="str">
            <v>Thành phố Hưng yên</v>
          </cell>
          <cell r="F62" t="str">
            <v>109</v>
          </cell>
          <cell r="G62" t="str">
            <v>Phường Thanh Nhàn</v>
          </cell>
          <cell r="I62" t="str">
            <v>10107</v>
          </cell>
        </row>
        <row r="63">
          <cell r="B63" t="str">
            <v>Tuyên Quang</v>
          </cell>
          <cell r="D63" t="str">
            <v>Huyện Mỹ Hào</v>
          </cell>
          <cell r="F63" t="str">
            <v>109</v>
          </cell>
          <cell r="G63" t="str">
            <v>Phường Cầu Dền</v>
          </cell>
          <cell r="I63" t="str">
            <v>10107</v>
          </cell>
        </row>
        <row r="64">
          <cell r="B64" t="str">
            <v>Vĩnh Long</v>
          </cell>
          <cell r="D64" t="str">
            <v xml:space="preserve">Huyện Khoái Châu </v>
          </cell>
          <cell r="F64" t="str">
            <v>109</v>
          </cell>
          <cell r="G64" t="str">
            <v>Phường Bách Khoa</v>
          </cell>
          <cell r="I64" t="str">
            <v>10107</v>
          </cell>
        </row>
        <row r="65">
          <cell r="B65" t="str">
            <v>Vĩnh Phúc</v>
          </cell>
          <cell r="D65" t="str">
            <v>Huyện Ân Thi</v>
          </cell>
          <cell r="F65" t="str">
            <v>109</v>
          </cell>
          <cell r="G65" t="str">
            <v>Phường Đồng Tâm</v>
          </cell>
          <cell r="I65" t="str">
            <v>10107</v>
          </cell>
        </row>
        <row r="66">
          <cell r="B66" t="str">
            <v>Yên Bái</v>
          </cell>
          <cell r="D66" t="str">
            <v>Huyện Kim Động</v>
          </cell>
          <cell r="F66" t="str">
            <v>109</v>
          </cell>
          <cell r="G66" t="str">
            <v>Phường Vĩnh Tuy</v>
          </cell>
          <cell r="I66" t="str">
            <v>10107</v>
          </cell>
        </row>
        <row r="67">
          <cell r="B67" t="str">
            <v>Khác</v>
          </cell>
          <cell r="D67" t="str">
            <v>Huyện Phù Cừ</v>
          </cell>
          <cell r="F67" t="str">
            <v>109</v>
          </cell>
          <cell r="G67" t="str">
            <v>Phường Bạch Mai</v>
          </cell>
          <cell r="I67" t="str">
            <v>10107</v>
          </cell>
        </row>
        <row r="68">
          <cell r="D68" t="str">
            <v>Huyện Tiên Lữ</v>
          </cell>
          <cell r="F68" t="str">
            <v>109</v>
          </cell>
          <cell r="G68" t="str">
            <v>Phường Quỳnh Lôi</v>
          </cell>
          <cell r="I68" t="str">
            <v>10107</v>
          </cell>
        </row>
        <row r="69">
          <cell r="D69" t="str">
            <v>Huyện Văn Giang</v>
          </cell>
          <cell r="F69" t="str">
            <v>109</v>
          </cell>
          <cell r="G69" t="str">
            <v>Phường Trương Định</v>
          </cell>
          <cell r="I69" t="str">
            <v>10107</v>
          </cell>
        </row>
        <row r="70">
          <cell r="D70" t="str">
            <v>Huyện Văn Lâm</v>
          </cell>
          <cell r="F70" t="str">
            <v>109</v>
          </cell>
          <cell r="G70" t="str">
            <v>Phường Ngô Thì Nhậm</v>
          </cell>
          <cell r="I70" t="str">
            <v>10107</v>
          </cell>
        </row>
        <row r="71">
          <cell r="D71" t="str">
            <v>Huyện Yên Mỹ</v>
          </cell>
          <cell r="F71" t="str">
            <v>109</v>
          </cell>
          <cell r="G71" t="str">
            <v>Phường Bạch Đằng</v>
          </cell>
          <cell r="I71" t="str">
            <v>10107</v>
          </cell>
        </row>
        <row r="72">
          <cell r="D72" t="str">
            <v>Thành phố Phủ Lý</v>
          </cell>
          <cell r="F72" t="str">
            <v>111</v>
          </cell>
          <cell r="G72" t="str">
            <v>Phường Phạm Đình Hổ</v>
          </cell>
          <cell r="I72" t="str">
            <v>10107</v>
          </cell>
        </row>
        <row r="73">
          <cell r="D73" t="str">
            <v>Huyện Duy Tiên</v>
          </cell>
          <cell r="F73" t="str">
            <v>111</v>
          </cell>
          <cell r="G73" t="str">
            <v>Phường Bùi Thị Xuân</v>
          </cell>
          <cell r="I73" t="str">
            <v>10107</v>
          </cell>
        </row>
        <row r="74">
          <cell r="D74" t="str">
            <v>Huyện Kim Bảng</v>
          </cell>
          <cell r="F74" t="str">
            <v>111</v>
          </cell>
          <cell r="G74" t="str">
            <v>Phường Phố Huế</v>
          </cell>
          <cell r="I74" t="str">
            <v>10107</v>
          </cell>
        </row>
        <row r="75">
          <cell r="D75" t="str">
            <v>Huyện Lý Nhân</v>
          </cell>
          <cell r="F75" t="str">
            <v>111</v>
          </cell>
          <cell r="G75" t="str">
            <v>Phường Minh Khai</v>
          </cell>
          <cell r="I75" t="str">
            <v>10107</v>
          </cell>
        </row>
        <row r="76">
          <cell r="D76" t="str">
            <v>Huyện Thanh Liêm</v>
          </cell>
          <cell r="F76" t="str">
            <v>111</v>
          </cell>
          <cell r="G76" t="str">
            <v>Phường Quỳnh Mai</v>
          </cell>
          <cell r="I76" t="str">
            <v>10107</v>
          </cell>
        </row>
        <row r="77">
          <cell r="D77" t="str">
            <v>Huyện Bình Lục</v>
          </cell>
          <cell r="F77" t="str">
            <v>111</v>
          </cell>
          <cell r="G77" t="str">
            <v>Phường Nguyễn Du</v>
          </cell>
          <cell r="I77" t="str">
            <v>10107</v>
          </cell>
        </row>
        <row r="78">
          <cell r="D78" t="str">
            <v>Thành phố Nam Định</v>
          </cell>
          <cell r="F78" t="str">
            <v>113</v>
          </cell>
          <cell r="G78" t="str">
            <v>Phường Vĩnh Hưng</v>
          </cell>
          <cell r="I78" t="str">
            <v>10108</v>
          </cell>
        </row>
        <row r="79">
          <cell r="D79" t="str">
            <v>Huyện Vụ Bản</v>
          </cell>
          <cell r="F79" t="str">
            <v>113</v>
          </cell>
          <cell r="G79" t="str">
            <v>Phường Định Công</v>
          </cell>
          <cell r="I79" t="str">
            <v>10108</v>
          </cell>
        </row>
        <row r="80">
          <cell r="D80" t="str">
            <v>Huyện Mỹ Lộc</v>
          </cell>
          <cell r="F80" t="str">
            <v>113</v>
          </cell>
          <cell r="G80" t="str">
            <v>Phường Mai Động</v>
          </cell>
          <cell r="I80" t="str">
            <v>10108</v>
          </cell>
        </row>
        <row r="81">
          <cell r="D81" t="str">
            <v>Huyện ý Yên</v>
          </cell>
          <cell r="F81" t="str">
            <v>113</v>
          </cell>
          <cell r="G81" t="str">
            <v>Phường Tương Mai</v>
          </cell>
          <cell r="I81" t="str">
            <v>10108</v>
          </cell>
        </row>
        <row r="82">
          <cell r="D82" t="str">
            <v>Huyện Nam Trực</v>
          </cell>
          <cell r="F82" t="str">
            <v>113</v>
          </cell>
          <cell r="G82" t="str">
            <v>Phường Tân Mai</v>
          </cell>
          <cell r="I82" t="str">
            <v>10108</v>
          </cell>
        </row>
        <row r="83">
          <cell r="D83" t="str">
            <v>Huyện Trực Ninh</v>
          </cell>
          <cell r="F83" t="str">
            <v>113</v>
          </cell>
          <cell r="G83" t="str">
            <v>Phường Hoàng Văn Thụ</v>
          </cell>
          <cell r="I83" t="str">
            <v>10108</v>
          </cell>
        </row>
        <row r="84">
          <cell r="D84" t="str">
            <v>Huyện Xuân Trường</v>
          </cell>
          <cell r="F84" t="str">
            <v>113</v>
          </cell>
          <cell r="G84" t="str">
            <v>Phường Giáp Bát</v>
          </cell>
          <cell r="I84" t="str">
            <v>10108</v>
          </cell>
        </row>
        <row r="85">
          <cell r="D85" t="str">
            <v>Huyện Giao Thuỷ</v>
          </cell>
          <cell r="F85" t="str">
            <v>113</v>
          </cell>
          <cell r="G85" t="str">
            <v>Phường Thịnh Liệt</v>
          </cell>
          <cell r="I85" t="str">
            <v>10108</v>
          </cell>
        </row>
        <row r="86">
          <cell r="D86" t="str">
            <v>Huyện Nghĩa Hưng</v>
          </cell>
          <cell r="F86" t="str">
            <v>113</v>
          </cell>
          <cell r="G86" t="str">
            <v>Phường Hoàng Liệt</v>
          </cell>
          <cell r="I86" t="str">
            <v>10108</v>
          </cell>
        </row>
        <row r="87">
          <cell r="D87" t="str">
            <v>Huyện Hải Hậu</v>
          </cell>
          <cell r="F87" t="str">
            <v>113</v>
          </cell>
          <cell r="G87" t="str">
            <v>Phường Trần Phú</v>
          </cell>
          <cell r="I87" t="str">
            <v>10108</v>
          </cell>
        </row>
        <row r="88">
          <cell r="D88" t="str">
            <v>Thành phố Thái Bình</v>
          </cell>
          <cell r="F88" t="str">
            <v>115</v>
          </cell>
          <cell r="G88" t="str">
            <v>Phường Thanh Trì</v>
          </cell>
          <cell r="I88" t="str">
            <v>10108</v>
          </cell>
        </row>
        <row r="89">
          <cell r="D89" t="str">
            <v>Huyện Quỳnh Phụ</v>
          </cell>
          <cell r="F89" t="str">
            <v>115</v>
          </cell>
          <cell r="G89" t="str">
            <v>Phường Đại Kim</v>
          </cell>
          <cell r="I89" t="str">
            <v>10108</v>
          </cell>
        </row>
        <row r="90">
          <cell r="D90" t="str">
            <v>Huyện Hưng Hà</v>
          </cell>
          <cell r="F90" t="str">
            <v>115</v>
          </cell>
          <cell r="G90" t="str">
            <v>Phường Lĩnh Nam</v>
          </cell>
          <cell r="I90" t="str">
            <v>10108</v>
          </cell>
        </row>
        <row r="91">
          <cell r="D91" t="str">
            <v>Huyện Thái Thụy</v>
          </cell>
          <cell r="F91" t="str">
            <v>115</v>
          </cell>
          <cell r="G91" t="str">
            <v>Phường Yên Sở</v>
          </cell>
          <cell r="I91" t="str">
            <v>10108</v>
          </cell>
        </row>
        <row r="92">
          <cell r="D92" t="str">
            <v>Huyện Đông Hưng</v>
          </cell>
          <cell r="F92" t="str">
            <v>115</v>
          </cell>
          <cell r="G92" t="str">
            <v>Phường Cát Linh</v>
          </cell>
          <cell r="I92" t="str">
            <v>10109</v>
          </cell>
        </row>
        <row r="93">
          <cell r="D93" t="str">
            <v>Huyện Vũ Thư</v>
          </cell>
          <cell r="F93" t="str">
            <v>115</v>
          </cell>
          <cell r="G93" t="str">
            <v>Phường Văn Miếu</v>
          </cell>
          <cell r="I93" t="str">
            <v>10109</v>
          </cell>
        </row>
        <row r="94">
          <cell r="D94" t="str">
            <v>Huyện Kiến Xương</v>
          </cell>
          <cell r="F94" t="str">
            <v>115</v>
          </cell>
          <cell r="G94" t="str">
            <v>Phường Láng Thượng</v>
          </cell>
          <cell r="I94" t="str">
            <v>10109</v>
          </cell>
        </row>
        <row r="95">
          <cell r="D95" t="str">
            <v>Huyện Tiền Hải</v>
          </cell>
          <cell r="F95" t="str">
            <v>115</v>
          </cell>
          <cell r="G95" t="str">
            <v>Phường ô Chợ Dừa</v>
          </cell>
          <cell r="I95" t="str">
            <v>10109</v>
          </cell>
        </row>
        <row r="96">
          <cell r="D96" t="str">
            <v>Thành phố Ninh Bình</v>
          </cell>
          <cell r="F96" t="str">
            <v>117</v>
          </cell>
          <cell r="G96" t="str">
            <v>Phường Hàng Bột</v>
          </cell>
          <cell r="I96" t="str">
            <v>10109</v>
          </cell>
        </row>
        <row r="97">
          <cell r="D97" t="str">
            <v>Thị xã Tam Điệp</v>
          </cell>
          <cell r="F97" t="str">
            <v>117</v>
          </cell>
          <cell r="G97" t="str">
            <v>Phường Khâm Thiên</v>
          </cell>
          <cell r="I97" t="str">
            <v>10109</v>
          </cell>
        </row>
        <row r="98">
          <cell r="D98" t="str">
            <v>Huyện Nho quan</v>
          </cell>
          <cell r="F98" t="str">
            <v>117</v>
          </cell>
          <cell r="G98" t="str">
            <v>Phường Thổ Quan</v>
          </cell>
          <cell r="I98" t="str">
            <v>10109</v>
          </cell>
        </row>
        <row r="99">
          <cell r="D99" t="str">
            <v>Huyện Gia Viễn</v>
          </cell>
          <cell r="F99" t="str">
            <v>117</v>
          </cell>
          <cell r="G99" t="str">
            <v>Phường Nam Đồng</v>
          </cell>
          <cell r="I99" t="str">
            <v>10109</v>
          </cell>
        </row>
        <row r="100">
          <cell r="D100" t="str">
            <v>Huyện Hoa Lư</v>
          </cell>
          <cell r="F100" t="str">
            <v>117</v>
          </cell>
          <cell r="G100" t="str">
            <v>Phường Quang Trung</v>
          </cell>
          <cell r="I100" t="str">
            <v>10109</v>
          </cell>
        </row>
        <row r="101">
          <cell r="D101" t="str">
            <v>Huyện Yên Mô</v>
          </cell>
          <cell r="F101" t="str">
            <v>117</v>
          </cell>
          <cell r="G101" t="str">
            <v>Phường Trung Liệt</v>
          </cell>
          <cell r="I101" t="str">
            <v>10109</v>
          </cell>
        </row>
        <row r="102">
          <cell r="D102" t="str">
            <v>Huyện Yên Khánh</v>
          </cell>
          <cell r="F102" t="str">
            <v>117</v>
          </cell>
          <cell r="G102" t="str">
            <v>Phường Phương Liên</v>
          </cell>
          <cell r="I102" t="str">
            <v>10109</v>
          </cell>
        </row>
        <row r="103">
          <cell r="D103" t="str">
            <v>Huyện Kim Sơn</v>
          </cell>
          <cell r="F103" t="str">
            <v>117</v>
          </cell>
          <cell r="G103" t="str">
            <v>Phường Thịnh Quang</v>
          </cell>
          <cell r="I103" t="str">
            <v>10109</v>
          </cell>
        </row>
        <row r="104">
          <cell r="D104" t="str">
            <v>TP Hà Giang</v>
          </cell>
          <cell r="F104" t="str">
            <v>201</v>
          </cell>
          <cell r="G104" t="str">
            <v>Phường Kim Liên</v>
          </cell>
          <cell r="I104" t="str">
            <v>10109</v>
          </cell>
        </row>
        <row r="105">
          <cell r="D105" t="str">
            <v>Huyện Đồng Văn</v>
          </cell>
          <cell r="F105" t="str">
            <v>201</v>
          </cell>
          <cell r="G105" t="str">
            <v>Phường Ngã Tư Sở</v>
          </cell>
          <cell r="I105" t="str">
            <v>10109</v>
          </cell>
        </row>
        <row r="106">
          <cell r="D106" t="str">
            <v>Huyện Mèo Vạc</v>
          </cell>
          <cell r="F106" t="str">
            <v>201</v>
          </cell>
          <cell r="G106" t="str">
            <v>Phường Khương Thượng</v>
          </cell>
          <cell r="I106" t="str">
            <v>10109</v>
          </cell>
        </row>
        <row r="107">
          <cell r="D107" t="str">
            <v>Huyện Yên Minh</v>
          </cell>
          <cell r="F107" t="str">
            <v>201</v>
          </cell>
          <cell r="G107" t="str">
            <v>Phường Văn Chương</v>
          </cell>
          <cell r="I107" t="str">
            <v>10109</v>
          </cell>
        </row>
        <row r="108">
          <cell r="D108" t="str">
            <v>Huyện Quản Bạ</v>
          </cell>
          <cell r="F108" t="str">
            <v>201</v>
          </cell>
          <cell r="G108" t="str">
            <v>Phường Phương Mai</v>
          </cell>
          <cell r="I108" t="str">
            <v>10109</v>
          </cell>
        </row>
        <row r="109">
          <cell r="D109" t="str">
            <v>Huyện Bắc Mê</v>
          </cell>
          <cell r="F109" t="str">
            <v>201</v>
          </cell>
          <cell r="G109" t="str">
            <v>Phường Quốc Tử Giám</v>
          </cell>
          <cell r="I109" t="str">
            <v>10109</v>
          </cell>
        </row>
        <row r="110">
          <cell r="D110" t="str">
            <v>Huyện Hoàng Su Phì</v>
          </cell>
          <cell r="F110" t="str">
            <v>201</v>
          </cell>
          <cell r="G110" t="str">
            <v>Phường Láng Hạ</v>
          </cell>
          <cell r="I110" t="str">
            <v>10109</v>
          </cell>
        </row>
        <row r="111">
          <cell r="D111" t="str">
            <v>Huyện Vị Xuyên</v>
          </cell>
          <cell r="F111" t="str">
            <v>201</v>
          </cell>
          <cell r="G111" t="str">
            <v>Phường Trung Phụng</v>
          </cell>
          <cell r="I111" t="str">
            <v>10109</v>
          </cell>
        </row>
        <row r="112">
          <cell r="D112" t="str">
            <v>Huyện Xín Mần</v>
          </cell>
          <cell r="F112" t="str">
            <v>201</v>
          </cell>
          <cell r="G112" t="str">
            <v>Phường Trung Tự</v>
          </cell>
          <cell r="I112" t="str">
            <v>10109</v>
          </cell>
        </row>
        <row r="113">
          <cell r="D113" t="str">
            <v>Huyện Quang Bình</v>
          </cell>
          <cell r="F113" t="str">
            <v>201</v>
          </cell>
          <cell r="G113" t="str">
            <v>Phường Nhân Chính</v>
          </cell>
          <cell r="I113" t="str">
            <v>10111</v>
          </cell>
        </row>
        <row r="114">
          <cell r="D114" t="str">
            <v>Huyện Bắc Quang</v>
          </cell>
          <cell r="F114" t="str">
            <v>201</v>
          </cell>
          <cell r="G114" t="str">
            <v>Phường Thượng Đình</v>
          </cell>
          <cell r="I114" t="str">
            <v>10111</v>
          </cell>
        </row>
        <row r="115">
          <cell r="D115" t="str">
            <v>Thành phố Cao Bằng</v>
          </cell>
          <cell r="F115" t="str">
            <v>203</v>
          </cell>
          <cell r="G115" t="str">
            <v>Phường Khương Trung</v>
          </cell>
          <cell r="I115" t="str">
            <v>10111</v>
          </cell>
        </row>
        <row r="116">
          <cell r="D116" t="str">
            <v>Huyện Bảo Lạc</v>
          </cell>
          <cell r="F116" t="str">
            <v>203</v>
          </cell>
          <cell r="G116" t="str">
            <v>Phường Thanh Xuân Trung</v>
          </cell>
          <cell r="I116" t="str">
            <v>10111</v>
          </cell>
        </row>
        <row r="117">
          <cell r="D117" t="str">
            <v>Huyện Hà Quảng</v>
          </cell>
          <cell r="F117" t="str">
            <v>203</v>
          </cell>
          <cell r="G117" t="str">
            <v>Phường Phương Liệt</v>
          </cell>
          <cell r="I117" t="str">
            <v>10111</v>
          </cell>
        </row>
        <row r="118">
          <cell r="D118" t="str">
            <v>Huyện Thông Nông</v>
          </cell>
          <cell r="F118" t="str">
            <v>203</v>
          </cell>
          <cell r="G118" t="str">
            <v>Phường Hạ Đình</v>
          </cell>
          <cell r="I118" t="str">
            <v>10111</v>
          </cell>
        </row>
        <row r="119">
          <cell r="D119" t="str">
            <v>Huyện Trà Lĩnh</v>
          </cell>
          <cell r="F119" t="str">
            <v>203</v>
          </cell>
          <cell r="G119" t="str">
            <v>Phường Khương Đình</v>
          </cell>
          <cell r="I119" t="str">
            <v>10111</v>
          </cell>
        </row>
        <row r="120">
          <cell r="D120" t="str">
            <v>Huyện Trùng Khánh</v>
          </cell>
          <cell r="F120" t="str">
            <v>203</v>
          </cell>
          <cell r="G120" t="str">
            <v>Phường Kim Giang</v>
          </cell>
          <cell r="I120" t="str">
            <v>10111</v>
          </cell>
        </row>
        <row r="121">
          <cell r="D121" t="str">
            <v>Huyện Nguyên Bình</v>
          </cell>
          <cell r="F121" t="str">
            <v>203</v>
          </cell>
          <cell r="G121" t="str">
            <v>Phường Thanh Xuân Nam</v>
          </cell>
          <cell r="I121" t="str">
            <v>10111</v>
          </cell>
        </row>
        <row r="122">
          <cell r="D122" t="str">
            <v>Huyện Hòa An</v>
          </cell>
          <cell r="F122" t="str">
            <v>203</v>
          </cell>
          <cell r="G122" t="str">
            <v>Phường Khương Mai</v>
          </cell>
          <cell r="I122" t="str">
            <v>10111</v>
          </cell>
        </row>
        <row r="123">
          <cell r="D123" t="str">
            <v>Huyện Quảng Uyên</v>
          </cell>
          <cell r="F123" t="str">
            <v>203</v>
          </cell>
          <cell r="G123" t="str">
            <v>Phường Thanh Xuân Bắc</v>
          </cell>
          <cell r="I123" t="str">
            <v>10111</v>
          </cell>
        </row>
        <row r="124">
          <cell r="D124" t="str">
            <v>Huyện Phục Hòa</v>
          </cell>
          <cell r="F124" t="str">
            <v>203</v>
          </cell>
          <cell r="G124" t="str">
            <v>Phường Mai Dịch</v>
          </cell>
          <cell r="I124" t="str">
            <v>10113</v>
          </cell>
        </row>
        <row r="125">
          <cell r="D125" t="str">
            <v>Huyện Hạ Lang</v>
          </cell>
          <cell r="F125" t="str">
            <v>203</v>
          </cell>
          <cell r="G125" t="str">
            <v>Phường Dịch Vọng</v>
          </cell>
          <cell r="I125" t="str">
            <v>10113</v>
          </cell>
        </row>
        <row r="126">
          <cell r="D126" t="str">
            <v>Huyện Thạch An</v>
          </cell>
          <cell r="F126" t="str">
            <v>203</v>
          </cell>
          <cell r="G126" t="str">
            <v>Phường Dịch Vọng Hậu</v>
          </cell>
          <cell r="I126" t="str">
            <v>10113</v>
          </cell>
        </row>
        <row r="127">
          <cell r="D127" t="str">
            <v>Huyện Bảo Lâm</v>
          </cell>
          <cell r="F127" t="str">
            <v>203</v>
          </cell>
          <cell r="G127" t="str">
            <v>Phường Quan Hoa</v>
          </cell>
          <cell r="I127" t="str">
            <v>10113</v>
          </cell>
        </row>
        <row r="128">
          <cell r="D128" t="str">
            <v>Thành phố Lào Cai</v>
          </cell>
          <cell r="F128" t="str">
            <v>205</v>
          </cell>
          <cell r="G128" t="str">
            <v>Phường Trung Hòa</v>
          </cell>
          <cell r="I128" t="str">
            <v>10113</v>
          </cell>
        </row>
        <row r="129">
          <cell r="D129" t="str">
            <v>Huyện Mường Khương</v>
          </cell>
          <cell r="F129" t="str">
            <v>205</v>
          </cell>
          <cell r="G129" t="str">
            <v>Phường Nghĩa Đô</v>
          </cell>
          <cell r="I129" t="str">
            <v>10113</v>
          </cell>
        </row>
        <row r="130">
          <cell r="D130" t="str">
            <v>Huyện Bát Xát</v>
          </cell>
          <cell r="F130" t="str">
            <v>205</v>
          </cell>
          <cell r="G130" t="str">
            <v>Phường Nghĩa Tân</v>
          </cell>
          <cell r="I130" t="str">
            <v>10113</v>
          </cell>
        </row>
        <row r="131">
          <cell r="D131" t="str">
            <v>Huyện Bắc Hà</v>
          </cell>
          <cell r="F131" t="str">
            <v>205</v>
          </cell>
          <cell r="G131" t="str">
            <v>Phường Yên Hòa</v>
          </cell>
          <cell r="I131" t="str">
            <v>10113</v>
          </cell>
        </row>
        <row r="132">
          <cell r="D132" t="str">
            <v>Huyện Bảo Thắng</v>
          </cell>
          <cell r="F132" t="str">
            <v>205</v>
          </cell>
          <cell r="G132" t="str">
            <v>Thị trấn Sóc Sơn</v>
          </cell>
          <cell r="I132" t="str">
            <v>10115</v>
          </cell>
        </row>
        <row r="133">
          <cell r="D133" t="str">
            <v>Huyện Sa Pa</v>
          </cell>
          <cell r="F133" t="str">
            <v>205</v>
          </cell>
          <cell r="G133" t="str">
            <v>Xã Bắc Sơn</v>
          </cell>
          <cell r="I133" t="str">
            <v>10115</v>
          </cell>
        </row>
        <row r="134">
          <cell r="D134" t="str">
            <v>Huyện Bảo Yên</v>
          </cell>
          <cell r="F134" t="str">
            <v>205</v>
          </cell>
          <cell r="G134" t="str">
            <v>Xã Hồng Kỳ</v>
          </cell>
          <cell r="I134" t="str">
            <v>10115</v>
          </cell>
        </row>
        <row r="135">
          <cell r="D135" t="str">
            <v>Huyện Văn Bàn</v>
          </cell>
          <cell r="F135" t="str">
            <v>205</v>
          </cell>
          <cell r="G135" t="str">
            <v>Xã Nam Sơn</v>
          </cell>
          <cell r="I135" t="str">
            <v>10115</v>
          </cell>
        </row>
        <row r="136">
          <cell r="D136" t="str">
            <v>Huyện Si Ma Cai</v>
          </cell>
          <cell r="F136" t="str">
            <v>205</v>
          </cell>
          <cell r="G136" t="str">
            <v>Xã Trung Giã</v>
          </cell>
          <cell r="I136" t="str">
            <v>10115</v>
          </cell>
        </row>
        <row r="137">
          <cell r="D137" t="str">
            <v>Thị xã Bắc Cạn</v>
          </cell>
          <cell r="F137" t="str">
            <v>207</v>
          </cell>
          <cell r="G137" t="str">
            <v>Xã Minh Phú</v>
          </cell>
          <cell r="I137" t="str">
            <v>10115</v>
          </cell>
        </row>
        <row r="138">
          <cell r="D138" t="str">
            <v>Huyện Ba Bể</v>
          </cell>
          <cell r="F138" t="str">
            <v>207</v>
          </cell>
          <cell r="G138" t="str">
            <v>Xã Phù Linh</v>
          </cell>
          <cell r="I138" t="str">
            <v>10115</v>
          </cell>
        </row>
        <row r="139">
          <cell r="D139" t="str">
            <v>Huyện Pác Nặm</v>
          </cell>
          <cell r="F139" t="str">
            <v>207</v>
          </cell>
          <cell r="G139" t="str">
            <v>Xã Bắc Phú</v>
          </cell>
          <cell r="I139" t="str">
            <v>10115</v>
          </cell>
        </row>
        <row r="140">
          <cell r="D140" t="str">
            <v>Huyện Ngân Sơn</v>
          </cell>
          <cell r="F140" t="str">
            <v>207</v>
          </cell>
          <cell r="G140" t="str">
            <v>Xã Quang Tiến</v>
          </cell>
          <cell r="I140" t="str">
            <v>10115</v>
          </cell>
        </row>
        <row r="141">
          <cell r="D141" t="str">
            <v>Huyện Chợ Đồn</v>
          </cell>
          <cell r="F141" t="str">
            <v>207</v>
          </cell>
          <cell r="G141" t="str">
            <v>Xã Hiền Ninh</v>
          </cell>
          <cell r="I141" t="str">
            <v>10115</v>
          </cell>
        </row>
        <row r="142">
          <cell r="D142" t="str">
            <v>Huyện Na Rì</v>
          </cell>
          <cell r="F142" t="str">
            <v>207</v>
          </cell>
          <cell r="G142" t="str">
            <v>Xã Việt Long</v>
          </cell>
          <cell r="I142" t="str">
            <v>10115</v>
          </cell>
        </row>
        <row r="143">
          <cell r="D143" t="str">
            <v>Huyện Bạch Thông</v>
          </cell>
          <cell r="F143" t="str">
            <v>207</v>
          </cell>
          <cell r="G143" t="str">
            <v>Xã Xuân Giang</v>
          </cell>
          <cell r="I143" t="str">
            <v>10115</v>
          </cell>
        </row>
        <row r="144">
          <cell r="D144" t="str">
            <v>Huyện Chợ mới</v>
          </cell>
          <cell r="F144" t="str">
            <v>207</v>
          </cell>
          <cell r="G144" t="str">
            <v>Xã Mai Đình</v>
          </cell>
          <cell r="I144" t="str">
            <v>10115</v>
          </cell>
        </row>
        <row r="145">
          <cell r="D145" t="str">
            <v>Thành phố Lạng Sơn</v>
          </cell>
          <cell r="F145" t="str">
            <v>209</v>
          </cell>
          <cell r="G145" t="str">
            <v>Xã Thanh Xuân</v>
          </cell>
          <cell r="I145" t="str">
            <v>10115</v>
          </cell>
        </row>
        <row r="146">
          <cell r="D146" t="str">
            <v>Huyện Tràng Định</v>
          </cell>
          <cell r="F146" t="str">
            <v>209</v>
          </cell>
          <cell r="G146" t="str">
            <v>Xã Đông Xuân</v>
          </cell>
          <cell r="I146" t="str">
            <v>10115</v>
          </cell>
        </row>
        <row r="147">
          <cell r="D147" t="str">
            <v>Huyện Văn Lãng</v>
          </cell>
          <cell r="F147" t="str">
            <v>209</v>
          </cell>
          <cell r="G147" t="str">
            <v>Xã Kim Lũ</v>
          </cell>
          <cell r="I147" t="str">
            <v>10115</v>
          </cell>
        </row>
        <row r="148">
          <cell r="D148" t="str">
            <v>Huyện Bình Gia</v>
          </cell>
          <cell r="F148" t="str">
            <v>209</v>
          </cell>
          <cell r="G148" t="str">
            <v>Xã Phú Minh</v>
          </cell>
          <cell r="I148" t="str">
            <v>10115</v>
          </cell>
        </row>
        <row r="149">
          <cell r="D149" t="str">
            <v>Huyện Bắc Sơn</v>
          </cell>
          <cell r="F149" t="str">
            <v>209</v>
          </cell>
          <cell r="G149" t="str">
            <v>Xã Xuân Thu</v>
          </cell>
          <cell r="I149" t="str">
            <v>10115</v>
          </cell>
        </row>
        <row r="150">
          <cell r="D150" t="str">
            <v>Huyện Văn Quan</v>
          </cell>
          <cell r="F150" t="str">
            <v>209</v>
          </cell>
          <cell r="G150" t="str">
            <v>Xã Tân Dân</v>
          </cell>
          <cell r="I150" t="str">
            <v>10115</v>
          </cell>
        </row>
        <row r="151">
          <cell r="D151" t="str">
            <v>Huyện Cao Lộc</v>
          </cell>
          <cell r="F151" t="str">
            <v>209</v>
          </cell>
          <cell r="G151" t="str">
            <v>Xã Phù Lỗ</v>
          </cell>
          <cell r="I151" t="str">
            <v>10115</v>
          </cell>
        </row>
        <row r="152">
          <cell r="D152" t="str">
            <v>Huyện Lộc Bình</v>
          </cell>
          <cell r="F152" t="str">
            <v>209</v>
          </cell>
          <cell r="G152" t="str">
            <v>Xã Minh Trí</v>
          </cell>
          <cell r="I152" t="str">
            <v>10115</v>
          </cell>
        </row>
        <row r="153">
          <cell r="D153" t="str">
            <v>Huyện Chi Lăng</v>
          </cell>
          <cell r="F153" t="str">
            <v>209</v>
          </cell>
          <cell r="G153" t="str">
            <v>Xã Tân Hưng</v>
          </cell>
          <cell r="I153" t="str">
            <v>10115</v>
          </cell>
        </row>
        <row r="154">
          <cell r="D154" t="str">
            <v>Huyện Đình Lập</v>
          </cell>
          <cell r="F154" t="str">
            <v>209</v>
          </cell>
          <cell r="G154" t="str">
            <v>Xã Tân Minh</v>
          </cell>
          <cell r="I154" t="str">
            <v>10115</v>
          </cell>
        </row>
        <row r="155">
          <cell r="D155" t="str">
            <v>Huyện Hữu Lũng</v>
          </cell>
          <cell r="F155" t="str">
            <v>209</v>
          </cell>
          <cell r="G155" t="str">
            <v>Xã Tiên Dược</v>
          </cell>
          <cell r="I155" t="str">
            <v>10115</v>
          </cell>
        </row>
        <row r="156">
          <cell r="D156" t="str">
            <v>Thành Phố Tuyên Quang</v>
          </cell>
          <cell r="F156" t="str">
            <v>211</v>
          </cell>
          <cell r="G156" t="str">
            <v>Xã Đức Hòa</v>
          </cell>
          <cell r="I156" t="str">
            <v>10115</v>
          </cell>
        </row>
        <row r="157">
          <cell r="D157" t="str">
            <v>Huyện Na Hang</v>
          </cell>
          <cell r="F157" t="str">
            <v>211</v>
          </cell>
          <cell r="G157" t="str">
            <v>Xã Phú Cường</v>
          </cell>
          <cell r="I157" t="str">
            <v>10115</v>
          </cell>
        </row>
        <row r="158">
          <cell r="D158" t="str">
            <v>Huyện Chiêm Hoá</v>
          </cell>
          <cell r="F158" t="str">
            <v>211</v>
          </cell>
          <cell r="G158" t="str">
            <v>Xã Xuân Nộn</v>
          </cell>
          <cell r="I158" t="str">
            <v>10117</v>
          </cell>
        </row>
        <row r="159">
          <cell r="D159" t="str">
            <v>Huyện Hàm Yên</v>
          </cell>
          <cell r="F159" t="str">
            <v>211</v>
          </cell>
          <cell r="G159" t="str">
            <v>Xã Thuỵ Lâm</v>
          </cell>
          <cell r="I159" t="str">
            <v>10117</v>
          </cell>
        </row>
        <row r="160">
          <cell r="D160" t="str">
            <v>Huyện Yên Sơn</v>
          </cell>
          <cell r="F160" t="str">
            <v>211</v>
          </cell>
          <cell r="G160" t="str">
            <v>Xã Bắc Hồng</v>
          </cell>
          <cell r="I160" t="str">
            <v>10117</v>
          </cell>
        </row>
        <row r="161">
          <cell r="D161" t="str">
            <v>Huyện Sơn Dương</v>
          </cell>
          <cell r="F161" t="str">
            <v>211</v>
          </cell>
          <cell r="G161" t="str">
            <v>Xã Nam Hồng</v>
          </cell>
          <cell r="I161" t="str">
            <v>10117</v>
          </cell>
        </row>
        <row r="162">
          <cell r="D162" t="str">
            <v>Huyện Lâm Bình</v>
          </cell>
          <cell r="F162" t="str">
            <v>211</v>
          </cell>
          <cell r="G162" t="str">
            <v>Xã Tiên Dương</v>
          </cell>
          <cell r="I162" t="str">
            <v>10117</v>
          </cell>
        </row>
        <row r="163">
          <cell r="D163" t="str">
            <v>Thành phố Yên Bái</v>
          </cell>
          <cell r="F163" t="str">
            <v>213</v>
          </cell>
          <cell r="G163" t="str">
            <v>Xã Vân Hà</v>
          </cell>
          <cell r="I163" t="str">
            <v>10117</v>
          </cell>
        </row>
        <row r="164">
          <cell r="D164" t="str">
            <v>Thị xã Nghĩa Lộ</v>
          </cell>
          <cell r="F164" t="str">
            <v>213</v>
          </cell>
          <cell r="G164" t="str">
            <v>Xã Liên Hà</v>
          </cell>
          <cell r="I164" t="str">
            <v>10117</v>
          </cell>
        </row>
        <row r="165">
          <cell r="D165" t="str">
            <v>Huyện Lục Yên</v>
          </cell>
          <cell r="F165" t="str">
            <v>213</v>
          </cell>
          <cell r="G165" t="str">
            <v>Xã Việt Hùng</v>
          </cell>
          <cell r="I165" t="str">
            <v>10117</v>
          </cell>
        </row>
        <row r="166">
          <cell r="D166" t="str">
            <v>Huyện Văn Yên</v>
          </cell>
          <cell r="F166" t="str">
            <v>213</v>
          </cell>
          <cell r="G166" t="str">
            <v>Xã Kim Chung</v>
          </cell>
          <cell r="I166" t="str">
            <v>10117</v>
          </cell>
        </row>
        <row r="167">
          <cell r="D167" t="str">
            <v>Huyện Mù Cang Chải</v>
          </cell>
          <cell r="F167" t="str">
            <v>213</v>
          </cell>
          <cell r="G167" t="str">
            <v>Xã Dục Tú</v>
          </cell>
          <cell r="I167" t="str">
            <v>10117</v>
          </cell>
        </row>
        <row r="168">
          <cell r="D168" t="str">
            <v>Huyện Trấn Yên</v>
          </cell>
          <cell r="F168" t="str">
            <v>213</v>
          </cell>
          <cell r="G168" t="str">
            <v>Xã Vĩnh Ngọc</v>
          </cell>
          <cell r="I168" t="str">
            <v>10117</v>
          </cell>
        </row>
        <row r="169">
          <cell r="D169" t="str">
            <v>Huyện Yên Bình</v>
          </cell>
          <cell r="F169" t="str">
            <v>213</v>
          </cell>
          <cell r="G169" t="str">
            <v>Xã Cổ Loa</v>
          </cell>
          <cell r="I169" t="str">
            <v>10117</v>
          </cell>
        </row>
        <row r="170">
          <cell r="D170" t="str">
            <v>Huyện Văn Chấn</v>
          </cell>
          <cell r="F170" t="str">
            <v>213</v>
          </cell>
          <cell r="G170" t="str">
            <v>Xã Hải Bối</v>
          </cell>
          <cell r="I170" t="str">
            <v>10117</v>
          </cell>
        </row>
        <row r="171">
          <cell r="D171" t="str">
            <v>Huyện Trạm Tấu</v>
          </cell>
          <cell r="F171" t="str">
            <v>213</v>
          </cell>
          <cell r="G171" t="str">
            <v>Xã Võng La</v>
          </cell>
          <cell r="I171" t="str">
            <v>10117</v>
          </cell>
        </row>
        <row r="172">
          <cell r="D172" t="str">
            <v>Thành phố Thái Nguyên</v>
          </cell>
          <cell r="F172" t="str">
            <v>215</v>
          </cell>
          <cell r="G172" t="str">
            <v>Xã Mai Lâm</v>
          </cell>
          <cell r="I172" t="str">
            <v>10117</v>
          </cell>
        </row>
        <row r="173">
          <cell r="D173" t="str">
            <v>Thành phố Sông Công</v>
          </cell>
          <cell r="F173" t="str">
            <v>215</v>
          </cell>
          <cell r="G173" t="str">
            <v>Xã Vân Nội</v>
          </cell>
          <cell r="I173" t="str">
            <v>10117</v>
          </cell>
        </row>
        <row r="174">
          <cell r="D174" t="str">
            <v>Huyện Định Hoá</v>
          </cell>
          <cell r="F174" t="str">
            <v>215</v>
          </cell>
          <cell r="G174" t="str">
            <v>Xã Tàm Xá</v>
          </cell>
          <cell r="I174" t="str">
            <v>10117</v>
          </cell>
        </row>
        <row r="175">
          <cell r="D175" t="str">
            <v>Huyện Võ Nhai</v>
          </cell>
          <cell r="F175" t="str">
            <v>215</v>
          </cell>
          <cell r="G175" t="str">
            <v>Thị trấn Đông Anh</v>
          </cell>
          <cell r="I175" t="str">
            <v>10117</v>
          </cell>
        </row>
        <row r="176">
          <cell r="D176" t="str">
            <v>Huyện Phú Lương</v>
          </cell>
          <cell r="F176" t="str">
            <v>215</v>
          </cell>
          <cell r="G176" t="str">
            <v>Xã Nguyên Khê</v>
          </cell>
          <cell r="I176" t="str">
            <v>10117</v>
          </cell>
        </row>
        <row r="177">
          <cell r="D177" t="str">
            <v>Huyện Đồng Hỷ</v>
          </cell>
          <cell r="F177" t="str">
            <v>215</v>
          </cell>
          <cell r="G177" t="str">
            <v>Xã Uy Nỗ</v>
          </cell>
          <cell r="I177" t="str">
            <v>10117</v>
          </cell>
        </row>
        <row r="178">
          <cell r="D178" t="str">
            <v>Huyện Đại Từ</v>
          </cell>
          <cell r="F178" t="str">
            <v>215</v>
          </cell>
          <cell r="G178" t="str">
            <v>Xã Kim Nỗ</v>
          </cell>
          <cell r="I178" t="str">
            <v>10117</v>
          </cell>
        </row>
        <row r="179">
          <cell r="D179" t="str">
            <v>Huyện Phú Bình</v>
          </cell>
          <cell r="F179" t="str">
            <v>215</v>
          </cell>
          <cell r="G179" t="str">
            <v>Xã Đại Mạch</v>
          </cell>
          <cell r="I179" t="str">
            <v>10117</v>
          </cell>
        </row>
        <row r="180">
          <cell r="D180" t="str">
            <v>Thị xã Phổ Yên</v>
          </cell>
          <cell r="F180" t="str">
            <v>215</v>
          </cell>
          <cell r="G180" t="str">
            <v>Xã Xuân Canh</v>
          </cell>
          <cell r="I180" t="str">
            <v>10117</v>
          </cell>
        </row>
        <row r="181">
          <cell r="D181" t="str">
            <v>Thành phố Việt Trì</v>
          </cell>
          <cell r="F181" t="str">
            <v>217</v>
          </cell>
          <cell r="G181" t="str">
            <v>Xã Đông Hội</v>
          </cell>
          <cell r="I181" t="str">
            <v>10117</v>
          </cell>
        </row>
        <row r="182">
          <cell r="D182" t="str">
            <v>Thị xã Phú Thọ</v>
          </cell>
          <cell r="F182" t="str">
            <v>217</v>
          </cell>
          <cell r="G182" t="str">
            <v>Xã Kiêu Kỵ</v>
          </cell>
          <cell r="I182" t="str">
            <v>10119</v>
          </cell>
        </row>
        <row r="183">
          <cell r="D183" t="str">
            <v>Huyện Đoan Hùng</v>
          </cell>
          <cell r="F183" t="str">
            <v>217</v>
          </cell>
          <cell r="G183" t="str">
            <v>Xã Bát Tràng</v>
          </cell>
          <cell r="I183" t="str">
            <v>10119</v>
          </cell>
        </row>
        <row r="184">
          <cell r="D184" t="str">
            <v>Huyện Hạ Hòa</v>
          </cell>
          <cell r="F184" t="str">
            <v>217</v>
          </cell>
          <cell r="G184" t="str">
            <v>Xã Kim Lan</v>
          </cell>
          <cell r="I184" t="str">
            <v>10119</v>
          </cell>
        </row>
        <row r="185">
          <cell r="D185" t="str">
            <v>Huyện Thanh Ba</v>
          </cell>
          <cell r="F185" t="str">
            <v>217</v>
          </cell>
          <cell r="G185" t="str">
            <v>Xã Văn Đức</v>
          </cell>
          <cell r="I185" t="str">
            <v>10119</v>
          </cell>
        </row>
        <row r="186">
          <cell r="D186" t="str">
            <v>Huyện Phù Ninh</v>
          </cell>
          <cell r="F186" t="str">
            <v>217</v>
          </cell>
          <cell r="G186" t="str">
            <v>Xã Đa Tốn</v>
          </cell>
          <cell r="I186" t="str">
            <v>10119</v>
          </cell>
        </row>
        <row r="187">
          <cell r="D187" t="str">
            <v>Huyện Cẩm Khê</v>
          </cell>
          <cell r="F187" t="str">
            <v>217</v>
          </cell>
          <cell r="G187" t="str">
            <v>Thị trấn Yên Viên</v>
          </cell>
          <cell r="I187" t="str">
            <v>10119</v>
          </cell>
        </row>
        <row r="188">
          <cell r="D188" t="str">
            <v>Huyện Yên Lập</v>
          </cell>
          <cell r="F188" t="str">
            <v>217</v>
          </cell>
          <cell r="G188" t="str">
            <v>Xã Yên Thường</v>
          </cell>
          <cell r="I188" t="str">
            <v>10119</v>
          </cell>
        </row>
        <row r="189">
          <cell r="D189" t="str">
            <v>Huyện Tam Nông</v>
          </cell>
          <cell r="F189" t="str">
            <v>217</v>
          </cell>
          <cell r="G189" t="str">
            <v>Xã Yên Viên</v>
          </cell>
          <cell r="I189" t="str">
            <v>10119</v>
          </cell>
        </row>
        <row r="190">
          <cell r="D190" t="str">
            <v>Huyện Thanh Sơn</v>
          </cell>
          <cell r="F190" t="str">
            <v>217</v>
          </cell>
          <cell r="G190" t="str">
            <v>Xã Đình Xuyên</v>
          </cell>
          <cell r="I190" t="str">
            <v>10119</v>
          </cell>
        </row>
        <row r="191">
          <cell r="D191" t="str">
            <v>Huyện Tân Sơn</v>
          </cell>
          <cell r="F191" t="str">
            <v>217</v>
          </cell>
          <cell r="G191" t="str">
            <v>Xã Dương Hà</v>
          </cell>
          <cell r="I191" t="str">
            <v>10119</v>
          </cell>
        </row>
        <row r="192">
          <cell r="D192" t="str">
            <v>Huyện Lâm Thao</v>
          </cell>
          <cell r="F192" t="str">
            <v>217</v>
          </cell>
          <cell r="G192" t="str">
            <v>Xã Phù Đổng</v>
          </cell>
          <cell r="I192" t="str">
            <v>10119</v>
          </cell>
        </row>
        <row r="193">
          <cell r="D193" t="str">
            <v>Huyện Thanh Thuỷ</v>
          </cell>
          <cell r="F193" t="str">
            <v>217</v>
          </cell>
          <cell r="G193" t="str">
            <v>Xã Cổ Bi</v>
          </cell>
          <cell r="I193" t="str">
            <v>10119</v>
          </cell>
        </row>
        <row r="194">
          <cell r="D194" t="str">
            <v>Thành phố Vĩnh Yên</v>
          </cell>
          <cell r="F194" t="str">
            <v>219</v>
          </cell>
          <cell r="G194" t="str">
            <v>Xã Đặng Xá</v>
          </cell>
          <cell r="I194" t="str">
            <v>10119</v>
          </cell>
        </row>
        <row r="195">
          <cell r="D195" t="str">
            <v>Thị xã Phúc Yên</v>
          </cell>
          <cell r="F195" t="str">
            <v>219</v>
          </cell>
          <cell r="G195" t="str">
            <v>Xã Kim Sơn</v>
          </cell>
          <cell r="I195" t="str">
            <v>10119</v>
          </cell>
        </row>
        <row r="196">
          <cell r="D196" t="str">
            <v>Huyện Lập Thạch</v>
          </cell>
          <cell r="F196" t="str">
            <v>219</v>
          </cell>
          <cell r="G196" t="str">
            <v>Thị trấn Trâu Quỳ</v>
          </cell>
          <cell r="I196" t="str">
            <v>10119</v>
          </cell>
        </row>
        <row r="197">
          <cell r="D197" t="str">
            <v>Huyện Tam đảo</v>
          </cell>
          <cell r="F197" t="str">
            <v>219</v>
          </cell>
          <cell r="G197" t="str">
            <v>Xã Dương Quang</v>
          </cell>
          <cell r="I197" t="str">
            <v>10119</v>
          </cell>
        </row>
        <row r="198">
          <cell r="D198" t="str">
            <v>Huyện Tam Dương</v>
          </cell>
          <cell r="F198" t="str">
            <v>219</v>
          </cell>
          <cell r="G198" t="str">
            <v>Xã Đông Dư</v>
          </cell>
          <cell r="I198" t="str">
            <v>10119</v>
          </cell>
        </row>
        <row r="199">
          <cell r="D199" t="str">
            <v>Huyện Vĩnh Tường</v>
          </cell>
          <cell r="F199" t="str">
            <v>219</v>
          </cell>
          <cell r="G199" t="str">
            <v>Xã Lệ Chi</v>
          </cell>
          <cell r="I199" t="str">
            <v>10119</v>
          </cell>
        </row>
        <row r="200">
          <cell r="D200" t="str">
            <v>Huyện Yên Lạc</v>
          </cell>
          <cell r="F200" t="str">
            <v>219</v>
          </cell>
          <cell r="G200" t="str">
            <v>Xã Ninh Hiệp</v>
          </cell>
          <cell r="I200" t="str">
            <v>10119</v>
          </cell>
        </row>
        <row r="201">
          <cell r="D201" t="str">
            <v>Huyện Bình Xuyên</v>
          </cell>
          <cell r="F201" t="str">
            <v>219</v>
          </cell>
          <cell r="G201" t="str">
            <v>Xã Trung Mầu</v>
          </cell>
          <cell r="I201" t="str">
            <v>10119</v>
          </cell>
        </row>
        <row r="202">
          <cell r="D202" t="str">
            <v>Huyện Sông Lô</v>
          </cell>
          <cell r="F202" t="str">
            <v>219</v>
          </cell>
          <cell r="G202" t="str">
            <v>Xã Phú Thị</v>
          </cell>
          <cell r="I202" t="str">
            <v>10119</v>
          </cell>
        </row>
        <row r="203">
          <cell r="D203" t="str">
            <v>Thành phố Bắc Giang</v>
          </cell>
          <cell r="F203" t="str">
            <v>221</v>
          </cell>
          <cell r="G203" t="str">
            <v>Xã Dương Xá</v>
          </cell>
          <cell r="I203" t="str">
            <v>10119</v>
          </cell>
        </row>
        <row r="204">
          <cell r="D204" t="str">
            <v>Huyện Yên Thế</v>
          </cell>
          <cell r="F204" t="str">
            <v>221</v>
          </cell>
          <cell r="G204" t="str">
            <v>Thị trấn Cầu Diễn</v>
          </cell>
          <cell r="I204" t="str">
            <v>10121</v>
          </cell>
        </row>
        <row r="205">
          <cell r="D205" t="str">
            <v>Huyện Tân Yên</v>
          </cell>
          <cell r="F205" t="str">
            <v>221</v>
          </cell>
          <cell r="G205" t="str">
            <v>Xã Thượng Cát</v>
          </cell>
          <cell r="I205" t="str">
            <v>10121</v>
          </cell>
        </row>
        <row r="206">
          <cell r="D206" t="str">
            <v>Huyện Lục Ngạn</v>
          </cell>
          <cell r="F206" t="str">
            <v>221</v>
          </cell>
          <cell r="G206" t="str">
            <v>Xã Thuỵ Phương</v>
          </cell>
          <cell r="I206" t="str">
            <v>10121</v>
          </cell>
        </row>
        <row r="207">
          <cell r="D207" t="str">
            <v>Huyện Hiệp Hòa</v>
          </cell>
          <cell r="F207" t="str">
            <v>221</v>
          </cell>
          <cell r="G207" t="str">
            <v>Xã Tây Tựu</v>
          </cell>
          <cell r="I207" t="str">
            <v>10121</v>
          </cell>
        </row>
        <row r="208">
          <cell r="D208" t="str">
            <v>Huyện Lạng Giang</v>
          </cell>
          <cell r="F208" t="str">
            <v>221</v>
          </cell>
          <cell r="G208" t="str">
            <v>Xã Xuân Đỉnh</v>
          </cell>
          <cell r="I208" t="str">
            <v>10121</v>
          </cell>
        </row>
        <row r="209">
          <cell r="D209" t="str">
            <v>Huyện Sơn Động</v>
          </cell>
          <cell r="F209" t="str">
            <v>221</v>
          </cell>
          <cell r="G209" t="str">
            <v>Xã Cổ Nhuế</v>
          </cell>
          <cell r="I209" t="str">
            <v>10121</v>
          </cell>
        </row>
        <row r="210">
          <cell r="D210" t="str">
            <v>Huyện Lục Nam</v>
          </cell>
          <cell r="F210" t="str">
            <v>221</v>
          </cell>
          <cell r="G210" t="str">
            <v>Xã Phú Diễn</v>
          </cell>
          <cell r="I210" t="str">
            <v>10121</v>
          </cell>
        </row>
        <row r="211">
          <cell r="D211" t="str">
            <v>Huyện Việt Yên</v>
          </cell>
          <cell r="F211" t="str">
            <v>221</v>
          </cell>
          <cell r="G211" t="str">
            <v>Xã Xuân Phương</v>
          </cell>
          <cell r="I211" t="str">
            <v>10121</v>
          </cell>
        </row>
        <row r="212">
          <cell r="D212" t="str">
            <v>Huyện Yên Dũng</v>
          </cell>
          <cell r="F212" t="str">
            <v>221</v>
          </cell>
          <cell r="G212" t="str">
            <v>Xã Tây Mỗ</v>
          </cell>
          <cell r="I212" t="str">
            <v>10121</v>
          </cell>
        </row>
        <row r="213">
          <cell r="D213" t="str">
            <v>Thành phố Bắc Ninh</v>
          </cell>
          <cell r="F213" t="str">
            <v>223</v>
          </cell>
          <cell r="G213" t="str">
            <v>Xã Mễ Trì</v>
          </cell>
          <cell r="I213" t="str">
            <v>10121</v>
          </cell>
        </row>
        <row r="214">
          <cell r="D214" t="str">
            <v>Huyện Yên Phong</v>
          </cell>
          <cell r="F214" t="str">
            <v>223</v>
          </cell>
          <cell r="G214" t="str">
            <v>Xã Liên Mạc</v>
          </cell>
          <cell r="I214" t="str">
            <v>10121</v>
          </cell>
        </row>
        <row r="215">
          <cell r="D215" t="str">
            <v>Huyện Quế Võ</v>
          </cell>
          <cell r="F215" t="str">
            <v>223</v>
          </cell>
          <cell r="G215" t="str">
            <v>Xã Đại Mỗ</v>
          </cell>
          <cell r="I215" t="str">
            <v>10121</v>
          </cell>
        </row>
        <row r="216">
          <cell r="D216" t="str">
            <v>Huyện Tiên Du</v>
          </cell>
          <cell r="F216" t="str">
            <v>223</v>
          </cell>
          <cell r="G216" t="str">
            <v>Xã Đông Ngạc</v>
          </cell>
          <cell r="I216" t="str">
            <v>10121</v>
          </cell>
        </row>
        <row r="217">
          <cell r="D217" t="str">
            <v>Huyện Thuận Thành</v>
          </cell>
          <cell r="F217" t="str">
            <v>223</v>
          </cell>
          <cell r="G217" t="str">
            <v>Xã Minh Khai</v>
          </cell>
          <cell r="I217" t="str">
            <v>10121</v>
          </cell>
        </row>
        <row r="218">
          <cell r="D218" t="str">
            <v>Huyện Lương Tài</v>
          </cell>
          <cell r="F218" t="str">
            <v>223</v>
          </cell>
          <cell r="G218" t="str">
            <v>Xã Mỹ Đình</v>
          </cell>
          <cell r="I218" t="str">
            <v>10121</v>
          </cell>
        </row>
        <row r="219">
          <cell r="D219" t="str">
            <v>Thị xã Từ Sơn</v>
          </cell>
          <cell r="F219" t="str">
            <v>223</v>
          </cell>
          <cell r="G219" t="str">
            <v>Xã Trung Văn</v>
          </cell>
          <cell r="I219" t="str">
            <v>10121</v>
          </cell>
        </row>
        <row r="220">
          <cell r="D220" t="str">
            <v>Huyện Gia Bình</v>
          </cell>
          <cell r="F220" t="str">
            <v>223</v>
          </cell>
          <cell r="G220" t="str">
            <v>Thị trấn Văn Điển</v>
          </cell>
          <cell r="I220" t="str">
            <v>10123</v>
          </cell>
        </row>
        <row r="221">
          <cell r="D221" t="str">
            <v>Thành phố Hạ Long</v>
          </cell>
          <cell r="F221" t="str">
            <v>225</v>
          </cell>
          <cell r="G221" t="str">
            <v>Xã Tân Triều</v>
          </cell>
          <cell r="I221" t="str">
            <v>10123</v>
          </cell>
        </row>
        <row r="222">
          <cell r="D222" t="str">
            <v>Thành phố Cẩm Phả</v>
          </cell>
          <cell r="F222" t="str">
            <v>225</v>
          </cell>
          <cell r="G222" t="str">
            <v>Xã Thanh Liệt</v>
          </cell>
          <cell r="I222" t="str">
            <v>10123</v>
          </cell>
        </row>
        <row r="223">
          <cell r="D223" t="str">
            <v>Thành phố Uông Bí</v>
          </cell>
          <cell r="F223" t="str">
            <v>225</v>
          </cell>
          <cell r="G223" t="str">
            <v>Xã Hữu Hòa</v>
          </cell>
          <cell r="I223" t="str">
            <v>10123</v>
          </cell>
        </row>
        <row r="224">
          <cell r="D224" t="str">
            <v>Huyện Bình Liêu</v>
          </cell>
          <cell r="F224" t="str">
            <v>225</v>
          </cell>
          <cell r="G224" t="str">
            <v>Xã Tam Hiệp</v>
          </cell>
          <cell r="I224" t="str">
            <v>10123</v>
          </cell>
        </row>
        <row r="225">
          <cell r="D225" t="str">
            <v>Thành phố Móng cái</v>
          </cell>
          <cell r="F225" t="str">
            <v>225</v>
          </cell>
          <cell r="G225" t="str">
            <v>Xã Tứ Hiệp</v>
          </cell>
          <cell r="I225" t="str">
            <v>10123</v>
          </cell>
        </row>
        <row r="226">
          <cell r="D226" t="str">
            <v>Huyện Hải Hà</v>
          </cell>
          <cell r="F226" t="str">
            <v>225</v>
          </cell>
          <cell r="G226" t="str">
            <v>Xã Vĩnh Quỳnh</v>
          </cell>
          <cell r="I226" t="str">
            <v>10123</v>
          </cell>
        </row>
        <row r="227">
          <cell r="D227" t="str">
            <v>Huyện Tiên Yên</v>
          </cell>
          <cell r="F227" t="str">
            <v>225</v>
          </cell>
          <cell r="G227" t="str">
            <v>Xã Duyên Hà</v>
          </cell>
          <cell r="I227" t="str">
            <v>10123</v>
          </cell>
        </row>
        <row r="228">
          <cell r="D228" t="str">
            <v>Huyện Ba Chẽ</v>
          </cell>
          <cell r="F228" t="str">
            <v>225</v>
          </cell>
          <cell r="G228" t="str">
            <v>Xã Vạn Phúc</v>
          </cell>
          <cell r="I228" t="str">
            <v>10123</v>
          </cell>
        </row>
        <row r="229">
          <cell r="D229" t="str">
            <v>Huyện Vân Đồn</v>
          </cell>
          <cell r="F229" t="str">
            <v>225</v>
          </cell>
          <cell r="G229" t="str">
            <v>Xã Đại áng</v>
          </cell>
          <cell r="I229" t="str">
            <v>10123</v>
          </cell>
        </row>
        <row r="230">
          <cell r="D230" t="str">
            <v>Huyện Hoành Bồ</v>
          </cell>
          <cell r="F230" t="str">
            <v>225</v>
          </cell>
          <cell r="G230" t="str">
            <v>Xã Liên Ninh</v>
          </cell>
          <cell r="I230" t="str">
            <v>10123</v>
          </cell>
        </row>
        <row r="231">
          <cell r="D231" t="str">
            <v>Huyện Đông Triều</v>
          </cell>
          <cell r="F231" t="str">
            <v>225</v>
          </cell>
          <cell r="G231" t="str">
            <v>Xã Ngũ Hiệp</v>
          </cell>
          <cell r="I231" t="str">
            <v>10123</v>
          </cell>
        </row>
        <row r="232">
          <cell r="D232" t="str">
            <v>Huyện Cô Tô</v>
          </cell>
          <cell r="F232" t="str">
            <v>225</v>
          </cell>
          <cell r="G232" t="str">
            <v>Xã Tả Thanh Oai</v>
          </cell>
          <cell r="I232" t="str">
            <v>10123</v>
          </cell>
        </row>
        <row r="233">
          <cell r="D233" t="str">
            <v>Thị xã Quảng Yên</v>
          </cell>
          <cell r="F233" t="str">
            <v>225</v>
          </cell>
          <cell r="G233" t="str">
            <v>Xã Yên Mỹ</v>
          </cell>
          <cell r="I233" t="str">
            <v>10123</v>
          </cell>
        </row>
        <row r="234">
          <cell r="D234" t="str">
            <v>Huyện Đầm Hà</v>
          </cell>
          <cell r="F234" t="str">
            <v>225</v>
          </cell>
          <cell r="G234" t="str">
            <v>Xã Ngọc Hồi</v>
          </cell>
          <cell r="I234" t="str">
            <v>10123</v>
          </cell>
        </row>
        <row r="235">
          <cell r="D235" t="str">
            <v>Thành phố Điện Biên Phủ</v>
          </cell>
          <cell r="F235" t="str">
            <v>301</v>
          </cell>
          <cell r="G235" t="str">
            <v>Xã Đông Mỹ</v>
          </cell>
          <cell r="I235" t="str">
            <v>10123</v>
          </cell>
        </row>
        <row r="236">
          <cell r="D236" t="str">
            <v>Thị xã Mường Lay</v>
          </cell>
          <cell r="F236" t="str">
            <v>301</v>
          </cell>
          <cell r="G236" t="str">
            <v>Xã Đại Thịnh</v>
          </cell>
          <cell r="I236" t="str">
            <v>10125</v>
          </cell>
        </row>
        <row r="237">
          <cell r="D237" t="str">
            <v>Huyện Mường Nhé</v>
          </cell>
          <cell r="F237" t="str">
            <v>301</v>
          </cell>
          <cell r="G237" t="str">
            <v>Xã Kim Hoa</v>
          </cell>
          <cell r="I237" t="str">
            <v>10125</v>
          </cell>
        </row>
        <row r="238">
          <cell r="D238" t="str">
            <v>Huyện Mường Chà</v>
          </cell>
          <cell r="F238" t="str">
            <v>301</v>
          </cell>
          <cell r="G238" t="str">
            <v>Xã Thạch Đà</v>
          </cell>
          <cell r="I238" t="str">
            <v>10125</v>
          </cell>
        </row>
        <row r="239">
          <cell r="D239" t="str">
            <v>Huyện Tủa Chùa</v>
          </cell>
          <cell r="F239" t="str">
            <v>301</v>
          </cell>
          <cell r="G239" t="str">
            <v>Xã Tự Lập</v>
          </cell>
          <cell r="I239" t="str">
            <v>10125</v>
          </cell>
        </row>
        <row r="240">
          <cell r="D240" t="str">
            <v>Huyện Tuần Giáo</v>
          </cell>
          <cell r="F240" t="str">
            <v>301</v>
          </cell>
          <cell r="G240" t="str">
            <v>Xã Thanh Lâm</v>
          </cell>
          <cell r="I240" t="str">
            <v>10125</v>
          </cell>
        </row>
        <row r="241">
          <cell r="D241" t="str">
            <v>Huyện Điện Biên</v>
          </cell>
          <cell r="F241" t="str">
            <v>301</v>
          </cell>
          <cell r="G241" t="str">
            <v xml:space="preserve">Xã Liên Mạc </v>
          </cell>
          <cell r="I241" t="str">
            <v>10125</v>
          </cell>
        </row>
        <row r="242">
          <cell r="D242" t="str">
            <v>Huyện Điện Biên Đông</v>
          </cell>
          <cell r="F242" t="str">
            <v>301</v>
          </cell>
          <cell r="G242" t="str">
            <v>Xã Vạn Yên</v>
          </cell>
          <cell r="I242" t="str">
            <v>10125</v>
          </cell>
        </row>
        <row r="243">
          <cell r="D243" t="str">
            <v>Huyện Mường ảng</v>
          </cell>
          <cell r="F243" t="str">
            <v>301</v>
          </cell>
          <cell r="G243" t="str">
            <v>Xã Chu Phan</v>
          </cell>
          <cell r="I243" t="str">
            <v>10125</v>
          </cell>
        </row>
        <row r="244">
          <cell r="D244" t="str">
            <v>Huyện Nậm Pồ</v>
          </cell>
          <cell r="F244" t="str">
            <v>301</v>
          </cell>
          <cell r="G244" t="str">
            <v>Xã Mê Linh</v>
          </cell>
          <cell r="I244" t="str">
            <v>10125</v>
          </cell>
        </row>
        <row r="245">
          <cell r="D245" t="str">
            <v>Huyện Mường Tè</v>
          </cell>
          <cell r="F245" t="str">
            <v>302</v>
          </cell>
          <cell r="G245" t="str">
            <v>Xã Văn Khê</v>
          </cell>
          <cell r="I245" t="str">
            <v>10125</v>
          </cell>
        </row>
        <row r="246">
          <cell r="D246" t="str">
            <v>Thành Phố Lai Châu</v>
          </cell>
          <cell r="F246" t="str">
            <v>302</v>
          </cell>
          <cell r="G246" t="str">
            <v>Xã Hoàng Kim</v>
          </cell>
          <cell r="I246" t="str">
            <v>10125</v>
          </cell>
        </row>
        <row r="247">
          <cell r="D247" t="str">
            <v>Huyện Phong Thổ</v>
          </cell>
          <cell r="F247" t="str">
            <v>302</v>
          </cell>
          <cell r="G247" t="str">
            <v>Xã Tráng Việt</v>
          </cell>
          <cell r="I247" t="str">
            <v>10125</v>
          </cell>
        </row>
        <row r="248">
          <cell r="D248" t="str">
            <v>Huyện Tam Đường</v>
          </cell>
          <cell r="F248" t="str">
            <v>302</v>
          </cell>
          <cell r="G248" t="str">
            <v>Thị trấn Quang Minh</v>
          </cell>
          <cell r="I248" t="str">
            <v>10125</v>
          </cell>
        </row>
        <row r="249">
          <cell r="D249" t="str">
            <v>Huyện Sìn Hồ</v>
          </cell>
          <cell r="F249" t="str">
            <v>302</v>
          </cell>
          <cell r="G249" t="str">
            <v>Xã Tiến Thắng</v>
          </cell>
          <cell r="I249" t="str">
            <v>10125</v>
          </cell>
        </row>
        <row r="250">
          <cell r="D250" t="str">
            <v>Huyện Than Uyên</v>
          </cell>
          <cell r="F250" t="str">
            <v>302</v>
          </cell>
          <cell r="G250" t="str">
            <v>Xã Tam Đồng</v>
          </cell>
          <cell r="I250" t="str">
            <v>10125</v>
          </cell>
        </row>
        <row r="251">
          <cell r="D251" t="str">
            <v>Huyện Tân Uyên</v>
          </cell>
          <cell r="F251" t="str">
            <v>302</v>
          </cell>
          <cell r="G251" t="str">
            <v>Xã Tiến Thịnh</v>
          </cell>
          <cell r="I251" t="str">
            <v>10125</v>
          </cell>
        </row>
        <row r="252">
          <cell r="D252" t="str">
            <v>Huyện Nậm Nhùn</v>
          </cell>
          <cell r="F252" t="str">
            <v>302</v>
          </cell>
          <cell r="G252" t="str">
            <v>Xã Tiền Phong</v>
          </cell>
          <cell r="I252" t="str">
            <v>10125</v>
          </cell>
        </row>
        <row r="253">
          <cell r="D253" t="str">
            <v>Thành phố Sơn La</v>
          </cell>
          <cell r="F253" t="str">
            <v>303</v>
          </cell>
          <cell r="G253" t="str">
            <v>Thị trấn Chi Đông</v>
          </cell>
          <cell r="I253" t="str">
            <v>10125</v>
          </cell>
        </row>
        <row r="254">
          <cell r="D254" t="str">
            <v>Huyện Quỳnh Nhai</v>
          </cell>
          <cell r="F254" t="str">
            <v>303</v>
          </cell>
          <cell r="G254" t="str">
            <v>Phường Nguyễn Trãi</v>
          </cell>
          <cell r="I254" t="str">
            <v>10127</v>
          </cell>
        </row>
        <row r="255">
          <cell r="D255" t="str">
            <v>Huyện Mường La</v>
          </cell>
          <cell r="F255" t="str">
            <v>303</v>
          </cell>
          <cell r="G255" t="str">
            <v>Phường Mộ Lao</v>
          </cell>
          <cell r="I255" t="str">
            <v>10127</v>
          </cell>
        </row>
        <row r="256">
          <cell r="D256" t="str">
            <v>Huyện Thuận Châu</v>
          </cell>
          <cell r="F256" t="str">
            <v>303</v>
          </cell>
          <cell r="G256" t="str">
            <v>Phường Văn Quán</v>
          </cell>
          <cell r="I256" t="str">
            <v>10127</v>
          </cell>
        </row>
        <row r="257">
          <cell r="D257" t="str">
            <v>Huyện Bắc Yên</v>
          </cell>
          <cell r="F257" t="str">
            <v>303</v>
          </cell>
          <cell r="G257" t="str">
            <v>Phường Vạn Phúc</v>
          </cell>
          <cell r="I257" t="str">
            <v>10127</v>
          </cell>
        </row>
        <row r="258">
          <cell r="D258" t="str">
            <v>Huyện Phù Yên</v>
          </cell>
          <cell r="F258" t="str">
            <v>303</v>
          </cell>
          <cell r="G258" t="str">
            <v xml:space="preserve">Phường Quang Trung </v>
          </cell>
          <cell r="I258" t="str">
            <v>10127</v>
          </cell>
        </row>
        <row r="259">
          <cell r="D259" t="str">
            <v>Huyện Mai Sơn</v>
          </cell>
          <cell r="F259" t="str">
            <v>303</v>
          </cell>
          <cell r="G259" t="str">
            <v>Phường Phúc La</v>
          </cell>
          <cell r="I259" t="str">
            <v>10127</v>
          </cell>
        </row>
        <row r="260">
          <cell r="D260" t="str">
            <v>Huyện Sông Mã</v>
          </cell>
          <cell r="F260" t="str">
            <v>303</v>
          </cell>
          <cell r="G260" t="str">
            <v>Phường Hà Cầu</v>
          </cell>
          <cell r="I260" t="str">
            <v>10127</v>
          </cell>
        </row>
        <row r="261">
          <cell r="D261" t="str">
            <v>Huyện Yên Châu</v>
          </cell>
          <cell r="F261" t="str">
            <v>303</v>
          </cell>
          <cell r="G261" t="str">
            <v>Phường Yên Nghĩa</v>
          </cell>
          <cell r="I261" t="str">
            <v>10127</v>
          </cell>
        </row>
        <row r="262">
          <cell r="D262" t="str">
            <v>Huyện Mộc Châu</v>
          </cell>
          <cell r="F262" t="str">
            <v>303</v>
          </cell>
          <cell r="G262" t="str">
            <v>Phường Kiến Hưng</v>
          </cell>
          <cell r="I262" t="str">
            <v>10127</v>
          </cell>
        </row>
        <row r="263">
          <cell r="D263" t="str">
            <v>Huyện Sốp Cộp</v>
          </cell>
          <cell r="F263" t="str">
            <v>303</v>
          </cell>
          <cell r="G263" t="str">
            <v>Phường Phú Lãm</v>
          </cell>
          <cell r="I263" t="str">
            <v>10127</v>
          </cell>
        </row>
        <row r="264">
          <cell r="D264" t="str">
            <v>Huyện Vân Hồ</v>
          </cell>
          <cell r="F264" t="str">
            <v>303</v>
          </cell>
          <cell r="G264" t="str">
            <v>Phường Dương Nội</v>
          </cell>
          <cell r="I264" t="str">
            <v>10127</v>
          </cell>
        </row>
        <row r="265">
          <cell r="D265" t="str">
            <v>Thành phố Hòa Bình</v>
          </cell>
          <cell r="F265" t="str">
            <v>305</v>
          </cell>
          <cell r="G265" t="str">
            <v>Phường Đồng Mai</v>
          </cell>
          <cell r="I265" t="str">
            <v>10127</v>
          </cell>
        </row>
        <row r="266">
          <cell r="D266" t="str">
            <v>Huyện Đà Bắc</v>
          </cell>
          <cell r="F266" t="str">
            <v>305</v>
          </cell>
          <cell r="G266" t="str">
            <v>Phường Biên Giang</v>
          </cell>
          <cell r="I266" t="str">
            <v>10127</v>
          </cell>
        </row>
        <row r="267">
          <cell r="D267" t="str">
            <v>Huyện Mai Châu</v>
          </cell>
          <cell r="F267" t="str">
            <v>305</v>
          </cell>
          <cell r="G267" t="str">
            <v>Phường Phú Lương</v>
          </cell>
          <cell r="I267" t="str">
            <v>10127</v>
          </cell>
        </row>
        <row r="268">
          <cell r="D268" t="str">
            <v>Huyện Kỳ Sơn</v>
          </cell>
          <cell r="F268" t="str">
            <v>305</v>
          </cell>
          <cell r="G268" t="str">
            <v>Phường Phú La</v>
          </cell>
          <cell r="I268" t="str">
            <v>10127</v>
          </cell>
        </row>
        <row r="269">
          <cell r="D269" t="str">
            <v>Huyện Lương Sơn</v>
          </cell>
          <cell r="F269" t="str">
            <v>305</v>
          </cell>
          <cell r="G269" t="str">
            <v>Phường La Khê</v>
          </cell>
          <cell r="I269" t="str">
            <v>10127</v>
          </cell>
        </row>
        <row r="270">
          <cell r="D270" t="str">
            <v>Huyện Cao Phong</v>
          </cell>
          <cell r="F270" t="str">
            <v>305</v>
          </cell>
          <cell r="G270" t="str">
            <v>Phường Yết Kiêu</v>
          </cell>
          <cell r="I270" t="str">
            <v>10127</v>
          </cell>
        </row>
        <row r="271">
          <cell r="D271" t="str">
            <v>Huyện Kim Bôi</v>
          </cell>
          <cell r="F271" t="str">
            <v>305</v>
          </cell>
          <cell r="G271" t="str">
            <v>Phường Phú Thịnh</v>
          </cell>
          <cell r="I271" t="str">
            <v>10129</v>
          </cell>
        </row>
        <row r="272">
          <cell r="D272" t="str">
            <v>Huyện Tân Lạc</v>
          </cell>
          <cell r="F272" t="str">
            <v>305</v>
          </cell>
          <cell r="G272" t="str">
            <v xml:space="preserve">Phường Quang Trung  </v>
          </cell>
          <cell r="I272" t="str">
            <v>10129</v>
          </cell>
        </row>
        <row r="273">
          <cell r="D273" t="str">
            <v>Huyện Lạc Sơn</v>
          </cell>
          <cell r="F273" t="str">
            <v>305</v>
          </cell>
          <cell r="G273" t="str">
            <v>Phường Sơn Lộc</v>
          </cell>
          <cell r="I273" t="str">
            <v>10129</v>
          </cell>
        </row>
        <row r="274">
          <cell r="D274" t="str">
            <v>Huyện Lạc Thuỷ</v>
          </cell>
          <cell r="F274" t="str">
            <v>305</v>
          </cell>
          <cell r="G274" t="str">
            <v>Phường Xuân Khanh</v>
          </cell>
          <cell r="I274" t="str">
            <v>10129</v>
          </cell>
        </row>
        <row r="275">
          <cell r="D275" t="str">
            <v>Huyện Yên Thuỷ</v>
          </cell>
          <cell r="F275" t="str">
            <v>305</v>
          </cell>
          <cell r="G275" t="str">
            <v>Xã Đường Lâm</v>
          </cell>
          <cell r="I275" t="str">
            <v>10129</v>
          </cell>
        </row>
        <row r="276">
          <cell r="D276" t="str">
            <v>Thành phố Thanh Hoá</v>
          </cell>
          <cell r="F276" t="str">
            <v>401</v>
          </cell>
          <cell r="G276" t="str">
            <v>Xã Xuân Sơn</v>
          </cell>
          <cell r="I276" t="str">
            <v>10129</v>
          </cell>
        </row>
        <row r="277">
          <cell r="D277" t="str">
            <v>Thị xã Bỉm Sơn</v>
          </cell>
          <cell r="F277" t="str">
            <v>401</v>
          </cell>
          <cell r="G277" t="str">
            <v>Phường Trung Hưng</v>
          </cell>
          <cell r="I277" t="str">
            <v>10129</v>
          </cell>
        </row>
        <row r="278">
          <cell r="D278" t="str">
            <v>Thị xã Sầm Sơn</v>
          </cell>
          <cell r="F278" t="str">
            <v>401</v>
          </cell>
          <cell r="G278" t="str">
            <v>Xã Thanh Mỹ</v>
          </cell>
          <cell r="I278" t="str">
            <v>10129</v>
          </cell>
        </row>
        <row r="279">
          <cell r="D279" t="str">
            <v>Huyện Mường Lát</v>
          </cell>
          <cell r="F279" t="str">
            <v>401</v>
          </cell>
          <cell r="G279" t="str">
            <v xml:space="preserve">Xã Kim Sơn </v>
          </cell>
          <cell r="I279" t="str">
            <v>10129</v>
          </cell>
        </row>
        <row r="280">
          <cell r="D280" t="str">
            <v>Huyện Quan Hoá</v>
          </cell>
          <cell r="F280" t="str">
            <v>401</v>
          </cell>
          <cell r="G280" t="str">
            <v>Xã Sơn Đông</v>
          </cell>
          <cell r="I280" t="str">
            <v>10129</v>
          </cell>
        </row>
        <row r="281">
          <cell r="D281" t="str">
            <v>Huyện Quan Sơn</v>
          </cell>
          <cell r="F281" t="str">
            <v>401</v>
          </cell>
          <cell r="G281" t="str">
            <v>Xã Cổ Đông</v>
          </cell>
          <cell r="I281" t="str">
            <v>10129</v>
          </cell>
        </row>
        <row r="282">
          <cell r="D282" t="str">
            <v>Huyện Bá Thước</v>
          </cell>
          <cell r="F282" t="str">
            <v>401</v>
          </cell>
          <cell r="G282" t="str">
            <v>Phường Lê Lợi</v>
          </cell>
          <cell r="I282" t="str">
            <v>10129</v>
          </cell>
        </row>
        <row r="283">
          <cell r="D283" t="str">
            <v>Huyện Cẩm Thuỷ</v>
          </cell>
          <cell r="F283" t="str">
            <v>401</v>
          </cell>
          <cell r="G283" t="str">
            <v>Phường Ngô Quyền</v>
          </cell>
          <cell r="I283" t="str">
            <v>10129</v>
          </cell>
        </row>
        <row r="284">
          <cell r="D284" t="str">
            <v>Huyện Lang Chánh</v>
          </cell>
          <cell r="F284" t="str">
            <v>401</v>
          </cell>
          <cell r="G284" t="str">
            <v>Phường Viên Sơn</v>
          </cell>
          <cell r="I284" t="str">
            <v>10129</v>
          </cell>
        </row>
        <row r="285">
          <cell r="D285" t="str">
            <v>Huyện Thạch Thành</v>
          </cell>
          <cell r="F285" t="str">
            <v>401</v>
          </cell>
          <cell r="G285" t="str">
            <v>Phường Trung Sơn Trầm</v>
          </cell>
          <cell r="I285" t="str">
            <v>10129</v>
          </cell>
        </row>
        <row r="286">
          <cell r="D286" t="str">
            <v>Huyện Ngọc Lặc</v>
          </cell>
          <cell r="F286" t="str">
            <v>401</v>
          </cell>
          <cell r="G286" t="str">
            <v xml:space="preserve">Xã Vân Hà </v>
          </cell>
          <cell r="I286" t="str">
            <v>10131</v>
          </cell>
        </row>
        <row r="287">
          <cell r="D287" t="str">
            <v>Huyện Thường Xuân</v>
          </cell>
          <cell r="F287" t="str">
            <v>401</v>
          </cell>
          <cell r="G287" t="str">
            <v>Xã Vân Phúc</v>
          </cell>
          <cell r="I287" t="str">
            <v>10131</v>
          </cell>
        </row>
        <row r="288">
          <cell r="D288" t="str">
            <v>Huyện Như Xuân</v>
          </cell>
          <cell r="F288" t="str">
            <v>401</v>
          </cell>
          <cell r="G288" t="str">
            <v>Xã Vân Nam</v>
          </cell>
          <cell r="I288" t="str">
            <v>10131</v>
          </cell>
        </row>
        <row r="289">
          <cell r="D289" t="str">
            <v>Huyện Như Thanh</v>
          </cell>
          <cell r="F289" t="str">
            <v>401</v>
          </cell>
          <cell r="G289" t="str">
            <v>Xã Xuân Phú</v>
          </cell>
          <cell r="I289" t="str">
            <v>10131</v>
          </cell>
        </row>
        <row r="290">
          <cell r="D290" t="str">
            <v>Huyện Vĩnh Lộc</v>
          </cell>
          <cell r="F290" t="str">
            <v>401</v>
          </cell>
          <cell r="G290" t="str">
            <v>Xã Sen Chiểu</v>
          </cell>
          <cell r="I290" t="str">
            <v>10131</v>
          </cell>
        </row>
        <row r="291">
          <cell r="D291" t="str">
            <v>Huyện Hà Trung</v>
          </cell>
          <cell r="F291" t="str">
            <v>401</v>
          </cell>
          <cell r="G291" t="str">
            <v>Xã Cẩm Đình</v>
          </cell>
          <cell r="I291" t="str">
            <v>10131</v>
          </cell>
        </row>
        <row r="292">
          <cell r="D292" t="str">
            <v>Huyện Nga Sơn</v>
          </cell>
          <cell r="F292" t="str">
            <v>401</v>
          </cell>
          <cell r="G292" t="str">
            <v>Xã Võng Xuyên</v>
          </cell>
          <cell r="I292" t="str">
            <v>10131</v>
          </cell>
        </row>
        <row r="293">
          <cell r="D293" t="str">
            <v>Huyện Yên Định</v>
          </cell>
          <cell r="F293" t="str">
            <v>401</v>
          </cell>
          <cell r="G293" t="str">
            <v>Xã Long Xuyên</v>
          </cell>
          <cell r="I293" t="str">
            <v>10131</v>
          </cell>
        </row>
        <row r="294">
          <cell r="D294" t="str">
            <v>Huyện Thọ Xuân</v>
          </cell>
          <cell r="F294" t="str">
            <v>401</v>
          </cell>
          <cell r="G294" t="str">
            <v>Xã Thượng Cốc</v>
          </cell>
          <cell r="I294" t="str">
            <v>10131</v>
          </cell>
        </row>
        <row r="295">
          <cell r="D295" t="str">
            <v>Huyện Hậu Lộc</v>
          </cell>
          <cell r="F295" t="str">
            <v>401</v>
          </cell>
          <cell r="G295" t="str">
            <v>Xã Thanh Đa</v>
          </cell>
          <cell r="I295" t="str">
            <v>10131</v>
          </cell>
        </row>
        <row r="296">
          <cell r="D296" t="str">
            <v>Huyện Thiệu Hoá</v>
          </cell>
          <cell r="F296" t="str">
            <v>401</v>
          </cell>
          <cell r="G296" t="str">
            <v>Xã Trạch Mỹ Lộc</v>
          </cell>
          <cell r="I296" t="str">
            <v>10131</v>
          </cell>
        </row>
        <row r="297">
          <cell r="D297" t="str">
            <v>Huyện Hoằng Hoá</v>
          </cell>
          <cell r="F297" t="str">
            <v>401</v>
          </cell>
          <cell r="G297" t="str">
            <v>Xã Phúc Hòa</v>
          </cell>
          <cell r="I297" t="str">
            <v>10131</v>
          </cell>
        </row>
        <row r="298">
          <cell r="D298" t="str">
            <v>Huyện Đông Sơn</v>
          </cell>
          <cell r="F298" t="str">
            <v>401</v>
          </cell>
          <cell r="G298" t="str">
            <v>Xã Phụng Thượng</v>
          </cell>
          <cell r="I298" t="str">
            <v>10131</v>
          </cell>
        </row>
        <row r="299">
          <cell r="D299" t="str">
            <v>Huyện Triệu Sơn</v>
          </cell>
          <cell r="F299" t="str">
            <v>401</v>
          </cell>
          <cell r="G299" t="str">
            <v>Xã Tam Thuấn</v>
          </cell>
          <cell r="I299" t="str">
            <v>10131</v>
          </cell>
        </row>
        <row r="300">
          <cell r="D300" t="str">
            <v>Huyện Quảng Xương</v>
          </cell>
          <cell r="F300" t="str">
            <v>401</v>
          </cell>
          <cell r="G300" t="str">
            <v xml:space="preserve">Xã Tam Hiệp </v>
          </cell>
          <cell r="I300" t="str">
            <v>10131</v>
          </cell>
        </row>
        <row r="301">
          <cell r="D301" t="str">
            <v>Huyện Nông Cống</v>
          </cell>
          <cell r="F301" t="str">
            <v>401</v>
          </cell>
          <cell r="G301" t="str">
            <v>Xã Hát Môn</v>
          </cell>
          <cell r="I301" t="str">
            <v>10131</v>
          </cell>
        </row>
        <row r="302">
          <cell r="D302" t="str">
            <v>Huyện Tĩnh Gia</v>
          </cell>
          <cell r="F302" t="str">
            <v>401</v>
          </cell>
          <cell r="G302" t="str">
            <v>Thị trấn Phúc Thọ</v>
          </cell>
          <cell r="I302" t="str">
            <v>10131</v>
          </cell>
        </row>
        <row r="303">
          <cell r="D303" t="str">
            <v>Thành phố Vinh</v>
          </cell>
          <cell r="F303" t="str">
            <v>403</v>
          </cell>
          <cell r="G303" t="str">
            <v>Xã Phương Độ</v>
          </cell>
          <cell r="I303" t="str">
            <v>10131</v>
          </cell>
        </row>
        <row r="304">
          <cell r="D304" t="str">
            <v>Thị xã Cửa Lò</v>
          </cell>
          <cell r="F304" t="str">
            <v>403</v>
          </cell>
          <cell r="G304" t="str">
            <v>Xã Thọ Lộc</v>
          </cell>
          <cell r="I304" t="str">
            <v>10131</v>
          </cell>
        </row>
        <row r="305">
          <cell r="D305" t="str">
            <v>Huyện Quế Phong</v>
          </cell>
          <cell r="F305" t="str">
            <v>403</v>
          </cell>
          <cell r="G305" t="str">
            <v>Xã Tích Giang</v>
          </cell>
          <cell r="I305" t="str">
            <v>10131</v>
          </cell>
        </row>
        <row r="306">
          <cell r="D306" t="str">
            <v>Huyện Quỳ Châu</v>
          </cell>
          <cell r="F306" t="str">
            <v>403</v>
          </cell>
          <cell r="G306" t="str">
            <v>Xã Ngọc Tảo</v>
          </cell>
          <cell r="I306" t="str">
            <v>10131</v>
          </cell>
        </row>
        <row r="307">
          <cell r="D307" t="str">
            <v xml:space="preserve">Huyện Kỳ Sơn </v>
          </cell>
          <cell r="F307" t="str">
            <v>403</v>
          </cell>
          <cell r="G307" t="str">
            <v>Xã Hiệp Thuận</v>
          </cell>
          <cell r="I307" t="str">
            <v>10131</v>
          </cell>
        </row>
        <row r="308">
          <cell r="D308" t="str">
            <v>Huyện Quỳ Hợp</v>
          </cell>
          <cell r="F308" t="str">
            <v>403</v>
          </cell>
          <cell r="G308" t="str">
            <v>Xã Liên Hiệp</v>
          </cell>
          <cell r="I308" t="str">
            <v>10131</v>
          </cell>
        </row>
        <row r="309">
          <cell r="D309" t="str">
            <v>Huyện Nghĩa Đàn</v>
          </cell>
          <cell r="F309" t="str">
            <v>403</v>
          </cell>
          <cell r="G309" t="str">
            <v>Xã Thọ An</v>
          </cell>
          <cell r="I309" t="str">
            <v>10133</v>
          </cell>
        </row>
        <row r="310">
          <cell r="D310" t="str">
            <v>Thị xã Thái Hòa</v>
          </cell>
          <cell r="F310" t="str">
            <v>403</v>
          </cell>
          <cell r="G310" t="str">
            <v>Xã Phương Đình</v>
          </cell>
          <cell r="I310" t="str">
            <v>10133</v>
          </cell>
        </row>
        <row r="311">
          <cell r="D311" t="str">
            <v>Huyện Tương Dương</v>
          </cell>
          <cell r="F311" t="str">
            <v>403</v>
          </cell>
          <cell r="G311" t="str">
            <v>Xã Hạ Mỗ</v>
          </cell>
          <cell r="I311" t="str">
            <v>10133</v>
          </cell>
        </row>
        <row r="312">
          <cell r="D312" t="str">
            <v>Huyện Quỳnh Lưu</v>
          </cell>
          <cell r="F312" t="str">
            <v>403</v>
          </cell>
          <cell r="G312" t="str">
            <v>Xã Tân Hội</v>
          </cell>
          <cell r="I312" t="str">
            <v>10133</v>
          </cell>
        </row>
        <row r="313">
          <cell r="D313" t="str">
            <v>Huyện Tân Kỳ</v>
          </cell>
          <cell r="F313" t="str">
            <v>403</v>
          </cell>
          <cell r="G313" t="str">
            <v>Xã Song Phượng</v>
          </cell>
          <cell r="I313" t="str">
            <v>10133</v>
          </cell>
        </row>
        <row r="314">
          <cell r="D314" t="str">
            <v>Huyện Con Cuông</v>
          </cell>
          <cell r="F314" t="str">
            <v>403</v>
          </cell>
          <cell r="G314" t="str">
            <v>Thị trấn Phùng</v>
          </cell>
          <cell r="I314" t="str">
            <v>10133</v>
          </cell>
        </row>
        <row r="315">
          <cell r="D315" t="str">
            <v>Huyện Yên Thành</v>
          </cell>
          <cell r="F315" t="str">
            <v>403</v>
          </cell>
          <cell r="G315" t="str">
            <v>Xã Trung Châu</v>
          </cell>
          <cell r="I315" t="str">
            <v>10133</v>
          </cell>
        </row>
        <row r="316">
          <cell r="D316" t="str">
            <v>Huyện Diễn Châu</v>
          </cell>
          <cell r="F316" t="str">
            <v>403</v>
          </cell>
          <cell r="G316" t="str">
            <v>Xã Thọ Xuân</v>
          </cell>
          <cell r="I316" t="str">
            <v>10133</v>
          </cell>
        </row>
        <row r="317">
          <cell r="D317" t="str">
            <v>Huyện Anh Sơn</v>
          </cell>
          <cell r="F317" t="str">
            <v>403</v>
          </cell>
          <cell r="G317" t="str">
            <v>Xã Hồng Hà</v>
          </cell>
          <cell r="I317" t="str">
            <v>10133</v>
          </cell>
        </row>
        <row r="318">
          <cell r="D318" t="str">
            <v>Huyện Đô Lương</v>
          </cell>
          <cell r="F318" t="str">
            <v>403</v>
          </cell>
          <cell r="G318" t="str">
            <v>Xã Liên Hồng</v>
          </cell>
          <cell r="I318" t="str">
            <v>10133</v>
          </cell>
        </row>
        <row r="319">
          <cell r="D319" t="str">
            <v>Huyện Thanh Chương</v>
          </cell>
          <cell r="F319" t="str">
            <v>403</v>
          </cell>
          <cell r="G319" t="str">
            <v xml:space="preserve">Xã Liên Hà </v>
          </cell>
          <cell r="I319" t="str">
            <v>10133</v>
          </cell>
        </row>
        <row r="320">
          <cell r="D320" t="str">
            <v>Huyện Nghi Lộc</v>
          </cell>
          <cell r="F320" t="str">
            <v>403</v>
          </cell>
          <cell r="G320" t="str">
            <v>Xã Liên Trung</v>
          </cell>
          <cell r="I320" t="str">
            <v>10133</v>
          </cell>
        </row>
        <row r="321">
          <cell r="D321" t="str">
            <v>Huyện Nam Đàn</v>
          </cell>
          <cell r="F321" t="str">
            <v>403</v>
          </cell>
          <cell r="G321" t="str">
            <v>Xã Thượng Mỗ</v>
          </cell>
          <cell r="I321" t="str">
            <v>10133</v>
          </cell>
        </row>
        <row r="322">
          <cell r="D322" t="str">
            <v>Huyện Hưng Nguyên</v>
          </cell>
          <cell r="F322" t="str">
            <v>403</v>
          </cell>
          <cell r="G322" t="str">
            <v>Xã Tân Lập</v>
          </cell>
          <cell r="I322" t="str">
            <v>10133</v>
          </cell>
        </row>
        <row r="323">
          <cell r="D323" t="str">
            <v>Thị xã Hoàng Mai</v>
          </cell>
          <cell r="F323" t="str">
            <v>403</v>
          </cell>
          <cell r="G323" t="str">
            <v>Xã Đan Phượng</v>
          </cell>
          <cell r="I323" t="str">
            <v>10133</v>
          </cell>
        </row>
        <row r="324">
          <cell r="D324" t="str">
            <v>Thành phố Hà Tĩnh</v>
          </cell>
          <cell r="F324" t="str">
            <v>405</v>
          </cell>
          <cell r="G324" t="str">
            <v>Xã Đồng Tháp</v>
          </cell>
          <cell r="I324" t="str">
            <v>10133</v>
          </cell>
        </row>
        <row r="325">
          <cell r="D325" t="str">
            <v>Thị xã Hồng Lĩnh</v>
          </cell>
          <cell r="F325" t="str">
            <v>405</v>
          </cell>
          <cell r="G325" t="str">
            <v>Xã Phú Kim</v>
          </cell>
          <cell r="I325" t="str">
            <v>10135</v>
          </cell>
        </row>
        <row r="326">
          <cell r="D326" t="str">
            <v>Huyện Nghi Xuân</v>
          </cell>
          <cell r="F326" t="str">
            <v>405</v>
          </cell>
          <cell r="G326" t="str">
            <v>Xã Hữu Bằng</v>
          </cell>
          <cell r="I326" t="str">
            <v>10135</v>
          </cell>
        </row>
        <row r="327">
          <cell r="D327" t="str">
            <v>Huyện Đức Thọ</v>
          </cell>
          <cell r="F327" t="str">
            <v>405</v>
          </cell>
          <cell r="G327" t="str">
            <v>Xã Lại Thượng</v>
          </cell>
          <cell r="I327" t="str">
            <v>10135</v>
          </cell>
        </row>
        <row r="328">
          <cell r="D328" t="str">
            <v>Huyện Hương Sơn</v>
          </cell>
          <cell r="F328" t="str">
            <v>405</v>
          </cell>
          <cell r="G328" t="str">
            <v>Xã Kim Quan</v>
          </cell>
          <cell r="I328" t="str">
            <v>10135</v>
          </cell>
        </row>
        <row r="329">
          <cell r="D329" t="str">
            <v>Huyện Can Lộc</v>
          </cell>
          <cell r="F329" t="str">
            <v>405</v>
          </cell>
          <cell r="G329" t="str">
            <v>Xã Thạch Hòa</v>
          </cell>
          <cell r="I329" t="str">
            <v>10135</v>
          </cell>
        </row>
        <row r="330">
          <cell r="D330" t="str">
            <v>Huyện Thạch Hà</v>
          </cell>
          <cell r="F330" t="str">
            <v>405</v>
          </cell>
          <cell r="G330" t="str">
            <v>Xã Tân Xã</v>
          </cell>
          <cell r="I330" t="str">
            <v>10135</v>
          </cell>
        </row>
        <row r="331">
          <cell r="D331" t="str">
            <v>Huyện Cẩm Xuyên</v>
          </cell>
          <cell r="F331" t="str">
            <v>405</v>
          </cell>
          <cell r="G331" t="str">
            <v>Xã Hạ Bằng</v>
          </cell>
          <cell r="I331" t="str">
            <v>10135</v>
          </cell>
        </row>
        <row r="332">
          <cell r="D332" t="str">
            <v>Huyện Hương Khê</v>
          </cell>
          <cell r="F332" t="str">
            <v>405</v>
          </cell>
          <cell r="G332" t="str">
            <v>Thị trấn Liên Quan</v>
          </cell>
          <cell r="I332" t="str">
            <v>10135</v>
          </cell>
        </row>
        <row r="333">
          <cell r="D333" t="str">
            <v>Huyện Kỳ Anh</v>
          </cell>
          <cell r="F333" t="str">
            <v>405</v>
          </cell>
          <cell r="G333" t="str">
            <v>Xã Đại Đồng</v>
          </cell>
          <cell r="I333" t="str">
            <v>10135</v>
          </cell>
        </row>
        <row r="334">
          <cell r="D334" t="str">
            <v>Thị xã Kỳ Anh</v>
          </cell>
          <cell r="F334" t="str">
            <v>405</v>
          </cell>
          <cell r="G334" t="str">
            <v>Xã Cẩm Yên</v>
          </cell>
          <cell r="I334" t="str">
            <v>10135</v>
          </cell>
        </row>
        <row r="335">
          <cell r="D335" t="str">
            <v>Huyện Vũ Quang</v>
          </cell>
          <cell r="F335" t="str">
            <v>405</v>
          </cell>
          <cell r="G335" t="str">
            <v>Xã Hương Ngải</v>
          </cell>
          <cell r="I335" t="str">
            <v>10135</v>
          </cell>
        </row>
        <row r="336">
          <cell r="D336" t="str">
            <v>Huyện Lộc Hà</v>
          </cell>
          <cell r="F336" t="str">
            <v>405</v>
          </cell>
          <cell r="G336" t="str">
            <v>Xã Canh Nậu</v>
          </cell>
          <cell r="I336" t="str">
            <v>10135</v>
          </cell>
        </row>
        <row r="337">
          <cell r="D337" t="str">
            <v>Thành phố Đồng Hới</v>
          </cell>
          <cell r="F337" t="str">
            <v>407</v>
          </cell>
          <cell r="G337" t="str">
            <v>Xã Dị Nậu</v>
          </cell>
          <cell r="I337" t="str">
            <v>10135</v>
          </cell>
        </row>
        <row r="338">
          <cell r="D338" t="str">
            <v>Huyện Tuyên Hoá</v>
          </cell>
          <cell r="F338" t="str">
            <v>407</v>
          </cell>
          <cell r="G338" t="str">
            <v>Xã Bình Yên</v>
          </cell>
          <cell r="I338" t="str">
            <v>10135</v>
          </cell>
        </row>
        <row r="339">
          <cell r="D339" t="str">
            <v>Huyện Minh Hoá</v>
          </cell>
          <cell r="F339" t="str">
            <v>407</v>
          </cell>
          <cell r="G339" t="str">
            <v>Xã Chàng Sơn</v>
          </cell>
          <cell r="I339" t="str">
            <v>10135</v>
          </cell>
        </row>
        <row r="340">
          <cell r="D340" t="str">
            <v>Huyện Quảng Trạch</v>
          </cell>
          <cell r="F340" t="str">
            <v>407</v>
          </cell>
          <cell r="G340" t="str">
            <v>Xã Cần Kiệm</v>
          </cell>
          <cell r="I340" t="str">
            <v>10135</v>
          </cell>
        </row>
        <row r="341">
          <cell r="D341" t="str">
            <v>Huyện Bố Trạch</v>
          </cell>
          <cell r="F341" t="str">
            <v>407</v>
          </cell>
          <cell r="G341" t="str">
            <v>Xã Phùng Xá</v>
          </cell>
          <cell r="I341" t="str">
            <v>10135</v>
          </cell>
        </row>
        <row r="342">
          <cell r="D342" t="str">
            <v>Huyện Quảng Ninh</v>
          </cell>
          <cell r="F342" t="str">
            <v>407</v>
          </cell>
          <cell r="G342" t="str">
            <v>Xã Thạch Xá</v>
          </cell>
          <cell r="I342" t="str">
            <v>10135</v>
          </cell>
        </row>
        <row r="343">
          <cell r="D343" t="str">
            <v>Huyện Lệ Thuỷ</v>
          </cell>
          <cell r="F343" t="str">
            <v>407</v>
          </cell>
          <cell r="G343" t="str">
            <v>Xã Bình Phú</v>
          </cell>
          <cell r="I343" t="str">
            <v>10135</v>
          </cell>
        </row>
        <row r="344">
          <cell r="D344" t="str">
            <v>Thị Xã Ba Đồn</v>
          </cell>
          <cell r="F344" t="str">
            <v>407</v>
          </cell>
          <cell r="G344" t="str">
            <v>Xã Đồng Trúc</v>
          </cell>
          <cell r="I344" t="str">
            <v>10135</v>
          </cell>
        </row>
        <row r="345">
          <cell r="D345" t="str">
            <v>Thành phố Đông Hà</v>
          </cell>
          <cell r="F345" t="str">
            <v>409</v>
          </cell>
          <cell r="G345" t="str">
            <v>Xã Yên Bình</v>
          </cell>
          <cell r="I345" t="str">
            <v>10135</v>
          </cell>
        </row>
        <row r="346">
          <cell r="D346" t="str">
            <v>Thị xã Quảng Trị</v>
          </cell>
          <cell r="F346" t="str">
            <v>409</v>
          </cell>
          <cell r="G346" t="str">
            <v>Xã Yên Trung</v>
          </cell>
          <cell r="I346" t="str">
            <v>10135</v>
          </cell>
        </row>
        <row r="347">
          <cell r="D347" t="str">
            <v>Huyện Vĩnh Linh</v>
          </cell>
          <cell r="F347" t="str">
            <v>409</v>
          </cell>
          <cell r="G347" t="str">
            <v>Xã Tiến Xuân</v>
          </cell>
          <cell r="I347" t="str">
            <v>10135</v>
          </cell>
        </row>
        <row r="348">
          <cell r="D348" t="str">
            <v>Huyện Gio Linh</v>
          </cell>
          <cell r="F348" t="str">
            <v>409</v>
          </cell>
          <cell r="G348" t="str">
            <v>Xã Di Trạch</v>
          </cell>
          <cell r="I348" t="str">
            <v>10137</v>
          </cell>
        </row>
        <row r="349">
          <cell r="D349" t="str">
            <v>Huyện Cam Lộ</v>
          </cell>
          <cell r="F349" t="str">
            <v>409</v>
          </cell>
          <cell r="G349" t="str">
            <v>Xã Song Phương</v>
          </cell>
          <cell r="I349" t="str">
            <v>10137</v>
          </cell>
        </row>
        <row r="350">
          <cell r="D350" t="str">
            <v>Huyện Triệu Phong</v>
          </cell>
          <cell r="F350" t="str">
            <v>409</v>
          </cell>
          <cell r="G350" t="str">
            <v>Xã Dương Liễu</v>
          </cell>
          <cell r="I350" t="str">
            <v>10137</v>
          </cell>
        </row>
        <row r="351">
          <cell r="D351" t="str">
            <v>Huyện Hải Lăng</v>
          </cell>
          <cell r="F351" t="str">
            <v>409</v>
          </cell>
          <cell r="G351" t="str">
            <v xml:space="preserve">Xã Kim Chung </v>
          </cell>
          <cell r="I351" t="str">
            <v>10137</v>
          </cell>
        </row>
        <row r="352">
          <cell r="D352" t="str">
            <v>Huyện Hướng Hoá</v>
          </cell>
          <cell r="F352" t="str">
            <v>409</v>
          </cell>
          <cell r="G352" t="str">
            <v>Xã Đắc Sở</v>
          </cell>
          <cell r="I352" t="str">
            <v>10137</v>
          </cell>
        </row>
        <row r="353">
          <cell r="D353" t="str">
            <v>Huyện Đa Krông</v>
          </cell>
          <cell r="F353" t="str">
            <v>409</v>
          </cell>
          <cell r="G353" t="str">
            <v>Xã An Khánh</v>
          </cell>
          <cell r="I353" t="str">
            <v>10137</v>
          </cell>
        </row>
        <row r="354">
          <cell r="D354" t="str">
            <v>Huyện Đảo Cồn Cỏ</v>
          </cell>
          <cell r="F354" t="str">
            <v>409</v>
          </cell>
          <cell r="G354" t="str">
            <v>Xã Đông La</v>
          </cell>
          <cell r="I354" t="str">
            <v>10137</v>
          </cell>
        </row>
        <row r="355">
          <cell r="D355" t="str">
            <v>Thành phố Huế</v>
          </cell>
          <cell r="F355" t="str">
            <v>411</v>
          </cell>
          <cell r="G355" t="str">
            <v>Thị trấn Trạm Trôi</v>
          </cell>
          <cell r="I355" t="str">
            <v>10137</v>
          </cell>
        </row>
        <row r="356">
          <cell r="D356" t="str">
            <v>Huyện Phong Điền</v>
          </cell>
          <cell r="F356" t="str">
            <v>411</v>
          </cell>
          <cell r="G356" t="str">
            <v>Xã Đức Thượng</v>
          </cell>
          <cell r="I356" t="str">
            <v>10137</v>
          </cell>
        </row>
        <row r="357">
          <cell r="D357" t="str">
            <v>Huyện Quảng Điền</v>
          </cell>
          <cell r="F357" t="str">
            <v>411</v>
          </cell>
          <cell r="G357" t="str">
            <v xml:space="preserve">Xã Minh Khai </v>
          </cell>
          <cell r="I357" t="str">
            <v>10137</v>
          </cell>
        </row>
        <row r="358">
          <cell r="D358" t="str">
            <v>Thị Xã Hương Trà</v>
          </cell>
          <cell r="F358" t="str">
            <v>411</v>
          </cell>
          <cell r="G358" t="str">
            <v>Xã Đức Giang</v>
          </cell>
          <cell r="I358" t="str">
            <v>10137</v>
          </cell>
        </row>
        <row r="359">
          <cell r="D359" t="str">
            <v>Huyện Phú Vang</v>
          </cell>
          <cell r="F359" t="str">
            <v>411</v>
          </cell>
          <cell r="G359" t="str">
            <v>Xã Cát Quế</v>
          </cell>
          <cell r="I359" t="str">
            <v>10137</v>
          </cell>
        </row>
        <row r="360">
          <cell r="D360" t="str">
            <v>Thị xã Hương Thuỷ</v>
          </cell>
          <cell r="F360" t="str">
            <v>411</v>
          </cell>
          <cell r="G360" t="str">
            <v>Xã Yên Sở</v>
          </cell>
          <cell r="I360" t="str">
            <v>10137</v>
          </cell>
        </row>
        <row r="361">
          <cell r="D361" t="str">
            <v>Huyện Phú Lộc</v>
          </cell>
          <cell r="F361" t="str">
            <v>411</v>
          </cell>
          <cell r="G361" t="str">
            <v>Xã Sơn Đồng</v>
          </cell>
          <cell r="I361" t="str">
            <v>10137</v>
          </cell>
        </row>
        <row r="362">
          <cell r="D362" t="str">
            <v>Huyện A Lưới</v>
          </cell>
          <cell r="F362" t="str">
            <v>411</v>
          </cell>
          <cell r="G362" t="str">
            <v>Xã Vân Canh</v>
          </cell>
          <cell r="I362" t="str">
            <v>10137</v>
          </cell>
        </row>
        <row r="363">
          <cell r="D363" t="str">
            <v>Huyện Nam Đông</v>
          </cell>
          <cell r="F363" t="str">
            <v>411</v>
          </cell>
          <cell r="G363" t="str">
            <v>Xã Lại Yên</v>
          </cell>
          <cell r="I363" t="str">
            <v>10137</v>
          </cell>
        </row>
        <row r="364">
          <cell r="D364" t="str">
            <v>Quận Hải Châu</v>
          </cell>
          <cell r="F364" t="str">
            <v>501</v>
          </cell>
          <cell r="G364" t="str">
            <v>Xã Tiền Yên</v>
          </cell>
          <cell r="I364" t="str">
            <v>10137</v>
          </cell>
        </row>
        <row r="365">
          <cell r="D365" t="str">
            <v>Quận Thanh Khê</v>
          </cell>
          <cell r="F365" t="str">
            <v>501</v>
          </cell>
          <cell r="G365" t="str">
            <v>Xã An Thượng</v>
          </cell>
          <cell r="I365" t="str">
            <v>10137</v>
          </cell>
        </row>
        <row r="366">
          <cell r="D366" t="str">
            <v>Quận Sơn Trà</v>
          </cell>
          <cell r="F366" t="str">
            <v>501</v>
          </cell>
          <cell r="G366" t="str">
            <v>Xã Vân Côn</v>
          </cell>
          <cell r="I366" t="str">
            <v>10137</v>
          </cell>
        </row>
        <row r="367">
          <cell r="D367" t="str">
            <v>Quận Ngũ Hành Sơn</v>
          </cell>
          <cell r="F367" t="str">
            <v>501</v>
          </cell>
          <cell r="G367" t="str">
            <v>Xã La Phù</v>
          </cell>
          <cell r="I367" t="str">
            <v>10137</v>
          </cell>
        </row>
        <row r="368">
          <cell r="D368" t="str">
            <v>Quận Liên Chiểu</v>
          </cell>
          <cell r="F368" t="str">
            <v>501</v>
          </cell>
          <cell r="G368" t="str">
            <v>Xã Ngọc Liệp</v>
          </cell>
          <cell r="I368" t="str">
            <v>10139</v>
          </cell>
        </row>
        <row r="369">
          <cell r="D369" t="str">
            <v>Huyện Hòa Vang</v>
          </cell>
          <cell r="F369" t="str">
            <v>501</v>
          </cell>
          <cell r="G369" t="str">
            <v>Xã Đại Thành</v>
          </cell>
          <cell r="I369" t="str">
            <v>10139</v>
          </cell>
        </row>
        <row r="370">
          <cell r="D370" t="str">
            <v>Huyện Đảo Hoàng Sa</v>
          </cell>
          <cell r="F370" t="str">
            <v>501</v>
          </cell>
          <cell r="G370" t="str">
            <v>Xã Phượng Cách</v>
          </cell>
          <cell r="I370" t="str">
            <v>10139</v>
          </cell>
        </row>
        <row r="371">
          <cell r="D371" t="str">
            <v>Quận Cẩm Lệ</v>
          </cell>
          <cell r="F371" t="str">
            <v>501</v>
          </cell>
          <cell r="G371" t="str">
            <v>Xã Thạch Thán</v>
          </cell>
          <cell r="I371" t="str">
            <v>10139</v>
          </cell>
        </row>
        <row r="372">
          <cell r="D372" t="str">
            <v>Thành phố Tam Kỳ</v>
          </cell>
          <cell r="F372" t="str">
            <v>503</v>
          </cell>
          <cell r="G372" t="str">
            <v>Xã Nghĩa Hương</v>
          </cell>
          <cell r="I372" t="str">
            <v>10139</v>
          </cell>
        </row>
        <row r="373">
          <cell r="D373" t="str">
            <v>Huyện Phú Ninh</v>
          </cell>
          <cell r="F373" t="str">
            <v>503</v>
          </cell>
          <cell r="G373" t="str">
            <v>Xã Phú Mãn</v>
          </cell>
          <cell r="I373" t="str">
            <v>10139</v>
          </cell>
        </row>
        <row r="374">
          <cell r="D374" t="str">
            <v>Thành phố Hội An</v>
          </cell>
          <cell r="F374" t="str">
            <v>503</v>
          </cell>
          <cell r="G374" t="str">
            <v>Xã Đông Yên</v>
          </cell>
          <cell r="I374" t="str">
            <v>10139</v>
          </cell>
        </row>
        <row r="375">
          <cell r="D375" t="str">
            <v>Huyện Tây Giang</v>
          </cell>
          <cell r="F375" t="str">
            <v>503</v>
          </cell>
          <cell r="G375" t="str">
            <v>Thị trấn Quốc Oai</v>
          </cell>
          <cell r="I375" t="str">
            <v>10139</v>
          </cell>
        </row>
        <row r="376">
          <cell r="D376" t="str">
            <v>Huyện Đông Giang</v>
          </cell>
          <cell r="F376" t="str">
            <v>503</v>
          </cell>
          <cell r="G376" t="str">
            <v>Xã Sài Sơn</v>
          </cell>
          <cell r="I376" t="str">
            <v>10139</v>
          </cell>
        </row>
        <row r="377">
          <cell r="D377" t="str">
            <v>Huyện Đại Lộc</v>
          </cell>
          <cell r="F377" t="str">
            <v>503</v>
          </cell>
          <cell r="G377" t="str">
            <v>Xã Yên Sơn</v>
          </cell>
          <cell r="I377" t="str">
            <v>10139</v>
          </cell>
        </row>
        <row r="378">
          <cell r="D378" t="str">
            <v>Huyện Điện Bàn</v>
          </cell>
          <cell r="F378" t="str">
            <v>503</v>
          </cell>
          <cell r="G378" t="str">
            <v>Xã Ngọc Mỹ</v>
          </cell>
          <cell r="I378" t="str">
            <v>10139</v>
          </cell>
        </row>
        <row r="379">
          <cell r="D379" t="str">
            <v>Huyện Duy Xuyên</v>
          </cell>
          <cell r="F379" t="str">
            <v>503</v>
          </cell>
          <cell r="G379" t="str">
            <v>Xã Liệp Tuyết</v>
          </cell>
          <cell r="I379" t="str">
            <v>10139</v>
          </cell>
        </row>
        <row r="380">
          <cell r="D380" t="str">
            <v>Huyện Nam Giang</v>
          </cell>
          <cell r="F380" t="str">
            <v>503</v>
          </cell>
          <cell r="G380" t="str">
            <v>Xã Đồng Quang</v>
          </cell>
          <cell r="I380" t="str">
            <v>10139</v>
          </cell>
        </row>
        <row r="381">
          <cell r="D381" t="str">
            <v>Huyện Thăng Bình</v>
          </cell>
          <cell r="F381" t="str">
            <v>503</v>
          </cell>
          <cell r="G381" t="str">
            <v>Xã Phú Cát</v>
          </cell>
          <cell r="I381" t="str">
            <v>10139</v>
          </cell>
        </row>
        <row r="382">
          <cell r="D382" t="str">
            <v>Huyện Quế Sơn</v>
          </cell>
          <cell r="F382" t="str">
            <v>503</v>
          </cell>
          <cell r="G382" t="str">
            <v>Xã Tuyết Nghĩa</v>
          </cell>
          <cell r="I382" t="str">
            <v>10139</v>
          </cell>
        </row>
        <row r="383">
          <cell r="D383" t="str">
            <v>Huyện Nông Sơn</v>
          </cell>
          <cell r="F383" t="str">
            <v>503</v>
          </cell>
          <cell r="G383" t="str">
            <v>Xã Cộng Hòa</v>
          </cell>
          <cell r="I383" t="str">
            <v>10139</v>
          </cell>
        </row>
        <row r="384">
          <cell r="D384" t="str">
            <v>Huyện Hiệp Đức</v>
          </cell>
          <cell r="F384" t="str">
            <v>503</v>
          </cell>
          <cell r="G384" t="str">
            <v>Xã Tân Phú</v>
          </cell>
          <cell r="I384" t="str">
            <v>10139</v>
          </cell>
        </row>
        <row r="385">
          <cell r="D385" t="str">
            <v>Huyện Tiên Phước</v>
          </cell>
          <cell r="F385" t="str">
            <v>503</v>
          </cell>
          <cell r="G385" t="str">
            <v>Xã Cấn Hữu</v>
          </cell>
          <cell r="I385" t="str">
            <v>10139</v>
          </cell>
        </row>
        <row r="386">
          <cell r="D386" t="str">
            <v>Huyện Phước Sơn</v>
          </cell>
          <cell r="F386" t="str">
            <v>503</v>
          </cell>
          <cell r="G386" t="str">
            <v>Xã Tân Hòa</v>
          </cell>
          <cell r="I386" t="str">
            <v>10139</v>
          </cell>
        </row>
        <row r="387">
          <cell r="D387" t="str">
            <v>Huyện Núi Thành</v>
          </cell>
          <cell r="F387" t="str">
            <v>503</v>
          </cell>
          <cell r="G387" t="str">
            <v>Xã Hòa Thạch</v>
          </cell>
          <cell r="I387" t="str">
            <v>10139</v>
          </cell>
        </row>
        <row r="388">
          <cell r="D388" t="str">
            <v>Huyện Bắc Trà My</v>
          </cell>
          <cell r="F388" t="str">
            <v>503</v>
          </cell>
          <cell r="G388" t="str">
            <v xml:space="preserve">Xã Đông Xuân </v>
          </cell>
          <cell r="I388" t="str">
            <v>10139</v>
          </cell>
        </row>
        <row r="389">
          <cell r="D389" t="str">
            <v>Huyện Nam Trà My</v>
          </cell>
          <cell r="F389" t="str">
            <v>503</v>
          </cell>
          <cell r="G389" t="str">
            <v>Xã Mỹ Hưng</v>
          </cell>
          <cell r="I389" t="str">
            <v>10141</v>
          </cell>
        </row>
        <row r="390">
          <cell r="D390" t="str">
            <v>Thành phố Quảng Ngãi</v>
          </cell>
          <cell r="F390" t="str">
            <v>505</v>
          </cell>
          <cell r="G390" t="str">
            <v>Xã Thanh Mai</v>
          </cell>
          <cell r="I390" t="str">
            <v>10141</v>
          </cell>
        </row>
        <row r="391">
          <cell r="D391" t="str">
            <v>Huyện Lý Sơn</v>
          </cell>
          <cell r="F391" t="str">
            <v>505</v>
          </cell>
          <cell r="G391" t="str">
            <v>Xã Cao Dương</v>
          </cell>
          <cell r="I391" t="str">
            <v>10141</v>
          </cell>
        </row>
        <row r="392">
          <cell r="D392" t="str">
            <v>Huyện Bình Sơn</v>
          </cell>
          <cell r="F392" t="str">
            <v>505</v>
          </cell>
          <cell r="G392" t="str">
            <v>Xã Cự Khê</v>
          </cell>
          <cell r="I392" t="str">
            <v>10141</v>
          </cell>
        </row>
        <row r="393">
          <cell r="D393" t="str">
            <v>Huyện Trà Bồng</v>
          </cell>
          <cell r="F393" t="str">
            <v>505</v>
          </cell>
          <cell r="G393" t="str">
            <v>Xã Kim An</v>
          </cell>
          <cell r="I393" t="str">
            <v>10141</v>
          </cell>
        </row>
        <row r="394">
          <cell r="D394" t="str">
            <v>Huyện Tây Trà</v>
          </cell>
          <cell r="F394" t="str">
            <v>505</v>
          </cell>
          <cell r="G394" t="str">
            <v>Xã Tân Ước</v>
          </cell>
          <cell r="I394" t="str">
            <v>10141</v>
          </cell>
        </row>
        <row r="395">
          <cell r="D395" t="str">
            <v>Huyện Sơn Tịnh</v>
          </cell>
          <cell r="F395" t="str">
            <v>505</v>
          </cell>
          <cell r="G395" t="str">
            <v>Xã Xuân Dương</v>
          </cell>
          <cell r="I395" t="str">
            <v>10141</v>
          </cell>
        </row>
        <row r="396">
          <cell r="D396" t="str">
            <v>Huyện Sơn Tây</v>
          </cell>
          <cell r="F396" t="str">
            <v>505</v>
          </cell>
          <cell r="G396" t="str">
            <v>Xã Cao Viên</v>
          </cell>
          <cell r="I396" t="str">
            <v>10141</v>
          </cell>
        </row>
        <row r="397">
          <cell r="D397" t="str">
            <v>Huyện Sơn Hà</v>
          </cell>
          <cell r="F397" t="str">
            <v>505</v>
          </cell>
          <cell r="G397" t="str">
            <v>Xã Bình Minh</v>
          </cell>
          <cell r="I397" t="str">
            <v>10141</v>
          </cell>
        </row>
        <row r="398">
          <cell r="D398" t="str">
            <v>Huyện Tư Nghĩa</v>
          </cell>
          <cell r="F398" t="str">
            <v>505</v>
          </cell>
          <cell r="G398" t="str">
            <v>Xã Tam Hưng</v>
          </cell>
          <cell r="I398" t="str">
            <v>10141</v>
          </cell>
        </row>
        <row r="399">
          <cell r="D399" t="str">
            <v>Huyện Nghĩa Hành</v>
          </cell>
          <cell r="F399" t="str">
            <v>505</v>
          </cell>
          <cell r="G399" t="str">
            <v>Xã Thanh Cao</v>
          </cell>
          <cell r="I399" t="str">
            <v>10141</v>
          </cell>
        </row>
        <row r="400">
          <cell r="D400" t="str">
            <v>Huyện Minh Long</v>
          </cell>
          <cell r="F400" t="str">
            <v>505</v>
          </cell>
          <cell r="G400" t="str">
            <v>Xã Thanh Thùy</v>
          </cell>
          <cell r="I400" t="str">
            <v>10141</v>
          </cell>
        </row>
        <row r="401">
          <cell r="D401" t="str">
            <v>Huyện Mộ Đức</v>
          </cell>
          <cell r="F401" t="str">
            <v>505</v>
          </cell>
          <cell r="G401" t="str">
            <v>Xã Thanh Văn</v>
          </cell>
          <cell r="I401" t="str">
            <v>10141</v>
          </cell>
        </row>
        <row r="402">
          <cell r="D402" t="str">
            <v>Huyện Đức Phổ</v>
          </cell>
          <cell r="F402" t="str">
            <v>505</v>
          </cell>
          <cell r="G402" t="str">
            <v>Xã Đỗ Động</v>
          </cell>
          <cell r="I402" t="str">
            <v>10141</v>
          </cell>
        </row>
        <row r="403">
          <cell r="D403" t="str">
            <v>Huyện Ba Tơ</v>
          </cell>
          <cell r="F403" t="str">
            <v>505</v>
          </cell>
          <cell r="G403" t="str">
            <v>Xã Kim Thư</v>
          </cell>
          <cell r="I403" t="str">
            <v>10141</v>
          </cell>
        </row>
        <row r="404">
          <cell r="D404" t="str">
            <v>Thành phố Quy Nhơn</v>
          </cell>
          <cell r="F404" t="str">
            <v>507</v>
          </cell>
          <cell r="G404" t="str">
            <v>Xã Phương Trung</v>
          </cell>
          <cell r="I404" t="str">
            <v>10141</v>
          </cell>
        </row>
        <row r="405">
          <cell r="D405" t="str">
            <v xml:space="preserve">Huyện An Lão </v>
          </cell>
          <cell r="F405" t="str">
            <v>507</v>
          </cell>
          <cell r="G405" t="str">
            <v>Xã Dân Hòa</v>
          </cell>
          <cell r="I405" t="str">
            <v>10141</v>
          </cell>
        </row>
        <row r="406">
          <cell r="D406" t="str">
            <v>Huyện Hòai Nhơn</v>
          </cell>
          <cell r="F406" t="str">
            <v>507</v>
          </cell>
          <cell r="G406" t="str">
            <v>Xã Liên Châu</v>
          </cell>
          <cell r="I406" t="str">
            <v>10141</v>
          </cell>
        </row>
        <row r="407">
          <cell r="D407" t="str">
            <v>Huyện Hòai Ân</v>
          </cell>
          <cell r="F407" t="str">
            <v>507</v>
          </cell>
          <cell r="G407" t="str">
            <v>Xã Hồng Dương</v>
          </cell>
          <cell r="I407" t="str">
            <v>10141</v>
          </cell>
        </row>
        <row r="408">
          <cell r="D408" t="str">
            <v>Huyện Phù Mỹ</v>
          </cell>
          <cell r="F408" t="str">
            <v>507</v>
          </cell>
          <cell r="G408" t="str">
            <v>Thị trấn Kim Bài</v>
          </cell>
          <cell r="I408" t="str">
            <v>10141</v>
          </cell>
        </row>
        <row r="409">
          <cell r="D409" t="str">
            <v>Huyện Vĩnh Thạnh</v>
          </cell>
          <cell r="F409" t="str">
            <v>507</v>
          </cell>
          <cell r="G409" t="str">
            <v>Xã Bích Hòa</v>
          </cell>
          <cell r="I409" t="str">
            <v>10141</v>
          </cell>
        </row>
        <row r="410">
          <cell r="D410" t="str">
            <v>Huyện Phù Cát</v>
          </cell>
          <cell r="F410" t="str">
            <v>507</v>
          </cell>
          <cell r="G410" t="str">
            <v>Xã Hồng Vân</v>
          </cell>
          <cell r="I410" t="str">
            <v>10143</v>
          </cell>
        </row>
        <row r="411">
          <cell r="D411" t="str">
            <v>Huyện Tây Sơn</v>
          </cell>
          <cell r="F411" t="str">
            <v>507</v>
          </cell>
          <cell r="G411" t="str">
            <v>Xã Quất Động</v>
          </cell>
          <cell r="I411" t="str">
            <v>10143</v>
          </cell>
        </row>
        <row r="412">
          <cell r="D412" t="str">
            <v>Thị Xã An Nhơn</v>
          </cell>
          <cell r="F412" t="str">
            <v>507</v>
          </cell>
          <cell r="G412" t="str">
            <v>Xã Vạn Điểm</v>
          </cell>
          <cell r="I412" t="str">
            <v>10143</v>
          </cell>
        </row>
        <row r="413">
          <cell r="D413" t="str">
            <v>Huyện Tuy Phước</v>
          </cell>
          <cell r="F413" t="str">
            <v>507</v>
          </cell>
          <cell r="G413" t="str">
            <v>Xã Nhị Khê</v>
          </cell>
          <cell r="I413" t="str">
            <v>10143</v>
          </cell>
        </row>
        <row r="414">
          <cell r="D414" t="str">
            <v>Huyện Vân Canh</v>
          </cell>
          <cell r="F414" t="str">
            <v>507</v>
          </cell>
          <cell r="G414" t="str">
            <v>Xã Văn Bình</v>
          </cell>
          <cell r="I414" t="str">
            <v>10143</v>
          </cell>
        </row>
        <row r="415">
          <cell r="D415" t="str">
            <v>TP Tuy Hòa</v>
          </cell>
          <cell r="F415" t="str">
            <v>509</v>
          </cell>
          <cell r="G415" t="str">
            <v>Xã Liên Phương</v>
          </cell>
          <cell r="I415" t="str">
            <v>10143</v>
          </cell>
        </row>
        <row r="416">
          <cell r="D416" t="str">
            <v>Huyện Đồng Xuân</v>
          </cell>
          <cell r="F416" t="str">
            <v>509</v>
          </cell>
          <cell r="G416" t="str">
            <v>Xã Hà Hồi</v>
          </cell>
          <cell r="I416" t="str">
            <v>10143</v>
          </cell>
        </row>
        <row r="417">
          <cell r="D417" t="str">
            <v>Thị xã Sông Cầu</v>
          </cell>
          <cell r="F417" t="str">
            <v>509</v>
          </cell>
          <cell r="G417" t="str">
            <v>Xã Chương Dương</v>
          </cell>
          <cell r="I417" t="str">
            <v>10143</v>
          </cell>
        </row>
        <row r="418">
          <cell r="D418" t="str">
            <v>Huyện Tuy An</v>
          </cell>
          <cell r="F418" t="str">
            <v>509</v>
          </cell>
          <cell r="G418" t="str">
            <v>Xã Dũng Tiến</v>
          </cell>
          <cell r="I418" t="str">
            <v>10143</v>
          </cell>
        </row>
        <row r="419">
          <cell r="D419" t="str">
            <v>Huyện Sơn Hòa</v>
          </cell>
          <cell r="F419" t="str">
            <v>509</v>
          </cell>
          <cell r="G419" t="str">
            <v>Xã Văn Tự</v>
          </cell>
          <cell r="I419" t="str">
            <v>10143</v>
          </cell>
        </row>
        <row r="420">
          <cell r="D420" t="str">
            <v>Huyện Đông Hòa</v>
          </cell>
          <cell r="F420" t="str">
            <v>509</v>
          </cell>
          <cell r="G420" t="str">
            <v>Thị trấn Thường Tín</v>
          </cell>
          <cell r="I420" t="str">
            <v>10143</v>
          </cell>
        </row>
        <row r="421">
          <cell r="D421" t="str">
            <v>Huyện Tây Hòa</v>
          </cell>
          <cell r="F421" t="str">
            <v>509</v>
          </cell>
          <cell r="G421" t="str">
            <v>Xã Ninh Sở</v>
          </cell>
          <cell r="I421" t="str">
            <v>10143</v>
          </cell>
        </row>
        <row r="422">
          <cell r="D422" t="str">
            <v>Huyện Sông Hinh</v>
          </cell>
          <cell r="F422" t="str">
            <v>509</v>
          </cell>
          <cell r="G422" t="str">
            <v>Xã Duyên Thái</v>
          </cell>
          <cell r="I422" t="str">
            <v>10143</v>
          </cell>
        </row>
        <row r="423">
          <cell r="D423" t="str">
            <v>Huyện Phú Hòa</v>
          </cell>
          <cell r="F423" t="str">
            <v>509</v>
          </cell>
          <cell r="G423" t="str">
            <v>Xã Khánh Hà</v>
          </cell>
          <cell r="I423" t="str">
            <v>10143</v>
          </cell>
        </row>
        <row r="424">
          <cell r="D424" t="str">
            <v>Thành phố Nha Trang</v>
          </cell>
          <cell r="F424" t="str">
            <v>511</v>
          </cell>
          <cell r="G424" t="str">
            <v>Xã Hòa Bình</v>
          </cell>
          <cell r="I424" t="str">
            <v>10143</v>
          </cell>
        </row>
        <row r="425">
          <cell r="D425" t="str">
            <v>Huyện Vạn Ninh</v>
          </cell>
          <cell r="F425" t="str">
            <v>511</v>
          </cell>
          <cell r="G425" t="str">
            <v>Xã Hiền Giang</v>
          </cell>
          <cell r="I425" t="str">
            <v>10143</v>
          </cell>
        </row>
        <row r="426">
          <cell r="D426" t="str">
            <v>Thị xã Ninh Hòa</v>
          </cell>
          <cell r="F426" t="str">
            <v>511</v>
          </cell>
          <cell r="G426" t="str">
            <v>Xã Vân Tảo</v>
          </cell>
          <cell r="I426" t="str">
            <v>10143</v>
          </cell>
        </row>
        <row r="427">
          <cell r="D427" t="str">
            <v>Huyện Diên Khánh</v>
          </cell>
          <cell r="F427" t="str">
            <v>511</v>
          </cell>
          <cell r="G427" t="str">
            <v>Xã Văn Phú</v>
          </cell>
          <cell r="I427" t="str">
            <v>10143</v>
          </cell>
        </row>
        <row r="428">
          <cell r="D428" t="str">
            <v>Thành phố Cam Ranh</v>
          </cell>
          <cell r="F428" t="str">
            <v>511</v>
          </cell>
          <cell r="G428" t="str">
            <v>Xã Tự Nhiên</v>
          </cell>
          <cell r="I428" t="str">
            <v>10143</v>
          </cell>
        </row>
        <row r="429">
          <cell r="D429" t="str">
            <v>Huyện Khánh Vĩnh</v>
          </cell>
          <cell r="F429" t="str">
            <v>511</v>
          </cell>
          <cell r="G429" t="str">
            <v xml:space="preserve">Xã Tiền Phong </v>
          </cell>
          <cell r="I429" t="str">
            <v>10143</v>
          </cell>
        </row>
        <row r="430">
          <cell r="D430" t="str">
            <v>Huyện Khánh Sơn</v>
          </cell>
          <cell r="F430" t="str">
            <v>511</v>
          </cell>
          <cell r="G430" t="str">
            <v>Xã Thư Phú</v>
          </cell>
          <cell r="I430" t="str">
            <v>10143</v>
          </cell>
        </row>
        <row r="431">
          <cell r="D431" t="str">
            <v>Huyện Trường Sa</v>
          </cell>
          <cell r="F431" t="str">
            <v>511</v>
          </cell>
          <cell r="G431" t="str">
            <v>Xã Nguyễn Trãi</v>
          </cell>
          <cell r="I431" t="str">
            <v>10143</v>
          </cell>
        </row>
        <row r="432">
          <cell r="D432" t="str">
            <v>Huyện Cam Lâm</v>
          </cell>
          <cell r="F432" t="str">
            <v>511</v>
          </cell>
          <cell r="G432" t="str">
            <v xml:space="preserve">Xã Tân Minh </v>
          </cell>
          <cell r="I432" t="str">
            <v>10143</v>
          </cell>
        </row>
        <row r="433">
          <cell r="D433" t="str">
            <v>Thành phố Kon Tum</v>
          </cell>
          <cell r="F433" t="str">
            <v>601</v>
          </cell>
          <cell r="G433" t="str">
            <v>Xã Lê Lợi</v>
          </cell>
          <cell r="I433" t="str">
            <v>10143</v>
          </cell>
        </row>
        <row r="434">
          <cell r="D434" t="str">
            <v>Huyện Đắk Glei</v>
          </cell>
          <cell r="F434" t="str">
            <v>601</v>
          </cell>
          <cell r="G434" t="str">
            <v>Xã Thắng Lợi</v>
          </cell>
          <cell r="I434" t="str">
            <v>10143</v>
          </cell>
        </row>
        <row r="435">
          <cell r="D435" t="str">
            <v>Huyện Ngọc Hồi</v>
          </cell>
          <cell r="F435" t="str">
            <v>601</v>
          </cell>
          <cell r="G435" t="str">
            <v>Xã Thống Nhất</v>
          </cell>
          <cell r="I435" t="str">
            <v>10143</v>
          </cell>
        </row>
        <row r="436">
          <cell r="D436" t="str">
            <v>Huyện Đắk Tô</v>
          </cell>
          <cell r="F436" t="str">
            <v>601</v>
          </cell>
          <cell r="G436" t="str">
            <v>Xã Nghiêm Xuyên</v>
          </cell>
          <cell r="I436" t="str">
            <v>10143</v>
          </cell>
        </row>
        <row r="437">
          <cell r="D437" t="str">
            <v>Huyện Kon Rẫy</v>
          </cell>
          <cell r="F437" t="str">
            <v>601</v>
          </cell>
          <cell r="G437" t="str">
            <v>Xã Tô Hiệu</v>
          </cell>
          <cell r="I437" t="str">
            <v>10143</v>
          </cell>
        </row>
        <row r="438">
          <cell r="D438" t="str">
            <v>Huyện Kon Plông</v>
          </cell>
          <cell r="F438" t="str">
            <v>601</v>
          </cell>
          <cell r="G438" t="str">
            <v>Xã Minh Cường</v>
          </cell>
          <cell r="I438" t="str">
            <v>10143</v>
          </cell>
        </row>
        <row r="439">
          <cell r="D439" t="str">
            <v>Huyện Đắk Hà</v>
          </cell>
          <cell r="F439" t="str">
            <v>601</v>
          </cell>
          <cell r="G439" t="str">
            <v>Thị trấn Đại Nghĩa</v>
          </cell>
          <cell r="I439" t="str">
            <v>10145</v>
          </cell>
        </row>
        <row r="440">
          <cell r="D440" t="str">
            <v>Huyện Sa Thầy</v>
          </cell>
          <cell r="F440" t="str">
            <v>601</v>
          </cell>
          <cell r="G440" t="str">
            <v>Xã An Tiến</v>
          </cell>
          <cell r="I440" t="str">
            <v>10145</v>
          </cell>
        </row>
        <row r="441">
          <cell r="D441" t="str">
            <v>Huyện Ia H'Drai</v>
          </cell>
          <cell r="F441" t="str">
            <v>601</v>
          </cell>
          <cell r="G441" t="str">
            <v>Xã Phúc Lâm</v>
          </cell>
          <cell r="I441" t="str">
            <v>10145</v>
          </cell>
        </row>
        <row r="442">
          <cell r="D442" t="str">
            <v>Huyện  Tu Mơ Rông</v>
          </cell>
          <cell r="F442" t="str">
            <v>601</v>
          </cell>
          <cell r="G442" t="str">
            <v>Xã An Mỹ</v>
          </cell>
          <cell r="I442" t="str">
            <v>10145</v>
          </cell>
        </row>
        <row r="443">
          <cell r="D443" t="str">
            <v>Thành phố  Pleiku</v>
          </cell>
          <cell r="F443" t="str">
            <v>603</v>
          </cell>
          <cell r="G443" t="str">
            <v>Xã Xuy Xá</v>
          </cell>
          <cell r="I443" t="str">
            <v>10145</v>
          </cell>
        </row>
        <row r="444">
          <cell r="D444" t="str">
            <v>Huyện Kbang</v>
          </cell>
          <cell r="F444" t="str">
            <v>603</v>
          </cell>
          <cell r="G444" t="str">
            <v>Xã Phù Lưu Tế</v>
          </cell>
          <cell r="I444" t="str">
            <v>10145</v>
          </cell>
        </row>
        <row r="445">
          <cell r="D445" t="str">
            <v>Huyện Mang Yang</v>
          </cell>
          <cell r="F445" t="str">
            <v>603</v>
          </cell>
          <cell r="G445" t="str">
            <v>Xã Đại Hưng</v>
          </cell>
          <cell r="I445" t="str">
            <v>10145</v>
          </cell>
        </row>
        <row r="446">
          <cell r="D446" t="str">
            <v>Huyện Chư Păh</v>
          </cell>
          <cell r="F446" t="str">
            <v>603</v>
          </cell>
          <cell r="G446" t="str">
            <v>Xã Vạn Kim</v>
          </cell>
          <cell r="I446" t="str">
            <v>10145</v>
          </cell>
        </row>
        <row r="447">
          <cell r="D447" t="str">
            <v>Huyện Ia Grai</v>
          </cell>
          <cell r="F447" t="str">
            <v>603</v>
          </cell>
          <cell r="G447" t="str">
            <v>Xã Đốc Tín</v>
          </cell>
          <cell r="I447" t="str">
            <v>10145</v>
          </cell>
        </row>
        <row r="448">
          <cell r="D448" t="str">
            <v>Thị xã An Khê</v>
          </cell>
          <cell r="F448" t="str">
            <v>603</v>
          </cell>
          <cell r="G448" t="str">
            <v>Xã Hương Sơn</v>
          </cell>
          <cell r="I448" t="str">
            <v>10145</v>
          </cell>
        </row>
        <row r="449">
          <cell r="D449" t="str">
            <v>Huyện Kông Chro</v>
          </cell>
          <cell r="F449" t="str">
            <v>603</v>
          </cell>
          <cell r="G449" t="str">
            <v>Xã Hùng Tiến</v>
          </cell>
          <cell r="I449" t="str">
            <v>10145</v>
          </cell>
        </row>
        <row r="450">
          <cell r="D450" t="str">
            <v>Huyện Đức Cơ</v>
          </cell>
          <cell r="F450" t="str">
            <v>603</v>
          </cell>
          <cell r="G450" t="str">
            <v>Xã Hợp Tiến</v>
          </cell>
          <cell r="I450" t="str">
            <v>10145</v>
          </cell>
        </row>
        <row r="451">
          <cell r="D451" t="str">
            <v>Huyện Chư Prông</v>
          </cell>
          <cell r="F451" t="str">
            <v>603</v>
          </cell>
          <cell r="G451" t="str">
            <v>Xã Hợp Thanh</v>
          </cell>
          <cell r="I451" t="str">
            <v>10145</v>
          </cell>
        </row>
        <row r="452">
          <cell r="D452" t="str">
            <v>Huyện Chư Sê</v>
          </cell>
          <cell r="F452" t="str">
            <v>603</v>
          </cell>
          <cell r="G452" t="str">
            <v>Xã An Phú</v>
          </cell>
          <cell r="I452" t="str">
            <v>10145</v>
          </cell>
        </row>
        <row r="453">
          <cell r="D453" t="str">
            <v>Huyện IaPa</v>
          </cell>
          <cell r="F453" t="str">
            <v>603</v>
          </cell>
          <cell r="G453" t="str">
            <v xml:space="preserve">Xã Phùng Xá </v>
          </cell>
          <cell r="I453" t="str">
            <v>10145</v>
          </cell>
        </row>
        <row r="454">
          <cell r="D454" t="str">
            <v>Thị xã Ayun Pa</v>
          </cell>
          <cell r="F454" t="str">
            <v>603</v>
          </cell>
          <cell r="G454" t="str">
            <v>Xã Đồng Tâm</v>
          </cell>
          <cell r="I454" t="str">
            <v>10145</v>
          </cell>
        </row>
        <row r="455">
          <cell r="D455" t="str">
            <v>Huyện Krông Pa</v>
          </cell>
          <cell r="F455" t="str">
            <v>603</v>
          </cell>
          <cell r="G455" t="str">
            <v>Xã Thượng Lâm</v>
          </cell>
          <cell r="I455" t="str">
            <v>10145</v>
          </cell>
        </row>
        <row r="456">
          <cell r="D456" t="str">
            <v>Huyện Đak Đoa</v>
          </cell>
          <cell r="F456" t="str">
            <v>603</v>
          </cell>
          <cell r="G456" t="str">
            <v>Xã Tuy Lai</v>
          </cell>
          <cell r="I456" t="str">
            <v>10145</v>
          </cell>
        </row>
        <row r="457">
          <cell r="D457" t="str">
            <v>Huyện Đắk Pơ</v>
          </cell>
          <cell r="F457" t="str">
            <v>603</v>
          </cell>
          <cell r="G457" t="str">
            <v>Xã Mỹ Thành</v>
          </cell>
          <cell r="I457" t="str">
            <v>10145</v>
          </cell>
        </row>
        <row r="458">
          <cell r="D458" t="str">
            <v>Huyện Phú Thiện</v>
          </cell>
          <cell r="F458" t="str">
            <v>603</v>
          </cell>
          <cell r="G458" t="str">
            <v>Xã Bột Xuyên</v>
          </cell>
          <cell r="I458" t="str">
            <v>10145</v>
          </cell>
        </row>
        <row r="459">
          <cell r="D459" t="str">
            <v>Huyện Chư Pưh</v>
          </cell>
          <cell r="F459" t="str">
            <v>603</v>
          </cell>
          <cell r="G459" t="str">
            <v>Xã Hồng Sơn</v>
          </cell>
          <cell r="I459" t="str">
            <v>10145</v>
          </cell>
        </row>
        <row r="460">
          <cell r="D460" t="str">
            <v>TP.Buôn Ma Thuột</v>
          </cell>
          <cell r="F460" t="str">
            <v>605</v>
          </cell>
          <cell r="G460" t="str">
            <v>Xã Lê Thanh</v>
          </cell>
          <cell r="I460" t="str">
            <v>10145</v>
          </cell>
        </row>
        <row r="461">
          <cell r="D461" t="str">
            <v>Huyện Ea H'leo</v>
          </cell>
          <cell r="F461" t="str">
            <v>605</v>
          </cell>
          <cell r="G461" t="str">
            <v>Xã Đông Lỗ</v>
          </cell>
          <cell r="I461" t="str">
            <v>10147</v>
          </cell>
        </row>
        <row r="462">
          <cell r="D462" t="str">
            <v>Huyện Ea Súp</v>
          </cell>
          <cell r="F462" t="str">
            <v>605</v>
          </cell>
          <cell r="G462" t="str">
            <v>Xã Hòa Xá</v>
          </cell>
          <cell r="I462" t="str">
            <v>10147</v>
          </cell>
        </row>
        <row r="463">
          <cell r="D463" t="str">
            <v>Huyện Krông Năng</v>
          </cell>
          <cell r="F463" t="str">
            <v>605</v>
          </cell>
          <cell r="G463" t="str">
            <v>Xã Sơn Công</v>
          </cell>
          <cell r="I463" t="str">
            <v>10147</v>
          </cell>
        </row>
        <row r="464">
          <cell r="D464" t="str">
            <v>Thị xã Buôn Hồ</v>
          </cell>
          <cell r="F464" t="str">
            <v>605</v>
          </cell>
          <cell r="G464" t="str">
            <v>Xã Viên An</v>
          </cell>
          <cell r="I464" t="str">
            <v>10147</v>
          </cell>
        </row>
        <row r="465">
          <cell r="D465" t="str">
            <v>Huyện Buôn Đôn</v>
          </cell>
          <cell r="F465" t="str">
            <v>605</v>
          </cell>
          <cell r="G465" t="str">
            <v>Xã Trường Thịnh</v>
          </cell>
          <cell r="I465" t="str">
            <v>10147</v>
          </cell>
        </row>
        <row r="466">
          <cell r="D466" t="str">
            <v>Huyện Cư M'gar</v>
          </cell>
          <cell r="F466" t="str">
            <v>605</v>
          </cell>
          <cell r="G466" t="str">
            <v>Xã Đồng Tiến</v>
          </cell>
          <cell r="I466" t="str">
            <v>10147</v>
          </cell>
        </row>
        <row r="467">
          <cell r="D467" t="str">
            <v>Huyện Ea Kar</v>
          </cell>
          <cell r="F467" t="str">
            <v>605</v>
          </cell>
          <cell r="G467" t="str">
            <v>Xã Tảo Dương Văn</v>
          </cell>
          <cell r="I467" t="str">
            <v>10147</v>
          </cell>
        </row>
        <row r="468">
          <cell r="D468" t="str">
            <v>Huyện M'ĐrắK</v>
          </cell>
          <cell r="F468" t="str">
            <v>605</v>
          </cell>
          <cell r="G468" t="str">
            <v>Xã Trầm Lộng</v>
          </cell>
          <cell r="I468" t="str">
            <v>10147</v>
          </cell>
        </row>
        <row r="469">
          <cell r="D469" t="str">
            <v>Huyện Krông Pắk</v>
          </cell>
          <cell r="F469" t="str">
            <v>605</v>
          </cell>
          <cell r="G469" t="str">
            <v>Xã Lưu Hoàng</v>
          </cell>
          <cell r="I469" t="str">
            <v>10147</v>
          </cell>
        </row>
        <row r="470">
          <cell r="D470" t="str">
            <v>Huyện Krông A Na</v>
          </cell>
          <cell r="F470" t="str">
            <v>605</v>
          </cell>
          <cell r="G470" t="str">
            <v>Thị trấn Vân Đình</v>
          </cell>
          <cell r="I470" t="str">
            <v>10147</v>
          </cell>
        </row>
        <row r="471">
          <cell r="D471" t="str">
            <v>Huyện Krông Bông</v>
          </cell>
          <cell r="F471" t="str">
            <v>605</v>
          </cell>
          <cell r="G471" t="str">
            <v>Xã Viên Nội</v>
          </cell>
          <cell r="I471" t="str">
            <v>10147</v>
          </cell>
        </row>
        <row r="472">
          <cell r="D472" t="str">
            <v>Huyện Lắk</v>
          </cell>
          <cell r="F472" t="str">
            <v>605</v>
          </cell>
          <cell r="G472" t="str">
            <v>Xã Hoa Sơn</v>
          </cell>
          <cell r="I472" t="str">
            <v>10147</v>
          </cell>
        </row>
        <row r="473">
          <cell r="D473" t="str">
            <v>Huyện Cư Kuin</v>
          </cell>
          <cell r="F473" t="str">
            <v>605</v>
          </cell>
          <cell r="G473" t="str">
            <v>Xã Quảng Phú Cầu</v>
          </cell>
          <cell r="I473" t="str">
            <v>10147</v>
          </cell>
        </row>
        <row r="474">
          <cell r="D474" t="str">
            <v>Huyện Krông Búk</v>
          </cell>
          <cell r="F474" t="str">
            <v>605</v>
          </cell>
          <cell r="G474" t="str">
            <v>Xã Cao Thành</v>
          </cell>
          <cell r="I474" t="str">
            <v>10147</v>
          </cell>
        </row>
        <row r="475">
          <cell r="D475" t="str">
            <v>Huyện Cư Jút</v>
          </cell>
          <cell r="F475" t="str">
            <v>606</v>
          </cell>
          <cell r="G475" t="str">
            <v>Xã Liên Bạt</v>
          </cell>
          <cell r="I475" t="str">
            <v>10147</v>
          </cell>
        </row>
        <row r="476">
          <cell r="D476" t="str">
            <v>Huyện Krông Nô</v>
          </cell>
          <cell r="F476" t="str">
            <v>606</v>
          </cell>
          <cell r="G476" t="str">
            <v>Xã Phương Tú</v>
          </cell>
          <cell r="I476" t="str">
            <v>10147</v>
          </cell>
        </row>
        <row r="477">
          <cell r="D477" t="str">
            <v>Huyện Đắk Mil</v>
          </cell>
          <cell r="F477" t="str">
            <v>606</v>
          </cell>
          <cell r="G477" t="str">
            <v>Xã Trung Tú</v>
          </cell>
          <cell r="I477" t="str">
            <v>10147</v>
          </cell>
        </row>
        <row r="478">
          <cell r="D478" t="str">
            <v>Huyện Đắk Song</v>
          </cell>
          <cell r="F478" t="str">
            <v>606</v>
          </cell>
          <cell r="G478" t="str">
            <v>Xã Đồng Tân</v>
          </cell>
          <cell r="I478" t="str">
            <v>10147</v>
          </cell>
        </row>
        <row r="479">
          <cell r="D479" t="str">
            <v>Huyện Đắk R'Lấp</v>
          </cell>
          <cell r="F479" t="str">
            <v>606</v>
          </cell>
          <cell r="G479" t="str">
            <v>Xã Vạn Thái</v>
          </cell>
          <cell r="I479" t="str">
            <v>10147</v>
          </cell>
        </row>
        <row r="480">
          <cell r="D480" t="str">
            <v>Thị xã Gia Nghĩa</v>
          </cell>
          <cell r="F480" t="str">
            <v>606</v>
          </cell>
          <cell r="G480" t="str">
            <v>Xã Minh Đức</v>
          </cell>
          <cell r="I480" t="str">
            <v>10147</v>
          </cell>
        </row>
        <row r="481">
          <cell r="D481" t="str">
            <v>Huyện Đắk Glong</v>
          </cell>
          <cell r="F481" t="str">
            <v>606</v>
          </cell>
          <cell r="G481" t="str">
            <v>Xã Hòa Lâm</v>
          </cell>
          <cell r="I481" t="str">
            <v>10147</v>
          </cell>
        </row>
        <row r="482">
          <cell r="D482" t="str">
            <v>Huyện Tuy Đức</v>
          </cell>
          <cell r="F482" t="str">
            <v>606</v>
          </cell>
          <cell r="G482" t="str">
            <v>Xã Kim Đường</v>
          </cell>
          <cell r="I482" t="str">
            <v>10147</v>
          </cell>
        </row>
        <row r="483">
          <cell r="D483" t="str">
            <v>Quận 1</v>
          </cell>
          <cell r="F483" t="str">
            <v>701</v>
          </cell>
          <cell r="G483" t="str">
            <v>Xã Hòa Nam</v>
          </cell>
          <cell r="I483" t="str">
            <v>10147</v>
          </cell>
        </row>
        <row r="484">
          <cell r="D484" t="str">
            <v>Quận 2</v>
          </cell>
          <cell r="F484" t="str">
            <v>701</v>
          </cell>
          <cell r="G484" t="str">
            <v>Xã Hòa Phú</v>
          </cell>
          <cell r="I484" t="str">
            <v>10147</v>
          </cell>
        </row>
        <row r="485">
          <cell r="D485" t="str">
            <v>Quận 3</v>
          </cell>
          <cell r="F485" t="str">
            <v>701</v>
          </cell>
          <cell r="G485" t="str">
            <v>Xã Đội Bình</v>
          </cell>
          <cell r="I485" t="str">
            <v>10147</v>
          </cell>
        </row>
        <row r="486">
          <cell r="D486" t="str">
            <v>Quận 4</v>
          </cell>
          <cell r="F486" t="str">
            <v>701</v>
          </cell>
          <cell r="G486" t="str">
            <v>Xã Đại Hùng</v>
          </cell>
          <cell r="I486" t="str">
            <v>10147</v>
          </cell>
        </row>
        <row r="487">
          <cell r="D487" t="str">
            <v>Quận 5</v>
          </cell>
          <cell r="F487" t="str">
            <v>701</v>
          </cell>
          <cell r="G487" t="str">
            <v>Xã Phù Lưu</v>
          </cell>
          <cell r="I487" t="str">
            <v>10147</v>
          </cell>
        </row>
        <row r="488">
          <cell r="D488" t="str">
            <v>Quận 6</v>
          </cell>
          <cell r="F488" t="str">
            <v>701</v>
          </cell>
          <cell r="G488" t="str">
            <v>Xã Đại Cường</v>
          </cell>
          <cell r="I488" t="str">
            <v>10147</v>
          </cell>
        </row>
        <row r="489">
          <cell r="D489" t="str">
            <v>Quận 7</v>
          </cell>
          <cell r="F489" t="str">
            <v>701</v>
          </cell>
          <cell r="G489" t="str">
            <v>Xã Hồng Quang</v>
          </cell>
          <cell r="I489" t="str">
            <v>10147</v>
          </cell>
        </row>
        <row r="490">
          <cell r="D490" t="str">
            <v>Quận 8</v>
          </cell>
          <cell r="F490" t="str">
            <v>701</v>
          </cell>
          <cell r="G490" t="str">
            <v>Xã Phú Túc</v>
          </cell>
          <cell r="I490" t="str">
            <v>10149</v>
          </cell>
        </row>
        <row r="491">
          <cell r="D491" t="str">
            <v>Quận 9</v>
          </cell>
          <cell r="F491" t="str">
            <v>701</v>
          </cell>
          <cell r="G491" t="str">
            <v>Xã Khai Thái</v>
          </cell>
          <cell r="I491" t="str">
            <v>10149</v>
          </cell>
        </row>
        <row r="492">
          <cell r="D492" t="str">
            <v>Quận 10</v>
          </cell>
          <cell r="F492" t="str">
            <v>701</v>
          </cell>
          <cell r="G492" t="str">
            <v>Xã Minh Tân</v>
          </cell>
          <cell r="I492" t="str">
            <v>10149</v>
          </cell>
        </row>
        <row r="493">
          <cell r="D493" t="str">
            <v>Quận 11</v>
          </cell>
          <cell r="F493" t="str">
            <v>701</v>
          </cell>
          <cell r="G493" t="str">
            <v>Xã Nam Phong</v>
          </cell>
          <cell r="I493" t="str">
            <v>10149</v>
          </cell>
        </row>
        <row r="494">
          <cell r="D494" t="str">
            <v>Quận 12</v>
          </cell>
          <cell r="F494" t="str">
            <v>701</v>
          </cell>
          <cell r="G494" t="str">
            <v>Xã Chuyên Mỹ</v>
          </cell>
          <cell r="I494" t="str">
            <v>10149</v>
          </cell>
        </row>
        <row r="495">
          <cell r="D495" t="str">
            <v>Quận Gò Vấp</v>
          </cell>
          <cell r="F495" t="str">
            <v>701</v>
          </cell>
          <cell r="G495" t="str">
            <v>Xã Tri Thủy</v>
          </cell>
          <cell r="I495" t="str">
            <v>10149</v>
          </cell>
        </row>
        <row r="496">
          <cell r="D496" t="str">
            <v>Quận Tân Bình</v>
          </cell>
          <cell r="F496" t="str">
            <v>701</v>
          </cell>
          <cell r="G496" t="str">
            <v>Xã Quang Lãng</v>
          </cell>
          <cell r="I496" t="str">
            <v>10149</v>
          </cell>
        </row>
        <row r="497">
          <cell r="D497" t="str">
            <v>Quận Tân phú</v>
          </cell>
          <cell r="F497" t="str">
            <v>701</v>
          </cell>
          <cell r="G497" t="str">
            <v>Xã Văn Hoàng</v>
          </cell>
          <cell r="I497" t="str">
            <v>10149</v>
          </cell>
        </row>
        <row r="498">
          <cell r="D498" t="str">
            <v>Quận Bình Thạnh</v>
          </cell>
          <cell r="F498" t="str">
            <v>701</v>
          </cell>
          <cell r="G498" t="str">
            <v>Thị trấn Phú Xuyên</v>
          </cell>
          <cell r="I498" t="str">
            <v>10149</v>
          </cell>
        </row>
        <row r="499">
          <cell r="D499" t="str">
            <v>Quận Phú Nhuận</v>
          </cell>
          <cell r="F499" t="str">
            <v>701</v>
          </cell>
          <cell r="G499" t="str">
            <v>Xã Thụy Phú</v>
          </cell>
          <cell r="I499" t="str">
            <v>10149</v>
          </cell>
        </row>
        <row r="500">
          <cell r="D500" t="str">
            <v>Quận Thủ Đức</v>
          </cell>
          <cell r="F500" t="str">
            <v>701</v>
          </cell>
          <cell r="G500" t="str">
            <v>Thị trấn Phú Minh</v>
          </cell>
          <cell r="I500" t="str">
            <v>10149</v>
          </cell>
        </row>
        <row r="501">
          <cell r="D501" t="str">
            <v>Quận Bình Tân</v>
          </cell>
          <cell r="F501" t="str">
            <v>701</v>
          </cell>
          <cell r="G501" t="str">
            <v>Xã Hồng Minh</v>
          </cell>
          <cell r="I501" t="str">
            <v>10149</v>
          </cell>
        </row>
        <row r="502">
          <cell r="D502" t="str">
            <v>Huyện Củ Chi</v>
          </cell>
          <cell r="F502" t="str">
            <v>701</v>
          </cell>
          <cell r="G502" t="str">
            <v>Xã Phượng Dực</v>
          </cell>
          <cell r="I502" t="str">
            <v>10149</v>
          </cell>
        </row>
        <row r="503">
          <cell r="D503" t="str">
            <v>Huyện Hóc Môn</v>
          </cell>
          <cell r="F503" t="str">
            <v>701</v>
          </cell>
          <cell r="G503" t="str">
            <v>Xã Văn Nhân</v>
          </cell>
          <cell r="I503" t="str">
            <v>10149</v>
          </cell>
        </row>
        <row r="504">
          <cell r="D504" t="str">
            <v>Huyện Bình Chánh</v>
          </cell>
          <cell r="F504" t="str">
            <v>701</v>
          </cell>
          <cell r="G504" t="str">
            <v>Xã Tri Trung</v>
          </cell>
          <cell r="I504" t="str">
            <v>10149</v>
          </cell>
        </row>
        <row r="505">
          <cell r="D505" t="str">
            <v>Huyện Nhà Bè</v>
          </cell>
          <cell r="F505" t="str">
            <v>701</v>
          </cell>
          <cell r="G505" t="str">
            <v>Xã Đại Thắng</v>
          </cell>
          <cell r="I505" t="str">
            <v>10149</v>
          </cell>
        </row>
        <row r="506">
          <cell r="D506" t="str">
            <v>Huyện Cần Giờ</v>
          </cell>
          <cell r="F506" t="str">
            <v>701</v>
          </cell>
          <cell r="G506" t="str">
            <v>Xã Hồng Thái</v>
          </cell>
          <cell r="I506" t="str">
            <v>10149</v>
          </cell>
        </row>
        <row r="507">
          <cell r="D507" t="str">
            <v>Thành phố Đà Lạt</v>
          </cell>
          <cell r="F507" t="str">
            <v>703</v>
          </cell>
          <cell r="G507" t="str">
            <v>Xã Hoàng Long</v>
          </cell>
          <cell r="I507" t="str">
            <v>10149</v>
          </cell>
        </row>
        <row r="508">
          <cell r="D508" t="str">
            <v>Thành phố Bảo Lộc</v>
          </cell>
          <cell r="F508" t="str">
            <v>703</v>
          </cell>
          <cell r="G508" t="str">
            <v>Xã Quang Trung</v>
          </cell>
          <cell r="I508" t="str">
            <v>10149</v>
          </cell>
        </row>
        <row r="509">
          <cell r="D509" t="str">
            <v>Huyện Lạc Dương</v>
          </cell>
          <cell r="F509" t="str">
            <v>703</v>
          </cell>
          <cell r="G509" t="str">
            <v>Xã Nam Triều</v>
          </cell>
          <cell r="I509" t="str">
            <v>10149</v>
          </cell>
        </row>
        <row r="510">
          <cell r="D510" t="str">
            <v>Huyện Đơn Dương</v>
          </cell>
          <cell r="F510" t="str">
            <v>703</v>
          </cell>
          <cell r="G510" t="str">
            <v xml:space="preserve">Xã Tân Dân </v>
          </cell>
          <cell r="I510" t="str">
            <v>10149</v>
          </cell>
        </row>
        <row r="511">
          <cell r="D511" t="str">
            <v>Huyện Đức Trọng</v>
          </cell>
          <cell r="F511" t="str">
            <v>703</v>
          </cell>
          <cell r="G511" t="str">
            <v>Xã Sơn Hà</v>
          </cell>
          <cell r="I511" t="str">
            <v>10149</v>
          </cell>
        </row>
        <row r="512">
          <cell r="D512" t="str">
            <v>Huyện Lâm Hà</v>
          </cell>
          <cell r="F512" t="str">
            <v>703</v>
          </cell>
          <cell r="G512" t="str">
            <v>Xã Phúc Tiến</v>
          </cell>
          <cell r="I512" t="str">
            <v>10149</v>
          </cell>
        </row>
        <row r="513">
          <cell r="D513" t="str">
            <v xml:space="preserve">Huyện Bảo Lâm </v>
          </cell>
          <cell r="F513" t="str">
            <v>703</v>
          </cell>
          <cell r="G513" t="str">
            <v>Xã Vân Từ</v>
          </cell>
          <cell r="I513" t="str">
            <v>10149</v>
          </cell>
        </row>
        <row r="514">
          <cell r="D514" t="str">
            <v>Huyện Di Linh</v>
          </cell>
          <cell r="F514" t="str">
            <v>703</v>
          </cell>
          <cell r="G514" t="str">
            <v>Xã Đại Xuyên</v>
          </cell>
          <cell r="I514" t="str">
            <v>10149</v>
          </cell>
        </row>
        <row r="515">
          <cell r="D515" t="str">
            <v>Huyện Đạ Huoai</v>
          </cell>
          <cell r="F515" t="str">
            <v>703</v>
          </cell>
          <cell r="G515" t="str">
            <v>Xã Phú Yên</v>
          </cell>
          <cell r="I515" t="str">
            <v>10149</v>
          </cell>
        </row>
        <row r="516">
          <cell r="D516" t="str">
            <v>Huyện Đạ Tẻh</v>
          </cell>
          <cell r="F516" t="str">
            <v>703</v>
          </cell>
          <cell r="G516" t="str">
            <v>Xã Bạch Hạ</v>
          </cell>
          <cell r="I516" t="str">
            <v>10149</v>
          </cell>
        </row>
        <row r="517">
          <cell r="D517" t="str">
            <v>Huyện Cát Tiên</v>
          </cell>
          <cell r="F517" t="str">
            <v>703</v>
          </cell>
          <cell r="G517" t="str">
            <v>Xã Châu Can</v>
          </cell>
          <cell r="I517" t="str">
            <v>10149</v>
          </cell>
        </row>
        <row r="518">
          <cell r="D518" t="str">
            <v>Huyện Đam Rông</v>
          </cell>
          <cell r="F518" t="str">
            <v>703</v>
          </cell>
          <cell r="G518" t="str">
            <v xml:space="preserve">Xã Phú Cường </v>
          </cell>
          <cell r="I518" t="str">
            <v>10151</v>
          </cell>
        </row>
        <row r="519">
          <cell r="D519" t="str">
            <v>TP. Phan Rang-Tháp Chàm</v>
          </cell>
          <cell r="F519" t="str">
            <v>705</v>
          </cell>
          <cell r="G519" t="str">
            <v>Xã Cổ Đô</v>
          </cell>
          <cell r="I519" t="str">
            <v>10151</v>
          </cell>
        </row>
        <row r="520">
          <cell r="D520" t="str">
            <v>Huyện Ninh Sơn</v>
          </cell>
          <cell r="F520" t="str">
            <v>705</v>
          </cell>
          <cell r="G520" t="str">
            <v>Xã Tản Hồng</v>
          </cell>
          <cell r="I520" t="str">
            <v>10151</v>
          </cell>
        </row>
        <row r="521">
          <cell r="D521" t="str">
            <v>Huyện Ninh Hải</v>
          </cell>
          <cell r="F521" t="str">
            <v>705</v>
          </cell>
          <cell r="G521" t="str">
            <v>Xã Châu Sơn</v>
          </cell>
          <cell r="I521" t="str">
            <v>10151</v>
          </cell>
        </row>
        <row r="522">
          <cell r="D522" t="str">
            <v>Huyện Ninh Phước</v>
          </cell>
          <cell r="F522" t="str">
            <v>705</v>
          </cell>
          <cell r="G522" t="str">
            <v>Xã Phong Vân</v>
          </cell>
          <cell r="I522" t="str">
            <v>10151</v>
          </cell>
        </row>
        <row r="523">
          <cell r="D523" t="str">
            <v>Huyện Bác ái</v>
          </cell>
          <cell r="F523" t="str">
            <v>705</v>
          </cell>
          <cell r="G523" t="str">
            <v>Xã Phú Đông</v>
          </cell>
          <cell r="I523" t="str">
            <v>10151</v>
          </cell>
        </row>
        <row r="524">
          <cell r="D524" t="str">
            <v>Huyện Thuận Bắc</v>
          </cell>
          <cell r="F524" t="str">
            <v>705</v>
          </cell>
          <cell r="G524" t="str">
            <v>Xã Phú Châu</v>
          </cell>
          <cell r="I524" t="str">
            <v>10151</v>
          </cell>
        </row>
        <row r="525">
          <cell r="D525" t="str">
            <v>Huyện Thuận Nam</v>
          </cell>
          <cell r="F525" t="str">
            <v>705</v>
          </cell>
          <cell r="G525" t="str">
            <v>Xã Thái Hòa</v>
          </cell>
          <cell r="I525" t="str">
            <v>10151</v>
          </cell>
        </row>
        <row r="526">
          <cell r="D526" t="str">
            <v>Huyện Đồng Phú</v>
          </cell>
          <cell r="F526" t="str">
            <v>707</v>
          </cell>
          <cell r="G526" t="str">
            <v>Xã Đồng Thái</v>
          </cell>
          <cell r="I526" t="str">
            <v>10151</v>
          </cell>
        </row>
        <row r="527">
          <cell r="D527" t="str">
            <v>Thị xã  Phước Long</v>
          </cell>
          <cell r="F527" t="str">
            <v>707</v>
          </cell>
          <cell r="G527" t="str">
            <v>Xã Minh Châu</v>
          </cell>
          <cell r="I527" t="str">
            <v>10151</v>
          </cell>
        </row>
        <row r="528">
          <cell r="D528" t="str">
            <v>Huyện Lộc Ninh</v>
          </cell>
          <cell r="F528" t="str">
            <v>707</v>
          </cell>
          <cell r="G528" t="str">
            <v>Xã Chu Minh</v>
          </cell>
          <cell r="I528" t="str">
            <v>10151</v>
          </cell>
        </row>
        <row r="529">
          <cell r="D529" t="str">
            <v>Huyện Bù Đốp</v>
          </cell>
          <cell r="F529" t="str">
            <v>707</v>
          </cell>
          <cell r="G529" t="str">
            <v>Xã Cẩm Lĩnh</v>
          </cell>
          <cell r="I529" t="str">
            <v>10151</v>
          </cell>
        </row>
        <row r="530">
          <cell r="D530" t="str">
            <v>Huyện Bù Đăng</v>
          </cell>
          <cell r="F530" t="str">
            <v>707</v>
          </cell>
          <cell r="G530" t="str">
            <v>Xã Sơn Đà</v>
          </cell>
          <cell r="I530" t="str">
            <v>10151</v>
          </cell>
        </row>
        <row r="531">
          <cell r="D531" t="str">
            <v>Thị xã Bình Long</v>
          </cell>
          <cell r="F531" t="str">
            <v>707</v>
          </cell>
          <cell r="G531" t="str">
            <v>Xã Đông Quang</v>
          </cell>
          <cell r="I531" t="str">
            <v>10151</v>
          </cell>
        </row>
        <row r="532">
          <cell r="D532" t="str">
            <v>Huyện Chơn Thành</v>
          </cell>
          <cell r="F532" t="str">
            <v>707</v>
          </cell>
          <cell r="G532" t="str">
            <v>Xã Thụy An</v>
          </cell>
          <cell r="I532" t="str">
            <v>10151</v>
          </cell>
        </row>
        <row r="533">
          <cell r="D533" t="str">
            <v>Thị xã Đồng Xoài</v>
          </cell>
          <cell r="F533" t="str">
            <v>707</v>
          </cell>
          <cell r="G533" t="str">
            <v>Xã Cam Thượng</v>
          </cell>
          <cell r="I533" t="str">
            <v>10151</v>
          </cell>
        </row>
        <row r="534">
          <cell r="D534" t="str">
            <v>Huyện Hớn Quản</v>
          </cell>
          <cell r="F534" t="str">
            <v>707</v>
          </cell>
          <cell r="G534" t="str">
            <v>Xã Thuần Mỹ</v>
          </cell>
          <cell r="I534" t="str">
            <v>10151</v>
          </cell>
        </row>
        <row r="535">
          <cell r="D535" t="str">
            <v>Huyện Bù Gia Mập</v>
          </cell>
          <cell r="F535" t="str">
            <v>707</v>
          </cell>
          <cell r="G535" t="str">
            <v>Xã Ba Trại</v>
          </cell>
          <cell r="I535" t="str">
            <v>10151</v>
          </cell>
        </row>
        <row r="536">
          <cell r="D536" t="str">
            <v>Huyện Phú Riềng</v>
          </cell>
          <cell r="F536" t="str">
            <v>707</v>
          </cell>
          <cell r="G536" t="str">
            <v>Xã Minh Quang</v>
          </cell>
          <cell r="I536" t="str">
            <v>10151</v>
          </cell>
        </row>
        <row r="537">
          <cell r="D537" t="str">
            <v>Thành phố Tây Ninh</v>
          </cell>
          <cell r="F537" t="str">
            <v>709</v>
          </cell>
          <cell r="G537" t="str">
            <v>Xã Ba Vì</v>
          </cell>
          <cell r="I537" t="str">
            <v>10151</v>
          </cell>
        </row>
        <row r="538">
          <cell r="D538" t="str">
            <v>Huyện Tân Biên</v>
          </cell>
          <cell r="F538" t="str">
            <v>709</v>
          </cell>
          <cell r="G538" t="str">
            <v>Xã Khánh Thượng</v>
          </cell>
          <cell r="I538" t="str">
            <v>10151</v>
          </cell>
        </row>
        <row r="539">
          <cell r="D539" t="str">
            <v>Huyện Tân Châu</v>
          </cell>
          <cell r="F539" t="str">
            <v>709</v>
          </cell>
          <cell r="G539" t="str">
            <v>Xã Vật Lại</v>
          </cell>
          <cell r="I539" t="str">
            <v>10151</v>
          </cell>
        </row>
        <row r="540">
          <cell r="D540" t="str">
            <v>Huyện Dương Minh Châu</v>
          </cell>
          <cell r="F540" t="str">
            <v>709</v>
          </cell>
          <cell r="G540" t="str">
            <v>Xã Yên Bài</v>
          </cell>
          <cell r="I540" t="str">
            <v>10151</v>
          </cell>
        </row>
        <row r="541">
          <cell r="D541" t="str">
            <v>Huyện Châu Thành</v>
          </cell>
          <cell r="F541" t="str">
            <v>709</v>
          </cell>
          <cell r="G541" t="str">
            <v>Thị trấn Tây Đằng</v>
          </cell>
          <cell r="I541" t="str">
            <v>10151</v>
          </cell>
        </row>
        <row r="542">
          <cell r="D542" t="str">
            <v>Huyện Hòa Thành</v>
          </cell>
          <cell r="F542" t="str">
            <v>709</v>
          </cell>
          <cell r="G542" t="str">
            <v>Xã Vạn Thắng</v>
          </cell>
          <cell r="I542" t="str">
            <v>10151</v>
          </cell>
        </row>
        <row r="543">
          <cell r="D543" t="str">
            <v>Huyện Bến Cầu</v>
          </cell>
          <cell r="F543" t="str">
            <v>709</v>
          </cell>
          <cell r="G543" t="str">
            <v>Xã Phú Phương</v>
          </cell>
          <cell r="I543" t="str">
            <v>10151</v>
          </cell>
        </row>
        <row r="544">
          <cell r="D544" t="str">
            <v>Huyện Gò Dầu</v>
          </cell>
          <cell r="F544" t="str">
            <v>709</v>
          </cell>
          <cell r="G544" t="str">
            <v>Xã Phú Sơn</v>
          </cell>
          <cell r="I544" t="str">
            <v>10151</v>
          </cell>
        </row>
        <row r="545">
          <cell r="D545" t="str">
            <v>Huyện Trảng Bàng</v>
          </cell>
          <cell r="F545" t="str">
            <v>709</v>
          </cell>
          <cell r="G545" t="str">
            <v>Xã Tòng Bạt</v>
          </cell>
          <cell r="I545" t="str">
            <v>10151</v>
          </cell>
        </row>
        <row r="546">
          <cell r="D546" t="str">
            <v>Thành phố Thủ Dầu Một</v>
          </cell>
          <cell r="F546" t="str">
            <v>711</v>
          </cell>
          <cell r="G546" t="str">
            <v>Xã Tiên Phong</v>
          </cell>
          <cell r="I546" t="str">
            <v>10151</v>
          </cell>
        </row>
        <row r="547">
          <cell r="D547" t="str">
            <v>Thị Xã Bến Cát</v>
          </cell>
          <cell r="F547" t="str">
            <v>711</v>
          </cell>
          <cell r="G547" t="str">
            <v>Xã Tản Lĩnh</v>
          </cell>
          <cell r="I547" t="str">
            <v>10151</v>
          </cell>
        </row>
        <row r="548">
          <cell r="D548" t="str">
            <v>Thị xã Tân Uyên</v>
          </cell>
          <cell r="F548" t="str">
            <v>711</v>
          </cell>
          <cell r="G548" t="str">
            <v>Xã Vân Hòa</v>
          </cell>
          <cell r="I548" t="str">
            <v>10151</v>
          </cell>
        </row>
        <row r="549">
          <cell r="D549" t="str">
            <v>Thị xã Thuận An</v>
          </cell>
          <cell r="F549" t="str">
            <v>711</v>
          </cell>
          <cell r="G549" t="str">
            <v>Xã Tiên Phương</v>
          </cell>
          <cell r="I549" t="str">
            <v>10153</v>
          </cell>
        </row>
        <row r="550">
          <cell r="D550" t="str">
            <v>Thị xã Dĩ An</v>
          </cell>
          <cell r="F550" t="str">
            <v>711</v>
          </cell>
          <cell r="G550" t="str">
            <v>Xã Đại Yên</v>
          </cell>
          <cell r="I550" t="str">
            <v>10153</v>
          </cell>
        </row>
        <row r="551">
          <cell r="D551" t="str">
            <v>Huyện Phú Giáo</v>
          </cell>
          <cell r="F551" t="str">
            <v>711</v>
          </cell>
          <cell r="G551" t="str">
            <v>Xã Quảng Bị</v>
          </cell>
          <cell r="I551" t="str">
            <v>10153</v>
          </cell>
        </row>
        <row r="552">
          <cell r="D552" t="str">
            <v>Huyện Dầu Tiếng</v>
          </cell>
          <cell r="F552" t="str">
            <v>711</v>
          </cell>
          <cell r="G552" t="str">
            <v>Xã Phú Nam An</v>
          </cell>
          <cell r="I552" t="str">
            <v>10153</v>
          </cell>
        </row>
        <row r="553">
          <cell r="D553" t="str">
            <v>Huyện Bàu Bàng</v>
          </cell>
          <cell r="F553" t="str">
            <v>711</v>
          </cell>
          <cell r="G553" t="str">
            <v>Xã Phụng Châu</v>
          </cell>
          <cell r="I553" t="str">
            <v>10153</v>
          </cell>
        </row>
        <row r="554">
          <cell r="D554" t="str">
            <v>Huyện Bắc Tân Uyên</v>
          </cell>
          <cell r="F554" t="str">
            <v>711</v>
          </cell>
          <cell r="G554" t="str">
            <v>Xã Phú Nghĩa</v>
          </cell>
          <cell r="I554" t="str">
            <v>10153</v>
          </cell>
        </row>
        <row r="555">
          <cell r="D555" t="str">
            <v>Thành phố Biên Hòa</v>
          </cell>
          <cell r="F555" t="str">
            <v>713</v>
          </cell>
          <cell r="G555" t="str">
            <v>Xã Thủy Xuân Tiên</v>
          </cell>
          <cell r="I555" t="str">
            <v>10153</v>
          </cell>
        </row>
        <row r="556">
          <cell r="D556" t="str">
            <v>Thị xã Long khánh</v>
          </cell>
          <cell r="F556" t="str">
            <v>713</v>
          </cell>
          <cell r="G556" t="str">
            <v>Xã Tốt Động</v>
          </cell>
          <cell r="I556" t="str">
            <v>10153</v>
          </cell>
        </row>
        <row r="557">
          <cell r="D557" t="str">
            <v>Huyện Tân Phú</v>
          </cell>
          <cell r="F557" t="str">
            <v>713</v>
          </cell>
          <cell r="G557" t="str">
            <v>Xã Hợp Đồng</v>
          </cell>
          <cell r="I557" t="str">
            <v>10153</v>
          </cell>
        </row>
        <row r="558">
          <cell r="D558" t="str">
            <v>Huyện Định Quán</v>
          </cell>
          <cell r="F558" t="str">
            <v>713</v>
          </cell>
          <cell r="G558" t="str">
            <v>Xã Hữu Văn</v>
          </cell>
          <cell r="I558" t="str">
            <v>10153</v>
          </cell>
        </row>
        <row r="559">
          <cell r="D559" t="str">
            <v>Huyện Vĩnh Cửu</v>
          </cell>
          <cell r="F559" t="str">
            <v>713</v>
          </cell>
          <cell r="G559" t="str">
            <v>Xã Hồng Phong</v>
          </cell>
          <cell r="I559" t="str">
            <v>10153</v>
          </cell>
        </row>
        <row r="560">
          <cell r="D560" t="str">
            <v>Huyện Trảng Bom</v>
          </cell>
          <cell r="F560" t="str">
            <v>713</v>
          </cell>
          <cell r="G560" t="str">
            <v>Xã Đồng Lạc</v>
          </cell>
          <cell r="I560" t="str">
            <v>10153</v>
          </cell>
        </row>
        <row r="561">
          <cell r="D561" t="str">
            <v>Huyện Thống Nhất</v>
          </cell>
          <cell r="F561" t="str">
            <v>713</v>
          </cell>
          <cell r="G561" t="str">
            <v>Thị trấn Chúc Sơn</v>
          </cell>
          <cell r="I561" t="str">
            <v>10153</v>
          </cell>
        </row>
        <row r="562">
          <cell r="D562" t="str">
            <v>Huyện Cẩm Mỹ</v>
          </cell>
          <cell r="F562" t="str">
            <v>713</v>
          </cell>
          <cell r="G562" t="str">
            <v>Thị trấn Xuân Mai</v>
          </cell>
          <cell r="I562" t="str">
            <v>10153</v>
          </cell>
        </row>
        <row r="563">
          <cell r="D563" t="str">
            <v>Huyện Xuân Lộc</v>
          </cell>
          <cell r="F563" t="str">
            <v>713</v>
          </cell>
          <cell r="G563" t="str">
            <v>Xã Đông Sơn</v>
          </cell>
          <cell r="I563" t="str">
            <v>10153</v>
          </cell>
        </row>
        <row r="564">
          <cell r="D564" t="str">
            <v>Huyện Long Thành</v>
          </cell>
          <cell r="F564" t="str">
            <v>713</v>
          </cell>
          <cell r="G564" t="str">
            <v>Xã Đông Phương Yên</v>
          </cell>
          <cell r="I564" t="str">
            <v>10153</v>
          </cell>
        </row>
        <row r="565">
          <cell r="D565" t="str">
            <v>Huyện Nhơn Trạch</v>
          </cell>
          <cell r="F565" t="str">
            <v>713</v>
          </cell>
          <cell r="G565" t="str">
            <v>Xã Trường Yên</v>
          </cell>
          <cell r="I565" t="str">
            <v>10153</v>
          </cell>
        </row>
        <row r="566">
          <cell r="D566" t="str">
            <v>Thành phố  Phan Thiết</v>
          </cell>
          <cell r="F566" t="str">
            <v>715</v>
          </cell>
          <cell r="G566" t="str">
            <v>Xã Ngọc Hòa</v>
          </cell>
          <cell r="I566" t="str">
            <v>10153</v>
          </cell>
        </row>
        <row r="567">
          <cell r="D567" t="str">
            <v>Huyện Tuy Phong</v>
          </cell>
          <cell r="F567" t="str">
            <v>715</v>
          </cell>
          <cell r="G567" t="str">
            <v>Xã Thanh Bình</v>
          </cell>
          <cell r="I567" t="str">
            <v>10153</v>
          </cell>
        </row>
        <row r="568">
          <cell r="D568" t="str">
            <v>Huyện Bắc Bình</v>
          </cell>
          <cell r="F568" t="str">
            <v>715</v>
          </cell>
          <cell r="G568" t="str">
            <v>Xã Trung Hòa</v>
          </cell>
          <cell r="I568" t="str">
            <v>10153</v>
          </cell>
        </row>
        <row r="569">
          <cell r="D569" t="str">
            <v>Huyện Hàm Thuận Bắc</v>
          </cell>
          <cell r="F569" t="str">
            <v>715</v>
          </cell>
          <cell r="G569" t="str">
            <v>Xã Thụy Hương</v>
          </cell>
          <cell r="I569" t="str">
            <v>10153</v>
          </cell>
        </row>
        <row r="570">
          <cell r="D570" t="str">
            <v>Huyện Hàm Thuận Nam</v>
          </cell>
          <cell r="F570" t="str">
            <v>715</v>
          </cell>
          <cell r="G570" t="str">
            <v>Xã Lam Điền</v>
          </cell>
          <cell r="I570" t="str">
            <v>10153</v>
          </cell>
        </row>
        <row r="571">
          <cell r="D571" t="str">
            <v>Huyện Tánh Linh</v>
          </cell>
          <cell r="F571" t="str">
            <v>715</v>
          </cell>
          <cell r="G571" t="str">
            <v>Xã Tân Tiến</v>
          </cell>
          <cell r="I571" t="str">
            <v>10153</v>
          </cell>
        </row>
        <row r="572">
          <cell r="D572" t="str">
            <v>Thị xã La Gi</v>
          </cell>
          <cell r="F572" t="str">
            <v>715</v>
          </cell>
          <cell r="G572" t="str">
            <v>Xã Nam Phương Tiến</v>
          </cell>
          <cell r="I572" t="str">
            <v>10153</v>
          </cell>
        </row>
        <row r="573">
          <cell r="D573" t="str">
            <v>Huyện Hàm Tân</v>
          </cell>
          <cell r="F573" t="str">
            <v>715</v>
          </cell>
          <cell r="G573" t="str">
            <v>Xã Hoàng Văn Thụ</v>
          </cell>
          <cell r="I573" t="str">
            <v>10153</v>
          </cell>
        </row>
        <row r="574">
          <cell r="D574" t="str">
            <v>Huyện Đức Linh</v>
          </cell>
          <cell r="F574" t="str">
            <v>715</v>
          </cell>
          <cell r="G574" t="str">
            <v>Xã Hoàng Diệu</v>
          </cell>
          <cell r="I574" t="str">
            <v>10153</v>
          </cell>
        </row>
        <row r="575">
          <cell r="D575" t="str">
            <v>Huyện Phú Quý</v>
          </cell>
          <cell r="F575" t="str">
            <v>715</v>
          </cell>
          <cell r="G575" t="str">
            <v>Xã Mỹ Lương</v>
          </cell>
          <cell r="I575" t="str">
            <v>10153</v>
          </cell>
        </row>
        <row r="576">
          <cell r="D576" t="str">
            <v>Thành Phố Vũng Tàu</v>
          </cell>
          <cell r="F576" t="str">
            <v>717</v>
          </cell>
          <cell r="G576" t="str">
            <v>Xã Thượng Vực</v>
          </cell>
          <cell r="I576" t="str">
            <v>10153</v>
          </cell>
        </row>
        <row r="577">
          <cell r="D577" t="str">
            <v>Thành phố Bà Rịa</v>
          </cell>
          <cell r="F577" t="str">
            <v>717</v>
          </cell>
          <cell r="G577" t="str">
            <v>Xã Đồng Phú</v>
          </cell>
          <cell r="I577" t="str">
            <v>10153</v>
          </cell>
        </row>
        <row r="578">
          <cell r="D578" t="str">
            <v>Huyện Châu Đức</v>
          </cell>
          <cell r="F578" t="str">
            <v>717</v>
          </cell>
          <cell r="G578" t="str">
            <v>Xã Trần Phú</v>
          </cell>
          <cell r="I578" t="str">
            <v>10153</v>
          </cell>
        </row>
        <row r="579">
          <cell r="D579" t="str">
            <v>Huyện Xuyên Mộc</v>
          </cell>
          <cell r="F579" t="str">
            <v>717</v>
          </cell>
          <cell r="G579" t="str">
            <v>Xã Văn Võ</v>
          </cell>
          <cell r="I579" t="str">
            <v>10153</v>
          </cell>
        </row>
        <row r="580">
          <cell r="D580" t="str">
            <v>Huyện Tân Thành</v>
          </cell>
          <cell r="F580" t="str">
            <v>717</v>
          </cell>
          <cell r="G580" t="str">
            <v>Xã Hòa Chính</v>
          </cell>
          <cell r="I580" t="str">
            <v>10153</v>
          </cell>
        </row>
        <row r="581">
          <cell r="D581" t="str">
            <v>Huyện Long Điền</v>
          </cell>
          <cell r="F581" t="str">
            <v>717</v>
          </cell>
          <cell r="G581" t="str">
            <v>Phường Xuân Phương</v>
          </cell>
          <cell r="I581" t="str">
            <v>10155</v>
          </cell>
        </row>
        <row r="582">
          <cell r="D582" t="str">
            <v>Huyện Đất đỏ</v>
          </cell>
          <cell r="F582" t="str">
            <v>717</v>
          </cell>
          <cell r="G582" t="str">
            <v>Phường Phương Canh</v>
          </cell>
          <cell r="I582" t="str">
            <v>10155</v>
          </cell>
        </row>
        <row r="583">
          <cell r="D583" t="str">
            <v>Huyện Côn Đảo</v>
          </cell>
          <cell r="F583" t="str">
            <v>717</v>
          </cell>
          <cell r="G583" t="str">
            <v>Phường Tây Mỗ</v>
          </cell>
          <cell r="I583" t="str">
            <v>10155</v>
          </cell>
        </row>
        <row r="584">
          <cell r="D584" t="str">
            <v>Thành phố Tân An</v>
          </cell>
          <cell r="F584" t="str">
            <v>801</v>
          </cell>
          <cell r="G584" t="str">
            <v>Phường Đại Mỗ</v>
          </cell>
          <cell r="I584" t="str">
            <v>10155</v>
          </cell>
        </row>
        <row r="585">
          <cell r="D585" t="str">
            <v>Huyện Tân Hưng</v>
          </cell>
          <cell r="F585" t="str">
            <v>801</v>
          </cell>
          <cell r="G585" t="str">
            <v>Phường Cầu Diễn</v>
          </cell>
          <cell r="I585" t="str">
            <v>10155</v>
          </cell>
        </row>
        <row r="586">
          <cell r="D586" t="str">
            <v>Huyện Vĩnh Hưng</v>
          </cell>
          <cell r="F586" t="str">
            <v>801</v>
          </cell>
          <cell r="G586" t="str">
            <v>Phường Mỹ Đình 1</v>
          </cell>
          <cell r="I586" t="str">
            <v>10155</v>
          </cell>
        </row>
        <row r="587">
          <cell r="D587" t="str">
            <v>Huyện Mộc Hoá</v>
          </cell>
          <cell r="F587" t="str">
            <v>801</v>
          </cell>
          <cell r="G587" t="str">
            <v>Phường Mỹ Đình 2</v>
          </cell>
          <cell r="I587" t="str">
            <v>10155</v>
          </cell>
        </row>
        <row r="588">
          <cell r="D588" t="str">
            <v>Huyện Tân Thạnh</v>
          </cell>
          <cell r="F588" t="str">
            <v>801</v>
          </cell>
          <cell r="G588" t="str">
            <v>Phường Mễ Trì</v>
          </cell>
          <cell r="I588" t="str">
            <v>10155</v>
          </cell>
        </row>
        <row r="589">
          <cell r="D589" t="str">
            <v>Huyện Thạnh Hoá</v>
          </cell>
          <cell r="F589" t="str">
            <v>801</v>
          </cell>
          <cell r="G589" t="str">
            <v>Phường Phú Đô</v>
          </cell>
          <cell r="I589" t="str">
            <v>10155</v>
          </cell>
        </row>
        <row r="590">
          <cell r="D590" t="str">
            <v>Huyện Đức Huệ</v>
          </cell>
          <cell r="F590" t="str">
            <v>801</v>
          </cell>
          <cell r="G590" t="str">
            <v>Phường Trung Văn</v>
          </cell>
          <cell r="I590" t="str">
            <v>10155</v>
          </cell>
        </row>
        <row r="591">
          <cell r="D591" t="str">
            <v>Huyện Đức Hòa</v>
          </cell>
          <cell r="F591" t="str">
            <v>801</v>
          </cell>
          <cell r="G591" t="str">
            <v>Phường Xuân Đỉnh</v>
          </cell>
          <cell r="I591" t="str">
            <v>10157</v>
          </cell>
        </row>
        <row r="592">
          <cell r="D592" t="str">
            <v>Huyện Bến Lức</v>
          </cell>
          <cell r="F592" t="str">
            <v>801</v>
          </cell>
          <cell r="G592" t="str">
            <v>Phường Xuân Tảo</v>
          </cell>
          <cell r="I592" t="str">
            <v>10157</v>
          </cell>
        </row>
        <row r="593">
          <cell r="D593" t="str">
            <v>Huyện Thủ Thừa</v>
          </cell>
          <cell r="F593" t="str">
            <v>801</v>
          </cell>
          <cell r="G593" t="str">
            <v>Phường Đông Ngạc</v>
          </cell>
          <cell r="I593" t="str">
            <v>10157</v>
          </cell>
        </row>
        <row r="594">
          <cell r="D594" t="str">
            <v xml:space="preserve">Huyện Châu Thành </v>
          </cell>
          <cell r="F594" t="str">
            <v>801</v>
          </cell>
          <cell r="G594" t="str">
            <v>Phường Đức Thắng</v>
          </cell>
          <cell r="I594" t="str">
            <v>10157</v>
          </cell>
        </row>
        <row r="595">
          <cell r="D595" t="str">
            <v>Huyện Tân Trụ</v>
          </cell>
          <cell r="F595" t="str">
            <v>801</v>
          </cell>
          <cell r="G595" t="str">
            <v>Phường Thụy Phương</v>
          </cell>
          <cell r="I595" t="str">
            <v>10157</v>
          </cell>
        </row>
        <row r="596">
          <cell r="D596" t="str">
            <v>Huyện Cần Đước</v>
          </cell>
          <cell r="F596" t="str">
            <v>801</v>
          </cell>
          <cell r="G596" t="str">
            <v>Phường Cổ Nhuế 1</v>
          </cell>
          <cell r="I596" t="str">
            <v>10157</v>
          </cell>
        </row>
        <row r="597">
          <cell r="D597" t="str">
            <v>Huyện Cần Giuộc</v>
          </cell>
          <cell r="F597" t="str">
            <v>801</v>
          </cell>
          <cell r="G597" t="str">
            <v>Phường Cổ Nhuế 2</v>
          </cell>
          <cell r="I597" t="str">
            <v>10157</v>
          </cell>
        </row>
        <row r="598">
          <cell r="D598" t="str">
            <v>Thị xã Kiến Tường</v>
          </cell>
          <cell r="F598" t="str">
            <v>801</v>
          </cell>
          <cell r="G598" t="str">
            <v>Phường Liên Mạc</v>
          </cell>
          <cell r="I598" t="str">
            <v>10157</v>
          </cell>
        </row>
        <row r="599">
          <cell r="D599" t="str">
            <v>Thành phố Cao Lãnh</v>
          </cell>
          <cell r="F599" t="str">
            <v>803</v>
          </cell>
          <cell r="G599" t="str">
            <v>Phường Thượng Cát</v>
          </cell>
          <cell r="I599" t="str">
            <v>10157</v>
          </cell>
        </row>
        <row r="600">
          <cell r="D600" t="str">
            <v>Thành phố Sa Đéc</v>
          </cell>
          <cell r="F600" t="str">
            <v>803</v>
          </cell>
          <cell r="G600" t="str">
            <v>Phường Tây Tựu</v>
          </cell>
          <cell r="I600" t="str">
            <v>10157</v>
          </cell>
        </row>
        <row r="601">
          <cell r="D601" t="str">
            <v>Huyện Tân Hồng</v>
          </cell>
          <cell r="F601" t="str">
            <v>803</v>
          </cell>
          <cell r="G601" t="str">
            <v xml:space="preserve">Phường Minh Khai </v>
          </cell>
          <cell r="I601" t="str">
            <v>10157</v>
          </cell>
        </row>
        <row r="602">
          <cell r="D602" t="str">
            <v>Huyện Hồng Ngự</v>
          </cell>
          <cell r="F602" t="str">
            <v>803</v>
          </cell>
          <cell r="G602" t="str">
            <v>Phường Phú Diễn</v>
          </cell>
          <cell r="I602" t="str">
            <v>10157</v>
          </cell>
        </row>
        <row r="603">
          <cell r="D603" t="str">
            <v xml:space="preserve">Huyện Tam Nông </v>
          </cell>
          <cell r="F603" t="str">
            <v>803</v>
          </cell>
          <cell r="G603" t="str">
            <v>Phường Phúc Diễn</v>
          </cell>
          <cell r="I603" t="str">
            <v>10157</v>
          </cell>
        </row>
        <row r="604">
          <cell r="D604" t="str">
            <v>Huyện Thanh Bình</v>
          </cell>
          <cell r="F604" t="str">
            <v>803</v>
          </cell>
          <cell r="G604" t="str">
            <v>Phường Hạ Lý</v>
          </cell>
          <cell r="I604" t="str">
            <v>10301</v>
          </cell>
        </row>
        <row r="605">
          <cell r="D605" t="str">
            <v>Huyện Tháp Mười</v>
          </cell>
          <cell r="F605" t="str">
            <v>803</v>
          </cell>
          <cell r="G605" t="str">
            <v>Phường Sở Dầu</v>
          </cell>
          <cell r="I605" t="str">
            <v>10301</v>
          </cell>
        </row>
        <row r="606">
          <cell r="D606" t="str">
            <v>Huyện Cao Lãnh</v>
          </cell>
          <cell r="F606" t="str">
            <v>803</v>
          </cell>
          <cell r="G606" t="str">
            <v>Phường Trại Chuối</v>
          </cell>
          <cell r="I606" t="str">
            <v>10301</v>
          </cell>
        </row>
        <row r="607">
          <cell r="D607" t="str">
            <v>Huyện Lấp Vò</v>
          </cell>
          <cell r="F607" t="str">
            <v>803</v>
          </cell>
          <cell r="G607" t="str">
            <v>Phường Quán Toan</v>
          </cell>
          <cell r="I607" t="str">
            <v>10301</v>
          </cell>
        </row>
        <row r="608">
          <cell r="D608" t="str">
            <v>Huyện Lai Vung</v>
          </cell>
          <cell r="F608" t="str">
            <v>803</v>
          </cell>
          <cell r="G608" t="str">
            <v>Phường Hùng Vương</v>
          </cell>
          <cell r="I608" t="str">
            <v>10301</v>
          </cell>
        </row>
        <row r="609">
          <cell r="D609" t="str">
            <v xml:space="preserve">Huyện Châu Thành  </v>
          </cell>
          <cell r="F609" t="str">
            <v>803</v>
          </cell>
          <cell r="G609" t="str">
            <v>Phường Thượng Lý</v>
          </cell>
          <cell r="I609" t="str">
            <v>10301</v>
          </cell>
        </row>
        <row r="610">
          <cell r="D610" t="str">
            <v>Thị xã Hồng Ngự</v>
          </cell>
          <cell r="F610" t="str">
            <v>803</v>
          </cell>
          <cell r="G610" t="str">
            <v xml:space="preserve">Phường Minh Khai  </v>
          </cell>
          <cell r="I610" t="str">
            <v>10301</v>
          </cell>
        </row>
        <row r="611">
          <cell r="D611" t="str">
            <v xml:space="preserve">Thành phố Long Xuyên </v>
          </cell>
          <cell r="F611" t="str">
            <v>805</v>
          </cell>
          <cell r="G611" t="str">
            <v xml:space="preserve">Phường Quang Trung   </v>
          </cell>
          <cell r="I611" t="str">
            <v>10301</v>
          </cell>
        </row>
        <row r="612">
          <cell r="D612" t="str">
            <v>Thành phố Châu Đốc</v>
          </cell>
          <cell r="F612" t="str">
            <v>805</v>
          </cell>
          <cell r="G612" t="str">
            <v xml:space="preserve">Phường Hoàng Văn Thụ </v>
          </cell>
          <cell r="I612" t="str">
            <v>10301</v>
          </cell>
        </row>
        <row r="613">
          <cell r="D613" t="str">
            <v>Huyện An Phú</v>
          </cell>
          <cell r="F613" t="str">
            <v>805</v>
          </cell>
          <cell r="G613" t="str">
            <v>Phường Phan Bội Châu</v>
          </cell>
          <cell r="I613" t="str">
            <v>10301</v>
          </cell>
        </row>
        <row r="614">
          <cell r="D614" t="str">
            <v>Thị xã Tân Châu</v>
          </cell>
          <cell r="F614" t="str">
            <v>805</v>
          </cell>
          <cell r="G614" t="str">
            <v>Phường Phạm Hồng Thái</v>
          </cell>
          <cell r="I614" t="str">
            <v>10301</v>
          </cell>
        </row>
        <row r="615">
          <cell r="D615" t="str">
            <v>Huyện Phú Tân</v>
          </cell>
          <cell r="F615" t="str">
            <v>805</v>
          </cell>
          <cell r="G615" t="str">
            <v>Phường Cầu Tre</v>
          </cell>
          <cell r="I615" t="str">
            <v>10303</v>
          </cell>
        </row>
        <row r="616">
          <cell r="D616" t="str">
            <v>Huyện Châu Phú</v>
          </cell>
          <cell r="F616" t="str">
            <v>805</v>
          </cell>
          <cell r="G616" t="str">
            <v>Phường Máy Chai</v>
          </cell>
          <cell r="I616" t="str">
            <v>10303</v>
          </cell>
        </row>
        <row r="617">
          <cell r="D617" t="str">
            <v>Huyện Tịnh Biên</v>
          </cell>
          <cell r="F617" t="str">
            <v>805</v>
          </cell>
          <cell r="G617" t="str">
            <v>Phường Lạc Viên</v>
          </cell>
          <cell r="I617" t="str">
            <v>10303</v>
          </cell>
        </row>
        <row r="618">
          <cell r="D618" t="str">
            <v>Huyện Tri Tôn</v>
          </cell>
          <cell r="F618" t="str">
            <v>805</v>
          </cell>
          <cell r="G618" t="str">
            <v>Phường Cầu Đất</v>
          </cell>
          <cell r="I618" t="str">
            <v>10303</v>
          </cell>
        </row>
        <row r="619">
          <cell r="D619" t="str">
            <v xml:space="preserve">Huyện Chợ Mới </v>
          </cell>
          <cell r="F619" t="str">
            <v>805</v>
          </cell>
          <cell r="G619" t="str">
            <v>Phường Máy Tơ</v>
          </cell>
          <cell r="I619" t="str">
            <v>10303</v>
          </cell>
        </row>
        <row r="620">
          <cell r="D620" t="str">
            <v xml:space="preserve">Huyện Châu Thành   </v>
          </cell>
          <cell r="F620" t="str">
            <v>805</v>
          </cell>
          <cell r="G620" t="str">
            <v>Phường Vạn Mỹ</v>
          </cell>
          <cell r="I620" t="str">
            <v>10303</v>
          </cell>
        </row>
        <row r="621">
          <cell r="D621" t="str">
            <v>Huyện Thoại Sơn</v>
          </cell>
          <cell r="F621" t="str">
            <v>805</v>
          </cell>
          <cell r="G621" t="str">
            <v>P. Lương Khánh Thiện</v>
          </cell>
          <cell r="I621" t="str">
            <v>10303</v>
          </cell>
        </row>
        <row r="622">
          <cell r="D622" t="str">
            <v>Thành phố Mỹ Tho</v>
          </cell>
          <cell r="F622" t="str">
            <v>807</v>
          </cell>
          <cell r="G622" t="str">
            <v>Phường Gia Viên</v>
          </cell>
          <cell r="I622" t="str">
            <v>10303</v>
          </cell>
        </row>
        <row r="623">
          <cell r="D623" t="str">
            <v>Thị xã Gò Công</v>
          </cell>
          <cell r="F623" t="str">
            <v>807</v>
          </cell>
          <cell r="G623" t="str">
            <v>Phường Đông Khê</v>
          </cell>
          <cell r="I623" t="str">
            <v>10303</v>
          </cell>
        </row>
        <row r="624">
          <cell r="D624" t="str">
            <v>Huyện Tân Phước</v>
          </cell>
          <cell r="F624" t="str">
            <v>807</v>
          </cell>
          <cell r="G624" t="str">
            <v xml:space="preserve">Phường Lê Lợi </v>
          </cell>
          <cell r="I624" t="str">
            <v>10303</v>
          </cell>
        </row>
        <row r="625">
          <cell r="D625" t="str">
            <v xml:space="preserve">Huyện Châu Thành    </v>
          </cell>
          <cell r="F625" t="str">
            <v>807</v>
          </cell>
          <cell r="G625" t="str">
            <v>Phường Đằng Giang</v>
          </cell>
          <cell r="I625" t="str">
            <v>10303</v>
          </cell>
        </row>
        <row r="626">
          <cell r="D626" t="str">
            <v>Huyện Cai Lậy</v>
          </cell>
          <cell r="F626" t="str">
            <v>807</v>
          </cell>
          <cell r="G626" t="str">
            <v>Phường Lạch Tray</v>
          </cell>
          <cell r="I626" t="str">
            <v>10303</v>
          </cell>
        </row>
        <row r="627">
          <cell r="D627" t="str">
            <v>Huyện Chợ Gạo</v>
          </cell>
          <cell r="F627" t="str">
            <v>807</v>
          </cell>
          <cell r="G627" t="str">
            <v>Phường Đổng Quốc Bình</v>
          </cell>
          <cell r="I627" t="str">
            <v>10303</v>
          </cell>
        </row>
        <row r="628">
          <cell r="D628" t="str">
            <v>Huyện Cái Bè</v>
          </cell>
          <cell r="F628" t="str">
            <v>807</v>
          </cell>
          <cell r="G628" t="str">
            <v>Phường Đằng Lâm</v>
          </cell>
          <cell r="I628" t="str">
            <v>10304</v>
          </cell>
        </row>
        <row r="629">
          <cell r="D629" t="str">
            <v>Huyện Gò Công Tây</v>
          </cell>
          <cell r="F629" t="str">
            <v>807</v>
          </cell>
          <cell r="G629" t="str">
            <v>Phường Đằng Hải</v>
          </cell>
          <cell r="I629" t="str">
            <v>10304</v>
          </cell>
        </row>
        <row r="630">
          <cell r="D630" t="str">
            <v>Huyện Gò Công Đông</v>
          </cell>
          <cell r="F630" t="str">
            <v>807</v>
          </cell>
          <cell r="G630" t="str">
            <v>Phường Nam Hải</v>
          </cell>
          <cell r="I630" t="str">
            <v>10304</v>
          </cell>
        </row>
        <row r="631">
          <cell r="D631" t="str">
            <v>Huyện Tân Phú Đông</v>
          </cell>
          <cell r="F631" t="str">
            <v>807</v>
          </cell>
          <cell r="G631" t="str">
            <v>Phường Cát Bi</v>
          </cell>
          <cell r="I631" t="str">
            <v>10304</v>
          </cell>
        </row>
        <row r="632">
          <cell r="D632" t="str">
            <v>Thị Xã Cai Lậy</v>
          </cell>
          <cell r="F632" t="str">
            <v>807</v>
          </cell>
          <cell r="G632" t="str">
            <v>Phường Tràng Cát</v>
          </cell>
          <cell r="I632" t="str">
            <v>10304</v>
          </cell>
        </row>
        <row r="633">
          <cell r="D633" t="str">
            <v>Thành phố Vĩnh Long</v>
          </cell>
          <cell r="F633" t="str">
            <v>809</v>
          </cell>
          <cell r="G633" t="str">
            <v>Phường Đông Hải 1</v>
          </cell>
          <cell r="I633" t="str">
            <v>10304</v>
          </cell>
        </row>
        <row r="634">
          <cell r="D634" t="str">
            <v>Huyện Long Hồ</v>
          </cell>
          <cell r="F634" t="str">
            <v>809</v>
          </cell>
          <cell r="G634" t="str">
            <v>Phường Đông Hải 2</v>
          </cell>
          <cell r="I634" t="str">
            <v>10304</v>
          </cell>
        </row>
        <row r="635">
          <cell r="D635" t="str">
            <v>Huyện Mang Thít</v>
          </cell>
          <cell r="F635" t="str">
            <v>809</v>
          </cell>
          <cell r="G635" t="str">
            <v>Phường Thành Tô</v>
          </cell>
          <cell r="I635" t="str">
            <v>10304</v>
          </cell>
        </row>
        <row r="636">
          <cell r="D636" t="str">
            <v>Thị xã Bình Minh</v>
          </cell>
          <cell r="F636" t="str">
            <v>809</v>
          </cell>
          <cell r="G636" t="str">
            <v>Phường An Biên</v>
          </cell>
          <cell r="I636" t="str">
            <v>10305</v>
          </cell>
        </row>
        <row r="637">
          <cell r="D637" t="str">
            <v>Huyện Bình Tân</v>
          </cell>
          <cell r="F637" t="str">
            <v>809</v>
          </cell>
          <cell r="G637" t="str">
            <v>Phường Nghĩa Xá</v>
          </cell>
          <cell r="I637" t="str">
            <v>10305</v>
          </cell>
        </row>
        <row r="638">
          <cell r="D638" t="str">
            <v>Huyện Tam Bình</v>
          </cell>
          <cell r="F638" t="str">
            <v>809</v>
          </cell>
          <cell r="G638" t="str">
            <v>Phường Cát Dài</v>
          </cell>
          <cell r="I638" t="str">
            <v>10305</v>
          </cell>
        </row>
        <row r="639">
          <cell r="D639" t="str">
            <v>Huyện Trà Ôn</v>
          </cell>
          <cell r="F639" t="str">
            <v>809</v>
          </cell>
          <cell r="G639" t="str">
            <v>Phường Trần Nguyên Hãn</v>
          </cell>
          <cell r="I639" t="str">
            <v>10305</v>
          </cell>
        </row>
        <row r="640">
          <cell r="D640" t="str">
            <v>Huyện Vũng Liêm</v>
          </cell>
          <cell r="F640" t="str">
            <v>809</v>
          </cell>
          <cell r="G640" t="str">
            <v>Phường Đông Hải</v>
          </cell>
          <cell r="I640" t="str">
            <v>10305</v>
          </cell>
        </row>
        <row r="641">
          <cell r="D641" t="str">
            <v>Thành phố Bến Tre</v>
          </cell>
          <cell r="F641" t="str">
            <v>811</v>
          </cell>
          <cell r="G641" t="str">
            <v>Phường Dư Hàng Kênh</v>
          </cell>
          <cell r="I641" t="str">
            <v>10305</v>
          </cell>
        </row>
        <row r="642">
          <cell r="D642" t="str">
            <v xml:space="preserve">Huyện Châu Thành     </v>
          </cell>
          <cell r="F642" t="str">
            <v>811</v>
          </cell>
          <cell r="G642" t="str">
            <v>Phường Vĩnh Niệm</v>
          </cell>
          <cell r="I642" t="str">
            <v>10305</v>
          </cell>
        </row>
        <row r="643">
          <cell r="D643" t="str">
            <v>Huyện Chợ Lách</v>
          </cell>
          <cell r="F643" t="str">
            <v>811</v>
          </cell>
          <cell r="G643" t="str">
            <v>Phường Lam Sơn</v>
          </cell>
          <cell r="I643" t="str">
            <v>10305</v>
          </cell>
        </row>
        <row r="644">
          <cell r="D644" t="str">
            <v>Huyện Mỏ Cày Nam</v>
          </cell>
          <cell r="F644" t="str">
            <v>811</v>
          </cell>
          <cell r="G644" t="str">
            <v>Phường An Dương</v>
          </cell>
          <cell r="I644" t="str">
            <v>10305</v>
          </cell>
        </row>
        <row r="645">
          <cell r="D645" t="str">
            <v>Huyện Mỏ Cày Bắc</v>
          </cell>
          <cell r="F645" t="str">
            <v>811</v>
          </cell>
          <cell r="G645" t="str">
            <v>Phường Hồ Nam</v>
          </cell>
          <cell r="I645" t="str">
            <v>10305</v>
          </cell>
        </row>
        <row r="646">
          <cell r="D646" t="str">
            <v>Huyện Giồng Trôm</v>
          </cell>
          <cell r="F646" t="str">
            <v>811</v>
          </cell>
          <cell r="G646" t="str">
            <v>Phường Trại Cau</v>
          </cell>
          <cell r="I646" t="str">
            <v>10305</v>
          </cell>
        </row>
        <row r="647">
          <cell r="D647" t="str">
            <v>Huyện Bình Đại</v>
          </cell>
          <cell r="F647" t="str">
            <v>811</v>
          </cell>
          <cell r="G647" t="str">
            <v>Phường Dư Hàng</v>
          </cell>
          <cell r="I647" t="str">
            <v>10305</v>
          </cell>
        </row>
        <row r="648">
          <cell r="D648" t="str">
            <v>Huyện Ba Tri</v>
          </cell>
          <cell r="F648" t="str">
            <v>811</v>
          </cell>
          <cell r="G648" t="str">
            <v>Phường Hàng Kênh</v>
          </cell>
          <cell r="I648" t="str">
            <v>10305</v>
          </cell>
        </row>
        <row r="649">
          <cell r="D649" t="str">
            <v>Huyện Thạnh Phú</v>
          </cell>
          <cell r="F649" t="str">
            <v>811</v>
          </cell>
          <cell r="G649" t="str">
            <v>Phường Niệm Nghĩa</v>
          </cell>
          <cell r="I649" t="str">
            <v>10305</v>
          </cell>
        </row>
        <row r="650">
          <cell r="D650" t="str">
            <v>Thành phố Rạch Giá</v>
          </cell>
          <cell r="F650" t="str">
            <v>813</v>
          </cell>
          <cell r="G650" t="str">
            <v>Phường Kênh Dương</v>
          </cell>
          <cell r="I650" t="str">
            <v>10305</v>
          </cell>
        </row>
        <row r="651">
          <cell r="D651" t="str">
            <v>Huyện Kiên Lương</v>
          </cell>
          <cell r="F651" t="str">
            <v>813</v>
          </cell>
          <cell r="G651" t="str">
            <v>Phường Quán Trữ</v>
          </cell>
          <cell r="I651" t="str">
            <v>10307</v>
          </cell>
        </row>
        <row r="652">
          <cell r="D652" t="str">
            <v>Huyện Giang Thành</v>
          </cell>
          <cell r="F652" t="str">
            <v>813</v>
          </cell>
          <cell r="G652" t="str">
            <v>Phường Ngọc Sơn</v>
          </cell>
          <cell r="I652" t="str">
            <v>10307</v>
          </cell>
        </row>
        <row r="653">
          <cell r="D653" t="str">
            <v>Huyện Hòn Đất</v>
          </cell>
          <cell r="F653" t="str">
            <v>813</v>
          </cell>
          <cell r="G653" t="str">
            <v>Phường Đồng Hòa</v>
          </cell>
          <cell r="I653" t="str">
            <v>10307</v>
          </cell>
        </row>
        <row r="654">
          <cell r="D654" t="str">
            <v>Huyện Tân Hiệp</v>
          </cell>
          <cell r="F654" t="str">
            <v>813</v>
          </cell>
          <cell r="G654" t="str">
            <v>Phường Bắc Sơn</v>
          </cell>
          <cell r="I654" t="str">
            <v>10307</v>
          </cell>
        </row>
        <row r="655">
          <cell r="D655" t="str">
            <v xml:space="preserve">Huyện Châu Thành      </v>
          </cell>
          <cell r="F655" t="str">
            <v>813</v>
          </cell>
          <cell r="G655" t="str">
            <v>Phường Nam Sơn</v>
          </cell>
          <cell r="I655" t="str">
            <v>10307</v>
          </cell>
        </row>
        <row r="656">
          <cell r="D656" t="str">
            <v>Huyện Giồng Riềng</v>
          </cell>
          <cell r="F656" t="str">
            <v>813</v>
          </cell>
          <cell r="G656" t="str">
            <v>Phường Trần Thành Ngọ</v>
          </cell>
          <cell r="I656" t="str">
            <v>10307</v>
          </cell>
        </row>
        <row r="657">
          <cell r="D657" t="str">
            <v>Huyện Gò Quao</v>
          </cell>
          <cell r="F657" t="str">
            <v>813</v>
          </cell>
          <cell r="G657" t="str">
            <v>Phường Văn Đẩu</v>
          </cell>
          <cell r="I657" t="str">
            <v>10307</v>
          </cell>
        </row>
        <row r="658">
          <cell r="D658" t="str">
            <v>Huyện An Biên</v>
          </cell>
          <cell r="F658" t="str">
            <v>813</v>
          </cell>
          <cell r="G658" t="str">
            <v>Phường Phù Liễn</v>
          </cell>
          <cell r="I658" t="str">
            <v>10307</v>
          </cell>
        </row>
        <row r="659">
          <cell r="D659" t="str">
            <v>Huyện An Minh</v>
          </cell>
          <cell r="F659" t="str">
            <v>813</v>
          </cell>
          <cell r="G659" t="str">
            <v>Phường Tràng Minh</v>
          </cell>
          <cell r="I659" t="str">
            <v>10307</v>
          </cell>
        </row>
        <row r="660">
          <cell r="D660" t="str">
            <v>Huyện Vĩnh Thuận</v>
          </cell>
          <cell r="F660" t="str">
            <v>813</v>
          </cell>
          <cell r="G660" t="str">
            <v>Phường Lãm Hà</v>
          </cell>
          <cell r="I660" t="str">
            <v>10307</v>
          </cell>
        </row>
        <row r="661">
          <cell r="D661" t="str">
            <v>Huyện Phú Quốc</v>
          </cell>
          <cell r="F661" t="str">
            <v>813</v>
          </cell>
          <cell r="G661" t="str">
            <v>Phường Ngọc Hải</v>
          </cell>
          <cell r="I661" t="str">
            <v>10309</v>
          </cell>
        </row>
        <row r="662">
          <cell r="D662" t="str">
            <v>Huyện Kiên Hải</v>
          </cell>
          <cell r="F662" t="str">
            <v>813</v>
          </cell>
          <cell r="G662" t="str">
            <v>Phường Ngọc Xuyên</v>
          </cell>
          <cell r="I662" t="str">
            <v>10309</v>
          </cell>
        </row>
        <row r="663">
          <cell r="D663" t="str">
            <v>Thị xã Hà Tiên</v>
          </cell>
          <cell r="F663" t="str">
            <v>813</v>
          </cell>
          <cell r="G663" t="str">
            <v>Phường Bàng La</v>
          </cell>
          <cell r="I663" t="str">
            <v>10309</v>
          </cell>
        </row>
        <row r="664">
          <cell r="D664" t="str">
            <v>Huyện U Minh Thượng</v>
          </cell>
          <cell r="F664" t="str">
            <v>813</v>
          </cell>
          <cell r="G664" t="str">
            <v>Phường Vạn Hương</v>
          </cell>
          <cell r="I664" t="str">
            <v>10309</v>
          </cell>
        </row>
        <row r="665">
          <cell r="D665" t="str">
            <v>Quận Thốt Nốt</v>
          </cell>
          <cell r="F665" t="str">
            <v>815</v>
          </cell>
          <cell r="G665" t="str">
            <v>Phường Vạn Sơn</v>
          </cell>
          <cell r="I665" t="str">
            <v>10309</v>
          </cell>
        </row>
        <row r="666">
          <cell r="D666" t="str">
            <v>Quận Ô Môn</v>
          </cell>
          <cell r="F666" t="str">
            <v>815</v>
          </cell>
          <cell r="G666" t="str">
            <v>Phường Hợp Đức</v>
          </cell>
          <cell r="I666" t="str">
            <v>10309</v>
          </cell>
        </row>
        <row r="667">
          <cell r="D667" t="str">
            <v>Quận Ninh Kiều</v>
          </cell>
          <cell r="F667" t="str">
            <v>815</v>
          </cell>
          <cell r="G667" t="str">
            <v>Phường Minh Đức</v>
          </cell>
          <cell r="I667" t="str">
            <v>10309</v>
          </cell>
        </row>
        <row r="668">
          <cell r="D668" t="str">
            <v>Quận Bình Thuỷ</v>
          </cell>
          <cell r="F668" t="str">
            <v>815</v>
          </cell>
          <cell r="G668" t="str">
            <v>Xã Lưu Kiếm</v>
          </cell>
          <cell r="I668" t="str">
            <v>10311</v>
          </cell>
        </row>
        <row r="669">
          <cell r="D669" t="str">
            <v>Quận Cái Răng</v>
          </cell>
          <cell r="F669" t="str">
            <v>815</v>
          </cell>
          <cell r="G669" t="str">
            <v>Xã Cao Nhân</v>
          </cell>
          <cell r="I669" t="str">
            <v>10311</v>
          </cell>
        </row>
        <row r="670">
          <cell r="D670" t="str">
            <v xml:space="preserve">Huyện Vĩnh Thạnh </v>
          </cell>
          <cell r="F670" t="str">
            <v>815</v>
          </cell>
          <cell r="G670" t="str">
            <v xml:space="preserve">Xã Tam Hưng </v>
          </cell>
          <cell r="I670" t="str">
            <v>10311</v>
          </cell>
        </row>
        <row r="671">
          <cell r="D671" t="str">
            <v>Huyện Cờ Đỏ</v>
          </cell>
          <cell r="F671" t="str">
            <v>815</v>
          </cell>
          <cell r="G671" t="str">
            <v>Xã Dương Quan</v>
          </cell>
          <cell r="I671" t="str">
            <v>10311</v>
          </cell>
        </row>
        <row r="672">
          <cell r="D672" t="str">
            <v xml:space="preserve">Huyện Phong Điền </v>
          </cell>
          <cell r="F672" t="str">
            <v>815</v>
          </cell>
          <cell r="G672" t="str">
            <v>Xã An Sơn</v>
          </cell>
          <cell r="I672" t="str">
            <v>10311</v>
          </cell>
        </row>
        <row r="673">
          <cell r="D673" t="str">
            <v>Huyện Thới Lai</v>
          </cell>
          <cell r="F673" t="str">
            <v>815</v>
          </cell>
          <cell r="G673" t="str">
            <v>Xã Lưu Kỳ</v>
          </cell>
          <cell r="I673" t="str">
            <v>10311</v>
          </cell>
        </row>
        <row r="674">
          <cell r="D674" t="str">
            <v>Tp Vị Thanh</v>
          </cell>
          <cell r="F674" t="str">
            <v>816</v>
          </cell>
          <cell r="G674" t="str">
            <v xml:space="preserve">Xã Minh Tân </v>
          </cell>
          <cell r="I674" t="str">
            <v>10311</v>
          </cell>
        </row>
        <row r="675">
          <cell r="D675" t="str">
            <v>Huyện Châu Thành A</v>
          </cell>
          <cell r="F675" t="str">
            <v>816</v>
          </cell>
          <cell r="G675" t="str">
            <v>Xã Kênh Giang</v>
          </cell>
          <cell r="I675" t="str">
            <v>10311</v>
          </cell>
        </row>
        <row r="676">
          <cell r="D676" t="str">
            <v xml:space="preserve">Huyện Châu Thành       </v>
          </cell>
          <cell r="F676" t="str">
            <v>816</v>
          </cell>
          <cell r="G676" t="str">
            <v xml:space="preserve">Xã Đông Sơn </v>
          </cell>
          <cell r="I676" t="str">
            <v>10311</v>
          </cell>
        </row>
        <row r="677">
          <cell r="D677" t="str">
            <v>Thị  Xã Ngã Bảy</v>
          </cell>
          <cell r="F677" t="str">
            <v>816</v>
          </cell>
          <cell r="G677" t="str">
            <v>Xã Thuỷ Triều</v>
          </cell>
          <cell r="I677" t="str">
            <v>10311</v>
          </cell>
        </row>
        <row r="678">
          <cell r="D678" t="str">
            <v>Huyện Phụng Hiệp</v>
          </cell>
          <cell r="F678" t="str">
            <v>816</v>
          </cell>
          <cell r="G678" t="str">
            <v>Xã Phả Lễ</v>
          </cell>
          <cell r="I678" t="str">
            <v>10311</v>
          </cell>
        </row>
        <row r="679">
          <cell r="D679" t="str">
            <v>Huyện Vị Thủy</v>
          </cell>
          <cell r="F679" t="str">
            <v>816</v>
          </cell>
          <cell r="G679" t="str">
            <v>Xã Thuỷ Sơn</v>
          </cell>
          <cell r="I679" t="str">
            <v>10311</v>
          </cell>
        </row>
        <row r="680">
          <cell r="D680" t="str">
            <v>Huyện Long Mỹ</v>
          </cell>
          <cell r="F680" t="str">
            <v>816</v>
          </cell>
          <cell r="G680" t="str">
            <v>Xã Hoa Động</v>
          </cell>
          <cell r="I680" t="str">
            <v>10311</v>
          </cell>
        </row>
        <row r="681">
          <cell r="D681" t="str">
            <v>Thị Xã Long Mỹ</v>
          </cell>
          <cell r="F681" t="str">
            <v>816</v>
          </cell>
          <cell r="G681" t="str">
            <v>Thị trấn Núi Đèo</v>
          </cell>
          <cell r="I681" t="str">
            <v>10311</v>
          </cell>
        </row>
        <row r="682">
          <cell r="D682" t="str">
            <v>Thành phố Trà Vinh</v>
          </cell>
          <cell r="F682" t="str">
            <v>817</v>
          </cell>
          <cell r="G682" t="str">
            <v>Thị trấn Minh Đức</v>
          </cell>
          <cell r="I682" t="str">
            <v>10311</v>
          </cell>
        </row>
        <row r="683">
          <cell r="D683" t="str">
            <v>Huyện Càng Long</v>
          </cell>
          <cell r="F683" t="str">
            <v>817</v>
          </cell>
          <cell r="G683" t="str">
            <v>Xã Lại Xuân</v>
          </cell>
          <cell r="I683" t="str">
            <v>10311</v>
          </cell>
        </row>
        <row r="684">
          <cell r="D684" t="str">
            <v xml:space="preserve">Huyện Châu Thành        </v>
          </cell>
          <cell r="F684" t="str">
            <v>817</v>
          </cell>
          <cell r="G684" t="str">
            <v>Xã Kỳ Sơn</v>
          </cell>
          <cell r="I684" t="str">
            <v>10311</v>
          </cell>
        </row>
        <row r="685">
          <cell r="D685" t="str">
            <v>Huyện Cầu Kè</v>
          </cell>
          <cell r="F685" t="str">
            <v>817</v>
          </cell>
          <cell r="G685" t="str">
            <v>Xã Liên Khê</v>
          </cell>
          <cell r="I685" t="str">
            <v>10311</v>
          </cell>
        </row>
        <row r="686">
          <cell r="D686" t="str">
            <v>Huyện Tiểu Cần</v>
          </cell>
          <cell r="F686" t="str">
            <v>817</v>
          </cell>
          <cell r="G686" t="str">
            <v>Xã Gia Minh</v>
          </cell>
          <cell r="I686" t="str">
            <v>10311</v>
          </cell>
        </row>
        <row r="687">
          <cell r="D687" t="str">
            <v>Huyện Cầu Ngang</v>
          </cell>
          <cell r="F687" t="str">
            <v>817</v>
          </cell>
          <cell r="G687" t="str">
            <v>Xã Gia Đức</v>
          </cell>
          <cell r="I687" t="str">
            <v>10311</v>
          </cell>
        </row>
        <row r="688">
          <cell r="D688" t="str">
            <v>Huyện Trà Cú</v>
          </cell>
          <cell r="F688" t="str">
            <v>817</v>
          </cell>
          <cell r="G688" t="str">
            <v>Xã Phù Ninh</v>
          </cell>
          <cell r="I688" t="str">
            <v>10311</v>
          </cell>
        </row>
        <row r="689">
          <cell r="D689" t="str">
            <v>Huyện Duyên Hải</v>
          </cell>
          <cell r="F689" t="str">
            <v>817</v>
          </cell>
          <cell r="G689" t="str">
            <v>Xã Quảng Thanh</v>
          </cell>
          <cell r="I689" t="str">
            <v>10311</v>
          </cell>
        </row>
        <row r="690">
          <cell r="D690" t="str">
            <v>Thành phố Sóc Trăng</v>
          </cell>
          <cell r="F690" t="str">
            <v>819</v>
          </cell>
          <cell r="G690" t="str">
            <v>Xã Chính Mỹ</v>
          </cell>
          <cell r="I690" t="str">
            <v>10311</v>
          </cell>
        </row>
        <row r="691">
          <cell r="D691" t="str">
            <v>Huyện Kế Sách</v>
          </cell>
          <cell r="F691" t="str">
            <v>819</v>
          </cell>
          <cell r="G691" t="str">
            <v>Xã Hợp Thành</v>
          </cell>
          <cell r="I691" t="str">
            <v>10311</v>
          </cell>
        </row>
        <row r="692">
          <cell r="D692" t="str">
            <v>Huyện Long Phú</v>
          </cell>
          <cell r="F692" t="str">
            <v>819</v>
          </cell>
          <cell r="G692" t="str">
            <v>Xã Mỹ Đồng</v>
          </cell>
          <cell r="I692" t="str">
            <v>10311</v>
          </cell>
        </row>
        <row r="693">
          <cell r="D693" t="str">
            <v>Huyện Cù Lao Dung</v>
          </cell>
          <cell r="F693" t="str">
            <v>819</v>
          </cell>
          <cell r="G693" t="str">
            <v xml:space="preserve">Xã Hòa Bình </v>
          </cell>
          <cell r="I693" t="str">
            <v>10311</v>
          </cell>
        </row>
        <row r="694">
          <cell r="D694" t="str">
            <v>Huyện Mỹ Tú</v>
          </cell>
          <cell r="F694" t="str">
            <v>819</v>
          </cell>
          <cell r="G694" t="str">
            <v>Xã Trung Hà</v>
          </cell>
          <cell r="I694" t="str">
            <v>10311</v>
          </cell>
        </row>
        <row r="695">
          <cell r="D695" t="str">
            <v>Huyện Mỹ Xuyên</v>
          </cell>
          <cell r="F695" t="str">
            <v>819</v>
          </cell>
          <cell r="G695" t="str">
            <v>Xã An Lư</v>
          </cell>
          <cell r="I695" t="str">
            <v>10311</v>
          </cell>
        </row>
        <row r="696">
          <cell r="D696" t="str">
            <v>Huyện Thạnh Trị</v>
          </cell>
          <cell r="F696" t="str">
            <v>819</v>
          </cell>
          <cell r="G696" t="str">
            <v>Xã Ngũ Lão</v>
          </cell>
          <cell r="I696" t="str">
            <v>10311</v>
          </cell>
        </row>
        <row r="697">
          <cell r="D697" t="str">
            <v>Thị Xã Ngã Năm</v>
          </cell>
          <cell r="F697" t="str">
            <v>819</v>
          </cell>
          <cell r="G697" t="str">
            <v>Xã Phục Lễ</v>
          </cell>
          <cell r="I697" t="str">
            <v>10311</v>
          </cell>
        </row>
        <row r="698">
          <cell r="D698" t="str">
            <v>Thị Xã Vĩnh Châu</v>
          </cell>
          <cell r="F698" t="str">
            <v>819</v>
          </cell>
          <cell r="G698" t="str">
            <v>Xã Lập Lễ</v>
          </cell>
          <cell r="I698" t="str">
            <v>10311</v>
          </cell>
        </row>
        <row r="699">
          <cell r="D699" t="str">
            <v xml:space="preserve">Huyện Châu Thành         </v>
          </cell>
          <cell r="F699" t="str">
            <v>819</v>
          </cell>
          <cell r="G699" t="str">
            <v>Xã Kiền Bái</v>
          </cell>
          <cell r="I699" t="str">
            <v>10311</v>
          </cell>
        </row>
        <row r="700">
          <cell r="D700" t="str">
            <v>Huyện Trần Đề</v>
          </cell>
          <cell r="F700" t="str">
            <v>819</v>
          </cell>
          <cell r="G700" t="str">
            <v>Xã Thiên Hương</v>
          </cell>
          <cell r="I700" t="str">
            <v>10311</v>
          </cell>
        </row>
        <row r="701">
          <cell r="D701" t="str">
            <v>Thành Phố Bạc Liêu</v>
          </cell>
          <cell r="F701" t="str">
            <v>821</v>
          </cell>
          <cell r="G701" t="str">
            <v>Xã Thuỷ Đường</v>
          </cell>
          <cell r="I701" t="str">
            <v>10311</v>
          </cell>
        </row>
        <row r="702">
          <cell r="D702" t="str">
            <v>Huyện Hồng Dân</v>
          </cell>
          <cell r="F702" t="str">
            <v>821</v>
          </cell>
          <cell r="G702" t="str">
            <v>Xã Hoàng Động</v>
          </cell>
          <cell r="I702" t="str">
            <v>10311</v>
          </cell>
        </row>
        <row r="703">
          <cell r="D703" t="str">
            <v>Huyện Vĩnh Lợi</v>
          </cell>
          <cell r="F703" t="str">
            <v>821</v>
          </cell>
          <cell r="G703" t="str">
            <v>Xã Lâm Động</v>
          </cell>
          <cell r="I703" t="str">
            <v>10311</v>
          </cell>
        </row>
        <row r="704">
          <cell r="D704" t="str">
            <v>Huyện Hòa Bình</v>
          </cell>
          <cell r="F704" t="str">
            <v>821</v>
          </cell>
          <cell r="G704" t="str">
            <v>Xã Tân Dương</v>
          </cell>
          <cell r="I704" t="str">
            <v>10311</v>
          </cell>
        </row>
        <row r="705">
          <cell r="D705" t="str">
            <v>Thị Xã Giá Rai</v>
          </cell>
          <cell r="F705" t="str">
            <v>821</v>
          </cell>
          <cell r="G705" t="str">
            <v xml:space="preserve">Xã Bắc Sơn </v>
          </cell>
          <cell r="I705" t="str">
            <v>10313</v>
          </cell>
        </row>
        <row r="706">
          <cell r="D706" t="str">
            <v>Huyện Phước Long</v>
          </cell>
          <cell r="F706" t="str">
            <v>821</v>
          </cell>
          <cell r="G706" t="str">
            <v>Xã Lê Thiện</v>
          </cell>
          <cell r="I706" t="str">
            <v>10313</v>
          </cell>
        </row>
        <row r="707">
          <cell r="D707" t="str">
            <v>Huyện Đông Hải</v>
          </cell>
          <cell r="F707" t="str">
            <v>821</v>
          </cell>
          <cell r="G707" t="str">
            <v xml:space="preserve">Xã Hồng Phong </v>
          </cell>
          <cell r="I707" t="str">
            <v>10313</v>
          </cell>
        </row>
        <row r="708">
          <cell r="D708" t="str">
            <v>Thành phố Cà Mau</v>
          </cell>
          <cell r="F708" t="str">
            <v>823</v>
          </cell>
          <cell r="G708" t="str">
            <v xml:space="preserve">Xã Nam Sơn </v>
          </cell>
          <cell r="I708" t="str">
            <v>10313</v>
          </cell>
        </row>
        <row r="709">
          <cell r="D709" t="str">
            <v>Huyện Thới Bình</v>
          </cell>
          <cell r="F709" t="str">
            <v>823</v>
          </cell>
          <cell r="G709" t="str">
            <v xml:space="preserve">Xã Đồng Thái </v>
          </cell>
          <cell r="I709" t="str">
            <v>10313</v>
          </cell>
        </row>
        <row r="710">
          <cell r="D710" t="str">
            <v>Huyện U Minh</v>
          </cell>
          <cell r="F710" t="str">
            <v>823</v>
          </cell>
          <cell r="G710" t="str">
            <v>Thị trấn An Dương</v>
          </cell>
          <cell r="I710" t="str">
            <v>10313</v>
          </cell>
        </row>
        <row r="711">
          <cell r="D711" t="str">
            <v>Huyện Trần Văn Thời</v>
          </cell>
          <cell r="F711" t="str">
            <v>823</v>
          </cell>
          <cell r="G711" t="str">
            <v>Xã Đại Bản</v>
          </cell>
          <cell r="I711" t="str">
            <v>10313</v>
          </cell>
        </row>
        <row r="712">
          <cell r="D712" t="str">
            <v xml:space="preserve">Huyện Phú Tân </v>
          </cell>
          <cell r="F712" t="str">
            <v>823</v>
          </cell>
          <cell r="G712" t="str">
            <v>Xã An Hòa</v>
          </cell>
          <cell r="I712" t="str">
            <v>10313</v>
          </cell>
        </row>
        <row r="713">
          <cell r="D713" t="str">
            <v>Huyện Cái Nước</v>
          </cell>
          <cell r="F713" t="str">
            <v>823</v>
          </cell>
          <cell r="G713" t="str">
            <v xml:space="preserve">Xã Tân Tiến </v>
          </cell>
          <cell r="I713" t="str">
            <v>10313</v>
          </cell>
        </row>
        <row r="714">
          <cell r="G714" t="str">
            <v>Xã An Hưng</v>
          </cell>
          <cell r="I714" t="str">
            <v>10313</v>
          </cell>
        </row>
        <row r="715">
          <cell r="G715" t="str">
            <v>Xã An Hồng</v>
          </cell>
          <cell r="I715" t="str">
            <v>10313</v>
          </cell>
        </row>
        <row r="716">
          <cell r="G716" t="str">
            <v xml:space="preserve">Xã Lê Lợi </v>
          </cell>
          <cell r="I716" t="str">
            <v>10313</v>
          </cell>
        </row>
        <row r="717">
          <cell r="G717" t="str">
            <v>Xã Đặng Cương</v>
          </cell>
          <cell r="I717" t="str">
            <v>10313</v>
          </cell>
        </row>
        <row r="718">
          <cell r="G718" t="str">
            <v>Xã Quốc Tuấn</v>
          </cell>
          <cell r="I718" t="str">
            <v>10313</v>
          </cell>
        </row>
        <row r="719">
          <cell r="G719" t="str">
            <v>Xã An Đồng</v>
          </cell>
          <cell r="I719" t="str">
            <v>10313</v>
          </cell>
        </row>
        <row r="720">
          <cell r="G720" t="str">
            <v xml:space="preserve">Xã Hồng Thái </v>
          </cell>
          <cell r="I720" t="str">
            <v>10313</v>
          </cell>
        </row>
        <row r="721">
          <cell r="G721" t="str">
            <v>Xã Trường Thọ</v>
          </cell>
          <cell r="I721" t="str">
            <v>10315</v>
          </cell>
        </row>
        <row r="722">
          <cell r="G722" t="str">
            <v>Xã Tân Viên</v>
          </cell>
          <cell r="I722" t="str">
            <v>10315</v>
          </cell>
        </row>
        <row r="723">
          <cell r="G723" t="str">
            <v>Thị trấn An Lão</v>
          </cell>
          <cell r="I723" t="str">
            <v>10315</v>
          </cell>
        </row>
        <row r="724">
          <cell r="G724" t="str">
            <v>Xã Quang Hưng</v>
          </cell>
          <cell r="I724" t="str">
            <v>10315</v>
          </cell>
        </row>
        <row r="725">
          <cell r="G725" t="str">
            <v>Thị Trấn Trường Sơn</v>
          </cell>
          <cell r="I725" t="str">
            <v>10315</v>
          </cell>
        </row>
        <row r="726">
          <cell r="G726" t="str">
            <v>Xã Mỹ Đức</v>
          </cell>
          <cell r="I726" t="str">
            <v>10315</v>
          </cell>
        </row>
        <row r="727">
          <cell r="G727" t="str">
            <v>Xã Bát Trang</v>
          </cell>
          <cell r="I727" t="str">
            <v>10315</v>
          </cell>
        </row>
        <row r="728">
          <cell r="G728" t="str">
            <v>Xã Trường Thành</v>
          </cell>
          <cell r="I728" t="str">
            <v>10315</v>
          </cell>
        </row>
        <row r="729">
          <cell r="G729" t="str">
            <v xml:space="preserve">Xã An Tiến </v>
          </cell>
          <cell r="I729" t="str">
            <v>10315</v>
          </cell>
        </row>
        <row r="730">
          <cell r="G730" t="str">
            <v xml:space="preserve">Xã Quang Trung </v>
          </cell>
          <cell r="I730" t="str">
            <v>10315</v>
          </cell>
        </row>
        <row r="731">
          <cell r="G731" t="str">
            <v xml:space="preserve">Xã Quốc Tuấn </v>
          </cell>
          <cell r="I731" t="str">
            <v>10315</v>
          </cell>
        </row>
        <row r="732">
          <cell r="G732" t="str">
            <v>Xã An Thắng</v>
          </cell>
          <cell r="I732" t="str">
            <v>10315</v>
          </cell>
        </row>
        <row r="733">
          <cell r="G733" t="str">
            <v xml:space="preserve">Xã Tân Dân  </v>
          </cell>
          <cell r="I733" t="str">
            <v>10315</v>
          </cell>
        </row>
        <row r="734">
          <cell r="G734" t="str">
            <v>Xã Thái Sơn</v>
          </cell>
          <cell r="I734" t="str">
            <v>10315</v>
          </cell>
        </row>
        <row r="735">
          <cell r="G735" t="str">
            <v>Xã Chiến Thắng</v>
          </cell>
          <cell r="I735" t="str">
            <v>10315</v>
          </cell>
        </row>
        <row r="736">
          <cell r="G736" t="str">
            <v>Xã An Thọ</v>
          </cell>
          <cell r="I736" t="str">
            <v>10315</v>
          </cell>
        </row>
        <row r="737">
          <cell r="G737" t="str">
            <v>Xã An Thái</v>
          </cell>
          <cell r="I737" t="str">
            <v>10315</v>
          </cell>
        </row>
        <row r="738">
          <cell r="G738" t="str">
            <v>Xã Đông Phương</v>
          </cell>
          <cell r="I738" t="str">
            <v>10317</v>
          </cell>
        </row>
        <row r="739">
          <cell r="G739" t="str">
            <v>Xã Đại Hà</v>
          </cell>
          <cell r="I739" t="str">
            <v>10317</v>
          </cell>
        </row>
        <row r="740">
          <cell r="G740" t="str">
            <v>Xã Tân Trào</v>
          </cell>
          <cell r="I740" t="str">
            <v>10317</v>
          </cell>
        </row>
        <row r="741">
          <cell r="G741" t="str">
            <v>Thị trấn Núi Đối</v>
          </cell>
          <cell r="I741" t="str">
            <v>10317</v>
          </cell>
        </row>
        <row r="742">
          <cell r="G742" t="str">
            <v xml:space="preserve">Xã Đại Đồng </v>
          </cell>
          <cell r="I742" t="str">
            <v>10317</v>
          </cell>
        </row>
        <row r="743">
          <cell r="G743" t="str">
            <v>Xã Du Lễ</v>
          </cell>
          <cell r="I743" t="str">
            <v>10317</v>
          </cell>
        </row>
        <row r="744">
          <cell r="G744" t="str">
            <v xml:space="preserve">Xã Minh Tân  </v>
          </cell>
          <cell r="I744" t="str">
            <v>10317</v>
          </cell>
        </row>
        <row r="745">
          <cell r="G745" t="str">
            <v>Xã Đoàn Xá</v>
          </cell>
          <cell r="I745" t="str">
            <v>10317</v>
          </cell>
        </row>
        <row r="746">
          <cell r="G746" t="str">
            <v>Xã Tú Sơn</v>
          </cell>
          <cell r="I746" t="str">
            <v>10317</v>
          </cell>
        </row>
        <row r="747">
          <cell r="G747" t="str">
            <v>Xã Đại Hợp</v>
          </cell>
          <cell r="I747" t="str">
            <v>10317</v>
          </cell>
        </row>
        <row r="748">
          <cell r="G748" t="str">
            <v>Xã Thuận Thiên</v>
          </cell>
          <cell r="I748" t="str">
            <v>10317</v>
          </cell>
        </row>
        <row r="749">
          <cell r="G749" t="str">
            <v xml:space="preserve">Xã Hữu Bằng </v>
          </cell>
          <cell r="I749" t="str">
            <v>10317</v>
          </cell>
        </row>
        <row r="750">
          <cell r="G750" t="str">
            <v>Xã Ngũ Phúc</v>
          </cell>
          <cell r="I750" t="str">
            <v>10317</v>
          </cell>
        </row>
        <row r="751">
          <cell r="G751" t="str">
            <v>Xã Kiến Quốc</v>
          </cell>
          <cell r="I751" t="str">
            <v>10317</v>
          </cell>
        </row>
        <row r="752">
          <cell r="G752" t="str">
            <v>Xã Thuỵ Hương</v>
          </cell>
          <cell r="I752" t="str">
            <v>10317</v>
          </cell>
        </row>
        <row r="753">
          <cell r="G753" t="str">
            <v>Xã Thanh Sơn</v>
          </cell>
          <cell r="I753" t="str">
            <v>10317</v>
          </cell>
        </row>
        <row r="754">
          <cell r="G754" t="str">
            <v>Xã Ngũ Đoan</v>
          </cell>
          <cell r="I754" t="str">
            <v>10317</v>
          </cell>
        </row>
        <row r="755">
          <cell r="G755" t="str">
            <v>Xã Tân Phong</v>
          </cell>
          <cell r="I755" t="str">
            <v>10317</v>
          </cell>
        </row>
        <row r="756">
          <cell r="G756" t="str">
            <v>Xã Quang Phục</v>
          </cell>
          <cell r="I756" t="str">
            <v>10319</v>
          </cell>
        </row>
        <row r="757">
          <cell r="G757" t="str">
            <v>Xã Tự Cường</v>
          </cell>
          <cell r="I757" t="str">
            <v>10319</v>
          </cell>
        </row>
        <row r="758">
          <cell r="G758" t="str">
            <v>Xã Quyết Tiến</v>
          </cell>
          <cell r="I758" t="str">
            <v>10319</v>
          </cell>
        </row>
        <row r="759">
          <cell r="G759" t="str">
            <v>Xã Kiến Thiết</v>
          </cell>
          <cell r="I759" t="str">
            <v>10319</v>
          </cell>
        </row>
        <row r="760">
          <cell r="G760" t="str">
            <v>Xã Toàn Thắng</v>
          </cell>
          <cell r="I760" t="str">
            <v>10319</v>
          </cell>
        </row>
        <row r="761">
          <cell r="G761" t="str">
            <v>Xã Nam Hưng</v>
          </cell>
          <cell r="I761" t="str">
            <v>10319</v>
          </cell>
        </row>
        <row r="762">
          <cell r="G762" t="str">
            <v>Xã Tiên Hưng</v>
          </cell>
          <cell r="I762" t="str">
            <v>10319</v>
          </cell>
        </row>
        <row r="763">
          <cell r="G763" t="str">
            <v>Thị trấn Tiên Lãng</v>
          </cell>
          <cell r="I763" t="str">
            <v>10319</v>
          </cell>
        </row>
        <row r="764">
          <cell r="G764" t="str">
            <v xml:space="preserve">Xã Đại Thắng </v>
          </cell>
          <cell r="I764" t="str">
            <v>10319</v>
          </cell>
        </row>
        <row r="765">
          <cell r="G765" t="str">
            <v>Xã Tiên Cường</v>
          </cell>
          <cell r="I765" t="str">
            <v>10319</v>
          </cell>
        </row>
        <row r="766">
          <cell r="G766" t="str">
            <v>Xã Tiên Tiến</v>
          </cell>
          <cell r="I766" t="str">
            <v>10319</v>
          </cell>
        </row>
        <row r="767">
          <cell r="G767" t="str">
            <v>Xã Khởi Nghĩa</v>
          </cell>
          <cell r="I767" t="str">
            <v>10319</v>
          </cell>
        </row>
        <row r="768">
          <cell r="G768" t="str">
            <v>Xã Tiên Thanh</v>
          </cell>
          <cell r="I768" t="str">
            <v>10319</v>
          </cell>
        </row>
        <row r="769">
          <cell r="G769" t="str">
            <v>Xã Cấp Tiến</v>
          </cell>
          <cell r="I769" t="str">
            <v>10319</v>
          </cell>
        </row>
        <row r="770">
          <cell r="G770" t="str">
            <v>Xã Đoàn Lập</v>
          </cell>
          <cell r="I770" t="str">
            <v>10319</v>
          </cell>
        </row>
        <row r="771">
          <cell r="G771" t="str">
            <v>Xã Bạch Đằng</v>
          </cell>
          <cell r="I771" t="str">
            <v>10319</v>
          </cell>
        </row>
        <row r="772">
          <cell r="G772" t="str">
            <v>Xã Tiên Thắng</v>
          </cell>
          <cell r="I772" t="str">
            <v>10319</v>
          </cell>
        </row>
        <row r="773">
          <cell r="G773" t="str">
            <v>Xã Tiên Minh</v>
          </cell>
          <cell r="I773" t="str">
            <v>10319</v>
          </cell>
        </row>
        <row r="774">
          <cell r="G774" t="str">
            <v>Xã Bắc Hưng</v>
          </cell>
          <cell r="I774" t="str">
            <v>10319</v>
          </cell>
        </row>
        <row r="775">
          <cell r="G775" t="str">
            <v>Xã Hùng Thắng</v>
          </cell>
          <cell r="I775" t="str">
            <v>10319</v>
          </cell>
        </row>
        <row r="776">
          <cell r="G776" t="str">
            <v>Xã Tây Hưng</v>
          </cell>
          <cell r="I776" t="str">
            <v>10319</v>
          </cell>
        </row>
        <row r="777">
          <cell r="G777" t="str">
            <v>Xã Đông Hưng</v>
          </cell>
          <cell r="I777" t="str">
            <v>10319</v>
          </cell>
        </row>
        <row r="778">
          <cell r="G778" t="str">
            <v>Xã Vinh Quang</v>
          </cell>
          <cell r="I778" t="str">
            <v>10319</v>
          </cell>
        </row>
        <row r="779">
          <cell r="G779" t="str">
            <v>Thị trấn Vĩnh Bảo</v>
          </cell>
          <cell r="I779" t="str">
            <v>10321</v>
          </cell>
        </row>
        <row r="780">
          <cell r="G780" t="str">
            <v xml:space="preserve">Xã Tân Hưng </v>
          </cell>
          <cell r="I780" t="str">
            <v>10321</v>
          </cell>
        </row>
        <row r="781">
          <cell r="G781" t="str">
            <v xml:space="preserve">Xã Hòa Bình  </v>
          </cell>
          <cell r="I781" t="str">
            <v>10321</v>
          </cell>
        </row>
        <row r="782">
          <cell r="G782" t="str">
            <v>Xã Giang Biên</v>
          </cell>
          <cell r="I782" t="str">
            <v>10321</v>
          </cell>
        </row>
        <row r="783">
          <cell r="G783" t="str">
            <v>Xã Vĩnh An</v>
          </cell>
          <cell r="I783" t="str">
            <v>10321</v>
          </cell>
        </row>
        <row r="784">
          <cell r="G784" t="str">
            <v xml:space="preserve">Xã An Hòa </v>
          </cell>
          <cell r="I784" t="str">
            <v>10321</v>
          </cell>
        </row>
        <row r="785">
          <cell r="G785" t="str">
            <v>Xã Tam Đa</v>
          </cell>
          <cell r="I785" t="str">
            <v>10321</v>
          </cell>
        </row>
        <row r="786">
          <cell r="G786" t="str">
            <v>Xã Đồng Minh</v>
          </cell>
          <cell r="I786" t="str">
            <v>10321</v>
          </cell>
        </row>
        <row r="787">
          <cell r="G787" t="str">
            <v>Xã Tam Cường</v>
          </cell>
          <cell r="I787" t="str">
            <v>10321</v>
          </cell>
        </row>
        <row r="788">
          <cell r="G788" t="str">
            <v>Xã Cộng Hiền</v>
          </cell>
          <cell r="I788" t="str">
            <v>10321</v>
          </cell>
        </row>
        <row r="789">
          <cell r="G789" t="str">
            <v>Xã Trấn Dương</v>
          </cell>
          <cell r="I789" t="str">
            <v>10321</v>
          </cell>
        </row>
        <row r="790">
          <cell r="G790" t="str">
            <v xml:space="preserve">Xã Dũng Tiến </v>
          </cell>
          <cell r="I790" t="str">
            <v>10321</v>
          </cell>
        </row>
        <row r="791">
          <cell r="G791" t="str">
            <v>Xã Thắng Thuỷ</v>
          </cell>
          <cell r="I791" t="str">
            <v>10321</v>
          </cell>
        </row>
        <row r="792">
          <cell r="G792" t="str">
            <v>Xã Trung Lập</v>
          </cell>
          <cell r="I792" t="str">
            <v>10321</v>
          </cell>
        </row>
        <row r="793">
          <cell r="G793" t="str">
            <v>Xã Việt Tiến</v>
          </cell>
          <cell r="I793" t="str">
            <v>10321</v>
          </cell>
        </row>
        <row r="794">
          <cell r="G794" t="str">
            <v>Xã Vĩnh Long</v>
          </cell>
          <cell r="I794" t="str">
            <v>10321</v>
          </cell>
        </row>
        <row r="795">
          <cell r="G795" t="str">
            <v>Xã Hiệp Hòa</v>
          </cell>
          <cell r="I795" t="str">
            <v>10321</v>
          </cell>
        </row>
        <row r="796">
          <cell r="G796" t="str">
            <v xml:space="preserve">Xã Hùng Tiến </v>
          </cell>
          <cell r="I796" t="str">
            <v>10321</v>
          </cell>
        </row>
        <row r="797">
          <cell r="G797" t="str">
            <v>Xã Tân Liên</v>
          </cell>
          <cell r="I797" t="str">
            <v>10321</v>
          </cell>
        </row>
        <row r="798">
          <cell r="G798" t="str">
            <v>Xã Nhân Hòa</v>
          </cell>
          <cell r="I798" t="str">
            <v>10321</v>
          </cell>
        </row>
        <row r="799">
          <cell r="G799" t="str">
            <v>Xã Hưng Nhân</v>
          </cell>
          <cell r="I799" t="str">
            <v>10321</v>
          </cell>
        </row>
        <row r="800">
          <cell r="G800" t="str">
            <v xml:space="preserve">Xã Vinh Quang </v>
          </cell>
          <cell r="I800" t="str">
            <v>10321</v>
          </cell>
        </row>
        <row r="801">
          <cell r="G801" t="str">
            <v>Xã Thanh Lương</v>
          </cell>
          <cell r="I801" t="str">
            <v>10321</v>
          </cell>
        </row>
        <row r="802">
          <cell r="G802" t="str">
            <v>Xã Liên Am</v>
          </cell>
          <cell r="I802" t="str">
            <v>10321</v>
          </cell>
        </row>
        <row r="803">
          <cell r="G803" t="str">
            <v>Xã Lý Học</v>
          </cell>
          <cell r="I803" t="str">
            <v>10321</v>
          </cell>
        </row>
        <row r="804">
          <cell r="G804" t="str">
            <v xml:space="preserve">Xã Tiền Phong  </v>
          </cell>
          <cell r="I804" t="str">
            <v>10321</v>
          </cell>
        </row>
        <row r="805">
          <cell r="G805" t="str">
            <v>Xã Vĩnh Phong</v>
          </cell>
          <cell r="I805" t="str">
            <v>10321</v>
          </cell>
        </row>
        <row r="806">
          <cell r="G806" t="str">
            <v>Xã Cao Minh</v>
          </cell>
          <cell r="I806" t="str">
            <v>10321</v>
          </cell>
        </row>
        <row r="807">
          <cell r="G807" t="str">
            <v>Xã Cổ Am</v>
          </cell>
          <cell r="I807" t="str">
            <v>10321</v>
          </cell>
        </row>
        <row r="808">
          <cell r="G808" t="str">
            <v>Xã Vĩnh Tiến</v>
          </cell>
          <cell r="I808" t="str">
            <v>10321</v>
          </cell>
        </row>
        <row r="809">
          <cell r="G809" t="str">
            <v>Thị trấn Cát Hải</v>
          </cell>
          <cell r="I809" t="str">
            <v>10323</v>
          </cell>
        </row>
        <row r="810">
          <cell r="G810" t="str">
            <v>Xã Đồng Bài</v>
          </cell>
          <cell r="I810" t="str">
            <v>10323</v>
          </cell>
        </row>
        <row r="811">
          <cell r="G811" t="str">
            <v>Xã Gia Luận</v>
          </cell>
          <cell r="I811" t="str">
            <v>10323</v>
          </cell>
        </row>
        <row r="812">
          <cell r="G812" t="str">
            <v>Xã Xuân Đám</v>
          </cell>
          <cell r="I812" t="str">
            <v>10323</v>
          </cell>
        </row>
        <row r="813">
          <cell r="G813" t="str">
            <v>Thị trấn Cát Bà</v>
          </cell>
          <cell r="I813" t="str">
            <v>10323</v>
          </cell>
        </row>
        <row r="814">
          <cell r="G814" t="str">
            <v>Xã Nghĩa Lộ</v>
          </cell>
          <cell r="I814" t="str">
            <v>10323</v>
          </cell>
        </row>
        <row r="815">
          <cell r="G815" t="str">
            <v>Xã Hoàng Châu</v>
          </cell>
          <cell r="I815" t="str">
            <v>10323</v>
          </cell>
        </row>
        <row r="816">
          <cell r="G816" t="str">
            <v>Xã Văn Phong</v>
          </cell>
          <cell r="I816" t="str">
            <v>10323</v>
          </cell>
        </row>
        <row r="817">
          <cell r="G817" t="str">
            <v>Xã Phù Long</v>
          </cell>
          <cell r="I817" t="str">
            <v>10323</v>
          </cell>
        </row>
        <row r="818">
          <cell r="G818" t="str">
            <v>Xã Hiền Hào</v>
          </cell>
          <cell r="I818" t="str">
            <v>10323</v>
          </cell>
        </row>
        <row r="819">
          <cell r="G819" t="str">
            <v>Xã Trân Châu</v>
          </cell>
          <cell r="I819" t="str">
            <v>10323</v>
          </cell>
        </row>
        <row r="820">
          <cell r="G820" t="str">
            <v>Xã Việt Hải</v>
          </cell>
          <cell r="I820" t="str">
            <v>10323</v>
          </cell>
        </row>
        <row r="821">
          <cell r="G821" t="str">
            <v>Bạch Long Vĩ</v>
          </cell>
          <cell r="I821" t="str">
            <v>10325</v>
          </cell>
        </row>
        <row r="822">
          <cell r="G822" t="str">
            <v>Phường Anh Dũng</v>
          </cell>
          <cell r="I822" t="str">
            <v>10327</v>
          </cell>
        </row>
        <row r="823">
          <cell r="G823" t="str">
            <v>Phường Đa Phúc</v>
          </cell>
          <cell r="I823" t="str">
            <v>10327</v>
          </cell>
        </row>
        <row r="824">
          <cell r="G824" t="str">
            <v>Phường Hưng Đạo</v>
          </cell>
          <cell r="I824" t="str">
            <v>10327</v>
          </cell>
        </row>
        <row r="825">
          <cell r="G825" t="str">
            <v>Phường Hải Thành</v>
          </cell>
          <cell r="I825" t="str">
            <v>10327</v>
          </cell>
        </row>
        <row r="826">
          <cell r="G826" t="str">
            <v>Phường Tân Thành</v>
          </cell>
          <cell r="I826" t="str">
            <v>10327</v>
          </cell>
        </row>
        <row r="827">
          <cell r="G827" t="str">
            <v>Phường Hòa Nghĩa</v>
          </cell>
          <cell r="I827" t="str">
            <v>10327</v>
          </cell>
        </row>
        <row r="828">
          <cell r="G828" t="str">
            <v xml:space="preserve">Phường Nguyễn Trãi </v>
          </cell>
          <cell r="I828" t="str">
            <v>10701</v>
          </cell>
        </row>
        <row r="829">
          <cell r="G829" t="str">
            <v xml:space="preserve">Phường Quang Trung    </v>
          </cell>
          <cell r="I829" t="str">
            <v>10701</v>
          </cell>
        </row>
        <row r="830">
          <cell r="G830" t="str">
            <v>Phường Thanh Bình</v>
          </cell>
          <cell r="I830" t="str">
            <v>10701</v>
          </cell>
        </row>
        <row r="831">
          <cell r="G831" t="str">
            <v>Phường Cẩm Thượng</v>
          </cell>
          <cell r="I831" t="str">
            <v>10701</v>
          </cell>
        </row>
        <row r="832">
          <cell r="G832" t="str">
            <v>Phường Bình Hàn</v>
          </cell>
          <cell r="I832" t="str">
            <v>10701</v>
          </cell>
        </row>
        <row r="833">
          <cell r="G833" t="str">
            <v>Phường Ngọc Châu</v>
          </cell>
          <cell r="I833" t="str">
            <v>10701</v>
          </cell>
        </row>
        <row r="834">
          <cell r="G834" t="str">
            <v>Phường Phạm Ngũ Lão</v>
          </cell>
          <cell r="I834" t="str">
            <v>10701</v>
          </cell>
        </row>
        <row r="835">
          <cell r="G835" t="str">
            <v xml:space="preserve">Phường Trần Hưng Đạo </v>
          </cell>
          <cell r="I835" t="str">
            <v>10701</v>
          </cell>
        </row>
        <row r="836">
          <cell r="G836" t="str">
            <v xml:space="preserve">Phường Trần Phú </v>
          </cell>
          <cell r="I836" t="str">
            <v>10701</v>
          </cell>
        </row>
        <row r="837">
          <cell r="G837" t="str">
            <v>Phường Lê Thanh Nghị</v>
          </cell>
          <cell r="I837" t="str">
            <v>10701</v>
          </cell>
        </row>
        <row r="838">
          <cell r="G838" t="str">
            <v>Phường Hải Tân</v>
          </cell>
          <cell r="I838" t="str">
            <v>10701</v>
          </cell>
        </row>
        <row r="839">
          <cell r="G839" t="str">
            <v>Phường Tứ Minh</v>
          </cell>
          <cell r="I839" t="str">
            <v>10701</v>
          </cell>
        </row>
        <row r="840">
          <cell r="G840" t="str">
            <v>Phường Việt Hòa</v>
          </cell>
          <cell r="I840" t="str">
            <v>10701</v>
          </cell>
        </row>
        <row r="841">
          <cell r="G841" t="str">
            <v>Phường Thạch Khôi</v>
          </cell>
          <cell r="I841" t="str">
            <v>10701</v>
          </cell>
        </row>
        <row r="842">
          <cell r="G842" t="str">
            <v xml:space="preserve">Xã Tân Hưng  </v>
          </cell>
          <cell r="I842" t="str">
            <v>10701</v>
          </cell>
        </row>
        <row r="843">
          <cell r="G843" t="str">
            <v>Xã Nam Đồng</v>
          </cell>
          <cell r="I843" t="str">
            <v>10701</v>
          </cell>
        </row>
        <row r="844">
          <cell r="G844" t="str">
            <v>Phường ái Quốc</v>
          </cell>
          <cell r="I844" t="str">
            <v>10701</v>
          </cell>
        </row>
        <row r="845">
          <cell r="G845" t="str">
            <v>Xã An Châu</v>
          </cell>
          <cell r="I845" t="str">
            <v>10701</v>
          </cell>
        </row>
        <row r="846">
          <cell r="G846" t="str">
            <v>Xã Thượng Đạt</v>
          </cell>
          <cell r="I846" t="str">
            <v>10701</v>
          </cell>
        </row>
        <row r="847">
          <cell r="G847" t="str">
            <v>Phường Tân Bình</v>
          </cell>
          <cell r="I847" t="str">
            <v>10701</v>
          </cell>
        </row>
        <row r="848">
          <cell r="G848" t="str">
            <v>PHường Nhị Châu</v>
          </cell>
          <cell r="I848" t="str">
            <v>10701</v>
          </cell>
        </row>
        <row r="849">
          <cell r="G849" t="str">
            <v>Phường Sao Đỏ</v>
          </cell>
          <cell r="I849" t="str">
            <v>10703</v>
          </cell>
        </row>
        <row r="850">
          <cell r="G850" t="str">
            <v>Phường Văn An</v>
          </cell>
          <cell r="I850" t="str">
            <v>10703</v>
          </cell>
        </row>
        <row r="851">
          <cell r="G851" t="str">
            <v>Phường Phả Lại</v>
          </cell>
          <cell r="I851" t="str">
            <v>10703</v>
          </cell>
        </row>
        <row r="852">
          <cell r="G852" t="str">
            <v>Xã Bắc An</v>
          </cell>
          <cell r="I852" t="str">
            <v>10703</v>
          </cell>
        </row>
        <row r="853">
          <cell r="G853" t="str">
            <v>Phường Cộng Hòa</v>
          </cell>
          <cell r="I853" t="str">
            <v>10703</v>
          </cell>
        </row>
        <row r="854">
          <cell r="G854" t="str">
            <v>Phường Chí Minh</v>
          </cell>
          <cell r="I854" t="str">
            <v>10703</v>
          </cell>
        </row>
        <row r="855">
          <cell r="G855" t="str">
            <v>Xã An Lạc</v>
          </cell>
          <cell r="I855" t="str">
            <v>10703</v>
          </cell>
        </row>
        <row r="856">
          <cell r="G856" t="str">
            <v xml:space="preserve">Xã Tân Dân   </v>
          </cell>
          <cell r="I856" t="str">
            <v>10703</v>
          </cell>
        </row>
        <row r="857">
          <cell r="G857" t="str">
            <v>Phường Bến Tắm</v>
          </cell>
          <cell r="I857" t="str">
            <v>10703</v>
          </cell>
        </row>
        <row r="858">
          <cell r="G858" t="str">
            <v>Xã Hoàng Hoa Thám</v>
          </cell>
          <cell r="I858" t="str">
            <v>10703</v>
          </cell>
        </row>
        <row r="859">
          <cell r="G859" t="str">
            <v>Xã Hưng Đạo</v>
          </cell>
          <cell r="I859" t="str">
            <v>10703</v>
          </cell>
        </row>
        <row r="860">
          <cell r="G860" t="str">
            <v xml:space="preserve">Xã Lê Lợi  </v>
          </cell>
          <cell r="I860" t="str">
            <v>10703</v>
          </cell>
        </row>
        <row r="861">
          <cell r="G861" t="str">
            <v>Xã Hoàng Tiến</v>
          </cell>
          <cell r="I861" t="str">
            <v>10703</v>
          </cell>
        </row>
        <row r="862">
          <cell r="G862" t="str">
            <v>Phường Hoàng Tân</v>
          </cell>
          <cell r="I862" t="str">
            <v>10703</v>
          </cell>
        </row>
        <row r="863">
          <cell r="G863" t="str">
            <v>Xã Cổ Thành</v>
          </cell>
          <cell r="I863" t="str">
            <v>10703</v>
          </cell>
        </row>
        <row r="864">
          <cell r="G864" t="str">
            <v xml:space="preserve">Xã Văn Đức </v>
          </cell>
          <cell r="I864" t="str">
            <v>10703</v>
          </cell>
        </row>
        <row r="865">
          <cell r="G865" t="str">
            <v>Phường Thái Học</v>
          </cell>
          <cell r="I865" t="str">
            <v>10703</v>
          </cell>
        </row>
        <row r="866">
          <cell r="G866" t="str">
            <v>Xã Nhân Huệ</v>
          </cell>
          <cell r="I866" t="str">
            <v>10703</v>
          </cell>
        </row>
        <row r="867">
          <cell r="G867" t="str">
            <v xml:space="preserve">Xã Kênh Giang </v>
          </cell>
          <cell r="I867" t="str">
            <v>10703</v>
          </cell>
        </row>
        <row r="868">
          <cell r="G868" t="str">
            <v xml:space="preserve">Xã Đồng Lạc </v>
          </cell>
          <cell r="I868" t="str">
            <v>10703</v>
          </cell>
        </row>
        <row r="869">
          <cell r="G869" t="str">
            <v xml:space="preserve">Xã Nam Hưng </v>
          </cell>
          <cell r="I869" t="str">
            <v>10705</v>
          </cell>
        </row>
        <row r="870">
          <cell r="G870" t="str">
            <v xml:space="preserve">Xã An Sơn </v>
          </cell>
          <cell r="I870" t="str">
            <v>10705</v>
          </cell>
        </row>
        <row r="871">
          <cell r="G871" t="str">
            <v xml:space="preserve">Xã Minh Tân   </v>
          </cell>
          <cell r="I871" t="str">
            <v>10705</v>
          </cell>
        </row>
        <row r="872">
          <cell r="G872" t="str">
            <v xml:space="preserve">Xã Hợp Tiến </v>
          </cell>
          <cell r="I872" t="str">
            <v>10705</v>
          </cell>
        </row>
        <row r="873">
          <cell r="G873" t="str">
            <v>Xã Nam Chính</v>
          </cell>
          <cell r="I873" t="str">
            <v>10705</v>
          </cell>
        </row>
        <row r="874">
          <cell r="G874" t="str">
            <v xml:space="preserve">Xã Cộng Hòa </v>
          </cell>
          <cell r="I874" t="str">
            <v>10705</v>
          </cell>
        </row>
        <row r="875">
          <cell r="G875" t="str">
            <v xml:space="preserve">Xã Nam Hồng </v>
          </cell>
          <cell r="I875" t="str">
            <v>10705</v>
          </cell>
        </row>
        <row r="876">
          <cell r="G876" t="str">
            <v>Thị trấn Nam Sách</v>
          </cell>
          <cell r="I876" t="str">
            <v>10705</v>
          </cell>
        </row>
        <row r="877">
          <cell r="G877" t="str">
            <v>Xã Nam Tân</v>
          </cell>
          <cell r="I877" t="str">
            <v>10705</v>
          </cell>
        </row>
        <row r="878">
          <cell r="G878" t="str">
            <v>Xã Hiệp Cát</v>
          </cell>
          <cell r="I878" t="str">
            <v>10705</v>
          </cell>
        </row>
        <row r="879">
          <cell r="G879" t="str">
            <v>Xã Thanh Quang</v>
          </cell>
          <cell r="I879" t="str">
            <v>10705</v>
          </cell>
        </row>
        <row r="880">
          <cell r="G880" t="str">
            <v xml:space="preserve">Xã Quốc Tuấn  </v>
          </cell>
          <cell r="I880" t="str">
            <v>10705</v>
          </cell>
        </row>
        <row r="881">
          <cell r="G881" t="str">
            <v>Xã An Bình</v>
          </cell>
          <cell r="I881" t="str">
            <v>10705</v>
          </cell>
        </row>
        <row r="882">
          <cell r="G882" t="str">
            <v>Xã Nam Trung</v>
          </cell>
          <cell r="I882" t="str">
            <v>10705</v>
          </cell>
        </row>
        <row r="883">
          <cell r="G883" t="str">
            <v>Xã Thái Tân</v>
          </cell>
          <cell r="I883" t="str">
            <v>10705</v>
          </cell>
        </row>
        <row r="884">
          <cell r="G884" t="str">
            <v>Xã An Lâm</v>
          </cell>
          <cell r="I884" t="str">
            <v>10705</v>
          </cell>
        </row>
        <row r="885">
          <cell r="G885" t="str">
            <v>Xã Phú Điền</v>
          </cell>
          <cell r="I885" t="str">
            <v>10705</v>
          </cell>
        </row>
        <row r="886">
          <cell r="G886" t="str">
            <v xml:space="preserve">Xã Hồng Phong  </v>
          </cell>
          <cell r="I886" t="str">
            <v>10705</v>
          </cell>
        </row>
        <row r="887">
          <cell r="G887" t="str">
            <v xml:space="preserve">Xã Đồng Lạc  </v>
          </cell>
          <cell r="I887" t="str">
            <v>10705</v>
          </cell>
        </row>
        <row r="888">
          <cell r="G888" t="str">
            <v>Xã Tân An</v>
          </cell>
          <cell r="I888" t="str">
            <v>10707</v>
          </cell>
        </row>
        <row r="889">
          <cell r="G889" t="str">
            <v xml:space="preserve">Xã Thanh Sơn </v>
          </cell>
          <cell r="I889" t="str">
            <v>10707</v>
          </cell>
        </row>
        <row r="890">
          <cell r="G890" t="str">
            <v>Xã Hồng Lạc</v>
          </cell>
          <cell r="I890" t="str">
            <v>10707</v>
          </cell>
        </row>
        <row r="891">
          <cell r="G891" t="str">
            <v>Xã Cẩm Chế</v>
          </cell>
          <cell r="I891" t="str">
            <v>10707</v>
          </cell>
        </row>
        <row r="892">
          <cell r="G892" t="str">
            <v>Xã Tiền Tiến</v>
          </cell>
          <cell r="I892" t="str">
            <v>10707</v>
          </cell>
        </row>
        <row r="893">
          <cell r="G893" t="str">
            <v>Xã Thanh Khê</v>
          </cell>
          <cell r="I893" t="str">
            <v>10707</v>
          </cell>
        </row>
        <row r="894">
          <cell r="G894" t="str">
            <v>Xã Thanh Thủy</v>
          </cell>
          <cell r="I894" t="str">
            <v>10707</v>
          </cell>
        </row>
        <row r="895">
          <cell r="G895" t="str">
            <v>Xã Thanh Bính</v>
          </cell>
          <cell r="I895" t="str">
            <v>10707</v>
          </cell>
        </row>
        <row r="896">
          <cell r="G896" t="str">
            <v>Thị trấn Thanh Hà</v>
          </cell>
          <cell r="I896" t="str">
            <v>10707</v>
          </cell>
        </row>
        <row r="897">
          <cell r="G897" t="str">
            <v>Xã Việt Hồng</v>
          </cell>
          <cell r="I897" t="str">
            <v>10707</v>
          </cell>
        </row>
        <row r="898">
          <cell r="G898" t="str">
            <v>Xã Quyết Thắng</v>
          </cell>
          <cell r="I898" t="str">
            <v>10707</v>
          </cell>
        </row>
        <row r="899">
          <cell r="G899" t="str">
            <v>Xã Tân Việt</v>
          </cell>
          <cell r="I899" t="str">
            <v>10707</v>
          </cell>
        </row>
        <row r="900">
          <cell r="G900" t="str">
            <v>Xã Thanh An</v>
          </cell>
          <cell r="I900" t="str">
            <v>10707</v>
          </cell>
        </row>
        <row r="901">
          <cell r="G901" t="str">
            <v>Xã Thanh Lang</v>
          </cell>
          <cell r="I901" t="str">
            <v>10707</v>
          </cell>
        </row>
        <row r="902">
          <cell r="G902" t="str">
            <v xml:space="preserve">Xã Liên Mạc  </v>
          </cell>
          <cell r="I902" t="str">
            <v>10707</v>
          </cell>
        </row>
        <row r="903">
          <cell r="G903" t="str">
            <v>Xã Thanh Hải</v>
          </cell>
          <cell r="I903" t="str">
            <v>10707</v>
          </cell>
        </row>
        <row r="904">
          <cell r="G904" t="str">
            <v>Xã Thanh Xá</v>
          </cell>
          <cell r="I904" t="str">
            <v>10707</v>
          </cell>
        </row>
        <row r="905">
          <cell r="G905" t="str">
            <v xml:space="preserve">Xã Thanh Xuân </v>
          </cell>
          <cell r="I905" t="str">
            <v>10707</v>
          </cell>
        </row>
        <row r="906">
          <cell r="G906" t="str">
            <v>Xã An Lương</v>
          </cell>
          <cell r="I906" t="str">
            <v>10707</v>
          </cell>
        </row>
        <row r="907">
          <cell r="G907" t="str">
            <v>Xã Phượng Hoàng</v>
          </cell>
          <cell r="I907" t="str">
            <v>10707</v>
          </cell>
        </row>
        <row r="908">
          <cell r="G908" t="str">
            <v>Xã Hợp Đức</v>
          </cell>
          <cell r="I908" t="str">
            <v>10707</v>
          </cell>
        </row>
        <row r="909">
          <cell r="G909" t="str">
            <v xml:space="preserve">Xã Trường Thành </v>
          </cell>
          <cell r="I909" t="str">
            <v>10707</v>
          </cell>
        </row>
        <row r="910">
          <cell r="G910" t="str">
            <v>Xã Thanh Hồng</v>
          </cell>
          <cell r="I910" t="str">
            <v>10707</v>
          </cell>
        </row>
        <row r="911">
          <cell r="G911" t="str">
            <v>Xã Thanh Cường</v>
          </cell>
          <cell r="I911" t="str">
            <v>10707</v>
          </cell>
        </row>
        <row r="912">
          <cell r="G912" t="str">
            <v>Xã Vĩnh Lập</v>
          </cell>
          <cell r="I912" t="str">
            <v>10707</v>
          </cell>
        </row>
        <row r="913">
          <cell r="G913" t="str">
            <v xml:space="preserve">Xã Thái Sơn </v>
          </cell>
          <cell r="I913" t="str">
            <v>10709</v>
          </cell>
        </row>
        <row r="914">
          <cell r="G914" t="str">
            <v>Xã Lạc Long</v>
          </cell>
          <cell r="I914" t="str">
            <v>10709</v>
          </cell>
        </row>
        <row r="915">
          <cell r="G915" t="str">
            <v>Xã Minh Hòa</v>
          </cell>
          <cell r="I915" t="str">
            <v>10709</v>
          </cell>
        </row>
        <row r="916">
          <cell r="G916" t="str">
            <v>Xã Lê Ninh</v>
          </cell>
          <cell r="I916" t="str">
            <v>10709</v>
          </cell>
        </row>
        <row r="917">
          <cell r="G917" t="str">
            <v>Xã Duy Tân</v>
          </cell>
          <cell r="I917" t="str">
            <v>10709</v>
          </cell>
        </row>
        <row r="918">
          <cell r="G918" t="str">
            <v>Xã Phạm Mệnh</v>
          </cell>
          <cell r="I918" t="str">
            <v>10709</v>
          </cell>
        </row>
        <row r="919">
          <cell r="G919" t="str">
            <v>Xã Hiệp Sơn</v>
          </cell>
          <cell r="I919" t="str">
            <v>10709</v>
          </cell>
        </row>
        <row r="920">
          <cell r="G920" t="str">
            <v xml:space="preserve">Xã Long Xuyên </v>
          </cell>
          <cell r="I920" t="str">
            <v>10709</v>
          </cell>
        </row>
        <row r="921">
          <cell r="G921" t="str">
            <v>Thị trấn Kinh Môn</v>
          </cell>
          <cell r="I921" t="str">
            <v>10709</v>
          </cell>
        </row>
        <row r="922">
          <cell r="G922" t="str">
            <v xml:space="preserve">Xã Bạch Đằng </v>
          </cell>
          <cell r="I922" t="str">
            <v>10709</v>
          </cell>
        </row>
        <row r="923">
          <cell r="G923" t="str">
            <v>Xã Thất Hùng</v>
          </cell>
          <cell r="I923" t="str">
            <v>10709</v>
          </cell>
        </row>
        <row r="924">
          <cell r="G924" t="str">
            <v>Xã Hoành Sơn</v>
          </cell>
          <cell r="I924" t="str">
            <v>10709</v>
          </cell>
        </row>
        <row r="925">
          <cell r="G925" t="str">
            <v>Xã Phúc Thành B</v>
          </cell>
          <cell r="I925" t="str">
            <v>10709</v>
          </cell>
        </row>
        <row r="926">
          <cell r="G926" t="str">
            <v xml:space="preserve">Xã Tân Dân    </v>
          </cell>
          <cell r="I926" t="str">
            <v>10709</v>
          </cell>
        </row>
        <row r="927">
          <cell r="G927" t="str">
            <v>Thị trấn Minh Tân</v>
          </cell>
          <cell r="I927" t="str">
            <v>10709</v>
          </cell>
        </row>
        <row r="928">
          <cell r="G928" t="str">
            <v xml:space="preserve">Xã Quang Trung  </v>
          </cell>
          <cell r="I928" t="str">
            <v>10709</v>
          </cell>
        </row>
        <row r="929">
          <cell r="G929" t="str">
            <v xml:space="preserve">Xã Hiệp Hòa </v>
          </cell>
          <cell r="I929" t="str">
            <v>10709</v>
          </cell>
        </row>
        <row r="930">
          <cell r="G930" t="str">
            <v>Thị trấn Phú Thứ</v>
          </cell>
          <cell r="I930" t="str">
            <v>10709</v>
          </cell>
        </row>
        <row r="931">
          <cell r="G931" t="str">
            <v>Xã Thăng Long</v>
          </cell>
          <cell r="I931" t="str">
            <v>10709</v>
          </cell>
        </row>
        <row r="932">
          <cell r="G932" t="str">
            <v>Xã An Sinh</v>
          </cell>
          <cell r="I932" t="str">
            <v>10709</v>
          </cell>
        </row>
        <row r="933">
          <cell r="G933" t="str">
            <v>Xã Thượng Quận</v>
          </cell>
          <cell r="I933" t="str">
            <v>10709</v>
          </cell>
        </row>
        <row r="934">
          <cell r="G934" t="str">
            <v>Xã An Phụ</v>
          </cell>
          <cell r="I934" t="str">
            <v>10709</v>
          </cell>
        </row>
        <row r="935">
          <cell r="G935" t="str">
            <v>Xã Hiệp An</v>
          </cell>
          <cell r="I935" t="str">
            <v>10709</v>
          </cell>
        </row>
        <row r="936">
          <cell r="G936" t="str">
            <v>Xã Thái Thịnh</v>
          </cell>
          <cell r="I936" t="str">
            <v>10709</v>
          </cell>
        </row>
        <row r="937">
          <cell r="G937" t="str">
            <v>Xã Hiến Thành</v>
          </cell>
          <cell r="I937" t="str">
            <v>10709</v>
          </cell>
        </row>
        <row r="938">
          <cell r="G938" t="str">
            <v>Xã Kim Lương</v>
          </cell>
          <cell r="I938" t="str">
            <v>10711</v>
          </cell>
        </row>
        <row r="939">
          <cell r="G939" t="str">
            <v>Xã Đại Đức</v>
          </cell>
          <cell r="I939" t="str">
            <v>10711</v>
          </cell>
        </row>
        <row r="940">
          <cell r="G940" t="str">
            <v>Xã Kim Đính</v>
          </cell>
          <cell r="I940" t="str">
            <v>10711</v>
          </cell>
        </row>
        <row r="941">
          <cell r="G941" t="str">
            <v>Xã Đồng Gia</v>
          </cell>
          <cell r="I941" t="str">
            <v>10711</v>
          </cell>
        </row>
        <row r="942">
          <cell r="G942" t="str">
            <v>Thị trấn Phú Thái</v>
          </cell>
          <cell r="I942" t="str">
            <v>10711</v>
          </cell>
        </row>
        <row r="943">
          <cell r="G943" t="str">
            <v>Xã Cổ Dũng</v>
          </cell>
          <cell r="I943" t="str">
            <v>10711</v>
          </cell>
        </row>
        <row r="944">
          <cell r="G944" t="str">
            <v>Xã Phúc Thành A</v>
          </cell>
          <cell r="I944" t="str">
            <v>10711</v>
          </cell>
        </row>
        <row r="945">
          <cell r="G945" t="str">
            <v xml:space="preserve">Xã Ngũ Phúc </v>
          </cell>
          <cell r="I945" t="str">
            <v>10711</v>
          </cell>
        </row>
        <row r="946">
          <cell r="G946" t="str">
            <v>Xã Kim Anh</v>
          </cell>
          <cell r="I946" t="str">
            <v>10711</v>
          </cell>
        </row>
        <row r="947">
          <cell r="G947" t="str">
            <v>Xã Kim Tân</v>
          </cell>
          <cell r="I947" t="str">
            <v>10711</v>
          </cell>
        </row>
        <row r="948">
          <cell r="G948" t="str">
            <v>Xã Kim Khê</v>
          </cell>
          <cell r="I948" t="str">
            <v>10711</v>
          </cell>
        </row>
        <row r="949">
          <cell r="G949" t="str">
            <v>Xã Cẩm La</v>
          </cell>
          <cell r="I949" t="str">
            <v>10711</v>
          </cell>
        </row>
        <row r="950">
          <cell r="G950" t="str">
            <v>Xã Bình Dân</v>
          </cell>
          <cell r="I950" t="str">
            <v>10711</v>
          </cell>
        </row>
        <row r="951">
          <cell r="G951" t="str">
            <v>Xã Tam Kỳ</v>
          </cell>
          <cell r="I951" t="str">
            <v>10711</v>
          </cell>
        </row>
        <row r="952">
          <cell r="G952" t="str">
            <v>Xã Liên Hòa</v>
          </cell>
          <cell r="I952" t="str">
            <v>10711</v>
          </cell>
        </row>
        <row r="953">
          <cell r="G953" t="str">
            <v>Xã Kim Xuyên</v>
          </cell>
          <cell r="I953" t="str">
            <v>10711</v>
          </cell>
        </row>
        <row r="954">
          <cell r="G954" t="str">
            <v>Xã Lai Vu</v>
          </cell>
          <cell r="I954" t="str">
            <v>10711</v>
          </cell>
        </row>
        <row r="955">
          <cell r="G955" t="str">
            <v xml:space="preserve">Xã Cộng Hòa  </v>
          </cell>
          <cell r="I955" t="str">
            <v>10711</v>
          </cell>
        </row>
        <row r="956">
          <cell r="G956" t="str">
            <v>Xã Thượng Vũ</v>
          </cell>
          <cell r="I956" t="str">
            <v>10711</v>
          </cell>
        </row>
        <row r="957">
          <cell r="G957" t="str">
            <v>Xã Việt Hưng</v>
          </cell>
          <cell r="I957" t="str">
            <v>10711</v>
          </cell>
        </row>
        <row r="958">
          <cell r="G958" t="str">
            <v>Xã Tuấn Hưng</v>
          </cell>
          <cell r="I958" t="str">
            <v>10711</v>
          </cell>
        </row>
        <row r="959">
          <cell r="G959" t="str">
            <v>Thị trấn Gia Lộc</v>
          </cell>
          <cell r="I959" t="str">
            <v>10713</v>
          </cell>
        </row>
        <row r="960">
          <cell r="G960" t="str">
            <v xml:space="preserve">Xã Tân Tiến  </v>
          </cell>
          <cell r="I960" t="str">
            <v>10713</v>
          </cell>
        </row>
        <row r="961">
          <cell r="G961" t="str">
            <v>Xã Thống Kênh</v>
          </cell>
          <cell r="I961" t="str">
            <v>10713</v>
          </cell>
        </row>
        <row r="962">
          <cell r="G962" t="str">
            <v>Xã Thạch Khôi</v>
          </cell>
          <cell r="I962" t="str">
            <v>10713</v>
          </cell>
        </row>
        <row r="963">
          <cell r="G963" t="str">
            <v>Xã Trùng Khánh</v>
          </cell>
          <cell r="I963" t="str">
            <v>10713</v>
          </cell>
        </row>
        <row r="964">
          <cell r="G964" t="str">
            <v>Xã Gia Tân</v>
          </cell>
          <cell r="I964" t="str">
            <v>10713</v>
          </cell>
        </row>
        <row r="965">
          <cell r="G965" t="str">
            <v>Xã Gia Lương</v>
          </cell>
          <cell r="I965" t="str">
            <v>10713</v>
          </cell>
        </row>
        <row r="966">
          <cell r="G966" t="str">
            <v>Xã Hồng Hưng</v>
          </cell>
          <cell r="I966" t="str">
            <v>10713</v>
          </cell>
        </row>
        <row r="967">
          <cell r="G967" t="str">
            <v>Xã Quang Minh</v>
          </cell>
          <cell r="I967" t="str">
            <v>10713</v>
          </cell>
        </row>
        <row r="968">
          <cell r="G968" t="str">
            <v xml:space="preserve">Xã Liên Hồng </v>
          </cell>
          <cell r="I968" t="str">
            <v>10713</v>
          </cell>
        </row>
        <row r="969">
          <cell r="G969" t="str">
            <v xml:space="preserve">Xã Thống Nhất </v>
          </cell>
          <cell r="I969" t="str">
            <v>10713</v>
          </cell>
        </row>
        <row r="970">
          <cell r="G970" t="str">
            <v xml:space="preserve">Xã Tân Hưng   </v>
          </cell>
          <cell r="I970" t="str">
            <v>10713</v>
          </cell>
        </row>
        <row r="971">
          <cell r="G971" t="str">
            <v>Xã Gia Xuyên</v>
          </cell>
          <cell r="I971" t="str">
            <v>10713</v>
          </cell>
        </row>
        <row r="972">
          <cell r="G972" t="str">
            <v>Xã Yết Kiêu</v>
          </cell>
          <cell r="I972" t="str">
            <v>10713</v>
          </cell>
        </row>
        <row r="973">
          <cell r="G973" t="str">
            <v>Xã Gia Hòa</v>
          </cell>
          <cell r="I973" t="str">
            <v>10713</v>
          </cell>
        </row>
        <row r="974">
          <cell r="G974" t="str">
            <v>Xã Phương Hưng</v>
          </cell>
          <cell r="I974" t="str">
            <v>10713</v>
          </cell>
        </row>
        <row r="975">
          <cell r="G975" t="str">
            <v>Xã Gia Khánh</v>
          </cell>
          <cell r="I975" t="str">
            <v>10713</v>
          </cell>
        </row>
        <row r="976">
          <cell r="G976" t="str">
            <v xml:space="preserve">Xã Lê Lợi   </v>
          </cell>
          <cell r="I976" t="str">
            <v>10713</v>
          </cell>
        </row>
        <row r="977">
          <cell r="G977" t="str">
            <v xml:space="preserve">Xã Toàn Thắng </v>
          </cell>
          <cell r="I977" t="str">
            <v>10713</v>
          </cell>
        </row>
        <row r="978">
          <cell r="G978" t="str">
            <v xml:space="preserve">Xã Hoàng Diệu </v>
          </cell>
          <cell r="I978" t="str">
            <v>10713</v>
          </cell>
        </row>
        <row r="979">
          <cell r="G979" t="str">
            <v>Xã Phạm Trấn</v>
          </cell>
          <cell r="I979" t="str">
            <v>10713</v>
          </cell>
        </row>
        <row r="980">
          <cell r="G980" t="str">
            <v>Xã Đoàn Thượng</v>
          </cell>
          <cell r="I980" t="str">
            <v>10713</v>
          </cell>
        </row>
        <row r="981">
          <cell r="G981" t="str">
            <v xml:space="preserve">Xã Đồng Quang </v>
          </cell>
          <cell r="I981" t="str">
            <v>10713</v>
          </cell>
        </row>
        <row r="982">
          <cell r="G982" t="str">
            <v>Xã Nhật Tân</v>
          </cell>
          <cell r="I982" t="str">
            <v>10713</v>
          </cell>
        </row>
        <row r="983">
          <cell r="G983" t="str">
            <v>Xã Đức Xương</v>
          </cell>
          <cell r="I983" t="str">
            <v>10713</v>
          </cell>
        </row>
        <row r="984">
          <cell r="G984" t="str">
            <v>Xã Cộng Lạc</v>
          </cell>
          <cell r="I984" t="str">
            <v>10715</v>
          </cell>
        </row>
        <row r="985">
          <cell r="G985" t="str">
            <v>Xã Bình Lãng</v>
          </cell>
          <cell r="I985" t="str">
            <v>10715</v>
          </cell>
        </row>
        <row r="986">
          <cell r="G986" t="str">
            <v>Xã Quảng Nghiệp</v>
          </cell>
          <cell r="I986" t="str">
            <v>10715</v>
          </cell>
        </row>
        <row r="987">
          <cell r="G987" t="str">
            <v>Thị trấn Tứ Kỳ</v>
          </cell>
          <cell r="I987" t="str">
            <v>10715</v>
          </cell>
        </row>
        <row r="988">
          <cell r="G988" t="str">
            <v>Xã Ngọc Kỳ</v>
          </cell>
          <cell r="I988" t="str">
            <v>10715</v>
          </cell>
        </row>
        <row r="989">
          <cell r="G989" t="str">
            <v>Xã Tái Sơn</v>
          </cell>
          <cell r="I989" t="str">
            <v>10715</v>
          </cell>
        </row>
        <row r="990">
          <cell r="G990" t="str">
            <v>Xã Dân Chủ</v>
          </cell>
          <cell r="I990" t="str">
            <v>10715</v>
          </cell>
        </row>
        <row r="991">
          <cell r="G991" t="str">
            <v xml:space="preserve">Xã Đại Hợp </v>
          </cell>
          <cell r="I991" t="str">
            <v>10715</v>
          </cell>
        </row>
        <row r="992">
          <cell r="G992" t="str">
            <v xml:space="preserve">Xã Minh Đức </v>
          </cell>
          <cell r="I992" t="str">
            <v>10715</v>
          </cell>
        </row>
        <row r="993">
          <cell r="G993" t="str">
            <v>Xã Văn Tố</v>
          </cell>
          <cell r="I993" t="str">
            <v>10715</v>
          </cell>
        </row>
        <row r="994">
          <cell r="G994" t="str">
            <v xml:space="preserve">Xã Quang Trung   </v>
          </cell>
          <cell r="I994" t="str">
            <v>10715</v>
          </cell>
        </row>
        <row r="995">
          <cell r="G995" t="str">
            <v>Xã Phượng Kỳ</v>
          </cell>
          <cell r="I995" t="str">
            <v>10715</v>
          </cell>
        </row>
        <row r="996">
          <cell r="G996" t="str">
            <v>Xã Tiên Động</v>
          </cell>
          <cell r="I996" t="str">
            <v>10715</v>
          </cell>
        </row>
        <row r="997">
          <cell r="G997" t="str">
            <v>Xã Nguyên Giáp</v>
          </cell>
          <cell r="I997" t="str">
            <v>10715</v>
          </cell>
        </row>
        <row r="998">
          <cell r="G998" t="str">
            <v>Xã Hà Kỳ</v>
          </cell>
          <cell r="I998" t="str">
            <v>10715</v>
          </cell>
        </row>
        <row r="999">
          <cell r="G999" t="str">
            <v>Xã Hà Thanh</v>
          </cell>
          <cell r="I999" t="str">
            <v>10715</v>
          </cell>
        </row>
        <row r="1000">
          <cell r="G1000" t="str">
            <v>Xã An Thanh</v>
          </cell>
          <cell r="I1000" t="str">
            <v>10715</v>
          </cell>
        </row>
        <row r="1001">
          <cell r="G1001" t="str">
            <v>Xã Ngọc Sơn</v>
          </cell>
          <cell r="I1001" t="str">
            <v>10715</v>
          </cell>
        </row>
        <row r="1002">
          <cell r="G1002" t="str">
            <v xml:space="preserve">Xã Kỳ Sơn </v>
          </cell>
          <cell r="I1002" t="str">
            <v>10715</v>
          </cell>
        </row>
        <row r="1003">
          <cell r="G1003" t="str">
            <v xml:space="preserve">Xã Đại Đồng  </v>
          </cell>
          <cell r="I1003" t="str">
            <v>10715</v>
          </cell>
        </row>
        <row r="1004">
          <cell r="G1004" t="str">
            <v xml:space="preserve">Xã Hưng Đạo </v>
          </cell>
          <cell r="I1004" t="str">
            <v>10715</v>
          </cell>
        </row>
        <row r="1005">
          <cell r="G1005" t="str">
            <v>Xã Tứ Xuyên</v>
          </cell>
          <cell r="I1005" t="str">
            <v>10715</v>
          </cell>
        </row>
        <row r="1006">
          <cell r="G1006" t="str">
            <v xml:space="preserve">Xã Quang Phục </v>
          </cell>
          <cell r="I1006" t="str">
            <v>10715</v>
          </cell>
        </row>
        <row r="1007">
          <cell r="G1007" t="str">
            <v>Xã Đông Kỳ</v>
          </cell>
          <cell r="I1007" t="str">
            <v>10715</v>
          </cell>
        </row>
        <row r="1008">
          <cell r="G1008" t="str">
            <v>Xã Tây Kỳ</v>
          </cell>
          <cell r="I1008" t="str">
            <v>10715</v>
          </cell>
        </row>
        <row r="1009">
          <cell r="G1009" t="str">
            <v>Xã Tân Kỳ</v>
          </cell>
          <cell r="I1009" t="str">
            <v>10715</v>
          </cell>
        </row>
        <row r="1010">
          <cell r="G1010" t="str">
            <v>Xã Quang Khải</v>
          </cell>
          <cell r="I1010" t="str">
            <v>10715</v>
          </cell>
        </row>
        <row r="1011">
          <cell r="G1011" t="str">
            <v>Xã Cẩm Hoàng</v>
          </cell>
          <cell r="I1011" t="str">
            <v>10717</v>
          </cell>
        </row>
        <row r="1012">
          <cell r="G1012" t="str">
            <v>Xã Cao An</v>
          </cell>
          <cell r="I1012" t="str">
            <v>10717</v>
          </cell>
        </row>
        <row r="1013">
          <cell r="G1013" t="str">
            <v>Thị trấn Cẩm Giàng</v>
          </cell>
          <cell r="I1013" t="str">
            <v>10717</v>
          </cell>
        </row>
        <row r="1014">
          <cell r="G1014" t="str">
            <v>Xã Cẩm Văn</v>
          </cell>
          <cell r="I1014" t="str">
            <v>10717</v>
          </cell>
        </row>
        <row r="1015">
          <cell r="G1015" t="str">
            <v>Xã Đức Chính</v>
          </cell>
          <cell r="I1015" t="str">
            <v>10717</v>
          </cell>
        </row>
        <row r="1016">
          <cell r="G1016" t="str">
            <v>Xã Lương Điền</v>
          </cell>
          <cell r="I1016" t="str">
            <v>10717</v>
          </cell>
        </row>
        <row r="1017">
          <cell r="G1017" t="str">
            <v>Xã Cẩm Điền</v>
          </cell>
          <cell r="I1017" t="str">
            <v>10717</v>
          </cell>
        </row>
        <row r="1018">
          <cell r="G1018" t="str">
            <v>Thị trấn Lai Cách</v>
          </cell>
          <cell r="I1018" t="str">
            <v>10717</v>
          </cell>
        </row>
        <row r="1019">
          <cell r="G1019" t="str">
            <v>Xã Cẩm Hưng</v>
          </cell>
          <cell r="I1019" t="str">
            <v>10717</v>
          </cell>
        </row>
        <row r="1020">
          <cell r="G1020" t="str">
            <v>Xã Ngọc Liên</v>
          </cell>
          <cell r="I1020" t="str">
            <v>10717</v>
          </cell>
        </row>
        <row r="1021">
          <cell r="G1021" t="str">
            <v>Xã Thạch Lỗi</v>
          </cell>
          <cell r="I1021" t="str">
            <v>10717</v>
          </cell>
        </row>
        <row r="1022">
          <cell r="G1022" t="str">
            <v>Xã Cẩm Vũ</v>
          </cell>
          <cell r="I1022" t="str">
            <v>10717</v>
          </cell>
        </row>
        <row r="1023">
          <cell r="G1023" t="str">
            <v>Xã Cẩm Sơn</v>
          </cell>
          <cell r="I1023" t="str">
            <v>10717</v>
          </cell>
        </row>
        <row r="1024">
          <cell r="G1024" t="str">
            <v>Xã Cẩm Định</v>
          </cell>
          <cell r="I1024" t="str">
            <v>10717</v>
          </cell>
        </row>
        <row r="1025">
          <cell r="G1025" t="str">
            <v>Xã Kim Giang</v>
          </cell>
          <cell r="I1025" t="str">
            <v>10717</v>
          </cell>
        </row>
        <row r="1026">
          <cell r="G1026" t="str">
            <v>Xã Tân Trường</v>
          </cell>
          <cell r="I1026" t="str">
            <v>10717</v>
          </cell>
        </row>
        <row r="1027">
          <cell r="G1027" t="str">
            <v>Xã Cẩm Phúc</v>
          </cell>
          <cell r="I1027" t="str">
            <v>10717</v>
          </cell>
        </row>
        <row r="1028">
          <cell r="G1028" t="str">
            <v>Xã Cẩm Đông</v>
          </cell>
          <cell r="I1028" t="str">
            <v>10717</v>
          </cell>
        </row>
        <row r="1029">
          <cell r="G1029" t="str">
            <v>Xã Cẩm Đoài</v>
          </cell>
          <cell r="I1029" t="str">
            <v>10717</v>
          </cell>
        </row>
        <row r="1030">
          <cell r="G1030" t="str">
            <v>Xã Hưng Thịnh</v>
          </cell>
          <cell r="I1030" t="str">
            <v>10719</v>
          </cell>
        </row>
        <row r="1031">
          <cell r="G1031" t="str">
            <v>Xã Vĩnh Hồng</v>
          </cell>
          <cell r="I1031" t="str">
            <v>10719</v>
          </cell>
        </row>
        <row r="1032">
          <cell r="G1032" t="str">
            <v>Xã Tân Hồng</v>
          </cell>
          <cell r="I1032" t="str">
            <v>10719</v>
          </cell>
        </row>
        <row r="1033">
          <cell r="G1033" t="str">
            <v>Xã Nhân Quyền</v>
          </cell>
          <cell r="I1033" t="str">
            <v>10719</v>
          </cell>
        </row>
        <row r="1034">
          <cell r="G1034" t="str">
            <v>Thị trấn Kẻ Sặt</v>
          </cell>
          <cell r="I1034" t="str">
            <v>10719</v>
          </cell>
        </row>
        <row r="1035">
          <cell r="G1035" t="str">
            <v>Xã Vĩnh Tuy</v>
          </cell>
          <cell r="I1035" t="str">
            <v>10719</v>
          </cell>
        </row>
        <row r="1036">
          <cell r="G1036" t="str">
            <v xml:space="preserve">Xã Hùng Thắng </v>
          </cell>
          <cell r="I1036" t="str">
            <v>10719</v>
          </cell>
        </row>
        <row r="1037">
          <cell r="G1037" t="str">
            <v>Xã Tráng Liệt</v>
          </cell>
          <cell r="I1037" t="str">
            <v>10719</v>
          </cell>
        </row>
        <row r="1038">
          <cell r="G1038" t="str">
            <v xml:space="preserve">Xã Long Xuyên  </v>
          </cell>
          <cell r="I1038" t="str">
            <v>10719</v>
          </cell>
        </row>
        <row r="1039">
          <cell r="G1039" t="str">
            <v xml:space="preserve">Xã Tân Việt </v>
          </cell>
          <cell r="I1039" t="str">
            <v>10719</v>
          </cell>
        </row>
        <row r="1040">
          <cell r="G1040" t="str">
            <v>Xã Thúc Kháng</v>
          </cell>
          <cell r="I1040" t="str">
            <v>10719</v>
          </cell>
        </row>
        <row r="1041">
          <cell r="G1041" t="str">
            <v>Xã Hồng Khê</v>
          </cell>
          <cell r="I1041" t="str">
            <v>10719</v>
          </cell>
        </row>
        <row r="1042">
          <cell r="G1042" t="str">
            <v>Xã Thái Học</v>
          </cell>
          <cell r="I1042" t="str">
            <v>10719</v>
          </cell>
        </row>
        <row r="1043">
          <cell r="G1043" t="str">
            <v xml:space="preserve">Xã Cổ Bi </v>
          </cell>
          <cell r="I1043" t="str">
            <v>10719</v>
          </cell>
        </row>
        <row r="1044">
          <cell r="G1044" t="str">
            <v>Xã Thái Dương</v>
          </cell>
          <cell r="I1044" t="str">
            <v>10719</v>
          </cell>
        </row>
        <row r="1045">
          <cell r="G1045" t="str">
            <v xml:space="preserve">Xã Thái Hòa </v>
          </cell>
          <cell r="I1045" t="str">
            <v>10719</v>
          </cell>
        </row>
        <row r="1046">
          <cell r="G1046" t="str">
            <v>Xã Bình Xuyên</v>
          </cell>
          <cell r="I1046" t="str">
            <v>10719</v>
          </cell>
        </row>
        <row r="1047">
          <cell r="G1047" t="str">
            <v xml:space="preserve">Xã Bình Minh </v>
          </cell>
          <cell r="I1047" t="str">
            <v>10719</v>
          </cell>
        </row>
        <row r="1048">
          <cell r="G1048" t="str">
            <v xml:space="preserve">Xã Tân Trào </v>
          </cell>
          <cell r="I1048" t="str">
            <v>10721</v>
          </cell>
        </row>
        <row r="1049">
          <cell r="G1049" t="str">
            <v>Xã Chi Lăng Nam</v>
          </cell>
          <cell r="I1049" t="str">
            <v>10721</v>
          </cell>
        </row>
        <row r="1050">
          <cell r="G1050" t="str">
            <v>Xã Diên Hồng</v>
          </cell>
          <cell r="I1050" t="str">
            <v>10721</v>
          </cell>
        </row>
        <row r="1051">
          <cell r="G1051" t="str">
            <v>Xã Cao Thắng</v>
          </cell>
          <cell r="I1051" t="str">
            <v>10721</v>
          </cell>
        </row>
        <row r="1052">
          <cell r="G1052" t="str">
            <v>Xã Thanh Tùng</v>
          </cell>
          <cell r="I1052" t="str">
            <v>10721</v>
          </cell>
        </row>
        <row r="1053">
          <cell r="G1053" t="str">
            <v xml:space="preserve">Xã Hồng Quang </v>
          </cell>
          <cell r="I1053" t="str">
            <v>10721</v>
          </cell>
        </row>
        <row r="1054">
          <cell r="G1054" t="str">
            <v>Xã Lê Hồng</v>
          </cell>
          <cell r="I1054" t="str">
            <v>10721</v>
          </cell>
        </row>
        <row r="1055">
          <cell r="G1055" t="str">
            <v>Thị trấn Thanh Miện</v>
          </cell>
          <cell r="I1055" t="str">
            <v>10721</v>
          </cell>
        </row>
        <row r="1056">
          <cell r="G1056" t="str">
            <v>Xã Phạm Kha</v>
          </cell>
          <cell r="I1056" t="str">
            <v>10721</v>
          </cell>
        </row>
        <row r="1057">
          <cell r="G1057" t="str">
            <v>Xã Ngô Quyền</v>
          </cell>
          <cell r="I1057" t="str">
            <v>10721</v>
          </cell>
        </row>
        <row r="1058">
          <cell r="G1058" t="str">
            <v>Xã Đoàn Tùng</v>
          </cell>
          <cell r="I1058" t="str">
            <v>10721</v>
          </cell>
        </row>
        <row r="1059">
          <cell r="G1059" t="str">
            <v>Xã Lam Sơn</v>
          </cell>
          <cell r="I1059" t="str">
            <v>10721</v>
          </cell>
        </row>
        <row r="1060">
          <cell r="G1060" t="str">
            <v>Xã Đoàn Kết</v>
          </cell>
          <cell r="I1060" t="str">
            <v>10721</v>
          </cell>
        </row>
        <row r="1061">
          <cell r="G1061" t="str">
            <v>Xã Tứ Cường</v>
          </cell>
          <cell r="I1061" t="str">
            <v>10721</v>
          </cell>
        </row>
        <row r="1062">
          <cell r="G1062" t="str">
            <v>Xã Hùng Sơn</v>
          </cell>
          <cell r="I1062" t="str">
            <v>10721</v>
          </cell>
        </row>
        <row r="1063">
          <cell r="G1063" t="str">
            <v>Xã Ngũ Hùng</v>
          </cell>
          <cell r="I1063" t="str">
            <v>10721</v>
          </cell>
        </row>
        <row r="1064">
          <cell r="G1064" t="str">
            <v>Xã Chi Lăng Bắc</v>
          </cell>
          <cell r="I1064" t="str">
            <v>10721</v>
          </cell>
        </row>
        <row r="1065">
          <cell r="G1065" t="str">
            <v>Xã Thanh Giang</v>
          </cell>
          <cell r="I1065" t="str">
            <v>10721</v>
          </cell>
        </row>
        <row r="1066">
          <cell r="G1066" t="str">
            <v xml:space="preserve">Xã Tiền Phong   </v>
          </cell>
          <cell r="I1066" t="str">
            <v>10721</v>
          </cell>
        </row>
        <row r="1067">
          <cell r="G1067" t="str">
            <v>Xã Nghĩa An</v>
          </cell>
          <cell r="I1067" t="str">
            <v>10723</v>
          </cell>
        </row>
        <row r="1068">
          <cell r="G1068" t="str">
            <v xml:space="preserve">Xã Tân Phong </v>
          </cell>
          <cell r="I1068" t="str">
            <v>10723</v>
          </cell>
        </row>
        <row r="1069">
          <cell r="G1069" t="str">
            <v xml:space="preserve">Xã Hồng Phong   </v>
          </cell>
          <cell r="I1069" t="str">
            <v>10723</v>
          </cell>
        </row>
        <row r="1070">
          <cell r="G1070" t="str">
            <v xml:space="preserve">Xã Quyết Thắng </v>
          </cell>
          <cell r="I1070" t="str">
            <v>10723</v>
          </cell>
        </row>
        <row r="1071">
          <cell r="G1071" t="str">
            <v>Xã Ninh Hòa</v>
          </cell>
          <cell r="I1071" t="str">
            <v>10723</v>
          </cell>
        </row>
        <row r="1072">
          <cell r="G1072" t="str">
            <v>Xã Ninh Thành</v>
          </cell>
          <cell r="I1072" t="str">
            <v>10723</v>
          </cell>
        </row>
        <row r="1073">
          <cell r="G1073" t="str">
            <v xml:space="preserve">Xã Quang Hưng </v>
          </cell>
          <cell r="I1073" t="str">
            <v>10723</v>
          </cell>
        </row>
        <row r="1074">
          <cell r="G1074" t="str">
            <v>Xã Tân Quang</v>
          </cell>
          <cell r="I1074" t="str">
            <v>10723</v>
          </cell>
        </row>
        <row r="1075">
          <cell r="G1075" t="str">
            <v>Xã Văn Hội</v>
          </cell>
          <cell r="I1075" t="str">
            <v>10723</v>
          </cell>
        </row>
        <row r="1076">
          <cell r="G1076" t="str">
            <v>Xã Hồng Phúc</v>
          </cell>
          <cell r="I1076" t="str">
            <v>10723</v>
          </cell>
        </row>
        <row r="1077">
          <cell r="G1077" t="str">
            <v>Thị trấn Ninh Giang</v>
          </cell>
          <cell r="I1077" t="str">
            <v>10723</v>
          </cell>
        </row>
        <row r="1078">
          <cell r="G1078" t="str">
            <v>Xã ứng Hoè</v>
          </cell>
          <cell r="I1078" t="str">
            <v>10723</v>
          </cell>
        </row>
        <row r="1079">
          <cell r="G1079" t="str">
            <v>Xã Hồng Đức</v>
          </cell>
          <cell r="I1079" t="str">
            <v>10723</v>
          </cell>
        </row>
        <row r="1080">
          <cell r="G1080" t="str">
            <v>Xã An Đức</v>
          </cell>
          <cell r="I1080" t="str">
            <v>10723</v>
          </cell>
        </row>
        <row r="1081">
          <cell r="G1081" t="str">
            <v xml:space="preserve">Xã Vạn Phúc </v>
          </cell>
          <cell r="I1081" t="str">
            <v>10723</v>
          </cell>
        </row>
        <row r="1082">
          <cell r="G1082" t="str">
            <v>Xã Tân Hương</v>
          </cell>
          <cell r="I1082" t="str">
            <v>10723</v>
          </cell>
        </row>
        <row r="1083">
          <cell r="G1083" t="str">
            <v>Xã Vĩnh Hòa</v>
          </cell>
          <cell r="I1083" t="str">
            <v>10723</v>
          </cell>
        </row>
        <row r="1084">
          <cell r="G1084" t="str">
            <v>Xã Đông Xuyên</v>
          </cell>
          <cell r="I1084" t="str">
            <v>10723</v>
          </cell>
        </row>
        <row r="1085">
          <cell r="G1085" t="str">
            <v>Xã Hoàng Hanh</v>
          </cell>
          <cell r="I1085" t="str">
            <v>10723</v>
          </cell>
        </row>
        <row r="1086">
          <cell r="G1086" t="str">
            <v>Xã Ninh Hải</v>
          </cell>
          <cell r="I1086" t="str">
            <v>10723</v>
          </cell>
        </row>
        <row r="1087">
          <cell r="G1087" t="str">
            <v xml:space="preserve">Xã Đồng Tâm </v>
          </cell>
          <cell r="I1087" t="str">
            <v>10723</v>
          </cell>
        </row>
        <row r="1088">
          <cell r="G1088" t="str">
            <v xml:space="preserve">Xã Kiến Quốc </v>
          </cell>
          <cell r="I1088" t="str">
            <v>10723</v>
          </cell>
        </row>
        <row r="1089">
          <cell r="G1089" t="str">
            <v xml:space="preserve">Xã Hồng Thái  </v>
          </cell>
          <cell r="I1089" t="str">
            <v>10723</v>
          </cell>
        </row>
        <row r="1090">
          <cell r="G1090" t="str">
            <v>Xã Hồng Dụ</v>
          </cell>
          <cell r="I1090" t="str">
            <v>10723</v>
          </cell>
        </row>
        <row r="1091">
          <cell r="G1091" t="str">
            <v>Xã Hưng Thái</v>
          </cell>
          <cell r="I1091" t="str">
            <v>10723</v>
          </cell>
        </row>
        <row r="1092">
          <cell r="G1092" t="str">
            <v>Xã Hiệp Lực</v>
          </cell>
          <cell r="I1092" t="str">
            <v>10723</v>
          </cell>
        </row>
        <row r="1093">
          <cell r="G1093" t="str">
            <v>Xã Hưng Long</v>
          </cell>
          <cell r="I1093" t="str">
            <v>10723</v>
          </cell>
        </row>
        <row r="1094">
          <cell r="G1094" t="str">
            <v>Xã Văn Giang</v>
          </cell>
          <cell r="I1094" t="str">
            <v>10723</v>
          </cell>
        </row>
        <row r="1095">
          <cell r="G1095" t="str">
            <v>Xã Bảo Khê</v>
          </cell>
          <cell r="I1095" t="str">
            <v>10901</v>
          </cell>
        </row>
        <row r="1096">
          <cell r="G1096" t="str">
            <v>Phường Hiến Nam</v>
          </cell>
          <cell r="I1096" t="str">
            <v>10901</v>
          </cell>
        </row>
        <row r="1097">
          <cell r="G1097" t="str">
            <v xml:space="preserve">Phường Quang Trung     </v>
          </cell>
          <cell r="I1097" t="str">
            <v>10901</v>
          </cell>
        </row>
        <row r="1098">
          <cell r="G1098" t="str">
            <v>Xã Quảng Châu</v>
          </cell>
          <cell r="I1098" t="str">
            <v>10901</v>
          </cell>
        </row>
        <row r="1099">
          <cell r="G1099" t="str">
            <v xml:space="preserve">Phường Lam Sơn </v>
          </cell>
          <cell r="I1099" t="str">
            <v>10901</v>
          </cell>
        </row>
        <row r="1100">
          <cell r="G1100" t="str">
            <v>Phường An Tảo</v>
          </cell>
          <cell r="I1100" t="str">
            <v>10901</v>
          </cell>
        </row>
        <row r="1101">
          <cell r="G1101" t="str">
            <v xml:space="preserve">Phường Lê Lợi  </v>
          </cell>
          <cell r="I1101" t="str">
            <v>10901</v>
          </cell>
        </row>
        <row r="1102">
          <cell r="G1102" t="str">
            <v>Phường Hồng Châu</v>
          </cell>
          <cell r="I1102" t="str">
            <v>10901</v>
          </cell>
        </row>
        <row r="1103">
          <cell r="G1103" t="str">
            <v xml:space="preserve">Phường Minh Khai   </v>
          </cell>
          <cell r="I1103" t="str">
            <v>10901</v>
          </cell>
        </row>
        <row r="1104">
          <cell r="G1104" t="str">
            <v>Xã Trung Nghĩa</v>
          </cell>
          <cell r="I1104" t="str">
            <v>10901</v>
          </cell>
        </row>
        <row r="1105">
          <cell r="G1105" t="str">
            <v xml:space="preserve">Xã Liên Phương </v>
          </cell>
          <cell r="I1105" t="str">
            <v>10901</v>
          </cell>
        </row>
        <row r="1106">
          <cell r="G1106" t="str">
            <v>Xã Hồng Nam</v>
          </cell>
          <cell r="I1106" t="str">
            <v>10901</v>
          </cell>
        </row>
        <row r="1107">
          <cell r="G1107" t="str">
            <v>Xã Hùng Cường</v>
          </cell>
          <cell r="I1107" t="str">
            <v>10901</v>
          </cell>
        </row>
        <row r="1108">
          <cell r="G1108" t="str">
            <v xml:space="preserve">Xã Phú Cường  </v>
          </cell>
          <cell r="I1108" t="str">
            <v>10901</v>
          </cell>
        </row>
        <row r="1109">
          <cell r="G1109" t="str">
            <v>Xã Phương Chiểu</v>
          </cell>
          <cell r="I1109" t="str">
            <v>10901</v>
          </cell>
        </row>
        <row r="1110">
          <cell r="G1110" t="str">
            <v xml:space="preserve">Xã Hoàng Hanh </v>
          </cell>
          <cell r="I1110" t="str">
            <v>10901</v>
          </cell>
        </row>
        <row r="1111">
          <cell r="G1111" t="str">
            <v xml:space="preserve">Xã Tân Hưng    </v>
          </cell>
          <cell r="I1111" t="str">
            <v>10901</v>
          </cell>
        </row>
        <row r="1112">
          <cell r="G1112" t="str">
            <v>Xã Hòa Phong</v>
          </cell>
          <cell r="I1112" t="str">
            <v>10903</v>
          </cell>
        </row>
        <row r="1113">
          <cell r="G1113" t="str">
            <v xml:space="preserve">Xã Dương Quang </v>
          </cell>
          <cell r="I1113" t="str">
            <v>10903</v>
          </cell>
        </row>
        <row r="1114">
          <cell r="G1114" t="str">
            <v>Xã Bạch Sam</v>
          </cell>
          <cell r="I1114" t="str">
            <v>10903</v>
          </cell>
        </row>
        <row r="1115">
          <cell r="G1115" t="str">
            <v>Xã Ngọc Lâm</v>
          </cell>
          <cell r="I1115" t="str">
            <v>10903</v>
          </cell>
        </row>
        <row r="1116">
          <cell r="G1116" t="str">
            <v>Thị trấn Bần Yên Nhân</v>
          </cell>
          <cell r="I1116" t="str">
            <v>10903</v>
          </cell>
        </row>
        <row r="1117">
          <cell r="G1117" t="str">
            <v>Xã Phan Đình Phùng</v>
          </cell>
          <cell r="I1117" t="str">
            <v>10903</v>
          </cell>
        </row>
        <row r="1118">
          <cell r="G1118" t="str">
            <v>Xã Cẩm Xá</v>
          </cell>
          <cell r="I1118" t="str">
            <v>10903</v>
          </cell>
        </row>
        <row r="1119">
          <cell r="G1119" t="str">
            <v xml:space="preserve">Xã Nhân Hòa </v>
          </cell>
          <cell r="I1119" t="str">
            <v>10903</v>
          </cell>
        </row>
        <row r="1120">
          <cell r="G1120" t="str">
            <v>Xã Dị Sử</v>
          </cell>
          <cell r="I1120" t="str">
            <v>10903</v>
          </cell>
        </row>
        <row r="1121">
          <cell r="G1121" t="str">
            <v xml:space="preserve">Xã Minh Đức  </v>
          </cell>
          <cell r="I1121" t="str">
            <v>10903</v>
          </cell>
        </row>
        <row r="1122">
          <cell r="G1122" t="str">
            <v>Xã Phùng Chí Kiên</v>
          </cell>
          <cell r="I1122" t="str">
            <v>10903</v>
          </cell>
        </row>
        <row r="1123">
          <cell r="G1123" t="str">
            <v>Xã Xuân Dục</v>
          </cell>
          <cell r="I1123" t="str">
            <v>10903</v>
          </cell>
        </row>
        <row r="1124">
          <cell r="G1124" t="str">
            <v xml:space="preserve">Xã Hưng Long </v>
          </cell>
          <cell r="I1124" t="str">
            <v>10903</v>
          </cell>
        </row>
        <row r="1125">
          <cell r="G1125" t="str">
            <v>Thị trấn Khoái Châu</v>
          </cell>
          <cell r="I1125" t="str">
            <v>10905</v>
          </cell>
        </row>
        <row r="1126">
          <cell r="G1126" t="str">
            <v>Xã Dân Tiến</v>
          </cell>
          <cell r="I1126" t="str">
            <v>10905</v>
          </cell>
        </row>
        <row r="1127">
          <cell r="G1127" t="str">
            <v>Xã Thuần Hưng</v>
          </cell>
          <cell r="I1127" t="str">
            <v>10905</v>
          </cell>
        </row>
        <row r="1128">
          <cell r="G1128" t="str">
            <v>Xã Việt Hòa</v>
          </cell>
          <cell r="I1128" t="str">
            <v>10905</v>
          </cell>
        </row>
        <row r="1129">
          <cell r="G1129" t="str">
            <v xml:space="preserve">Xã Đại Hưng </v>
          </cell>
          <cell r="I1129" t="str">
            <v>10905</v>
          </cell>
        </row>
        <row r="1130">
          <cell r="G1130" t="str">
            <v>Xã Nhuế Dương</v>
          </cell>
          <cell r="I1130" t="str">
            <v>10905</v>
          </cell>
        </row>
        <row r="1131">
          <cell r="G1131" t="str">
            <v>Xã Hồng Tiến</v>
          </cell>
          <cell r="I1131" t="str">
            <v>10905</v>
          </cell>
        </row>
        <row r="1132">
          <cell r="G1132" t="str">
            <v>Xã Đông Tảo</v>
          </cell>
          <cell r="I1132" t="str">
            <v>10905</v>
          </cell>
        </row>
        <row r="1133">
          <cell r="G1133" t="str">
            <v>Xã ông Đình</v>
          </cell>
          <cell r="I1133" t="str">
            <v>10905</v>
          </cell>
        </row>
        <row r="1134">
          <cell r="G1134" t="str">
            <v>Xã Đông Kết</v>
          </cell>
          <cell r="I1134" t="str">
            <v>10905</v>
          </cell>
        </row>
        <row r="1135">
          <cell r="G1135" t="str">
            <v xml:space="preserve">Xã Bình Minh  </v>
          </cell>
          <cell r="I1135" t="str">
            <v>10905</v>
          </cell>
        </row>
        <row r="1136">
          <cell r="G1136" t="str">
            <v>Xã Dạ Trạch</v>
          </cell>
          <cell r="I1136" t="str">
            <v>10905</v>
          </cell>
        </row>
        <row r="1137">
          <cell r="G1137" t="str">
            <v>Xã Hàm Tử</v>
          </cell>
          <cell r="I1137" t="str">
            <v>10905</v>
          </cell>
        </row>
        <row r="1138">
          <cell r="G1138" t="str">
            <v xml:space="preserve">Xã Tân Dân     </v>
          </cell>
          <cell r="I1138" t="str">
            <v>10905</v>
          </cell>
        </row>
        <row r="1139">
          <cell r="G1139" t="str">
            <v>Xã Tứ Dân</v>
          </cell>
          <cell r="I1139" t="str">
            <v>10905</v>
          </cell>
        </row>
        <row r="1140">
          <cell r="G1140" t="str">
            <v>Xã An Vĩ</v>
          </cell>
          <cell r="I1140" t="str">
            <v>10905</v>
          </cell>
        </row>
        <row r="1141">
          <cell r="G1141" t="str">
            <v>Xã Bình Kiều</v>
          </cell>
          <cell r="I1141" t="str">
            <v>10905</v>
          </cell>
        </row>
        <row r="1142">
          <cell r="G1142" t="str">
            <v xml:space="preserve">Xã Đồng Tiến </v>
          </cell>
          <cell r="I1142" t="str">
            <v>10905</v>
          </cell>
        </row>
        <row r="1143">
          <cell r="G1143" t="str">
            <v>Xã Tân Châu</v>
          </cell>
          <cell r="I1143" t="str">
            <v>10905</v>
          </cell>
        </row>
        <row r="1144">
          <cell r="G1144" t="str">
            <v xml:space="preserve">Xã Liên Khê </v>
          </cell>
          <cell r="I1144" t="str">
            <v>10905</v>
          </cell>
        </row>
        <row r="1145">
          <cell r="G1145" t="str">
            <v>Xã Phùng Hưng</v>
          </cell>
          <cell r="I1145" t="str">
            <v>10905</v>
          </cell>
        </row>
        <row r="1146">
          <cell r="G1146" t="str">
            <v>Xã Đông Ninh</v>
          </cell>
          <cell r="I1146" t="str">
            <v>10905</v>
          </cell>
        </row>
        <row r="1147">
          <cell r="G1147" t="str">
            <v>Xã Đại Tập</v>
          </cell>
          <cell r="I1147" t="str">
            <v>10905</v>
          </cell>
        </row>
        <row r="1148">
          <cell r="G1148" t="str">
            <v>Xã Chí Tân</v>
          </cell>
          <cell r="I1148" t="str">
            <v>10905</v>
          </cell>
        </row>
        <row r="1149">
          <cell r="G1149" t="str">
            <v>Xã Thành Công</v>
          </cell>
          <cell r="I1149" t="str">
            <v>10905</v>
          </cell>
        </row>
        <row r="1150">
          <cell r="G1150" t="str">
            <v>Thị Trấn Ân Thi</v>
          </cell>
          <cell r="I1150" t="str">
            <v>10907</v>
          </cell>
        </row>
        <row r="1151">
          <cell r="G1151" t="str">
            <v>Xã Văn Nhuệ</v>
          </cell>
          <cell r="I1151" t="str">
            <v>10907</v>
          </cell>
        </row>
        <row r="1152">
          <cell r="G1152" t="str">
            <v xml:space="preserve">Xã Bắc Sơn  </v>
          </cell>
          <cell r="I1152" t="str">
            <v>10907</v>
          </cell>
        </row>
        <row r="1153">
          <cell r="G1153" t="str">
            <v>Xã Tân Phúc</v>
          </cell>
          <cell r="I1153" t="str">
            <v>10907</v>
          </cell>
        </row>
        <row r="1154">
          <cell r="G1154" t="str">
            <v xml:space="preserve">Xã Hoàng Hoa Thám </v>
          </cell>
          <cell r="I1154" t="str">
            <v>10907</v>
          </cell>
        </row>
        <row r="1155">
          <cell r="G1155" t="str">
            <v xml:space="preserve">Xã Nguyễn Trãi </v>
          </cell>
          <cell r="I1155" t="str">
            <v>10907</v>
          </cell>
        </row>
        <row r="1156">
          <cell r="G1156" t="str">
            <v xml:space="preserve">Xã Hồng Vân </v>
          </cell>
          <cell r="I1156" t="str">
            <v>10907</v>
          </cell>
        </row>
        <row r="1157">
          <cell r="G1157" t="str">
            <v>Xã Phù ủng</v>
          </cell>
          <cell r="I1157" t="str">
            <v>10907</v>
          </cell>
        </row>
        <row r="1158">
          <cell r="G1158" t="str">
            <v>Xã Bãi Sậy</v>
          </cell>
          <cell r="I1158" t="str">
            <v>10907</v>
          </cell>
        </row>
        <row r="1159">
          <cell r="G1159" t="str">
            <v>Xã Đào Dương</v>
          </cell>
          <cell r="I1159" t="str">
            <v>10907</v>
          </cell>
        </row>
        <row r="1160">
          <cell r="G1160" t="str">
            <v>Xã Vân Du</v>
          </cell>
          <cell r="I1160" t="str">
            <v>10907</v>
          </cell>
        </row>
        <row r="1161">
          <cell r="G1161" t="str">
            <v>Xã Quang Vinh</v>
          </cell>
          <cell r="I1161" t="str">
            <v>10907</v>
          </cell>
        </row>
        <row r="1162">
          <cell r="G1162" t="str">
            <v>Xã Xuân Trúc</v>
          </cell>
          <cell r="I1162" t="str">
            <v>10907</v>
          </cell>
        </row>
        <row r="1163">
          <cell r="G1163" t="str">
            <v>Xã Quảng Lãng</v>
          </cell>
          <cell r="I1163" t="str">
            <v>10907</v>
          </cell>
        </row>
        <row r="1164">
          <cell r="G1164" t="str">
            <v>Xã Đặng Lễ</v>
          </cell>
          <cell r="I1164" t="str">
            <v>10907</v>
          </cell>
        </row>
        <row r="1165">
          <cell r="G1165" t="str">
            <v>Xã Cẩm Ninh</v>
          </cell>
          <cell r="I1165" t="str">
            <v>10907</v>
          </cell>
        </row>
        <row r="1166">
          <cell r="G1166" t="str">
            <v>Xã Đa Lộc</v>
          </cell>
          <cell r="I1166" t="str">
            <v>10907</v>
          </cell>
        </row>
        <row r="1167">
          <cell r="G1167" t="str">
            <v>Xã Hồ Tùng Mậu</v>
          </cell>
          <cell r="I1167" t="str">
            <v>10907</v>
          </cell>
        </row>
        <row r="1168">
          <cell r="G1168" t="str">
            <v xml:space="preserve">Xã Tiền Phong    </v>
          </cell>
          <cell r="I1168" t="str">
            <v>10907</v>
          </cell>
        </row>
        <row r="1169">
          <cell r="G1169" t="str">
            <v xml:space="preserve">Xã Hồng Quang  </v>
          </cell>
          <cell r="I1169" t="str">
            <v>10907</v>
          </cell>
        </row>
        <row r="1170">
          <cell r="G1170" t="str">
            <v>Xã Hạ Lễ</v>
          </cell>
          <cell r="I1170" t="str">
            <v>10907</v>
          </cell>
        </row>
        <row r="1171">
          <cell r="G1171" t="str">
            <v>Xã Đồng Thanh</v>
          </cell>
          <cell r="I1171" t="str">
            <v>10909</v>
          </cell>
        </row>
        <row r="1172">
          <cell r="G1172" t="str">
            <v>Xã Phạm Ngũ Lão</v>
          </cell>
          <cell r="I1172" t="str">
            <v>10909</v>
          </cell>
        </row>
        <row r="1173">
          <cell r="G1173" t="str">
            <v>Xã Chính Nghĩa</v>
          </cell>
          <cell r="I1173" t="str">
            <v>10909</v>
          </cell>
        </row>
        <row r="1174">
          <cell r="G1174" t="str">
            <v>Xã Đức Hợp</v>
          </cell>
          <cell r="I1174" t="str">
            <v>10909</v>
          </cell>
        </row>
        <row r="1175">
          <cell r="G1175" t="str">
            <v>Xã Hiệp Cường</v>
          </cell>
          <cell r="I1175" t="str">
            <v>10909</v>
          </cell>
        </row>
        <row r="1176">
          <cell r="G1176" t="str">
            <v>Thị trấn Lương Bằng</v>
          </cell>
          <cell r="I1176" t="str">
            <v>10909</v>
          </cell>
        </row>
        <row r="1177">
          <cell r="G1177" t="str">
            <v>Xã Nghĩa Dân</v>
          </cell>
          <cell r="I1177" t="str">
            <v>10909</v>
          </cell>
        </row>
        <row r="1178">
          <cell r="G1178" t="str">
            <v xml:space="preserve">Xã Toàn Thắng  </v>
          </cell>
          <cell r="I1178" t="str">
            <v>10909</v>
          </cell>
        </row>
        <row r="1179">
          <cell r="G1179" t="str">
            <v>Xã Vĩnh Xá</v>
          </cell>
          <cell r="I1179" t="str">
            <v>10909</v>
          </cell>
        </row>
        <row r="1180">
          <cell r="G1180" t="str">
            <v>Xã Thọ Vinh</v>
          </cell>
          <cell r="I1180" t="str">
            <v>10909</v>
          </cell>
        </row>
        <row r="1181">
          <cell r="G1181" t="str">
            <v>Xã Song Mai</v>
          </cell>
          <cell r="I1181" t="str">
            <v>10909</v>
          </cell>
        </row>
        <row r="1182">
          <cell r="G1182" t="str">
            <v>Xã Nhân La</v>
          </cell>
          <cell r="I1182" t="str">
            <v>10909</v>
          </cell>
        </row>
        <row r="1183">
          <cell r="G1183" t="str">
            <v>Xã Phú Thịnh</v>
          </cell>
          <cell r="I1183" t="str">
            <v>10909</v>
          </cell>
        </row>
        <row r="1184">
          <cell r="G1184" t="str">
            <v>Xã Mai Động</v>
          </cell>
          <cell r="I1184" t="str">
            <v>10909</v>
          </cell>
        </row>
        <row r="1185">
          <cell r="G1185" t="str">
            <v>Xã Hùng An</v>
          </cell>
          <cell r="I1185" t="str">
            <v>10909</v>
          </cell>
        </row>
        <row r="1186">
          <cell r="G1186" t="str">
            <v>Xã Ngọc Thanh</v>
          </cell>
          <cell r="I1186" t="str">
            <v>10909</v>
          </cell>
        </row>
        <row r="1187">
          <cell r="G1187" t="str">
            <v>Xã Vũ Xá</v>
          </cell>
          <cell r="I1187" t="str">
            <v>10909</v>
          </cell>
        </row>
        <row r="1188">
          <cell r="G1188" t="str">
            <v>Xã Phan Sào Nam</v>
          </cell>
          <cell r="I1188" t="str">
            <v>10911</v>
          </cell>
        </row>
        <row r="1189">
          <cell r="G1189" t="str">
            <v>Xã Nguyên Hòa</v>
          </cell>
          <cell r="I1189" t="str">
            <v>10911</v>
          </cell>
        </row>
        <row r="1190">
          <cell r="G1190" t="str">
            <v>Xã Đình Cao</v>
          </cell>
          <cell r="I1190" t="str">
            <v>10911</v>
          </cell>
        </row>
        <row r="1191">
          <cell r="G1191" t="str">
            <v>Xã Minh Tiến</v>
          </cell>
          <cell r="I1191" t="str">
            <v>10911</v>
          </cell>
        </row>
        <row r="1192">
          <cell r="G1192" t="str">
            <v>Thị trấn Trần Cao</v>
          </cell>
          <cell r="I1192" t="str">
            <v>10911</v>
          </cell>
        </row>
        <row r="1193">
          <cell r="G1193" t="str">
            <v xml:space="preserve">Xã Minh Tân    </v>
          </cell>
          <cell r="I1193" t="str">
            <v>10911</v>
          </cell>
        </row>
        <row r="1194">
          <cell r="G1194" t="str">
            <v xml:space="preserve">Xã Quang Hưng  </v>
          </cell>
          <cell r="I1194" t="str">
            <v>10911</v>
          </cell>
        </row>
        <row r="1195">
          <cell r="G1195" t="str">
            <v>Xã Minh Hoàng</v>
          </cell>
          <cell r="I1195" t="str">
            <v>10911</v>
          </cell>
        </row>
        <row r="1196">
          <cell r="G1196" t="str">
            <v>Xã Đoàn Đào</v>
          </cell>
          <cell r="I1196" t="str">
            <v>10911</v>
          </cell>
        </row>
        <row r="1197">
          <cell r="G1197" t="str">
            <v>Xã Tống Phan</v>
          </cell>
          <cell r="I1197" t="str">
            <v>10911</v>
          </cell>
        </row>
        <row r="1198">
          <cell r="G1198" t="str">
            <v>Xã Nhật Quang</v>
          </cell>
          <cell r="I1198" t="str">
            <v>10911</v>
          </cell>
        </row>
        <row r="1199">
          <cell r="G1199" t="str">
            <v>Xã TiênTiến</v>
          </cell>
          <cell r="I1199" t="str">
            <v>10911</v>
          </cell>
        </row>
        <row r="1200">
          <cell r="G1200" t="str">
            <v xml:space="preserve">Xã Tam Đa </v>
          </cell>
          <cell r="I1200" t="str">
            <v>10911</v>
          </cell>
        </row>
        <row r="1201">
          <cell r="G1201" t="str">
            <v>Xã Tống Trân</v>
          </cell>
          <cell r="I1201" t="str">
            <v>10911</v>
          </cell>
        </row>
        <row r="1202">
          <cell r="G1202" t="str">
            <v>Xã Đức Thắng</v>
          </cell>
          <cell r="I1202" t="str">
            <v>10913</v>
          </cell>
        </row>
        <row r="1203">
          <cell r="G1203" t="str">
            <v xml:space="preserve">Xã Hưng Đạo  </v>
          </cell>
          <cell r="I1203" t="str">
            <v>10913</v>
          </cell>
        </row>
        <row r="1204">
          <cell r="G1204" t="str">
            <v>Xã Lệ Xá</v>
          </cell>
          <cell r="I1204" t="str">
            <v>10913</v>
          </cell>
        </row>
        <row r="1205">
          <cell r="G1205" t="str">
            <v>Xã Trung Dũng</v>
          </cell>
          <cell r="I1205" t="str">
            <v>10913</v>
          </cell>
        </row>
        <row r="1206">
          <cell r="G1206" t="str">
            <v>Xã Cương Chính</v>
          </cell>
          <cell r="I1206" t="str">
            <v>10913</v>
          </cell>
        </row>
        <row r="1207">
          <cell r="G1207" t="str">
            <v>Xã Minh Phượng</v>
          </cell>
          <cell r="I1207" t="str">
            <v>10913</v>
          </cell>
        </row>
        <row r="1208">
          <cell r="G1208" t="str">
            <v>Thị trấn Vương</v>
          </cell>
          <cell r="I1208" t="str">
            <v>10913</v>
          </cell>
        </row>
        <row r="1209">
          <cell r="G1209" t="str">
            <v xml:space="preserve">Xã Ngô Quyền </v>
          </cell>
          <cell r="I1209" t="str">
            <v>10913</v>
          </cell>
        </row>
        <row r="1210">
          <cell r="G1210" t="str">
            <v xml:space="preserve">Xã Nhật Tân </v>
          </cell>
          <cell r="I1210" t="str">
            <v>10913</v>
          </cell>
        </row>
        <row r="1211">
          <cell r="G1211" t="str">
            <v>Xã Dị Chế</v>
          </cell>
          <cell r="I1211" t="str">
            <v>10913</v>
          </cell>
        </row>
        <row r="1212">
          <cell r="G1212" t="str">
            <v>Xã An Viên</v>
          </cell>
          <cell r="I1212" t="str">
            <v>10913</v>
          </cell>
        </row>
        <row r="1213">
          <cell r="G1213" t="str">
            <v>Xã Hải Triều</v>
          </cell>
          <cell r="I1213" t="str">
            <v>10913</v>
          </cell>
        </row>
        <row r="1214">
          <cell r="G1214" t="str">
            <v>Xã Thủ Sỹ</v>
          </cell>
          <cell r="I1214" t="str">
            <v>10913</v>
          </cell>
        </row>
        <row r="1215">
          <cell r="G1215" t="str">
            <v>Xã Thiện Phiến</v>
          </cell>
          <cell r="I1215" t="str">
            <v>10913</v>
          </cell>
        </row>
        <row r="1216">
          <cell r="G1216" t="str">
            <v>Xã Thụy Lôi</v>
          </cell>
          <cell r="I1216" t="str">
            <v>10913</v>
          </cell>
        </row>
        <row r="1217">
          <cell r="G1217" t="str">
            <v>Xã Phụng Công</v>
          </cell>
          <cell r="I1217" t="str">
            <v>10915</v>
          </cell>
        </row>
        <row r="1218">
          <cell r="G1218" t="str">
            <v>Xã Liên Nghĩa</v>
          </cell>
          <cell r="I1218" t="str">
            <v>10915</v>
          </cell>
        </row>
        <row r="1219">
          <cell r="G1219" t="str">
            <v>Thị trấn Văn Giang</v>
          </cell>
          <cell r="I1219" t="str">
            <v>10915</v>
          </cell>
        </row>
        <row r="1220">
          <cell r="G1220" t="str">
            <v>Xã Long Hưng</v>
          </cell>
          <cell r="I1220" t="str">
            <v>10915</v>
          </cell>
        </row>
        <row r="1221">
          <cell r="G1221" t="str">
            <v xml:space="preserve">Xã Tân Tiến   </v>
          </cell>
          <cell r="I1221" t="str">
            <v>10915</v>
          </cell>
        </row>
        <row r="1222">
          <cell r="G1222" t="str">
            <v xml:space="preserve">Xã Thắng Lợi </v>
          </cell>
          <cell r="I1222" t="str">
            <v>10915</v>
          </cell>
        </row>
        <row r="1223">
          <cell r="G1223" t="str">
            <v>Xã Mễ Sở</v>
          </cell>
          <cell r="I1223" t="str">
            <v>10915</v>
          </cell>
        </row>
        <row r="1224">
          <cell r="G1224" t="str">
            <v>Xã Xuân Quan</v>
          </cell>
          <cell r="I1224" t="str">
            <v>10915</v>
          </cell>
        </row>
        <row r="1225">
          <cell r="G1225" t="str">
            <v>Xã Cửu Cao</v>
          </cell>
          <cell r="I1225" t="str">
            <v>10915</v>
          </cell>
        </row>
        <row r="1226">
          <cell r="G1226" t="str">
            <v>Xã Nghĩa Trụ</v>
          </cell>
          <cell r="I1226" t="str">
            <v>10915</v>
          </cell>
        </row>
        <row r="1227">
          <cell r="G1227" t="str">
            <v>Xã Vĩnh Khúc</v>
          </cell>
          <cell r="I1227" t="str">
            <v>10915</v>
          </cell>
        </row>
        <row r="1228">
          <cell r="G1228" t="str">
            <v xml:space="preserve">Xã Việt Hưng </v>
          </cell>
          <cell r="I1228" t="str">
            <v>10917</v>
          </cell>
        </row>
        <row r="1229">
          <cell r="G1229" t="str">
            <v xml:space="preserve">Xã Đại Đồng   </v>
          </cell>
          <cell r="I1229" t="str">
            <v>10917</v>
          </cell>
        </row>
        <row r="1230">
          <cell r="G1230" t="str">
            <v>Xã Minh Hải</v>
          </cell>
          <cell r="I1230" t="str">
            <v>10917</v>
          </cell>
        </row>
        <row r="1231">
          <cell r="G1231" t="str">
            <v>Thị trấn Như Quỳnh</v>
          </cell>
          <cell r="I1231" t="str">
            <v>10917</v>
          </cell>
        </row>
        <row r="1232">
          <cell r="G1232" t="str">
            <v>Xã Lạc Đạo</v>
          </cell>
          <cell r="I1232" t="str">
            <v>10917</v>
          </cell>
        </row>
        <row r="1233">
          <cell r="G1233" t="str">
            <v>Xã Chỉ Đạo</v>
          </cell>
          <cell r="I1233" t="str">
            <v>10917</v>
          </cell>
        </row>
        <row r="1234">
          <cell r="G1234" t="str">
            <v xml:space="preserve">Xã Tân Quang </v>
          </cell>
          <cell r="I1234" t="str">
            <v>10917</v>
          </cell>
        </row>
        <row r="1235">
          <cell r="G1235" t="str">
            <v>Xã Đình Dù</v>
          </cell>
          <cell r="I1235" t="str">
            <v>10917</v>
          </cell>
        </row>
        <row r="1236">
          <cell r="G1236" t="str">
            <v>Xã Lương Tài</v>
          </cell>
          <cell r="I1236" t="str">
            <v>10917</v>
          </cell>
        </row>
        <row r="1237">
          <cell r="G1237" t="str">
            <v>Xã Trưng Trắc</v>
          </cell>
          <cell r="I1237" t="str">
            <v>10917</v>
          </cell>
        </row>
        <row r="1238">
          <cell r="G1238" t="str">
            <v>Xã Lạc Hồng</v>
          </cell>
          <cell r="I1238" t="str">
            <v>10917</v>
          </cell>
        </row>
        <row r="1239">
          <cell r="G1239" t="str">
            <v>Xã Nghĩa Hiệp</v>
          </cell>
          <cell r="I1239" t="str">
            <v>10919</v>
          </cell>
        </row>
        <row r="1240">
          <cell r="G1240" t="str">
            <v>Xã Việt Cường</v>
          </cell>
          <cell r="I1240" t="str">
            <v>10919</v>
          </cell>
        </row>
        <row r="1241">
          <cell r="G1241" t="str">
            <v>Xã Thanh Long</v>
          </cell>
          <cell r="I1241" t="str">
            <v>10919</v>
          </cell>
        </row>
        <row r="1242">
          <cell r="G1242" t="str">
            <v>Xã Yên Hòa</v>
          </cell>
          <cell r="I1242" t="str">
            <v>10919</v>
          </cell>
        </row>
        <row r="1243">
          <cell r="G1243" t="str">
            <v xml:space="preserve">Xã Tân Việt  </v>
          </cell>
          <cell r="I1243" t="str">
            <v>10919</v>
          </cell>
        </row>
        <row r="1244">
          <cell r="G1244" t="str">
            <v>Thị trấn Yên Mỹ</v>
          </cell>
          <cell r="I1244" t="str">
            <v>10919</v>
          </cell>
        </row>
        <row r="1245">
          <cell r="G1245" t="str">
            <v>Xã Giai Phạm</v>
          </cell>
          <cell r="I1245" t="str">
            <v>10919</v>
          </cell>
        </row>
        <row r="1246">
          <cell r="G1246" t="str">
            <v>Xã Đồng Than</v>
          </cell>
          <cell r="I1246" t="str">
            <v>10919</v>
          </cell>
        </row>
        <row r="1247">
          <cell r="G1247" t="str">
            <v>Xã Ngọc Long</v>
          </cell>
          <cell r="I1247" t="str">
            <v>10919</v>
          </cell>
        </row>
        <row r="1248">
          <cell r="G1248" t="str">
            <v>Xã Liêu Xá</v>
          </cell>
          <cell r="I1248" t="str">
            <v>10919</v>
          </cell>
        </row>
        <row r="1249">
          <cell r="G1249" t="str">
            <v>Xã Hoàn Long</v>
          </cell>
          <cell r="I1249" t="str">
            <v>10919</v>
          </cell>
        </row>
        <row r="1250">
          <cell r="G1250" t="str">
            <v xml:space="preserve">Xã Tân Lập </v>
          </cell>
          <cell r="I1250" t="str">
            <v>10919</v>
          </cell>
        </row>
        <row r="1251">
          <cell r="G1251" t="str">
            <v>Xã Yên Phú</v>
          </cell>
          <cell r="I1251" t="str">
            <v>10919</v>
          </cell>
        </row>
        <row r="1252">
          <cell r="G1252" t="str">
            <v xml:space="preserve">Xã Trung Hòa </v>
          </cell>
          <cell r="I1252" t="str">
            <v>10919</v>
          </cell>
        </row>
        <row r="1253">
          <cell r="G1253" t="str">
            <v xml:space="preserve">Xã Minh Châu </v>
          </cell>
          <cell r="I1253" t="str">
            <v>10919</v>
          </cell>
        </row>
        <row r="1254">
          <cell r="G1254" t="str">
            <v>Xã Trung Hưng</v>
          </cell>
          <cell r="I1254" t="str">
            <v>10919</v>
          </cell>
        </row>
        <row r="1255">
          <cell r="G1255" t="str">
            <v>Xã Lý Thường Kiệt</v>
          </cell>
          <cell r="I1255" t="str">
            <v>10919</v>
          </cell>
        </row>
        <row r="1256">
          <cell r="G1256" t="str">
            <v xml:space="preserve">Phường Minh Khai    </v>
          </cell>
          <cell r="I1256" t="str">
            <v>11101</v>
          </cell>
        </row>
        <row r="1257">
          <cell r="G1257" t="str">
            <v xml:space="preserve">Phường Quang Trung      </v>
          </cell>
          <cell r="I1257" t="str">
            <v>11101</v>
          </cell>
        </row>
        <row r="1258">
          <cell r="G1258" t="str">
            <v xml:space="preserve">Phường Trần Hưng Đạo  </v>
          </cell>
          <cell r="I1258" t="str">
            <v>11101</v>
          </cell>
        </row>
        <row r="1259">
          <cell r="G1259" t="str">
            <v>Phường Thanh Châu</v>
          </cell>
          <cell r="I1259" t="str">
            <v>11101</v>
          </cell>
        </row>
        <row r="1260">
          <cell r="G1260" t="str">
            <v xml:space="preserve">P. Lương Khánh Thiện </v>
          </cell>
          <cell r="I1260" t="str">
            <v>11101</v>
          </cell>
        </row>
        <row r="1261">
          <cell r="G1261" t="str">
            <v>Phường Lê Hồng Phong</v>
          </cell>
          <cell r="I1261" t="str">
            <v>11101</v>
          </cell>
        </row>
        <row r="1262">
          <cell r="G1262" t="str">
            <v>Phường Hai Bà Trưng</v>
          </cell>
          <cell r="I1262" t="str">
            <v>11101</v>
          </cell>
        </row>
        <row r="1263">
          <cell r="G1263" t="str">
            <v>Phường Lam Hạ</v>
          </cell>
          <cell r="I1263" t="str">
            <v>11101</v>
          </cell>
        </row>
        <row r="1264">
          <cell r="G1264" t="str">
            <v>Xã Phù Vân</v>
          </cell>
          <cell r="I1264" t="str">
            <v>11101</v>
          </cell>
        </row>
        <row r="1265">
          <cell r="G1265" t="str">
            <v>Phường Liêm Chính</v>
          </cell>
          <cell r="I1265" t="str">
            <v>11101</v>
          </cell>
        </row>
        <row r="1266">
          <cell r="G1266" t="str">
            <v>Xã Liêm Chung</v>
          </cell>
          <cell r="I1266" t="str">
            <v>11101</v>
          </cell>
        </row>
        <row r="1267">
          <cell r="G1267" t="str">
            <v>Phường Châu Sơn</v>
          </cell>
          <cell r="I1267" t="str">
            <v>11101</v>
          </cell>
        </row>
        <row r="1268">
          <cell r="G1268" t="str">
            <v>Phường Thanh Tuyền</v>
          </cell>
          <cell r="I1268" t="str">
            <v>11101</v>
          </cell>
        </row>
        <row r="1269">
          <cell r="G1269" t="str">
            <v>Xã Tiên Tân</v>
          </cell>
          <cell r="I1269" t="str">
            <v>11101</v>
          </cell>
        </row>
        <row r="1270">
          <cell r="G1270" t="str">
            <v>Xã Tiên Hiệp</v>
          </cell>
          <cell r="I1270" t="str">
            <v>11101</v>
          </cell>
        </row>
        <row r="1271">
          <cell r="G1271" t="str">
            <v>Xã Tiên Hải</v>
          </cell>
          <cell r="I1271" t="str">
            <v>11101</v>
          </cell>
        </row>
        <row r="1272">
          <cell r="G1272" t="str">
            <v>Xã Đinh Xá</v>
          </cell>
          <cell r="I1272" t="str">
            <v>11101</v>
          </cell>
        </row>
        <row r="1273">
          <cell r="G1273" t="str">
            <v>Xã Trịnh Xá</v>
          </cell>
          <cell r="I1273" t="str">
            <v>11101</v>
          </cell>
        </row>
        <row r="1274">
          <cell r="G1274" t="str">
            <v>Xã Liêm Tuyền</v>
          </cell>
          <cell r="I1274" t="str">
            <v>11101</v>
          </cell>
        </row>
        <row r="1275">
          <cell r="G1275" t="str">
            <v>Xã Liêm Tiết</v>
          </cell>
          <cell r="I1275" t="str">
            <v>11101</v>
          </cell>
        </row>
        <row r="1276">
          <cell r="G1276" t="str">
            <v>Xã Kim Bình</v>
          </cell>
          <cell r="I1276" t="str">
            <v>11101</v>
          </cell>
        </row>
        <row r="1277">
          <cell r="G1277" t="str">
            <v>Xã Yên Bắc</v>
          </cell>
          <cell r="I1277" t="str">
            <v>11103</v>
          </cell>
        </row>
        <row r="1278">
          <cell r="G1278" t="str">
            <v>Xã Đọi Sơn</v>
          </cell>
          <cell r="I1278" t="str">
            <v>11103</v>
          </cell>
        </row>
        <row r="1279">
          <cell r="G1279" t="str">
            <v>Xã Duy Minh</v>
          </cell>
          <cell r="I1279" t="str">
            <v>11103</v>
          </cell>
        </row>
        <row r="1280">
          <cell r="G1280" t="str">
            <v>Xã Châu Giang</v>
          </cell>
          <cell r="I1280" t="str">
            <v>11103</v>
          </cell>
        </row>
        <row r="1281">
          <cell r="G1281" t="str">
            <v>Xã Mộc Bắc</v>
          </cell>
          <cell r="I1281" t="str">
            <v>11103</v>
          </cell>
        </row>
        <row r="1282">
          <cell r="G1282" t="str">
            <v xml:space="preserve">Xã Châu Sơn </v>
          </cell>
          <cell r="I1282" t="str">
            <v>11103</v>
          </cell>
        </row>
        <row r="1283">
          <cell r="G1283" t="str">
            <v>Xã Mộc Nam</v>
          </cell>
          <cell r="I1283" t="str">
            <v>11103</v>
          </cell>
        </row>
        <row r="1284">
          <cell r="G1284" t="str">
            <v>Xã Duy Hải</v>
          </cell>
          <cell r="I1284" t="str">
            <v>11103</v>
          </cell>
        </row>
        <row r="1285">
          <cell r="G1285" t="str">
            <v>Xã Chuyên Ngoại</v>
          </cell>
          <cell r="I1285" t="str">
            <v>11103</v>
          </cell>
        </row>
        <row r="1286">
          <cell r="G1286" t="str">
            <v>Xã Trác Văn</v>
          </cell>
          <cell r="I1286" t="str">
            <v>11103</v>
          </cell>
        </row>
        <row r="1287">
          <cell r="G1287" t="str">
            <v>Xã Tiên Nội</v>
          </cell>
          <cell r="I1287" t="str">
            <v>11103</v>
          </cell>
        </row>
        <row r="1288">
          <cell r="G1288" t="str">
            <v>Xã Hoàng Đông</v>
          </cell>
          <cell r="I1288" t="str">
            <v>11103</v>
          </cell>
        </row>
        <row r="1289">
          <cell r="G1289" t="str">
            <v>Xã Yên Nam</v>
          </cell>
          <cell r="I1289" t="str">
            <v>11103</v>
          </cell>
        </row>
        <row r="1290">
          <cell r="G1290" t="str">
            <v>Xã Tiên Ngoại</v>
          </cell>
          <cell r="I1290" t="str">
            <v>11103</v>
          </cell>
        </row>
        <row r="1291">
          <cell r="G1291" t="str">
            <v xml:space="preserve">Xã Tiền Phong     </v>
          </cell>
          <cell r="I1291" t="str">
            <v>11103</v>
          </cell>
        </row>
        <row r="1292">
          <cell r="G1292" t="str">
            <v>Thị trấn Đồng Văn</v>
          </cell>
          <cell r="I1292" t="str">
            <v>11103</v>
          </cell>
        </row>
        <row r="1293">
          <cell r="G1293" t="str">
            <v>Thị trấn Hòa Mạc</v>
          </cell>
          <cell r="I1293" t="str">
            <v>11103</v>
          </cell>
        </row>
        <row r="1294">
          <cell r="G1294" t="str">
            <v>Xã Bạch Thượng</v>
          </cell>
          <cell r="I1294" t="str">
            <v>11103</v>
          </cell>
        </row>
        <row r="1295">
          <cell r="G1295" t="str">
            <v>Xã Tượng Lĩnh</v>
          </cell>
          <cell r="I1295" t="str">
            <v>11105</v>
          </cell>
        </row>
        <row r="1296">
          <cell r="G1296" t="str">
            <v>Thị trấn Ba Sao</v>
          </cell>
          <cell r="I1296" t="str">
            <v>11105</v>
          </cell>
        </row>
        <row r="1297">
          <cell r="G1297" t="str">
            <v>Xã Nguyễn úy</v>
          </cell>
          <cell r="I1297" t="str">
            <v>11105</v>
          </cell>
        </row>
        <row r="1298">
          <cell r="G1298" t="str">
            <v>Xã Nhật Tựu</v>
          </cell>
          <cell r="I1298" t="str">
            <v>11105</v>
          </cell>
        </row>
        <row r="1299">
          <cell r="G1299" t="str">
            <v>Xã Hoàng Tây</v>
          </cell>
          <cell r="I1299" t="str">
            <v>11105</v>
          </cell>
        </row>
        <row r="1300">
          <cell r="G1300" t="str">
            <v>Xã Khả Phong</v>
          </cell>
          <cell r="I1300" t="str">
            <v>11105</v>
          </cell>
        </row>
        <row r="1301">
          <cell r="G1301" t="str">
            <v>Xã Liên Sơn</v>
          </cell>
          <cell r="I1301" t="str">
            <v>11105</v>
          </cell>
        </row>
        <row r="1302">
          <cell r="G1302" t="str">
            <v>Thị trấn Quế</v>
          </cell>
          <cell r="I1302" t="str">
            <v>11105</v>
          </cell>
        </row>
        <row r="1303">
          <cell r="G1303" t="str">
            <v>Xã Đại Cương</v>
          </cell>
          <cell r="I1303" t="str">
            <v>11105</v>
          </cell>
        </row>
        <row r="1304">
          <cell r="G1304" t="str">
            <v>Xã Lê Hồ</v>
          </cell>
          <cell r="I1304" t="str">
            <v>11105</v>
          </cell>
        </row>
        <row r="1305">
          <cell r="G1305" t="str">
            <v xml:space="preserve">Xã Nhật Tân  </v>
          </cell>
          <cell r="I1305" t="str">
            <v>11105</v>
          </cell>
        </row>
        <row r="1306">
          <cell r="G1306" t="str">
            <v>Xã Đồng Hóa</v>
          </cell>
          <cell r="I1306" t="str">
            <v>11105</v>
          </cell>
        </row>
        <row r="1307">
          <cell r="G1307" t="str">
            <v>Xã Tân Sơn</v>
          </cell>
          <cell r="I1307" t="str">
            <v>11105</v>
          </cell>
        </row>
        <row r="1308">
          <cell r="G1308" t="str">
            <v xml:space="preserve">Xã Thụy Lôi </v>
          </cell>
          <cell r="I1308" t="str">
            <v>11105</v>
          </cell>
        </row>
        <row r="1309">
          <cell r="G1309" t="str">
            <v>Xã Văn Xá</v>
          </cell>
          <cell r="I1309" t="str">
            <v>11105</v>
          </cell>
        </row>
        <row r="1310">
          <cell r="G1310" t="str">
            <v xml:space="preserve">Xã Ngọc Sơn </v>
          </cell>
          <cell r="I1310" t="str">
            <v>11105</v>
          </cell>
        </row>
        <row r="1311">
          <cell r="G1311" t="str">
            <v>Xã Thi Sơn</v>
          </cell>
          <cell r="I1311" t="str">
            <v>11105</v>
          </cell>
        </row>
        <row r="1312">
          <cell r="G1312" t="str">
            <v xml:space="preserve">Xã Thanh Sơn  </v>
          </cell>
          <cell r="I1312" t="str">
            <v>11105</v>
          </cell>
        </row>
        <row r="1313">
          <cell r="G1313" t="str">
            <v>Xã Đạo Lý</v>
          </cell>
          <cell r="I1313" t="str">
            <v>11107</v>
          </cell>
        </row>
        <row r="1314">
          <cell r="G1314" t="str">
            <v>Xã Nhân Mỹ</v>
          </cell>
          <cell r="I1314" t="str">
            <v>11107</v>
          </cell>
        </row>
        <row r="1315">
          <cell r="G1315" t="str">
            <v>Xã Chính Lý</v>
          </cell>
          <cell r="I1315" t="str">
            <v>11107</v>
          </cell>
        </row>
        <row r="1316">
          <cell r="G1316" t="str">
            <v>Xã Văn Lý</v>
          </cell>
          <cell r="I1316" t="str">
            <v>11107</v>
          </cell>
        </row>
        <row r="1317">
          <cell r="G1317" t="str">
            <v>Xã Nhân Đạo</v>
          </cell>
          <cell r="I1317" t="str">
            <v>11107</v>
          </cell>
        </row>
        <row r="1318">
          <cell r="G1318" t="str">
            <v>Xã Nhân Khang</v>
          </cell>
          <cell r="I1318" t="str">
            <v>11107</v>
          </cell>
        </row>
        <row r="1319">
          <cell r="G1319" t="str">
            <v>Xã Nhân Bình</v>
          </cell>
          <cell r="I1319" t="str">
            <v>11107</v>
          </cell>
        </row>
        <row r="1320">
          <cell r="G1320" t="str">
            <v>Xã Hòa Hậu</v>
          </cell>
          <cell r="I1320" t="str">
            <v>11107</v>
          </cell>
        </row>
        <row r="1321">
          <cell r="G1321" t="str">
            <v>Thị trấn Vĩnh Trụ</v>
          </cell>
          <cell r="I1321" t="str">
            <v>11107</v>
          </cell>
        </row>
        <row r="1322">
          <cell r="G1322" t="str">
            <v>Xã Hợp Lý</v>
          </cell>
          <cell r="I1322" t="str">
            <v>11107</v>
          </cell>
        </row>
        <row r="1323">
          <cell r="G1323" t="str">
            <v>Xã Nguyên Lý</v>
          </cell>
          <cell r="I1323" t="str">
            <v>11107</v>
          </cell>
        </row>
        <row r="1324">
          <cell r="G1324" t="str">
            <v>Xã Chân Lý</v>
          </cell>
          <cell r="I1324" t="str">
            <v>11107</v>
          </cell>
        </row>
        <row r="1325">
          <cell r="G1325" t="str">
            <v>Xã Công Lý</v>
          </cell>
          <cell r="I1325" t="str">
            <v>11107</v>
          </cell>
        </row>
        <row r="1326">
          <cell r="G1326" t="str">
            <v>Xã Bắc Lý</v>
          </cell>
          <cell r="I1326" t="str">
            <v>11107</v>
          </cell>
        </row>
        <row r="1327">
          <cell r="G1327" t="str">
            <v>Xã Đức Lý</v>
          </cell>
          <cell r="I1327" t="str">
            <v>11107</v>
          </cell>
        </row>
        <row r="1328">
          <cell r="G1328" t="str">
            <v>Xã Đồng Lý</v>
          </cell>
          <cell r="I1328" t="str">
            <v>11107</v>
          </cell>
        </row>
        <row r="1329">
          <cell r="G1329" t="str">
            <v>Xã Nhân Thịnh</v>
          </cell>
          <cell r="I1329" t="str">
            <v>11107</v>
          </cell>
        </row>
        <row r="1330">
          <cell r="G1330" t="str">
            <v>Xã Nhân Hưng</v>
          </cell>
          <cell r="I1330" t="str">
            <v>11107</v>
          </cell>
        </row>
        <row r="1331">
          <cell r="G1331" t="str">
            <v>Xã Nhân Nghĩa</v>
          </cell>
          <cell r="I1331" t="str">
            <v>11107</v>
          </cell>
        </row>
        <row r="1332">
          <cell r="G1332" t="str">
            <v>Xã Nhân Chính</v>
          </cell>
          <cell r="I1332" t="str">
            <v>11107</v>
          </cell>
        </row>
        <row r="1333">
          <cell r="G1333" t="str">
            <v>Xã Phú Phúc</v>
          </cell>
          <cell r="I1333" t="str">
            <v>11107</v>
          </cell>
        </row>
        <row r="1334">
          <cell r="G1334" t="str">
            <v>Xã Xuân Khê</v>
          </cell>
          <cell r="I1334" t="str">
            <v>11107</v>
          </cell>
        </row>
        <row r="1335">
          <cell r="G1335" t="str">
            <v xml:space="preserve">Xã Tiến Thắng </v>
          </cell>
          <cell r="I1335" t="str">
            <v>11107</v>
          </cell>
        </row>
        <row r="1336">
          <cell r="G1336" t="str">
            <v>Xã Thanh Hương</v>
          </cell>
          <cell r="I1336" t="str">
            <v>11109</v>
          </cell>
        </row>
        <row r="1337">
          <cell r="G1337" t="str">
            <v>Xã Liêm Cần</v>
          </cell>
          <cell r="I1337" t="str">
            <v>11109</v>
          </cell>
        </row>
        <row r="1338">
          <cell r="G1338" t="str">
            <v xml:space="preserve">Xã Thanh Thủy </v>
          </cell>
          <cell r="I1338" t="str">
            <v>11109</v>
          </cell>
        </row>
        <row r="1339">
          <cell r="G1339" t="str">
            <v>Xã Liêm Túc</v>
          </cell>
          <cell r="I1339" t="str">
            <v>11109</v>
          </cell>
        </row>
        <row r="1340">
          <cell r="G1340" t="str">
            <v>Xã Thanh Tâm</v>
          </cell>
          <cell r="I1340" t="str">
            <v>11109</v>
          </cell>
        </row>
        <row r="1341">
          <cell r="G1341" t="str">
            <v>Thị trấn Kiện Khê</v>
          </cell>
          <cell r="I1341" t="str">
            <v>11109</v>
          </cell>
        </row>
        <row r="1342">
          <cell r="G1342" t="str">
            <v>Xã Liêm Phong</v>
          </cell>
          <cell r="I1342" t="str">
            <v>11109</v>
          </cell>
        </row>
        <row r="1343">
          <cell r="G1343" t="str">
            <v>Xã Thanh Hà</v>
          </cell>
          <cell r="I1343" t="str">
            <v>11109</v>
          </cell>
        </row>
        <row r="1344">
          <cell r="G1344" t="str">
            <v xml:space="preserve">Xã Thanh Bình </v>
          </cell>
          <cell r="I1344" t="str">
            <v>11109</v>
          </cell>
        </row>
        <row r="1345">
          <cell r="G1345" t="str">
            <v>Xã Liêm Thuận</v>
          </cell>
          <cell r="I1345" t="str">
            <v>11109</v>
          </cell>
        </row>
        <row r="1346">
          <cell r="G1346" t="str">
            <v>Xã Thanh Phong</v>
          </cell>
          <cell r="I1346" t="str">
            <v>11109</v>
          </cell>
        </row>
        <row r="1347">
          <cell r="G1347" t="str">
            <v>Xã Thanh Lưu</v>
          </cell>
          <cell r="I1347" t="str">
            <v>11109</v>
          </cell>
        </row>
        <row r="1348">
          <cell r="G1348" t="str">
            <v>Xã Thanh Tân</v>
          </cell>
          <cell r="I1348" t="str">
            <v>11109</v>
          </cell>
        </row>
        <row r="1349">
          <cell r="G1349" t="str">
            <v>Xã Liêm Sơn</v>
          </cell>
          <cell r="I1349" t="str">
            <v>11109</v>
          </cell>
        </row>
        <row r="1350">
          <cell r="G1350" t="str">
            <v>Xã Thanh Nghị</v>
          </cell>
          <cell r="I1350" t="str">
            <v>11109</v>
          </cell>
        </row>
        <row r="1351">
          <cell r="G1351" t="str">
            <v>Xã Thanh Nguyên</v>
          </cell>
          <cell r="I1351" t="str">
            <v>11109</v>
          </cell>
        </row>
        <row r="1352">
          <cell r="G1352" t="str">
            <v xml:space="preserve">Xã Thanh Hải </v>
          </cell>
          <cell r="I1352" t="str">
            <v>11109</v>
          </cell>
        </row>
        <row r="1353">
          <cell r="G1353" t="str">
            <v>Xã Ngọc Lũ</v>
          </cell>
          <cell r="I1353" t="str">
            <v>11111</v>
          </cell>
        </row>
        <row r="1354">
          <cell r="G1354" t="str">
            <v>Xã Trung Lương</v>
          </cell>
          <cell r="I1354" t="str">
            <v>11111</v>
          </cell>
        </row>
        <row r="1355">
          <cell r="G1355" t="str">
            <v>Xã Bình Nghĩa</v>
          </cell>
          <cell r="I1355" t="str">
            <v>11111</v>
          </cell>
        </row>
        <row r="1356">
          <cell r="G1356" t="str">
            <v>Xã Đồng Du</v>
          </cell>
          <cell r="I1356" t="str">
            <v>11111</v>
          </cell>
        </row>
        <row r="1357">
          <cell r="G1357" t="str">
            <v>Xã An Ninh</v>
          </cell>
          <cell r="I1357" t="str">
            <v>11111</v>
          </cell>
        </row>
        <row r="1358">
          <cell r="G1358" t="str">
            <v>Xã An Nội</v>
          </cell>
          <cell r="I1358" t="str">
            <v>11111</v>
          </cell>
        </row>
        <row r="1359">
          <cell r="G1359" t="str">
            <v>Xã An Đổ</v>
          </cell>
          <cell r="I1359" t="str">
            <v>11111</v>
          </cell>
        </row>
        <row r="1360">
          <cell r="G1360" t="str">
            <v>Xã An Lão</v>
          </cell>
          <cell r="I1360" t="str">
            <v>11111</v>
          </cell>
        </row>
        <row r="1361">
          <cell r="G1361" t="str">
            <v>Thị trấn Bình Mỹ</v>
          </cell>
          <cell r="I1361" t="str">
            <v>11111</v>
          </cell>
        </row>
        <row r="1362">
          <cell r="G1362" t="str">
            <v>Xã Tràng An</v>
          </cell>
          <cell r="I1362" t="str">
            <v>11111</v>
          </cell>
        </row>
        <row r="1363">
          <cell r="G1363" t="str">
            <v>Xã Hưng Công</v>
          </cell>
          <cell r="I1363" t="str">
            <v>11111</v>
          </cell>
        </row>
        <row r="1364">
          <cell r="G1364" t="str">
            <v>Xã Đồn Xá</v>
          </cell>
          <cell r="I1364" t="str">
            <v>11111</v>
          </cell>
        </row>
        <row r="1365">
          <cell r="G1365" t="str">
            <v>Xã Bồ Đề</v>
          </cell>
          <cell r="I1365" t="str">
            <v>11111</v>
          </cell>
        </row>
        <row r="1366">
          <cell r="G1366" t="str">
            <v>Xã Bối Cầu</v>
          </cell>
          <cell r="I1366" t="str">
            <v>11111</v>
          </cell>
        </row>
        <row r="1367">
          <cell r="G1367" t="str">
            <v xml:space="preserve">Xã An Mỹ </v>
          </cell>
          <cell r="I1367" t="str">
            <v>11111</v>
          </cell>
        </row>
        <row r="1368">
          <cell r="G1368" t="str">
            <v>Xã Vũ Bản</v>
          </cell>
          <cell r="I1368" t="str">
            <v>11111</v>
          </cell>
        </row>
        <row r="1369">
          <cell r="G1369" t="str">
            <v>Xã Mỹ Thọ</v>
          </cell>
          <cell r="I1369" t="str">
            <v>11111</v>
          </cell>
        </row>
        <row r="1370">
          <cell r="G1370" t="str">
            <v>Xã La Sơn</v>
          </cell>
          <cell r="I1370" t="str">
            <v>11111</v>
          </cell>
        </row>
        <row r="1371">
          <cell r="G1371" t="str">
            <v>Xã Tiêu Động</v>
          </cell>
          <cell r="I1371" t="str">
            <v>11111</v>
          </cell>
        </row>
        <row r="1372">
          <cell r="G1372" t="str">
            <v>Phường Bà Triệu</v>
          </cell>
          <cell r="I1372" t="str">
            <v>11301</v>
          </cell>
        </row>
        <row r="1373">
          <cell r="G1373" t="str">
            <v>Phường Trần Quang Khải</v>
          </cell>
          <cell r="I1373" t="str">
            <v>11301</v>
          </cell>
        </row>
        <row r="1374">
          <cell r="G1374" t="str">
            <v>Phường Thống Nhất</v>
          </cell>
          <cell r="I1374" t="str">
            <v>11301</v>
          </cell>
        </row>
        <row r="1375">
          <cell r="G1375" t="str">
            <v>Xã Lộc Hòa</v>
          </cell>
          <cell r="I1375" t="str">
            <v>11301</v>
          </cell>
        </row>
        <row r="1376">
          <cell r="G1376" t="str">
            <v>Xã Nam Vân</v>
          </cell>
          <cell r="I1376" t="str">
            <v>11301</v>
          </cell>
        </row>
        <row r="1377">
          <cell r="G1377" t="str">
            <v>Phường Vị Hoàng</v>
          </cell>
          <cell r="I1377" t="str">
            <v>11301</v>
          </cell>
        </row>
        <row r="1378">
          <cell r="G1378" t="str">
            <v xml:space="preserve">Phường Quang Trung       </v>
          </cell>
          <cell r="I1378" t="str">
            <v>11301</v>
          </cell>
        </row>
        <row r="1379">
          <cell r="G1379" t="str">
            <v>Phường Cửa Bắc</v>
          </cell>
          <cell r="I1379" t="str">
            <v>11301</v>
          </cell>
        </row>
        <row r="1380">
          <cell r="G1380" t="str">
            <v xml:space="preserve">Phường Nguyễn Du </v>
          </cell>
          <cell r="I1380" t="str">
            <v>11301</v>
          </cell>
        </row>
        <row r="1381">
          <cell r="G1381" t="str">
            <v>Phường Trường Thi</v>
          </cell>
          <cell r="I1381" t="str">
            <v>11301</v>
          </cell>
        </row>
        <row r="1382">
          <cell r="G1382" t="str">
            <v>Phường Phan Đình Phùng</v>
          </cell>
          <cell r="I1382" t="str">
            <v>11301</v>
          </cell>
        </row>
        <row r="1383">
          <cell r="G1383" t="str">
            <v xml:space="preserve">Phường Ngô Quyền </v>
          </cell>
          <cell r="I1383" t="str">
            <v>11301</v>
          </cell>
        </row>
        <row r="1384">
          <cell r="G1384" t="str">
            <v xml:space="preserve">Phường Trần Hưng Đạo   </v>
          </cell>
          <cell r="I1384" t="str">
            <v>11301</v>
          </cell>
        </row>
        <row r="1385">
          <cell r="G1385" t="str">
            <v>Phường Trần Đăng Ninh</v>
          </cell>
          <cell r="I1385" t="str">
            <v>11301</v>
          </cell>
        </row>
        <row r="1386">
          <cell r="G1386" t="str">
            <v>Phường Năng Tĩnh</v>
          </cell>
          <cell r="I1386" t="str">
            <v>11301</v>
          </cell>
        </row>
        <row r="1387">
          <cell r="G1387" t="str">
            <v xml:space="preserve">Phường Văn Miếu </v>
          </cell>
          <cell r="I1387" t="str">
            <v>11301</v>
          </cell>
        </row>
        <row r="1388">
          <cell r="G1388" t="str">
            <v>Phường Lộc Hạ</v>
          </cell>
          <cell r="I1388" t="str">
            <v>11301</v>
          </cell>
        </row>
        <row r="1389">
          <cell r="G1389" t="str">
            <v>Phường Lộc Vượng</v>
          </cell>
          <cell r="I1389" t="str">
            <v>11301</v>
          </cell>
        </row>
        <row r="1390">
          <cell r="G1390" t="str">
            <v xml:space="preserve">Phường Cửa Nam </v>
          </cell>
          <cell r="I1390" t="str">
            <v>11301</v>
          </cell>
        </row>
        <row r="1391">
          <cell r="G1391" t="str">
            <v xml:space="preserve">Xã Nam Phong </v>
          </cell>
          <cell r="I1391" t="str">
            <v>11301</v>
          </cell>
        </row>
        <row r="1392">
          <cell r="G1392" t="str">
            <v>Xã Mỹ Xá</v>
          </cell>
          <cell r="I1392" t="str">
            <v>11301</v>
          </cell>
        </row>
        <row r="1393">
          <cell r="G1393" t="str">
            <v>Xã Lộc An</v>
          </cell>
          <cell r="I1393" t="str">
            <v>11301</v>
          </cell>
        </row>
        <row r="1394">
          <cell r="G1394" t="str">
            <v>Phường Vị Xuyên</v>
          </cell>
          <cell r="I1394" t="str">
            <v>11301</v>
          </cell>
        </row>
        <row r="1395">
          <cell r="G1395" t="str">
            <v>Phường Hạ Long</v>
          </cell>
          <cell r="I1395" t="str">
            <v>11301</v>
          </cell>
        </row>
        <row r="1396">
          <cell r="G1396" t="str">
            <v>Phường Trần Tế Xương</v>
          </cell>
          <cell r="I1396" t="str">
            <v>11301</v>
          </cell>
        </row>
        <row r="1397">
          <cell r="G1397" t="str">
            <v>Xã Liên Bảo</v>
          </cell>
          <cell r="I1397" t="str">
            <v>11303</v>
          </cell>
        </row>
        <row r="1398">
          <cell r="G1398" t="str">
            <v>Xã Hiển Khánh</v>
          </cell>
          <cell r="I1398" t="str">
            <v>11303</v>
          </cell>
        </row>
        <row r="1399">
          <cell r="G1399" t="str">
            <v>Xã Minh Thuận</v>
          </cell>
          <cell r="I1399" t="str">
            <v>11303</v>
          </cell>
        </row>
        <row r="1400">
          <cell r="G1400" t="str">
            <v>Xã Đại An</v>
          </cell>
          <cell r="I1400" t="str">
            <v>11303</v>
          </cell>
        </row>
        <row r="1401">
          <cell r="G1401" t="str">
            <v>Xã Trung Thành</v>
          </cell>
          <cell r="I1401" t="str">
            <v>11303</v>
          </cell>
        </row>
        <row r="1402">
          <cell r="G1402" t="str">
            <v>Xã Kim Thái</v>
          </cell>
          <cell r="I1402" t="str">
            <v>11303</v>
          </cell>
        </row>
        <row r="1403">
          <cell r="G1403" t="str">
            <v>Xã Vĩnh Hào</v>
          </cell>
          <cell r="I1403" t="str">
            <v>11303</v>
          </cell>
        </row>
        <row r="1404">
          <cell r="G1404" t="str">
            <v>Thị trấn Gôi</v>
          </cell>
          <cell r="I1404" t="str">
            <v>11303</v>
          </cell>
        </row>
        <row r="1405">
          <cell r="G1405" t="str">
            <v>Xã Tân Khánh</v>
          </cell>
          <cell r="I1405" t="str">
            <v>11303</v>
          </cell>
        </row>
        <row r="1406">
          <cell r="G1406" t="str">
            <v>Xã Hợp Hưng</v>
          </cell>
          <cell r="I1406" t="str">
            <v>11303</v>
          </cell>
        </row>
        <row r="1407">
          <cell r="G1407" t="str">
            <v>Xã Tân Thành</v>
          </cell>
          <cell r="I1407" t="str">
            <v>11303</v>
          </cell>
        </row>
        <row r="1408">
          <cell r="G1408" t="str">
            <v xml:space="preserve">Xã Cộng Hòa   </v>
          </cell>
          <cell r="I1408" t="str">
            <v>11303</v>
          </cell>
        </row>
        <row r="1409">
          <cell r="G1409" t="str">
            <v xml:space="preserve">Xã Quang Trung    </v>
          </cell>
          <cell r="I1409" t="str">
            <v>11303</v>
          </cell>
        </row>
        <row r="1410">
          <cell r="G1410" t="str">
            <v xml:space="preserve">Xã Minh Tân     </v>
          </cell>
          <cell r="I1410" t="str">
            <v>11303</v>
          </cell>
        </row>
        <row r="1411">
          <cell r="G1411" t="str">
            <v>Xã Thành Lợi</v>
          </cell>
          <cell r="I1411" t="str">
            <v>11303</v>
          </cell>
        </row>
        <row r="1412">
          <cell r="G1412" t="str">
            <v>Xã Liên Minh</v>
          </cell>
          <cell r="I1412" t="str">
            <v>11303</v>
          </cell>
        </row>
        <row r="1413">
          <cell r="G1413" t="str">
            <v xml:space="preserve">Xã Đại Thắng  </v>
          </cell>
          <cell r="I1413" t="str">
            <v>11303</v>
          </cell>
        </row>
        <row r="1414">
          <cell r="G1414" t="str">
            <v>Xã Tam Thanh</v>
          </cell>
          <cell r="I1414" t="str">
            <v>11303</v>
          </cell>
        </row>
        <row r="1415">
          <cell r="G1415" t="str">
            <v>Xã Mỹ Trung</v>
          </cell>
          <cell r="I1415" t="str">
            <v>11305</v>
          </cell>
        </row>
        <row r="1416">
          <cell r="G1416" t="str">
            <v>Xã Mỹ Thắng</v>
          </cell>
          <cell r="I1416" t="str">
            <v>11305</v>
          </cell>
        </row>
        <row r="1417">
          <cell r="G1417" t="str">
            <v>Xã Mỹ Thuận</v>
          </cell>
          <cell r="I1417" t="str">
            <v>11305</v>
          </cell>
        </row>
        <row r="1418">
          <cell r="G1418" t="str">
            <v>Thị trấn Mỹ Lộc</v>
          </cell>
          <cell r="I1418" t="str">
            <v>11305</v>
          </cell>
        </row>
        <row r="1419">
          <cell r="G1419" t="str">
            <v>Xã Mỹ Hà</v>
          </cell>
          <cell r="I1419" t="str">
            <v>11305</v>
          </cell>
        </row>
        <row r="1420">
          <cell r="G1420" t="str">
            <v>Xã Mỹ Tiến</v>
          </cell>
          <cell r="I1420" t="str">
            <v>11305</v>
          </cell>
        </row>
        <row r="1421">
          <cell r="G1421" t="str">
            <v>Xã Mỹ Tân</v>
          </cell>
          <cell r="I1421" t="str">
            <v>11305</v>
          </cell>
        </row>
        <row r="1422">
          <cell r="G1422" t="str">
            <v>Xã Mỹ Phúc</v>
          </cell>
          <cell r="I1422" t="str">
            <v>11305</v>
          </cell>
        </row>
        <row r="1423">
          <cell r="G1423" t="str">
            <v xml:space="preserve">Xã Mỹ Hưng </v>
          </cell>
          <cell r="I1423" t="str">
            <v>11305</v>
          </cell>
        </row>
        <row r="1424">
          <cell r="G1424" t="str">
            <v>Xã Mỹ Thịnh</v>
          </cell>
          <cell r="I1424" t="str">
            <v>11305</v>
          </cell>
        </row>
        <row r="1425">
          <cell r="G1425" t="str">
            <v xml:space="preserve">Xã Mỹ Thành </v>
          </cell>
          <cell r="I1425" t="str">
            <v>11305</v>
          </cell>
        </row>
        <row r="1426">
          <cell r="G1426" t="str">
            <v>Xã Yên Lợi</v>
          </cell>
          <cell r="I1426" t="str">
            <v>11307</v>
          </cell>
        </row>
        <row r="1427">
          <cell r="G1427" t="str">
            <v>Xã Yên Dương</v>
          </cell>
          <cell r="I1427" t="str">
            <v>11307</v>
          </cell>
        </row>
        <row r="1428">
          <cell r="G1428" t="str">
            <v>Xã Yên Thắng</v>
          </cell>
          <cell r="I1428" t="str">
            <v>11307</v>
          </cell>
        </row>
        <row r="1429">
          <cell r="G1429" t="str">
            <v>Xã Yên Thành</v>
          </cell>
          <cell r="I1429" t="str">
            <v>11307</v>
          </cell>
        </row>
        <row r="1430">
          <cell r="G1430" t="str">
            <v>Xã Yên Nghĩa</v>
          </cell>
          <cell r="I1430" t="str">
            <v>11307</v>
          </cell>
        </row>
        <row r="1431">
          <cell r="G1431" t="str">
            <v xml:space="preserve">Xã Yên Bình </v>
          </cell>
          <cell r="I1431" t="str">
            <v>11307</v>
          </cell>
        </row>
        <row r="1432">
          <cell r="G1432" t="str">
            <v>Xã Yên Xá</v>
          </cell>
          <cell r="I1432" t="str">
            <v>11307</v>
          </cell>
        </row>
        <row r="1433">
          <cell r="G1433" t="str">
            <v>Xã Yên Ninh</v>
          </cell>
          <cell r="I1433" t="str">
            <v>11307</v>
          </cell>
        </row>
        <row r="1434">
          <cell r="G1434" t="str">
            <v>Xã Yên Tiến</v>
          </cell>
          <cell r="I1434" t="str">
            <v>11307</v>
          </cell>
        </row>
        <row r="1435">
          <cell r="G1435" t="str">
            <v>Xã Yên Lộc</v>
          </cell>
          <cell r="I1435" t="str">
            <v>11307</v>
          </cell>
        </row>
        <row r="1436">
          <cell r="G1436" t="str">
            <v>Xã Yên Khang</v>
          </cell>
          <cell r="I1436" t="str">
            <v>11307</v>
          </cell>
        </row>
        <row r="1437">
          <cell r="G1437" t="str">
            <v>Thị trấn Lâm</v>
          </cell>
          <cell r="I1437" t="str">
            <v>11307</v>
          </cell>
        </row>
        <row r="1438">
          <cell r="G1438" t="str">
            <v xml:space="preserve">Xã Yên Trung </v>
          </cell>
          <cell r="I1438" t="str">
            <v>11307</v>
          </cell>
        </row>
        <row r="1439">
          <cell r="G1439" t="str">
            <v>Xã Yên Tân</v>
          </cell>
          <cell r="I1439" t="str">
            <v>11307</v>
          </cell>
        </row>
        <row r="1440">
          <cell r="G1440" t="str">
            <v>Xã Yên Thọ</v>
          </cell>
          <cell r="I1440" t="str">
            <v>11307</v>
          </cell>
        </row>
        <row r="1441">
          <cell r="G1441" t="str">
            <v>Xã Yên Minh</v>
          </cell>
          <cell r="I1441" t="str">
            <v>11307</v>
          </cell>
        </row>
        <row r="1442">
          <cell r="G1442" t="str">
            <v>Xã Yên Phương</v>
          </cell>
          <cell r="I1442" t="str">
            <v>11307</v>
          </cell>
        </row>
        <row r="1443">
          <cell r="G1443" t="str">
            <v>Xã Yên Chính</v>
          </cell>
          <cell r="I1443" t="str">
            <v>11307</v>
          </cell>
        </row>
        <row r="1444">
          <cell r="G1444" t="str">
            <v xml:space="preserve">Xã Yên Phú </v>
          </cell>
          <cell r="I1444" t="str">
            <v>11307</v>
          </cell>
        </row>
        <row r="1445">
          <cell r="G1445" t="str">
            <v xml:space="preserve">Xã Yên Mỹ </v>
          </cell>
          <cell r="I1445" t="str">
            <v>11307</v>
          </cell>
        </row>
        <row r="1446">
          <cell r="G1446" t="str">
            <v>Xã Yên Hưng</v>
          </cell>
          <cell r="I1446" t="str">
            <v>11307</v>
          </cell>
        </row>
        <row r="1447">
          <cell r="G1447" t="str">
            <v>Xã Yên Khánh</v>
          </cell>
          <cell r="I1447" t="str">
            <v>11307</v>
          </cell>
        </row>
        <row r="1448">
          <cell r="G1448" t="str">
            <v>Xã Yên Phong</v>
          </cell>
          <cell r="I1448" t="str">
            <v>11307</v>
          </cell>
        </row>
        <row r="1449">
          <cell r="G1449" t="str">
            <v>Xã Yên Lương</v>
          </cell>
          <cell r="I1449" t="str">
            <v>11307</v>
          </cell>
        </row>
        <row r="1450">
          <cell r="G1450" t="str">
            <v>Xã Yên Hồng</v>
          </cell>
          <cell r="I1450" t="str">
            <v>11307</v>
          </cell>
        </row>
        <row r="1451">
          <cell r="G1451" t="str">
            <v>Xã Yên Quang</v>
          </cell>
          <cell r="I1451" t="str">
            <v>11307</v>
          </cell>
        </row>
        <row r="1452">
          <cell r="G1452" t="str">
            <v>Xã Yên Phúc</v>
          </cell>
          <cell r="I1452" t="str">
            <v>11307</v>
          </cell>
        </row>
        <row r="1453">
          <cell r="G1453" t="str">
            <v>Xã Yên Cường</v>
          </cell>
          <cell r="I1453" t="str">
            <v>11307</v>
          </cell>
        </row>
        <row r="1454">
          <cell r="G1454" t="str">
            <v>Xã Yên Bằng</v>
          </cell>
          <cell r="I1454" t="str">
            <v>11307</v>
          </cell>
        </row>
        <row r="1455">
          <cell r="G1455" t="str">
            <v>Xã Yên Đồng</v>
          </cell>
          <cell r="I1455" t="str">
            <v>11307</v>
          </cell>
        </row>
        <row r="1456">
          <cell r="G1456" t="str">
            <v>Xã Yên Nhân</v>
          </cell>
          <cell r="I1456" t="str">
            <v>11307</v>
          </cell>
        </row>
        <row r="1457">
          <cell r="G1457" t="str">
            <v>Xã Yên Trị</v>
          </cell>
          <cell r="I1457" t="str">
            <v>11307</v>
          </cell>
        </row>
        <row r="1458">
          <cell r="G1458" t="str">
            <v xml:space="preserve">Xã Hồng Quang   </v>
          </cell>
          <cell r="I1458" t="str">
            <v>11309</v>
          </cell>
        </row>
        <row r="1459">
          <cell r="G1459" t="str">
            <v>Xã Đồng Sơn</v>
          </cell>
          <cell r="I1459" t="str">
            <v>11309</v>
          </cell>
        </row>
        <row r="1460">
          <cell r="G1460" t="str">
            <v>Xã Nam Mỹ</v>
          </cell>
          <cell r="I1460" t="str">
            <v>11309</v>
          </cell>
        </row>
        <row r="1461">
          <cell r="G1461" t="str">
            <v>Xã Nam Hoa</v>
          </cell>
          <cell r="I1461" t="str">
            <v>11309</v>
          </cell>
        </row>
        <row r="1462">
          <cell r="G1462" t="str">
            <v>Xã Nam Lợi</v>
          </cell>
          <cell r="I1462" t="str">
            <v>11309</v>
          </cell>
        </row>
        <row r="1463">
          <cell r="G1463" t="str">
            <v>Xã Nam Hải</v>
          </cell>
          <cell r="I1463" t="str">
            <v>11309</v>
          </cell>
        </row>
        <row r="1464">
          <cell r="G1464" t="str">
            <v xml:space="preserve">Xã Nghĩa An </v>
          </cell>
          <cell r="I1464" t="str">
            <v>11309</v>
          </cell>
        </row>
        <row r="1465">
          <cell r="G1465" t="str">
            <v>Xã Nam Thắng</v>
          </cell>
          <cell r="I1465" t="str">
            <v>11309</v>
          </cell>
        </row>
        <row r="1466">
          <cell r="G1466" t="str">
            <v>Xã Nam Toàn</v>
          </cell>
          <cell r="I1466" t="str">
            <v>11309</v>
          </cell>
        </row>
        <row r="1467">
          <cell r="G1467" t="str">
            <v>Xã Tân Thịnh</v>
          </cell>
          <cell r="I1467" t="str">
            <v>11309</v>
          </cell>
        </row>
        <row r="1468">
          <cell r="G1468" t="str">
            <v>Xã Nam Cường</v>
          </cell>
          <cell r="I1468" t="str">
            <v>11309</v>
          </cell>
        </row>
        <row r="1469">
          <cell r="G1469" t="str">
            <v xml:space="preserve">Xã Nam Hồng  </v>
          </cell>
          <cell r="I1469" t="str">
            <v>11309</v>
          </cell>
        </row>
        <row r="1470">
          <cell r="G1470" t="str">
            <v>Xã Nam Hùng</v>
          </cell>
          <cell r="I1470" t="str">
            <v>11309</v>
          </cell>
        </row>
        <row r="1471">
          <cell r="G1471" t="str">
            <v>Xã Nam Dương</v>
          </cell>
          <cell r="I1471" t="str">
            <v>11309</v>
          </cell>
        </row>
        <row r="1472">
          <cell r="G1472" t="str">
            <v>Xã Nam Thanh</v>
          </cell>
          <cell r="I1472" t="str">
            <v>11309</v>
          </cell>
        </row>
        <row r="1473">
          <cell r="G1473" t="str">
            <v xml:space="preserve">Xã Bình Minh   </v>
          </cell>
          <cell r="I1473" t="str">
            <v>11309</v>
          </cell>
        </row>
        <row r="1474">
          <cell r="G1474" t="str">
            <v>Xã Nam Tiến</v>
          </cell>
          <cell r="I1474" t="str">
            <v>11309</v>
          </cell>
        </row>
        <row r="1475">
          <cell r="G1475" t="str">
            <v>Xã Nam Thái</v>
          </cell>
          <cell r="I1475" t="str">
            <v>11309</v>
          </cell>
        </row>
        <row r="1476">
          <cell r="G1476" t="str">
            <v>Xã Điền Xá</v>
          </cell>
          <cell r="I1476" t="str">
            <v>11309</v>
          </cell>
        </row>
        <row r="1477">
          <cell r="G1477" t="str">
            <v>Thị trấn Nam Giang</v>
          </cell>
          <cell r="I1477" t="str">
            <v>11309</v>
          </cell>
        </row>
        <row r="1478">
          <cell r="G1478" t="str">
            <v>Xã Trực Tuấn</v>
          </cell>
          <cell r="I1478" t="str">
            <v>11311</v>
          </cell>
        </row>
        <row r="1479">
          <cell r="G1479" t="str">
            <v>Xã Trực Đại</v>
          </cell>
          <cell r="I1479" t="str">
            <v>11311</v>
          </cell>
        </row>
        <row r="1480">
          <cell r="G1480" t="str">
            <v>Xã Trực Chính</v>
          </cell>
          <cell r="I1480" t="str">
            <v>11311</v>
          </cell>
        </row>
        <row r="1481">
          <cell r="G1481" t="str">
            <v xml:space="preserve">Xã Việt Hùng </v>
          </cell>
          <cell r="I1481" t="str">
            <v>11311</v>
          </cell>
        </row>
        <row r="1482">
          <cell r="G1482" t="str">
            <v>Thị trấn Cát Thành</v>
          </cell>
          <cell r="I1482" t="str">
            <v>11311</v>
          </cell>
        </row>
        <row r="1483">
          <cell r="G1483" t="str">
            <v>Xã Trực Mỹ</v>
          </cell>
          <cell r="I1483" t="str">
            <v>11311</v>
          </cell>
        </row>
        <row r="1484">
          <cell r="G1484" t="str">
            <v>Xã Trực Thái</v>
          </cell>
          <cell r="I1484" t="str">
            <v>11311</v>
          </cell>
        </row>
        <row r="1485">
          <cell r="G1485" t="str">
            <v>Thị trấn Cổ Lễ</v>
          </cell>
          <cell r="I1485" t="str">
            <v>11311</v>
          </cell>
        </row>
        <row r="1486">
          <cell r="G1486" t="str">
            <v>Xã Phương Định</v>
          </cell>
          <cell r="I1486" t="str">
            <v>11311</v>
          </cell>
        </row>
        <row r="1487">
          <cell r="G1487" t="str">
            <v>Xã Trung Đông</v>
          </cell>
          <cell r="I1487" t="str">
            <v>11311</v>
          </cell>
        </row>
        <row r="1488">
          <cell r="G1488" t="str">
            <v>Xã Liêm Hải</v>
          </cell>
          <cell r="I1488" t="str">
            <v>11311</v>
          </cell>
        </row>
        <row r="1489">
          <cell r="G1489" t="str">
            <v>Xã Trực Đạo</v>
          </cell>
          <cell r="I1489" t="str">
            <v>11311</v>
          </cell>
        </row>
        <row r="1490">
          <cell r="G1490" t="str">
            <v>Xã Trực Hưng</v>
          </cell>
          <cell r="I1490" t="str">
            <v>11311</v>
          </cell>
        </row>
        <row r="1491">
          <cell r="G1491" t="str">
            <v>Xã Trực Nội</v>
          </cell>
          <cell r="I1491" t="str">
            <v>11311</v>
          </cell>
        </row>
        <row r="1492">
          <cell r="G1492" t="str">
            <v>Xã Trực Thanh</v>
          </cell>
          <cell r="I1492" t="str">
            <v>11311</v>
          </cell>
        </row>
        <row r="1493">
          <cell r="G1493" t="str">
            <v>Xã Trực Khang</v>
          </cell>
          <cell r="I1493" t="str">
            <v>11311</v>
          </cell>
        </row>
        <row r="1494">
          <cell r="G1494" t="str">
            <v>Xã Trực Thuận</v>
          </cell>
          <cell r="I1494" t="str">
            <v>11311</v>
          </cell>
        </row>
        <row r="1495">
          <cell r="G1495" t="str">
            <v>Xã Trực Cường</v>
          </cell>
          <cell r="I1495" t="str">
            <v>11311</v>
          </cell>
        </row>
        <row r="1496">
          <cell r="G1496" t="str">
            <v>Xã Trực Phú</v>
          </cell>
          <cell r="I1496" t="str">
            <v>11311</v>
          </cell>
        </row>
        <row r="1497">
          <cell r="G1497" t="str">
            <v>Xã Trực Hùng</v>
          </cell>
          <cell r="I1497" t="str">
            <v>11311</v>
          </cell>
        </row>
        <row r="1498">
          <cell r="G1498" t="str">
            <v>Xã Trực Thắng</v>
          </cell>
          <cell r="I1498" t="str">
            <v>11311</v>
          </cell>
        </row>
        <row r="1499">
          <cell r="G1499" t="str">
            <v>Xã Xuân Thành</v>
          </cell>
          <cell r="I1499" t="str">
            <v>11313</v>
          </cell>
        </row>
        <row r="1500">
          <cell r="G1500" t="str">
            <v>Xã Xuân Trung</v>
          </cell>
          <cell r="I1500" t="str">
            <v>11313</v>
          </cell>
        </row>
        <row r="1501">
          <cell r="G1501" t="str">
            <v>Xã Xuân Châu</v>
          </cell>
          <cell r="I1501" t="str">
            <v>11313</v>
          </cell>
        </row>
        <row r="1502">
          <cell r="G1502" t="str">
            <v>Xã Xuân Phong</v>
          </cell>
          <cell r="I1502" t="str">
            <v>11313</v>
          </cell>
        </row>
        <row r="1503">
          <cell r="G1503" t="str">
            <v>Xã Xuân Ngọc</v>
          </cell>
          <cell r="I1503" t="str">
            <v>11313</v>
          </cell>
        </row>
        <row r="1504">
          <cell r="G1504" t="str">
            <v xml:space="preserve">Xã Xuân Phú </v>
          </cell>
          <cell r="I1504" t="str">
            <v>11313</v>
          </cell>
        </row>
        <row r="1505">
          <cell r="G1505" t="str">
            <v>Xã Xuân Tiến</v>
          </cell>
          <cell r="I1505" t="str">
            <v>11313</v>
          </cell>
        </row>
        <row r="1506">
          <cell r="G1506" t="str">
            <v>Thị trấn Xuân Trường</v>
          </cell>
          <cell r="I1506" t="str">
            <v>11313</v>
          </cell>
        </row>
        <row r="1507">
          <cell r="G1507" t="str">
            <v>Xã Xuân Hồng</v>
          </cell>
          <cell r="I1507" t="str">
            <v>11313</v>
          </cell>
        </row>
        <row r="1508">
          <cell r="G1508" t="str">
            <v>Xã Xuân Thượng</v>
          </cell>
          <cell r="I1508" t="str">
            <v>11313</v>
          </cell>
        </row>
        <row r="1509">
          <cell r="G1509" t="str">
            <v>Xã Xuân Đài</v>
          </cell>
          <cell r="I1509" t="str">
            <v>11313</v>
          </cell>
        </row>
        <row r="1510">
          <cell r="G1510" t="str">
            <v>Xã Xuân Tân</v>
          </cell>
          <cell r="I1510" t="str">
            <v>11313</v>
          </cell>
        </row>
        <row r="1511">
          <cell r="G1511" t="str">
            <v>Xã Xuân Thủy</v>
          </cell>
          <cell r="I1511" t="str">
            <v>11313</v>
          </cell>
        </row>
        <row r="1512">
          <cell r="G1512" t="str">
            <v>Xã Xuân Bắc</v>
          </cell>
          <cell r="I1512" t="str">
            <v>11313</v>
          </cell>
        </row>
        <row r="1513">
          <cell r="G1513" t="str">
            <v xml:space="preserve">Xã Xuân Phương </v>
          </cell>
          <cell r="I1513" t="str">
            <v>11313</v>
          </cell>
        </row>
        <row r="1514">
          <cell r="G1514" t="str">
            <v>Xã Thọ Nghiệp</v>
          </cell>
          <cell r="I1514" t="str">
            <v>11313</v>
          </cell>
        </row>
        <row r="1515">
          <cell r="G1515" t="str">
            <v>Xã Xuân Vinh</v>
          </cell>
          <cell r="I1515" t="str">
            <v>11313</v>
          </cell>
        </row>
        <row r="1516">
          <cell r="G1516" t="str">
            <v>Xã Xuân Kiên</v>
          </cell>
          <cell r="I1516" t="str">
            <v>11313</v>
          </cell>
        </row>
        <row r="1517">
          <cell r="G1517" t="str">
            <v>Xã Xuân Ninh</v>
          </cell>
          <cell r="I1517" t="str">
            <v>11313</v>
          </cell>
        </row>
        <row r="1518">
          <cell r="G1518" t="str">
            <v>Xã Xuân Hòa</v>
          </cell>
          <cell r="I1518" t="str">
            <v>11313</v>
          </cell>
        </row>
        <row r="1519">
          <cell r="G1519" t="str">
            <v>Xã Giao Thiện</v>
          </cell>
          <cell r="I1519" t="str">
            <v>11315</v>
          </cell>
        </row>
        <row r="1520">
          <cell r="G1520" t="str">
            <v>Xã Giao Châu</v>
          </cell>
          <cell r="I1520" t="str">
            <v>11315</v>
          </cell>
        </row>
        <row r="1521">
          <cell r="G1521" t="str">
            <v>Thị trấn Quất Lâm</v>
          </cell>
          <cell r="I1521" t="str">
            <v>11315</v>
          </cell>
        </row>
        <row r="1522">
          <cell r="G1522" t="str">
            <v>Xã Giao Thanh</v>
          </cell>
          <cell r="I1522" t="str">
            <v>11315</v>
          </cell>
        </row>
        <row r="1523">
          <cell r="G1523" t="str">
            <v>Xã Giao Nhân</v>
          </cell>
          <cell r="I1523" t="str">
            <v>11315</v>
          </cell>
        </row>
        <row r="1524">
          <cell r="G1524" t="str">
            <v>Xã Giao Tân</v>
          </cell>
          <cell r="I1524" t="str">
            <v>11315</v>
          </cell>
        </row>
        <row r="1525">
          <cell r="G1525" t="str">
            <v>Xã Giao Thịnh</v>
          </cell>
          <cell r="I1525" t="str">
            <v>11315</v>
          </cell>
        </row>
        <row r="1526">
          <cell r="G1526" t="str">
            <v>Thị trấn Ngô Đồng</v>
          </cell>
          <cell r="I1526" t="str">
            <v>11315</v>
          </cell>
        </row>
        <row r="1527">
          <cell r="G1527" t="str">
            <v>Xã Giao Hương</v>
          </cell>
          <cell r="I1527" t="str">
            <v>11315</v>
          </cell>
        </row>
        <row r="1528">
          <cell r="G1528" t="str">
            <v>Xã Hồng Thuận</v>
          </cell>
          <cell r="I1528" t="str">
            <v>11315</v>
          </cell>
        </row>
        <row r="1529">
          <cell r="G1529" t="str">
            <v xml:space="preserve">Xã Hoành Sơn </v>
          </cell>
          <cell r="I1529" t="str">
            <v>11315</v>
          </cell>
        </row>
        <row r="1530">
          <cell r="G1530" t="str">
            <v>Xã Bình Hòa</v>
          </cell>
          <cell r="I1530" t="str">
            <v>11315</v>
          </cell>
        </row>
        <row r="1531">
          <cell r="G1531" t="str">
            <v>Xã Giao Tiến</v>
          </cell>
          <cell r="I1531" t="str">
            <v>11315</v>
          </cell>
        </row>
        <row r="1532">
          <cell r="G1532" t="str">
            <v>Xã Giao Hà</v>
          </cell>
          <cell r="I1532" t="str">
            <v>11315</v>
          </cell>
        </row>
        <row r="1533">
          <cell r="G1533" t="str">
            <v>Xã Giao An</v>
          </cell>
          <cell r="I1533" t="str">
            <v>11315</v>
          </cell>
        </row>
        <row r="1534">
          <cell r="G1534" t="str">
            <v>Xã Giao Lạc</v>
          </cell>
          <cell r="I1534" t="str">
            <v>11315</v>
          </cell>
        </row>
        <row r="1535">
          <cell r="G1535" t="str">
            <v>Xã Giao Yến</v>
          </cell>
          <cell r="I1535" t="str">
            <v>11315</v>
          </cell>
        </row>
        <row r="1536">
          <cell r="G1536" t="str">
            <v>Xã Giao Xuân</v>
          </cell>
          <cell r="I1536" t="str">
            <v>11315</v>
          </cell>
        </row>
        <row r="1537">
          <cell r="G1537" t="str">
            <v>Xã Giao Hải</v>
          </cell>
          <cell r="I1537" t="str">
            <v>11315</v>
          </cell>
        </row>
        <row r="1538">
          <cell r="G1538" t="str">
            <v>Xã Bạch Long</v>
          </cell>
          <cell r="I1538" t="str">
            <v>11315</v>
          </cell>
        </row>
        <row r="1539">
          <cell r="G1539" t="str">
            <v>Xã Giao Long</v>
          </cell>
          <cell r="I1539" t="str">
            <v>11315</v>
          </cell>
        </row>
        <row r="1540">
          <cell r="G1540" t="str">
            <v>Xã Giao Phong</v>
          </cell>
          <cell r="I1540" t="str">
            <v>11315</v>
          </cell>
        </row>
        <row r="1541">
          <cell r="G1541" t="str">
            <v>Xã Nghĩa Đồng</v>
          </cell>
          <cell r="I1541" t="str">
            <v>11317</v>
          </cell>
        </row>
        <row r="1542">
          <cell r="G1542" t="str">
            <v>Xã Nghĩa Hồng</v>
          </cell>
          <cell r="I1542" t="str">
            <v>11317</v>
          </cell>
        </row>
        <row r="1543">
          <cell r="G1543" t="str">
            <v>Xã Nghĩa Lợi</v>
          </cell>
          <cell r="I1543" t="str">
            <v>11317</v>
          </cell>
        </row>
        <row r="1544">
          <cell r="G1544" t="str">
            <v>Thị trấn Rạng Đông</v>
          </cell>
          <cell r="I1544" t="str">
            <v>11317</v>
          </cell>
        </row>
        <row r="1545">
          <cell r="G1545" t="str">
            <v>Xã Hoàng Nam</v>
          </cell>
          <cell r="I1545" t="str">
            <v>11317</v>
          </cell>
        </row>
        <row r="1546">
          <cell r="G1546" t="str">
            <v>Xã Nghĩa Lạc</v>
          </cell>
          <cell r="I1546" t="str">
            <v>11317</v>
          </cell>
        </row>
        <row r="1547">
          <cell r="G1547" t="str">
            <v>Xã Nghĩa Bình</v>
          </cell>
          <cell r="I1547" t="str">
            <v>11317</v>
          </cell>
        </row>
        <row r="1548">
          <cell r="G1548" t="str">
            <v>Xã Nghĩa Lâm</v>
          </cell>
          <cell r="I1548" t="str">
            <v>11317</v>
          </cell>
        </row>
        <row r="1549">
          <cell r="G1549" t="str">
            <v>Xã Nghĩa Hải</v>
          </cell>
          <cell r="I1549" t="str">
            <v>11317</v>
          </cell>
        </row>
        <row r="1550">
          <cell r="G1550" t="str">
            <v>Thị trấn Liễu Đề</v>
          </cell>
          <cell r="I1550" t="str">
            <v>11317</v>
          </cell>
        </row>
        <row r="1551">
          <cell r="G1551" t="str">
            <v>Xã Nghĩa Thịnh</v>
          </cell>
          <cell r="I1551" t="str">
            <v>11317</v>
          </cell>
        </row>
        <row r="1552">
          <cell r="G1552" t="str">
            <v>Xã Nghĩa Minh</v>
          </cell>
          <cell r="I1552" t="str">
            <v>11317</v>
          </cell>
        </row>
        <row r="1553">
          <cell r="G1553" t="str">
            <v>Xã Nghĩa Thái</v>
          </cell>
          <cell r="I1553" t="str">
            <v>11317</v>
          </cell>
        </row>
        <row r="1554">
          <cell r="G1554" t="str">
            <v>Xã Nghĩa Châu</v>
          </cell>
          <cell r="I1554" t="str">
            <v>11317</v>
          </cell>
        </row>
        <row r="1555">
          <cell r="G1555" t="str">
            <v>Xã Nghĩa Trung</v>
          </cell>
          <cell r="I1555" t="str">
            <v>11317</v>
          </cell>
        </row>
        <row r="1556">
          <cell r="G1556" t="str">
            <v>Xã Nghĩa Sơn</v>
          </cell>
          <cell r="I1556" t="str">
            <v>11317</v>
          </cell>
        </row>
        <row r="1557">
          <cell r="G1557" t="str">
            <v>Xã Nghĩa Phong</v>
          </cell>
          <cell r="I1557" t="str">
            <v>11317</v>
          </cell>
        </row>
        <row r="1558">
          <cell r="G1558" t="str">
            <v>Xã Nghĩa Phú</v>
          </cell>
          <cell r="I1558" t="str">
            <v>11317</v>
          </cell>
        </row>
        <row r="1559">
          <cell r="G1559" t="str">
            <v>Thị trấn Quỹ Nhất</v>
          </cell>
          <cell r="I1559" t="str">
            <v>11317</v>
          </cell>
        </row>
        <row r="1560">
          <cell r="G1560" t="str">
            <v>Xã Nghĩa Tân</v>
          </cell>
          <cell r="I1560" t="str">
            <v>11317</v>
          </cell>
        </row>
        <row r="1561">
          <cell r="G1561" t="str">
            <v>Xã Nghĩa Hùng</v>
          </cell>
          <cell r="I1561" t="str">
            <v>11317</v>
          </cell>
        </row>
        <row r="1562">
          <cell r="G1562" t="str">
            <v>Xã Nghĩa Thành</v>
          </cell>
          <cell r="I1562" t="str">
            <v>11317</v>
          </cell>
        </row>
        <row r="1563">
          <cell r="G1563" t="str">
            <v>Xã Nghĩa Thắng</v>
          </cell>
          <cell r="I1563" t="str">
            <v>11317</v>
          </cell>
        </row>
        <row r="1564">
          <cell r="G1564" t="str">
            <v>Xã Nghĩa Phúc</v>
          </cell>
          <cell r="I1564" t="str">
            <v>11317</v>
          </cell>
        </row>
        <row r="1565">
          <cell r="G1565" t="str">
            <v>Xã Nam Điền</v>
          </cell>
          <cell r="I1565" t="str">
            <v>11317</v>
          </cell>
        </row>
        <row r="1566">
          <cell r="G1566" t="str">
            <v>Thị trấn Thịnh Long</v>
          </cell>
          <cell r="I1566" t="str">
            <v>11319</v>
          </cell>
        </row>
        <row r="1567">
          <cell r="G1567" t="str">
            <v>Xã Hải Phương</v>
          </cell>
          <cell r="I1567" t="str">
            <v>11319</v>
          </cell>
        </row>
        <row r="1568">
          <cell r="G1568" t="str">
            <v>Xã Hải Tây</v>
          </cell>
          <cell r="I1568" t="str">
            <v>11319</v>
          </cell>
        </row>
        <row r="1569">
          <cell r="G1569" t="str">
            <v>Xã Hải Lộc</v>
          </cell>
          <cell r="I1569" t="str">
            <v>11319</v>
          </cell>
        </row>
        <row r="1570">
          <cell r="G1570" t="str">
            <v>Xã Hải Sơn</v>
          </cell>
          <cell r="I1570" t="str">
            <v>11319</v>
          </cell>
        </row>
        <row r="1571">
          <cell r="G1571" t="str">
            <v>Xã Hải An</v>
          </cell>
          <cell r="I1571" t="str">
            <v>11319</v>
          </cell>
        </row>
        <row r="1572">
          <cell r="G1572" t="str">
            <v>Xã Hải Giang</v>
          </cell>
          <cell r="I1572" t="str">
            <v>11319</v>
          </cell>
        </row>
        <row r="1573">
          <cell r="G1573" t="str">
            <v>Xã Hải Xuân</v>
          </cell>
          <cell r="I1573" t="str">
            <v>11319</v>
          </cell>
        </row>
        <row r="1574">
          <cell r="G1574" t="str">
            <v>Xã Hải Hà</v>
          </cell>
          <cell r="I1574" t="str">
            <v>11319</v>
          </cell>
        </row>
        <row r="1575">
          <cell r="G1575" t="str">
            <v>Thị trấn Yên Định</v>
          </cell>
          <cell r="I1575" t="str">
            <v>11319</v>
          </cell>
        </row>
        <row r="1576">
          <cell r="G1576" t="str">
            <v>Xã Hải Trung</v>
          </cell>
          <cell r="I1576" t="str">
            <v>11319</v>
          </cell>
        </row>
        <row r="1577">
          <cell r="G1577" t="str">
            <v>Xã Hải Hưng</v>
          </cell>
          <cell r="I1577" t="str">
            <v>11319</v>
          </cell>
        </row>
        <row r="1578">
          <cell r="G1578" t="str">
            <v xml:space="preserve">Xã Hải Triều </v>
          </cell>
          <cell r="I1578" t="str">
            <v>11319</v>
          </cell>
        </row>
        <row r="1579">
          <cell r="G1579" t="str">
            <v>Xã Hải Hòa</v>
          </cell>
          <cell r="I1579" t="str">
            <v>11319</v>
          </cell>
        </row>
        <row r="1580">
          <cell r="G1580" t="str">
            <v>Xã Hải Châu</v>
          </cell>
          <cell r="I1580" t="str">
            <v>11319</v>
          </cell>
        </row>
        <row r="1581">
          <cell r="G1581" t="str">
            <v>Thị trấn Cồn</v>
          </cell>
          <cell r="I1581" t="str">
            <v>11319</v>
          </cell>
        </row>
        <row r="1582">
          <cell r="G1582" t="str">
            <v>Xã Hải Nam</v>
          </cell>
          <cell r="I1582" t="str">
            <v>11319</v>
          </cell>
        </row>
        <row r="1583">
          <cell r="G1583" t="str">
            <v>Xã Hải Vân</v>
          </cell>
          <cell r="I1583" t="str">
            <v>11319</v>
          </cell>
        </row>
        <row r="1584">
          <cell r="G1584" t="str">
            <v>Xã Hải Minh</v>
          </cell>
          <cell r="I1584" t="str">
            <v>11319</v>
          </cell>
        </row>
        <row r="1585">
          <cell r="G1585" t="str">
            <v>Xã Hải Anh</v>
          </cell>
          <cell r="I1585" t="str">
            <v>11319</v>
          </cell>
        </row>
        <row r="1586">
          <cell r="G1586" t="str">
            <v>Xã Hải Bắc</v>
          </cell>
          <cell r="I1586" t="str">
            <v>11319</v>
          </cell>
        </row>
        <row r="1587">
          <cell r="G1587" t="str">
            <v>Xã Hải Phúc</v>
          </cell>
          <cell r="I1587" t="str">
            <v>11319</v>
          </cell>
        </row>
        <row r="1588">
          <cell r="G1588" t="str">
            <v>Xã Hải Thanh</v>
          </cell>
          <cell r="I1588" t="str">
            <v>11319</v>
          </cell>
        </row>
        <row r="1589">
          <cell r="G1589" t="str">
            <v>Xã Hải Long</v>
          </cell>
          <cell r="I1589" t="str">
            <v>11319</v>
          </cell>
        </row>
        <row r="1590">
          <cell r="G1590" t="str">
            <v>Xã Hải Đường</v>
          </cell>
          <cell r="I1590" t="str">
            <v>11319</v>
          </cell>
        </row>
        <row r="1591">
          <cell r="G1591" t="str">
            <v>Xã Hải Quang</v>
          </cell>
          <cell r="I1591" t="str">
            <v>11319</v>
          </cell>
        </row>
        <row r="1592">
          <cell r="G1592" t="str">
            <v>Xã Hải Đông</v>
          </cell>
          <cell r="I1592" t="str">
            <v>11319</v>
          </cell>
        </row>
        <row r="1593">
          <cell r="G1593" t="str">
            <v>Xã Hải Tân</v>
          </cell>
          <cell r="I1593" t="str">
            <v>11319</v>
          </cell>
        </row>
        <row r="1594">
          <cell r="G1594" t="str">
            <v>Xã Hải Toàn</v>
          </cell>
          <cell r="I1594" t="str">
            <v>11319</v>
          </cell>
        </row>
        <row r="1595">
          <cell r="G1595" t="str">
            <v>Xã Hải Phong</v>
          </cell>
          <cell r="I1595" t="str">
            <v>11319</v>
          </cell>
        </row>
        <row r="1596">
          <cell r="G1596" t="str">
            <v>Xã Hải Lý</v>
          </cell>
          <cell r="I1596" t="str">
            <v>11319</v>
          </cell>
        </row>
        <row r="1597">
          <cell r="G1597" t="str">
            <v>Xã Hải Phú</v>
          </cell>
          <cell r="I1597" t="str">
            <v>11319</v>
          </cell>
        </row>
        <row r="1598">
          <cell r="G1598" t="str">
            <v>Xã Hải Cường</v>
          </cell>
          <cell r="I1598" t="str">
            <v>11319</v>
          </cell>
        </row>
        <row r="1599">
          <cell r="G1599" t="str">
            <v>Xã Hải Ninh</v>
          </cell>
          <cell r="I1599" t="str">
            <v>11319</v>
          </cell>
        </row>
        <row r="1600">
          <cell r="G1600" t="str">
            <v>Xã Hải Chính</v>
          </cell>
          <cell r="I1600" t="str">
            <v>11319</v>
          </cell>
        </row>
        <row r="1601">
          <cell r="G1601" t="str">
            <v xml:space="preserve">Phường Lê Hồng Phong </v>
          </cell>
          <cell r="I1601" t="str">
            <v>11501</v>
          </cell>
        </row>
        <row r="1602">
          <cell r="G1602" t="str">
            <v>Phường Bồ Xuyên</v>
          </cell>
          <cell r="I1602" t="str">
            <v>11501</v>
          </cell>
        </row>
        <row r="1603">
          <cell r="G1603" t="str">
            <v>Phường Đề Thám</v>
          </cell>
          <cell r="I1603" t="str">
            <v>11501</v>
          </cell>
        </row>
        <row r="1604">
          <cell r="G1604" t="str">
            <v>Phường Kỳ Bá</v>
          </cell>
          <cell r="I1604" t="str">
            <v>11501</v>
          </cell>
        </row>
        <row r="1605">
          <cell r="G1605" t="str">
            <v xml:space="preserve">Phường Quang Trung        </v>
          </cell>
          <cell r="I1605" t="str">
            <v>11501</v>
          </cell>
        </row>
        <row r="1606">
          <cell r="G1606" t="str">
            <v>Phường Phú Khánh</v>
          </cell>
          <cell r="I1606" t="str">
            <v>11501</v>
          </cell>
        </row>
        <row r="1607">
          <cell r="G1607" t="str">
            <v>Xã Đông Hòa</v>
          </cell>
          <cell r="I1607" t="str">
            <v>11501</v>
          </cell>
        </row>
        <row r="1608">
          <cell r="G1608" t="str">
            <v>Phường Hoàng Diệu</v>
          </cell>
          <cell r="I1608" t="str">
            <v>11501</v>
          </cell>
        </row>
        <row r="1609">
          <cell r="G1609" t="str">
            <v>Phường Tiền Phong</v>
          </cell>
          <cell r="I1609" t="str">
            <v>11501</v>
          </cell>
        </row>
        <row r="1610">
          <cell r="G1610" t="str">
            <v>Xã Phú Xuân</v>
          </cell>
          <cell r="I1610" t="str">
            <v>11501</v>
          </cell>
        </row>
        <row r="1611">
          <cell r="G1611" t="str">
            <v>Phường Trần Lãm</v>
          </cell>
          <cell r="I1611" t="str">
            <v>11501</v>
          </cell>
        </row>
        <row r="1612">
          <cell r="G1612" t="str">
            <v>Xã Vũ Chính</v>
          </cell>
          <cell r="I1612" t="str">
            <v>11501</v>
          </cell>
        </row>
        <row r="1613">
          <cell r="G1613" t="str">
            <v>Xã Vũ Phúc</v>
          </cell>
          <cell r="I1613" t="str">
            <v>11501</v>
          </cell>
        </row>
        <row r="1614">
          <cell r="G1614" t="str">
            <v xml:space="preserve">Phường Trần Hưng Đạo    </v>
          </cell>
          <cell r="I1614" t="str">
            <v>11501</v>
          </cell>
        </row>
        <row r="1615">
          <cell r="G1615" t="str">
            <v>Xã Đông Thọ</v>
          </cell>
          <cell r="I1615" t="str">
            <v>11501</v>
          </cell>
        </row>
        <row r="1616">
          <cell r="G1616" t="str">
            <v xml:space="preserve">Xã Đông Mỹ </v>
          </cell>
          <cell r="I1616" t="str">
            <v>11501</v>
          </cell>
        </row>
        <row r="1617">
          <cell r="G1617" t="str">
            <v>Xã Tân Bình</v>
          </cell>
          <cell r="I1617" t="str">
            <v>11501</v>
          </cell>
        </row>
        <row r="1618">
          <cell r="G1618" t="str">
            <v>Xã Vũ Lạc</v>
          </cell>
          <cell r="I1618" t="str">
            <v>11501</v>
          </cell>
        </row>
        <row r="1619">
          <cell r="G1619" t="str">
            <v>Xã Vũ Đông</v>
          </cell>
          <cell r="I1619" t="str">
            <v>11501</v>
          </cell>
        </row>
        <row r="1620">
          <cell r="G1620" t="str">
            <v>Xã Quỳnh Giao</v>
          </cell>
          <cell r="I1620" t="str">
            <v>11503</v>
          </cell>
        </row>
        <row r="1621">
          <cell r="G1621" t="str">
            <v>Xã Quỳnh Hội</v>
          </cell>
          <cell r="I1621" t="str">
            <v>11503</v>
          </cell>
        </row>
        <row r="1622">
          <cell r="G1622" t="str">
            <v xml:space="preserve">Xã An Mỹ  </v>
          </cell>
          <cell r="I1622" t="str">
            <v>11503</v>
          </cell>
        </row>
        <row r="1623">
          <cell r="G1623" t="str">
            <v xml:space="preserve">Xã An Đồng </v>
          </cell>
          <cell r="I1623" t="str">
            <v>11503</v>
          </cell>
        </row>
        <row r="1624">
          <cell r="G1624" t="str">
            <v>Xã Quỳnh Thọ</v>
          </cell>
          <cell r="I1624" t="str">
            <v>11503</v>
          </cell>
        </row>
        <row r="1625">
          <cell r="G1625" t="str">
            <v xml:space="preserve">Xã An Thái </v>
          </cell>
          <cell r="I1625" t="str">
            <v>11503</v>
          </cell>
        </row>
        <row r="1626">
          <cell r="G1626" t="str">
            <v>Xã Quỳnh Minh</v>
          </cell>
          <cell r="I1626" t="str">
            <v>11503</v>
          </cell>
        </row>
        <row r="1627">
          <cell r="G1627" t="str">
            <v>Xã An Bài</v>
          </cell>
          <cell r="I1627" t="str">
            <v>11503</v>
          </cell>
        </row>
        <row r="1628">
          <cell r="G1628" t="str">
            <v>Xã Quỳnh Mỹ</v>
          </cell>
          <cell r="I1628" t="str">
            <v>11503</v>
          </cell>
        </row>
        <row r="1629">
          <cell r="G1629" t="str">
            <v>Xã An Vũ</v>
          </cell>
          <cell r="I1629" t="str">
            <v>11503</v>
          </cell>
        </row>
        <row r="1630">
          <cell r="G1630" t="str">
            <v>Xã Quỳnh Bảo</v>
          </cell>
          <cell r="I1630" t="str">
            <v>11503</v>
          </cell>
        </row>
        <row r="1631">
          <cell r="G1631" t="str">
            <v>Xã Quỳnh Xá</v>
          </cell>
          <cell r="I1631" t="str">
            <v>11503</v>
          </cell>
        </row>
        <row r="1632">
          <cell r="G1632" t="str">
            <v>Xã An Tràng</v>
          </cell>
          <cell r="I1632" t="str">
            <v>11503</v>
          </cell>
        </row>
        <row r="1633">
          <cell r="G1633" t="str">
            <v>Thị trấn Quỳnh Côi</v>
          </cell>
          <cell r="I1633" t="str">
            <v>11503</v>
          </cell>
        </row>
        <row r="1634">
          <cell r="G1634" t="str">
            <v>Xã An Khê</v>
          </cell>
          <cell r="I1634" t="str">
            <v>11503</v>
          </cell>
        </row>
        <row r="1635">
          <cell r="G1635" t="str">
            <v>Xã Quỳnh Hoa</v>
          </cell>
          <cell r="I1635" t="str">
            <v>11503</v>
          </cell>
        </row>
        <row r="1636">
          <cell r="G1636" t="str">
            <v>Xã Quỳnh Lâm</v>
          </cell>
          <cell r="I1636" t="str">
            <v>11503</v>
          </cell>
        </row>
        <row r="1637">
          <cell r="G1637" t="str">
            <v>Xã An Hiệp</v>
          </cell>
          <cell r="I1637" t="str">
            <v>11503</v>
          </cell>
        </row>
        <row r="1638">
          <cell r="G1638" t="str">
            <v>Xã Quỳnh Hoàng</v>
          </cell>
          <cell r="I1638" t="str">
            <v>11503</v>
          </cell>
        </row>
        <row r="1639">
          <cell r="G1639" t="str">
            <v>Xã An Cầu</v>
          </cell>
          <cell r="I1639" t="str">
            <v>11503</v>
          </cell>
        </row>
        <row r="1640">
          <cell r="G1640" t="str">
            <v>Xã Quỳnh Hồng</v>
          </cell>
          <cell r="I1640" t="str">
            <v>11503</v>
          </cell>
        </row>
        <row r="1641">
          <cell r="G1641" t="str">
            <v>Xã Quỳnh Khê</v>
          </cell>
          <cell r="I1641" t="str">
            <v>11503</v>
          </cell>
        </row>
        <row r="1642">
          <cell r="G1642" t="str">
            <v xml:space="preserve">Xã An Ninh </v>
          </cell>
          <cell r="I1642" t="str">
            <v>11503</v>
          </cell>
        </row>
        <row r="1643">
          <cell r="G1643" t="str">
            <v>Xã Quỳnh Ngọc</v>
          </cell>
          <cell r="I1643" t="str">
            <v>11503</v>
          </cell>
        </row>
        <row r="1644">
          <cell r="G1644" t="str">
            <v>Xã Quỳnh Hải</v>
          </cell>
          <cell r="I1644" t="str">
            <v>11503</v>
          </cell>
        </row>
        <row r="1645">
          <cell r="G1645" t="str">
            <v>Xã An ấp</v>
          </cell>
          <cell r="I1645" t="str">
            <v>11503</v>
          </cell>
        </row>
        <row r="1646">
          <cell r="G1646" t="str">
            <v>Xã Quỳnh Sơn</v>
          </cell>
          <cell r="I1646" t="str">
            <v>11503</v>
          </cell>
        </row>
        <row r="1647">
          <cell r="G1647" t="str">
            <v>Xã An Quí</v>
          </cell>
          <cell r="I1647" t="str">
            <v>11503</v>
          </cell>
        </row>
        <row r="1648">
          <cell r="G1648" t="str">
            <v xml:space="preserve">Xã An Thanh </v>
          </cell>
          <cell r="I1648" t="str">
            <v>11503</v>
          </cell>
        </row>
        <row r="1649">
          <cell r="G1649" t="str">
            <v>Xã Quỳnh Châu</v>
          </cell>
          <cell r="I1649" t="str">
            <v>11503</v>
          </cell>
        </row>
        <row r="1650">
          <cell r="G1650" t="str">
            <v>Xã An Lễ</v>
          </cell>
          <cell r="I1650" t="str">
            <v>11503</v>
          </cell>
        </row>
        <row r="1651">
          <cell r="G1651" t="str">
            <v>Xã Quỳnh Hưng</v>
          </cell>
          <cell r="I1651" t="str">
            <v>11503</v>
          </cell>
        </row>
        <row r="1652">
          <cell r="G1652" t="str">
            <v>Xã Quỳnh Nguyên</v>
          </cell>
          <cell r="I1652" t="str">
            <v>11503</v>
          </cell>
        </row>
        <row r="1653">
          <cell r="G1653" t="str">
            <v>Xã An Vinh</v>
          </cell>
          <cell r="I1653" t="str">
            <v>11503</v>
          </cell>
        </row>
        <row r="1654">
          <cell r="G1654" t="str">
            <v>Xã An Dục</v>
          </cell>
          <cell r="I1654" t="str">
            <v>11503</v>
          </cell>
        </row>
        <row r="1655">
          <cell r="G1655" t="str">
            <v>Xã Đông Hải</v>
          </cell>
          <cell r="I1655" t="str">
            <v>11503</v>
          </cell>
        </row>
        <row r="1656">
          <cell r="G1656" t="str">
            <v>Xã Quỳnh Trang</v>
          </cell>
          <cell r="I1656" t="str">
            <v>11503</v>
          </cell>
        </row>
        <row r="1657">
          <cell r="G1657" t="str">
            <v xml:space="preserve">Xã Đồng Tiến  </v>
          </cell>
          <cell r="I1657" t="str">
            <v>11503</v>
          </cell>
        </row>
        <row r="1658">
          <cell r="G1658" t="str">
            <v>Thị trấn Hưng Hà</v>
          </cell>
          <cell r="I1658" t="str">
            <v>11505</v>
          </cell>
        </row>
        <row r="1659">
          <cell r="G1659" t="str">
            <v>Xã Duyên Hải</v>
          </cell>
          <cell r="I1659" t="str">
            <v>11505</v>
          </cell>
        </row>
        <row r="1660">
          <cell r="G1660" t="str">
            <v>Xã Tiến Đức</v>
          </cell>
          <cell r="I1660" t="str">
            <v>11505</v>
          </cell>
        </row>
        <row r="1661">
          <cell r="G1661" t="str">
            <v>Xã Độc Lập</v>
          </cell>
          <cell r="I1661" t="str">
            <v>11505</v>
          </cell>
        </row>
        <row r="1662">
          <cell r="G1662" t="str">
            <v xml:space="preserve">Xã Hồng Minh </v>
          </cell>
          <cell r="I1662" t="str">
            <v>11505</v>
          </cell>
        </row>
        <row r="1663">
          <cell r="G1663" t="str">
            <v>Xã Tân Lễ</v>
          </cell>
          <cell r="I1663" t="str">
            <v>11505</v>
          </cell>
        </row>
        <row r="1664">
          <cell r="G1664" t="str">
            <v>Xã Hòa Tiến</v>
          </cell>
          <cell r="I1664" t="str">
            <v>11505</v>
          </cell>
        </row>
        <row r="1665">
          <cell r="G1665" t="str">
            <v>Xã Đoan Hùng</v>
          </cell>
          <cell r="I1665" t="str">
            <v>11505</v>
          </cell>
        </row>
        <row r="1666">
          <cell r="G1666" t="str">
            <v xml:space="preserve">Xã Bắc Sơn   </v>
          </cell>
          <cell r="I1666" t="str">
            <v>11505</v>
          </cell>
        </row>
        <row r="1667">
          <cell r="G1667" t="str">
            <v xml:space="preserve">Xã Liên Hiệp </v>
          </cell>
          <cell r="I1667" t="str">
            <v>11505</v>
          </cell>
        </row>
        <row r="1668">
          <cell r="G1668" t="str">
            <v>Xã Thái Hưng</v>
          </cell>
          <cell r="I1668" t="str">
            <v>11505</v>
          </cell>
        </row>
        <row r="1669">
          <cell r="G1669" t="str">
            <v>Xã Hồng An</v>
          </cell>
          <cell r="I1669" t="str">
            <v>11505</v>
          </cell>
        </row>
        <row r="1670">
          <cell r="G1670" t="str">
            <v>Xã Văn Lang</v>
          </cell>
          <cell r="I1670" t="str">
            <v>11505</v>
          </cell>
        </row>
        <row r="1671">
          <cell r="G1671" t="str">
            <v>Xã Điệp Nông</v>
          </cell>
          <cell r="I1671" t="str">
            <v>11505</v>
          </cell>
        </row>
        <row r="1672">
          <cell r="G1672" t="str">
            <v xml:space="preserve">Xã Cộng Hòa    </v>
          </cell>
          <cell r="I1672" t="str">
            <v>11505</v>
          </cell>
        </row>
        <row r="1673">
          <cell r="G1673" t="str">
            <v xml:space="preserve">Xã Dân Chủ </v>
          </cell>
          <cell r="I1673" t="str">
            <v>11505</v>
          </cell>
        </row>
        <row r="1674">
          <cell r="G1674" t="str">
            <v>Xã Canh Tân</v>
          </cell>
          <cell r="I1674" t="str">
            <v>11505</v>
          </cell>
        </row>
        <row r="1675">
          <cell r="G1675" t="str">
            <v>Xã Hùng Dũng</v>
          </cell>
          <cell r="I1675" t="str">
            <v>11505</v>
          </cell>
        </row>
        <row r="1676">
          <cell r="G1676" t="str">
            <v xml:space="preserve">Xã Tân Tiến    </v>
          </cell>
          <cell r="I1676" t="str">
            <v>11505</v>
          </cell>
        </row>
        <row r="1677">
          <cell r="G1677" t="str">
            <v xml:space="preserve">Xã Tân Hòa </v>
          </cell>
          <cell r="I1677" t="str">
            <v>11505</v>
          </cell>
        </row>
        <row r="1678">
          <cell r="G1678" t="str">
            <v>Xã Văn Cẩm</v>
          </cell>
          <cell r="I1678" t="str">
            <v>11505</v>
          </cell>
        </row>
        <row r="1679">
          <cell r="G1679" t="str">
            <v>Xã Đông Đô</v>
          </cell>
          <cell r="I1679" t="str">
            <v>11505</v>
          </cell>
        </row>
        <row r="1680">
          <cell r="G1680" t="str">
            <v>Xã Phúc Khánh</v>
          </cell>
          <cell r="I1680" t="str">
            <v>11505</v>
          </cell>
        </row>
        <row r="1681">
          <cell r="G1681" t="str">
            <v>Xã Tây Đô</v>
          </cell>
          <cell r="I1681" t="str">
            <v>11505</v>
          </cell>
        </row>
        <row r="1682">
          <cell r="G1682" t="str">
            <v xml:space="preserve">Xã Thống Nhất  </v>
          </cell>
          <cell r="I1682" t="str">
            <v>11505</v>
          </cell>
        </row>
        <row r="1683">
          <cell r="G1683" t="str">
            <v>Xã Thái Phương</v>
          </cell>
          <cell r="I1683" t="str">
            <v>11505</v>
          </cell>
        </row>
        <row r="1684">
          <cell r="G1684" t="str">
            <v xml:space="preserve">Xã Hòa Bình   </v>
          </cell>
          <cell r="I1684" t="str">
            <v>11505</v>
          </cell>
        </row>
        <row r="1685">
          <cell r="G1685" t="str">
            <v>Xã Chi Lăng</v>
          </cell>
          <cell r="I1685" t="str">
            <v>11505</v>
          </cell>
        </row>
        <row r="1686">
          <cell r="G1686" t="str">
            <v xml:space="preserve">Xã Minh Khai  </v>
          </cell>
          <cell r="I1686" t="str">
            <v>11505</v>
          </cell>
        </row>
        <row r="1687">
          <cell r="G1687" t="str">
            <v>Xã Kim Trung</v>
          </cell>
          <cell r="I1687" t="str">
            <v>11505</v>
          </cell>
        </row>
        <row r="1688">
          <cell r="G1688" t="str">
            <v>Xã Hồng Lĩnh</v>
          </cell>
          <cell r="I1688" t="str">
            <v>11505</v>
          </cell>
        </row>
        <row r="1689">
          <cell r="G1689" t="str">
            <v xml:space="preserve">Xã Minh Tân      </v>
          </cell>
          <cell r="I1689" t="str">
            <v>11505</v>
          </cell>
        </row>
        <row r="1690">
          <cell r="G1690" t="str">
            <v>Xã Chí Hòa</v>
          </cell>
          <cell r="I1690" t="str">
            <v>11505</v>
          </cell>
        </row>
        <row r="1691">
          <cell r="G1691" t="str">
            <v xml:space="preserve">Xã Minh Hòa </v>
          </cell>
          <cell r="I1691" t="str">
            <v>11505</v>
          </cell>
        </row>
        <row r="1692">
          <cell r="G1692" t="str">
            <v>Thị Trấn Hưng Nhân</v>
          </cell>
          <cell r="I1692" t="str">
            <v>11505</v>
          </cell>
        </row>
        <row r="1693">
          <cell r="G1693" t="str">
            <v>Xã Thụy Quỳnh</v>
          </cell>
          <cell r="I1693" t="str">
            <v>11507</v>
          </cell>
        </row>
        <row r="1694">
          <cell r="G1694" t="str">
            <v>Xã Thụy Chính</v>
          </cell>
          <cell r="I1694" t="str">
            <v>11507</v>
          </cell>
        </row>
        <row r="1695">
          <cell r="G1695" t="str">
            <v>Xã Thái Thượng</v>
          </cell>
          <cell r="I1695" t="str">
            <v>11507</v>
          </cell>
        </row>
        <row r="1696">
          <cell r="G1696" t="str">
            <v>Xã Thái Phúc</v>
          </cell>
          <cell r="I1696" t="str">
            <v>11507</v>
          </cell>
        </row>
        <row r="1697">
          <cell r="G1697" t="str">
            <v>Xã Thái Thọ</v>
          </cell>
          <cell r="I1697" t="str">
            <v>11507</v>
          </cell>
        </row>
        <row r="1698">
          <cell r="G1698" t="str">
            <v>Xã Thụy Tân</v>
          </cell>
          <cell r="I1698" t="str">
            <v>11507</v>
          </cell>
        </row>
        <row r="1699">
          <cell r="G1699" t="str">
            <v>Xã Thụy Hồng</v>
          </cell>
          <cell r="I1699" t="str">
            <v>11507</v>
          </cell>
        </row>
        <row r="1700">
          <cell r="G1700" t="str">
            <v>Xã Thụy Hưng</v>
          </cell>
          <cell r="I1700" t="str">
            <v>11507</v>
          </cell>
        </row>
        <row r="1701">
          <cell r="G1701" t="str">
            <v>Xã Thụy Dương</v>
          </cell>
          <cell r="I1701" t="str">
            <v>11507</v>
          </cell>
        </row>
        <row r="1702">
          <cell r="G1702" t="str">
            <v>Xã Thụy Dân</v>
          </cell>
          <cell r="I1702" t="str">
            <v>11507</v>
          </cell>
        </row>
        <row r="1703">
          <cell r="G1703" t="str">
            <v>Xã Thụy Liên</v>
          </cell>
          <cell r="I1703" t="str">
            <v>11507</v>
          </cell>
        </row>
        <row r="1704">
          <cell r="G1704" t="str">
            <v>Xã Thụy Sơn</v>
          </cell>
          <cell r="I1704" t="str">
            <v>11507</v>
          </cell>
        </row>
        <row r="1705">
          <cell r="G1705" t="str">
            <v>Xã Thái Thuỷ</v>
          </cell>
          <cell r="I1705" t="str">
            <v>11507</v>
          </cell>
        </row>
        <row r="1706">
          <cell r="G1706" t="str">
            <v xml:space="preserve">Xã Thái Sơn  </v>
          </cell>
          <cell r="I1706" t="str">
            <v>11507</v>
          </cell>
        </row>
        <row r="1707">
          <cell r="G1707" t="str">
            <v xml:space="preserve">Xã Thái Hưng </v>
          </cell>
          <cell r="I1707" t="str">
            <v>11507</v>
          </cell>
        </row>
        <row r="1708">
          <cell r="G1708" t="str">
            <v>Xã Mỹ Lộc</v>
          </cell>
          <cell r="I1708" t="str">
            <v>11507</v>
          </cell>
        </row>
        <row r="1709">
          <cell r="G1709" t="str">
            <v xml:space="preserve">Xã Thái Học </v>
          </cell>
          <cell r="I1709" t="str">
            <v>11507</v>
          </cell>
        </row>
        <row r="1710">
          <cell r="G1710" t="str">
            <v>Thị trấn Diêm Điền</v>
          </cell>
          <cell r="I1710" t="str">
            <v>11507</v>
          </cell>
        </row>
        <row r="1711">
          <cell r="G1711" t="str">
            <v>Xã Thụy Trường</v>
          </cell>
          <cell r="I1711" t="str">
            <v>11507</v>
          </cell>
        </row>
        <row r="1712">
          <cell r="G1712" t="str">
            <v>Xã Hồng Quỳnh</v>
          </cell>
          <cell r="I1712" t="str">
            <v>11507</v>
          </cell>
        </row>
        <row r="1713">
          <cell r="G1713" t="str">
            <v>Xã Thụy Dũng</v>
          </cell>
          <cell r="I1713" t="str">
            <v>11507</v>
          </cell>
        </row>
        <row r="1714">
          <cell r="G1714" t="str">
            <v xml:space="preserve">Xã Thụy An </v>
          </cell>
          <cell r="I1714" t="str">
            <v>11507</v>
          </cell>
        </row>
        <row r="1715">
          <cell r="G1715" t="str">
            <v>Xã Thụy Ninh</v>
          </cell>
          <cell r="I1715" t="str">
            <v>11507</v>
          </cell>
        </row>
        <row r="1716">
          <cell r="G1716" t="str">
            <v>Xã Thụy Việt</v>
          </cell>
          <cell r="I1716" t="str">
            <v>11507</v>
          </cell>
        </row>
        <row r="1717">
          <cell r="G1717" t="str">
            <v>Xã Thụy Văn</v>
          </cell>
          <cell r="I1717" t="str">
            <v>11507</v>
          </cell>
        </row>
        <row r="1718">
          <cell r="G1718" t="str">
            <v>Xã Thụy Xuân</v>
          </cell>
          <cell r="I1718" t="str">
            <v>11507</v>
          </cell>
        </row>
        <row r="1719">
          <cell r="G1719" t="str">
            <v>Xã Thụy Trình</v>
          </cell>
          <cell r="I1719" t="str">
            <v>11507</v>
          </cell>
        </row>
        <row r="1720">
          <cell r="G1720" t="str">
            <v>Xã Thụy Bình</v>
          </cell>
          <cell r="I1720" t="str">
            <v>11507</v>
          </cell>
        </row>
        <row r="1721">
          <cell r="G1721" t="str">
            <v>Xã Thụy Hải</v>
          </cell>
          <cell r="I1721" t="str">
            <v>11507</v>
          </cell>
        </row>
        <row r="1722">
          <cell r="G1722" t="str">
            <v>Xã Thụy Phúc</v>
          </cell>
          <cell r="I1722" t="str">
            <v>11507</v>
          </cell>
        </row>
        <row r="1723">
          <cell r="G1723" t="str">
            <v>Xã Thụy Lương</v>
          </cell>
          <cell r="I1723" t="str">
            <v>11507</v>
          </cell>
        </row>
        <row r="1724">
          <cell r="G1724" t="str">
            <v>Xã Thụy Duyên</v>
          </cell>
          <cell r="I1724" t="str">
            <v>11507</v>
          </cell>
        </row>
        <row r="1725">
          <cell r="G1725" t="str">
            <v>Xã Thụy Hà</v>
          </cell>
          <cell r="I1725" t="str">
            <v>11507</v>
          </cell>
        </row>
        <row r="1726">
          <cell r="G1726" t="str">
            <v>Xã Thụy Thanh</v>
          </cell>
          <cell r="I1726" t="str">
            <v>11507</v>
          </cell>
        </row>
        <row r="1727">
          <cell r="G1727" t="str">
            <v>Xã Thụy Phong</v>
          </cell>
          <cell r="I1727" t="str">
            <v>11507</v>
          </cell>
        </row>
        <row r="1728">
          <cell r="G1728" t="str">
            <v>Xã Thái Nguyên</v>
          </cell>
          <cell r="I1728" t="str">
            <v>11507</v>
          </cell>
        </row>
        <row r="1729">
          <cell r="G1729" t="str">
            <v xml:space="preserve">Xã Thái Dương </v>
          </cell>
          <cell r="I1729" t="str">
            <v>11507</v>
          </cell>
        </row>
        <row r="1730">
          <cell r="G1730" t="str">
            <v>Xã Thái Giang</v>
          </cell>
          <cell r="I1730" t="str">
            <v>11507</v>
          </cell>
        </row>
        <row r="1731">
          <cell r="G1731" t="str">
            <v xml:space="preserve">Xã Thái Hòa  </v>
          </cell>
          <cell r="I1731" t="str">
            <v>11507</v>
          </cell>
        </row>
        <row r="1732">
          <cell r="G1732" t="str">
            <v>Xã Thái Hồng</v>
          </cell>
          <cell r="I1732" t="str">
            <v>11507</v>
          </cell>
        </row>
        <row r="1733">
          <cell r="G1733" t="str">
            <v>Xã Thái An</v>
          </cell>
          <cell r="I1733" t="str">
            <v>11507</v>
          </cell>
        </row>
        <row r="1734">
          <cell r="G1734" t="str">
            <v>Xã Thái Đô</v>
          </cell>
          <cell r="I1734" t="str">
            <v>11507</v>
          </cell>
        </row>
        <row r="1735">
          <cell r="G1735" t="str">
            <v>Xã Thái Xuyên</v>
          </cell>
          <cell r="I1735" t="str">
            <v>11507</v>
          </cell>
        </row>
        <row r="1736">
          <cell r="G1736" t="str">
            <v>Xã Thái Hà</v>
          </cell>
          <cell r="I1736" t="str">
            <v>11507</v>
          </cell>
        </row>
        <row r="1737">
          <cell r="G1737" t="str">
            <v xml:space="preserve">Xã Thái Tân </v>
          </cell>
          <cell r="I1737" t="str">
            <v>11507</v>
          </cell>
        </row>
        <row r="1738">
          <cell r="G1738" t="str">
            <v>Xã Thái Thuần</v>
          </cell>
          <cell r="I1738" t="str">
            <v>11507</v>
          </cell>
        </row>
        <row r="1739">
          <cell r="G1739" t="str">
            <v xml:space="preserve">Xã Thái Thịnh </v>
          </cell>
          <cell r="I1739" t="str">
            <v>11507</v>
          </cell>
        </row>
        <row r="1740">
          <cell r="G1740" t="str">
            <v>Xã Thái Thành</v>
          </cell>
          <cell r="I1740" t="str">
            <v>11507</v>
          </cell>
        </row>
        <row r="1741">
          <cell r="G1741" t="str">
            <v xml:space="preserve">Xã Đông Sơn  </v>
          </cell>
          <cell r="I1741" t="str">
            <v>11509</v>
          </cell>
        </row>
        <row r="1742">
          <cell r="G1742" t="str">
            <v xml:space="preserve">Xã Chương Dương </v>
          </cell>
          <cell r="I1742" t="str">
            <v>11509</v>
          </cell>
        </row>
        <row r="1743">
          <cell r="G1743" t="str">
            <v xml:space="preserve">Xã Phú Châu </v>
          </cell>
          <cell r="I1743" t="str">
            <v>11509</v>
          </cell>
        </row>
        <row r="1744">
          <cell r="G1744" t="str">
            <v>Xã Hoa Nam</v>
          </cell>
          <cell r="I1744" t="str">
            <v>11509</v>
          </cell>
        </row>
        <row r="1745">
          <cell r="G1745" t="str">
            <v>Xã Đông Huy</v>
          </cell>
          <cell r="I1745" t="str">
            <v>11509</v>
          </cell>
        </row>
        <row r="1746">
          <cell r="G1746" t="str">
            <v xml:space="preserve">Xã Minh Tân       </v>
          </cell>
          <cell r="I1746" t="str">
            <v>11509</v>
          </cell>
        </row>
        <row r="1747">
          <cell r="G1747" t="str">
            <v>Xã Phong Châu</v>
          </cell>
          <cell r="I1747" t="str">
            <v>11509</v>
          </cell>
        </row>
        <row r="1748">
          <cell r="G1748" t="str">
            <v>Xã Đông Giang</v>
          </cell>
          <cell r="I1748" t="str">
            <v>11509</v>
          </cell>
        </row>
        <row r="1749">
          <cell r="G1749" t="str">
            <v>Xã Đông Các</v>
          </cell>
          <cell r="I1749" t="str">
            <v>11509</v>
          </cell>
        </row>
        <row r="1750">
          <cell r="G1750" t="str">
            <v>Xã Đông Tân</v>
          </cell>
          <cell r="I1750" t="str">
            <v>11509</v>
          </cell>
        </row>
        <row r="1751">
          <cell r="G1751" t="str">
            <v xml:space="preserve">Xã Bạch Đằng  </v>
          </cell>
          <cell r="I1751" t="str">
            <v>11509</v>
          </cell>
        </row>
        <row r="1752">
          <cell r="G1752" t="str">
            <v>Xã Đông Phong</v>
          </cell>
          <cell r="I1752" t="str">
            <v>11509</v>
          </cell>
        </row>
        <row r="1753">
          <cell r="G1753" t="str">
            <v>Xã Đông Lĩnh</v>
          </cell>
          <cell r="I1753" t="str">
            <v>11509</v>
          </cell>
        </row>
        <row r="1754">
          <cell r="G1754" t="str">
            <v>Thị trấn Đông Hưng</v>
          </cell>
          <cell r="I1754" t="str">
            <v>11509</v>
          </cell>
        </row>
        <row r="1755">
          <cell r="G1755" t="str">
            <v>Xã Đô Lương</v>
          </cell>
          <cell r="I1755" t="str">
            <v>11509</v>
          </cell>
        </row>
        <row r="1756">
          <cell r="G1756" t="str">
            <v xml:space="preserve">Xã Đông Phương </v>
          </cell>
          <cell r="I1756" t="str">
            <v>11509</v>
          </cell>
        </row>
        <row r="1757">
          <cell r="G1757" t="str">
            <v>Xã Liên Giang</v>
          </cell>
          <cell r="I1757" t="str">
            <v>11509</v>
          </cell>
        </row>
        <row r="1758">
          <cell r="G1758" t="str">
            <v xml:space="preserve">Xã An Châu </v>
          </cell>
          <cell r="I1758" t="str">
            <v>11509</v>
          </cell>
        </row>
        <row r="1759">
          <cell r="G1759" t="str">
            <v>Xã Đông Cường</v>
          </cell>
          <cell r="I1759" t="str">
            <v>11509</v>
          </cell>
        </row>
        <row r="1760">
          <cell r="G1760" t="str">
            <v>Xã Phú Lương</v>
          </cell>
          <cell r="I1760" t="str">
            <v>11509</v>
          </cell>
        </row>
        <row r="1761">
          <cell r="G1761" t="str">
            <v xml:space="preserve">Xã Mê Linh </v>
          </cell>
          <cell r="I1761" t="str">
            <v>11509</v>
          </cell>
        </row>
        <row r="1762">
          <cell r="G1762" t="str">
            <v>Xã Lô Giang</v>
          </cell>
          <cell r="I1762" t="str">
            <v>11509</v>
          </cell>
        </row>
        <row r="1763">
          <cell r="G1763" t="str">
            <v xml:space="preserve">Xã Đông La </v>
          </cell>
          <cell r="I1763" t="str">
            <v>11509</v>
          </cell>
        </row>
        <row r="1764">
          <cell r="G1764" t="str">
            <v>Xã Đông Xá</v>
          </cell>
          <cell r="I1764" t="str">
            <v>11509</v>
          </cell>
        </row>
        <row r="1765">
          <cell r="G1765" t="str">
            <v>Xã Nguyên Xá</v>
          </cell>
          <cell r="I1765" t="str">
            <v>11509</v>
          </cell>
        </row>
        <row r="1766">
          <cell r="G1766" t="str">
            <v xml:space="preserve">Xã Hợp Tiến  </v>
          </cell>
          <cell r="I1766" t="str">
            <v>11509</v>
          </cell>
        </row>
        <row r="1767">
          <cell r="G1767" t="str">
            <v>Xã Hồng Việt</v>
          </cell>
          <cell r="I1767" t="str">
            <v>11509</v>
          </cell>
        </row>
        <row r="1768">
          <cell r="G1768" t="str">
            <v>Xã Đông Hà</v>
          </cell>
          <cell r="I1768" t="str">
            <v>11509</v>
          </cell>
        </row>
        <row r="1769">
          <cell r="G1769" t="str">
            <v>Xã Đông Kinh</v>
          </cell>
          <cell r="I1769" t="str">
            <v>11509</v>
          </cell>
        </row>
        <row r="1770">
          <cell r="G1770" t="str">
            <v>Xã Đông Hợp</v>
          </cell>
          <cell r="I1770" t="str">
            <v>11509</v>
          </cell>
        </row>
        <row r="1771">
          <cell r="G1771" t="str">
            <v xml:space="preserve">Xã Thăng Long </v>
          </cell>
          <cell r="I1771" t="str">
            <v>11509</v>
          </cell>
        </row>
        <row r="1772">
          <cell r="G1772" t="str">
            <v>Xã Hoa Lư</v>
          </cell>
          <cell r="I1772" t="str">
            <v>11509</v>
          </cell>
        </row>
        <row r="1773">
          <cell r="G1773" t="str">
            <v xml:space="preserve">Xã Minh Châu  </v>
          </cell>
          <cell r="I1773" t="str">
            <v>11509</v>
          </cell>
        </row>
        <row r="1774">
          <cell r="G1774" t="str">
            <v>Xã Đông Vinh</v>
          </cell>
          <cell r="I1774" t="str">
            <v>11509</v>
          </cell>
        </row>
        <row r="1775">
          <cell r="G1775" t="str">
            <v>Xã Đông Động</v>
          </cell>
          <cell r="I1775" t="str">
            <v>11509</v>
          </cell>
        </row>
        <row r="1776">
          <cell r="G1776" t="str">
            <v>Xã Hồng Châu</v>
          </cell>
          <cell r="I1776" t="str">
            <v>11509</v>
          </cell>
        </row>
        <row r="1777">
          <cell r="G1777" t="str">
            <v>Xã Trọng Quan</v>
          </cell>
          <cell r="I1777" t="str">
            <v>11509</v>
          </cell>
        </row>
        <row r="1778">
          <cell r="G1778" t="str">
            <v>Xã Hồng Giang</v>
          </cell>
          <cell r="I1778" t="str">
            <v>11509</v>
          </cell>
        </row>
        <row r="1779">
          <cell r="G1779" t="str">
            <v xml:space="preserve">Xã Đông Quang </v>
          </cell>
          <cell r="I1779" t="str">
            <v>11509</v>
          </cell>
        </row>
        <row r="1780">
          <cell r="G1780" t="str">
            <v xml:space="preserve">Xã Đông Xuân  </v>
          </cell>
          <cell r="I1780" t="str">
            <v>11509</v>
          </cell>
        </row>
        <row r="1781">
          <cell r="G1781" t="str">
            <v>Xã Đông á</v>
          </cell>
          <cell r="I1781" t="str">
            <v>11509</v>
          </cell>
        </row>
        <row r="1782">
          <cell r="G1782" t="str">
            <v>Xã Đông Hoàng</v>
          </cell>
          <cell r="I1782" t="str">
            <v>11509</v>
          </cell>
        </row>
        <row r="1783">
          <cell r="G1783" t="str">
            <v>Xã Đông Dương</v>
          </cell>
          <cell r="I1783" t="str">
            <v>11509</v>
          </cell>
        </row>
        <row r="1784">
          <cell r="G1784" t="str">
            <v xml:space="preserve">Xã Đồng Phú </v>
          </cell>
          <cell r="I1784" t="str">
            <v>11509</v>
          </cell>
        </row>
        <row r="1785">
          <cell r="G1785" t="str">
            <v>Xã Hồng Lý</v>
          </cell>
          <cell r="I1785" t="str">
            <v>11511</v>
          </cell>
        </row>
        <row r="1786">
          <cell r="G1786" t="str">
            <v>Xã Minh Lãng</v>
          </cell>
          <cell r="I1786" t="str">
            <v>11511</v>
          </cell>
        </row>
        <row r="1787">
          <cell r="G1787" t="str">
            <v>Xã Vũ Hội</v>
          </cell>
          <cell r="I1787" t="str">
            <v>11511</v>
          </cell>
        </row>
        <row r="1788">
          <cell r="G1788" t="str">
            <v xml:space="preserve">Xã Hồng Phong    </v>
          </cell>
          <cell r="I1788" t="str">
            <v>11511</v>
          </cell>
        </row>
        <row r="1789">
          <cell r="G1789" t="str">
            <v>Xã Vũ Tiến</v>
          </cell>
          <cell r="I1789" t="str">
            <v>11511</v>
          </cell>
        </row>
        <row r="1790">
          <cell r="G1790" t="str">
            <v xml:space="preserve">Xã Nguyên Xá </v>
          </cell>
          <cell r="I1790" t="str">
            <v>11511</v>
          </cell>
        </row>
        <row r="1791">
          <cell r="G1791" t="str">
            <v xml:space="preserve">Xã Xuân Hòa </v>
          </cell>
          <cell r="I1791" t="str">
            <v>11511</v>
          </cell>
        </row>
        <row r="1792">
          <cell r="G1792" t="str">
            <v>Xã Song Lãng</v>
          </cell>
          <cell r="I1792" t="str">
            <v>11511</v>
          </cell>
        </row>
        <row r="1793">
          <cell r="G1793" t="str">
            <v>Xã Tam Quang</v>
          </cell>
          <cell r="I1793" t="str">
            <v>11511</v>
          </cell>
        </row>
        <row r="1794">
          <cell r="G1794" t="str">
            <v>Xã Song An</v>
          </cell>
          <cell r="I1794" t="str">
            <v>11511</v>
          </cell>
        </row>
        <row r="1795">
          <cell r="G1795" t="str">
            <v>Thị trấn Vũ Thư</v>
          </cell>
          <cell r="I1795" t="str">
            <v>11511</v>
          </cell>
        </row>
        <row r="1796">
          <cell r="G1796" t="str">
            <v xml:space="preserve">Xã Đồng Thanh </v>
          </cell>
          <cell r="I1796" t="str">
            <v>11511</v>
          </cell>
        </row>
        <row r="1797">
          <cell r="G1797" t="str">
            <v xml:space="preserve">Xã Hiệp Hòa  </v>
          </cell>
          <cell r="I1797" t="str">
            <v>11511</v>
          </cell>
        </row>
        <row r="1798">
          <cell r="G1798" t="str">
            <v>Xã Phúc Thành</v>
          </cell>
          <cell r="I1798" t="str">
            <v>11511</v>
          </cell>
        </row>
        <row r="1799">
          <cell r="G1799" t="str">
            <v xml:space="preserve">Xã Tân Phong  </v>
          </cell>
          <cell r="I1799" t="str">
            <v>11511</v>
          </cell>
        </row>
        <row r="1800">
          <cell r="G1800" t="str">
            <v xml:space="preserve">Xã Tân Hòa  </v>
          </cell>
          <cell r="I1800" t="str">
            <v>11511</v>
          </cell>
        </row>
        <row r="1801">
          <cell r="G1801" t="str">
            <v xml:space="preserve">Xã Việt Hùng  </v>
          </cell>
          <cell r="I1801" t="str">
            <v>11511</v>
          </cell>
        </row>
        <row r="1802">
          <cell r="G1802" t="str">
            <v xml:space="preserve">Xã Minh Khai   </v>
          </cell>
          <cell r="I1802" t="str">
            <v>11511</v>
          </cell>
        </row>
        <row r="1803">
          <cell r="G1803" t="str">
            <v>Xã Dũng Nghĩa</v>
          </cell>
          <cell r="I1803" t="str">
            <v>11511</v>
          </cell>
        </row>
        <row r="1804">
          <cell r="G1804" t="str">
            <v xml:space="preserve">Xã Minh Quang </v>
          </cell>
          <cell r="I1804" t="str">
            <v>11511</v>
          </cell>
        </row>
        <row r="1805">
          <cell r="G1805" t="str">
            <v xml:space="preserve">Xã Tân Lập  </v>
          </cell>
          <cell r="I1805" t="str">
            <v>11511</v>
          </cell>
        </row>
        <row r="1806">
          <cell r="G1806" t="str">
            <v>Xã Bách Thuận</v>
          </cell>
          <cell r="I1806" t="str">
            <v>11511</v>
          </cell>
        </row>
        <row r="1807">
          <cell r="G1807" t="str">
            <v>Xã Tự Tân</v>
          </cell>
          <cell r="I1807" t="str">
            <v>11511</v>
          </cell>
        </row>
        <row r="1808">
          <cell r="G1808" t="str">
            <v>Xã Trung An</v>
          </cell>
          <cell r="I1808" t="str">
            <v>11511</v>
          </cell>
        </row>
        <row r="1809">
          <cell r="G1809" t="str">
            <v xml:space="preserve">Xã Hòa Bình    </v>
          </cell>
          <cell r="I1809" t="str">
            <v>11511</v>
          </cell>
        </row>
        <row r="1810">
          <cell r="G1810" t="str">
            <v>Xã Việt Thuận</v>
          </cell>
          <cell r="I1810" t="str">
            <v>11511</v>
          </cell>
        </row>
        <row r="1811">
          <cell r="G1811" t="str">
            <v>Xã Vũ Vinh</v>
          </cell>
          <cell r="I1811" t="str">
            <v>11511</v>
          </cell>
        </row>
        <row r="1812">
          <cell r="G1812" t="str">
            <v>Xã Vũ Đoài</v>
          </cell>
          <cell r="I1812" t="str">
            <v>11511</v>
          </cell>
        </row>
        <row r="1813">
          <cell r="G1813" t="str">
            <v>Xã Vũ Vân</v>
          </cell>
          <cell r="I1813" t="str">
            <v>11511</v>
          </cell>
        </row>
        <row r="1814">
          <cell r="G1814" t="str">
            <v>Xã Duy Nhất</v>
          </cell>
          <cell r="I1814" t="str">
            <v>11511</v>
          </cell>
        </row>
        <row r="1815">
          <cell r="G1815" t="str">
            <v>Xã Trà Giang</v>
          </cell>
          <cell r="I1815" t="str">
            <v>11513</v>
          </cell>
        </row>
        <row r="1816">
          <cell r="G1816" t="str">
            <v>Xã Vũ Lễ</v>
          </cell>
          <cell r="I1816" t="str">
            <v>11513</v>
          </cell>
        </row>
        <row r="1817">
          <cell r="G1817" t="str">
            <v xml:space="preserve">Xã Hòa Bình     </v>
          </cell>
          <cell r="I1817" t="str">
            <v>11513</v>
          </cell>
        </row>
        <row r="1818">
          <cell r="G1818" t="str">
            <v xml:space="preserve">Xã Quang Trung     </v>
          </cell>
          <cell r="I1818" t="str">
            <v>11513</v>
          </cell>
        </row>
        <row r="1819">
          <cell r="G1819" t="str">
            <v xml:space="preserve">Xã Quốc Tuấn   </v>
          </cell>
          <cell r="I1819" t="str">
            <v>11513</v>
          </cell>
        </row>
        <row r="1820">
          <cell r="G1820" t="str">
            <v xml:space="preserve">Xã Hồng Thái   </v>
          </cell>
          <cell r="I1820" t="str">
            <v>11513</v>
          </cell>
        </row>
        <row r="1821">
          <cell r="G1821" t="str">
            <v xml:space="preserve">Xã Quyết Tiến </v>
          </cell>
          <cell r="I1821" t="str">
            <v>11513</v>
          </cell>
        </row>
        <row r="1822">
          <cell r="G1822" t="str">
            <v>Xã Thượng Hiền</v>
          </cell>
          <cell r="I1822" t="str">
            <v>11513</v>
          </cell>
        </row>
        <row r="1823">
          <cell r="G1823" t="str">
            <v>Xã Quang Lịch</v>
          </cell>
          <cell r="I1823" t="str">
            <v>11513</v>
          </cell>
        </row>
        <row r="1824">
          <cell r="G1824" t="str">
            <v>Xã Quang Bình</v>
          </cell>
          <cell r="I1824" t="str">
            <v>11513</v>
          </cell>
        </row>
        <row r="1825">
          <cell r="G1825" t="str">
            <v>Xã Vũ Công</v>
          </cell>
          <cell r="I1825" t="str">
            <v>11513</v>
          </cell>
        </row>
        <row r="1826">
          <cell r="G1826" t="str">
            <v>Xã Minh Hưng</v>
          </cell>
          <cell r="I1826" t="str">
            <v>11513</v>
          </cell>
        </row>
        <row r="1827">
          <cell r="G1827" t="str">
            <v>Xã Nam Bình</v>
          </cell>
          <cell r="I1827" t="str">
            <v>11513</v>
          </cell>
        </row>
        <row r="1828">
          <cell r="G1828" t="str">
            <v xml:space="preserve">Xã Hồng Tiến </v>
          </cell>
          <cell r="I1828" t="str">
            <v>11513</v>
          </cell>
        </row>
        <row r="1829">
          <cell r="G1829" t="str">
            <v>Thị trấn Thanh Nê</v>
          </cell>
          <cell r="I1829" t="str">
            <v>11513</v>
          </cell>
        </row>
        <row r="1830">
          <cell r="G1830" t="str">
            <v xml:space="preserve">Xã An Bình </v>
          </cell>
          <cell r="I1830" t="str">
            <v>11513</v>
          </cell>
        </row>
        <row r="1831">
          <cell r="G1831" t="str">
            <v>Xã Vũ Tây</v>
          </cell>
          <cell r="I1831" t="str">
            <v>11513</v>
          </cell>
        </row>
        <row r="1832">
          <cell r="G1832" t="str">
            <v>Xã Bình Nguyên</v>
          </cell>
          <cell r="I1832" t="str">
            <v>11513</v>
          </cell>
        </row>
        <row r="1833">
          <cell r="G1833" t="str">
            <v>Xã Vũ Sơn</v>
          </cell>
          <cell r="I1833" t="str">
            <v>11513</v>
          </cell>
        </row>
        <row r="1834">
          <cell r="G1834" t="str">
            <v xml:space="preserve">Xã Lê Lợi    </v>
          </cell>
          <cell r="I1834" t="str">
            <v>11513</v>
          </cell>
        </row>
        <row r="1835">
          <cell r="G1835" t="str">
            <v xml:space="preserve">Xã Thanh Tân </v>
          </cell>
          <cell r="I1835" t="str">
            <v>11513</v>
          </cell>
        </row>
        <row r="1836">
          <cell r="G1836" t="str">
            <v>Xã Nam Cao</v>
          </cell>
          <cell r="I1836" t="str">
            <v>11513</v>
          </cell>
        </row>
        <row r="1837">
          <cell r="G1837" t="str">
            <v>Xã Đình Phùng</v>
          </cell>
          <cell r="I1837" t="str">
            <v>11513</v>
          </cell>
        </row>
        <row r="1838">
          <cell r="G1838" t="str">
            <v>Xã Vũ Ninh</v>
          </cell>
          <cell r="I1838" t="str">
            <v>11513</v>
          </cell>
        </row>
        <row r="1839">
          <cell r="G1839" t="str">
            <v>Xã Vũ An</v>
          </cell>
          <cell r="I1839" t="str">
            <v>11513</v>
          </cell>
        </row>
        <row r="1840">
          <cell r="G1840" t="str">
            <v xml:space="preserve">Xã Bình Minh    </v>
          </cell>
          <cell r="I1840" t="str">
            <v>11513</v>
          </cell>
        </row>
        <row r="1841">
          <cell r="G1841" t="str">
            <v>Xã Vũ Quí</v>
          </cell>
          <cell r="I1841" t="str">
            <v>11513</v>
          </cell>
        </row>
        <row r="1842">
          <cell r="G1842" t="str">
            <v>Xã An Bồi</v>
          </cell>
          <cell r="I1842" t="str">
            <v>11513</v>
          </cell>
        </row>
        <row r="1843">
          <cell r="G1843" t="str">
            <v>Xã Vũ Trung</v>
          </cell>
          <cell r="I1843" t="str">
            <v>11513</v>
          </cell>
        </row>
        <row r="1844">
          <cell r="G1844" t="str">
            <v>Xã Vũ Thắng</v>
          </cell>
          <cell r="I1844" t="str">
            <v>11513</v>
          </cell>
        </row>
        <row r="1845">
          <cell r="G1845" t="str">
            <v>Xã Vũ Hòa</v>
          </cell>
          <cell r="I1845" t="str">
            <v>11513</v>
          </cell>
        </row>
        <row r="1846">
          <cell r="G1846" t="str">
            <v xml:space="preserve">Xã Quang Minh </v>
          </cell>
          <cell r="I1846" t="str">
            <v>11513</v>
          </cell>
        </row>
        <row r="1847">
          <cell r="G1847" t="str">
            <v xml:space="preserve">Xã Quang Hưng   </v>
          </cell>
          <cell r="I1847" t="str">
            <v>11513</v>
          </cell>
        </row>
        <row r="1848">
          <cell r="G1848" t="str">
            <v>Xã Vũ Bình</v>
          </cell>
          <cell r="I1848" t="str">
            <v>11513</v>
          </cell>
        </row>
        <row r="1849">
          <cell r="G1849" t="str">
            <v xml:space="preserve">Xã Minh Tân        </v>
          </cell>
          <cell r="I1849" t="str">
            <v>11513</v>
          </cell>
        </row>
        <row r="1850">
          <cell r="G1850" t="str">
            <v>Xã Bình Thanh</v>
          </cell>
          <cell r="I1850" t="str">
            <v>11513</v>
          </cell>
        </row>
        <row r="1851">
          <cell r="G1851" t="str">
            <v>Xã Bình Định</v>
          </cell>
          <cell r="I1851" t="str">
            <v>11513</v>
          </cell>
        </row>
        <row r="1852">
          <cell r="G1852" t="str">
            <v>Xã Tây Phong</v>
          </cell>
          <cell r="I1852" t="str">
            <v>11515</v>
          </cell>
        </row>
        <row r="1853">
          <cell r="G1853" t="str">
            <v>Xã Nam Hà</v>
          </cell>
          <cell r="I1853" t="str">
            <v>11515</v>
          </cell>
        </row>
        <row r="1854">
          <cell r="G1854" t="str">
            <v>Xã Tây Ninh</v>
          </cell>
          <cell r="I1854" t="str">
            <v>11515</v>
          </cell>
        </row>
        <row r="1855">
          <cell r="G1855" t="str">
            <v>Thị trấn Tiền Hải</v>
          </cell>
          <cell r="I1855" t="str">
            <v>11515</v>
          </cell>
        </row>
        <row r="1856">
          <cell r="G1856" t="str">
            <v>Xã Vũ Lăng</v>
          </cell>
          <cell r="I1856" t="str">
            <v>11515</v>
          </cell>
        </row>
        <row r="1857">
          <cell r="G1857" t="str">
            <v>Xã Đông Trung</v>
          </cell>
          <cell r="I1857" t="str">
            <v>11515</v>
          </cell>
        </row>
        <row r="1858">
          <cell r="G1858" t="str">
            <v xml:space="preserve">Xã Đông Phong </v>
          </cell>
          <cell r="I1858" t="str">
            <v>11515</v>
          </cell>
        </row>
        <row r="1859">
          <cell r="G1859" t="str">
            <v xml:space="preserve">Xã Nam Thanh </v>
          </cell>
          <cell r="I1859" t="str">
            <v>11515</v>
          </cell>
        </row>
        <row r="1860">
          <cell r="G1860" t="str">
            <v xml:space="preserve">Xã Nam Hải </v>
          </cell>
          <cell r="I1860" t="str">
            <v>11515</v>
          </cell>
        </row>
        <row r="1861">
          <cell r="G1861" t="str">
            <v>Xã Đông Lâm</v>
          </cell>
          <cell r="I1861" t="str">
            <v>11515</v>
          </cell>
        </row>
        <row r="1862">
          <cell r="G1862" t="str">
            <v>Xã Phương Công</v>
          </cell>
          <cell r="I1862" t="str">
            <v>11515</v>
          </cell>
        </row>
        <row r="1863">
          <cell r="G1863" t="str">
            <v>Xã Tây Tiến</v>
          </cell>
          <cell r="I1863" t="str">
            <v>11515</v>
          </cell>
        </row>
        <row r="1864">
          <cell r="G1864" t="str">
            <v xml:space="preserve">Xã Nam Cường </v>
          </cell>
          <cell r="I1864" t="str">
            <v>11515</v>
          </cell>
        </row>
        <row r="1865">
          <cell r="G1865" t="str">
            <v>Xã Vân Trường</v>
          </cell>
          <cell r="I1865" t="str">
            <v>11515</v>
          </cell>
        </row>
        <row r="1866">
          <cell r="G1866" t="str">
            <v xml:space="preserve">Xã Nam Thắng </v>
          </cell>
          <cell r="I1866" t="str">
            <v>11515</v>
          </cell>
        </row>
        <row r="1867">
          <cell r="G1867" t="str">
            <v xml:space="preserve">Xã Nam Chính </v>
          </cell>
          <cell r="I1867" t="str">
            <v>11515</v>
          </cell>
        </row>
        <row r="1868">
          <cell r="G1868" t="str">
            <v>Xã Bắc Hải</v>
          </cell>
          <cell r="I1868" t="str">
            <v>11515</v>
          </cell>
        </row>
        <row r="1869">
          <cell r="G1869" t="str">
            <v>Xã Nam Thịnh</v>
          </cell>
          <cell r="I1869" t="str">
            <v>11515</v>
          </cell>
        </row>
        <row r="1870">
          <cell r="G1870" t="str">
            <v xml:space="preserve">Xã Nam Trung </v>
          </cell>
          <cell r="I1870" t="str">
            <v>11515</v>
          </cell>
        </row>
        <row r="1871">
          <cell r="G1871" t="str">
            <v xml:space="preserve">Xã Nam Hồng   </v>
          </cell>
          <cell r="I1871" t="str">
            <v>11515</v>
          </cell>
        </row>
        <row r="1872">
          <cell r="G1872" t="str">
            <v xml:space="preserve">Xã Nam Hưng  </v>
          </cell>
          <cell r="I1872" t="str">
            <v>11515</v>
          </cell>
        </row>
        <row r="1873">
          <cell r="G1873" t="str">
            <v>Xã Nam Phú</v>
          </cell>
          <cell r="I1873" t="str">
            <v>11515</v>
          </cell>
        </row>
        <row r="1874">
          <cell r="G1874" t="str">
            <v>Xã Tây Giang</v>
          </cell>
          <cell r="I1874" t="str">
            <v>11515</v>
          </cell>
        </row>
        <row r="1875">
          <cell r="G1875" t="str">
            <v xml:space="preserve">Xã Đông Hải </v>
          </cell>
          <cell r="I1875" t="str">
            <v>11515</v>
          </cell>
        </row>
        <row r="1876">
          <cell r="G1876" t="str">
            <v>Xã Đông Trà</v>
          </cell>
          <cell r="I1876" t="str">
            <v>11515</v>
          </cell>
        </row>
        <row r="1877">
          <cell r="G1877" t="str">
            <v>Xã Đông Long</v>
          </cell>
          <cell r="I1877" t="str">
            <v>11515</v>
          </cell>
        </row>
        <row r="1878">
          <cell r="G1878" t="str">
            <v>Xã Đông Quí</v>
          </cell>
          <cell r="I1878" t="str">
            <v>11515</v>
          </cell>
        </row>
        <row r="1879">
          <cell r="G1879" t="str">
            <v xml:space="preserve">Xã Đông Xuyên </v>
          </cell>
          <cell r="I1879" t="str">
            <v>11515</v>
          </cell>
        </row>
        <row r="1880">
          <cell r="G1880" t="str">
            <v>Xã Tây Lương</v>
          </cell>
          <cell r="I1880" t="str">
            <v>11515</v>
          </cell>
        </row>
        <row r="1881">
          <cell r="G1881" t="str">
            <v xml:space="preserve">Xã Đông Hoàng </v>
          </cell>
          <cell r="I1881" t="str">
            <v>11515</v>
          </cell>
        </row>
        <row r="1882">
          <cell r="G1882" t="str">
            <v>Xã Đông Minh</v>
          </cell>
          <cell r="I1882" t="str">
            <v>11515</v>
          </cell>
        </row>
        <row r="1883">
          <cell r="G1883" t="str">
            <v>Xã Tây An</v>
          </cell>
          <cell r="I1883" t="str">
            <v>11515</v>
          </cell>
        </row>
        <row r="1884">
          <cell r="G1884" t="str">
            <v xml:space="preserve">Xã An Ninh  </v>
          </cell>
          <cell r="I1884" t="str">
            <v>11515</v>
          </cell>
        </row>
        <row r="1885">
          <cell r="G1885" t="str">
            <v>Xã Tây Sơn</v>
          </cell>
          <cell r="I1885" t="str">
            <v>11515</v>
          </cell>
        </row>
        <row r="1886">
          <cell r="G1886" t="str">
            <v>Xã Đông Cơ</v>
          </cell>
          <cell r="I1886" t="str">
            <v>11515</v>
          </cell>
        </row>
        <row r="1887">
          <cell r="G1887" t="str">
            <v>Phường Nam Thành</v>
          </cell>
          <cell r="I1887" t="str">
            <v>11701</v>
          </cell>
        </row>
        <row r="1888">
          <cell r="G1888" t="str">
            <v>Phường Đông Thành</v>
          </cell>
          <cell r="I1888" t="str">
            <v>11701</v>
          </cell>
        </row>
        <row r="1889">
          <cell r="G1889" t="str">
            <v>Phường Phúc Thành</v>
          </cell>
          <cell r="I1889" t="str">
            <v>11701</v>
          </cell>
        </row>
        <row r="1890">
          <cell r="G1890" t="str">
            <v>Xã Ninh Nhất</v>
          </cell>
          <cell r="I1890" t="str">
            <v>11701</v>
          </cell>
        </row>
        <row r="1891">
          <cell r="G1891" t="str">
            <v>Phường Ninh Phong</v>
          </cell>
          <cell r="I1891" t="str">
            <v>11701</v>
          </cell>
        </row>
        <row r="1892">
          <cell r="G1892" t="str">
            <v xml:space="preserve">Phường Tân Thành </v>
          </cell>
          <cell r="I1892" t="str">
            <v>11701</v>
          </cell>
        </row>
        <row r="1893">
          <cell r="G1893" t="str">
            <v xml:space="preserve">Phường Thanh Bình </v>
          </cell>
          <cell r="I1893" t="str">
            <v>11701</v>
          </cell>
        </row>
        <row r="1894">
          <cell r="G1894" t="str">
            <v>Phường Vân Giang</v>
          </cell>
          <cell r="I1894" t="str">
            <v>11701</v>
          </cell>
        </row>
        <row r="1895">
          <cell r="G1895" t="str">
            <v>Phường Bích Đào</v>
          </cell>
          <cell r="I1895" t="str">
            <v>11701</v>
          </cell>
        </row>
        <row r="1896">
          <cell r="G1896" t="str">
            <v>Phường Nam Bình</v>
          </cell>
          <cell r="I1896" t="str">
            <v>11701</v>
          </cell>
        </row>
        <row r="1897">
          <cell r="G1897" t="str">
            <v>Phường Ninh Khánh</v>
          </cell>
          <cell r="I1897" t="str">
            <v>11701</v>
          </cell>
        </row>
        <row r="1898">
          <cell r="G1898" t="str">
            <v>Xã Ninh Tiến</v>
          </cell>
          <cell r="I1898" t="str">
            <v>11701</v>
          </cell>
        </row>
        <row r="1899">
          <cell r="G1899" t="str">
            <v>Xã Ninh Phúc</v>
          </cell>
          <cell r="I1899" t="str">
            <v>11701</v>
          </cell>
        </row>
        <row r="1900">
          <cell r="G1900" t="str">
            <v>Phường Ninh Sơn</v>
          </cell>
          <cell r="I1900" t="str">
            <v>11701</v>
          </cell>
        </row>
        <row r="1901">
          <cell r="G1901" t="str">
            <v xml:space="preserve">Xã Yên Bình  </v>
          </cell>
          <cell r="I1901" t="str">
            <v>11703</v>
          </cell>
        </row>
        <row r="1902">
          <cell r="G1902" t="str">
            <v xml:space="preserve">Xã Yên Sơn </v>
          </cell>
          <cell r="I1902" t="str">
            <v>11703</v>
          </cell>
        </row>
        <row r="1903">
          <cell r="G1903" t="str">
            <v xml:space="preserve">Phường Bắc Sơn </v>
          </cell>
          <cell r="I1903" t="str">
            <v>11703</v>
          </cell>
        </row>
        <row r="1904">
          <cell r="G1904" t="str">
            <v>Phường Trung Sơn</v>
          </cell>
          <cell r="I1904" t="str">
            <v>11703</v>
          </cell>
        </row>
        <row r="1905">
          <cell r="G1905" t="str">
            <v xml:space="preserve">Phường Nam Sơn </v>
          </cell>
          <cell r="I1905" t="str">
            <v>11703</v>
          </cell>
        </row>
        <row r="1906">
          <cell r="G1906" t="str">
            <v>Xã Quang Sơn</v>
          </cell>
          <cell r="I1906" t="str">
            <v>11703</v>
          </cell>
        </row>
        <row r="1907">
          <cell r="G1907" t="str">
            <v xml:space="preserve">Xã Đông Sơn   </v>
          </cell>
          <cell r="I1907" t="str">
            <v>11703</v>
          </cell>
        </row>
        <row r="1908">
          <cell r="G1908" t="str">
            <v>Phường Tây Sơn</v>
          </cell>
          <cell r="I1908" t="str">
            <v>11703</v>
          </cell>
        </row>
        <row r="1909">
          <cell r="G1909" t="str">
            <v xml:space="preserve">Phường Tân Bình </v>
          </cell>
          <cell r="I1909" t="str">
            <v>11703</v>
          </cell>
        </row>
        <row r="1910">
          <cell r="G1910" t="str">
            <v>Xã Gia Tường</v>
          </cell>
          <cell r="I1910" t="str">
            <v>11705</v>
          </cell>
        </row>
        <row r="1911">
          <cell r="G1911" t="str">
            <v>Xã Văn Phương</v>
          </cell>
          <cell r="I1911" t="str">
            <v>11705</v>
          </cell>
        </row>
        <row r="1912">
          <cell r="G1912" t="str">
            <v>Xã Quảng Lạc</v>
          </cell>
          <cell r="I1912" t="str">
            <v>11705</v>
          </cell>
        </row>
        <row r="1913">
          <cell r="G1913" t="str">
            <v>Thị trấn Nho Quan</v>
          </cell>
          <cell r="I1913" t="str">
            <v>11705</v>
          </cell>
        </row>
        <row r="1914">
          <cell r="G1914" t="str">
            <v>Xã Gia Thủy</v>
          </cell>
          <cell r="I1914" t="str">
            <v>11705</v>
          </cell>
        </row>
        <row r="1915">
          <cell r="G1915" t="str">
            <v>Xã Đức Long</v>
          </cell>
          <cell r="I1915" t="str">
            <v>11705</v>
          </cell>
        </row>
        <row r="1916">
          <cell r="G1916" t="str">
            <v>Xã Lạng Phong</v>
          </cell>
          <cell r="I1916" t="str">
            <v>11705</v>
          </cell>
        </row>
        <row r="1917">
          <cell r="G1917" t="str">
            <v>Xã Thanh Lạc</v>
          </cell>
          <cell r="I1917" t="str">
            <v>11705</v>
          </cell>
        </row>
        <row r="1918">
          <cell r="G1918" t="str">
            <v>Xã Phú Lộc</v>
          </cell>
          <cell r="I1918" t="str">
            <v>11705</v>
          </cell>
        </row>
        <row r="1919">
          <cell r="G1919" t="str">
            <v xml:space="preserve">Xã Sơn Hà </v>
          </cell>
          <cell r="I1919" t="str">
            <v>11705</v>
          </cell>
        </row>
        <row r="1920">
          <cell r="G1920" t="str">
            <v>Xã Xích Thổ</v>
          </cell>
          <cell r="I1920" t="str">
            <v>11705</v>
          </cell>
        </row>
        <row r="1921">
          <cell r="G1921" t="str">
            <v>Xã Gia Lâm</v>
          </cell>
          <cell r="I1921" t="str">
            <v>11705</v>
          </cell>
        </row>
        <row r="1922">
          <cell r="G1922" t="str">
            <v>Xã Gia Sơn</v>
          </cell>
          <cell r="I1922" t="str">
            <v>11705</v>
          </cell>
        </row>
        <row r="1923">
          <cell r="G1923" t="str">
            <v>Xã Thạch Bình</v>
          </cell>
          <cell r="I1923" t="str">
            <v>11705</v>
          </cell>
        </row>
        <row r="1924">
          <cell r="G1924" t="str">
            <v>Xã Cúc Phương</v>
          </cell>
          <cell r="I1924" t="str">
            <v>11705</v>
          </cell>
        </row>
        <row r="1925">
          <cell r="G1925" t="str">
            <v xml:space="preserve">Xã Phú Sơn </v>
          </cell>
          <cell r="I1925" t="str">
            <v>11705</v>
          </cell>
        </row>
        <row r="1926">
          <cell r="G1926" t="str">
            <v>Xã Lạc Vân</v>
          </cell>
          <cell r="I1926" t="str">
            <v>11705</v>
          </cell>
        </row>
        <row r="1927">
          <cell r="G1927" t="str">
            <v>Xã Đồng Phong</v>
          </cell>
          <cell r="I1927" t="str">
            <v>11705</v>
          </cell>
        </row>
        <row r="1928">
          <cell r="G1928" t="str">
            <v xml:space="preserve">Xã Yên Quang </v>
          </cell>
          <cell r="I1928" t="str">
            <v>11705</v>
          </cell>
        </row>
        <row r="1929">
          <cell r="G1929" t="str">
            <v>Xã Thượng Hòa</v>
          </cell>
          <cell r="I1929" t="str">
            <v>11705</v>
          </cell>
        </row>
        <row r="1930">
          <cell r="G1930" t="str">
            <v xml:space="preserve">Xã Văn Phong </v>
          </cell>
          <cell r="I1930" t="str">
            <v>11705</v>
          </cell>
        </row>
        <row r="1931">
          <cell r="G1931" t="str">
            <v>Xã Sơn Lai</v>
          </cell>
          <cell r="I1931" t="str">
            <v>11705</v>
          </cell>
        </row>
        <row r="1932">
          <cell r="G1932" t="str">
            <v>Xã Sơn Thành</v>
          </cell>
          <cell r="I1932" t="str">
            <v>11705</v>
          </cell>
        </row>
        <row r="1933">
          <cell r="G1933" t="str">
            <v xml:space="preserve">Xã Văn Phú </v>
          </cell>
          <cell r="I1933" t="str">
            <v>11705</v>
          </cell>
        </row>
        <row r="1934">
          <cell r="G1934" t="str">
            <v>Xã Kỳ Phú</v>
          </cell>
          <cell r="I1934" t="str">
            <v>11705</v>
          </cell>
        </row>
        <row r="1935">
          <cell r="G1935" t="str">
            <v>Xã Quỳnh Lưu</v>
          </cell>
          <cell r="I1935" t="str">
            <v>11705</v>
          </cell>
        </row>
        <row r="1936">
          <cell r="G1936" t="str">
            <v>Xã Phú Long</v>
          </cell>
          <cell r="I1936" t="str">
            <v>11705</v>
          </cell>
        </row>
        <row r="1937">
          <cell r="G1937" t="str">
            <v>Xã Gia Trấn</v>
          </cell>
          <cell r="I1937" t="str">
            <v>11707</v>
          </cell>
        </row>
        <row r="1938">
          <cell r="G1938" t="str">
            <v>Xã Gia Sinh</v>
          </cell>
          <cell r="I1938" t="str">
            <v>11707</v>
          </cell>
        </row>
        <row r="1939">
          <cell r="G1939" t="str">
            <v xml:space="preserve">Xã Gia Hòa </v>
          </cell>
          <cell r="I1939" t="str">
            <v>11707</v>
          </cell>
        </row>
        <row r="1940">
          <cell r="G1940" t="str">
            <v>Xã Gia Vân</v>
          </cell>
          <cell r="I1940" t="str">
            <v>11707</v>
          </cell>
        </row>
        <row r="1941">
          <cell r="G1941" t="str">
            <v>Xã Gia Vượng</v>
          </cell>
          <cell r="I1941" t="str">
            <v>11707</v>
          </cell>
        </row>
        <row r="1942">
          <cell r="G1942" t="str">
            <v xml:space="preserve">Xã Gia Tân </v>
          </cell>
          <cell r="I1942" t="str">
            <v>11707</v>
          </cell>
        </row>
        <row r="1943">
          <cell r="G1943" t="str">
            <v xml:space="preserve">Xã Gia Minh </v>
          </cell>
          <cell r="I1943" t="str">
            <v>11707</v>
          </cell>
        </row>
        <row r="1944">
          <cell r="G1944" t="str">
            <v>Xã Gia Phong</v>
          </cell>
          <cell r="I1944" t="str">
            <v>11707</v>
          </cell>
        </row>
        <row r="1945">
          <cell r="G1945" t="str">
            <v>Thị trấn Me</v>
          </cell>
          <cell r="I1945" t="str">
            <v>11707</v>
          </cell>
        </row>
        <row r="1946">
          <cell r="G1946" t="str">
            <v>Xã Gia Hưng</v>
          </cell>
          <cell r="I1946" t="str">
            <v>11707</v>
          </cell>
        </row>
        <row r="1947">
          <cell r="G1947" t="str">
            <v xml:space="preserve">Xã Liên Sơn </v>
          </cell>
          <cell r="I1947" t="str">
            <v>11707</v>
          </cell>
        </row>
        <row r="1948">
          <cell r="G1948" t="str">
            <v>Xã Gia Thanh</v>
          </cell>
          <cell r="I1948" t="str">
            <v>11707</v>
          </cell>
        </row>
        <row r="1949">
          <cell r="G1949" t="str">
            <v>Xã Gia Phú</v>
          </cell>
          <cell r="I1949" t="str">
            <v>11707</v>
          </cell>
        </row>
        <row r="1950">
          <cell r="G1950" t="str">
            <v>Xã Gia Xuân</v>
          </cell>
          <cell r="I1950" t="str">
            <v>11707</v>
          </cell>
        </row>
        <row r="1951">
          <cell r="G1951" t="str">
            <v>Xã Gia Lập</v>
          </cell>
          <cell r="I1951" t="str">
            <v>11707</v>
          </cell>
        </row>
        <row r="1952">
          <cell r="G1952" t="str">
            <v>Xã Gia Thịnh</v>
          </cell>
          <cell r="I1952" t="str">
            <v>11707</v>
          </cell>
        </row>
        <row r="1953">
          <cell r="G1953" t="str">
            <v>Xã Gia Phương</v>
          </cell>
          <cell r="I1953" t="str">
            <v>11707</v>
          </cell>
        </row>
        <row r="1954">
          <cell r="G1954" t="str">
            <v>Xã Gia Thắng</v>
          </cell>
          <cell r="I1954" t="str">
            <v>11707</v>
          </cell>
        </row>
        <row r="1955">
          <cell r="G1955" t="str">
            <v>Xã Gia Trung</v>
          </cell>
          <cell r="I1955" t="str">
            <v>11707</v>
          </cell>
        </row>
        <row r="1956">
          <cell r="G1956" t="str">
            <v>Xã Gia Lạc</v>
          </cell>
          <cell r="I1956" t="str">
            <v>11707</v>
          </cell>
        </row>
        <row r="1957">
          <cell r="G1957" t="str">
            <v>Xã Gia Tiến</v>
          </cell>
          <cell r="I1957" t="str">
            <v>11707</v>
          </cell>
        </row>
        <row r="1958">
          <cell r="G1958" t="str">
            <v>Xã Ninh Thắng</v>
          </cell>
          <cell r="I1958" t="str">
            <v>11709</v>
          </cell>
        </row>
        <row r="1959">
          <cell r="G1959" t="str">
            <v>Xã Ninh Khang</v>
          </cell>
          <cell r="I1959" t="str">
            <v>11709</v>
          </cell>
        </row>
        <row r="1960">
          <cell r="G1960" t="str">
            <v xml:space="preserve">Xã Ninh Hải </v>
          </cell>
          <cell r="I1960" t="str">
            <v>11709</v>
          </cell>
        </row>
        <row r="1961">
          <cell r="G1961" t="str">
            <v>Thị trấn Thiên Tôn</v>
          </cell>
          <cell r="I1961" t="str">
            <v>11709</v>
          </cell>
        </row>
        <row r="1962">
          <cell r="G1962" t="str">
            <v>Xã Ninh Giang</v>
          </cell>
          <cell r="I1962" t="str">
            <v>11709</v>
          </cell>
        </row>
        <row r="1963">
          <cell r="G1963" t="str">
            <v xml:space="preserve">Xã Trường Yên </v>
          </cell>
          <cell r="I1963" t="str">
            <v>11709</v>
          </cell>
        </row>
        <row r="1964">
          <cell r="G1964" t="str">
            <v>Xã Ninh Mỹ</v>
          </cell>
          <cell r="I1964" t="str">
            <v>11709</v>
          </cell>
        </row>
        <row r="1965">
          <cell r="G1965" t="str">
            <v xml:space="preserve">Xã Ninh Hòa </v>
          </cell>
          <cell r="I1965" t="str">
            <v>11709</v>
          </cell>
        </row>
        <row r="1966">
          <cell r="G1966" t="str">
            <v>Xã Ninh Xuân</v>
          </cell>
          <cell r="I1966" t="str">
            <v>11709</v>
          </cell>
        </row>
        <row r="1967">
          <cell r="G1967" t="str">
            <v>Xã Ninh Vân</v>
          </cell>
          <cell r="I1967" t="str">
            <v>11709</v>
          </cell>
        </row>
        <row r="1968">
          <cell r="G1968" t="str">
            <v>Xã Ninh An</v>
          </cell>
          <cell r="I1968" t="str">
            <v>11709</v>
          </cell>
        </row>
        <row r="1969">
          <cell r="G1969" t="str">
            <v>Xã Khánh Dương</v>
          </cell>
          <cell r="I1969" t="str">
            <v>11711</v>
          </cell>
        </row>
        <row r="1970">
          <cell r="G1970" t="str">
            <v xml:space="preserve">Xã Yên Mỹ  </v>
          </cell>
          <cell r="I1970" t="str">
            <v>11711</v>
          </cell>
        </row>
        <row r="1971">
          <cell r="G1971" t="str">
            <v>Thị trấn Yên Thịnh</v>
          </cell>
          <cell r="I1971" t="str">
            <v>11711</v>
          </cell>
        </row>
        <row r="1972">
          <cell r="G1972" t="str">
            <v xml:space="preserve">Xã Yên Phú  </v>
          </cell>
          <cell r="I1972" t="str">
            <v>11711</v>
          </cell>
        </row>
        <row r="1973">
          <cell r="G1973" t="str">
            <v>Xã Yên Từ</v>
          </cell>
          <cell r="I1973" t="str">
            <v>11711</v>
          </cell>
        </row>
        <row r="1974">
          <cell r="G1974" t="str">
            <v xml:space="preserve">Xã Yên Nhân </v>
          </cell>
          <cell r="I1974" t="str">
            <v>11711</v>
          </cell>
        </row>
        <row r="1975">
          <cell r="G1975" t="str">
            <v>Xã Yên Thái</v>
          </cell>
          <cell r="I1975" t="str">
            <v>11711</v>
          </cell>
        </row>
        <row r="1976">
          <cell r="G1976" t="str">
            <v xml:space="preserve">Xã Khánh Thượng </v>
          </cell>
          <cell r="I1976" t="str">
            <v>11711</v>
          </cell>
        </row>
        <row r="1977">
          <cell r="G1977" t="str">
            <v>Xã Mai Sơn</v>
          </cell>
          <cell r="I1977" t="str">
            <v>11711</v>
          </cell>
        </row>
        <row r="1978">
          <cell r="G1978" t="str">
            <v>Xã Khánh Thịnh</v>
          </cell>
          <cell r="I1978" t="str">
            <v>11711</v>
          </cell>
        </row>
        <row r="1979">
          <cell r="G1979" t="str">
            <v xml:space="preserve">Xã Yên Phong </v>
          </cell>
          <cell r="I1979" t="str">
            <v>11711</v>
          </cell>
        </row>
        <row r="1980">
          <cell r="G1980" t="str">
            <v xml:space="preserve">Xã Yên Hòa </v>
          </cell>
          <cell r="I1980" t="str">
            <v>11711</v>
          </cell>
        </row>
        <row r="1981">
          <cell r="G1981" t="str">
            <v xml:space="preserve">Xã Yên Thắng </v>
          </cell>
          <cell r="I1981" t="str">
            <v>11711</v>
          </cell>
        </row>
        <row r="1982">
          <cell r="G1982" t="str">
            <v xml:space="preserve">Xã Yên Hưng </v>
          </cell>
          <cell r="I1982" t="str">
            <v>11711</v>
          </cell>
        </row>
        <row r="1983">
          <cell r="G1983" t="str">
            <v xml:space="preserve">Xã Yên Thành </v>
          </cell>
          <cell r="I1983" t="str">
            <v>11711</v>
          </cell>
        </row>
        <row r="1984">
          <cell r="G1984" t="str">
            <v>Xã Yên Mạc</v>
          </cell>
          <cell r="I1984" t="str">
            <v>11711</v>
          </cell>
        </row>
        <row r="1985">
          <cell r="G1985" t="str">
            <v xml:space="preserve">Xã Yên Đồng </v>
          </cell>
          <cell r="I1985" t="str">
            <v>11711</v>
          </cell>
        </row>
        <row r="1986">
          <cell r="G1986" t="str">
            <v>Xã Yên Lâm</v>
          </cell>
          <cell r="I1986" t="str">
            <v>11711</v>
          </cell>
        </row>
        <row r="1987">
          <cell r="G1987" t="str">
            <v>Xã Khánh Cư</v>
          </cell>
          <cell r="I1987" t="str">
            <v>11713</v>
          </cell>
        </row>
        <row r="1988">
          <cell r="G1988" t="str">
            <v>Xã Khánh Thành</v>
          </cell>
          <cell r="I1988" t="str">
            <v>11713</v>
          </cell>
        </row>
        <row r="1989">
          <cell r="G1989" t="str">
            <v>Thị trấn Yên Ninh</v>
          </cell>
          <cell r="I1989" t="str">
            <v>11713</v>
          </cell>
        </row>
        <row r="1990">
          <cell r="G1990" t="str">
            <v>Xã Khánh An</v>
          </cell>
          <cell r="I1990" t="str">
            <v>11713</v>
          </cell>
        </row>
        <row r="1991">
          <cell r="G1991" t="str">
            <v>Xã Khánh Hải</v>
          </cell>
          <cell r="I1991" t="str">
            <v>11713</v>
          </cell>
        </row>
        <row r="1992">
          <cell r="G1992" t="str">
            <v>Xã Khánh Hội</v>
          </cell>
          <cell r="I1992" t="str">
            <v>11713</v>
          </cell>
        </row>
        <row r="1993">
          <cell r="G1993" t="str">
            <v>Xã Khánh Nhạc</v>
          </cell>
          <cell r="I1993" t="str">
            <v>11713</v>
          </cell>
        </row>
        <row r="1994">
          <cell r="G1994" t="str">
            <v>Xã Khánh Tiên</v>
          </cell>
          <cell r="I1994" t="str">
            <v>11713</v>
          </cell>
        </row>
        <row r="1995">
          <cell r="G1995" t="str">
            <v>Xã Khánh Phú</v>
          </cell>
          <cell r="I1995" t="str">
            <v>11713</v>
          </cell>
        </row>
        <row r="1996">
          <cell r="G1996" t="str">
            <v>Xã Khánh Hòa</v>
          </cell>
          <cell r="I1996" t="str">
            <v>11713</v>
          </cell>
        </row>
        <row r="1997">
          <cell r="G1997" t="str">
            <v>Xã Khánh Lợi</v>
          </cell>
          <cell r="I1997" t="str">
            <v>11713</v>
          </cell>
        </row>
        <row r="1998">
          <cell r="G1998" t="str">
            <v>Xã Khánh Cường</v>
          </cell>
          <cell r="I1998" t="str">
            <v>11713</v>
          </cell>
        </row>
        <row r="1999">
          <cell r="G1999" t="str">
            <v>Xã Khánh Thiện</v>
          </cell>
          <cell r="I1999" t="str">
            <v>11713</v>
          </cell>
        </row>
        <row r="2000">
          <cell r="G2000" t="str">
            <v>Xã Khánh Trung</v>
          </cell>
          <cell r="I2000" t="str">
            <v>11713</v>
          </cell>
        </row>
        <row r="2001">
          <cell r="G2001" t="str">
            <v>Xã Khánh Mậu</v>
          </cell>
          <cell r="I2001" t="str">
            <v>11713</v>
          </cell>
        </row>
        <row r="2002">
          <cell r="G2002" t="str">
            <v>Xã Khánh Vân</v>
          </cell>
          <cell r="I2002" t="str">
            <v>11713</v>
          </cell>
        </row>
        <row r="2003">
          <cell r="G2003" t="str">
            <v>Xã Khánh Công</v>
          </cell>
          <cell r="I2003" t="str">
            <v>11713</v>
          </cell>
        </row>
        <row r="2004">
          <cell r="G2004" t="str">
            <v>Xã Khánh Ninh</v>
          </cell>
          <cell r="I2004" t="str">
            <v>11713</v>
          </cell>
        </row>
        <row r="2005">
          <cell r="G2005" t="str">
            <v>Xã Khánh Thủy</v>
          </cell>
          <cell r="I2005" t="str">
            <v>11713</v>
          </cell>
        </row>
        <row r="2006">
          <cell r="G2006" t="str">
            <v>Xã Khánh Hồng</v>
          </cell>
          <cell r="I2006" t="str">
            <v>11713</v>
          </cell>
        </row>
        <row r="2007">
          <cell r="G2007" t="str">
            <v>Xã Hồi Ninh</v>
          </cell>
          <cell r="I2007" t="str">
            <v>11715</v>
          </cell>
        </row>
        <row r="2008">
          <cell r="G2008" t="str">
            <v>Xã Như Hòa</v>
          </cell>
          <cell r="I2008" t="str">
            <v>11715</v>
          </cell>
        </row>
        <row r="2009">
          <cell r="G2009" t="str">
            <v>Xã Định Hóa</v>
          </cell>
          <cell r="I2009" t="str">
            <v>11715</v>
          </cell>
        </row>
        <row r="2010">
          <cell r="G2010" t="str">
            <v>Xã Đồng Hướng</v>
          </cell>
          <cell r="I2010" t="str">
            <v>11715</v>
          </cell>
        </row>
        <row r="2011">
          <cell r="G2011" t="str">
            <v xml:space="preserve">Xã Tân Thành </v>
          </cell>
          <cell r="I2011" t="str">
            <v>11715</v>
          </cell>
        </row>
        <row r="2012">
          <cell r="G2012" t="str">
            <v>Xã Văn Hải</v>
          </cell>
          <cell r="I2012" t="str">
            <v>11715</v>
          </cell>
        </row>
        <row r="2013">
          <cell r="G2013" t="str">
            <v>Xã Kim Hải</v>
          </cell>
          <cell r="I2013" t="str">
            <v>11715</v>
          </cell>
        </row>
        <row r="2014">
          <cell r="G2014" t="str">
            <v>Thị trấn Bình Minh</v>
          </cell>
          <cell r="I2014" t="str">
            <v>11715</v>
          </cell>
        </row>
        <row r="2015">
          <cell r="G2015" t="str">
            <v>Xã Xuân Thiện</v>
          </cell>
          <cell r="I2015" t="str">
            <v>11715</v>
          </cell>
        </row>
        <row r="2016">
          <cell r="G2016" t="str">
            <v>Xã Chính Tâm</v>
          </cell>
          <cell r="I2016" t="str">
            <v>11715</v>
          </cell>
        </row>
        <row r="2017">
          <cell r="G2017" t="str">
            <v>Xã Kim Định</v>
          </cell>
          <cell r="I2017" t="str">
            <v>11715</v>
          </cell>
        </row>
        <row r="2018">
          <cell r="G2018" t="str">
            <v>Xã ân Hòa</v>
          </cell>
          <cell r="I2018" t="str">
            <v>11715</v>
          </cell>
        </row>
        <row r="2019">
          <cell r="G2019" t="str">
            <v xml:space="preserve">Xã Hùng Tiến  </v>
          </cell>
          <cell r="I2019" t="str">
            <v>11715</v>
          </cell>
        </row>
        <row r="2020">
          <cell r="G2020" t="str">
            <v>Xã Yên Mật</v>
          </cell>
          <cell r="I2020" t="str">
            <v>11715</v>
          </cell>
        </row>
        <row r="2021">
          <cell r="G2021" t="str">
            <v>Xã Quang Thiện</v>
          </cell>
          <cell r="I2021" t="str">
            <v>11715</v>
          </cell>
        </row>
        <row r="2022">
          <cell r="G2022" t="str">
            <v>Xã Chất Bình</v>
          </cell>
          <cell r="I2022" t="str">
            <v>11715</v>
          </cell>
        </row>
        <row r="2023">
          <cell r="G2023" t="str">
            <v>Xã Kim Chính</v>
          </cell>
          <cell r="I2023" t="str">
            <v>11715</v>
          </cell>
        </row>
        <row r="2024">
          <cell r="G2024" t="str">
            <v>Xã Thượng Kiệm</v>
          </cell>
          <cell r="I2024" t="str">
            <v>11715</v>
          </cell>
        </row>
        <row r="2025">
          <cell r="G2025" t="str">
            <v>Xã Lưu Phương</v>
          </cell>
          <cell r="I2025" t="str">
            <v>11715</v>
          </cell>
        </row>
        <row r="2026">
          <cell r="G2026" t="str">
            <v xml:space="preserve">Xã Yên Lộc </v>
          </cell>
          <cell r="I2026" t="str">
            <v>11715</v>
          </cell>
        </row>
        <row r="2027">
          <cell r="G2027" t="str">
            <v>Xã Lai Thành</v>
          </cell>
          <cell r="I2027" t="str">
            <v>11715</v>
          </cell>
        </row>
        <row r="2028">
          <cell r="G2028" t="str">
            <v xml:space="preserve">Xã Kim Tân </v>
          </cell>
          <cell r="I2028" t="str">
            <v>11715</v>
          </cell>
        </row>
        <row r="2029">
          <cell r="G2029" t="str">
            <v>Xã Kim Mỹ</v>
          </cell>
          <cell r="I2029" t="str">
            <v>11715</v>
          </cell>
        </row>
        <row r="2030">
          <cell r="G2030" t="str">
            <v>Xã Cồn Thoi</v>
          </cell>
          <cell r="I2030" t="str">
            <v>11715</v>
          </cell>
        </row>
        <row r="2031">
          <cell r="G2031" t="str">
            <v xml:space="preserve">Xã Kim Trung </v>
          </cell>
          <cell r="I2031" t="str">
            <v>11715</v>
          </cell>
        </row>
        <row r="2032">
          <cell r="G2032" t="str">
            <v>Xã Kim Đông</v>
          </cell>
          <cell r="I2032" t="str">
            <v>11715</v>
          </cell>
        </row>
        <row r="2033">
          <cell r="G2033" t="str">
            <v>Thị trấn Phát Diệm</v>
          </cell>
          <cell r="I2033" t="str">
            <v>11715</v>
          </cell>
        </row>
        <row r="2034">
          <cell r="G2034" t="str">
            <v xml:space="preserve">Phường Quang Trung         </v>
          </cell>
          <cell r="I2034" t="str">
            <v>20101</v>
          </cell>
        </row>
        <row r="2035">
          <cell r="G2035" t="str">
            <v xml:space="preserve">Phường Ngọc Hà </v>
          </cell>
          <cell r="I2035" t="str">
            <v>20101</v>
          </cell>
        </row>
        <row r="2036">
          <cell r="G2036" t="str">
            <v xml:space="preserve">Phường Nguyễn Trãi  </v>
          </cell>
          <cell r="I2036" t="str">
            <v>20101</v>
          </cell>
        </row>
        <row r="2037">
          <cell r="G2037" t="str">
            <v xml:space="preserve">Phường Minh Khai     </v>
          </cell>
          <cell r="I2037" t="str">
            <v>20101</v>
          </cell>
        </row>
        <row r="2038">
          <cell r="G2038" t="str">
            <v xml:space="preserve">Xã Phương Độ </v>
          </cell>
          <cell r="I2038" t="str">
            <v>20101</v>
          </cell>
        </row>
        <row r="2039">
          <cell r="G2039" t="str">
            <v>Xã Phương Thiện</v>
          </cell>
          <cell r="I2039" t="str">
            <v>20101</v>
          </cell>
        </row>
        <row r="2040">
          <cell r="G2040" t="str">
            <v>Xã Ngọc Đường</v>
          </cell>
          <cell r="I2040" t="str">
            <v>20101</v>
          </cell>
        </row>
        <row r="2041">
          <cell r="G2041" t="str">
            <v xml:space="preserve">Phường Trần Phú  </v>
          </cell>
          <cell r="I2041" t="str">
            <v>20101</v>
          </cell>
        </row>
        <row r="2042">
          <cell r="G2042" t="str">
            <v>Thị trấn Phó Bảng</v>
          </cell>
          <cell r="I2042" t="str">
            <v>20103</v>
          </cell>
        </row>
        <row r="2043">
          <cell r="G2043" t="str">
            <v>Xã Má Lé</v>
          </cell>
          <cell r="I2043" t="str">
            <v>20103</v>
          </cell>
        </row>
        <row r="2044">
          <cell r="G2044" t="str">
            <v xml:space="preserve">Thị trấn Đồng Văn </v>
          </cell>
          <cell r="I2044" t="str">
            <v>20103</v>
          </cell>
        </row>
        <row r="2045">
          <cell r="G2045" t="str">
            <v>Xã Phố Là</v>
          </cell>
          <cell r="I2045" t="str">
            <v>20103</v>
          </cell>
        </row>
        <row r="2046">
          <cell r="G2046" t="str">
            <v>Xã Thài Phìn Tủng</v>
          </cell>
          <cell r="I2046" t="str">
            <v>20103</v>
          </cell>
        </row>
        <row r="2047">
          <cell r="G2047" t="str">
            <v>Xã Sủng Là</v>
          </cell>
          <cell r="I2047" t="str">
            <v>20103</v>
          </cell>
        </row>
        <row r="2048">
          <cell r="G2048" t="str">
            <v>Xã Tả Lủng</v>
          </cell>
          <cell r="I2048" t="str">
            <v>20103</v>
          </cell>
        </row>
        <row r="2049">
          <cell r="G2049" t="str">
            <v>Xã Phố Cáo</v>
          </cell>
          <cell r="I2049" t="str">
            <v>20103</v>
          </cell>
        </row>
        <row r="2050">
          <cell r="G2050" t="str">
            <v>Xã Sảng Tủng</v>
          </cell>
          <cell r="I2050" t="str">
            <v>20103</v>
          </cell>
        </row>
        <row r="2051">
          <cell r="G2051" t="str">
            <v>Xã Lũng Thầu</v>
          </cell>
          <cell r="I2051" t="str">
            <v>20103</v>
          </cell>
        </row>
        <row r="2052">
          <cell r="G2052" t="str">
            <v>Xã Hố Quáng Phìn</v>
          </cell>
          <cell r="I2052" t="str">
            <v>20103</v>
          </cell>
        </row>
        <row r="2053">
          <cell r="G2053" t="str">
            <v>Xã Lũng Phìn</v>
          </cell>
          <cell r="I2053" t="str">
            <v>20103</v>
          </cell>
        </row>
        <row r="2054">
          <cell r="G2054" t="str">
            <v>Xã Sủng Trái</v>
          </cell>
          <cell r="I2054" t="str">
            <v>20103</v>
          </cell>
        </row>
        <row r="2055">
          <cell r="G2055" t="str">
            <v>Xã Tả Phìn</v>
          </cell>
          <cell r="I2055" t="str">
            <v>20103</v>
          </cell>
        </row>
        <row r="2056">
          <cell r="G2056" t="str">
            <v>Xã Sính Lủng</v>
          </cell>
          <cell r="I2056" t="str">
            <v>20103</v>
          </cell>
        </row>
        <row r="2057">
          <cell r="G2057" t="str">
            <v>Xã Vần Chải</v>
          </cell>
          <cell r="I2057" t="str">
            <v>20103</v>
          </cell>
        </row>
        <row r="2058">
          <cell r="G2058" t="str">
            <v>Xã Xà Phìn</v>
          </cell>
          <cell r="I2058" t="str">
            <v>20103</v>
          </cell>
        </row>
        <row r="2059">
          <cell r="G2059" t="str">
            <v>Xã Lũng Cú</v>
          </cell>
          <cell r="I2059" t="str">
            <v>20103</v>
          </cell>
        </row>
        <row r="2060">
          <cell r="G2060" t="str">
            <v>Xã Lũng Táo</v>
          </cell>
          <cell r="I2060" t="str">
            <v>20103</v>
          </cell>
        </row>
        <row r="2061">
          <cell r="G2061" t="str">
            <v>Thị trấn Mèo Vạc</v>
          </cell>
          <cell r="I2061" t="str">
            <v>20105</v>
          </cell>
        </row>
        <row r="2062">
          <cell r="G2062" t="str">
            <v>Xã Xín Cái</v>
          </cell>
          <cell r="I2062" t="str">
            <v>20105</v>
          </cell>
        </row>
        <row r="2063">
          <cell r="G2063" t="str">
            <v>Xã Pả Vi</v>
          </cell>
          <cell r="I2063" t="str">
            <v>20105</v>
          </cell>
        </row>
        <row r="2064">
          <cell r="G2064" t="str">
            <v>Xã Sủng Trà</v>
          </cell>
          <cell r="I2064" t="str">
            <v>20105</v>
          </cell>
        </row>
        <row r="2065">
          <cell r="G2065" t="str">
            <v>Xã Sủng Máng</v>
          </cell>
          <cell r="I2065" t="str">
            <v>20105</v>
          </cell>
        </row>
        <row r="2066">
          <cell r="G2066" t="str">
            <v>Xã Sơn Vĩ</v>
          </cell>
          <cell r="I2066" t="str">
            <v>20105</v>
          </cell>
        </row>
        <row r="2067">
          <cell r="G2067" t="str">
            <v xml:space="preserve">Xã Tả Lủng </v>
          </cell>
          <cell r="I2067" t="str">
            <v>20105</v>
          </cell>
        </row>
        <row r="2068">
          <cell r="G2068" t="str">
            <v>Xã Lũng Pù</v>
          </cell>
          <cell r="I2068" t="str">
            <v>20105</v>
          </cell>
        </row>
        <row r="2069">
          <cell r="G2069" t="str">
            <v>Xã Tát Ngà</v>
          </cell>
          <cell r="I2069" t="str">
            <v>20105</v>
          </cell>
        </row>
        <row r="2070">
          <cell r="G2070" t="str">
            <v>Xã Khâu Vai</v>
          </cell>
          <cell r="I2070" t="str">
            <v>20105</v>
          </cell>
        </row>
        <row r="2071">
          <cell r="G2071" t="str">
            <v>Xã Niêm Tòng</v>
          </cell>
          <cell r="I2071" t="str">
            <v>20105</v>
          </cell>
        </row>
        <row r="2072">
          <cell r="G2072" t="str">
            <v>Xã Niêm Sơn</v>
          </cell>
          <cell r="I2072" t="str">
            <v>20105</v>
          </cell>
        </row>
        <row r="2073">
          <cell r="G2073" t="str">
            <v>Xã Pải Lủng</v>
          </cell>
          <cell r="I2073" t="str">
            <v>20105</v>
          </cell>
        </row>
        <row r="2074">
          <cell r="G2074" t="str">
            <v>Xã Lũng Chinh</v>
          </cell>
          <cell r="I2074" t="str">
            <v>20105</v>
          </cell>
        </row>
        <row r="2075">
          <cell r="G2075" t="str">
            <v>Xã Thượng Phùng</v>
          </cell>
          <cell r="I2075" t="str">
            <v>20105</v>
          </cell>
        </row>
        <row r="2076">
          <cell r="G2076" t="str">
            <v>Xã Giàng Chu Phìn</v>
          </cell>
          <cell r="I2076" t="str">
            <v>20105</v>
          </cell>
        </row>
        <row r="2077">
          <cell r="G2077" t="str">
            <v>Xã Cán Chu Phìn</v>
          </cell>
          <cell r="I2077" t="str">
            <v>20105</v>
          </cell>
        </row>
        <row r="2078">
          <cell r="G2078" t="str">
            <v>Xã Nậm Ban</v>
          </cell>
          <cell r="I2078" t="str">
            <v>20105</v>
          </cell>
        </row>
        <row r="2079">
          <cell r="G2079" t="str">
            <v>Thị trấn Yên Minh</v>
          </cell>
          <cell r="I2079" t="str">
            <v>20107</v>
          </cell>
        </row>
        <row r="2080">
          <cell r="G2080" t="str">
            <v>Xã Phú Lũng</v>
          </cell>
          <cell r="I2080" t="str">
            <v>20107</v>
          </cell>
        </row>
        <row r="2081">
          <cell r="G2081" t="str">
            <v>Xã Sủng Tráng</v>
          </cell>
          <cell r="I2081" t="str">
            <v>20107</v>
          </cell>
        </row>
        <row r="2082">
          <cell r="G2082" t="str">
            <v>Xã Bạch Đích</v>
          </cell>
          <cell r="I2082" t="str">
            <v>20107</v>
          </cell>
        </row>
        <row r="2083">
          <cell r="G2083" t="str">
            <v>Xã Hữu Vinh</v>
          </cell>
          <cell r="I2083" t="str">
            <v>20107</v>
          </cell>
        </row>
        <row r="2084">
          <cell r="G2084" t="str">
            <v>Xã Mậu Duệ</v>
          </cell>
          <cell r="I2084" t="str">
            <v>20107</v>
          </cell>
        </row>
        <row r="2085">
          <cell r="G2085" t="str">
            <v xml:space="preserve">Xã Đông Minh </v>
          </cell>
          <cell r="I2085" t="str">
            <v>20107</v>
          </cell>
        </row>
        <row r="2086">
          <cell r="G2086" t="str">
            <v>Xã Mậu Long</v>
          </cell>
          <cell r="I2086" t="str">
            <v>20107</v>
          </cell>
        </row>
        <row r="2087">
          <cell r="G2087" t="str">
            <v>Xã Ngam La</v>
          </cell>
          <cell r="I2087" t="str">
            <v>20107</v>
          </cell>
        </row>
        <row r="2088">
          <cell r="G2088" t="str">
            <v>Xã Đường Thượng</v>
          </cell>
          <cell r="I2088" t="str">
            <v>20107</v>
          </cell>
        </row>
        <row r="2089">
          <cell r="G2089" t="str">
            <v>Xã Lũng Hồ</v>
          </cell>
          <cell r="I2089" t="str">
            <v>20107</v>
          </cell>
        </row>
        <row r="2090">
          <cell r="G2090" t="str">
            <v>Xã Du Tiến</v>
          </cell>
          <cell r="I2090" t="str">
            <v>20107</v>
          </cell>
        </row>
        <row r="2091">
          <cell r="G2091" t="str">
            <v>Xã Sủng Thài</v>
          </cell>
          <cell r="I2091" t="str">
            <v>20107</v>
          </cell>
        </row>
        <row r="2092">
          <cell r="G2092" t="str">
            <v>Xã Thắng Mố</v>
          </cell>
          <cell r="I2092" t="str">
            <v>20107</v>
          </cell>
        </row>
        <row r="2093">
          <cell r="G2093" t="str">
            <v>Xã Na Khê</v>
          </cell>
          <cell r="I2093" t="str">
            <v>20107</v>
          </cell>
        </row>
        <row r="2094">
          <cell r="G2094" t="str">
            <v>Xã Lao Và Chải</v>
          </cell>
          <cell r="I2094" t="str">
            <v>20107</v>
          </cell>
        </row>
        <row r="2095">
          <cell r="G2095" t="str">
            <v xml:space="preserve">Xã Ngọc Long </v>
          </cell>
          <cell r="I2095" t="str">
            <v>20107</v>
          </cell>
        </row>
        <row r="2096">
          <cell r="G2096" t="str">
            <v>Xã Du Già</v>
          </cell>
          <cell r="I2096" t="str">
            <v>20107</v>
          </cell>
        </row>
        <row r="2097">
          <cell r="G2097" t="str">
            <v>Xã Cán Tỷ</v>
          </cell>
          <cell r="I2097" t="str">
            <v>20109</v>
          </cell>
        </row>
        <row r="2098">
          <cell r="G2098" t="str">
            <v>Xã Cao Mã Pờ</v>
          </cell>
          <cell r="I2098" t="str">
            <v>20109</v>
          </cell>
        </row>
        <row r="2099">
          <cell r="G2099" t="str">
            <v>Xã Thanh Vân</v>
          </cell>
          <cell r="I2099" t="str">
            <v>20109</v>
          </cell>
        </row>
        <row r="2100">
          <cell r="G2100" t="str">
            <v xml:space="preserve">Xã Đông Hà </v>
          </cell>
          <cell r="I2100" t="str">
            <v>20109</v>
          </cell>
        </row>
        <row r="2101">
          <cell r="G2101" t="str">
            <v>Xã Quản Bạ</v>
          </cell>
          <cell r="I2101" t="str">
            <v>20109</v>
          </cell>
        </row>
        <row r="2102">
          <cell r="G2102" t="str">
            <v>Xã Lùng Tám</v>
          </cell>
          <cell r="I2102" t="str">
            <v>20109</v>
          </cell>
        </row>
        <row r="2103">
          <cell r="G2103" t="str">
            <v xml:space="preserve">Xã Quyết Tiến  </v>
          </cell>
          <cell r="I2103" t="str">
            <v>20109</v>
          </cell>
        </row>
        <row r="2104">
          <cell r="G2104" t="str">
            <v>Xã Tả Ván</v>
          </cell>
          <cell r="I2104" t="str">
            <v>20109</v>
          </cell>
        </row>
        <row r="2105">
          <cell r="G2105" t="str">
            <v xml:space="preserve">Xã Thái An </v>
          </cell>
          <cell r="I2105" t="str">
            <v>20109</v>
          </cell>
        </row>
        <row r="2106">
          <cell r="G2106" t="str">
            <v>Xã Nghĩa Thuận</v>
          </cell>
          <cell r="I2106" t="str">
            <v>20109</v>
          </cell>
        </row>
        <row r="2107">
          <cell r="G2107" t="str">
            <v>Xã Tùng Vài</v>
          </cell>
          <cell r="I2107" t="str">
            <v>20109</v>
          </cell>
        </row>
        <row r="2108">
          <cell r="G2108" t="str">
            <v>Thị trấn Tam Sơn</v>
          </cell>
          <cell r="I2108" t="str">
            <v>20109</v>
          </cell>
        </row>
        <row r="2109">
          <cell r="G2109" t="str">
            <v>Xã Bát Đại Sơn</v>
          </cell>
          <cell r="I2109" t="str">
            <v>20109</v>
          </cell>
        </row>
        <row r="2110">
          <cell r="G2110" t="str">
            <v>Xã Minh Sơn</v>
          </cell>
          <cell r="I2110" t="str">
            <v>20111</v>
          </cell>
        </row>
        <row r="2111">
          <cell r="G2111" t="str">
            <v>Xã Giáp Trung</v>
          </cell>
          <cell r="I2111" t="str">
            <v>20111</v>
          </cell>
        </row>
        <row r="2112">
          <cell r="G2112" t="str">
            <v>Thị trấn Yên Phú</v>
          </cell>
          <cell r="I2112" t="str">
            <v>20111</v>
          </cell>
        </row>
        <row r="2113">
          <cell r="G2113" t="str">
            <v>Xã Minh Ngọc</v>
          </cell>
          <cell r="I2113" t="str">
            <v>20111</v>
          </cell>
        </row>
        <row r="2114">
          <cell r="G2114" t="str">
            <v xml:space="preserve">Xã Yên Phong  </v>
          </cell>
          <cell r="I2114" t="str">
            <v>20111</v>
          </cell>
        </row>
        <row r="2115">
          <cell r="G2115" t="str">
            <v xml:space="preserve">Xã Yên Cường </v>
          </cell>
          <cell r="I2115" t="str">
            <v>20111</v>
          </cell>
        </row>
        <row r="2116">
          <cell r="G2116" t="str">
            <v>Xã Thượng Tân</v>
          </cell>
          <cell r="I2116" t="str">
            <v>20111</v>
          </cell>
        </row>
        <row r="2117">
          <cell r="G2117" t="str">
            <v>Xã Đường Hồng</v>
          </cell>
          <cell r="I2117" t="str">
            <v>20111</v>
          </cell>
        </row>
        <row r="2118">
          <cell r="G2118" t="str">
            <v>Xã Phiêng Luông</v>
          </cell>
          <cell r="I2118" t="str">
            <v>20111</v>
          </cell>
        </row>
        <row r="2119">
          <cell r="G2119" t="str">
            <v>Xã Phú Nam</v>
          </cell>
          <cell r="I2119" t="str">
            <v>20111</v>
          </cell>
        </row>
        <row r="2120">
          <cell r="G2120" t="str">
            <v>Xã Yên Định</v>
          </cell>
          <cell r="I2120" t="str">
            <v>20111</v>
          </cell>
        </row>
        <row r="2121">
          <cell r="G2121" t="str">
            <v>Xã Lạc Nông</v>
          </cell>
          <cell r="I2121" t="str">
            <v>20111</v>
          </cell>
        </row>
        <row r="2122">
          <cell r="G2122" t="str">
            <v>Xã Đường âm</v>
          </cell>
          <cell r="I2122" t="str">
            <v>20111</v>
          </cell>
        </row>
        <row r="2123">
          <cell r="G2123" t="str">
            <v>Thị trấn Vinh Quang</v>
          </cell>
          <cell r="I2123" t="str">
            <v>20113</v>
          </cell>
        </row>
        <row r="2124">
          <cell r="G2124" t="str">
            <v>Xã Thàng Tín</v>
          </cell>
          <cell r="I2124" t="str">
            <v>20113</v>
          </cell>
        </row>
        <row r="2125">
          <cell r="G2125" t="str">
            <v>Xã Thèn Chu Phìn</v>
          </cell>
          <cell r="I2125" t="str">
            <v>20113</v>
          </cell>
        </row>
        <row r="2126">
          <cell r="G2126" t="str">
            <v>Xã Túng Sán</v>
          </cell>
          <cell r="I2126" t="str">
            <v>20113</v>
          </cell>
        </row>
        <row r="2127">
          <cell r="G2127" t="str">
            <v>Xã Chiến Phố</v>
          </cell>
          <cell r="I2127" t="str">
            <v>20113</v>
          </cell>
        </row>
        <row r="2128">
          <cell r="G2128" t="str">
            <v>Xã Đản Ván</v>
          </cell>
          <cell r="I2128" t="str">
            <v>20113</v>
          </cell>
        </row>
        <row r="2129">
          <cell r="G2129" t="str">
            <v xml:space="preserve">Xã Tân Tiến     </v>
          </cell>
          <cell r="I2129" t="str">
            <v>20113</v>
          </cell>
        </row>
        <row r="2130">
          <cell r="G2130" t="str">
            <v>Xã Nàng Đôn</v>
          </cell>
          <cell r="I2130" t="str">
            <v>20113</v>
          </cell>
        </row>
        <row r="2131">
          <cell r="G2131" t="str">
            <v>Xã Sán Xả Hồ</v>
          </cell>
          <cell r="I2131" t="str">
            <v>20113</v>
          </cell>
        </row>
        <row r="2132">
          <cell r="G2132" t="str">
            <v>Xã Bản Luốc</v>
          </cell>
          <cell r="I2132" t="str">
            <v>20113</v>
          </cell>
        </row>
        <row r="2133">
          <cell r="G2133" t="str">
            <v>Xã Tả Sử Choóng</v>
          </cell>
          <cell r="I2133" t="str">
            <v>20113</v>
          </cell>
        </row>
        <row r="2134">
          <cell r="G2134" t="str">
            <v>Xã Nậm Dịch</v>
          </cell>
          <cell r="I2134" t="str">
            <v>20113</v>
          </cell>
        </row>
        <row r="2135">
          <cell r="G2135" t="str">
            <v>Xã Bản Péo</v>
          </cell>
          <cell r="I2135" t="str">
            <v>20113</v>
          </cell>
        </row>
        <row r="2136">
          <cell r="G2136" t="str">
            <v xml:space="preserve">Xã Nam Sơn  </v>
          </cell>
          <cell r="I2136" t="str">
            <v>20113</v>
          </cell>
        </row>
        <row r="2137">
          <cell r="G2137" t="str">
            <v>Xã Nậm Tỵ</v>
          </cell>
          <cell r="I2137" t="str">
            <v>20113</v>
          </cell>
        </row>
        <row r="2138">
          <cell r="G2138" t="str">
            <v>Xã Thông Nguyên</v>
          </cell>
          <cell r="I2138" t="str">
            <v>20113</v>
          </cell>
        </row>
        <row r="2139">
          <cell r="G2139" t="str">
            <v>Xã Pố Lồ</v>
          </cell>
          <cell r="I2139" t="str">
            <v>20113</v>
          </cell>
        </row>
        <row r="2140">
          <cell r="G2140" t="str">
            <v>Xã Ngàm Đăng Vài</v>
          </cell>
          <cell r="I2140" t="str">
            <v>20113</v>
          </cell>
        </row>
        <row r="2141">
          <cell r="G2141" t="str">
            <v>Xã Bản Máy</v>
          </cell>
          <cell r="I2141" t="str">
            <v>20113</v>
          </cell>
        </row>
        <row r="2142">
          <cell r="G2142" t="str">
            <v>Xã Bản Phùng</v>
          </cell>
          <cell r="I2142" t="str">
            <v>20113</v>
          </cell>
        </row>
        <row r="2143">
          <cell r="G2143" t="str">
            <v>Xã Tụ Nhân</v>
          </cell>
          <cell r="I2143" t="str">
            <v>20113</v>
          </cell>
        </row>
        <row r="2144">
          <cell r="G2144" t="str">
            <v>Xã Pờ Ly Ngài</v>
          </cell>
          <cell r="I2144" t="str">
            <v>20113</v>
          </cell>
        </row>
        <row r="2145">
          <cell r="G2145" t="str">
            <v>Xã Bản Nhùng</v>
          </cell>
          <cell r="I2145" t="str">
            <v>20113</v>
          </cell>
        </row>
        <row r="2146">
          <cell r="G2146" t="str">
            <v>Xã Hồ Thầu</v>
          </cell>
          <cell r="I2146" t="str">
            <v>20113</v>
          </cell>
        </row>
        <row r="2147">
          <cell r="G2147" t="str">
            <v>Xã Nậm Khòa</v>
          </cell>
          <cell r="I2147" t="str">
            <v>20113</v>
          </cell>
        </row>
        <row r="2148">
          <cell r="G2148" t="str">
            <v>Xã Kim Thạch</v>
          </cell>
          <cell r="I2148" t="str">
            <v>20115</v>
          </cell>
        </row>
        <row r="2149">
          <cell r="G2149" t="str">
            <v>Xã Kim Linh</v>
          </cell>
          <cell r="I2149" t="str">
            <v>20115</v>
          </cell>
        </row>
        <row r="2150">
          <cell r="G2150" t="str">
            <v>Thị trấn Vị Xuyên</v>
          </cell>
          <cell r="I2150" t="str">
            <v>20115</v>
          </cell>
        </row>
        <row r="2151">
          <cell r="G2151" t="str">
            <v xml:space="preserve">Xã Minh Tân         </v>
          </cell>
          <cell r="I2151" t="str">
            <v>20115</v>
          </cell>
        </row>
        <row r="2152">
          <cell r="G2152" t="str">
            <v>Xã Thuận Hòa</v>
          </cell>
          <cell r="I2152" t="str">
            <v>20115</v>
          </cell>
        </row>
        <row r="2153">
          <cell r="G2153" t="str">
            <v xml:space="preserve">Xã Thanh Thủy  </v>
          </cell>
          <cell r="I2153" t="str">
            <v>20115</v>
          </cell>
        </row>
        <row r="2154">
          <cell r="G2154" t="str">
            <v>Xã Thanh Đức</v>
          </cell>
          <cell r="I2154" t="str">
            <v>20115</v>
          </cell>
        </row>
        <row r="2155">
          <cell r="G2155" t="str">
            <v>Xã Xín Chải</v>
          </cell>
          <cell r="I2155" t="str">
            <v>20115</v>
          </cell>
        </row>
        <row r="2156">
          <cell r="G2156" t="str">
            <v>Xã Phương Tiến</v>
          </cell>
          <cell r="I2156" t="str">
            <v>20115</v>
          </cell>
        </row>
        <row r="2157">
          <cell r="G2157" t="str">
            <v>Xã Lao Chải</v>
          </cell>
          <cell r="I2157" t="str">
            <v>20115</v>
          </cell>
        </row>
        <row r="2158">
          <cell r="G2158" t="str">
            <v>Xã Đạo Đức</v>
          </cell>
          <cell r="I2158" t="str">
            <v>20115</v>
          </cell>
        </row>
        <row r="2159">
          <cell r="G2159" t="str">
            <v>Xã Thượng Sơn</v>
          </cell>
          <cell r="I2159" t="str">
            <v>20115</v>
          </cell>
        </row>
        <row r="2160">
          <cell r="G2160" t="str">
            <v>Xã Linh Hồ</v>
          </cell>
          <cell r="I2160" t="str">
            <v>20115</v>
          </cell>
        </row>
        <row r="2161">
          <cell r="G2161" t="str">
            <v>Xã Ngọc Linh</v>
          </cell>
          <cell r="I2161" t="str">
            <v>20115</v>
          </cell>
        </row>
        <row r="2162">
          <cell r="G2162" t="str">
            <v>Xã Ngọc Minh</v>
          </cell>
          <cell r="I2162" t="str">
            <v>20115</v>
          </cell>
        </row>
        <row r="2163">
          <cell r="G2163" t="str">
            <v xml:space="preserve">Xã Trung Thành </v>
          </cell>
          <cell r="I2163" t="str">
            <v>20115</v>
          </cell>
        </row>
        <row r="2164">
          <cell r="G2164" t="str">
            <v>Xã Phú Linh</v>
          </cell>
          <cell r="I2164" t="str">
            <v>20115</v>
          </cell>
        </row>
        <row r="2165">
          <cell r="G2165" t="str">
            <v>Xã Tùng Bá</v>
          </cell>
          <cell r="I2165" t="str">
            <v>20115</v>
          </cell>
        </row>
        <row r="2166">
          <cell r="G2166" t="str">
            <v>Xã Việt Lâm</v>
          </cell>
          <cell r="I2166" t="str">
            <v>20115</v>
          </cell>
        </row>
        <row r="2167">
          <cell r="G2167" t="str">
            <v>Thị trấn Việt Lâm</v>
          </cell>
          <cell r="I2167" t="str">
            <v>20115</v>
          </cell>
        </row>
        <row r="2168">
          <cell r="G2168" t="str">
            <v>Xã Phong Quang</v>
          </cell>
          <cell r="I2168" t="str">
            <v>20115</v>
          </cell>
        </row>
        <row r="2169">
          <cell r="G2169" t="str">
            <v>Xã Cao Bồ</v>
          </cell>
          <cell r="I2169" t="str">
            <v>20115</v>
          </cell>
        </row>
        <row r="2170">
          <cell r="G2170" t="str">
            <v>Xã Quảng Ngần</v>
          </cell>
          <cell r="I2170" t="str">
            <v>20115</v>
          </cell>
        </row>
        <row r="2171">
          <cell r="G2171" t="str">
            <v>Xã Bạch Ngọc</v>
          </cell>
          <cell r="I2171" t="str">
            <v>20115</v>
          </cell>
        </row>
        <row r="2172">
          <cell r="G2172" t="str">
            <v>Thị trấn Cốc Pài</v>
          </cell>
          <cell r="I2172" t="str">
            <v>20117</v>
          </cell>
        </row>
        <row r="2173">
          <cell r="G2173" t="str">
            <v>Xã Nàn Xỉn</v>
          </cell>
          <cell r="I2173" t="str">
            <v>20117</v>
          </cell>
        </row>
        <row r="2174">
          <cell r="G2174" t="str">
            <v>Xã Bản Díu</v>
          </cell>
          <cell r="I2174" t="str">
            <v>20117</v>
          </cell>
        </row>
        <row r="2175">
          <cell r="G2175" t="str">
            <v>Xã Trung Thịnh</v>
          </cell>
          <cell r="I2175" t="str">
            <v>20117</v>
          </cell>
        </row>
        <row r="2176">
          <cell r="G2176" t="str">
            <v>Xã Thèng Phàng</v>
          </cell>
          <cell r="I2176" t="str">
            <v>20117</v>
          </cell>
        </row>
        <row r="2177">
          <cell r="G2177" t="str">
            <v>Xã Pà Vây Sử</v>
          </cell>
          <cell r="I2177" t="str">
            <v>20117</v>
          </cell>
        </row>
        <row r="2178">
          <cell r="G2178" t="str">
            <v>Xã Cốc Rế</v>
          </cell>
          <cell r="I2178" t="str">
            <v>20117</v>
          </cell>
        </row>
        <row r="2179">
          <cell r="G2179" t="str">
            <v>Xã Thu Tà</v>
          </cell>
          <cell r="I2179" t="str">
            <v>20117</v>
          </cell>
        </row>
        <row r="2180">
          <cell r="G2180" t="str">
            <v>Xã Tả Nhìu</v>
          </cell>
          <cell r="I2180" t="str">
            <v>20117</v>
          </cell>
        </row>
        <row r="2181">
          <cell r="G2181" t="str">
            <v>Xã Bản Ngò</v>
          </cell>
          <cell r="I2181" t="str">
            <v>20117</v>
          </cell>
        </row>
        <row r="2182">
          <cell r="G2182" t="str">
            <v>Xã Nấm Dẩn</v>
          </cell>
          <cell r="I2182" t="str">
            <v>20117</v>
          </cell>
        </row>
        <row r="2183">
          <cell r="G2183" t="str">
            <v>Xã Nà Chì</v>
          </cell>
          <cell r="I2183" t="str">
            <v>20117</v>
          </cell>
        </row>
        <row r="2184">
          <cell r="G2184" t="str">
            <v>Xã Xín Mần</v>
          </cell>
          <cell r="I2184" t="str">
            <v>20117</v>
          </cell>
        </row>
        <row r="2185">
          <cell r="G2185" t="str">
            <v>Xã Quảng Nguyên</v>
          </cell>
          <cell r="I2185" t="str">
            <v>20117</v>
          </cell>
        </row>
        <row r="2186">
          <cell r="G2186" t="str">
            <v>Xã Chí Cà</v>
          </cell>
          <cell r="I2186" t="str">
            <v>20117</v>
          </cell>
        </row>
        <row r="2187">
          <cell r="G2187" t="str">
            <v>Xã Ngán Chiên</v>
          </cell>
          <cell r="I2187" t="str">
            <v>20117</v>
          </cell>
        </row>
        <row r="2188">
          <cell r="G2188" t="str">
            <v>Xã Nàn Ma</v>
          </cell>
          <cell r="I2188" t="str">
            <v>20117</v>
          </cell>
        </row>
        <row r="2189">
          <cell r="G2189" t="str">
            <v>Xã Chế Là</v>
          </cell>
          <cell r="I2189" t="str">
            <v>20117</v>
          </cell>
        </row>
        <row r="2190">
          <cell r="G2190" t="str">
            <v>Xã Khuôn Lùng</v>
          </cell>
          <cell r="I2190" t="str">
            <v>20117</v>
          </cell>
        </row>
        <row r="2191">
          <cell r="G2191" t="str">
            <v>Xã Xuân Minh</v>
          </cell>
          <cell r="I2191" t="str">
            <v>20118</v>
          </cell>
        </row>
        <row r="2192">
          <cell r="G2192" t="str">
            <v>Xã Tiên Nguyên</v>
          </cell>
          <cell r="I2192" t="str">
            <v>20118</v>
          </cell>
        </row>
        <row r="2193">
          <cell r="G2193" t="str">
            <v>Xã Tân Nam</v>
          </cell>
          <cell r="I2193" t="str">
            <v>20118</v>
          </cell>
        </row>
        <row r="2194">
          <cell r="G2194" t="str">
            <v>Xã Bản Rịa</v>
          </cell>
          <cell r="I2194" t="str">
            <v>20118</v>
          </cell>
        </row>
        <row r="2195">
          <cell r="G2195" t="str">
            <v xml:space="preserve">Xã Yên Thành  </v>
          </cell>
          <cell r="I2195" t="str">
            <v>20118</v>
          </cell>
        </row>
        <row r="2196">
          <cell r="G2196" t="str">
            <v xml:space="preserve">Xã Yên Bình   </v>
          </cell>
          <cell r="I2196" t="str">
            <v>20118</v>
          </cell>
        </row>
        <row r="2197">
          <cell r="G2197" t="str">
            <v>Xã Tân Trịnh</v>
          </cell>
          <cell r="I2197" t="str">
            <v>20118</v>
          </cell>
        </row>
        <row r="2198">
          <cell r="G2198" t="str">
            <v>Xã Yên Hà</v>
          </cell>
          <cell r="I2198" t="str">
            <v>20118</v>
          </cell>
        </row>
        <row r="2199">
          <cell r="G2199" t="str">
            <v xml:space="preserve">Xã Hương Sơn </v>
          </cell>
          <cell r="I2199" t="str">
            <v>20118</v>
          </cell>
        </row>
        <row r="2200">
          <cell r="G2200" t="str">
            <v>Xã Nà Khương</v>
          </cell>
          <cell r="I2200" t="str">
            <v>20118</v>
          </cell>
        </row>
        <row r="2201">
          <cell r="G2201" t="str">
            <v>Xã Tiên Yên</v>
          </cell>
          <cell r="I2201" t="str">
            <v>20118</v>
          </cell>
        </row>
        <row r="2202">
          <cell r="G2202" t="str">
            <v>Xã Vĩ Thượng</v>
          </cell>
          <cell r="I2202" t="str">
            <v>20118</v>
          </cell>
        </row>
        <row r="2203">
          <cell r="G2203" t="str">
            <v>Xã Bằng Lang</v>
          </cell>
          <cell r="I2203" t="str">
            <v>20118</v>
          </cell>
        </row>
        <row r="2204">
          <cell r="G2204" t="str">
            <v>Xã Tân Bắc</v>
          </cell>
          <cell r="I2204" t="str">
            <v>20118</v>
          </cell>
        </row>
        <row r="2205">
          <cell r="G2205" t="str">
            <v xml:space="preserve">Xã Xuân Giang </v>
          </cell>
          <cell r="I2205" t="str">
            <v>20118</v>
          </cell>
        </row>
        <row r="2206">
          <cell r="G2206" t="str">
            <v>Xã Đông Thành</v>
          </cell>
          <cell r="I2206" t="str">
            <v>20119</v>
          </cell>
        </row>
        <row r="2207">
          <cell r="G2207" t="str">
            <v>Thị trấn Việt Quang</v>
          </cell>
          <cell r="I2207" t="str">
            <v>20119</v>
          </cell>
        </row>
        <row r="2208">
          <cell r="G2208" t="str">
            <v>Thị trấn Vĩnh Tuy</v>
          </cell>
          <cell r="I2208" t="str">
            <v>20119</v>
          </cell>
        </row>
        <row r="2209">
          <cell r="G2209" t="str">
            <v xml:space="preserve">Xã Tân Lập   </v>
          </cell>
          <cell r="I2209" t="str">
            <v>20119</v>
          </cell>
        </row>
        <row r="2210">
          <cell r="G2210" t="str">
            <v xml:space="preserve">Xã Đồng Tiến   </v>
          </cell>
          <cell r="I2210" t="str">
            <v>20119</v>
          </cell>
        </row>
        <row r="2211">
          <cell r="G2211" t="str">
            <v xml:space="preserve">Xã Đồng Tâm  </v>
          </cell>
          <cell r="I2211" t="str">
            <v>20119</v>
          </cell>
        </row>
        <row r="2212">
          <cell r="G2212" t="str">
            <v xml:space="preserve">Xã Tân Quang  </v>
          </cell>
          <cell r="I2212" t="str">
            <v>20119</v>
          </cell>
        </row>
        <row r="2213">
          <cell r="G2213" t="str">
            <v>Xã Hữu Sản</v>
          </cell>
          <cell r="I2213" t="str">
            <v>20119</v>
          </cell>
        </row>
        <row r="2214">
          <cell r="G2214" t="str">
            <v>Xã Kim Ngọc</v>
          </cell>
          <cell r="I2214" t="str">
            <v>20119</v>
          </cell>
        </row>
        <row r="2215">
          <cell r="G2215" t="str">
            <v xml:space="preserve">Xã Quang Minh  </v>
          </cell>
          <cell r="I2215" t="str">
            <v>20119</v>
          </cell>
        </row>
        <row r="2216">
          <cell r="G2216" t="str">
            <v xml:space="preserve">Xã Liên Hiệp  </v>
          </cell>
          <cell r="I2216" t="str">
            <v>20119</v>
          </cell>
        </row>
        <row r="2217">
          <cell r="G2217" t="str">
            <v>Xã Vô Điếm</v>
          </cell>
          <cell r="I2217" t="str">
            <v>20119</v>
          </cell>
        </row>
        <row r="2218">
          <cell r="G2218" t="str">
            <v xml:space="preserve">Xã Hùng An </v>
          </cell>
          <cell r="I2218" t="str">
            <v>20119</v>
          </cell>
        </row>
        <row r="2219">
          <cell r="G2219" t="str">
            <v>Xã Đức Xuân</v>
          </cell>
          <cell r="I2219" t="str">
            <v>20119</v>
          </cell>
        </row>
        <row r="2220">
          <cell r="G2220" t="str">
            <v>Xã Tiên Kiều</v>
          </cell>
          <cell r="I2220" t="str">
            <v>20119</v>
          </cell>
        </row>
        <row r="2221">
          <cell r="G2221" t="str">
            <v>Xã Vĩnh Phúc</v>
          </cell>
          <cell r="I2221" t="str">
            <v>20119</v>
          </cell>
        </row>
        <row r="2222">
          <cell r="G2222" t="str">
            <v>Xã Việt Vinh</v>
          </cell>
          <cell r="I2222" t="str">
            <v>20119</v>
          </cell>
        </row>
        <row r="2223">
          <cell r="G2223" t="str">
            <v>Xã Đồng Yên</v>
          </cell>
          <cell r="I2223" t="str">
            <v>20119</v>
          </cell>
        </row>
        <row r="2224">
          <cell r="G2224" t="str">
            <v xml:space="preserve">Xã Tân Thành  </v>
          </cell>
          <cell r="I2224" t="str">
            <v>20119</v>
          </cell>
        </row>
        <row r="2225">
          <cell r="G2225" t="str">
            <v>Xã Thượng Bình</v>
          </cell>
          <cell r="I2225" t="str">
            <v>20119</v>
          </cell>
        </row>
        <row r="2226">
          <cell r="G2226" t="str">
            <v>Xã Bằng Hành</v>
          </cell>
          <cell r="I2226" t="str">
            <v>20119</v>
          </cell>
        </row>
        <row r="2227">
          <cell r="G2227" t="str">
            <v xml:space="preserve">Xã Việt Hồng </v>
          </cell>
          <cell r="I2227" t="str">
            <v>20119</v>
          </cell>
        </row>
        <row r="2228">
          <cell r="G2228" t="str">
            <v>Xã Vĩnh Hảo</v>
          </cell>
          <cell r="I2228" t="str">
            <v>20119</v>
          </cell>
        </row>
        <row r="2229">
          <cell r="G2229" t="str">
            <v>Phường Sông Bằng</v>
          </cell>
          <cell r="I2229" t="str">
            <v>20301</v>
          </cell>
        </row>
        <row r="2230">
          <cell r="G2230" t="str">
            <v>Phường Hợp Giang</v>
          </cell>
          <cell r="I2230" t="str">
            <v>20301</v>
          </cell>
        </row>
        <row r="2231">
          <cell r="G2231" t="str">
            <v>Phường Tân Giang</v>
          </cell>
          <cell r="I2231" t="str">
            <v>20301</v>
          </cell>
        </row>
        <row r="2232">
          <cell r="G2232" t="str">
            <v>Phường Hòa Chung</v>
          </cell>
          <cell r="I2232" t="str">
            <v>20301</v>
          </cell>
        </row>
        <row r="2233">
          <cell r="G2233" t="str">
            <v>Phường Duyệt Trung</v>
          </cell>
          <cell r="I2233" t="str">
            <v>20301</v>
          </cell>
        </row>
        <row r="2234">
          <cell r="G2234" t="str">
            <v>Phường Ngọc Xuân</v>
          </cell>
          <cell r="I2234" t="str">
            <v>20301</v>
          </cell>
        </row>
        <row r="2235">
          <cell r="G2235" t="str">
            <v>Phường Sông Hiến</v>
          </cell>
          <cell r="I2235" t="str">
            <v>20301</v>
          </cell>
        </row>
        <row r="2236">
          <cell r="G2236" t="str">
            <v xml:space="preserve">Phường Đề Thám </v>
          </cell>
          <cell r="I2236" t="str">
            <v>20301</v>
          </cell>
        </row>
        <row r="2237">
          <cell r="G2237" t="str">
            <v xml:space="preserve">Xã Hưng Đạo   </v>
          </cell>
          <cell r="I2237" t="str">
            <v>20301</v>
          </cell>
        </row>
        <row r="2238">
          <cell r="G2238" t="str">
            <v>Xã Vĩnh Quang</v>
          </cell>
          <cell r="I2238" t="str">
            <v>20301</v>
          </cell>
        </row>
        <row r="2239">
          <cell r="G2239" t="str">
            <v>Xã Chu Trinh</v>
          </cell>
          <cell r="I2239" t="str">
            <v>20301</v>
          </cell>
        </row>
        <row r="2240">
          <cell r="G2240" t="str">
            <v>Xã Cốc Pàng</v>
          </cell>
          <cell r="I2240" t="str">
            <v>20303</v>
          </cell>
        </row>
        <row r="2241">
          <cell r="G2241" t="str">
            <v>Xã Cô Ba</v>
          </cell>
          <cell r="I2241" t="str">
            <v>20303</v>
          </cell>
        </row>
        <row r="2242">
          <cell r="G2242" t="str">
            <v>Xã Bảo Toàn</v>
          </cell>
          <cell r="I2242" t="str">
            <v>20303</v>
          </cell>
        </row>
        <row r="2243">
          <cell r="G2243" t="str">
            <v>Xã Khánh Xuân</v>
          </cell>
          <cell r="I2243" t="str">
            <v>20303</v>
          </cell>
        </row>
        <row r="2244">
          <cell r="G2244" t="str">
            <v>Xã Hồng Trị</v>
          </cell>
          <cell r="I2244" t="str">
            <v>20303</v>
          </cell>
        </row>
        <row r="2245">
          <cell r="G2245" t="str">
            <v>Xã Phan Thanh</v>
          </cell>
          <cell r="I2245" t="str">
            <v>20303</v>
          </cell>
        </row>
        <row r="2246">
          <cell r="G2246" t="str">
            <v xml:space="preserve">Xã Hồng An </v>
          </cell>
          <cell r="I2246" t="str">
            <v>20303</v>
          </cell>
        </row>
        <row r="2247">
          <cell r="G2247" t="str">
            <v>Xã Huy Giáp</v>
          </cell>
          <cell r="I2247" t="str">
            <v>20303</v>
          </cell>
        </row>
        <row r="2248">
          <cell r="G2248" t="str">
            <v xml:space="preserve">Xã Đình Phùng </v>
          </cell>
          <cell r="I2248" t="str">
            <v>20303</v>
          </cell>
        </row>
        <row r="2249">
          <cell r="G2249" t="str">
            <v>Thị trấn Bảo Lạc</v>
          </cell>
          <cell r="I2249" t="str">
            <v>20303</v>
          </cell>
        </row>
        <row r="2250">
          <cell r="G2250" t="str">
            <v>Xã Sơn Lộ</v>
          </cell>
          <cell r="I2250" t="str">
            <v>20303</v>
          </cell>
        </row>
        <row r="2251">
          <cell r="G2251" t="str">
            <v>Xã Thượng Hà</v>
          </cell>
          <cell r="I2251" t="str">
            <v>20303</v>
          </cell>
        </row>
        <row r="2252">
          <cell r="G2252" t="str">
            <v>Xã Xuân Trường</v>
          </cell>
          <cell r="I2252" t="str">
            <v>20303</v>
          </cell>
        </row>
        <row r="2253">
          <cell r="G2253" t="str">
            <v xml:space="preserve">Xã Hưng Đạo    </v>
          </cell>
          <cell r="I2253" t="str">
            <v>20303</v>
          </cell>
        </row>
        <row r="2254">
          <cell r="G2254" t="str">
            <v xml:space="preserve">Xã Hưng Thịnh </v>
          </cell>
          <cell r="I2254" t="str">
            <v>20303</v>
          </cell>
        </row>
        <row r="2255">
          <cell r="G2255" t="str">
            <v>Xã Kim Cúc</v>
          </cell>
          <cell r="I2255" t="str">
            <v>20303</v>
          </cell>
        </row>
        <row r="2256">
          <cell r="G2256" t="str">
            <v>Xã Sơn Lập</v>
          </cell>
          <cell r="I2256" t="str">
            <v>20303</v>
          </cell>
        </row>
        <row r="2257">
          <cell r="G2257" t="str">
            <v>Xã Kéo Yên</v>
          </cell>
          <cell r="I2257" t="str">
            <v>20305</v>
          </cell>
        </row>
        <row r="2258">
          <cell r="G2258" t="str">
            <v>Xã Trường Hà</v>
          </cell>
          <cell r="I2258" t="str">
            <v>20305</v>
          </cell>
        </row>
        <row r="2259">
          <cell r="G2259" t="str">
            <v>Xã Cải Viên</v>
          </cell>
          <cell r="I2259" t="str">
            <v>20305</v>
          </cell>
        </row>
        <row r="2260">
          <cell r="G2260" t="str">
            <v>Xã Nà Sác</v>
          </cell>
          <cell r="I2260" t="str">
            <v>20305</v>
          </cell>
        </row>
        <row r="2261">
          <cell r="G2261" t="str">
            <v>Xã Nội Thôn</v>
          </cell>
          <cell r="I2261" t="str">
            <v>20305</v>
          </cell>
        </row>
        <row r="2262">
          <cell r="G2262" t="str">
            <v>Xã Sóc Hà</v>
          </cell>
          <cell r="I2262" t="str">
            <v>20305</v>
          </cell>
        </row>
        <row r="2263">
          <cell r="G2263" t="str">
            <v>Xã Thượng Thôn</v>
          </cell>
          <cell r="I2263" t="str">
            <v>20305</v>
          </cell>
        </row>
        <row r="2264">
          <cell r="G2264" t="str">
            <v xml:space="preserve">Xã Xuân Hòa  </v>
          </cell>
          <cell r="I2264" t="str">
            <v>20305</v>
          </cell>
        </row>
        <row r="2265">
          <cell r="G2265" t="str">
            <v>Xã Quý Quân</v>
          </cell>
          <cell r="I2265" t="str">
            <v>20305</v>
          </cell>
        </row>
        <row r="2266">
          <cell r="G2266" t="str">
            <v>Xã Phù Ngọc</v>
          </cell>
          <cell r="I2266" t="str">
            <v>20305</v>
          </cell>
        </row>
        <row r="2267">
          <cell r="G2267" t="str">
            <v>Xã Đào Ngạn</v>
          </cell>
          <cell r="I2267" t="str">
            <v>20305</v>
          </cell>
        </row>
        <row r="2268">
          <cell r="G2268" t="str">
            <v>Xã Hạ Thôn</v>
          </cell>
          <cell r="I2268" t="str">
            <v>20305</v>
          </cell>
        </row>
        <row r="2269">
          <cell r="G2269" t="str">
            <v>Xã Lũng Nặm</v>
          </cell>
          <cell r="I2269" t="str">
            <v>20305</v>
          </cell>
        </row>
        <row r="2270">
          <cell r="G2270" t="str">
            <v>Xã Sĩ Hai</v>
          </cell>
          <cell r="I2270" t="str">
            <v>20305</v>
          </cell>
        </row>
        <row r="2271">
          <cell r="G2271" t="str">
            <v>Xã Vân An</v>
          </cell>
          <cell r="I2271" t="str">
            <v>20305</v>
          </cell>
        </row>
        <row r="2272">
          <cell r="G2272" t="str">
            <v>Xã Tổng Cọt</v>
          </cell>
          <cell r="I2272" t="str">
            <v>20305</v>
          </cell>
        </row>
        <row r="2273">
          <cell r="G2273" t="str">
            <v>Xã Hồng Sĩ</v>
          </cell>
          <cell r="I2273" t="str">
            <v>20305</v>
          </cell>
        </row>
        <row r="2274">
          <cell r="G2274" t="str">
            <v>Xã Mã Ba</v>
          </cell>
          <cell r="I2274" t="str">
            <v>20305</v>
          </cell>
        </row>
        <row r="2275">
          <cell r="G2275" t="str">
            <v>Xã Vần Dính</v>
          </cell>
          <cell r="I2275" t="str">
            <v>20305</v>
          </cell>
        </row>
        <row r="2276">
          <cell r="G2276" t="str">
            <v>Xã Cần Yên</v>
          </cell>
          <cell r="I2276" t="str">
            <v>20307</v>
          </cell>
        </row>
        <row r="2277">
          <cell r="G2277" t="str">
            <v>Xã Vị Quang</v>
          </cell>
          <cell r="I2277" t="str">
            <v>20307</v>
          </cell>
        </row>
        <row r="2278">
          <cell r="G2278" t="str">
            <v>Xã Lương Thông</v>
          </cell>
          <cell r="I2278" t="str">
            <v>20307</v>
          </cell>
        </row>
        <row r="2279">
          <cell r="G2279" t="str">
            <v>Xã Đa Thông</v>
          </cell>
          <cell r="I2279" t="str">
            <v>20307</v>
          </cell>
        </row>
        <row r="2280">
          <cell r="G2280" t="str">
            <v xml:space="preserve">Xã Yên Sơn  </v>
          </cell>
          <cell r="I2280" t="str">
            <v>20307</v>
          </cell>
        </row>
        <row r="2281">
          <cell r="G2281" t="str">
            <v>Xã Lương Can</v>
          </cell>
          <cell r="I2281" t="str">
            <v>20307</v>
          </cell>
        </row>
        <row r="2282">
          <cell r="G2282" t="str">
            <v xml:space="preserve">Xã Thanh Long </v>
          </cell>
          <cell r="I2282" t="str">
            <v>20307</v>
          </cell>
        </row>
        <row r="2283">
          <cell r="G2283" t="str">
            <v>Thị trấn Thông Nông</v>
          </cell>
          <cell r="I2283" t="str">
            <v>20307</v>
          </cell>
        </row>
        <row r="2284">
          <cell r="G2284" t="str">
            <v>Xã Ngọc Động</v>
          </cell>
          <cell r="I2284" t="str">
            <v>20307</v>
          </cell>
        </row>
        <row r="2285">
          <cell r="G2285" t="str">
            <v xml:space="preserve">Xã Bình Lãng </v>
          </cell>
          <cell r="I2285" t="str">
            <v>20307</v>
          </cell>
        </row>
        <row r="2286">
          <cell r="G2286" t="str">
            <v>Xã Cần Nông</v>
          </cell>
          <cell r="I2286" t="str">
            <v>20307</v>
          </cell>
        </row>
        <row r="2287">
          <cell r="G2287" t="str">
            <v>Xã Cô Mười</v>
          </cell>
          <cell r="I2287" t="str">
            <v>20309</v>
          </cell>
        </row>
        <row r="2288">
          <cell r="G2288" t="str">
            <v>Xã Tri Phương</v>
          </cell>
          <cell r="I2288" t="str">
            <v>20309</v>
          </cell>
        </row>
        <row r="2289">
          <cell r="G2289" t="str">
            <v>Xã Quang Hán</v>
          </cell>
          <cell r="I2289" t="str">
            <v>20309</v>
          </cell>
        </row>
        <row r="2290">
          <cell r="G2290" t="str">
            <v xml:space="preserve">Xã Quang Trung      </v>
          </cell>
          <cell r="I2290" t="str">
            <v>20309</v>
          </cell>
        </row>
        <row r="2291">
          <cell r="G2291" t="str">
            <v>Xã Lưu Ngọc</v>
          </cell>
          <cell r="I2291" t="str">
            <v>20309</v>
          </cell>
        </row>
        <row r="2292">
          <cell r="G2292" t="str">
            <v>Xã Quốc Toản</v>
          </cell>
          <cell r="I2292" t="str">
            <v>20309</v>
          </cell>
        </row>
        <row r="2293">
          <cell r="G2293" t="str">
            <v xml:space="preserve">Xã Quang Vinh </v>
          </cell>
          <cell r="I2293" t="str">
            <v>20309</v>
          </cell>
        </row>
        <row r="2294">
          <cell r="G2294" t="str">
            <v>Thị trấn Hùng Quốc</v>
          </cell>
          <cell r="I2294" t="str">
            <v>20309</v>
          </cell>
        </row>
        <row r="2295">
          <cell r="G2295" t="str">
            <v>Xã Xuân Nội</v>
          </cell>
          <cell r="I2295" t="str">
            <v>20309</v>
          </cell>
        </row>
        <row r="2296">
          <cell r="G2296" t="str">
            <v>Xã Cao Chương</v>
          </cell>
          <cell r="I2296" t="str">
            <v>20309</v>
          </cell>
        </row>
        <row r="2297">
          <cell r="G2297" t="str">
            <v>Xã Trung Phúc</v>
          </cell>
          <cell r="I2297" t="str">
            <v>20311</v>
          </cell>
        </row>
        <row r="2298">
          <cell r="G2298" t="str">
            <v>Xã Cao Thăng</v>
          </cell>
          <cell r="I2298" t="str">
            <v>20311</v>
          </cell>
        </row>
        <row r="2299">
          <cell r="G2299" t="str">
            <v>Xã Thông Hoè</v>
          </cell>
          <cell r="I2299" t="str">
            <v>20311</v>
          </cell>
        </row>
        <row r="2300">
          <cell r="G2300" t="str">
            <v>Xã Thân Giáp</v>
          </cell>
          <cell r="I2300" t="str">
            <v>20311</v>
          </cell>
        </row>
        <row r="2301">
          <cell r="G2301" t="str">
            <v>Xã Đoài Côn</v>
          </cell>
          <cell r="I2301" t="str">
            <v>20311</v>
          </cell>
        </row>
        <row r="2302">
          <cell r="G2302" t="str">
            <v>Thị trấn Trùng Khánh</v>
          </cell>
          <cell r="I2302" t="str">
            <v>20311</v>
          </cell>
        </row>
        <row r="2303">
          <cell r="G2303" t="str">
            <v>Xã Ngọc Khê</v>
          </cell>
          <cell r="I2303" t="str">
            <v>20311</v>
          </cell>
        </row>
        <row r="2304">
          <cell r="G2304" t="str">
            <v>Xã Phong Nậm</v>
          </cell>
          <cell r="I2304" t="str">
            <v>20311</v>
          </cell>
        </row>
        <row r="2305">
          <cell r="G2305" t="str">
            <v>Xã Đình Phong</v>
          </cell>
          <cell r="I2305" t="str">
            <v>20311</v>
          </cell>
        </row>
        <row r="2306">
          <cell r="G2306" t="str">
            <v>Xã Lăng Yên</v>
          </cell>
          <cell r="I2306" t="str">
            <v>20311</v>
          </cell>
        </row>
        <row r="2307">
          <cell r="G2307" t="str">
            <v>Xã Chí Viễn</v>
          </cell>
          <cell r="I2307" t="str">
            <v>20311</v>
          </cell>
        </row>
        <row r="2308">
          <cell r="G2308" t="str">
            <v>Xã Lăng Hiếu</v>
          </cell>
          <cell r="I2308" t="str">
            <v>20311</v>
          </cell>
        </row>
        <row r="2309">
          <cell r="G2309" t="str">
            <v xml:space="preserve">Xã Phong Châu </v>
          </cell>
          <cell r="I2309" t="str">
            <v>20311</v>
          </cell>
        </row>
        <row r="2310">
          <cell r="G2310" t="str">
            <v>Xã Đình Minh</v>
          </cell>
          <cell r="I2310" t="str">
            <v>20311</v>
          </cell>
        </row>
        <row r="2311">
          <cell r="G2311" t="str">
            <v>Xã Đức Hồng</v>
          </cell>
          <cell r="I2311" t="str">
            <v>20311</v>
          </cell>
        </row>
        <row r="2312">
          <cell r="G2312" t="str">
            <v>Xã Đàm Thuỷ</v>
          </cell>
          <cell r="I2312" t="str">
            <v>20311</v>
          </cell>
        </row>
        <row r="2313">
          <cell r="G2313" t="str">
            <v>Xã Cảnh Tiên</v>
          </cell>
          <cell r="I2313" t="str">
            <v>20311</v>
          </cell>
        </row>
        <row r="2314">
          <cell r="G2314" t="str">
            <v>Xã Ngọc Chung</v>
          </cell>
          <cell r="I2314" t="str">
            <v>20311</v>
          </cell>
        </row>
        <row r="2315">
          <cell r="G2315" t="str">
            <v>Xã Khâm Thành</v>
          </cell>
          <cell r="I2315" t="str">
            <v>20311</v>
          </cell>
        </row>
        <row r="2316">
          <cell r="G2316" t="str">
            <v>Xã Ngọc Côn</v>
          </cell>
          <cell r="I2316" t="str">
            <v>20311</v>
          </cell>
        </row>
        <row r="2317">
          <cell r="G2317" t="str">
            <v>Xã Yên Lạc</v>
          </cell>
          <cell r="I2317" t="str">
            <v>20313</v>
          </cell>
        </row>
        <row r="2318">
          <cell r="G2318" t="str">
            <v>Xã Triệu Nguyên</v>
          </cell>
          <cell r="I2318" t="str">
            <v>20313</v>
          </cell>
        </row>
        <row r="2319">
          <cell r="G2319" t="str">
            <v>Xã Ca Thành</v>
          </cell>
          <cell r="I2319" t="str">
            <v>20313</v>
          </cell>
        </row>
        <row r="2320">
          <cell r="G2320" t="str">
            <v>Xã Vũ Nông</v>
          </cell>
          <cell r="I2320" t="str">
            <v>20313</v>
          </cell>
        </row>
        <row r="2321">
          <cell r="G2321" t="str">
            <v>Xã Minh Tâm</v>
          </cell>
          <cell r="I2321" t="str">
            <v>20313</v>
          </cell>
        </row>
        <row r="2322">
          <cell r="G2322" t="str">
            <v>Xã Thể Dục</v>
          </cell>
          <cell r="I2322" t="str">
            <v>20313</v>
          </cell>
        </row>
        <row r="2323">
          <cell r="G2323" t="str">
            <v>Xã Mai Long</v>
          </cell>
          <cell r="I2323" t="str">
            <v>20313</v>
          </cell>
        </row>
        <row r="2324">
          <cell r="G2324" t="str">
            <v>Xã Lang Môn</v>
          </cell>
          <cell r="I2324" t="str">
            <v>20313</v>
          </cell>
        </row>
        <row r="2325">
          <cell r="G2325" t="str">
            <v>Xã Minh Thanh</v>
          </cell>
          <cell r="I2325" t="str">
            <v>20313</v>
          </cell>
        </row>
        <row r="2326">
          <cell r="G2326" t="str">
            <v>Xã Quang Thành</v>
          </cell>
          <cell r="I2326" t="str">
            <v>20313</v>
          </cell>
        </row>
        <row r="2327">
          <cell r="G2327" t="str">
            <v>Xã Tam Kim</v>
          </cell>
          <cell r="I2327" t="str">
            <v>20313</v>
          </cell>
        </row>
        <row r="2328">
          <cell r="G2328" t="str">
            <v>Xã Thịnh Vượng</v>
          </cell>
          <cell r="I2328" t="str">
            <v>20313</v>
          </cell>
        </row>
        <row r="2329">
          <cell r="G2329" t="str">
            <v xml:space="preserve">Xã Hưng Đạo     </v>
          </cell>
          <cell r="I2329" t="str">
            <v>20313</v>
          </cell>
        </row>
        <row r="2330">
          <cell r="G2330" t="str">
            <v>Thị trấn Tĩnh Túc</v>
          </cell>
          <cell r="I2330" t="str">
            <v>20313</v>
          </cell>
        </row>
        <row r="2331">
          <cell r="G2331" t="str">
            <v xml:space="preserve">Xã Phan Thanh </v>
          </cell>
          <cell r="I2331" t="str">
            <v>20313</v>
          </cell>
        </row>
        <row r="2332">
          <cell r="G2332" t="str">
            <v xml:space="preserve">Xã Thành Công </v>
          </cell>
          <cell r="I2332" t="str">
            <v>20313</v>
          </cell>
        </row>
        <row r="2333">
          <cell r="G2333" t="str">
            <v>Xã Hoa Thám</v>
          </cell>
          <cell r="I2333" t="str">
            <v>20313</v>
          </cell>
        </row>
        <row r="2334">
          <cell r="G2334" t="str">
            <v>Thị trấn Nguyên Bình</v>
          </cell>
          <cell r="I2334" t="str">
            <v>20313</v>
          </cell>
        </row>
        <row r="2335">
          <cell r="G2335" t="str">
            <v xml:space="preserve">Xã Thái Học  </v>
          </cell>
          <cell r="I2335" t="str">
            <v>20313</v>
          </cell>
        </row>
        <row r="2336">
          <cell r="G2336" t="str">
            <v>Xã Bắc Hợp</v>
          </cell>
          <cell r="I2336" t="str">
            <v>20313</v>
          </cell>
        </row>
        <row r="2337">
          <cell r="G2337" t="str">
            <v>Xã Nam Tuấn</v>
          </cell>
          <cell r="I2337" t="str">
            <v>20315</v>
          </cell>
        </row>
        <row r="2338">
          <cell r="G2338" t="str">
            <v xml:space="preserve">Xã Đức Xuân </v>
          </cell>
          <cell r="I2338" t="str">
            <v>20315</v>
          </cell>
        </row>
        <row r="2339">
          <cell r="G2339" t="str">
            <v>Xã Đại Tiến</v>
          </cell>
          <cell r="I2339" t="str">
            <v>20315</v>
          </cell>
        </row>
        <row r="2340">
          <cell r="G2340" t="str">
            <v xml:space="preserve">Xã Ngũ Lão </v>
          </cell>
          <cell r="I2340" t="str">
            <v>20315</v>
          </cell>
        </row>
        <row r="2341">
          <cell r="G2341" t="str">
            <v>Xã Trương Lương</v>
          </cell>
          <cell r="I2341" t="str">
            <v>20315</v>
          </cell>
        </row>
        <row r="2342">
          <cell r="G2342" t="str">
            <v>Xã Nguyễn Huệ</v>
          </cell>
          <cell r="I2342" t="str">
            <v>20315</v>
          </cell>
        </row>
        <row r="2343">
          <cell r="G2343" t="str">
            <v>Xã Công Trừng</v>
          </cell>
          <cell r="I2343" t="str">
            <v>20315</v>
          </cell>
        </row>
        <row r="2344">
          <cell r="G2344" t="str">
            <v xml:space="preserve">Xã Hồng Việt </v>
          </cell>
          <cell r="I2344" t="str">
            <v>20315</v>
          </cell>
        </row>
        <row r="2345">
          <cell r="G2345" t="str">
            <v>Xã Hoàng Tung</v>
          </cell>
          <cell r="I2345" t="str">
            <v>20315</v>
          </cell>
        </row>
        <row r="2346">
          <cell r="G2346" t="str">
            <v>Xã Trưng Vương</v>
          </cell>
          <cell r="I2346" t="str">
            <v>20315</v>
          </cell>
        </row>
        <row r="2347">
          <cell r="G2347" t="str">
            <v xml:space="preserve">Xã Bạch Đằng   </v>
          </cell>
          <cell r="I2347" t="str">
            <v>20315</v>
          </cell>
        </row>
        <row r="2348">
          <cell r="G2348" t="str">
            <v>Xã Bình Dương</v>
          </cell>
          <cell r="I2348" t="str">
            <v>20315</v>
          </cell>
        </row>
        <row r="2349">
          <cell r="G2349" t="str">
            <v>Xã Lê Chung</v>
          </cell>
          <cell r="I2349" t="str">
            <v>20315</v>
          </cell>
        </row>
        <row r="2350">
          <cell r="G2350" t="str">
            <v xml:space="preserve">Xã Hồng Nam </v>
          </cell>
          <cell r="I2350" t="str">
            <v>20315</v>
          </cell>
        </row>
        <row r="2351">
          <cell r="G2351" t="str">
            <v xml:space="preserve">Xã Dân Chủ  </v>
          </cell>
          <cell r="I2351" t="str">
            <v>20315</v>
          </cell>
        </row>
        <row r="2352">
          <cell r="G2352" t="str">
            <v>Thị trấn Nước Hai</v>
          </cell>
          <cell r="I2352" t="str">
            <v>20315</v>
          </cell>
        </row>
        <row r="2353">
          <cell r="G2353" t="str">
            <v xml:space="preserve">Xã Đức Long </v>
          </cell>
          <cell r="I2353" t="str">
            <v>20315</v>
          </cell>
        </row>
        <row r="2354">
          <cell r="G2354" t="str">
            <v>Xã Bình Long</v>
          </cell>
          <cell r="I2354" t="str">
            <v>20315</v>
          </cell>
        </row>
        <row r="2355">
          <cell r="G2355" t="str">
            <v>Xã Bế Triều</v>
          </cell>
          <cell r="I2355" t="str">
            <v>20315</v>
          </cell>
        </row>
        <row r="2356">
          <cell r="G2356" t="str">
            <v xml:space="preserve">Xã Quang Trung       </v>
          </cell>
          <cell r="I2356" t="str">
            <v>20315</v>
          </cell>
        </row>
        <row r="2357">
          <cell r="G2357" t="str">
            <v>Xã Hà Trì</v>
          </cell>
          <cell r="I2357" t="str">
            <v>20315</v>
          </cell>
        </row>
        <row r="2358">
          <cell r="G2358" t="str">
            <v>Xã Phi Hải</v>
          </cell>
          <cell r="I2358" t="str">
            <v>20317</v>
          </cell>
        </row>
        <row r="2359">
          <cell r="G2359" t="str">
            <v>Xã Quảng Hưng</v>
          </cell>
          <cell r="I2359" t="str">
            <v>20317</v>
          </cell>
        </row>
        <row r="2360">
          <cell r="G2360" t="str">
            <v>Xã Quốc Dân</v>
          </cell>
          <cell r="I2360" t="str">
            <v>20317</v>
          </cell>
        </row>
        <row r="2361">
          <cell r="G2361" t="str">
            <v xml:space="preserve">Xã Độc Lập </v>
          </cell>
          <cell r="I2361" t="str">
            <v>20317</v>
          </cell>
        </row>
        <row r="2362">
          <cell r="G2362" t="str">
            <v>Xã Cai Bộ</v>
          </cell>
          <cell r="I2362" t="str">
            <v>20317</v>
          </cell>
        </row>
        <row r="2363">
          <cell r="G2363" t="str">
            <v>Xã Đoài Khôn</v>
          </cell>
          <cell r="I2363" t="str">
            <v>20317</v>
          </cell>
        </row>
        <row r="2364">
          <cell r="G2364" t="str">
            <v>Xã Chí Thảo</v>
          </cell>
          <cell r="I2364" t="str">
            <v>20317</v>
          </cell>
        </row>
        <row r="2365">
          <cell r="G2365" t="str">
            <v>Xã Tự Do</v>
          </cell>
          <cell r="I2365" t="str">
            <v>20317</v>
          </cell>
        </row>
        <row r="2366">
          <cell r="G2366" t="str">
            <v>Xã Hồng Định</v>
          </cell>
          <cell r="I2366" t="str">
            <v>20317</v>
          </cell>
        </row>
        <row r="2367">
          <cell r="G2367" t="str">
            <v xml:space="preserve">Xã Ngọc Động </v>
          </cell>
          <cell r="I2367" t="str">
            <v>20317</v>
          </cell>
        </row>
        <row r="2368">
          <cell r="G2368" t="str">
            <v>Xã Hạnh Phúc</v>
          </cell>
          <cell r="I2368" t="str">
            <v>20317</v>
          </cell>
        </row>
        <row r="2369">
          <cell r="G2369" t="str">
            <v>Xã Bình Lăng</v>
          </cell>
          <cell r="I2369" t="str">
            <v>20317</v>
          </cell>
        </row>
        <row r="2370">
          <cell r="G2370" t="str">
            <v>Xã Hoàng Hải</v>
          </cell>
          <cell r="I2370" t="str">
            <v>20317</v>
          </cell>
        </row>
        <row r="2371">
          <cell r="G2371" t="str">
            <v>Thị trấn Quảng Uyên</v>
          </cell>
          <cell r="I2371" t="str">
            <v>20317</v>
          </cell>
        </row>
        <row r="2372">
          <cell r="G2372" t="str">
            <v>Xã Quốc Phong</v>
          </cell>
          <cell r="I2372" t="str">
            <v>20317</v>
          </cell>
        </row>
        <row r="2373">
          <cell r="G2373" t="str">
            <v>Xã Phúc Sen</v>
          </cell>
          <cell r="I2373" t="str">
            <v>20317</v>
          </cell>
        </row>
        <row r="2374">
          <cell r="G2374" t="str">
            <v xml:space="preserve">Xã Hồng Quang    </v>
          </cell>
          <cell r="I2374" t="str">
            <v>20317</v>
          </cell>
        </row>
        <row r="2375">
          <cell r="G2375" t="str">
            <v>Xã Triệu ẩu</v>
          </cell>
          <cell r="I2375" t="str">
            <v>20318</v>
          </cell>
        </row>
        <row r="2376">
          <cell r="G2376" t="str">
            <v>Xã Hồng Đại</v>
          </cell>
          <cell r="I2376" t="str">
            <v>20318</v>
          </cell>
        </row>
        <row r="2377">
          <cell r="G2377" t="str">
            <v>Xã Cách Linh</v>
          </cell>
          <cell r="I2377" t="str">
            <v>20318</v>
          </cell>
        </row>
        <row r="2378">
          <cell r="G2378" t="str">
            <v>Xã Đại Sơn</v>
          </cell>
          <cell r="I2378" t="str">
            <v>20318</v>
          </cell>
        </row>
        <row r="2379">
          <cell r="G2379" t="str">
            <v>Xã Tiên Thành</v>
          </cell>
          <cell r="I2379" t="str">
            <v>20318</v>
          </cell>
        </row>
        <row r="2380">
          <cell r="G2380" t="str">
            <v>Thị Trấn Hòa Thuận</v>
          </cell>
          <cell r="I2380" t="str">
            <v>20318</v>
          </cell>
        </row>
        <row r="2381">
          <cell r="G2381" t="str">
            <v xml:space="preserve">Xã Mỹ Hưng  </v>
          </cell>
          <cell r="I2381" t="str">
            <v>20318</v>
          </cell>
        </row>
        <row r="2382">
          <cell r="G2382" t="str">
            <v>Thị trấn Tà Lùng</v>
          </cell>
          <cell r="I2382" t="str">
            <v>20318</v>
          </cell>
        </row>
        <row r="2383">
          <cell r="G2383" t="str">
            <v>Xã Lương Thiện</v>
          </cell>
          <cell r="I2383" t="str">
            <v>20318</v>
          </cell>
        </row>
        <row r="2384">
          <cell r="G2384" t="str">
            <v>Xã Minh Long</v>
          </cell>
          <cell r="I2384" t="str">
            <v>20319</v>
          </cell>
        </row>
        <row r="2385">
          <cell r="G2385" t="str">
            <v>Xã Lý Quốc</v>
          </cell>
          <cell r="I2385" t="str">
            <v>20319</v>
          </cell>
        </row>
        <row r="2386">
          <cell r="G2386" t="str">
            <v xml:space="preserve">Xã Thắng Lợi  </v>
          </cell>
          <cell r="I2386" t="str">
            <v>20319</v>
          </cell>
        </row>
        <row r="2387">
          <cell r="G2387" t="str">
            <v>Xã Đức Quang</v>
          </cell>
          <cell r="I2387" t="str">
            <v>20319</v>
          </cell>
        </row>
        <row r="2388">
          <cell r="G2388" t="str">
            <v>Xã Quang Long</v>
          </cell>
          <cell r="I2388" t="str">
            <v>20319</v>
          </cell>
        </row>
        <row r="2389">
          <cell r="G2389" t="str">
            <v>Thị Trấn Thanh Nhật</v>
          </cell>
          <cell r="I2389" t="str">
            <v>20319</v>
          </cell>
        </row>
        <row r="2390">
          <cell r="G2390" t="str">
            <v>Xã Vinh Quý</v>
          </cell>
          <cell r="I2390" t="str">
            <v>20319</v>
          </cell>
        </row>
        <row r="2391">
          <cell r="G2391" t="str">
            <v>Xã Cô Ngân</v>
          </cell>
          <cell r="I2391" t="str">
            <v>20319</v>
          </cell>
        </row>
        <row r="2392">
          <cell r="G2392" t="str">
            <v>Xã Thái Đức</v>
          </cell>
          <cell r="I2392" t="str">
            <v>20319</v>
          </cell>
        </row>
        <row r="2393">
          <cell r="G2393" t="str">
            <v>Xã Thị Hoa</v>
          </cell>
          <cell r="I2393" t="str">
            <v>20319</v>
          </cell>
        </row>
        <row r="2394">
          <cell r="G2394" t="str">
            <v>Xã Kim Loan</v>
          </cell>
          <cell r="I2394" t="str">
            <v>20319</v>
          </cell>
        </row>
        <row r="2395">
          <cell r="G2395" t="str">
            <v>Xã Đồng Loan</v>
          </cell>
          <cell r="I2395" t="str">
            <v>20319</v>
          </cell>
        </row>
        <row r="2396">
          <cell r="G2396" t="str">
            <v xml:space="preserve">Xã An Lạc </v>
          </cell>
          <cell r="I2396" t="str">
            <v>20319</v>
          </cell>
        </row>
        <row r="2397">
          <cell r="G2397" t="str">
            <v>Xã Việt Chu</v>
          </cell>
          <cell r="I2397" t="str">
            <v>20319</v>
          </cell>
        </row>
        <row r="2398">
          <cell r="G2398" t="str">
            <v>Thị trấn Đông Khê</v>
          </cell>
          <cell r="I2398" t="str">
            <v>20321</v>
          </cell>
        </row>
        <row r="2399">
          <cell r="G2399" t="str">
            <v>Xã Kim Đồng</v>
          </cell>
          <cell r="I2399" t="str">
            <v>20321</v>
          </cell>
        </row>
        <row r="2400">
          <cell r="G2400" t="str">
            <v xml:space="preserve">Xã Minh Khai    </v>
          </cell>
          <cell r="I2400" t="str">
            <v>20321</v>
          </cell>
        </row>
        <row r="2401">
          <cell r="G2401" t="str">
            <v>Xã Thị Ngân</v>
          </cell>
          <cell r="I2401" t="str">
            <v>20321</v>
          </cell>
        </row>
        <row r="2402">
          <cell r="G2402" t="str">
            <v>Xã Thái Cường</v>
          </cell>
          <cell r="I2402" t="str">
            <v>20321</v>
          </cell>
        </row>
        <row r="2403">
          <cell r="G2403" t="str">
            <v>Xã Thuỵ Hùng</v>
          </cell>
          <cell r="I2403" t="str">
            <v>20321</v>
          </cell>
        </row>
        <row r="2404">
          <cell r="G2404" t="str">
            <v>Xã Trọng Con</v>
          </cell>
          <cell r="I2404" t="str">
            <v>20321</v>
          </cell>
        </row>
        <row r="2405">
          <cell r="G2405" t="str">
            <v>Xã Lê Lai</v>
          </cell>
          <cell r="I2405" t="str">
            <v>20321</v>
          </cell>
        </row>
        <row r="2406">
          <cell r="G2406" t="str">
            <v xml:space="preserve">Xã Đức Long  </v>
          </cell>
          <cell r="I2406" t="str">
            <v>20321</v>
          </cell>
        </row>
        <row r="2407">
          <cell r="G2407" t="str">
            <v xml:space="preserve">Xã Lê Lợi     </v>
          </cell>
          <cell r="I2407" t="str">
            <v>20321</v>
          </cell>
        </row>
        <row r="2408">
          <cell r="G2408" t="str">
            <v xml:space="preserve">Xã Đức Xuân  </v>
          </cell>
          <cell r="I2408" t="str">
            <v>20321</v>
          </cell>
        </row>
        <row r="2409">
          <cell r="G2409" t="str">
            <v>Xã Vân Trình</v>
          </cell>
          <cell r="I2409" t="str">
            <v>20321</v>
          </cell>
        </row>
        <row r="2410">
          <cell r="G2410" t="str">
            <v xml:space="preserve">Xã Canh Tân </v>
          </cell>
          <cell r="I2410" t="str">
            <v>20321</v>
          </cell>
        </row>
        <row r="2411">
          <cell r="G2411" t="str">
            <v>Xã Đức Thông</v>
          </cell>
          <cell r="I2411" t="str">
            <v>20321</v>
          </cell>
        </row>
        <row r="2412">
          <cell r="G2412" t="str">
            <v>Xã Quang Trọng</v>
          </cell>
          <cell r="I2412" t="str">
            <v>20321</v>
          </cell>
        </row>
        <row r="2413">
          <cell r="G2413" t="str">
            <v>Xã Danh Sỹ</v>
          </cell>
          <cell r="I2413" t="str">
            <v>20321</v>
          </cell>
        </row>
        <row r="2414">
          <cell r="G2414" t="str">
            <v xml:space="preserve">Xã Thái Học   </v>
          </cell>
          <cell r="I2414" t="str">
            <v>20321</v>
          </cell>
        </row>
        <row r="2415">
          <cell r="G2415" t="str">
            <v>Xã Lý Bôn</v>
          </cell>
          <cell r="I2415" t="str">
            <v>20323</v>
          </cell>
        </row>
        <row r="2416">
          <cell r="G2416" t="str">
            <v>Xã Nam Quang</v>
          </cell>
          <cell r="I2416" t="str">
            <v>20323</v>
          </cell>
        </row>
        <row r="2417">
          <cell r="G2417" t="str">
            <v xml:space="preserve">Xã Vĩnh Quang </v>
          </cell>
          <cell r="I2417" t="str">
            <v>20323</v>
          </cell>
        </row>
        <row r="2418">
          <cell r="G2418" t="str">
            <v xml:space="preserve">Xã Tân Việt   </v>
          </cell>
          <cell r="I2418" t="str">
            <v>20323</v>
          </cell>
        </row>
        <row r="2419">
          <cell r="G2419" t="str">
            <v xml:space="preserve">Xã Vĩnh Phong </v>
          </cell>
          <cell r="I2419" t="str">
            <v>20323</v>
          </cell>
        </row>
        <row r="2420">
          <cell r="G2420" t="str">
            <v>Xã Mông ân</v>
          </cell>
          <cell r="I2420" t="str">
            <v>20323</v>
          </cell>
        </row>
        <row r="2421">
          <cell r="G2421" t="str">
            <v>Xã Yên Thổ</v>
          </cell>
          <cell r="I2421" t="str">
            <v>20323</v>
          </cell>
        </row>
        <row r="2422">
          <cell r="G2422" t="str">
            <v>Xã Đức Hạnh</v>
          </cell>
          <cell r="I2422" t="str">
            <v>20323</v>
          </cell>
        </row>
        <row r="2423">
          <cell r="G2423" t="str">
            <v>Xã Quảng Lâm</v>
          </cell>
          <cell r="I2423" t="str">
            <v>20323</v>
          </cell>
        </row>
        <row r="2424">
          <cell r="G2424" t="str">
            <v xml:space="preserve">Xã Thái Học    </v>
          </cell>
          <cell r="I2424" t="str">
            <v>20323</v>
          </cell>
        </row>
        <row r="2425">
          <cell r="G2425" t="str">
            <v>Xã Thạch Lâm</v>
          </cell>
          <cell r="I2425" t="str">
            <v>20323</v>
          </cell>
        </row>
        <row r="2426">
          <cell r="G2426" t="str">
            <v xml:space="preserve">Xã Thái Sơn   </v>
          </cell>
          <cell r="I2426" t="str">
            <v>20323</v>
          </cell>
        </row>
        <row r="2427">
          <cell r="G2427" t="str">
            <v xml:space="preserve">Xã Nam Cao </v>
          </cell>
          <cell r="I2427" t="str">
            <v>20323</v>
          </cell>
        </row>
        <row r="2428">
          <cell r="G2428" t="str">
            <v>Thị trấn Pác Miầu</v>
          </cell>
          <cell r="I2428" t="str">
            <v>20323</v>
          </cell>
        </row>
        <row r="2429">
          <cell r="G2429" t="str">
            <v>Phường Phố Mới</v>
          </cell>
          <cell r="I2429" t="str">
            <v>20501</v>
          </cell>
        </row>
        <row r="2430">
          <cell r="G2430" t="str">
            <v>Phường Cốc Lếu</v>
          </cell>
          <cell r="I2430" t="str">
            <v>20501</v>
          </cell>
        </row>
        <row r="2431">
          <cell r="G2431" t="str">
            <v>Phường Kim Tân</v>
          </cell>
          <cell r="I2431" t="str">
            <v>20501</v>
          </cell>
        </row>
        <row r="2432">
          <cell r="G2432" t="str">
            <v>Phường Pom Hán</v>
          </cell>
          <cell r="I2432" t="str">
            <v>20501</v>
          </cell>
        </row>
        <row r="2433">
          <cell r="G2433" t="str">
            <v>Phường Xuân Tăng</v>
          </cell>
          <cell r="I2433" t="str">
            <v>20501</v>
          </cell>
        </row>
        <row r="2434">
          <cell r="G2434" t="str">
            <v>Phường Bình Minh</v>
          </cell>
          <cell r="I2434" t="str">
            <v>20501</v>
          </cell>
        </row>
        <row r="2435">
          <cell r="G2435" t="str">
            <v xml:space="preserve">Phường Thống Nhất </v>
          </cell>
          <cell r="I2435" t="str">
            <v>20501</v>
          </cell>
        </row>
        <row r="2436">
          <cell r="G2436" t="str">
            <v>Xã Vạn Hòa</v>
          </cell>
          <cell r="I2436" t="str">
            <v>20501</v>
          </cell>
        </row>
        <row r="2437">
          <cell r="G2437" t="str">
            <v>Phường Bắc Cường</v>
          </cell>
          <cell r="I2437" t="str">
            <v>20501</v>
          </cell>
        </row>
        <row r="2438">
          <cell r="G2438" t="str">
            <v>Xã Cam Đường</v>
          </cell>
          <cell r="I2438" t="str">
            <v>20501</v>
          </cell>
        </row>
        <row r="2439">
          <cell r="G2439" t="str">
            <v xml:space="preserve">Xã Hợp Thành </v>
          </cell>
          <cell r="I2439" t="str">
            <v>20501</v>
          </cell>
        </row>
        <row r="2440">
          <cell r="G2440" t="str">
            <v>Phường Duyên Hải</v>
          </cell>
          <cell r="I2440" t="str">
            <v>20501</v>
          </cell>
        </row>
        <row r="2441">
          <cell r="G2441" t="str">
            <v>Phường Nam Cường</v>
          </cell>
          <cell r="I2441" t="str">
            <v>20501</v>
          </cell>
        </row>
        <row r="2442">
          <cell r="G2442" t="str">
            <v>Phường Lào Cai</v>
          </cell>
          <cell r="I2442" t="str">
            <v>20501</v>
          </cell>
        </row>
        <row r="2443">
          <cell r="G2443" t="str">
            <v>Phường Bắc Lệnh</v>
          </cell>
          <cell r="I2443" t="str">
            <v>20501</v>
          </cell>
        </row>
        <row r="2444">
          <cell r="G2444" t="str">
            <v>Xã Đồng Tuyển</v>
          </cell>
          <cell r="I2444" t="str">
            <v>20501</v>
          </cell>
        </row>
        <row r="2445">
          <cell r="G2445" t="str">
            <v>Xã Tả Phời</v>
          </cell>
          <cell r="I2445" t="str">
            <v>20501</v>
          </cell>
        </row>
        <row r="2446">
          <cell r="G2446" t="str">
            <v>Xã Bản Lầu</v>
          </cell>
          <cell r="I2446" t="str">
            <v>20505</v>
          </cell>
        </row>
        <row r="2447">
          <cell r="G2447" t="str">
            <v>Xã La Pan Tẩn</v>
          </cell>
          <cell r="I2447" t="str">
            <v>20505</v>
          </cell>
        </row>
        <row r="2448">
          <cell r="G2448" t="str">
            <v>Xã Tả Thàng</v>
          </cell>
          <cell r="I2448" t="str">
            <v>20505</v>
          </cell>
        </row>
        <row r="2449">
          <cell r="G2449" t="str">
            <v>Xã Bản Sen</v>
          </cell>
          <cell r="I2449" t="str">
            <v>20505</v>
          </cell>
        </row>
        <row r="2450">
          <cell r="G2450" t="str">
            <v>Xã Pha Long</v>
          </cell>
          <cell r="I2450" t="str">
            <v>20505</v>
          </cell>
        </row>
        <row r="2451">
          <cell r="G2451" t="str">
            <v>Xã Tung Chung Phố</v>
          </cell>
          <cell r="I2451" t="str">
            <v>20505</v>
          </cell>
        </row>
        <row r="2452">
          <cell r="G2452" t="str">
            <v>Xã Dìn Chin</v>
          </cell>
          <cell r="I2452" t="str">
            <v>20505</v>
          </cell>
        </row>
        <row r="2453">
          <cell r="G2453" t="str">
            <v>Xã Tả Gia Khâu</v>
          </cell>
          <cell r="I2453" t="str">
            <v>20505</v>
          </cell>
        </row>
        <row r="2454">
          <cell r="G2454" t="str">
            <v>Xã Nấm Lư</v>
          </cell>
          <cell r="I2454" t="str">
            <v>20505</v>
          </cell>
        </row>
        <row r="2455">
          <cell r="G2455" t="str">
            <v>Xã Lùng Khấu Nhin</v>
          </cell>
          <cell r="I2455" t="str">
            <v>20505</v>
          </cell>
        </row>
        <row r="2456">
          <cell r="G2456" t="str">
            <v xml:space="preserve">Xã Thanh Bình  </v>
          </cell>
          <cell r="I2456" t="str">
            <v>20505</v>
          </cell>
        </row>
        <row r="2457">
          <cell r="G2457" t="str">
            <v>Xã Mường Khương</v>
          </cell>
          <cell r="I2457" t="str">
            <v>20505</v>
          </cell>
        </row>
        <row r="2458">
          <cell r="G2458" t="str">
            <v>Xã Cao Sơn</v>
          </cell>
          <cell r="I2458" t="str">
            <v>20505</v>
          </cell>
        </row>
        <row r="2459">
          <cell r="G2459" t="str">
            <v>Xã Nậm Chảy</v>
          </cell>
          <cell r="I2459" t="str">
            <v>20505</v>
          </cell>
        </row>
        <row r="2460">
          <cell r="G2460" t="str">
            <v>Xã Lùng Vai</v>
          </cell>
          <cell r="I2460" t="str">
            <v>20505</v>
          </cell>
        </row>
        <row r="2461">
          <cell r="G2461" t="str">
            <v>Xã Tả Ngải Chồ</v>
          </cell>
          <cell r="I2461" t="str">
            <v>20505</v>
          </cell>
        </row>
        <row r="2462">
          <cell r="G2462" t="str">
            <v>Thị trấn Bát Xát</v>
          </cell>
          <cell r="I2462" t="str">
            <v>20507</v>
          </cell>
        </row>
        <row r="2463">
          <cell r="G2463" t="str">
            <v>Xã Nậm Chạc</v>
          </cell>
          <cell r="I2463" t="str">
            <v>20507</v>
          </cell>
        </row>
        <row r="2464">
          <cell r="G2464" t="str">
            <v>Xã A Lù</v>
          </cell>
          <cell r="I2464" t="str">
            <v>20507</v>
          </cell>
        </row>
        <row r="2465">
          <cell r="G2465" t="str">
            <v>Xã Trịnh Tường</v>
          </cell>
          <cell r="I2465" t="str">
            <v>20507</v>
          </cell>
        </row>
        <row r="2466">
          <cell r="G2466" t="str">
            <v>Xã Y Tý</v>
          </cell>
          <cell r="I2466" t="str">
            <v>20507</v>
          </cell>
        </row>
        <row r="2467">
          <cell r="G2467" t="str">
            <v>Xã Cốc Mỳ</v>
          </cell>
          <cell r="I2467" t="str">
            <v>20507</v>
          </cell>
        </row>
        <row r="2468">
          <cell r="G2468" t="str">
            <v>Xã Dền Sáng</v>
          </cell>
          <cell r="I2468" t="str">
            <v>20507</v>
          </cell>
        </row>
        <row r="2469">
          <cell r="G2469" t="str">
            <v>Xã Bản Qua</v>
          </cell>
          <cell r="I2469" t="str">
            <v>20507</v>
          </cell>
        </row>
        <row r="2470">
          <cell r="G2470" t="str">
            <v>Xã Mường Vi</v>
          </cell>
          <cell r="I2470" t="str">
            <v>20507</v>
          </cell>
        </row>
        <row r="2471">
          <cell r="G2471" t="str">
            <v>Xã Bản Xèo</v>
          </cell>
          <cell r="I2471" t="str">
            <v>20507</v>
          </cell>
        </row>
        <row r="2472">
          <cell r="G2472" t="str">
            <v>Xã Mường Hum</v>
          </cell>
          <cell r="I2472" t="str">
            <v>20507</v>
          </cell>
        </row>
        <row r="2473">
          <cell r="G2473" t="str">
            <v>Xã Trung Lèng Hồ</v>
          </cell>
          <cell r="I2473" t="str">
            <v>20507</v>
          </cell>
        </row>
        <row r="2474">
          <cell r="G2474" t="str">
            <v>Xã Pa Cheo</v>
          </cell>
          <cell r="I2474" t="str">
            <v>20507</v>
          </cell>
        </row>
        <row r="2475">
          <cell r="G2475" t="str">
            <v>Xã Nậm Pung</v>
          </cell>
          <cell r="I2475" t="str">
            <v>20507</v>
          </cell>
        </row>
        <row r="2476">
          <cell r="G2476" t="str">
            <v>Xã Phìn Ngan</v>
          </cell>
          <cell r="I2476" t="str">
            <v>20507</v>
          </cell>
        </row>
        <row r="2477">
          <cell r="G2477" t="str">
            <v>Xã Tòng Sành</v>
          </cell>
          <cell r="I2477" t="str">
            <v>20507</v>
          </cell>
        </row>
        <row r="2478">
          <cell r="G2478" t="str">
            <v>Xã Sàng Ma Sáo</v>
          </cell>
          <cell r="I2478" t="str">
            <v>20507</v>
          </cell>
        </row>
        <row r="2479">
          <cell r="G2479" t="str">
            <v>Xã A Mú Sung</v>
          </cell>
          <cell r="I2479" t="str">
            <v>20507</v>
          </cell>
        </row>
        <row r="2480">
          <cell r="G2480" t="str">
            <v>Xã Ngải Thầu</v>
          </cell>
          <cell r="I2480" t="str">
            <v>20507</v>
          </cell>
        </row>
        <row r="2481">
          <cell r="G2481" t="str">
            <v>Xã Bản Vược</v>
          </cell>
          <cell r="I2481" t="str">
            <v>20507</v>
          </cell>
        </row>
        <row r="2482">
          <cell r="G2482" t="str">
            <v>Xã Dền Thàng</v>
          </cell>
          <cell r="I2482" t="str">
            <v>20507</v>
          </cell>
        </row>
        <row r="2483">
          <cell r="G2483" t="str">
            <v>Xã Quang Kim</v>
          </cell>
          <cell r="I2483" t="str">
            <v>20507</v>
          </cell>
        </row>
        <row r="2484">
          <cell r="G2484" t="str">
            <v>Xã Cốc San</v>
          </cell>
          <cell r="I2484" t="str">
            <v>20507</v>
          </cell>
        </row>
        <row r="2485">
          <cell r="G2485" t="str">
            <v>Xã Lùng Cải</v>
          </cell>
          <cell r="I2485" t="str">
            <v>20509</v>
          </cell>
        </row>
        <row r="2486">
          <cell r="G2486" t="str">
            <v>Xã Bản Già</v>
          </cell>
          <cell r="I2486" t="str">
            <v>20509</v>
          </cell>
        </row>
        <row r="2487">
          <cell r="G2487" t="str">
            <v>Xã Lùng Phình</v>
          </cell>
          <cell r="I2487" t="str">
            <v>20509</v>
          </cell>
        </row>
        <row r="2488">
          <cell r="G2488" t="str">
            <v>Xã Tả Củ Tỷ</v>
          </cell>
          <cell r="I2488" t="str">
            <v>20509</v>
          </cell>
        </row>
        <row r="2489">
          <cell r="G2489" t="str">
            <v>Xã Thải Giàng Phố</v>
          </cell>
          <cell r="I2489" t="str">
            <v>20509</v>
          </cell>
        </row>
        <row r="2490">
          <cell r="G2490" t="str">
            <v>Xã Lầu Thí Ngài</v>
          </cell>
          <cell r="I2490" t="str">
            <v>20509</v>
          </cell>
        </row>
        <row r="2491">
          <cell r="G2491" t="str">
            <v>Xã Bản Phố</v>
          </cell>
          <cell r="I2491" t="str">
            <v>20509</v>
          </cell>
        </row>
        <row r="2492">
          <cell r="G2492" t="str">
            <v>Xã Tà Chải</v>
          </cell>
          <cell r="I2492" t="str">
            <v>20509</v>
          </cell>
        </row>
        <row r="2493">
          <cell r="G2493" t="str">
            <v>Xã Na Hối</v>
          </cell>
          <cell r="I2493" t="str">
            <v>20509</v>
          </cell>
        </row>
        <row r="2494">
          <cell r="G2494" t="str">
            <v>Xã Nậm Mòn</v>
          </cell>
          <cell r="I2494" t="str">
            <v>20509</v>
          </cell>
        </row>
        <row r="2495">
          <cell r="G2495" t="str">
            <v>Xã Nậm Đét</v>
          </cell>
          <cell r="I2495" t="str">
            <v>20509</v>
          </cell>
        </row>
        <row r="2496">
          <cell r="G2496" t="str">
            <v>Xã Bảo Nhai</v>
          </cell>
          <cell r="I2496" t="str">
            <v>20509</v>
          </cell>
        </row>
        <row r="2497">
          <cell r="G2497" t="str">
            <v>Xã Nậm Lúc</v>
          </cell>
          <cell r="I2497" t="str">
            <v>20509</v>
          </cell>
        </row>
        <row r="2498">
          <cell r="G2498" t="str">
            <v>Xã Cốc Lầu</v>
          </cell>
          <cell r="I2498" t="str">
            <v>20509</v>
          </cell>
        </row>
        <row r="2499">
          <cell r="G2499" t="str">
            <v>Xã Bản Liền</v>
          </cell>
          <cell r="I2499" t="str">
            <v>20509</v>
          </cell>
        </row>
        <row r="2500">
          <cell r="G2500" t="str">
            <v>Thị trấn Bắc Hà</v>
          </cell>
          <cell r="I2500" t="str">
            <v>20509</v>
          </cell>
        </row>
        <row r="2501">
          <cell r="G2501" t="str">
            <v>Xã Tả Van Chư</v>
          </cell>
          <cell r="I2501" t="str">
            <v>20509</v>
          </cell>
        </row>
        <row r="2502">
          <cell r="G2502" t="str">
            <v>Xã Hoàng Thu Phố</v>
          </cell>
          <cell r="I2502" t="str">
            <v>20509</v>
          </cell>
        </row>
        <row r="2503">
          <cell r="G2503" t="str">
            <v>Xã Cốc Ly</v>
          </cell>
          <cell r="I2503" t="str">
            <v>20509</v>
          </cell>
        </row>
        <row r="2504">
          <cell r="G2504" t="str">
            <v>Xã Nậm Khánh</v>
          </cell>
          <cell r="I2504" t="str">
            <v>20509</v>
          </cell>
        </row>
        <row r="2505">
          <cell r="G2505" t="str">
            <v>Xã Bản Cái</v>
          </cell>
          <cell r="I2505" t="str">
            <v>20509</v>
          </cell>
        </row>
        <row r="2506">
          <cell r="G2506" t="str">
            <v>Thị trấn N.T Phong Hải</v>
          </cell>
          <cell r="I2506" t="str">
            <v>20511</v>
          </cell>
        </row>
        <row r="2507">
          <cell r="G2507" t="str">
            <v>Thị trấn Tằng Loỏng</v>
          </cell>
          <cell r="I2507" t="str">
            <v>20511</v>
          </cell>
        </row>
        <row r="2508">
          <cell r="G2508" t="str">
            <v>Xã Bản Cầm</v>
          </cell>
          <cell r="I2508" t="str">
            <v>20511</v>
          </cell>
        </row>
        <row r="2509">
          <cell r="G2509" t="str">
            <v>Xã Thái Niên</v>
          </cell>
          <cell r="I2509" t="str">
            <v>20511</v>
          </cell>
        </row>
        <row r="2510">
          <cell r="G2510" t="str">
            <v>Xã Phong Niên</v>
          </cell>
          <cell r="I2510" t="str">
            <v>20511</v>
          </cell>
        </row>
        <row r="2511">
          <cell r="G2511" t="str">
            <v>Xã Xuân Quang</v>
          </cell>
          <cell r="I2511" t="str">
            <v>20511</v>
          </cell>
        </row>
        <row r="2512">
          <cell r="G2512" t="str">
            <v>Xã Sơn Hải</v>
          </cell>
          <cell r="I2512" t="str">
            <v>20511</v>
          </cell>
        </row>
        <row r="2513">
          <cell r="G2513" t="str">
            <v>Xã Xuân Giao</v>
          </cell>
          <cell r="I2513" t="str">
            <v>20511</v>
          </cell>
        </row>
        <row r="2514">
          <cell r="G2514" t="str">
            <v xml:space="preserve">Xã Sơn Hà  </v>
          </cell>
          <cell r="I2514" t="str">
            <v>20511</v>
          </cell>
        </row>
        <row r="2515">
          <cell r="G2515" t="str">
            <v>Xã Phố Lu</v>
          </cell>
          <cell r="I2515" t="str">
            <v>20511</v>
          </cell>
        </row>
        <row r="2516">
          <cell r="G2516" t="str">
            <v>Thị trấn Phố Lu</v>
          </cell>
          <cell r="I2516" t="str">
            <v>20511</v>
          </cell>
        </row>
        <row r="2517">
          <cell r="G2517" t="str">
            <v>Xã Phú Nhuận</v>
          </cell>
          <cell r="I2517" t="str">
            <v>20511</v>
          </cell>
        </row>
        <row r="2518">
          <cell r="G2518" t="str">
            <v>Xã Bản Phiệt</v>
          </cell>
          <cell r="I2518" t="str">
            <v>20511</v>
          </cell>
        </row>
        <row r="2519">
          <cell r="G2519" t="str">
            <v xml:space="preserve">Xã Gia Phú </v>
          </cell>
          <cell r="I2519" t="str">
            <v>20511</v>
          </cell>
        </row>
        <row r="2520">
          <cell r="G2520" t="str">
            <v>Xã Trì Quang</v>
          </cell>
          <cell r="I2520" t="str">
            <v>20511</v>
          </cell>
        </row>
        <row r="2521">
          <cell r="G2521" t="str">
            <v>Thị trấn Sa Pa</v>
          </cell>
          <cell r="I2521" t="str">
            <v>20513</v>
          </cell>
        </row>
        <row r="2522">
          <cell r="G2522" t="str">
            <v>Xã Bản Khoang</v>
          </cell>
          <cell r="I2522" t="str">
            <v>20513</v>
          </cell>
        </row>
        <row r="2523">
          <cell r="G2523" t="str">
            <v>Xã Trung Chải</v>
          </cell>
          <cell r="I2523" t="str">
            <v>20513</v>
          </cell>
        </row>
        <row r="2524">
          <cell r="G2524" t="str">
            <v xml:space="preserve">Xã Tả Phìn </v>
          </cell>
          <cell r="I2524" t="str">
            <v>20513</v>
          </cell>
        </row>
        <row r="2525">
          <cell r="G2525" t="str">
            <v>Xã San Sả Hồ</v>
          </cell>
          <cell r="I2525" t="str">
            <v>20513</v>
          </cell>
        </row>
        <row r="2526">
          <cell r="G2526" t="str">
            <v>Xã Hầu Thào</v>
          </cell>
          <cell r="I2526" t="str">
            <v>20513</v>
          </cell>
        </row>
        <row r="2527">
          <cell r="G2527" t="str">
            <v xml:space="preserve">Xã Lao Chải </v>
          </cell>
          <cell r="I2527" t="str">
            <v>20513</v>
          </cell>
        </row>
        <row r="2528">
          <cell r="G2528" t="str">
            <v>Xã Thanh Kim</v>
          </cell>
          <cell r="I2528" t="str">
            <v>20513</v>
          </cell>
        </row>
        <row r="2529">
          <cell r="G2529" t="str">
            <v>Xã Sử Pán</v>
          </cell>
          <cell r="I2529" t="str">
            <v>20513</v>
          </cell>
        </row>
        <row r="2530">
          <cell r="G2530" t="str">
            <v>Xã Tả Van</v>
          </cell>
          <cell r="I2530" t="str">
            <v>20513</v>
          </cell>
        </row>
        <row r="2531">
          <cell r="G2531" t="str">
            <v>Xã Thanh Phú</v>
          </cell>
          <cell r="I2531" t="str">
            <v>20513</v>
          </cell>
        </row>
        <row r="2532">
          <cell r="G2532" t="str">
            <v>Xã Nậm Cang</v>
          </cell>
          <cell r="I2532" t="str">
            <v>20513</v>
          </cell>
        </row>
        <row r="2533">
          <cell r="G2533" t="str">
            <v>Xã Sa Pả</v>
          </cell>
          <cell r="I2533" t="str">
            <v>20513</v>
          </cell>
        </row>
        <row r="2534">
          <cell r="G2534" t="str">
            <v>Xã Nậm Sài</v>
          </cell>
          <cell r="I2534" t="str">
            <v>20513</v>
          </cell>
        </row>
        <row r="2535">
          <cell r="G2535" t="str">
            <v>Xã Tả Giàng Phình</v>
          </cell>
          <cell r="I2535" t="str">
            <v>20513</v>
          </cell>
        </row>
        <row r="2536">
          <cell r="G2536" t="str">
            <v xml:space="preserve">Xã Bản Phùng </v>
          </cell>
          <cell r="I2536" t="str">
            <v>20513</v>
          </cell>
        </row>
        <row r="2537">
          <cell r="G2537" t="str">
            <v>Xã Suối Thầu</v>
          </cell>
          <cell r="I2537" t="str">
            <v>20513</v>
          </cell>
        </row>
        <row r="2538">
          <cell r="G2538" t="str">
            <v>Xã Bản Hồ</v>
          </cell>
          <cell r="I2538" t="str">
            <v>20513</v>
          </cell>
        </row>
        <row r="2539">
          <cell r="G2539" t="str">
            <v xml:space="preserve">Xã Tân Tiến      </v>
          </cell>
          <cell r="I2539" t="str">
            <v>20515</v>
          </cell>
        </row>
        <row r="2540">
          <cell r="G2540" t="str">
            <v>Xã Nghĩa Đô</v>
          </cell>
          <cell r="I2540" t="str">
            <v>20515</v>
          </cell>
        </row>
        <row r="2541">
          <cell r="G2541" t="str">
            <v>Xã Vĩnh Yên</v>
          </cell>
          <cell r="I2541" t="str">
            <v>20515</v>
          </cell>
        </row>
        <row r="2542">
          <cell r="G2542" t="str">
            <v>Xã Điện Quan</v>
          </cell>
          <cell r="I2542" t="str">
            <v>20515</v>
          </cell>
        </row>
        <row r="2543">
          <cell r="G2543" t="str">
            <v xml:space="preserve">Xã Tân Dương </v>
          </cell>
          <cell r="I2543" t="str">
            <v>20515</v>
          </cell>
        </row>
        <row r="2544">
          <cell r="G2544" t="str">
            <v xml:space="preserve">Xã Thượng Hà </v>
          </cell>
          <cell r="I2544" t="str">
            <v>20515</v>
          </cell>
        </row>
        <row r="2545">
          <cell r="G2545" t="str">
            <v>Xã Cam Cọn</v>
          </cell>
          <cell r="I2545" t="str">
            <v>20515</v>
          </cell>
        </row>
        <row r="2546">
          <cell r="G2546" t="str">
            <v xml:space="preserve">Xã Minh Tân          </v>
          </cell>
          <cell r="I2546" t="str">
            <v>20515</v>
          </cell>
        </row>
        <row r="2547">
          <cell r="G2547" t="str">
            <v xml:space="preserve">Xã Yên Sơn   </v>
          </cell>
          <cell r="I2547" t="str">
            <v>20515</v>
          </cell>
        </row>
        <row r="2548">
          <cell r="G2548" t="str">
            <v>Xã Bảo Hà</v>
          </cell>
          <cell r="I2548" t="str">
            <v>20515</v>
          </cell>
        </row>
        <row r="2549">
          <cell r="G2549" t="str">
            <v>Xã Lương Sơn</v>
          </cell>
          <cell r="I2549" t="str">
            <v>20515</v>
          </cell>
        </row>
        <row r="2550">
          <cell r="G2550" t="str">
            <v>Xã Long Khánh</v>
          </cell>
          <cell r="I2550" t="str">
            <v>20515</v>
          </cell>
        </row>
        <row r="2551">
          <cell r="G2551" t="str">
            <v xml:space="preserve">Xã Xuân Thượng </v>
          </cell>
          <cell r="I2551" t="str">
            <v>20515</v>
          </cell>
        </row>
        <row r="2552">
          <cell r="G2552" t="str">
            <v>Thị trấn Phố Ràng</v>
          </cell>
          <cell r="I2552" t="str">
            <v>20515</v>
          </cell>
        </row>
        <row r="2553">
          <cell r="G2553" t="str">
            <v xml:space="preserve">Xã Xuân Hòa   </v>
          </cell>
          <cell r="I2553" t="str">
            <v>20515</v>
          </cell>
        </row>
        <row r="2554">
          <cell r="G2554" t="str">
            <v xml:space="preserve">Xã Kim Sơn  </v>
          </cell>
          <cell r="I2554" t="str">
            <v>20515</v>
          </cell>
        </row>
        <row r="2555">
          <cell r="G2555" t="str">
            <v xml:space="preserve">Xã Việt Tiến </v>
          </cell>
          <cell r="I2555" t="str">
            <v>20515</v>
          </cell>
        </row>
        <row r="2556">
          <cell r="G2556" t="str">
            <v>Xã Long Phúc</v>
          </cell>
          <cell r="I2556" t="str">
            <v>20515</v>
          </cell>
        </row>
        <row r="2557">
          <cell r="G2557" t="str">
            <v>Xã Văn Sơn</v>
          </cell>
          <cell r="I2557" t="str">
            <v>20519</v>
          </cell>
        </row>
        <row r="2558">
          <cell r="G2558" t="str">
            <v>Xã Võ Lao</v>
          </cell>
          <cell r="I2558" t="str">
            <v>20519</v>
          </cell>
        </row>
        <row r="2559">
          <cell r="G2559" t="str">
            <v>Xã Sơn Thuỷ</v>
          </cell>
          <cell r="I2559" t="str">
            <v>20519</v>
          </cell>
        </row>
        <row r="2560">
          <cell r="G2560" t="str">
            <v>Xã Nậm Mả</v>
          </cell>
          <cell r="I2560" t="str">
            <v>20519</v>
          </cell>
        </row>
        <row r="2561">
          <cell r="G2561" t="str">
            <v>Xã Nậm Dạng</v>
          </cell>
          <cell r="I2561" t="str">
            <v>20519</v>
          </cell>
        </row>
        <row r="2562">
          <cell r="G2562" t="str">
            <v>Xã Nậm Chầy</v>
          </cell>
          <cell r="I2562" t="str">
            <v>20519</v>
          </cell>
        </row>
        <row r="2563">
          <cell r="G2563" t="str">
            <v xml:space="preserve">Xã Tân An </v>
          </cell>
          <cell r="I2563" t="str">
            <v>20519</v>
          </cell>
        </row>
        <row r="2564">
          <cell r="G2564" t="str">
            <v>Xã Dần Thàng</v>
          </cell>
          <cell r="I2564" t="str">
            <v>20519</v>
          </cell>
        </row>
        <row r="2565">
          <cell r="G2565" t="str">
            <v>Xã Chiềng Ken</v>
          </cell>
          <cell r="I2565" t="str">
            <v>20519</v>
          </cell>
        </row>
        <row r="2566">
          <cell r="G2566" t="str">
            <v>Xã Làng Giàng</v>
          </cell>
          <cell r="I2566" t="str">
            <v>20519</v>
          </cell>
        </row>
        <row r="2567">
          <cell r="G2567" t="str">
            <v>Xã Khánh Yên Trung</v>
          </cell>
          <cell r="I2567" t="str">
            <v>20519</v>
          </cell>
        </row>
        <row r="2568">
          <cell r="G2568" t="str">
            <v>Xã Khánh Yên Hạ</v>
          </cell>
          <cell r="I2568" t="str">
            <v>20519</v>
          </cell>
        </row>
        <row r="2569">
          <cell r="G2569" t="str">
            <v>Xã Dương Quỳ</v>
          </cell>
          <cell r="I2569" t="str">
            <v>20519</v>
          </cell>
        </row>
        <row r="2570">
          <cell r="G2570" t="str">
            <v>Xã Minh Lương</v>
          </cell>
          <cell r="I2570" t="str">
            <v>20519</v>
          </cell>
        </row>
        <row r="2571">
          <cell r="G2571" t="str">
            <v>Xã Liêm Phú</v>
          </cell>
          <cell r="I2571" t="str">
            <v>20519</v>
          </cell>
        </row>
        <row r="2572">
          <cell r="G2572" t="str">
            <v>Xã Nậm Xây</v>
          </cell>
          <cell r="I2572" t="str">
            <v>20519</v>
          </cell>
        </row>
        <row r="2573">
          <cell r="G2573" t="str">
            <v>Xã Nậm Xé</v>
          </cell>
          <cell r="I2573" t="str">
            <v>20519</v>
          </cell>
        </row>
        <row r="2574">
          <cell r="G2574" t="str">
            <v>Xã Thẩm Dương</v>
          </cell>
          <cell r="I2574" t="str">
            <v>20519</v>
          </cell>
        </row>
        <row r="2575">
          <cell r="G2575" t="str">
            <v>Thị trấn Khánh Yên</v>
          </cell>
          <cell r="I2575" t="str">
            <v>20519</v>
          </cell>
        </row>
        <row r="2576">
          <cell r="G2576" t="str">
            <v>Xã Tân Thượng</v>
          </cell>
          <cell r="I2576" t="str">
            <v>20519</v>
          </cell>
        </row>
        <row r="2577">
          <cell r="G2577" t="str">
            <v>Xã Khánh Yên Thượng</v>
          </cell>
          <cell r="I2577" t="str">
            <v>20519</v>
          </cell>
        </row>
        <row r="2578">
          <cell r="G2578" t="str">
            <v>Xã Hòa Mạc</v>
          </cell>
          <cell r="I2578" t="str">
            <v>20519</v>
          </cell>
        </row>
        <row r="2579">
          <cell r="G2579" t="str">
            <v>Xã Nậm Tha</v>
          </cell>
          <cell r="I2579" t="str">
            <v>20519</v>
          </cell>
        </row>
        <row r="2580">
          <cell r="G2580" t="str">
            <v>Xã Thào Chư Phìn</v>
          </cell>
          <cell r="I2580" t="str">
            <v>20521</v>
          </cell>
        </row>
        <row r="2581">
          <cell r="G2581" t="str">
            <v>Xã Bản Mế</v>
          </cell>
          <cell r="I2581" t="str">
            <v>20521</v>
          </cell>
        </row>
        <row r="2582">
          <cell r="G2582" t="str">
            <v>Xã Si Ma Cai</v>
          </cell>
          <cell r="I2582" t="str">
            <v>20521</v>
          </cell>
        </row>
        <row r="2583">
          <cell r="G2583" t="str">
            <v>Xã Sán Chải</v>
          </cell>
          <cell r="I2583" t="str">
            <v>20521</v>
          </cell>
        </row>
        <row r="2584">
          <cell r="G2584" t="str">
            <v>Xã Lùng Sui</v>
          </cell>
          <cell r="I2584" t="str">
            <v>20521</v>
          </cell>
        </row>
        <row r="2585">
          <cell r="G2585" t="str">
            <v>Xã Cán Cấu</v>
          </cell>
          <cell r="I2585" t="str">
            <v>20521</v>
          </cell>
        </row>
        <row r="2586">
          <cell r="G2586" t="str">
            <v>Xã Sín Chéng</v>
          </cell>
          <cell r="I2586" t="str">
            <v>20521</v>
          </cell>
        </row>
        <row r="2587">
          <cell r="G2587" t="str">
            <v>Xã Lử Thẩn</v>
          </cell>
          <cell r="I2587" t="str">
            <v>20521</v>
          </cell>
        </row>
        <row r="2588">
          <cell r="G2588" t="str">
            <v>Xã Nàn Sín</v>
          </cell>
          <cell r="I2588" t="str">
            <v>20521</v>
          </cell>
        </row>
        <row r="2589">
          <cell r="G2589" t="str">
            <v>Xã Nàn Sán</v>
          </cell>
          <cell r="I2589" t="str">
            <v>20521</v>
          </cell>
        </row>
        <row r="2590">
          <cell r="G2590" t="str">
            <v>Xã Quan Thần Sán</v>
          </cell>
          <cell r="I2590" t="str">
            <v>20521</v>
          </cell>
        </row>
        <row r="2591">
          <cell r="G2591" t="str">
            <v>Xã Mản Thẩn</v>
          </cell>
          <cell r="I2591" t="str">
            <v>20521</v>
          </cell>
        </row>
        <row r="2592">
          <cell r="G2592" t="str">
            <v>Xã Cán Hồ</v>
          </cell>
          <cell r="I2592" t="str">
            <v>20521</v>
          </cell>
        </row>
        <row r="2593">
          <cell r="G2593" t="str">
            <v>P. Nguyễn Thị Minh Khai</v>
          </cell>
          <cell r="I2593" t="str">
            <v>20701</v>
          </cell>
        </row>
        <row r="2594">
          <cell r="G2594" t="str">
            <v>Phường Sông Cầu</v>
          </cell>
          <cell r="I2594" t="str">
            <v>20701</v>
          </cell>
        </row>
        <row r="2595">
          <cell r="G2595" t="str">
            <v>Phường Đức Xuân</v>
          </cell>
          <cell r="I2595" t="str">
            <v>20701</v>
          </cell>
        </row>
        <row r="2596">
          <cell r="G2596" t="str">
            <v>Phường Phùng Chí Kiên</v>
          </cell>
          <cell r="I2596" t="str">
            <v>20701</v>
          </cell>
        </row>
        <row r="2597">
          <cell r="G2597" t="str">
            <v>Xã Huyền Tụng</v>
          </cell>
          <cell r="I2597" t="str">
            <v>20701</v>
          </cell>
        </row>
        <row r="2598">
          <cell r="G2598" t="str">
            <v>Xã Nông Thượng</v>
          </cell>
          <cell r="I2598" t="str">
            <v>20701</v>
          </cell>
        </row>
        <row r="2599">
          <cell r="G2599" t="str">
            <v>Xã Xuất Hoá</v>
          </cell>
          <cell r="I2599" t="str">
            <v>20701</v>
          </cell>
        </row>
        <row r="2600">
          <cell r="G2600" t="str">
            <v xml:space="preserve">Xã Dương Quang  </v>
          </cell>
          <cell r="I2600" t="str">
            <v>20701</v>
          </cell>
        </row>
        <row r="2601">
          <cell r="G2601" t="str">
            <v>Thị trấn Chợ Rã</v>
          </cell>
          <cell r="I2601" t="str">
            <v>20703</v>
          </cell>
        </row>
        <row r="2602">
          <cell r="G2602" t="str">
            <v>Xã Bành Trạch</v>
          </cell>
          <cell r="I2602" t="str">
            <v>20703</v>
          </cell>
        </row>
        <row r="2603">
          <cell r="G2603" t="str">
            <v>Xã Phúc Lộc</v>
          </cell>
          <cell r="I2603" t="str">
            <v>20703</v>
          </cell>
        </row>
        <row r="2604">
          <cell r="G2604" t="str">
            <v>Xã Cao Thượng</v>
          </cell>
          <cell r="I2604" t="str">
            <v>20703</v>
          </cell>
        </row>
        <row r="2605">
          <cell r="G2605" t="str">
            <v>Xã Cao Trĩ</v>
          </cell>
          <cell r="I2605" t="str">
            <v>20703</v>
          </cell>
        </row>
        <row r="2606">
          <cell r="G2606" t="str">
            <v>Xã Nam Mẫu</v>
          </cell>
          <cell r="I2606" t="str">
            <v>20703</v>
          </cell>
        </row>
        <row r="2607">
          <cell r="G2607" t="str">
            <v>Xã Thượng Giáo</v>
          </cell>
          <cell r="I2607" t="str">
            <v>20703</v>
          </cell>
        </row>
        <row r="2608">
          <cell r="G2608" t="str">
            <v>Xã Địa Linh</v>
          </cell>
          <cell r="I2608" t="str">
            <v>20703</v>
          </cell>
        </row>
        <row r="2609">
          <cell r="G2609" t="str">
            <v>Xã Chu Hương</v>
          </cell>
          <cell r="I2609" t="str">
            <v>20703</v>
          </cell>
        </row>
        <row r="2610">
          <cell r="G2610" t="str">
            <v>Xã Mỹ Phương</v>
          </cell>
          <cell r="I2610" t="str">
            <v>20703</v>
          </cell>
        </row>
        <row r="2611">
          <cell r="G2611" t="str">
            <v>Xã Đồng Phúc</v>
          </cell>
          <cell r="I2611" t="str">
            <v>20703</v>
          </cell>
        </row>
        <row r="2612">
          <cell r="G2612" t="str">
            <v>Xã Quảng Khê</v>
          </cell>
          <cell r="I2612" t="str">
            <v>20703</v>
          </cell>
        </row>
        <row r="2613">
          <cell r="G2613" t="str">
            <v>Xã Hà Hiệu</v>
          </cell>
          <cell r="I2613" t="str">
            <v>20703</v>
          </cell>
        </row>
        <row r="2614">
          <cell r="G2614" t="str">
            <v>Xã Khang Ninh</v>
          </cell>
          <cell r="I2614" t="str">
            <v>20703</v>
          </cell>
        </row>
        <row r="2615">
          <cell r="G2615" t="str">
            <v>Xã Yến Dương</v>
          </cell>
          <cell r="I2615" t="str">
            <v>20703</v>
          </cell>
        </row>
        <row r="2616">
          <cell r="G2616" t="str">
            <v>Xã Hoàng Trĩ</v>
          </cell>
          <cell r="I2616" t="str">
            <v>20703</v>
          </cell>
        </row>
        <row r="2617">
          <cell r="G2617" t="str">
            <v>Xã Bằng Thành</v>
          </cell>
          <cell r="I2617" t="str">
            <v>20704</v>
          </cell>
        </row>
        <row r="2618">
          <cell r="G2618" t="str">
            <v>Xã Bộc Bố</v>
          </cell>
          <cell r="I2618" t="str">
            <v>20704</v>
          </cell>
        </row>
        <row r="2619">
          <cell r="G2619" t="str">
            <v>Xã Công Bằng</v>
          </cell>
          <cell r="I2619" t="str">
            <v>20704</v>
          </cell>
        </row>
        <row r="2620">
          <cell r="G2620" t="str">
            <v>Xã Giáo Hiệu</v>
          </cell>
          <cell r="I2620" t="str">
            <v>20704</v>
          </cell>
        </row>
        <row r="2621">
          <cell r="G2621" t="str">
            <v xml:space="preserve">Xã An Thắng </v>
          </cell>
          <cell r="I2621" t="str">
            <v>20704</v>
          </cell>
        </row>
        <row r="2622">
          <cell r="G2622" t="str">
            <v>Xã Cổ Linh</v>
          </cell>
          <cell r="I2622" t="str">
            <v>20704</v>
          </cell>
        </row>
        <row r="2623">
          <cell r="G2623" t="str">
            <v>Xã Nghiên Loan</v>
          </cell>
          <cell r="I2623" t="str">
            <v>20704</v>
          </cell>
        </row>
        <row r="2624">
          <cell r="G2624" t="str">
            <v>Xã Nhạn Môn</v>
          </cell>
          <cell r="I2624" t="str">
            <v>20704</v>
          </cell>
        </row>
        <row r="2625">
          <cell r="G2625" t="str">
            <v>Xã Xuân La</v>
          </cell>
          <cell r="I2625" t="str">
            <v>20704</v>
          </cell>
        </row>
        <row r="2626">
          <cell r="G2626" t="str">
            <v>Xã Cao Tân</v>
          </cell>
          <cell r="I2626" t="str">
            <v>20704</v>
          </cell>
        </row>
        <row r="2627">
          <cell r="G2627" t="str">
            <v>Thị trấn Nà Phặc</v>
          </cell>
          <cell r="I2627" t="str">
            <v>20705</v>
          </cell>
        </row>
        <row r="2628">
          <cell r="G2628" t="str">
            <v>Xã Thượng ân</v>
          </cell>
          <cell r="I2628" t="str">
            <v>20705</v>
          </cell>
        </row>
        <row r="2629">
          <cell r="G2629" t="str">
            <v>Xã Cốc Đán</v>
          </cell>
          <cell r="I2629" t="str">
            <v>20705</v>
          </cell>
        </row>
        <row r="2630">
          <cell r="G2630" t="str">
            <v xml:space="preserve">Xã Trung Hòa  </v>
          </cell>
          <cell r="I2630" t="str">
            <v>20705</v>
          </cell>
        </row>
        <row r="2631">
          <cell r="G2631" t="str">
            <v>Xã Đức Vân</v>
          </cell>
          <cell r="I2631" t="str">
            <v>20705</v>
          </cell>
        </row>
        <row r="2632">
          <cell r="G2632" t="str">
            <v>Xã Thượng Quan</v>
          </cell>
          <cell r="I2632" t="str">
            <v>20705</v>
          </cell>
        </row>
        <row r="2633">
          <cell r="G2633" t="str">
            <v>Xã Thuần Mang</v>
          </cell>
          <cell r="I2633" t="str">
            <v>20705</v>
          </cell>
        </row>
        <row r="2634">
          <cell r="G2634" t="str">
            <v>Xã Lãng Ngâm</v>
          </cell>
          <cell r="I2634" t="str">
            <v>20705</v>
          </cell>
        </row>
        <row r="2635">
          <cell r="G2635" t="str">
            <v>Xã Bằng Vân</v>
          </cell>
          <cell r="I2635" t="str">
            <v>20705</v>
          </cell>
        </row>
        <row r="2636">
          <cell r="G2636" t="str">
            <v>Xã Vân Tùng</v>
          </cell>
          <cell r="I2636" t="str">
            <v>20705</v>
          </cell>
        </row>
        <row r="2637">
          <cell r="G2637" t="str">
            <v>Xã Hương Nê</v>
          </cell>
          <cell r="I2637" t="str">
            <v>20705</v>
          </cell>
        </row>
        <row r="2638">
          <cell r="G2638" t="str">
            <v>Thị trấn Bằng Lũng</v>
          </cell>
          <cell r="I2638" t="str">
            <v>20707</v>
          </cell>
        </row>
        <row r="2639">
          <cell r="G2639" t="str">
            <v xml:space="preserve">Xã Nam Cường  </v>
          </cell>
          <cell r="I2639" t="str">
            <v>20707</v>
          </cell>
        </row>
        <row r="2640">
          <cell r="G2640" t="str">
            <v xml:space="preserve">Xã Đồng Lạc   </v>
          </cell>
          <cell r="I2640" t="str">
            <v>20707</v>
          </cell>
        </row>
        <row r="2641">
          <cell r="G2641" t="str">
            <v>Xã Quảng Bạch</v>
          </cell>
          <cell r="I2641" t="str">
            <v>20707</v>
          </cell>
        </row>
        <row r="2642">
          <cell r="G2642" t="str">
            <v>Xã Bằng Phúc</v>
          </cell>
          <cell r="I2642" t="str">
            <v>20707</v>
          </cell>
        </row>
        <row r="2643">
          <cell r="G2643" t="str">
            <v>Xã Yên Thịnh</v>
          </cell>
          <cell r="I2643" t="str">
            <v>20707</v>
          </cell>
        </row>
        <row r="2644">
          <cell r="G2644" t="str">
            <v>Xã Phương Viên</v>
          </cell>
          <cell r="I2644" t="str">
            <v>20707</v>
          </cell>
        </row>
        <row r="2645">
          <cell r="G2645" t="str">
            <v>Xã Ngọc Phái</v>
          </cell>
          <cell r="I2645" t="str">
            <v>20707</v>
          </cell>
        </row>
        <row r="2646">
          <cell r="G2646" t="str">
            <v>Xã Rã Bản</v>
          </cell>
          <cell r="I2646" t="str">
            <v>20707</v>
          </cell>
        </row>
        <row r="2647">
          <cell r="G2647" t="str">
            <v>Xã Lương Bằng</v>
          </cell>
          <cell r="I2647" t="str">
            <v>20707</v>
          </cell>
        </row>
        <row r="2648">
          <cell r="G2648" t="str">
            <v>Xã Đại Sảo</v>
          </cell>
          <cell r="I2648" t="str">
            <v>20707</v>
          </cell>
        </row>
        <row r="2649">
          <cell r="G2649" t="str">
            <v>Xã Phong Huân</v>
          </cell>
          <cell r="I2649" t="str">
            <v>20707</v>
          </cell>
        </row>
        <row r="2650">
          <cell r="G2650" t="str">
            <v xml:space="preserve">Xã Yên Mỹ   </v>
          </cell>
          <cell r="I2650" t="str">
            <v>20707</v>
          </cell>
        </row>
        <row r="2651">
          <cell r="G2651" t="str">
            <v>Xã Bình Trung</v>
          </cell>
          <cell r="I2651" t="str">
            <v>20707</v>
          </cell>
        </row>
        <row r="2652">
          <cell r="G2652" t="str">
            <v xml:space="preserve">Xã Tân Lập    </v>
          </cell>
          <cell r="I2652" t="str">
            <v>20707</v>
          </cell>
        </row>
        <row r="2653">
          <cell r="G2653" t="str">
            <v>Xã Bằng Lãng</v>
          </cell>
          <cell r="I2653" t="str">
            <v>20707</v>
          </cell>
        </row>
        <row r="2654">
          <cell r="G2654" t="str">
            <v>Xã Xuân Lạc</v>
          </cell>
          <cell r="I2654" t="str">
            <v>20707</v>
          </cell>
        </row>
        <row r="2655">
          <cell r="G2655" t="str">
            <v>Xã Bản Thi</v>
          </cell>
          <cell r="I2655" t="str">
            <v>20707</v>
          </cell>
        </row>
        <row r="2656">
          <cell r="G2656" t="str">
            <v>Xã Yên Thượng</v>
          </cell>
          <cell r="I2656" t="str">
            <v>20707</v>
          </cell>
        </row>
        <row r="2657">
          <cell r="G2657" t="str">
            <v>Xã ĐôngViên</v>
          </cell>
          <cell r="I2657" t="str">
            <v>20707</v>
          </cell>
        </row>
        <row r="2658">
          <cell r="G2658" t="str">
            <v>Xã Nghĩa Tá</v>
          </cell>
          <cell r="I2658" t="str">
            <v>20707</v>
          </cell>
        </row>
        <row r="2659">
          <cell r="G2659" t="str">
            <v>Xã Yên Nhuận</v>
          </cell>
          <cell r="I2659" t="str">
            <v>20707</v>
          </cell>
        </row>
        <row r="2660">
          <cell r="G2660" t="str">
            <v xml:space="preserve">Xã Lam Sơn </v>
          </cell>
          <cell r="I2660" t="str">
            <v>20709</v>
          </cell>
        </row>
        <row r="2661">
          <cell r="G2661" t="str">
            <v>Xã Văn Minh</v>
          </cell>
          <cell r="I2661" t="str">
            <v>20709</v>
          </cell>
        </row>
        <row r="2662">
          <cell r="G2662" t="str">
            <v>Xã Côn Minh</v>
          </cell>
          <cell r="I2662" t="str">
            <v>20709</v>
          </cell>
        </row>
        <row r="2663">
          <cell r="G2663" t="str">
            <v>Xã Cư Lễ</v>
          </cell>
          <cell r="I2663" t="str">
            <v>20709</v>
          </cell>
        </row>
        <row r="2664">
          <cell r="G2664" t="str">
            <v>Xã Hữu Thác</v>
          </cell>
          <cell r="I2664" t="str">
            <v>20709</v>
          </cell>
        </row>
        <row r="2665">
          <cell r="G2665" t="str">
            <v>Xã Hảo Nghĩa</v>
          </cell>
          <cell r="I2665" t="str">
            <v>20709</v>
          </cell>
        </row>
        <row r="2666">
          <cell r="G2666" t="str">
            <v>Xã Quang Phong</v>
          </cell>
          <cell r="I2666" t="str">
            <v>20709</v>
          </cell>
        </row>
        <row r="2667">
          <cell r="G2667" t="str">
            <v>Xã Dương Sơn</v>
          </cell>
          <cell r="I2667" t="str">
            <v>20709</v>
          </cell>
        </row>
        <row r="2668">
          <cell r="G2668" t="str">
            <v>Xã Đổng Xá</v>
          </cell>
          <cell r="I2668" t="str">
            <v>20709</v>
          </cell>
        </row>
        <row r="2669">
          <cell r="G2669" t="str">
            <v>Xã Lương Thành</v>
          </cell>
          <cell r="I2669" t="str">
            <v>20709</v>
          </cell>
        </row>
        <row r="2670">
          <cell r="G2670" t="str">
            <v>Thị trấn Yến Lạc</v>
          </cell>
          <cell r="I2670" t="str">
            <v>20709</v>
          </cell>
        </row>
        <row r="2671">
          <cell r="G2671" t="str">
            <v>Xã Lương Thượng</v>
          </cell>
          <cell r="I2671" t="str">
            <v>20709</v>
          </cell>
        </row>
        <row r="2672">
          <cell r="G2672" t="str">
            <v>Xã Kim Hỷ</v>
          </cell>
          <cell r="I2672" t="str">
            <v>20709</v>
          </cell>
        </row>
        <row r="2673">
          <cell r="G2673" t="str">
            <v>Xã Văn Học</v>
          </cell>
          <cell r="I2673" t="str">
            <v>20709</v>
          </cell>
        </row>
        <row r="2674">
          <cell r="G2674" t="str">
            <v>Xã Lương Hạ</v>
          </cell>
          <cell r="I2674" t="str">
            <v>20709</v>
          </cell>
        </row>
        <row r="2675">
          <cell r="G2675" t="str">
            <v>Xã Kim Lư</v>
          </cell>
          <cell r="I2675" t="str">
            <v>20709</v>
          </cell>
        </row>
        <row r="2676">
          <cell r="G2676" t="str">
            <v>Xã ân Tình</v>
          </cell>
          <cell r="I2676" t="str">
            <v>20709</v>
          </cell>
        </row>
        <row r="2677">
          <cell r="G2677" t="str">
            <v xml:space="preserve">Xã Xuân Dương </v>
          </cell>
          <cell r="I2677" t="str">
            <v>20709</v>
          </cell>
        </row>
        <row r="2678">
          <cell r="G2678" t="str">
            <v>Xã Vũ Loan</v>
          </cell>
          <cell r="I2678" t="str">
            <v>20709</v>
          </cell>
        </row>
        <row r="2679">
          <cell r="G2679" t="str">
            <v>Xã Liêm Thuỷ</v>
          </cell>
          <cell r="I2679" t="str">
            <v>20709</v>
          </cell>
        </row>
        <row r="2680">
          <cell r="G2680" t="str">
            <v>Xã Lạng San</v>
          </cell>
          <cell r="I2680" t="str">
            <v>20709</v>
          </cell>
        </row>
        <row r="2681">
          <cell r="G2681" t="str">
            <v>Xã Cường Lợi</v>
          </cell>
          <cell r="I2681" t="str">
            <v>20709</v>
          </cell>
        </row>
        <row r="2682">
          <cell r="G2682" t="str">
            <v>Thị trấn Phủ Thông</v>
          </cell>
          <cell r="I2682" t="str">
            <v>20711</v>
          </cell>
        </row>
        <row r="2683">
          <cell r="G2683" t="str">
            <v>Xã Phương Linh</v>
          </cell>
          <cell r="I2683" t="str">
            <v>20711</v>
          </cell>
        </row>
        <row r="2684">
          <cell r="G2684" t="str">
            <v>Xã Vi Hương</v>
          </cell>
          <cell r="I2684" t="str">
            <v>20711</v>
          </cell>
        </row>
        <row r="2685">
          <cell r="G2685" t="str">
            <v>Xã Vũ Muộn</v>
          </cell>
          <cell r="I2685" t="str">
            <v>20711</v>
          </cell>
        </row>
        <row r="2686">
          <cell r="G2686" t="str">
            <v>Xã Đôn Phong</v>
          </cell>
          <cell r="I2686" t="str">
            <v>20711</v>
          </cell>
        </row>
        <row r="2687">
          <cell r="G2687" t="str">
            <v>Xã Tú Trĩ</v>
          </cell>
          <cell r="I2687" t="str">
            <v>20711</v>
          </cell>
        </row>
        <row r="2688">
          <cell r="G2688" t="str">
            <v xml:space="preserve">Xã Tân Tiến       </v>
          </cell>
          <cell r="I2688" t="str">
            <v>20711</v>
          </cell>
        </row>
        <row r="2689">
          <cell r="G2689" t="str">
            <v>Xã Nguyên Phúc</v>
          </cell>
          <cell r="I2689" t="str">
            <v>20711</v>
          </cell>
        </row>
        <row r="2690">
          <cell r="G2690" t="str">
            <v>Xã Hà Vị</v>
          </cell>
          <cell r="I2690" t="str">
            <v>20711</v>
          </cell>
        </row>
        <row r="2691">
          <cell r="G2691" t="str">
            <v>Xã Cẩm Giàng</v>
          </cell>
          <cell r="I2691" t="str">
            <v>20711</v>
          </cell>
        </row>
        <row r="2692">
          <cell r="G2692" t="str">
            <v>Xã Dương Phong</v>
          </cell>
          <cell r="I2692" t="str">
            <v>20711</v>
          </cell>
        </row>
        <row r="2693">
          <cell r="G2693" t="str">
            <v>Xã Quang Thuận</v>
          </cell>
          <cell r="I2693" t="str">
            <v>20711</v>
          </cell>
        </row>
        <row r="2694">
          <cell r="G2694" t="str">
            <v>Xã Quân Bình</v>
          </cell>
          <cell r="I2694" t="str">
            <v>20711</v>
          </cell>
        </row>
        <row r="2695">
          <cell r="G2695" t="str">
            <v>Xã Sĩ Bình</v>
          </cell>
          <cell r="I2695" t="str">
            <v>20711</v>
          </cell>
        </row>
        <row r="2696">
          <cell r="G2696" t="str">
            <v>Xã Lục Bình</v>
          </cell>
          <cell r="I2696" t="str">
            <v>20711</v>
          </cell>
        </row>
        <row r="2697">
          <cell r="G2697" t="str">
            <v xml:space="preserve">Xã Cao Sơn </v>
          </cell>
          <cell r="I2697" t="str">
            <v>20711</v>
          </cell>
        </row>
        <row r="2698">
          <cell r="G2698" t="str">
            <v>Xã Mỹ Thanh</v>
          </cell>
          <cell r="I2698" t="str">
            <v>20711</v>
          </cell>
        </row>
        <row r="2699">
          <cell r="G2699" t="str">
            <v>Thị trấn Chợ Mới</v>
          </cell>
          <cell r="I2699" t="str">
            <v>20713</v>
          </cell>
        </row>
        <row r="2700">
          <cell r="G2700" t="str">
            <v xml:space="preserve">Xã Tân Sơn </v>
          </cell>
          <cell r="I2700" t="str">
            <v>20713</v>
          </cell>
        </row>
        <row r="2701">
          <cell r="G2701" t="str">
            <v>Xã Thanh Vận</v>
          </cell>
          <cell r="I2701" t="str">
            <v>20713</v>
          </cell>
        </row>
        <row r="2702">
          <cell r="G2702" t="str">
            <v>Xã Hòa Mục</v>
          </cell>
          <cell r="I2702" t="str">
            <v>20713</v>
          </cell>
        </row>
        <row r="2703">
          <cell r="G2703" t="str">
            <v>Xã Cao Kỳ</v>
          </cell>
          <cell r="I2703" t="str">
            <v>20713</v>
          </cell>
        </row>
        <row r="2704">
          <cell r="G2704" t="str">
            <v>Xã Yên Cư</v>
          </cell>
          <cell r="I2704" t="str">
            <v>20713</v>
          </cell>
        </row>
        <row r="2705">
          <cell r="G2705" t="str">
            <v>Xã Nông Thịnh</v>
          </cell>
          <cell r="I2705" t="str">
            <v>20713</v>
          </cell>
        </row>
        <row r="2706">
          <cell r="G2706" t="str">
            <v xml:space="preserve">Xã Thanh Bình   </v>
          </cell>
          <cell r="I2706" t="str">
            <v>20713</v>
          </cell>
        </row>
        <row r="2707">
          <cell r="G2707" t="str">
            <v>Xã Như Cố</v>
          </cell>
          <cell r="I2707" t="str">
            <v>20713</v>
          </cell>
        </row>
        <row r="2708">
          <cell r="G2708" t="str">
            <v>Xã Bình Văn</v>
          </cell>
          <cell r="I2708" t="str">
            <v>20713</v>
          </cell>
        </row>
        <row r="2709">
          <cell r="G2709" t="str">
            <v>Xã Quảng Chu</v>
          </cell>
          <cell r="I2709" t="str">
            <v>20713</v>
          </cell>
        </row>
        <row r="2710">
          <cell r="G2710" t="str">
            <v xml:space="preserve">Xã Thanh Mai </v>
          </cell>
          <cell r="I2710" t="str">
            <v>20713</v>
          </cell>
        </row>
        <row r="2711">
          <cell r="G2711" t="str">
            <v>Xã Mai Lạp</v>
          </cell>
          <cell r="I2711" t="str">
            <v>20713</v>
          </cell>
        </row>
        <row r="2712">
          <cell r="G2712" t="str">
            <v>Xã Nông Hạ</v>
          </cell>
          <cell r="I2712" t="str">
            <v>20713</v>
          </cell>
        </row>
        <row r="2713">
          <cell r="G2713" t="str">
            <v>Xã Yên Hân</v>
          </cell>
          <cell r="I2713" t="str">
            <v>20713</v>
          </cell>
        </row>
        <row r="2714">
          <cell r="G2714" t="str">
            <v>Xã Yên Đĩnh</v>
          </cell>
          <cell r="I2714" t="str">
            <v>20713</v>
          </cell>
        </row>
        <row r="2715">
          <cell r="G2715" t="str">
            <v xml:space="preserve">Phường Hoàng Văn Thụ  </v>
          </cell>
          <cell r="I2715" t="str">
            <v>20901</v>
          </cell>
        </row>
        <row r="2716">
          <cell r="G2716" t="str">
            <v>Phường Tam Thanh</v>
          </cell>
          <cell r="I2716" t="str">
            <v>20901</v>
          </cell>
        </row>
        <row r="2717">
          <cell r="G2717" t="str">
            <v>Phường Vĩnh Trại</v>
          </cell>
          <cell r="I2717" t="str">
            <v>20901</v>
          </cell>
        </row>
        <row r="2718">
          <cell r="G2718" t="str">
            <v>Phường Chi Lăng</v>
          </cell>
          <cell r="I2718" t="str">
            <v>20901</v>
          </cell>
        </row>
        <row r="2719">
          <cell r="G2719" t="str">
            <v xml:space="preserve">Xã Quảng Lạc </v>
          </cell>
          <cell r="I2719" t="str">
            <v>20901</v>
          </cell>
        </row>
        <row r="2720">
          <cell r="G2720" t="str">
            <v>Xã Mai Pha</v>
          </cell>
          <cell r="I2720" t="str">
            <v>20901</v>
          </cell>
        </row>
        <row r="2721">
          <cell r="G2721" t="str">
            <v>Phường Đông Kinh</v>
          </cell>
          <cell r="I2721" t="str">
            <v>20901</v>
          </cell>
        </row>
        <row r="2722">
          <cell r="G2722" t="str">
            <v>Xã Hoàng Đồng</v>
          </cell>
          <cell r="I2722" t="str">
            <v>20901</v>
          </cell>
        </row>
        <row r="2723">
          <cell r="G2723" t="str">
            <v>Thị trấn Thất Khê</v>
          </cell>
          <cell r="I2723" t="str">
            <v>20903</v>
          </cell>
        </row>
        <row r="2724">
          <cell r="G2724" t="str">
            <v xml:space="preserve">Xã Đoàn Kết </v>
          </cell>
          <cell r="I2724" t="str">
            <v>20903</v>
          </cell>
        </row>
        <row r="2725">
          <cell r="G2725" t="str">
            <v>Xã Quốc Khánh</v>
          </cell>
          <cell r="I2725" t="str">
            <v>20903</v>
          </cell>
        </row>
        <row r="2726">
          <cell r="G2726" t="str">
            <v xml:space="preserve">Xã Vĩnh Tiến </v>
          </cell>
          <cell r="I2726" t="str">
            <v>20903</v>
          </cell>
        </row>
        <row r="2727">
          <cell r="G2727" t="str">
            <v>Xã Chí Minh</v>
          </cell>
          <cell r="I2727" t="str">
            <v>20903</v>
          </cell>
        </row>
        <row r="2728">
          <cell r="G2728" t="str">
            <v xml:space="preserve">Xã Tri Phương </v>
          </cell>
          <cell r="I2728" t="str">
            <v>20903</v>
          </cell>
        </row>
        <row r="2729">
          <cell r="G2729" t="str">
            <v>Xã Đội Cấn</v>
          </cell>
          <cell r="I2729" t="str">
            <v>20903</v>
          </cell>
        </row>
        <row r="2730">
          <cell r="G2730" t="str">
            <v xml:space="preserve">Xã Tân Minh  </v>
          </cell>
          <cell r="I2730" t="str">
            <v>20903</v>
          </cell>
        </row>
        <row r="2731">
          <cell r="G2731" t="str">
            <v xml:space="preserve">Xã Kim Đồng </v>
          </cell>
          <cell r="I2731" t="str">
            <v>20903</v>
          </cell>
        </row>
        <row r="2732">
          <cell r="G2732" t="str">
            <v xml:space="preserve">Xã Trung Thành  </v>
          </cell>
          <cell r="I2732" t="str">
            <v>20903</v>
          </cell>
        </row>
        <row r="2733">
          <cell r="G2733" t="str">
            <v xml:space="preserve">Xã Đại Đồng    </v>
          </cell>
          <cell r="I2733" t="str">
            <v>20903</v>
          </cell>
        </row>
        <row r="2734">
          <cell r="G2734" t="str">
            <v>Xã Đào Viên</v>
          </cell>
          <cell r="I2734" t="str">
            <v>20903</v>
          </cell>
        </row>
        <row r="2735">
          <cell r="G2735" t="str">
            <v>Xã Kháng Chiến</v>
          </cell>
          <cell r="I2735" t="str">
            <v>20903</v>
          </cell>
        </row>
        <row r="2736">
          <cell r="G2736" t="str">
            <v>Xã Bắc ái</v>
          </cell>
          <cell r="I2736" t="str">
            <v>20903</v>
          </cell>
        </row>
        <row r="2737">
          <cell r="G2737" t="str">
            <v>Xã Hùng Việt</v>
          </cell>
          <cell r="I2737" t="str">
            <v>20903</v>
          </cell>
        </row>
        <row r="2738">
          <cell r="G2738" t="str">
            <v xml:space="preserve">Xã Tân Tiến        </v>
          </cell>
          <cell r="I2738" t="str">
            <v>20903</v>
          </cell>
        </row>
        <row r="2739">
          <cell r="G2739" t="str">
            <v>Xã Quốc Việt</v>
          </cell>
          <cell r="I2739" t="str">
            <v>20903</v>
          </cell>
        </row>
        <row r="2740">
          <cell r="G2740" t="str">
            <v>Xã Khánh Long</v>
          </cell>
          <cell r="I2740" t="str">
            <v>20903</v>
          </cell>
        </row>
        <row r="2741">
          <cell r="G2741" t="str">
            <v xml:space="preserve">Xã Cao Minh </v>
          </cell>
          <cell r="I2741" t="str">
            <v>20903</v>
          </cell>
        </row>
        <row r="2742">
          <cell r="G2742" t="str">
            <v>Xã Tân Yên</v>
          </cell>
          <cell r="I2742" t="str">
            <v>20903</v>
          </cell>
        </row>
        <row r="2743">
          <cell r="G2743" t="str">
            <v xml:space="preserve">Xã Chi Lăng </v>
          </cell>
          <cell r="I2743" t="str">
            <v>20903</v>
          </cell>
        </row>
        <row r="2744">
          <cell r="G2744" t="str">
            <v>Xã Đề Thám</v>
          </cell>
          <cell r="I2744" t="str">
            <v>20903</v>
          </cell>
        </row>
        <row r="2745">
          <cell r="G2745" t="str">
            <v xml:space="preserve">Xã Hùng Sơn </v>
          </cell>
          <cell r="I2745" t="str">
            <v>20903</v>
          </cell>
        </row>
        <row r="2746">
          <cell r="G2746" t="str">
            <v>Thị trấn Na Sầm</v>
          </cell>
          <cell r="I2746" t="str">
            <v>20905</v>
          </cell>
        </row>
        <row r="2747">
          <cell r="G2747" t="str">
            <v>Xã Bắc La</v>
          </cell>
          <cell r="I2747" t="str">
            <v>20905</v>
          </cell>
        </row>
        <row r="2748">
          <cell r="G2748" t="str">
            <v>Xã Thụy Hùng</v>
          </cell>
          <cell r="I2748" t="str">
            <v>20905</v>
          </cell>
        </row>
        <row r="2749">
          <cell r="G2749" t="str">
            <v>Xã Trùng Quán</v>
          </cell>
          <cell r="I2749" t="str">
            <v>20905</v>
          </cell>
        </row>
        <row r="2750">
          <cell r="G2750" t="str">
            <v>Xã An Hùng</v>
          </cell>
          <cell r="I2750" t="str">
            <v>20905</v>
          </cell>
        </row>
        <row r="2751">
          <cell r="G2751" t="str">
            <v xml:space="preserve">Xã Thanh Long  </v>
          </cell>
          <cell r="I2751" t="str">
            <v>20905</v>
          </cell>
        </row>
        <row r="2752">
          <cell r="G2752" t="str">
            <v>Xã Tân Lang</v>
          </cell>
          <cell r="I2752" t="str">
            <v>20905</v>
          </cell>
        </row>
        <row r="2753">
          <cell r="G2753" t="str">
            <v>Xã Hoàng Việt</v>
          </cell>
          <cell r="I2753" t="str">
            <v>20905</v>
          </cell>
        </row>
        <row r="2754">
          <cell r="G2754" t="str">
            <v>Xã Gia Miễn</v>
          </cell>
          <cell r="I2754" t="str">
            <v>20905</v>
          </cell>
        </row>
        <row r="2755">
          <cell r="G2755" t="str">
            <v>Xã Nam La</v>
          </cell>
          <cell r="I2755" t="str">
            <v>20905</v>
          </cell>
        </row>
        <row r="2756">
          <cell r="G2756" t="str">
            <v>Xã Tân Mỹ</v>
          </cell>
          <cell r="I2756" t="str">
            <v>20905</v>
          </cell>
        </row>
        <row r="2757">
          <cell r="G2757" t="str">
            <v xml:space="preserve">Xã Hoàng Văn Thụ </v>
          </cell>
          <cell r="I2757" t="str">
            <v>20905</v>
          </cell>
        </row>
        <row r="2758">
          <cell r="G2758" t="str">
            <v>Xã Nhạc Kỳ</v>
          </cell>
          <cell r="I2758" t="str">
            <v>20905</v>
          </cell>
        </row>
        <row r="2759">
          <cell r="G2759" t="str">
            <v xml:space="preserve">Xã Tân Việt    </v>
          </cell>
          <cell r="I2759" t="str">
            <v>20905</v>
          </cell>
        </row>
        <row r="2760">
          <cell r="G2760" t="str">
            <v>Xã Tân Thanh</v>
          </cell>
          <cell r="I2760" t="str">
            <v>20905</v>
          </cell>
        </row>
        <row r="2761">
          <cell r="G2761" t="str">
            <v xml:space="preserve">Xã Trùng Khánh </v>
          </cell>
          <cell r="I2761" t="str">
            <v>20905</v>
          </cell>
        </row>
        <row r="2762">
          <cell r="G2762" t="str">
            <v>Xã Tân Tác</v>
          </cell>
          <cell r="I2762" t="str">
            <v>20905</v>
          </cell>
        </row>
        <row r="2763">
          <cell r="G2763" t="str">
            <v>Xã Hội Hoan</v>
          </cell>
          <cell r="I2763" t="str">
            <v>20905</v>
          </cell>
        </row>
        <row r="2764">
          <cell r="G2764" t="str">
            <v>Xã Thành Hòa</v>
          </cell>
          <cell r="I2764" t="str">
            <v>20905</v>
          </cell>
        </row>
        <row r="2765">
          <cell r="G2765" t="str">
            <v xml:space="preserve">Xã Hồng Thái    </v>
          </cell>
          <cell r="I2765" t="str">
            <v>20905</v>
          </cell>
        </row>
        <row r="2766">
          <cell r="G2766" t="str">
            <v>Thị trấn Bình Gia</v>
          </cell>
          <cell r="I2766" t="str">
            <v>20907</v>
          </cell>
        </row>
        <row r="2767">
          <cell r="G2767" t="str">
            <v xml:space="preserve">Xã Vĩnh Yên </v>
          </cell>
          <cell r="I2767" t="str">
            <v>20907</v>
          </cell>
        </row>
        <row r="2768">
          <cell r="G2768" t="str">
            <v xml:space="preserve">Xã Hoa Thám </v>
          </cell>
          <cell r="I2768" t="str">
            <v>20907</v>
          </cell>
        </row>
        <row r="2769">
          <cell r="G2769" t="str">
            <v>Xã Quý Hòa</v>
          </cell>
          <cell r="I2769" t="str">
            <v>20907</v>
          </cell>
        </row>
        <row r="2770">
          <cell r="G2770" t="str">
            <v>Xã Yên Lỗ</v>
          </cell>
          <cell r="I2770" t="str">
            <v>20907</v>
          </cell>
        </row>
        <row r="2771">
          <cell r="G2771" t="str">
            <v>Xã Thiện Hòa</v>
          </cell>
          <cell r="I2771" t="str">
            <v>20907</v>
          </cell>
        </row>
        <row r="2772">
          <cell r="G2772" t="str">
            <v xml:space="preserve">Xã Quang Trung        </v>
          </cell>
          <cell r="I2772" t="str">
            <v>20907</v>
          </cell>
        </row>
        <row r="2773">
          <cell r="G2773" t="str">
            <v>Xã Thiện Long</v>
          </cell>
          <cell r="I2773" t="str">
            <v>20907</v>
          </cell>
        </row>
        <row r="2774">
          <cell r="G2774" t="str">
            <v xml:space="preserve">Xã Hoàng Văn Thụ  </v>
          </cell>
          <cell r="I2774" t="str">
            <v>20907</v>
          </cell>
        </row>
        <row r="2775">
          <cell r="G2775" t="str">
            <v xml:space="preserve">Xã Hòa Bình      </v>
          </cell>
          <cell r="I2775" t="str">
            <v>20907</v>
          </cell>
        </row>
        <row r="2776">
          <cell r="G2776" t="str">
            <v xml:space="preserve">Xã Tân Hòa   </v>
          </cell>
          <cell r="I2776" t="str">
            <v>20907</v>
          </cell>
        </row>
        <row r="2777">
          <cell r="G2777" t="str">
            <v xml:space="preserve">Xã Tô Hiệu </v>
          </cell>
          <cell r="I2777" t="str">
            <v>20907</v>
          </cell>
        </row>
        <row r="2778">
          <cell r="G2778" t="str">
            <v>Xã Bình La</v>
          </cell>
          <cell r="I2778" t="str">
            <v>20907</v>
          </cell>
        </row>
        <row r="2779">
          <cell r="G2779" t="str">
            <v>Xã Tân Văn</v>
          </cell>
          <cell r="I2779" t="str">
            <v>20907</v>
          </cell>
        </row>
        <row r="2780">
          <cell r="G2780" t="str">
            <v xml:space="preserve">Xã Minh Khai     </v>
          </cell>
          <cell r="I2780" t="str">
            <v>20907</v>
          </cell>
        </row>
        <row r="2781">
          <cell r="G2781" t="str">
            <v>Xã Thiện Thuật</v>
          </cell>
          <cell r="I2781" t="str">
            <v>20907</v>
          </cell>
        </row>
        <row r="2782">
          <cell r="G2782" t="str">
            <v xml:space="preserve">Xã Mông ân </v>
          </cell>
          <cell r="I2782" t="str">
            <v>20907</v>
          </cell>
        </row>
        <row r="2783">
          <cell r="G2783" t="str">
            <v xml:space="preserve">Xã Hồng Thái     </v>
          </cell>
          <cell r="I2783" t="str">
            <v>20907</v>
          </cell>
        </row>
        <row r="2784">
          <cell r="G2784" t="str">
            <v xml:space="preserve">Xã Hồng Phong     </v>
          </cell>
          <cell r="I2784" t="str">
            <v>20907</v>
          </cell>
        </row>
        <row r="2785">
          <cell r="G2785" t="str">
            <v xml:space="preserve">Xã Hưng Đạo      </v>
          </cell>
          <cell r="I2785" t="str">
            <v>20907</v>
          </cell>
        </row>
        <row r="2786">
          <cell r="G2786" t="str">
            <v>Xã Long Đống</v>
          </cell>
          <cell r="I2786" t="str">
            <v>20909</v>
          </cell>
        </row>
        <row r="2787">
          <cell r="G2787" t="str">
            <v>Xã Vạn Thủy</v>
          </cell>
          <cell r="I2787" t="str">
            <v>20909</v>
          </cell>
        </row>
        <row r="2788">
          <cell r="G2788" t="str">
            <v xml:space="preserve">Xã Quỳnh Sơn </v>
          </cell>
          <cell r="I2788" t="str">
            <v>20909</v>
          </cell>
        </row>
        <row r="2789">
          <cell r="G2789" t="str">
            <v>Xã Đồng ý</v>
          </cell>
          <cell r="I2789" t="str">
            <v>20909</v>
          </cell>
        </row>
        <row r="2790">
          <cell r="G2790" t="str">
            <v xml:space="preserve">Xã Bắc Sơn    </v>
          </cell>
          <cell r="I2790" t="str">
            <v>20909</v>
          </cell>
        </row>
        <row r="2791">
          <cell r="G2791" t="str">
            <v>Xã Hữu Vĩnh</v>
          </cell>
          <cell r="I2791" t="str">
            <v>20909</v>
          </cell>
        </row>
        <row r="2792">
          <cell r="G2792" t="str">
            <v xml:space="preserve">Xã Vũ Sơn </v>
          </cell>
          <cell r="I2792" t="str">
            <v>20909</v>
          </cell>
        </row>
        <row r="2793">
          <cell r="G2793" t="str">
            <v>Xã Chiêu Vũ</v>
          </cell>
          <cell r="I2793" t="str">
            <v>20909</v>
          </cell>
        </row>
        <row r="2794">
          <cell r="G2794" t="str">
            <v xml:space="preserve">Xã Chiến Thắng </v>
          </cell>
          <cell r="I2794" t="str">
            <v>20909</v>
          </cell>
        </row>
        <row r="2795">
          <cell r="G2795" t="str">
            <v xml:space="preserve">Xã Vũ Lăng </v>
          </cell>
          <cell r="I2795" t="str">
            <v>20909</v>
          </cell>
        </row>
        <row r="2796">
          <cell r="G2796" t="str">
            <v>Xã Trấn Yên</v>
          </cell>
          <cell r="I2796" t="str">
            <v>20909</v>
          </cell>
        </row>
        <row r="2797">
          <cell r="G2797" t="str">
            <v>Xã Nhất Hòa</v>
          </cell>
          <cell r="I2797" t="str">
            <v>20909</v>
          </cell>
        </row>
        <row r="2798">
          <cell r="G2798" t="str">
            <v xml:space="preserve">Xã Tân Thành   </v>
          </cell>
          <cell r="I2798" t="str">
            <v>20909</v>
          </cell>
        </row>
        <row r="2799">
          <cell r="G2799" t="str">
            <v>Xã Nhất Tiến</v>
          </cell>
          <cell r="I2799" t="str">
            <v>20909</v>
          </cell>
        </row>
        <row r="2800">
          <cell r="G2800" t="str">
            <v xml:space="preserve">Xã Tân Lập     </v>
          </cell>
          <cell r="I2800" t="str">
            <v>20909</v>
          </cell>
        </row>
        <row r="2801">
          <cell r="G2801" t="str">
            <v>Thị trấn Bắc Sơn</v>
          </cell>
          <cell r="I2801" t="str">
            <v>20909</v>
          </cell>
        </row>
        <row r="2802">
          <cell r="G2802" t="str">
            <v>Xã Tân Tri</v>
          </cell>
          <cell r="I2802" t="str">
            <v>20909</v>
          </cell>
        </row>
        <row r="2803">
          <cell r="G2803" t="str">
            <v>Xã Hưng Vũ</v>
          </cell>
          <cell r="I2803" t="str">
            <v>20909</v>
          </cell>
        </row>
        <row r="2804">
          <cell r="G2804" t="str">
            <v xml:space="preserve">Xã Tân Hương </v>
          </cell>
          <cell r="I2804" t="str">
            <v>20909</v>
          </cell>
        </row>
        <row r="2805">
          <cell r="G2805" t="str">
            <v xml:space="preserve">Xã Vũ Lễ </v>
          </cell>
          <cell r="I2805" t="str">
            <v>20909</v>
          </cell>
        </row>
        <row r="2806">
          <cell r="G2806" t="str">
            <v>Xã Xuân Mai</v>
          </cell>
          <cell r="I2806" t="str">
            <v>20911</v>
          </cell>
        </row>
        <row r="2807">
          <cell r="G2807" t="str">
            <v>Xã Tràng Các</v>
          </cell>
          <cell r="I2807" t="str">
            <v>20911</v>
          </cell>
        </row>
        <row r="2808">
          <cell r="G2808" t="str">
            <v>Xã Tràng Sơn</v>
          </cell>
          <cell r="I2808" t="str">
            <v>20911</v>
          </cell>
        </row>
        <row r="2809">
          <cell r="G2809" t="str">
            <v>Xã Tân Đoàn</v>
          </cell>
          <cell r="I2809" t="str">
            <v>20911</v>
          </cell>
        </row>
        <row r="2810">
          <cell r="G2810" t="str">
            <v>Xã Bình Phúc</v>
          </cell>
          <cell r="I2810" t="str">
            <v>20911</v>
          </cell>
        </row>
        <row r="2811">
          <cell r="G2811" t="str">
            <v>Xã Tri Lễ</v>
          </cell>
          <cell r="I2811" t="str">
            <v>20911</v>
          </cell>
        </row>
        <row r="2812">
          <cell r="G2812" t="str">
            <v>Xã Tràng Phái</v>
          </cell>
          <cell r="I2812" t="str">
            <v>20911</v>
          </cell>
        </row>
        <row r="2813">
          <cell r="G2813" t="str">
            <v>Xã Hữu Lễ</v>
          </cell>
          <cell r="I2813" t="str">
            <v>20911</v>
          </cell>
        </row>
        <row r="2814">
          <cell r="G2814" t="str">
            <v>Xã Đồng Giáp</v>
          </cell>
          <cell r="I2814" t="str">
            <v>20911</v>
          </cell>
        </row>
        <row r="2815">
          <cell r="G2815" t="str">
            <v>Thị trấn Văn Quan</v>
          </cell>
          <cell r="I2815" t="str">
            <v>20911</v>
          </cell>
        </row>
        <row r="2816">
          <cell r="G2816" t="str">
            <v>Xã Trấn Ninh</v>
          </cell>
          <cell r="I2816" t="str">
            <v>20911</v>
          </cell>
        </row>
        <row r="2817">
          <cell r="G2817" t="str">
            <v>Xã Việt Yên</v>
          </cell>
          <cell r="I2817" t="str">
            <v>20911</v>
          </cell>
        </row>
        <row r="2818">
          <cell r="G2818" t="str">
            <v>Xã Song Giang</v>
          </cell>
          <cell r="I2818" t="str">
            <v>20911</v>
          </cell>
        </row>
        <row r="2819">
          <cell r="G2819" t="str">
            <v>Xã Vĩnh Lại</v>
          </cell>
          <cell r="I2819" t="str">
            <v>20911</v>
          </cell>
        </row>
        <row r="2820">
          <cell r="G2820" t="str">
            <v>Xã Tú Xuyên</v>
          </cell>
          <cell r="I2820" t="str">
            <v>20911</v>
          </cell>
        </row>
        <row r="2821">
          <cell r="G2821" t="str">
            <v xml:space="preserve">Xã Đại An </v>
          </cell>
          <cell r="I2821" t="str">
            <v>20911</v>
          </cell>
        </row>
        <row r="2822">
          <cell r="G2822" t="str">
            <v>Xã Khánh Khê</v>
          </cell>
          <cell r="I2822" t="str">
            <v>20911</v>
          </cell>
        </row>
        <row r="2823">
          <cell r="G2823" t="str">
            <v>Xã Lương Năng</v>
          </cell>
          <cell r="I2823" t="str">
            <v>20911</v>
          </cell>
        </row>
        <row r="2824">
          <cell r="G2824" t="str">
            <v xml:space="preserve">Xã Yên Phúc </v>
          </cell>
          <cell r="I2824" t="str">
            <v>20911</v>
          </cell>
        </row>
        <row r="2825">
          <cell r="G2825" t="str">
            <v xml:space="preserve">Xã Hòa Bình       </v>
          </cell>
          <cell r="I2825" t="str">
            <v>20911</v>
          </cell>
        </row>
        <row r="2826">
          <cell r="G2826" t="str">
            <v>Xã Phú Mỹ</v>
          </cell>
          <cell r="I2826" t="str">
            <v>20911</v>
          </cell>
        </row>
        <row r="2827">
          <cell r="G2827" t="str">
            <v>Xã Vân Mộng</v>
          </cell>
          <cell r="I2827" t="str">
            <v>20911</v>
          </cell>
        </row>
        <row r="2828">
          <cell r="G2828" t="str">
            <v>Xã Văn An</v>
          </cell>
          <cell r="I2828" t="str">
            <v>20911</v>
          </cell>
        </row>
        <row r="2829">
          <cell r="G2829" t="str">
            <v>Xã Chu Túc</v>
          </cell>
          <cell r="I2829" t="str">
            <v>20911</v>
          </cell>
        </row>
        <row r="2830">
          <cell r="G2830" t="str">
            <v>Thị trấn Đồng Đăng</v>
          </cell>
          <cell r="I2830" t="str">
            <v>20913</v>
          </cell>
        </row>
        <row r="2831">
          <cell r="G2831" t="str">
            <v>Xã Bảo Lâm</v>
          </cell>
          <cell r="I2831" t="str">
            <v>20913</v>
          </cell>
        </row>
        <row r="2832">
          <cell r="G2832" t="str">
            <v>Xã Thanh Loà</v>
          </cell>
          <cell r="I2832" t="str">
            <v>20913</v>
          </cell>
        </row>
        <row r="2833">
          <cell r="G2833" t="str">
            <v>Xã Cao Lâu</v>
          </cell>
          <cell r="I2833" t="str">
            <v>20913</v>
          </cell>
        </row>
        <row r="2834">
          <cell r="G2834" t="str">
            <v xml:space="preserve">Xã Hồng Phong      </v>
          </cell>
          <cell r="I2834" t="str">
            <v>20913</v>
          </cell>
        </row>
        <row r="2835">
          <cell r="G2835" t="str">
            <v xml:space="preserve">Xã Thụy Hùng </v>
          </cell>
          <cell r="I2835" t="str">
            <v>20913</v>
          </cell>
        </row>
        <row r="2836">
          <cell r="G2836" t="str">
            <v>Xã Phú Xá</v>
          </cell>
          <cell r="I2836" t="str">
            <v>20913</v>
          </cell>
        </row>
        <row r="2837">
          <cell r="G2837" t="str">
            <v xml:space="preserve">Xã Bình Trung </v>
          </cell>
          <cell r="I2837" t="str">
            <v>20913</v>
          </cell>
        </row>
        <row r="2838">
          <cell r="G2838" t="str">
            <v>Xã Hải Yến</v>
          </cell>
          <cell r="I2838" t="str">
            <v>20913</v>
          </cell>
        </row>
        <row r="2839">
          <cell r="G2839" t="str">
            <v xml:space="preserve">Xã Hợp Thành  </v>
          </cell>
          <cell r="I2839" t="str">
            <v>20913</v>
          </cell>
        </row>
        <row r="2840">
          <cell r="G2840" t="str">
            <v>Xã Song Giáp</v>
          </cell>
          <cell r="I2840" t="str">
            <v>20913</v>
          </cell>
        </row>
        <row r="2841">
          <cell r="G2841" t="str">
            <v>Xã Công Sơn</v>
          </cell>
          <cell r="I2841" t="str">
            <v>20913</v>
          </cell>
        </row>
        <row r="2842">
          <cell r="G2842" t="str">
            <v>Xã Xuân Long</v>
          </cell>
          <cell r="I2842" t="str">
            <v>20913</v>
          </cell>
        </row>
        <row r="2843">
          <cell r="G2843" t="str">
            <v xml:space="preserve">Xã Tân Liên </v>
          </cell>
          <cell r="I2843" t="str">
            <v>20913</v>
          </cell>
        </row>
        <row r="2844">
          <cell r="G2844" t="str">
            <v xml:space="preserve">Xã Tân Thành    </v>
          </cell>
          <cell r="I2844" t="str">
            <v>20913</v>
          </cell>
        </row>
        <row r="2845">
          <cell r="G2845" t="str">
            <v>Xã Thạch Đạn</v>
          </cell>
          <cell r="I2845" t="str">
            <v>20913</v>
          </cell>
        </row>
        <row r="2846">
          <cell r="G2846" t="str">
            <v>Xã Mẫu Sơn</v>
          </cell>
          <cell r="I2846" t="str">
            <v>20913</v>
          </cell>
        </row>
        <row r="2847">
          <cell r="G2847" t="str">
            <v>Thị trấn Cao Lộc</v>
          </cell>
          <cell r="I2847" t="str">
            <v>20913</v>
          </cell>
        </row>
        <row r="2848">
          <cell r="G2848" t="str">
            <v>Xã Xuất Lễ</v>
          </cell>
          <cell r="I2848" t="str">
            <v>20913</v>
          </cell>
        </row>
        <row r="2849">
          <cell r="G2849" t="str">
            <v>Xã Lộc Yên</v>
          </cell>
          <cell r="I2849" t="str">
            <v>20913</v>
          </cell>
        </row>
        <row r="2850">
          <cell r="G2850" t="str">
            <v>Xã Hòa Cư</v>
          </cell>
          <cell r="I2850" t="str">
            <v>20913</v>
          </cell>
        </row>
        <row r="2851">
          <cell r="G2851" t="str">
            <v>Xã Gia Cát</v>
          </cell>
          <cell r="I2851" t="str">
            <v>20913</v>
          </cell>
        </row>
        <row r="2852">
          <cell r="G2852" t="str">
            <v>Xã Yên Trạch</v>
          </cell>
          <cell r="I2852" t="str">
            <v>20913</v>
          </cell>
        </row>
        <row r="2853">
          <cell r="G2853" t="str">
            <v xml:space="preserve">Xã Mẫu Sơn </v>
          </cell>
          <cell r="I2853" t="str">
            <v>20915</v>
          </cell>
        </row>
        <row r="2854">
          <cell r="G2854" t="str">
            <v>Xã Bằng Khánh</v>
          </cell>
          <cell r="I2854" t="str">
            <v>20915</v>
          </cell>
        </row>
        <row r="2855">
          <cell r="G2855" t="str">
            <v>Xã Xuân Lễ</v>
          </cell>
          <cell r="I2855" t="str">
            <v>20915</v>
          </cell>
        </row>
        <row r="2856">
          <cell r="G2856" t="str">
            <v>Xã Xuân Mãn</v>
          </cell>
          <cell r="I2856" t="str">
            <v>20915</v>
          </cell>
        </row>
        <row r="2857">
          <cell r="G2857" t="str">
            <v>Xã Tú Mịch</v>
          </cell>
          <cell r="I2857" t="str">
            <v>20915</v>
          </cell>
        </row>
        <row r="2858">
          <cell r="G2858" t="str">
            <v>Xã Hữu Khánh</v>
          </cell>
          <cell r="I2858" t="str">
            <v>20915</v>
          </cell>
        </row>
        <row r="2859">
          <cell r="G2859" t="str">
            <v xml:space="preserve">Xã Vân Mộng </v>
          </cell>
          <cell r="I2859" t="str">
            <v>20915</v>
          </cell>
        </row>
        <row r="2860">
          <cell r="G2860" t="str">
            <v>Xã Tam Gia</v>
          </cell>
          <cell r="I2860" t="str">
            <v>20915</v>
          </cell>
        </row>
        <row r="2861">
          <cell r="G2861" t="str">
            <v>Xã Tú Đoạn</v>
          </cell>
          <cell r="I2861" t="str">
            <v>20915</v>
          </cell>
        </row>
        <row r="2862">
          <cell r="G2862" t="str">
            <v>Xã Lục Thôn</v>
          </cell>
          <cell r="I2862" t="str">
            <v>20915</v>
          </cell>
        </row>
        <row r="2863">
          <cell r="G2863" t="str">
            <v>Xã Tĩnh Bắc</v>
          </cell>
          <cell r="I2863" t="str">
            <v>20915</v>
          </cell>
        </row>
        <row r="2864">
          <cell r="G2864" t="str">
            <v>Xã Hiệp Hạ</v>
          </cell>
          <cell r="I2864" t="str">
            <v>20915</v>
          </cell>
        </row>
        <row r="2865">
          <cell r="G2865" t="str">
            <v>Xã Nhượng Bạn</v>
          </cell>
          <cell r="I2865" t="str">
            <v>20915</v>
          </cell>
        </row>
        <row r="2866">
          <cell r="G2866" t="str">
            <v>Xã Quan Bản</v>
          </cell>
          <cell r="I2866" t="str">
            <v>20915</v>
          </cell>
        </row>
        <row r="2867">
          <cell r="G2867" t="str">
            <v>Xã Đông Quan</v>
          </cell>
          <cell r="I2867" t="str">
            <v>20915</v>
          </cell>
        </row>
        <row r="2868">
          <cell r="G2868" t="str">
            <v>Xã Minh Phát</v>
          </cell>
          <cell r="I2868" t="str">
            <v>20915</v>
          </cell>
        </row>
        <row r="2869">
          <cell r="G2869" t="str">
            <v>Xã Hữu Lân</v>
          </cell>
          <cell r="I2869" t="str">
            <v>20915</v>
          </cell>
        </row>
        <row r="2870">
          <cell r="G2870" t="str">
            <v xml:space="preserve">Xã Xuân Dương  </v>
          </cell>
          <cell r="I2870" t="str">
            <v>20915</v>
          </cell>
        </row>
        <row r="2871">
          <cell r="G2871" t="str">
            <v>Xã ái Quốc</v>
          </cell>
          <cell r="I2871" t="str">
            <v>20915</v>
          </cell>
        </row>
        <row r="2872">
          <cell r="G2872" t="str">
            <v>Thị trấn Na Dương</v>
          </cell>
          <cell r="I2872" t="str">
            <v>20915</v>
          </cell>
        </row>
        <row r="2873">
          <cell r="G2873" t="str">
            <v>Xã Như Khuê</v>
          </cell>
          <cell r="I2873" t="str">
            <v>20915</v>
          </cell>
        </row>
        <row r="2874">
          <cell r="G2874" t="str">
            <v>Xã Nam Quan</v>
          </cell>
          <cell r="I2874" t="str">
            <v>20915</v>
          </cell>
        </row>
        <row r="2875">
          <cell r="G2875" t="str">
            <v>Thị trấn Lộc Bình</v>
          </cell>
          <cell r="I2875" t="str">
            <v>20915</v>
          </cell>
        </row>
        <row r="2876">
          <cell r="G2876" t="str">
            <v>Xã Yên Khoái</v>
          </cell>
          <cell r="I2876" t="str">
            <v>20915</v>
          </cell>
        </row>
        <row r="2877">
          <cell r="G2877" t="str">
            <v>Xã Đồng Bục</v>
          </cell>
          <cell r="I2877" t="str">
            <v>20915</v>
          </cell>
        </row>
        <row r="2878">
          <cell r="G2878" t="str">
            <v>Xã Khuất Xá</v>
          </cell>
          <cell r="I2878" t="str">
            <v>20915</v>
          </cell>
        </row>
        <row r="2879">
          <cell r="G2879" t="str">
            <v>Xã Xuân Tình</v>
          </cell>
          <cell r="I2879" t="str">
            <v>20915</v>
          </cell>
        </row>
        <row r="2880">
          <cell r="G2880" t="str">
            <v>Xã Sàn Viên</v>
          </cell>
          <cell r="I2880" t="str">
            <v>20915</v>
          </cell>
        </row>
        <row r="2881">
          <cell r="G2881" t="str">
            <v>Xã Lợi Bác</v>
          </cell>
          <cell r="I2881" t="str">
            <v>20915</v>
          </cell>
        </row>
        <row r="2882">
          <cell r="G2882" t="str">
            <v>Thị trấn Đồng Mỏ</v>
          </cell>
          <cell r="I2882" t="str">
            <v>20917</v>
          </cell>
        </row>
        <row r="2883">
          <cell r="G2883" t="str">
            <v xml:space="preserve">Xã Vân An </v>
          </cell>
          <cell r="I2883" t="str">
            <v>20917</v>
          </cell>
        </row>
        <row r="2884">
          <cell r="G2884" t="str">
            <v>Xã Vân Thủy</v>
          </cell>
          <cell r="I2884" t="str">
            <v>20917</v>
          </cell>
        </row>
        <row r="2885">
          <cell r="G2885" t="str">
            <v>Xã Gia Lộc</v>
          </cell>
          <cell r="I2885" t="str">
            <v>20917</v>
          </cell>
        </row>
        <row r="2886">
          <cell r="G2886" t="str">
            <v>Xã Bắc Thủy</v>
          </cell>
          <cell r="I2886" t="str">
            <v>20917</v>
          </cell>
        </row>
        <row r="2887">
          <cell r="G2887" t="str">
            <v>Xã Mai Sao</v>
          </cell>
          <cell r="I2887" t="str">
            <v>20917</v>
          </cell>
        </row>
        <row r="2888">
          <cell r="G2888" t="str">
            <v>Xã Bằng Hữu</v>
          </cell>
          <cell r="I2888" t="str">
            <v>20917</v>
          </cell>
        </row>
        <row r="2889">
          <cell r="G2889" t="str">
            <v>Xã Thượng Cường</v>
          </cell>
          <cell r="I2889" t="str">
            <v>20917</v>
          </cell>
        </row>
        <row r="2890">
          <cell r="G2890" t="str">
            <v>Xã Lâm Sơn</v>
          </cell>
          <cell r="I2890" t="str">
            <v>20917</v>
          </cell>
        </row>
        <row r="2891">
          <cell r="G2891" t="str">
            <v xml:space="preserve">Xã Liên Sơn  </v>
          </cell>
          <cell r="I2891" t="str">
            <v>20917</v>
          </cell>
        </row>
        <row r="2892">
          <cell r="G2892" t="str">
            <v xml:space="preserve">Xã Hòa Bình        </v>
          </cell>
          <cell r="I2892" t="str">
            <v>20917</v>
          </cell>
        </row>
        <row r="2893">
          <cell r="G2893" t="str">
            <v>Xã Quang Lang</v>
          </cell>
          <cell r="I2893" t="str">
            <v>20917</v>
          </cell>
        </row>
        <row r="2894">
          <cell r="G2894" t="str">
            <v>Xã Hữu Kiên</v>
          </cell>
          <cell r="I2894" t="str">
            <v>20917</v>
          </cell>
        </row>
        <row r="2895">
          <cell r="G2895" t="str">
            <v>Xã Y Tịch</v>
          </cell>
          <cell r="I2895" t="str">
            <v>20917</v>
          </cell>
        </row>
        <row r="2896">
          <cell r="G2896" t="str">
            <v xml:space="preserve">Xã Chi Lăng  </v>
          </cell>
          <cell r="I2896" t="str">
            <v>20917</v>
          </cell>
        </row>
        <row r="2897">
          <cell r="G2897" t="str">
            <v>Xã Nhân Lý</v>
          </cell>
          <cell r="I2897" t="str">
            <v>20917</v>
          </cell>
        </row>
        <row r="2898">
          <cell r="G2898" t="str">
            <v>Thị trấn Chi Lăng</v>
          </cell>
          <cell r="I2898" t="str">
            <v>20917</v>
          </cell>
        </row>
        <row r="2899">
          <cell r="G2899" t="str">
            <v xml:space="preserve">Xã Chiến Thắng  </v>
          </cell>
          <cell r="I2899" t="str">
            <v>20917</v>
          </cell>
        </row>
        <row r="2900">
          <cell r="G2900" t="str">
            <v>Xã Bằng Mạc</v>
          </cell>
          <cell r="I2900" t="str">
            <v>20917</v>
          </cell>
        </row>
        <row r="2901">
          <cell r="G2901" t="str">
            <v>Xã Vạn Linh</v>
          </cell>
          <cell r="I2901" t="str">
            <v>20917</v>
          </cell>
        </row>
        <row r="2902">
          <cell r="G2902" t="str">
            <v>Xã Quan Sơn</v>
          </cell>
          <cell r="I2902" t="str">
            <v>20917</v>
          </cell>
        </row>
        <row r="2903">
          <cell r="G2903" t="str">
            <v>Xã Lâm Ca</v>
          </cell>
          <cell r="I2903" t="str">
            <v>20919</v>
          </cell>
        </row>
        <row r="2904">
          <cell r="G2904" t="str">
            <v>Xã Đồng Thắng</v>
          </cell>
          <cell r="I2904" t="str">
            <v>20919</v>
          </cell>
        </row>
        <row r="2905">
          <cell r="G2905" t="str">
            <v>Xã Bắc Lãng</v>
          </cell>
          <cell r="I2905" t="str">
            <v>20919</v>
          </cell>
        </row>
        <row r="2906">
          <cell r="G2906" t="str">
            <v xml:space="preserve">Xã Châu Sơn  </v>
          </cell>
          <cell r="I2906" t="str">
            <v>20919</v>
          </cell>
        </row>
        <row r="2907">
          <cell r="G2907" t="str">
            <v>Thị trấn N T Thái Bình</v>
          </cell>
          <cell r="I2907" t="str">
            <v>20919</v>
          </cell>
        </row>
        <row r="2908">
          <cell r="G2908" t="str">
            <v>Xã Bắc Xa</v>
          </cell>
          <cell r="I2908" t="str">
            <v>20919</v>
          </cell>
        </row>
        <row r="2909">
          <cell r="G2909" t="str">
            <v>Xã Bính Xá</v>
          </cell>
          <cell r="I2909" t="str">
            <v>20919</v>
          </cell>
        </row>
        <row r="2910">
          <cell r="G2910" t="str">
            <v>Xã Đình Lập</v>
          </cell>
          <cell r="I2910" t="str">
            <v>20919</v>
          </cell>
        </row>
        <row r="2911">
          <cell r="G2911" t="str">
            <v>Xã Thái Bình</v>
          </cell>
          <cell r="I2911" t="str">
            <v>20919</v>
          </cell>
        </row>
        <row r="2912">
          <cell r="G2912" t="str">
            <v>Thị trấn Đình Lập</v>
          </cell>
          <cell r="I2912" t="str">
            <v>20919</v>
          </cell>
        </row>
        <row r="2913">
          <cell r="G2913" t="str">
            <v>Xã Kiên Mộc</v>
          </cell>
          <cell r="I2913" t="str">
            <v>20919</v>
          </cell>
        </row>
        <row r="2914">
          <cell r="G2914" t="str">
            <v xml:space="preserve">Xã Cường Lợi </v>
          </cell>
          <cell r="I2914" t="str">
            <v>20919</v>
          </cell>
        </row>
        <row r="2915">
          <cell r="G2915" t="str">
            <v xml:space="preserve">Xã Yên Bình    </v>
          </cell>
          <cell r="I2915" t="str">
            <v>20921</v>
          </cell>
        </row>
        <row r="2916">
          <cell r="G2916" t="str">
            <v xml:space="preserve">Xã Quyết Thắng  </v>
          </cell>
          <cell r="I2916" t="str">
            <v>20921</v>
          </cell>
        </row>
        <row r="2917">
          <cell r="G2917" t="str">
            <v xml:space="preserve">Xã Yên Thịnh </v>
          </cell>
          <cell r="I2917" t="str">
            <v>20921</v>
          </cell>
        </row>
        <row r="2918">
          <cell r="G2918" t="str">
            <v xml:space="preserve">Xã Yên Sơn    </v>
          </cell>
          <cell r="I2918" t="str">
            <v>20921</v>
          </cell>
        </row>
        <row r="2919">
          <cell r="G2919" t="str">
            <v>Xã Thiện Kỵ</v>
          </cell>
          <cell r="I2919" t="str">
            <v>20921</v>
          </cell>
        </row>
        <row r="2920">
          <cell r="G2920" t="str">
            <v>Xã Yên Vượng</v>
          </cell>
          <cell r="I2920" t="str">
            <v>20921</v>
          </cell>
        </row>
        <row r="2921">
          <cell r="G2921" t="str">
            <v xml:space="preserve">Xã Minh Tiến </v>
          </cell>
          <cell r="I2921" t="str">
            <v>20921</v>
          </cell>
        </row>
        <row r="2922">
          <cell r="G2922" t="str">
            <v>Xã Nhật Tiến</v>
          </cell>
          <cell r="I2922" t="str">
            <v>20921</v>
          </cell>
        </row>
        <row r="2923">
          <cell r="G2923" t="str">
            <v>Xã Cai Kinh</v>
          </cell>
          <cell r="I2923" t="str">
            <v>20921</v>
          </cell>
        </row>
        <row r="2924">
          <cell r="G2924" t="str">
            <v>Xã Hòa Lạc</v>
          </cell>
          <cell r="I2924" t="str">
            <v>20921</v>
          </cell>
        </row>
        <row r="2925">
          <cell r="G2925" t="str">
            <v xml:space="preserve">Xã Đồng Tiến    </v>
          </cell>
          <cell r="I2925" t="str">
            <v>20921</v>
          </cell>
        </row>
        <row r="2926">
          <cell r="G2926" t="str">
            <v xml:space="preserve">Xã Đô Lương </v>
          </cell>
          <cell r="I2926" t="str">
            <v>20921</v>
          </cell>
        </row>
        <row r="2927">
          <cell r="G2927" t="str">
            <v xml:space="preserve">Xã Tân Thành     </v>
          </cell>
          <cell r="I2927" t="str">
            <v>20921</v>
          </cell>
        </row>
        <row r="2928">
          <cell r="G2928" t="str">
            <v xml:space="preserve">Xã Minh Sơn </v>
          </cell>
          <cell r="I2928" t="str">
            <v>20921</v>
          </cell>
        </row>
        <row r="2929">
          <cell r="G2929" t="str">
            <v>Xã Hồ Sơn</v>
          </cell>
          <cell r="I2929" t="str">
            <v>20921</v>
          </cell>
        </row>
        <row r="2930">
          <cell r="G2930" t="str">
            <v xml:space="preserve">Xã Minh Hòa  </v>
          </cell>
          <cell r="I2930" t="str">
            <v>20921</v>
          </cell>
        </row>
        <row r="2931">
          <cell r="G2931" t="str">
            <v>Xã Hữu Liên</v>
          </cell>
          <cell r="I2931" t="str">
            <v>20921</v>
          </cell>
        </row>
        <row r="2932">
          <cell r="G2932" t="str">
            <v xml:space="preserve">Xã Đồng Tân </v>
          </cell>
          <cell r="I2932" t="str">
            <v>20921</v>
          </cell>
        </row>
        <row r="2933">
          <cell r="G2933" t="str">
            <v>Xã Hòa Thắng</v>
          </cell>
          <cell r="I2933" t="str">
            <v>20921</v>
          </cell>
        </row>
        <row r="2934">
          <cell r="G2934" t="str">
            <v>Thị trấn Hữu Lũng</v>
          </cell>
          <cell r="I2934" t="str">
            <v>20921</v>
          </cell>
        </row>
        <row r="2935">
          <cell r="G2935" t="str">
            <v xml:space="preserve">Xã Hòa Bình         </v>
          </cell>
          <cell r="I2935" t="str">
            <v>20921</v>
          </cell>
        </row>
        <row r="2936">
          <cell r="G2936" t="str">
            <v xml:space="preserve">Xã Tân Lập      </v>
          </cell>
          <cell r="I2936" t="str">
            <v>20921</v>
          </cell>
        </row>
        <row r="2937">
          <cell r="G2937" t="str">
            <v xml:space="preserve">Xã Thanh Sơn   </v>
          </cell>
          <cell r="I2937" t="str">
            <v>20921</v>
          </cell>
        </row>
        <row r="2938">
          <cell r="G2938" t="str">
            <v>Xã Vân Nham</v>
          </cell>
          <cell r="I2938" t="str">
            <v>20921</v>
          </cell>
        </row>
        <row r="2939">
          <cell r="G2939" t="str">
            <v>Xã Hòa Sơn</v>
          </cell>
          <cell r="I2939" t="str">
            <v>20921</v>
          </cell>
        </row>
        <row r="2940">
          <cell r="G2940" t="str">
            <v xml:space="preserve">Xã Sơn Hà   </v>
          </cell>
          <cell r="I2940" t="str">
            <v>20921</v>
          </cell>
        </row>
        <row r="2941">
          <cell r="G2941" t="str">
            <v>Phường Phan Thiết</v>
          </cell>
          <cell r="I2941" t="str">
            <v>21101</v>
          </cell>
        </row>
        <row r="2942">
          <cell r="G2942" t="str">
            <v>Xã Tràng Đà</v>
          </cell>
          <cell r="I2942" t="str">
            <v>21101</v>
          </cell>
        </row>
        <row r="2943">
          <cell r="G2943" t="str">
            <v>Phường Nông Tiến</v>
          </cell>
          <cell r="I2943" t="str">
            <v>21101</v>
          </cell>
        </row>
        <row r="2944">
          <cell r="G2944" t="str">
            <v>Phường ỷ La</v>
          </cell>
          <cell r="I2944" t="str">
            <v>21101</v>
          </cell>
        </row>
        <row r="2945">
          <cell r="G2945" t="str">
            <v>Phường Minh Xuân</v>
          </cell>
          <cell r="I2945" t="str">
            <v>21101</v>
          </cell>
        </row>
        <row r="2946">
          <cell r="G2946" t="str">
            <v>Phường Tân Quang</v>
          </cell>
          <cell r="I2946" t="str">
            <v>21101</v>
          </cell>
        </row>
        <row r="2947">
          <cell r="G2947" t="str">
            <v>Phường Hưng Thành</v>
          </cell>
          <cell r="I2947" t="str">
            <v>21101</v>
          </cell>
        </row>
        <row r="2948">
          <cell r="G2948" t="str">
            <v>Phường Tân Hà</v>
          </cell>
          <cell r="I2948" t="str">
            <v>21101</v>
          </cell>
        </row>
        <row r="2949">
          <cell r="G2949" t="str">
            <v>Xã An Khang</v>
          </cell>
          <cell r="I2949" t="str">
            <v>21101</v>
          </cell>
        </row>
        <row r="2950">
          <cell r="G2950" t="str">
            <v>Xã An Tường</v>
          </cell>
          <cell r="I2950" t="str">
            <v>21101</v>
          </cell>
        </row>
        <row r="2951">
          <cell r="G2951" t="str">
            <v>Xã Lưỡng Vượng</v>
          </cell>
          <cell r="I2951" t="str">
            <v>21101</v>
          </cell>
        </row>
        <row r="2952">
          <cell r="G2952" t="str">
            <v>Xã Thái Long</v>
          </cell>
          <cell r="I2952" t="str">
            <v>21101</v>
          </cell>
        </row>
        <row r="2953">
          <cell r="G2953" t="str">
            <v xml:space="preserve">Xã Đội Cấn </v>
          </cell>
          <cell r="I2953" t="str">
            <v>21101</v>
          </cell>
        </row>
        <row r="2954">
          <cell r="G2954" t="str">
            <v>Thị trấn Na Hang</v>
          </cell>
          <cell r="I2954" t="str">
            <v>21103</v>
          </cell>
        </row>
        <row r="2955">
          <cell r="G2955" t="str">
            <v>Xã Thúy Loa</v>
          </cell>
          <cell r="I2955" t="str">
            <v>21103</v>
          </cell>
        </row>
        <row r="2956">
          <cell r="G2956" t="str">
            <v>Xã Sinh Long</v>
          </cell>
          <cell r="I2956" t="str">
            <v>21103</v>
          </cell>
        </row>
        <row r="2957">
          <cell r="G2957" t="str">
            <v xml:space="preserve">Xã Xuân Tân </v>
          </cell>
          <cell r="I2957" t="str">
            <v>21103</v>
          </cell>
        </row>
        <row r="2958">
          <cell r="G2958" t="str">
            <v>Xã Thượng Nông</v>
          </cell>
          <cell r="I2958" t="str">
            <v>21103</v>
          </cell>
        </row>
        <row r="2959">
          <cell r="G2959" t="str">
            <v>Xã Yên Hoa</v>
          </cell>
          <cell r="I2959" t="str">
            <v>21103</v>
          </cell>
        </row>
        <row r="2960">
          <cell r="G2960" t="str">
            <v xml:space="preserve">Xã Xuân Tiến </v>
          </cell>
          <cell r="I2960" t="str">
            <v>21103</v>
          </cell>
        </row>
        <row r="2961">
          <cell r="G2961" t="str">
            <v>Xã Đà Vị</v>
          </cell>
          <cell r="I2961" t="str">
            <v>21103</v>
          </cell>
        </row>
        <row r="2962">
          <cell r="G2962" t="str">
            <v>Xã Khau Tinh</v>
          </cell>
          <cell r="I2962" t="str">
            <v>21103</v>
          </cell>
        </row>
        <row r="2963">
          <cell r="G2963" t="str">
            <v xml:space="preserve">Xã Trùng Khánh  </v>
          </cell>
          <cell r="I2963" t="str">
            <v>21103</v>
          </cell>
        </row>
        <row r="2964">
          <cell r="G2964" t="str">
            <v>Xã Sơn Phú</v>
          </cell>
          <cell r="I2964" t="str">
            <v>21103</v>
          </cell>
        </row>
        <row r="2965">
          <cell r="G2965" t="str">
            <v>Xã Thanh Tương</v>
          </cell>
          <cell r="I2965" t="str">
            <v>21103</v>
          </cell>
        </row>
        <row r="2966">
          <cell r="G2966" t="str">
            <v>Xã Năng Khả</v>
          </cell>
          <cell r="I2966" t="str">
            <v>21103</v>
          </cell>
        </row>
        <row r="2967">
          <cell r="G2967" t="str">
            <v>Xã Thượng Giáp</v>
          </cell>
          <cell r="I2967" t="str">
            <v>21103</v>
          </cell>
        </row>
        <row r="2968">
          <cell r="G2968" t="str">
            <v>Xã Côn Lôn</v>
          </cell>
          <cell r="I2968" t="str">
            <v>21103</v>
          </cell>
        </row>
        <row r="2969">
          <cell r="G2969" t="str">
            <v xml:space="preserve">Xã Hồng Thái      </v>
          </cell>
          <cell r="I2969" t="str">
            <v>21103</v>
          </cell>
        </row>
        <row r="2970">
          <cell r="G2970" t="str">
            <v xml:space="preserve">Xã Vĩnh Yên  </v>
          </cell>
          <cell r="I2970" t="str">
            <v>21103</v>
          </cell>
        </row>
        <row r="2971">
          <cell r="G2971" t="str">
            <v>Thị trấn Vĩnh Lộc</v>
          </cell>
          <cell r="I2971" t="str">
            <v>21105</v>
          </cell>
        </row>
        <row r="2972">
          <cell r="G2972" t="str">
            <v>Xã Phúc Sơn</v>
          </cell>
          <cell r="I2972" t="str">
            <v>21105</v>
          </cell>
        </row>
        <row r="2973">
          <cell r="G2973" t="str">
            <v xml:space="preserve">Xã Trung Hà </v>
          </cell>
          <cell r="I2973" t="str">
            <v>21105</v>
          </cell>
        </row>
        <row r="2974">
          <cell r="G2974" t="str">
            <v xml:space="preserve">Xã Tân Mỹ </v>
          </cell>
          <cell r="I2974" t="str">
            <v>21105</v>
          </cell>
        </row>
        <row r="2975">
          <cell r="G2975" t="str">
            <v>Xã Yên Lập</v>
          </cell>
          <cell r="I2975" t="str">
            <v>21105</v>
          </cell>
        </row>
        <row r="2976">
          <cell r="G2976" t="str">
            <v xml:space="preserve">Xã Tân An  </v>
          </cell>
          <cell r="I2976" t="str">
            <v>21105</v>
          </cell>
        </row>
        <row r="2977">
          <cell r="G2977" t="str">
            <v xml:space="preserve">Xã Bình Phú </v>
          </cell>
          <cell r="I2977" t="str">
            <v>21105</v>
          </cell>
        </row>
        <row r="2978">
          <cell r="G2978" t="str">
            <v>Xã Ngọc Hội</v>
          </cell>
          <cell r="I2978" t="str">
            <v>21105</v>
          </cell>
        </row>
        <row r="2979">
          <cell r="G2979" t="str">
            <v>Xã Phú Bình</v>
          </cell>
          <cell r="I2979" t="str">
            <v>21105</v>
          </cell>
        </row>
        <row r="2980">
          <cell r="G2980" t="str">
            <v xml:space="preserve">Xã Hòa Phú </v>
          </cell>
          <cell r="I2980" t="str">
            <v>21105</v>
          </cell>
        </row>
        <row r="2981">
          <cell r="G2981" t="str">
            <v>Xã Kiên Đài</v>
          </cell>
          <cell r="I2981" t="str">
            <v>21105</v>
          </cell>
        </row>
        <row r="2982">
          <cell r="G2982" t="str">
            <v xml:space="preserve">Xã Tân Thịnh </v>
          </cell>
          <cell r="I2982" t="str">
            <v>21105</v>
          </cell>
        </row>
        <row r="2983">
          <cell r="G2983" t="str">
            <v>Xã Hòa An</v>
          </cell>
          <cell r="I2983" t="str">
            <v>21105</v>
          </cell>
        </row>
        <row r="2984">
          <cell r="G2984" t="str">
            <v xml:space="preserve">Xã Vinh Quang  </v>
          </cell>
          <cell r="I2984" t="str">
            <v>21105</v>
          </cell>
        </row>
        <row r="2985">
          <cell r="G2985" t="str">
            <v>Xã Tri Phú</v>
          </cell>
          <cell r="I2985" t="str">
            <v>21105</v>
          </cell>
        </row>
        <row r="2986">
          <cell r="G2986" t="str">
            <v>Xã Yên Nguyên</v>
          </cell>
          <cell r="I2986" t="str">
            <v>21105</v>
          </cell>
        </row>
        <row r="2987">
          <cell r="G2987" t="str">
            <v>Xã Linh Phú</v>
          </cell>
          <cell r="I2987" t="str">
            <v>21105</v>
          </cell>
        </row>
        <row r="2988">
          <cell r="G2988" t="str">
            <v>Xã Bình Nhân</v>
          </cell>
          <cell r="I2988" t="str">
            <v>21105</v>
          </cell>
        </row>
        <row r="2989">
          <cell r="G2989" t="str">
            <v>Xã Hà Lang</v>
          </cell>
          <cell r="I2989" t="str">
            <v>21105</v>
          </cell>
        </row>
        <row r="2990">
          <cell r="G2990" t="str">
            <v xml:space="preserve">Xã Trung Hòa   </v>
          </cell>
          <cell r="I2990" t="str">
            <v>21105</v>
          </cell>
        </row>
        <row r="2991">
          <cell r="G2991" t="str">
            <v xml:space="preserve">Xã Minh Quang  </v>
          </cell>
          <cell r="I2991" t="str">
            <v>21105</v>
          </cell>
        </row>
        <row r="2992">
          <cell r="G2992" t="str">
            <v>Xã Hùng Mỹ</v>
          </cell>
          <cell r="I2992" t="str">
            <v>21105</v>
          </cell>
        </row>
        <row r="2993">
          <cell r="G2993" t="str">
            <v xml:space="preserve">Xã Xuân Quang </v>
          </cell>
          <cell r="I2993" t="str">
            <v>21105</v>
          </cell>
        </row>
        <row r="2994">
          <cell r="G2994" t="str">
            <v>Xã Phúc Thịnh</v>
          </cell>
          <cell r="I2994" t="str">
            <v>21105</v>
          </cell>
        </row>
        <row r="2995">
          <cell r="G2995" t="str">
            <v xml:space="preserve">Xã Kim Bình </v>
          </cell>
          <cell r="I2995" t="str">
            <v>21105</v>
          </cell>
        </row>
        <row r="2996">
          <cell r="G2996" t="str">
            <v xml:space="preserve">Xã Nhân Lý </v>
          </cell>
          <cell r="I2996" t="str">
            <v>21105</v>
          </cell>
        </row>
        <row r="2997">
          <cell r="G2997" t="str">
            <v>Xã Yên Thuận</v>
          </cell>
          <cell r="I2997" t="str">
            <v>21107</v>
          </cell>
        </row>
        <row r="2998">
          <cell r="G2998" t="str">
            <v>Xã Bạch Xa</v>
          </cell>
          <cell r="I2998" t="str">
            <v>21107</v>
          </cell>
        </row>
        <row r="2999">
          <cell r="G2999" t="str">
            <v>Xã Minh Dân</v>
          </cell>
          <cell r="I2999" t="str">
            <v>21107</v>
          </cell>
        </row>
        <row r="3000">
          <cell r="G3000" t="str">
            <v xml:space="preserve">Xã Phù Lưu </v>
          </cell>
          <cell r="I3000" t="str">
            <v>21107</v>
          </cell>
        </row>
        <row r="3001">
          <cell r="G3001" t="str">
            <v>Xã Minh Hương</v>
          </cell>
          <cell r="I3001" t="str">
            <v>21107</v>
          </cell>
        </row>
        <row r="3002">
          <cell r="G3002" t="str">
            <v xml:space="preserve">Xã Tân Thành      </v>
          </cell>
          <cell r="I3002" t="str">
            <v>21107</v>
          </cell>
        </row>
        <row r="3003">
          <cell r="G3003" t="str">
            <v>Xã Bình Xa</v>
          </cell>
          <cell r="I3003" t="str">
            <v>21107</v>
          </cell>
        </row>
        <row r="3004">
          <cell r="G3004" t="str">
            <v xml:space="preserve">Xã Thái Sơn    </v>
          </cell>
          <cell r="I3004" t="str">
            <v>21107</v>
          </cell>
        </row>
        <row r="3005">
          <cell r="G3005" t="str">
            <v>Xã Thành Long</v>
          </cell>
          <cell r="I3005" t="str">
            <v>21107</v>
          </cell>
        </row>
        <row r="3006">
          <cell r="G3006" t="str">
            <v>Xã Bằng Cốc</v>
          </cell>
          <cell r="I3006" t="str">
            <v>21107</v>
          </cell>
        </row>
        <row r="3007">
          <cell r="G3007" t="str">
            <v>Xã Hùng Đức</v>
          </cell>
          <cell r="I3007" t="str">
            <v>21107</v>
          </cell>
        </row>
        <row r="3008">
          <cell r="G3008" t="str">
            <v>Xã Minh Khương</v>
          </cell>
          <cell r="I3008" t="str">
            <v>21107</v>
          </cell>
        </row>
        <row r="3009">
          <cell r="G3009" t="str">
            <v xml:space="preserve">Xã Thái Hòa   </v>
          </cell>
          <cell r="I3009" t="str">
            <v>21107</v>
          </cell>
        </row>
        <row r="3010">
          <cell r="G3010" t="str">
            <v>Thị trấn Tân Yên</v>
          </cell>
          <cell r="I3010" t="str">
            <v>21107</v>
          </cell>
        </row>
        <row r="3011">
          <cell r="G3011" t="str">
            <v xml:space="preserve">Xã Yên Lâm </v>
          </cell>
          <cell r="I3011" t="str">
            <v>21107</v>
          </cell>
        </row>
        <row r="3012">
          <cell r="G3012" t="str">
            <v xml:space="preserve">Xã Yên Phú   </v>
          </cell>
          <cell r="I3012" t="str">
            <v>21107</v>
          </cell>
        </row>
        <row r="3013">
          <cell r="G3013" t="str">
            <v>Xã Nhân Mục</v>
          </cell>
          <cell r="I3013" t="str">
            <v>21107</v>
          </cell>
        </row>
        <row r="3014">
          <cell r="G3014" t="str">
            <v>Xã Đức Ninh</v>
          </cell>
          <cell r="I3014" t="str">
            <v>21107</v>
          </cell>
        </row>
        <row r="3015">
          <cell r="G3015" t="str">
            <v xml:space="preserve">Xã Phú Thịnh </v>
          </cell>
          <cell r="I3015" t="str">
            <v>21109</v>
          </cell>
        </row>
        <row r="3016">
          <cell r="G3016" t="str">
            <v>Xã Công Đa</v>
          </cell>
          <cell r="I3016" t="str">
            <v>21109</v>
          </cell>
        </row>
        <row r="3017">
          <cell r="G3017" t="str">
            <v>Xã Trung Môn</v>
          </cell>
          <cell r="I3017" t="str">
            <v>21109</v>
          </cell>
        </row>
        <row r="3018">
          <cell r="G3018" t="str">
            <v>Xã Chân Sơn</v>
          </cell>
          <cell r="I3018" t="str">
            <v>21109</v>
          </cell>
        </row>
        <row r="3019">
          <cell r="G3019" t="str">
            <v>Xã Kim Phú</v>
          </cell>
          <cell r="I3019" t="str">
            <v>21109</v>
          </cell>
        </row>
        <row r="3020">
          <cell r="G3020" t="str">
            <v>Xã Tiến Bộ</v>
          </cell>
          <cell r="I3020" t="str">
            <v>21109</v>
          </cell>
        </row>
        <row r="3021">
          <cell r="G3021" t="str">
            <v>Xã Phú Lâm</v>
          </cell>
          <cell r="I3021" t="str">
            <v>21109</v>
          </cell>
        </row>
        <row r="3022">
          <cell r="G3022" t="str">
            <v xml:space="preserve">Xã Đội Bình </v>
          </cell>
          <cell r="I3022" t="str">
            <v>21109</v>
          </cell>
        </row>
        <row r="3023">
          <cell r="G3023" t="str">
            <v>Xã Lang Quán</v>
          </cell>
          <cell r="I3023" t="str">
            <v>21109</v>
          </cell>
        </row>
        <row r="3024">
          <cell r="G3024" t="str">
            <v>Thị trấn Tân Bình</v>
          </cell>
          <cell r="I3024" t="str">
            <v>21109</v>
          </cell>
        </row>
        <row r="3025">
          <cell r="G3025" t="str">
            <v>Xã Lực Hành</v>
          </cell>
          <cell r="I3025" t="str">
            <v>21109</v>
          </cell>
        </row>
        <row r="3026">
          <cell r="G3026" t="str">
            <v xml:space="preserve">Xã Kiến Thiết </v>
          </cell>
          <cell r="I3026" t="str">
            <v>21109</v>
          </cell>
        </row>
        <row r="3027">
          <cell r="G3027" t="str">
            <v>Xã Trung Minh</v>
          </cell>
          <cell r="I3027" t="str">
            <v>21109</v>
          </cell>
        </row>
        <row r="3028">
          <cell r="G3028" t="str">
            <v>Xã Trung Trực</v>
          </cell>
          <cell r="I3028" t="str">
            <v>21109</v>
          </cell>
        </row>
        <row r="3029">
          <cell r="G3029" t="str">
            <v>Xã Xuân Vân</v>
          </cell>
          <cell r="I3029" t="str">
            <v>21109</v>
          </cell>
        </row>
        <row r="3030">
          <cell r="G3030" t="str">
            <v>Xã Phúc Ninh</v>
          </cell>
          <cell r="I3030" t="str">
            <v>21109</v>
          </cell>
        </row>
        <row r="3031">
          <cell r="G3031" t="str">
            <v xml:space="preserve">Xã Tân Tiến         </v>
          </cell>
          <cell r="I3031" t="str">
            <v>21109</v>
          </cell>
        </row>
        <row r="3032">
          <cell r="G3032" t="str">
            <v>Xã Tứ Quận</v>
          </cell>
          <cell r="I3032" t="str">
            <v>21109</v>
          </cell>
        </row>
        <row r="3033">
          <cell r="G3033" t="str">
            <v>Xã Tân Long</v>
          </cell>
          <cell r="I3033" t="str">
            <v>21109</v>
          </cell>
        </row>
        <row r="3034">
          <cell r="G3034" t="str">
            <v>Xã Thắng Quân</v>
          </cell>
          <cell r="I3034" t="str">
            <v>21109</v>
          </cell>
        </row>
        <row r="3035">
          <cell r="G3035" t="str">
            <v>Xã Trung Sơn</v>
          </cell>
          <cell r="I3035" t="str">
            <v>21109</v>
          </cell>
        </row>
        <row r="3036">
          <cell r="G3036" t="str">
            <v xml:space="preserve">Xã Thái Bình </v>
          </cell>
          <cell r="I3036" t="str">
            <v>21109</v>
          </cell>
        </row>
        <row r="3037">
          <cell r="G3037" t="str">
            <v>Xã Nhữ Hán</v>
          </cell>
          <cell r="I3037" t="str">
            <v>21109</v>
          </cell>
        </row>
        <row r="3038">
          <cell r="G3038" t="str">
            <v>Xã Quí Quân</v>
          </cell>
          <cell r="I3038" t="str">
            <v>21109</v>
          </cell>
        </row>
        <row r="3039">
          <cell r="G3039" t="str">
            <v>Xã Chiêu Yên</v>
          </cell>
          <cell r="I3039" t="str">
            <v>21109</v>
          </cell>
        </row>
        <row r="3040">
          <cell r="G3040" t="str">
            <v>Xã Hùng Lợi</v>
          </cell>
          <cell r="I3040" t="str">
            <v>21109</v>
          </cell>
        </row>
        <row r="3041">
          <cell r="G3041" t="str">
            <v>Xã Đạo Viện</v>
          </cell>
          <cell r="I3041" t="str">
            <v>21109</v>
          </cell>
        </row>
        <row r="3042">
          <cell r="G3042" t="str">
            <v xml:space="preserve">Xã Kim Quan </v>
          </cell>
          <cell r="I3042" t="str">
            <v>21109</v>
          </cell>
        </row>
        <row r="3043">
          <cell r="G3043" t="str">
            <v>Xã Mỹ Bằng</v>
          </cell>
          <cell r="I3043" t="str">
            <v>21109</v>
          </cell>
        </row>
        <row r="3044">
          <cell r="G3044" t="str">
            <v>Xã Hoàng Khai</v>
          </cell>
          <cell r="I3044" t="str">
            <v>21109</v>
          </cell>
        </row>
        <row r="3045">
          <cell r="G3045" t="str">
            <v>Xã Nhữ Khê</v>
          </cell>
          <cell r="I3045" t="str">
            <v>21109</v>
          </cell>
        </row>
        <row r="3046">
          <cell r="G3046" t="str">
            <v>Thị trấn Sơn Dương</v>
          </cell>
          <cell r="I3046" t="str">
            <v>21111</v>
          </cell>
        </row>
        <row r="3047">
          <cell r="G3047" t="str">
            <v>Xã Trung Yên</v>
          </cell>
          <cell r="I3047" t="str">
            <v>21111</v>
          </cell>
        </row>
        <row r="3048">
          <cell r="G3048" t="str">
            <v xml:space="preserve">Xã Tân Trào  </v>
          </cell>
          <cell r="I3048" t="str">
            <v>21111</v>
          </cell>
        </row>
        <row r="3049">
          <cell r="G3049" t="str">
            <v>Xã Vĩnh Lợi</v>
          </cell>
          <cell r="I3049" t="str">
            <v>21111</v>
          </cell>
        </row>
        <row r="3050">
          <cell r="G3050" t="str">
            <v>Xã Thượng ấm</v>
          </cell>
          <cell r="I3050" t="str">
            <v>21111</v>
          </cell>
        </row>
        <row r="3051">
          <cell r="G3051" t="str">
            <v xml:space="preserve">Xã Lương Thiện </v>
          </cell>
          <cell r="I3051" t="str">
            <v>21111</v>
          </cell>
        </row>
        <row r="3052">
          <cell r="G3052" t="str">
            <v xml:space="preserve">Xã Cấp Tiến </v>
          </cell>
          <cell r="I3052" t="str">
            <v>21111</v>
          </cell>
        </row>
        <row r="3053">
          <cell r="G3053" t="str">
            <v>Xã Phúc ứng</v>
          </cell>
          <cell r="I3053" t="str">
            <v>21111</v>
          </cell>
        </row>
        <row r="3054">
          <cell r="G3054" t="str">
            <v xml:space="preserve">Xã Đông Thọ </v>
          </cell>
          <cell r="I3054" t="str">
            <v>21111</v>
          </cell>
        </row>
        <row r="3055">
          <cell r="G3055" t="str">
            <v>Xã Kháng Nhật</v>
          </cell>
          <cell r="I3055" t="str">
            <v>21111</v>
          </cell>
        </row>
        <row r="3056">
          <cell r="G3056" t="str">
            <v>Xã Thanh Phát</v>
          </cell>
          <cell r="I3056" t="str">
            <v>21111</v>
          </cell>
        </row>
        <row r="3057">
          <cell r="G3057" t="str">
            <v xml:space="preserve">Xã Quyết Thắng   </v>
          </cell>
          <cell r="I3057" t="str">
            <v>21111</v>
          </cell>
        </row>
        <row r="3058">
          <cell r="G3058" t="str">
            <v>Xã Đồng Quý</v>
          </cell>
          <cell r="I3058" t="str">
            <v>21111</v>
          </cell>
        </row>
        <row r="3059">
          <cell r="G3059" t="str">
            <v>Xã Vân Sơn</v>
          </cell>
          <cell r="I3059" t="str">
            <v>21111</v>
          </cell>
        </row>
        <row r="3060">
          <cell r="G3060" t="str">
            <v>Xã Đông Lợi</v>
          </cell>
          <cell r="I3060" t="str">
            <v>21111</v>
          </cell>
        </row>
        <row r="3061">
          <cell r="G3061" t="str">
            <v>Xã Thiện Kế</v>
          </cell>
          <cell r="I3061" t="str">
            <v>21111</v>
          </cell>
        </row>
        <row r="3062">
          <cell r="G3062" t="str">
            <v xml:space="preserve">Xã Hồng Lạc </v>
          </cell>
          <cell r="I3062" t="str">
            <v>21111</v>
          </cell>
        </row>
        <row r="3063">
          <cell r="G3063" t="str">
            <v>Xã Ninh Lai</v>
          </cell>
          <cell r="I3063" t="str">
            <v>21111</v>
          </cell>
        </row>
        <row r="3064">
          <cell r="G3064" t="str">
            <v>Xã Đại Phú</v>
          </cell>
          <cell r="I3064" t="str">
            <v>21111</v>
          </cell>
        </row>
        <row r="3065">
          <cell r="G3065" t="str">
            <v>Xã Sơn Nam</v>
          </cell>
          <cell r="I3065" t="str">
            <v>21111</v>
          </cell>
        </row>
        <row r="3066">
          <cell r="G3066" t="str">
            <v xml:space="preserve">Xã Tam Đa  </v>
          </cell>
          <cell r="I3066" t="str">
            <v>21111</v>
          </cell>
        </row>
        <row r="3067">
          <cell r="G3067" t="str">
            <v>Xã Lâm Xuyên</v>
          </cell>
          <cell r="I3067" t="str">
            <v>21111</v>
          </cell>
        </row>
        <row r="3068">
          <cell r="G3068" t="str">
            <v xml:space="preserve">Xã Văn Phú  </v>
          </cell>
          <cell r="I3068" t="str">
            <v>21111</v>
          </cell>
        </row>
        <row r="3069">
          <cell r="G3069" t="str">
            <v>Xã Sầm Dương</v>
          </cell>
          <cell r="I3069" t="str">
            <v>21111</v>
          </cell>
        </row>
        <row r="3070">
          <cell r="G3070" t="str">
            <v>Xã Tú Thịnh</v>
          </cell>
          <cell r="I3070" t="str">
            <v>21111</v>
          </cell>
        </row>
        <row r="3071">
          <cell r="G3071" t="str">
            <v xml:space="preserve">Xã Minh Thanh </v>
          </cell>
          <cell r="I3071" t="str">
            <v>21111</v>
          </cell>
        </row>
        <row r="3072">
          <cell r="G3072" t="str">
            <v xml:space="preserve">Xã Bình Yên </v>
          </cell>
          <cell r="I3072" t="str">
            <v>21111</v>
          </cell>
        </row>
        <row r="3073">
          <cell r="G3073" t="str">
            <v xml:space="preserve">Xã Hợp Thành   </v>
          </cell>
          <cell r="I3073" t="str">
            <v>21111</v>
          </cell>
        </row>
        <row r="3074">
          <cell r="G3074" t="str">
            <v>Xã Hợp Hòa</v>
          </cell>
          <cell r="I3074" t="str">
            <v>21111</v>
          </cell>
        </row>
        <row r="3075">
          <cell r="G3075" t="str">
            <v>Xã Tuân Lộ</v>
          </cell>
          <cell r="I3075" t="str">
            <v>21111</v>
          </cell>
        </row>
        <row r="3076">
          <cell r="G3076" t="str">
            <v>Xã Chi Thiết</v>
          </cell>
          <cell r="I3076" t="str">
            <v>21111</v>
          </cell>
        </row>
        <row r="3077">
          <cell r="G3077" t="str">
            <v xml:space="preserve">Xã Phú Lương </v>
          </cell>
          <cell r="I3077" t="str">
            <v>21111</v>
          </cell>
        </row>
        <row r="3078">
          <cell r="G3078" t="str">
            <v>Xã Hào Phú</v>
          </cell>
          <cell r="I3078" t="str">
            <v>21111</v>
          </cell>
        </row>
        <row r="3079">
          <cell r="G3079" t="str">
            <v>Xã Lăng Can</v>
          </cell>
          <cell r="I3079" t="str">
            <v>21113</v>
          </cell>
        </row>
        <row r="3080">
          <cell r="G3080" t="str">
            <v xml:space="preserve">Xã Thượng Lâm </v>
          </cell>
          <cell r="I3080" t="str">
            <v>21113</v>
          </cell>
        </row>
        <row r="3081">
          <cell r="G3081" t="str">
            <v>Xã Khuôn Hà</v>
          </cell>
          <cell r="I3081" t="str">
            <v>21113</v>
          </cell>
        </row>
        <row r="3082">
          <cell r="G3082" t="str">
            <v>Xã Phúc Yên</v>
          </cell>
          <cell r="I3082" t="str">
            <v>21113</v>
          </cell>
        </row>
        <row r="3083">
          <cell r="G3083" t="str">
            <v>Xã Xuân Lập</v>
          </cell>
          <cell r="I3083" t="str">
            <v>21113</v>
          </cell>
        </row>
        <row r="3084">
          <cell r="G3084" t="str">
            <v>Xã Bình An</v>
          </cell>
          <cell r="I3084" t="str">
            <v>21113</v>
          </cell>
        </row>
        <row r="3085">
          <cell r="G3085" t="str">
            <v>Xã Thổ Bình</v>
          </cell>
          <cell r="I3085" t="str">
            <v>21113</v>
          </cell>
        </row>
        <row r="3086">
          <cell r="G3086" t="str">
            <v xml:space="preserve">Xã Hồng Quang     </v>
          </cell>
          <cell r="I3086" t="str">
            <v>21113</v>
          </cell>
        </row>
        <row r="3087">
          <cell r="G3087" t="str">
            <v>Phường Yên Thịnh</v>
          </cell>
          <cell r="I3087" t="str">
            <v>21301</v>
          </cell>
        </row>
        <row r="3088">
          <cell r="G3088" t="str">
            <v>Phường Yên Ninh</v>
          </cell>
          <cell r="I3088" t="str">
            <v>21301</v>
          </cell>
        </row>
        <row r="3089">
          <cell r="G3089" t="str">
            <v>Phường Nguyễn Thái Học</v>
          </cell>
          <cell r="I3089" t="str">
            <v>21301</v>
          </cell>
        </row>
        <row r="3090">
          <cell r="G3090" t="str">
            <v xml:space="preserve">Phường Đồng Tâm </v>
          </cell>
          <cell r="I3090" t="str">
            <v>21301</v>
          </cell>
        </row>
        <row r="3091">
          <cell r="G3091" t="str">
            <v>Phường Nguyễn Phúc</v>
          </cell>
          <cell r="I3091" t="str">
            <v>21301</v>
          </cell>
        </row>
        <row r="3092">
          <cell r="G3092" t="str">
            <v>Xã Minh Bảo</v>
          </cell>
          <cell r="I3092" t="str">
            <v>21301</v>
          </cell>
        </row>
        <row r="3093">
          <cell r="G3093" t="str">
            <v>Xã Tuy Lộc</v>
          </cell>
          <cell r="I3093" t="str">
            <v>21301</v>
          </cell>
        </row>
        <row r="3094">
          <cell r="G3094" t="str">
            <v xml:space="preserve">Phường Nam Cường </v>
          </cell>
          <cell r="I3094" t="str">
            <v>21301</v>
          </cell>
        </row>
        <row r="3095">
          <cell r="G3095" t="str">
            <v>Phường Minh Tân</v>
          </cell>
          <cell r="I3095" t="str">
            <v>21301</v>
          </cell>
        </row>
        <row r="3096">
          <cell r="G3096" t="str">
            <v>Phường Hồng Hà</v>
          </cell>
          <cell r="I3096" t="str">
            <v>21301</v>
          </cell>
        </row>
        <row r="3097">
          <cell r="G3097" t="str">
            <v xml:space="preserve">Xã Tân Thịnh  </v>
          </cell>
          <cell r="I3097" t="str">
            <v>21301</v>
          </cell>
        </row>
        <row r="3098">
          <cell r="G3098" t="str">
            <v>Xã Âu Lâu</v>
          </cell>
          <cell r="I3098" t="str">
            <v>21301</v>
          </cell>
        </row>
        <row r="3099">
          <cell r="G3099" t="str">
            <v xml:space="preserve">Xã Phúc Lộc </v>
          </cell>
          <cell r="I3099" t="str">
            <v>21301</v>
          </cell>
        </row>
        <row r="3100">
          <cell r="G3100" t="str">
            <v>xã Giới Phiên</v>
          </cell>
          <cell r="I3100" t="str">
            <v>21301</v>
          </cell>
        </row>
        <row r="3101">
          <cell r="G3101" t="str">
            <v>Phường Hợp Minh</v>
          </cell>
          <cell r="I3101" t="str">
            <v>21301</v>
          </cell>
        </row>
        <row r="3102">
          <cell r="G3102" t="str">
            <v>Xã Văn Tiến</v>
          </cell>
          <cell r="I3102" t="str">
            <v>21301</v>
          </cell>
        </row>
        <row r="3103">
          <cell r="G3103" t="str">
            <v xml:space="preserve">Xã Văn Phú   </v>
          </cell>
          <cell r="I3103" t="str">
            <v>21301</v>
          </cell>
        </row>
        <row r="3104">
          <cell r="G3104" t="str">
            <v>Phường Pú Trạng</v>
          </cell>
          <cell r="I3104" t="str">
            <v>21303</v>
          </cell>
        </row>
        <row r="3105">
          <cell r="G3105" t="str">
            <v>Phường Trung Tâm</v>
          </cell>
          <cell r="I3105" t="str">
            <v>21303</v>
          </cell>
        </row>
        <row r="3106">
          <cell r="G3106" t="str">
            <v>Phường Tân An</v>
          </cell>
          <cell r="I3106" t="str">
            <v>21303</v>
          </cell>
        </row>
        <row r="3107">
          <cell r="G3107" t="str">
            <v xml:space="preserve">Xã Nghĩa Lợi </v>
          </cell>
          <cell r="I3107" t="str">
            <v>21303</v>
          </cell>
        </row>
        <row r="3108">
          <cell r="G3108" t="str">
            <v xml:space="preserve">Xã Nghĩa Phúc </v>
          </cell>
          <cell r="I3108" t="str">
            <v>21303</v>
          </cell>
        </row>
        <row r="3109">
          <cell r="G3109" t="str">
            <v xml:space="preserve">Xã Nghĩa An  </v>
          </cell>
          <cell r="I3109" t="str">
            <v>21303</v>
          </cell>
        </row>
        <row r="3110">
          <cell r="G3110" t="str">
            <v>Phường Cầu Thia</v>
          </cell>
          <cell r="I3110" t="str">
            <v>21303</v>
          </cell>
        </row>
        <row r="3111">
          <cell r="G3111" t="str">
            <v>Xã Trung Tâm</v>
          </cell>
          <cell r="I3111" t="str">
            <v>21305</v>
          </cell>
        </row>
        <row r="3112">
          <cell r="G3112" t="str">
            <v>Thị trấn Yên Thế</v>
          </cell>
          <cell r="I3112" t="str">
            <v>21305</v>
          </cell>
        </row>
        <row r="3113">
          <cell r="G3113" t="str">
            <v xml:space="preserve">Xã Khánh Thiện </v>
          </cell>
          <cell r="I3113" t="str">
            <v>21305</v>
          </cell>
        </row>
        <row r="3114">
          <cell r="G3114" t="str">
            <v>Xã Minh Chuẩn</v>
          </cell>
          <cell r="I3114" t="str">
            <v>21305</v>
          </cell>
        </row>
        <row r="3115">
          <cell r="G3115" t="str">
            <v>Xã Khai Trung</v>
          </cell>
          <cell r="I3115" t="str">
            <v>21305</v>
          </cell>
        </row>
        <row r="3116">
          <cell r="G3116" t="str">
            <v>Xã Mường Lai</v>
          </cell>
          <cell r="I3116" t="str">
            <v>21305</v>
          </cell>
        </row>
        <row r="3117">
          <cell r="G3117" t="str">
            <v xml:space="preserve">Xã An Lạc  </v>
          </cell>
          <cell r="I3117" t="str">
            <v>21305</v>
          </cell>
        </row>
        <row r="3118">
          <cell r="G3118" t="str">
            <v>Xã Tô Mậu</v>
          </cell>
          <cell r="I3118" t="str">
            <v>21305</v>
          </cell>
        </row>
        <row r="3119">
          <cell r="G3119" t="str">
            <v>Xã Tân Lĩnh</v>
          </cell>
          <cell r="I3119" t="str">
            <v>21305</v>
          </cell>
        </row>
        <row r="3120">
          <cell r="G3120" t="str">
            <v xml:space="preserve">Xã Yên Thắng  </v>
          </cell>
          <cell r="I3120" t="str">
            <v>21305</v>
          </cell>
        </row>
        <row r="3121">
          <cell r="G3121" t="str">
            <v>Xã Liễu Đô</v>
          </cell>
          <cell r="I3121" t="str">
            <v>21305</v>
          </cell>
        </row>
        <row r="3122">
          <cell r="G3122" t="str">
            <v>Xã Động Quan</v>
          </cell>
          <cell r="I3122" t="str">
            <v>21305</v>
          </cell>
        </row>
        <row r="3123">
          <cell r="G3123" t="str">
            <v xml:space="preserve">Xã Minh Tiến  </v>
          </cell>
          <cell r="I3123" t="str">
            <v>21305</v>
          </cell>
        </row>
        <row r="3124">
          <cell r="G3124" t="str">
            <v>Xã Trúc Lâu</v>
          </cell>
          <cell r="I3124" t="str">
            <v>21305</v>
          </cell>
        </row>
        <row r="3125">
          <cell r="G3125" t="str">
            <v xml:space="preserve">Xã An Phú </v>
          </cell>
          <cell r="I3125" t="str">
            <v>21305</v>
          </cell>
        </row>
        <row r="3126">
          <cell r="G3126" t="str">
            <v xml:space="preserve">Xã Phan Thanh  </v>
          </cell>
          <cell r="I3126" t="str">
            <v>21305</v>
          </cell>
        </row>
        <row r="3127">
          <cell r="G3127" t="str">
            <v>Xã Lâm Thượng</v>
          </cell>
          <cell r="I3127" t="str">
            <v>21305</v>
          </cell>
        </row>
        <row r="3128">
          <cell r="G3128" t="str">
            <v>Xã Vĩnh Lạc</v>
          </cell>
          <cell r="I3128" t="str">
            <v>21305</v>
          </cell>
        </row>
        <row r="3129">
          <cell r="G3129" t="str">
            <v>Xã Tân Phượng</v>
          </cell>
          <cell r="I3129" t="str">
            <v>21305</v>
          </cell>
        </row>
        <row r="3130">
          <cell r="G3130" t="str">
            <v xml:space="preserve">Xã Mai Sơn </v>
          </cell>
          <cell r="I3130" t="str">
            <v>21305</v>
          </cell>
        </row>
        <row r="3131">
          <cell r="G3131" t="str">
            <v>Xã Minh Xuân</v>
          </cell>
          <cell r="I3131" t="str">
            <v>21305</v>
          </cell>
        </row>
        <row r="3132">
          <cell r="G3132" t="str">
            <v xml:space="preserve">Xã Khánh Hòa </v>
          </cell>
          <cell r="I3132" t="str">
            <v>21305</v>
          </cell>
        </row>
        <row r="3133">
          <cell r="G3133" t="str">
            <v xml:space="preserve">Xã Tân Lập       </v>
          </cell>
          <cell r="I3133" t="str">
            <v>21305</v>
          </cell>
        </row>
        <row r="3134">
          <cell r="G3134" t="str">
            <v>Xã Phúc Lợi</v>
          </cell>
          <cell r="I3134" t="str">
            <v>21305</v>
          </cell>
        </row>
        <row r="3135">
          <cell r="G3135" t="str">
            <v>Thị trấn Mậu A</v>
          </cell>
          <cell r="I3135" t="str">
            <v>21307</v>
          </cell>
        </row>
        <row r="3136">
          <cell r="G3136" t="str">
            <v>Xã Lang Thíp</v>
          </cell>
          <cell r="I3136" t="str">
            <v>21307</v>
          </cell>
        </row>
        <row r="3137">
          <cell r="G3137" t="str">
            <v>Xã Lâm Giang</v>
          </cell>
          <cell r="I3137" t="str">
            <v>21307</v>
          </cell>
        </row>
        <row r="3138">
          <cell r="G3138" t="str">
            <v>Xã Châu Quế Thượng</v>
          </cell>
          <cell r="I3138" t="str">
            <v>21307</v>
          </cell>
        </row>
        <row r="3139">
          <cell r="G3139" t="str">
            <v>Xã Châu Quế Hạ</v>
          </cell>
          <cell r="I3139" t="str">
            <v>21307</v>
          </cell>
        </row>
        <row r="3140">
          <cell r="G3140" t="str">
            <v xml:space="preserve">Xã An Bình  </v>
          </cell>
          <cell r="I3140" t="str">
            <v>21307</v>
          </cell>
        </row>
        <row r="3141">
          <cell r="G3141" t="str">
            <v>Xã Đông An</v>
          </cell>
          <cell r="I3141" t="str">
            <v>21307</v>
          </cell>
        </row>
        <row r="3142">
          <cell r="G3142" t="str">
            <v>Xã Phong Dụ Hạ</v>
          </cell>
          <cell r="I3142" t="str">
            <v>21307</v>
          </cell>
        </row>
        <row r="3143">
          <cell r="G3143" t="str">
            <v>Xã Mậu Đông</v>
          </cell>
          <cell r="I3143" t="str">
            <v>21307</v>
          </cell>
        </row>
        <row r="3144">
          <cell r="G3144" t="str">
            <v>Xã Ngòi A</v>
          </cell>
          <cell r="I3144" t="str">
            <v>21307</v>
          </cell>
        </row>
        <row r="3145">
          <cell r="G3145" t="str">
            <v>Xã Tân Hợp</v>
          </cell>
          <cell r="I3145" t="str">
            <v>21307</v>
          </cell>
        </row>
        <row r="3146">
          <cell r="G3146" t="str">
            <v>Xã An Thịnh</v>
          </cell>
          <cell r="I3146" t="str">
            <v>21307</v>
          </cell>
        </row>
        <row r="3147">
          <cell r="G3147" t="str">
            <v xml:space="preserve">Xã Yên Thái </v>
          </cell>
          <cell r="I3147" t="str">
            <v>21307</v>
          </cell>
        </row>
        <row r="3148">
          <cell r="G3148" t="str">
            <v>Xã Yên Hợp</v>
          </cell>
          <cell r="I3148" t="str">
            <v>21307</v>
          </cell>
        </row>
        <row r="3149">
          <cell r="G3149" t="str">
            <v xml:space="preserve">Xã Đại Sơn </v>
          </cell>
          <cell r="I3149" t="str">
            <v>21307</v>
          </cell>
        </row>
        <row r="3150">
          <cell r="G3150" t="str">
            <v xml:space="preserve">Xã Yên Phú    </v>
          </cell>
          <cell r="I3150" t="str">
            <v>21307</v>
          </cell>
        </row>
        <row r="3151">
          <cell r="G3151" t="str">
            <v>Xã Xuân ái</v>
          </cell>
          <cell r="I3151" t="str">
            <v>21307</v>
          </cell>
        </row>
        <row r="3152">
          <cell r="G3152" t="str">
            <v>Xã Hoàng Thắng</v>
          </cell>
          <cell r="I3152" t="str">
            <v>21307</v>
          </cell>
        </row>
        <row r="3153">
          <cell r="G3153" t="str">
            <v>Xã Mỏ Vàng</v>
          </cell>
          <cell r="I3153" t="str">
            <v>21307</v>
          </cell>
        </row>
        <row r="3154">
          <cell r="G3154" t="str">
            <v>Xã Nà Hẩu</v>
          </cell>
          <cell r="I3154" t="str">
            <v>21307</v>
          </cell>
        </row>
        <row r="3155">
          <cell r="G3155" t="str">
            <v xml:space="preserve">Xã Quang Minh   </v>
          </cell>
          <cell r="I3155" t="str">
            <v>21307</v>
          </cell>
        </row>
        <row r="3156">
          <cell r="G3156" t="str">
            <v xml:space="preserve">Xã Yên Hưng  </v>
          </cell>
          <cell r="I3156" t="str">
            <v>21307</v>
          </cell>
        </row>
        <row r="3157">
          <cell r="G3157" t="str">
            <v>Xã Đông Cuông</v>
          </cell>
          <cell r="I3157" t="str">
            <v>21307</v>
          </cell>
        </row>
        <row r="3158">
          <cell r="G3158" t="str">
            <v>Xã Xuân Tầm</v>
          </cell>
          <cell r="I3158" t="str">
            <v>21307</v>
          </cell>
        </row>
        <row r="3159">
          <cell r="G3159" t="str">
            <v>Xã Phong Dụ Thượng</v>
          </cell>
          <cell r="I3159" t="str">
            <v>21307</v>
          </cell>
        </row>
        <row r="3160">
          <cell r="G3160" t="str">
            <v>Xã Đại Phác</v>
          </cell>
          <cell r="I3160" t="str">
            <v>21307</v>
          </cell>
        </row>
        <row r="3161">
          <cell r="G3161" t="str">
            <v>Xã Viễn Sơn</v>
          </cell>
          <cell r="I3161" t="str">
            <v>21307</v>
          </cell>
        </row>
        <row r="3162">
          <cell r="G3162" t="str">
            <v>Thị trấn Mù Cang Chải</v>
          </cell>
          <cell r="I3162" t="str">
            <v>21309</v>
          </cell>
        </row>
        <row r="3163">
          <cell r="G3163" t="str">
            <v>Xã Nậm Có</v>
          </cell>
          <cell r="I3163" t="str">
            <v>21309</v>
          </cell>
        </row>
        <row r="3164">
          <cell r="G3164" t="str">
            <v>Xã Khao Mang</v>
          </cell>
          <cell r="I3164" t="str">
            <v>21309</v>
          </cell>
        </row>
        <row r="3165">
          <cell r="G3165" t="str">
            <v xml:space="preserve">Xã Lao Chải  </v>
          </cell>
          <cell r="I3165" t="str">
            <v>21309</v>
          </cell>
        </row>
        <row r="3166">
          <cell r="G3166" t="str">
            <v>Xã Kim Nọi</v>
          </cell>
          <cell r="I3166" t="str">
            <v>21309</v>
          </cell>
        </row>
        <row r="3167">
          <cell r="G3167" t="str">
            <v>Xã Khau Phạ</v>
          </cell>
          <cell r="I3167" t="str">
            <v>21309</v>
          </cell>
        </row>
        <row r="3168">
          <cell r="G3168" t="str">
            <v>Xã Zế Su Phình</v>
          </cell>
          <cell r="I3168" t="str">
            <v>21309</v>
          </cell>
        </row>
        <row r="3169">
          <cell r="G3169" t="str">
            <v>Xã Chế Tạo</v>
          </cell>
          <cell r="I3169" t="str">
            <v>21309</v>
          </cell>
        </row>
        <row r="3170">
          <cell r="G3170" t="str">
            <v>Xã Púng Luông</v>
          </cell>
          <cell r="I3170" t="str">
            <v>21309</v>
          </cell>
        </row>
        <row r="3171">
          <cell r="G3171" t="str">
            <v>Xã Mồ Dề</v>
          </cell>
          <cell r="I3171" t="str">
            <v>21309</v>
          </cell>
        </row>
        <row r="3172">
          <cell r="G3172" t="str">
            <v>Xã Hồ Bốn</v>
          </cell>
          <cell r="I3172" t="str">
            <v>21309</v>
          </cell>
        </row>
        <row r="3173">
          <cell r="G3173" t="str">
            <v>Xã Chế Cu Nha</v>
          </cell>
          <cell r="I3173" t="str">
            <v>21309</v>
          </cell>
        </row>
        <row r="3174">
          <cell r="G3174" t="str">
            <v>Xã La Pán Tẩn</v>
          </cell>
          <cell r="I3174" t="str">
            <v>21309</v>
          </cell>
        </row>
        <row r="3175">
          <cell r="G3175" t="str">
            <v>Xã Nậm Khắt</v>
          </cell>
          <cell r="I3175" t="str">
            <v>21309</v>
          </cell>
        </row>
        <row r="3176">
          <cell r="G3176" t="str">
            <v>Thị trấn Cổ Phúc</v>
          </cell>
          <cell r="I3176" t="str">
            <v>21311</v>
          </cell>
        </row>
        <row r="3177">
          <cell r="G3177" t="str">
            <v>Xã Báo Đáp</v>
          </cell>
          <cell r="I3177" t="str">
            <v>21311</v>
          </cell>
        </row>
        <row r="3178">
          <cell r="G3178" t="str">
            <v>Xã Việt Thành</v>
          </cell>
          <cell r="I3178" t="str">
            <v>21311</v>
          </cell>
        </row>
        <row r="3179">
          <cell r="G3179" t="str">
            <v>Xã Hòa Cuông</v>
          </cell>
          <cell r="I3179" t="str">
            <v>21311</v>
          </cell>
        </row>
        <row r="3180">
          <cell r="G3180" t="str">
            <v>Xã Minh Quán</v>
          </cell>
          <cell r="I3180" t="str">
            <v>21311</v>
          </cell>
        </row>
        <row r="3181">
          <cell r="G3181" t="str">
            <v>Xã Cường Thịnh</v>
          </cell>
          <cell r="I3181" t="str">
            <v>21311</v>
          </cell>
        </row>
        <row r="3182">
          <cell r="G3182" t="str">
            <v>Xã Kiên Thành</v>
          </cell>
          <cell r="I3182" t="str">
            <v>21311</v>
          </cell>
        </row>
        <row r="3183">
          <cell r="G3183" t="str">
            <v>Xã Nga Quán</v>
          </cell>
          <cell r="I3183" t="str">
            <v>21311</v>
          </cell>
        </row>
        <row r="3184">
          <cell r="G3184" t="str">
            <v>Xã Lương Thịnh</v>
          </cell>
          <cell r="I3184" t="str">
            <v>21311</v>
          </cell>
        </row>
        <row r="3185">
          <cell r="G3185" t="str">
            <v>Xã Bảo Hưng</v>
          </cell>
          <cell r="I3185" t="str">
            <v>21311</v>
          </cell>
        </row>
        <row r="3186">
          <cell r="G3186" t="str">
            <v>Xã Minh Quân</v>
          </cell>
          <cell r="I3186" t="str">
            <v>21311</v>
          </cell>
        </row>
        <row r="3187">
          <cell r="G3187" t="str">
            <v xml:space="preserve">Xã Hưng Thịnh  </v>
          </cell>
          <cell r="I3187" t="str">
            <v>21311</v>
          </cell>
        </row>
        <row r="3188">
          <cell r="G3188" t="str">
            <v xml:space="preserve">Xã Việt Hồng  </v>
          </cell>
          <cell r="I3188" t="str">
            <v>21311</v>
          </cell>
        </row>
        <row r="3189">
          <cell r="G3189" t="str">
            <v>Xã Vân Hội</v>
          </cell>
          <cell r="I3189" t="str">
            <v>21311</v>
          </cell>
        </row>
        <row r="3190">
          <cell r="G3190" t="str">
            <v>Xã Tân Đồng</v>
          </cell>
          <cell r="I3190" t="str">
            <v>21311</v>
          </cell>
        </row>
        <row r="3191">
          <cell r="G3191" t="str">
            <v xml:space="preserve">Xã Minh Tiến   </v>
          </cell>
          <cell r="I3191" t="str">
            <v>21311</v>
          </cell>
        </row>
        <row r="3192">
          <cell r="G3192" t="str">
            <v>Xã Hồng Ca</v>
          </cell>
          <cell r="I3192" t="str">
            <v>21311</v>
          </cell>
        </row>
        <row r="3193">
          <cell r="G3193" t="str">
            <v>Xã Đào Thịnh</v>
          </cell>
          <cell r="I3193" t="str">
            <v>21311</v>
          </cell>
        </row>
        <row r="3194">
          <cell r="G3194" t="str">
            <v>Xã Quy Mông</v>
          </cell>
          <cell r="I3194" t="str">
            <v>21311</v>
          </cell>
        </row>
        <row r="3195">
          <cell r="G3195" t="str">
            <v>Xã Y Can</v>
          </cell>
          <cell r="I3195" t="str">
            <v>21311</v>
          </cell>
        </row>
        <row r="3196">
          <cell r="G3196" t="str">
            <v xml:space="preserve">Xã Việt Cường </v>
          </cell>
          <cell r="I3196" t="str">
            <v>21311</v>
          </cell>
        </row>
        <row r="3197">
          <cell r="G3197" t="str">
            <v>Xã Hưng Khánh</v>
          </cell>
          <cell r="I3197" t="str">
            <v>21311</v>
          </cell>
        </row>
        <row r="3198">
          <cell r="G3198" t="str">
            <v>Thị trấn Thác Bà</v>
          </cell>
          <cell r="I3198" t="str">
            <v>21313</v>
          </cell>
        </row>
        <row r="3199">
          <cell r="G3199" t="str">
            <v xml:space="preserve">Xã Xuân Long </v>
          </cell>
          <cell r="I3199" t="str">
            <v>21313</v>
          </cell>
        </row>
        <row r="3200">
          <cell r="G3200" t="str">
            <v>Xã Tích Cốc</v>
          </cell>
          <cell r="I3200" t="str">
            <v>21313</v>
          </cell>
        </row>
        <row r="3201">
          <cell r="G3201" t="str">
            <v>Xã Cảm Nhân</v>
          </cell>
          <cell r="I3201" t="str">
            <v>21313</v>
          </cell>
        </row>
        <row r="3202">
          <cell r="G3202" t="str">
            <v>Xã Ngọc Chấn</v>
          </cell>
          <cell r="I3202" t="str">
            <v>21313</v>
          </cell>
        </row>
        <row r="3203">
          <cell r="G3203" t="str">
            <v xml:space="preserve">Xã Phúc Ninh </v>
          </cell>
          <cell r="I3203" t="str">
            <v>21313</v>
          </cell>
        </row>
        <row r="3204">
          <cell r="G3204" t="str">
            <v>Xã Bảo ái</v>
          </cell>
          <cell r="I3204" t="str">
            <v>21313</v>
          </cell>
        </row>
        <row r="3205">
          <cell r="G3205" t="str">
            <v>Xã Mỹ Gia</v>
          </cell>
          <cell r="I3205" t="str">
            <v>21313</v>
          </cell>
        </row>
        <row r="3206">
          <cell r="G3206" t="str">
            <v>Xã Mông Sơn</v>
          </cell>
          <cell r="I3206" t="str">
            <v>21313</v>
          </cell>
        </row>
        <row r="3207">
          <cell r="G3207" t="str">
            <v xml:space="preserve">Xã Yên Thành   </v>
          </cell>
          <cell r="I3207" t="str">
            <v>21313</v>
          </cell>
        </row>
        <row r="3208">
          <cell r="G3208" t="str">
            <v>Xã Phúc An</v>
          </cell>
          <cell r="I3208" t="str">
            <v>21313</v>
          </cell>
        </row>
        <row r="3209">
          <cell r="G3209" t="str">
            <v>Xã Bạch Hà</v>
          </cell>
          <cell r="I3209" t="str">
            <v>21313</v>
          </cell>
        </row>
        <row r="3210">
          <cell r="G3210" t="str">
            <v>Xã Vũ Linh</v>
          </cell>
          <cell r="I3210" t="str">
            <v>21313</v>
          </cell>
        </row>
        <row r="3211">
          <cell r="G3211" t="str">
            <v>Xã Vĩnh Kiên</v>
          </cell>
          <cell r="I3211" t="str">
            <v>21313</v>
          </cell>
        </row>
        <row r="3212">
          <cell r="G3212" t="str">
            <v xml:space="preserve">Xã Yên Bình     </v>
          </cell>
          <cell r="I3212" t="str">
            <v>21313</v>
          </cell>
        </row>
        <row r="3213">
          <cell r="G3213" t="str">
            <v>Xã Thịnh Hưng</v>
          </cell>
          <cell r="I3213" t="str">
            <v>21313</v>
          </cell>
        </row>
        <row r="3214">
          <cell r="G3214" t="str">
            <v>Xã Đại Minh</v>
          </cell>
          <cell r="I3214" t="str">
            <v>21313</v>
          </cell>
        </row>
        <row r="3215">
          <cell r="G3215" t="str">
            <v>Thị trấn Yên Bình</v>
          </cell>
          <cell r="I3215" t="str">
            <v>21313</v>
          </cell>
        </row>
        <row r="3216">
          <cell r="G3216" t="str">
            <v>Xã Cảm ân</v>
          </cell>
          <cell r="I3216" t="str">
            <v>21313</v>
          </cell>
        </row>
        <row r="3217">
          <cell r="G3217" t="str">
            <v xml:space="preserve">Xã Phú Thịnh  </v>
          </cell>
          <cell r="I3217" t="str">
            <v>21313</v>
          </cell>
        </row>
        <row r="3218">
          <cell r="G3218" t="str">
            <v>Xã Tân Nguyên</v>
          </cell>
          <cell r="I3218" t="str">
            <v>21313</v>
          </cell>
        </row>
        <row r="3219">
          <cell r="G3219" t="str">
            <v>Xã Xuân Lai</v>
          </cell>
          <cell r="I3219" t="str">
            <v>21313</v>
          </cell>
        </row>
        <row r="3220">
          <cell r="G3220" t="str">
            <v xml:space="preserve">Xã Tân Hương  </v>
          </cell>
          <cell r="I3220" t="str">
            <v>21313</v>
          </cell>
        </row>
        <row r="3221">
          <cell r="G3221" t="str">
            <v xml:space="preserve">Xã Đại Đồng     </v>
          </cell>
          <cell r="I3221" t="str">
            <v>21313</v>
          </cell>
        </row>
        <row r="3222">
          <cell r="G3222" t="str">
            <v>Xã Hán Đà</v>
          </cell>
          <cell r="I3222" t="str">
            <v>21313</v>
          </cell>
        </row>
        <row r="3223">
          <cell r="G3223" t="str">
            <v>Xã Văn Lãng</v>
          </cell>
          <cell r="I3223" t="str">
            <v>21313</v>
          </cell>
        </row>
        <row r="3224">
          <cell r="G3224" t="str">
            <v>Xã Minh An</v>
          </cell>
          <cell r="I3224" t="str">
            <v>21315</v>
          </cell>
        </row>
        <row r="3225">
          <cell r="G3225" t="str">
            <v>Xã Nghĩa Tâm</v>
          </cell>
          <cell r="I3225" t="str">
            <v>21315</v>
          </cell>
        </row>
        <row r="3226">
          <cell r="G3226" t="str">
            <v>Xã Thượng Bằng La</v>
          </cell>
          <cell r="I3226" t="str">
            <v>21315</v>
          </cell>
        </row>
        <row r="3227">
          <cell r="G3227" t="str">
            <v>Thị trấn NT Nghĩa Lộ</v>
          </cell>
          <cell r="I3227" t="str">
            <v>21315</v>
          </cell>
        </row>
        <row r="3228">
          <cell r="G3228" t="str">
            <v>Thị trấn NT Trần Phú</v>
          </cell>
          <cell r="I3228" t="str">
            <v>21315</v>
          </cell>
        </row>
        <row r="3229">
          <cell r="G3229" t="str">
            <v>Xã Tú Lệ</v>
          </cell>
          <cell r="I3229" t="str">
            <v>21315</v>
          </cell>
        </row>
        <row r="3230">
          <cell r="G3230" t="str">
            <v>Xã Nậm Búng</v>
          </cell>
          <cell r="I3230" t="str">
            <v>21315</v>
          </cell>
        </row>
        <row r="3231">
          <cell r="G3231" t="str">
            <v>Xã Nậm Mười</v>
          </cell>
          <cell r="I3231" t="str">
            <v>21315</v>
          </cell>
        </row>
        <row r="3232">
          <cell r="G3232" t="str">
            <v xml:space="preserve">Xã An Lương </v>
          </cell>
          <cell r="I3232" t="str">
            <v>21315</v>
          </cell>
        </row>
        <row r="3233">
          <cell r="G3233" t="str">
            <v>Xã Sơn Lương</v>
          </cell>
          <cell r="I3233" t="str">
            <v>21315</v>
          </cell>
        </row>
        <row r="3234">
          <cell r="G3234" t="str">
            <v>Xã Suối Quyền</v>
          </cell>
          <cell r="I3234" t="str">
            <v>21315</v>
          </cell>
        </row>
        <row r="3235">
          <cell r="G3235" t="str">
            <v>Xã Suối Giàng</v>
          </cell>
          <cell r="I3235" t="str">
            <v>21315</v>
          </cell>
        </row>
        <row r="3236">
          <cell r="G3236" t="str">
            <v>Xã Phù Nham</v>
          </cell>
          <cell r="I3236" t="str">
            <v>21315</v>
          </cell>
        </row>
        <row r="3237">
          <cell r="G3237" t="str">
            <v xml:space="preserve">Xã Nghĩa Sơn </v>
          </cell>
          <cell r="I3237" t="str">
            <v>21315</v>
          </cell>
        </row>
        <row r="3238">
          <cell r="G3238" t="str">
            <v xml:space="preserve">Xã Thanh Lương </v>
          </cell>
          <cell r="I3238" t="str">
            <v>21315</v>
          </cell>
        </row>
        <row r="3239">
          <cell r="G3239" t="str">
            <v>Xã Hạnh Sơn</v>
          </cell>
          <cell r="I3239" t="str">
            <v>21315</v>
          </cell>
        </row>
        <row r="3240">
          <cell r="G3240" t="str">
            <v xml:space="preserve">Xã Phúc Sơn </v>
          </cell>
          <cell r="I3240" t="str">
            <v>21315</v>
          </cell>
        </row>
        <row r="3241">
          <cell r="G3241" t="str">
            <v>Xã Đại Lịch</v>
          </cell>
          <cell r="I3241" t="str">
            <v>21315</v>
          </cell>
        </row>
        <row r="3242">
          <cell r="G3242" t="str">
            <v>Xã Đồng Khê</v>
          </cell>
          <cell r="I3242" t="str">
            <v>21315</v>
          </cell>
        </row>
        <row r="3243">
          <cell r="G3243" t="str">
            <v>Xã Cát Thịnh</v>
          </cell>
          <cell r="I3243" t="str">
            <v>21315</v>
          </cell>
        </row>
        <row r="3244">
          <cell r="G3244" t="str">
            <v>Xã Chấn Thịnh</v>
          </cell>
          <cell r="I3244" t="str">
            <v>21315</v>
          </cell>
        </row>
        <row r="3245">
          <cell r="G3245" t="str">
            <v>Xã Bình Thuận</v>
          </cell>
          <cell r="I3245" t="str">
            <v>21315</v>
          </cell>
        </row>
        <row r="3246">
          <cell r="G3246" t="str">
            <v>Xã Sùng Đô</v>
          </cell>
          <cell r="I3246" t="str">
            <v>21315</v>
          </cell>
        </row>
        <row r="3247">
          <cell r="G3247" t="str">
            <v>Xã Suối Bu</v>
          </cell>
          <cell r="I3247" t="str">
            <v>21315</v>
          </cell>
        </row>
        <row r="3248">
          <cell r="G3248" t="str">
            <v>Xã Sơn A</v>
          </cell>
          <cell r="I3248" t="str">
            <v>21315</v>
          </cell>
        </row>
        <row r="3249">
          <cell r="G3249" t="str">
            <v>Xã Sơn Thịnh</v>
          </cell>
          <cell r="I3249" t="str">
            <v>21315</v>
          </cell>
        </row>
        <row r="3250">
          <cell r="G3250" t="str">
            <v>Xã Thạch Lương</v>
          </cell>
          <cell r="I3250" t="str">
            <v>21315</v>
          </cell>
        </row>
        <row r="3251">
          <cell r="G3251" t="str">
            <v xml:space="preserve">Xã Tân Thịnh   </v>
          </cell>
          <cell r="I3251" t="str">
            <v>21315</v>
          </cell>
        </row>
        <row r="3252">
          <cell r="G3252" t="str">
            <v>Xã Nậm Lành</v>
          </cell>
          <cell r="I3252" t="str">
            <v>21315</v>
          </cell>
        </row>
        <row r="3253">
          <cell r="G3253" t="str">
            <v>Thị trấn NT Liên Sơn</v>
          </cell>
          <cell r="I3253" t="str">
            <v>21315</v>
          </cell>
        </row>
        <row r="3254">
          <cell r="G3254" t="str">
            <v>Xã Gia Hội</v>
          </cell>
          <cell r="I3254" t="str">
            <v>21315</v>
          </cell>
        </row>
        <row r="3255">
          <cell r="G3255" t="str">
            <v>Thị trấn Trạm Tấu</v>
          </cell>
          <cell r="I3255" t="str">
            <v>21317</v>
          </cell>
        </row>
        <row r="3256">
          <cell r="G3256" t="str">
            <v>Xã Pá Lau</v>
          </cell>
          <cell r="I3256" t="str">
            <v>21317</v>
          </cell>
        </row>
        <row r="3257">
          <cell r="G3257" t="str">
            <v>Xã Xà Hồ</v>
          </cell>
          <cell r="I3257" t="str">
            <v>21317</v>
          </cell>
        </row>
        <row r="3258">
          <cell r="G3258" t="str">
            <v>Xã Phình Hồ</v>
          </cell>
          <cell r="I3258" t="str">
            <v>21317</v>
          </cell>
        </row>
        <row r="3259">
          <cell r="G3259" t="str">
            <v>Xã Tà Si Láng</v>
          </cell>
          <cell r="I3259" t="str">
            <v>21317</v>
          </cell>
        </row>
        <row r="3260">
          <cell r="G3260" t="str">
            <v>Xã Làng Nhì</v>
          </cell>
          <cell r="I3260" t="str">
            <v>21317</v>
          </cell>
        </row>
        <row r="3261">
          <cell r="G3261" t="str">
            <v>Xã Bản Mù</v>
          </cell>
          <cell r="I3261" t="str">
            <v>21317</v>
          </cell>
        </row>
        <row r="3262">
          <cell r="G3262" t="str">
            <v>Xã Hát Lìu</v>
          </cell>
          <cell r="I3262" t="str">
            <v>21317</v>
          </cell>
        </row>
        <row r="3263">
          <cell r="G3263" t="str">
            <v>Xã Pá Hu</v>
          </cell>
          <cell r="I3263" t="str">
            <v>21317</v>
          </cell>
        </row>
        <row r="3264">
          <cell r="G3264" t="str">
            <v>Xã Túc Đán</v>
          </cell>
          <cell r="I3264" t="str">
            <v>21317</v>
          </cell>
        </row>
        <row r="3265">
          <cell r="G3265" t="str">
            <v>Xã Trạm Tấu</v>
          </cell>
          <cell r="I3265" t="str">
            <v>21317</v>
          </cell>
        </row>
        <row r="3266">
          <cell r="G3266" t="str">
            <v>Xã Bản Công</v>
          </cell>
          <cell r="I3266" t="str">
            <v>21317</v>
          </cell>
        </row>
        <row r="3267">
          <cell r="G3267" t="str">
            <v>Phường Quang Vinh</v>
          </cell>
          <cell r="I3267" t="str">
            <v>21501</v>
          </cell>
        </row>
        <row r="3268">
          <cell r="G3268" t="str">
            <v xml:space="preserve">Phường Hoàng Văn Thụ   </v>
          </cell>
          <cell r="I3268" t="str">
            <v>21501</v>
          </cell>
        </row>
        <row r="3269">
          <cell r="G3269" t="str">
            <v>Phường Trưng Vương</v>
          </cell>
          <cell r="I3269" t="str">
            <v>21501</v>
          </cell>
        </row>
        <row r="3270">
          <cell r="G3270" t="str">
            <v xml:space="preserve">Phường Quang Trung          </v>
          </cell>
          <cell r="I3270" t="str">
            <v>21501</v>
          </cell>
        </row>
        <row r="3271">
          <cell r="G3271" t="str">
            <v>Phường Tân Thịnh</v>
          </cell>
          <cell r="I3271" t="str">
            <v>21501</v>
          </cell>
        </row>
        <row r="3272">
          <cell r="G3272" t="str">
            <v>Phường Thịnh Đán</v>
          </cell>
          <cell r="I3272" t="str">
            <v>21501</v>
          </cell>
        </row>
        <row r="3273">
          <cell r="G3273" t="str">
            <v>Phường Đồng Quang</v>
          </cell>
          <cell r="I3273" t="str">
            <v>21501</v>
          </cell>
        </row>
        <row r="3274">
          <cell r="G3274" t="str">
            <v>Phường Gia Sàng</v>
          </cell>
          <cell r="I3274" t="str">
            <v>21501</v>
          </cell>
        </row>
        <row r="3275">
          <cell r="G3275" t="str">
            <v>Phường Tân Lập</v>
          </cell>
          <cell r="I3275" t="str">
            <v>21501</v>
          </cell>
        </row>
        <row r="3276">
          <cell r="G3276" t="str">
            <v>Phường Hương Sơn</v>
          </cell>
          <cell r="I3276" t="str">
            <v>21501</v>
          </cell>
        </row>
        <row r="3277">
          <cell r="G3277" t="str">
            <v>Phường Trung Thành</v>
          </cell>
          <cell r="I3277" t="str">
            <v>21501</v>
          </cell>
        </row>
        <row r="3278">
          <cell r="G3278" t="str">
            <v>Phường Tân Long</v>
          </cell>
          <cell r="I3278" t="str">
            <v>21501</v>
          </cell>
        </row>
        <row r="3279">
          <cell r="G3279" t="str">
            <v>Xã Phúc Hà</v>
          </cell>
          <cell r="I3279" t="str">
            <v>21501</v>
          </cell>
        </row>
        <row r="3280">
          <cell r="G3280" t="str">
            <v>Xã Phúc Xuân</v>
          </cell>
          <cell r="I3280" t="str">
            <v>21501</v>
          </cell>
        </row>
        <row r="3281">
          <cell r="G3281" t="str">
            <v>Xã Phúc Trìu</v>
          </cell>
          <cell r="I3281" t="str">
            <v>21501</v>
          </cell>
        </row>
        <row r="3282">
          <cell r="G3282" t="str">
            <v>Xã Thịnh Đức</v>
          </cell>
          <cell r="I3282" t="str">
            <v>21501</v>
          </cell>
        </row>
        <row r="3283">
          <cell r="G3283" t="str">
            <v>Phường Tích Lương</v>
          </cell>
          <cell r="I3283" t="str">
            <v>21501</v>
          </cell>
        </row>
        <row r="3284">
          <cell r="G3284" t="str">
            <v>Phường Quan Triều</v>
          </cell>
          <cell r="I3284" t="str">
            <v>21501</v>
          </cell>
        </row>
        <row r="3285">
          <cell r="G3285" t="str">
            <v>Phường Phú Xá</v>
          </cell>
          <cell r="I3285" t="str">
            <v>21501</v>
          </cell>
        </row>
        <row r="3286">
          <cell r="G3286" t="str">
            <v>Xã Tân Cương</v>
          </cell>
          <cell r="I3286" t="str">
            <v>21501</v>
          </cell>
        </row>
        <row r="3287">
          <cell r="G3287" t="str">
            <v>Phường Túc Duyên</v>
          </cell>
          <cell r="I3287" t="str">
            <v>21501</v>
          </cell>
        </row>
        <row r="3288">
          <cell r="G3288" t="str">
            <v xml:space="preserve">Phường Phan Đình Phùng </v>
          </cell>
          <cell r="I3288" t="str">
            <v>21501</v>
          </cell>
        </row>
        <row r="3289">
          <cell r="G3289" t="str">
            <v>Phường Cam Giá</v>
          </cell>
          <cell r="I3289" t="str">
            <v>21501</v>
          </cell>
        </row>
        <row r="3290">
          <cell r="G3290" t="str">
            <v xml:space="preserve">Phường Tân Thành  </v>
          </cell>
          <cell r="I3290" t="str">
            <v>21501</v>
          </cell>
        </row>
        <row r="3291">
          <cell r="G3291" t="str">
            <v xml:space="preserve">Xã Quyết Thắng    </v>
          </cell>
          <cell r="I3291" t="str">
            <v>21501</v>
          </cell>
        </row>
        <row r="3292">
          <cell r="G3292" t="str">
            <v>Xã Đồng Bẩm</v>
          </cell>
          <cell r="I3292" t="str">
            <v>21501</v>
          </cell>
        </row>
        <row r="3293">
          <cell r="G3293" t="str">
            <v>Xã Cao Ngạn</v>
          </cell>
          <cell r="I3293" t="str">
            <v>21501</v>
          </cell>
        </row>
        <row r="3294">
          <cell r="G3294" t="str">
            <v>Phường Lương Châu</v>
          </cell>
          <cell r="I3294" t="str">
            <v>21503</v>
          </cell>
        </row>
        <row r="3295">
          <cell r="G3295" t="str">
            <v>Phường Mỏ Chè</v>
          </cell>
          <cell r="I3295" t="str">
            <v>21503</v>
          </cell>
        </row>
        <row r="3296">
          <cell r="G3296" t="str">
            <v>Phường Cải Đan</v>
          </cell>
          <cell r="I3296" t="str">
            <v>21503</v>
          </cell>
        </row>
        <row r="3297">
          <cell r="G3297" t="str">
            <v>Phường Phố Cò</v>
          </cell>
          <cell r="I3297" t="str">
            <v>21503</v>
          </cell>
        </row>
        <row r="3298">
          <cell r="G3298" t="str">
            <v>Xã Vinh Sơn</v>
          </cell>
          <cell r="I3298" t="str">
            <v>21503</v>
          </cell>
        </row>
        <row r="3299">
          <cell r="G3299" t="str">
            <v xml:space="preserve">Xã Tân Quang   </v>
          </cell>
          <cell r="I3299" t="str">
            <v>21503</v>
          </cell>
        </row>
        <row r="3300">
          <cell r="G3300" t="str">
            <v>Xã Bá Xuyên</v>
          </cell>
          <cell r="I3300" t="str">
            <v>21503</v>
          </cell>
        </row>
        <row r="3301">
          <cell r="G3301" t="str">
            <v>Phường Thắng Lợi</v>
          </cell>
          <cell r="I3301" t="str">
            <v>21503</v>
          </cell>
        </row>
        <row r="3302">
          <cell r="G3302" t="str">
            <v>Xã Bình Sơn</v>
          </cell>
          <cell r="I3302" t="str">
            <v>21503</v>
          </cell>
        </row>
        <row r="3303">
          <cell r="G3303" t="str">
            <v>Phường Bách Quang</v>
          </cell>
          <cell r="I3303" t="str">
            <v>21503</v>
          </cell>
        </row>
        <row r="3304">
          <cell r="G3304" t="str">
            <v>Phường Lương Sơn</v>
          </cell>
          <cell r="I3304" t="str">
            <v>21503</v>
          </cell>
        </row>
        <row r="3305">
          <cell r="G3305" t="str">
            <v>Thị trấn Chợ Chu</v>
          </cell>
          <cell r="I3305" t="str">
            <v>21505</v>
          </cell>
        </row>
        <row r="3306">
          <cell r="G3306" t="str">
            <v>Xã Quy Kỳ</v>
          </cell>
          <cell r="I3306" t="str">
            <v>21505</v>
          </cell>
        </row>
        <row r="3307">
          <cell r="G3307" t="str">
            <v xml:space="preserve">Xã Tân Thịnh    </v>
          </cell>
          <cell r="I3307" t="str">
            <v>21505</v>
          </cell>
        </row>
        <row r="3308">
          <cell r="G3308" t="str">
            <v>Xã Kim Phượng</v>
          </cell>
          <cell r="I3308" t="str">
            <v>21505</v>
          </cell>
        </row>
        <row r="3309">
          <cell r="G3309" t="str">
            <v xml:space="preserve">Xã Kim Sơn   </v>
          </cell>
          <cell r="I3309" t="str">
            <v>21505</v>
          </cell>
        </row>
        <row r="3310">
          <cell r="G3310" t="str">
            <v>Xã Phúc Chu</v>
          </cell>
          <cell r="I3310" t="str">
            <v>21505</v>
          </cell>
        </row>
        <row r="3311">
          <cell r="G3311" t="str">
            <v>Xã Phượng Tiến</v>
          </cell>
          <cell r="I3311" t="str">
            <v>21505</v>
          </cell>
        </row>
        <row r="3312">
          <cell r="G3312" t="str">
            <v>Xã Bảo Cường</v>
          </cell>
          <cell r="I3312" t="str">
            <v>21505</v>
          </cell>
        </row>
        <row r="3313">
          <cell r="G3313" t="str">
            <v>Xã Đồng Thịnh</v>
          </cell>
          <cell r="I3313" t="str">
            <v>21505</v>
          </cell>
        </row>
        <row r="3314">
          <cell r="G3314" t="str">
            <v>Xã Trung Hội</v>
          </cell>
          <cell r="I3314" t="str">
            <v>21505</v>
          </cell>
        </row>
        <row r="3315">
          <cell r="G3315" t="str">
            <v xml:space="preserve">Xã Trung Lương </v>
          </cell>
          <cell r="I3315" t="str">
            <v>21505</v>
          </cell>
        </row>
        <row r="3316">
          <cell r="G3316" t="str">
            <v>Xã Điềm Mặc</v>
          </cell>
          <cell r="I3316" t="str">
            <v>21505</v>
          </cell>
        </row>
        <row r="3317">
          <cell r="G3317" t="str">
            <v>Xã Phú Tiến</v>
          </cell>
          <cell r="I3317" t="str">
            <v>21505</v>
          </cell>
        </row>
        <row r="3318">
          <cell r="G3318" t="str">
            <v>Xã Bộc Nhiêu</v>
          </cell>
          <cell r="I3318" t="str">
            <v>21505</v>
          </cell>
        </row>
        <row r="3319">
          <cell r="G3319" t="str">
            <v>Xã Phú Đình</v>
          </cell>
          <cell r="I3319" t="str">
            <v>21505</v>
          </cell>
        </row>
        <row r="3320">
          <cell r="G3320" t="str">
            <v>Xã Bình Thành</v>
          </cell>
          <cell r="I3320" t="str">
            <v>21505</v>
          </cell>
        </row>
        <row r="3321">
          <cell r="G3321" t="str">
            <v>Xã Linh Thông</v>
          </cell>
          <cell r="I3321" t="str">
            <v>21505</v>
          </cell>
        </row>
        <row r="3322">
          <cell r="G3322" t="str">
            <v>Xã Thanh Định</v>
          </cell>
          <cell r="I3322" t="str">
            <v>21505</v>
          </cell>
        </row>
        <row r="3323">
          <cell r="G3323" t="str">
            <v>Xã Lam Vỹ</v>
          </cell>
          <cell r="I3323" t="str">
            <v>21505</v>
          </cell>
        </row>
        <row r="3324">
          <cell r="G3324" t="str">
            <v>Xã Bảo Linh</v>
          </cell>
          <cell r="I3324" t="str">
            <v>21505</v>
          </cell>
        </row>
        <row r="3325">
          <cell r="G3325" t="str">
            <v xml:space="preserve">Xã Tân Dương  </v>
          </cell>
          <cell r="I3325" t="str">
            <v>21505</v>
          </cell>
        </row>
        <row r="3326">
          <cell r="G3326" t="str">
            <v>Xã Định Biên</v>
          </cell>
          <cell r="I3326" t="str">
            <v>21505</v>
          </cell>
        </row>
        <row r="3327">
          <cell r="G3327" t="str">
            <v xml:space="preserve">Xã Bình Yên  </v>
          </cell>
          <cell r="I3327" t="str">
            <v>21505</v>
          </cell>
        </row>
        <row r="3328">
          <cell r="G3328" t="str">
            <v xml:space="preserve">Xã Sơn Phú </v>
          </cell>
          <cell r="I3328" t="str">
            <v>21505</v>
          </cell>
        </row>
        <row r="3329">
          <cell r="G3329" t="str">
            <v>Thị trấn Đình Cả</v>
          </cell>
          <cell r="I3329" t="str">
            <v>21507</v>
          </cell>
        </row>
        <row r="3330">
          <cell r="G3330" t="str">
            <v>Xã Nghinh Tường</v>
          </cell>
          <cell r="I3330" t="str">
            <v>21507</v>
          </cell>
        </row>
        <row r="3331">
          <cell r="G3331" t="str">
            <v>Xã Thần Xa</v>
          </cell>
          <cell r="I3331" t="str">
            <v>21507</v>
          </cell>
        </row>
        <row r="3332">
          <cell r="G3332" t="str">
            <v>Xã Vũ Chấn</v>
          </cell>
          <cell r="I3332" t="str">
            <v>21507</v>
          </cell>
        </row>
        <row r="3333">
          <cell r="G3333" t="str">
            <v>Xã Phú Thượng</v>
          </cell>
          <cell r="I3333" t="str">
            <v>21507</v>
          </cell>
        </row>
        <row r="3334">
          <cell r="G3334" t="str">
            <v>Xã La Hiên</v>
          </cell>
          <cell r="I3334" t="str">
            <v>21507</v>
          </cell>
        </row>
        <row r="3335">
          <cell r="G3335" t="str">
            <v>Xã Tràng Xá</v>
          </cell>
          <cell r="I3335" t="str">
            <v>21507</v>
          </cell>
        </row>
        <row r="3336">
          <cell r="G3336" t="str">
            <v>Xã Phương Giao</v>
          </cell>
          <cell r="I3336" t="str">
            <v>21507</v>
          </cell>
        </row>
        <row r="3337">
          <cell r="G3337" t="str">
            <v xml:space="preserve">Xã Liên Minh </v>
          </cell>
          <cell r="I3337" t="str">
            <v>21507</v>
          </cell>
        </row>
        <row r="3338">
          <cell r="G3338" t="str">
            <v xml:space="preserve">Xã Bình Long </v>
          </cell>
          <cell r="I3338" t="str">
            <v>21507</v>
          </cell>
        </row>
        <row r="3339">
          <cell r="G3339" t="str">
            <v>Xã Cúc Đường</v>
          </cell>
          <cell r="I3339" t="str">
            <v>21507</v>
          </cell>
        </row>
        <row r="3340">
          <cell r="G3340" t="str">
            <v>Xã Sảng Mộc</v>
          </cell>
          <cell r="I3340" t="str">
            <v>21507</v>
          </cell>
        </row>
        <row r="3341">
          <cell r="G3341" t="str">
            <v>Xã Thượng Nung</v>
          </cell>
          <cell r="I3341" t="str">
            <v>21507</v>
          </cell>
        </row>
        <row r="3342">
          <cell r="G3342" t="str">
            <v>Xã Lâu Thượng</v>
          </cell>
          <cell r="I3342" t="str">
            <v>21507</v>
          </cell>
        </row>
        <row r="3343">
          <cell r="G3343" t="str">
            <v xml:space="preserve">Xã Dân Tiến </v>
          </cell>
          <cell r="I3343" t="str">
            <v>21507</v>
          </cell>
        </row>
        <row r="3344">
          <cell r="G3344" t="str">
            <v>Xã Sơn Cẩm</v>
          </cell>
          <cell r="I3344" t="str">
            <v>21509</v>
          </cell>
        </row>
        <row r="3345">
          <cell r="G3345" t="str">
            <v>Thị trấn Giang Tiên</v>
          </cell>
          <cell r="I3345" t="str">
            <v>21509</v>
          </cell>
        </row>
        <row r="3346">
          <cell r="G3346" t="str">
            <v xml:space="preserve">Xã Yên Ninh </v>
          </cell>
          <cell r="I3346" t="str">
            <v>21509</v>
          </cell>
        </row>
        <row r="3347">
          <cell r="G3347" t="str">
            <v>Xã Yên Đổ</v>
          </cell>
          <cell r="I3347" t="str">
            <v>21509</v>
          </cell>
        </row>
        <row r="3348">
          <cell r="G3348" t="str">
            <v>Xã ôn Lương</v>
          </cell>
          <cell r="I3348" t="str">
            <v>21509</v>
          </cell>
        </row>
        <row r="3349">
          <cell r="G3349" t="str">
            <v>Xã Động Đạt</v>
          </cell>
          <cell r="I3349" t="str">
            <v>21509</v>
          </cell>
        </row>
        <row r="3350">
          <cell r="G3350" t="str">
            <v>Xã Phủ Lý</v>
          </cell>
          <cell r="I3350" t="str">
            <v>21509</v>
          </cell>
        </row>
        <row r="3351">
          <cell r="G3351" t="str">
            <v xml:space="preserve">Xã Hợp Thành    </v>
          </cell>
          <cell r="I3351" t="str">
            <v>21509</v>
          </cell>
        </row>
        <row r="3352">
          <cell r="G3352" t="str">
            <v>Xã Tức Tranh</v>
          </cell>
          <cell r="I3352" t="str">
            <v>21509</v>
          </cell>
        </row>
        <row r="3353">
          <cell r="G3353" t="str">
            <v>Xã Vô Tranh</v>
          </cell>
          <cell r="I3353" t="str">
            <v>21509</v>
          </cell>
        </row>
        <row r="3354">
          <cell r="G3354" t="str">
            <v>Xã Cổ Lũng</v>
          </cell>
          <cell r="I3354" t="str">
            <v>21509</v>
          </cell>
        </row>
        <row r="3355">
          <cell r="G3355" t="str">
            <v xml:space="preserve">Xã Yên Trạch </v>
          </cell>
          <cell r="I3355" t="str">
            <v>21509</v>
          </cell>
        </row>
        <row r="3356">
          <cell r="G3356" t="str">
            <v>Thị trấn Đu</v>
          </cell>
          <cell r="I3356" t="str">
            <v>21509</v>
          </cell>
        </row>
        <row r="3357">
          <cell r="G3357" t="str">
            <v xml:space="preserve">Xã Yên Lạc </v>
          </cell>
          <cell r="I3357" t="str">
            <v>21509</v>
          </cell>
        </row>
        <row r="3358">
          <cell r="G3358" t="str">
            <v>Xã Phú Đô</v>
          </cell>
          <cell r="I3358" t="str">
            <v>21509</v>
          </cell>
        </row>
        <row r="3359">
          <cell r="G3359" t="str">
            <v>Xã Phấn Mễ</v>
          </cell>
          <cell r="I3359" t="str">
            <v>21509</v>
          </cell>
        </row>
        <row r="3360">
          <cell r="G3360" t="str">
            <v>Thị trấn Sông Cầu</v>
          </cell>
          <cell r="I3360" t="str">
            <v>21511</v>
          </cell>
        </row>
        <row r="3361">
          <cell r="G3361" t="str">
            <v>Thị trấn Chùa Hang</v>
          </cell>
          <cell r="I3361" t="str">
            <v>21511</v>
          </cell>
        </row>
        <row r="3362">
          <cell r="G3362" t="str">
            <v>Thị trấn Trại Cau</v>
          </cell>
          <cell r="I3362" t="str">
            <v>21511</v>
          </cell>
        </row>
        <row r="3363">
          <cell r="G3363" t="str">
            <v>Xã Văn Lăng</v>
          </cell>
          <cell r="I3363" t="str">
            <v>21511</v>
          </cell>
        </row>
        <row r="3364">
          <cell r="G3364" t="str">
            <v xml:space="preserve">Xã Tân Long </v>
          </cell>
          <cell r="I3364" t="str">
            <v>21511</v>
          </cell>
        </row>
        <row r="3365">
          <cell r="G3365" t="str">
            <v xml:space="preserve">Xã Quang Sơn </v>
          </cell>
          <cell r="I3365" t="str">
            <v>21511</v>
          </cell>
        </row>
        <row r="3366">
          <cell r="G3366" t="str">
            <v>Xã Minh Lập</v>
          </cell>
          <cell r="I3366" t="str">
            <v>21511</v>
          </cell>
        </row>
        <row r="3367">
          <cell r="G3367" t="str">
            <v>Xã Văn Hán</v>
          </cell>
          <cell r="I3367" t="str">
            <v>21511</v>
          </cell>
        </row>
        <row r="3368">
          <cell r="G3368" t="str">
            <v>Xã Khe Mo</v>
          </cell>
          <cell r="I3368" t="str">
            <v>21511</v>
          </cell>
        </row>
        <row r="3369">
          <cell r="G3369" t="str">
            <v>Xã Cây Thị</v>
          </cell>
          <cell r="I3369" t="str">
            <v>21511</v>
          </cell>
        </row>
        <row r="3370">
          <cell r="G3370" t="str">
            <v>Xã Hóa Thượng</v>
          </cell>
          <cell r="I3370" t="str">
            <v>21511</v>
          </cell>
        </row>
        <row r="3371">
          <cell r="G3371" t="str">
            <v xml:space="preserve">Xã Hợp Tiến   </v>
          </cell>
          <cell r="I3371" t="str">
            <v>21511</v>
          </cell>
        </row>
        <row r="3372">
          <cell r="G3372" t="str">
            <v>Xã Linh Sơn</v>
          </cell>
          <cell r="I3372" t="str">
            <v>21511</v>
          </cell>
        </row>
        <row r="3373">
          <cell r="G3373" t="str">
            <v>Xã Huống Thượng</v>
          </cell>
          <cell r="I3373" t="str">
            <v>21511</v>
          </cell>
        </row>
        <row r="3374">
          <cell r="G3374" t="str">
            <v xml:space="preserve">Xã Hòa Bình          </v>
          </cell>
          <cell r="I3374" t="str">
            <v>21511</v>
          </cell>
        </row>
        <row r="3375">
          <cell r="G3375" t="str">
            <v>Xã Tân Lợi</v>
          </cell>
          <cell r="I3375" t="str">
            <v>21511</v>
          </cell>
        </row>
        <row r="3376">
          <cell r="G3376" t="str">
            <v>Xã Hóa Trung</v>
          </cell>
          <cell r="I3376" t="str">
            <v>21511</v>
          </cell>
        </row>
        <row r="3377">
          <cell r="G3377" t="str">
            <v>Xã Nam Hòa</v>
          </cell>
          <cell r="I3377" t="str">
            <v>21511</v>
          </cell>
        </row>
        <row r="3378">
          <cell r="G3378" t="str">
            <v>Thị trấn Hùng Sơn</v>
          </cell>
          <cell r="I3378" t="str">
            <v>21513</v>
          </cell>
        </row>
        <row r="3379">
          <cell r="G3379" t="str">
            <v>Thị trấn Quân Chu</v>
          </cell>
          <cell r="I3379" t="str">
            <v>21513</v>
          </cell>
        </row>
        <row r="3380">
          <cell r="G3380" t="str">
            <v xml:space="preserve">Xã Minh Tiến    </v>
          </cell>
          <cell r="I3380" t="str">
            <v>21513</v>
          </cell>
        </row>
        <row r="3381">
          <cell r="G3381" t="str">
            <v>Xã Đức Lương</v>
          </cell>
          <cell r="I3381" t="str">
            <v>21513</v>
          </cell>
        </row>
        <row r="3382">
          <cell r="G3382" t="str">
            <v>Xã Na Mao</v>
          </cell>
          <cell r="I3382" t="str">
            <v>21513</v>
          </cell>
        </row>
        <row r="3383">
          <cell r="G3383" t="str">
            <v>Xã Phú Lạc</v>
          </cell>
          <cell r="I3383" t="str">
            <v>21513</v>
          </cell>
        </row>
        <row r="3384">
          <cell r="G3384" t="str">
            <v>Xã Tân Linh</v>
          </cell>
          <cell r="I3384" t="str">
            <v>21513</v>
          </cell>
        </row>
        <row r="3385">
          <cell r="G3385" t="str">
            <v>Xã Phục Linh</v>
          </cell>
          <cell r="I3385" t="str">
            <v>21513</v>
          </cell>
        </row>
        <row r="3386">
          <cell r="G3386" t="str">
            <v>Xã Phú Xuyên</v>
          </cell>
          <cell r="I3386" t="str">
            <v>21513</v>
          </cell>
        </row>
        <row r="3387">
          <cell r="G3387" t="str">
            <v>Xã Bản Ngoại</v>
          </cell>
          <cell r="I3387" t="str">
            <v>21513</v>
          </cell>
        </row>
        <row r="3388">
          <cell r="G3388" t="str">
            <v>Xã Hà Thượng</v>
          </cell>
          <cell r="I3388" t="str">
            <v>21513</v>
          </cell>
        </row>
        <row r="3389">
          <cell r="G3389" t="str">
            <v>Xã Hoàng Nông</v>
          </cell>
          <cell r="I3389" t="str">
            <v>21513</v>
          </cell>
        </row>
        <row r="3390">
          <cell r="G3390" t="str">
            <v>Xã Khôi Kỳ</v>
          </cell>
          <cell r="I3390" t="str">
            <v>21513</v>
          </cell>
        </row>
        <row r="3391">
          <cell r="G3391" t="str">
            <v xml:space="preserve">Xã An Khánh </v>
          </cell>
          <cell r="I3391" t="str">
            <v>21513</v>
          </cell>
        </row>
        <row r="3392">
          <cell r="G3392" t="str">
            <v xml:space="preserve">Xã Bình Thuận </v>
          </cell>
          <cell r="I3392" t="str">
            <v>21513</v>
          </cell>
        </row>
        <row r="3393">
          <cell r="G3393" t="str">
            <v>Xã Lục Ba</v>
          </cell>
          <cell r="I3393" t="str">
            <v>21513</v>
          </cell>
        </row>
        <row r="3394">
          <cell r="G3394" t="str">
            <v>Xã Mỹ Yên</v>
          </cell>
          <cell r="I3394" t="str">
            <v>21513</v>
          </cell>
        </row>
        <row r="3395">
          <cell r="G3395" t="str">
            <v>Xã Ký Phú</v>
          </cell>
          <cell r="I3395" t="str">
            <v>21513</v>
          </cell>
        </row>
        <row r="3396">
          <cell r="G3396" t="str">
            <v>Xã Cát Nê</v>
          </cell>
          <cell r="I3396" t="str">
            <v>21513</v>
          </cell>
        </row>
        <row r="3397">
          <cell r="G3397" t="str">
            <v>Xã Yên Lãng</v>
          </cell>
          <cell r="I3397" t="str">
            <v>21513</v>
          </cell>
        </row>
        <row r="3398">
          <cell r="G3398" t="str">
            <v>Xã Cù Vân</v>
          </cell>
          <cell r="I3398" t="str">
            <v>21513</v>
          </cell>
        </row>
        <row r="3399">
          <cell r="G3399" t="str">
            <v>Xã Văn Yên</v>
          </cell>
          <cell r="I3399" t="str">
            <v>21513</v>
          </cell>
        </row>
        <row r="3400">
          <cell r="G3400" t="str">
            <v>Xã Phúc Lương</v>
          </cell>
          <cell r="I3400" t="str">
            <v>21513</v>
          </cell>
        </row>
        <row r="3401">
          <cell r="G3401" t="str">
            <v xml:space="preserve">Xã Phú Cường   </v>
          </cell>
          <cell r="I3401" t="str">
            <v>21513</v>
          </cell>
        </row>
        <row r="3402">
          <cell r="G3402" t="str">
            <v xml:space="preserve">Xã Phú Thịnh   </v>
          </cell>
          <cell r="I3402" t="str">
            <v>21513</v>
          </cell>
        </row>
        <row r="3403">
          <cell r="G3403" t="str">
            <v>Xã Tiên Hội</v>
          </cell>
          <cell r="I3403" t="str">
            <v>21513</v>
          </cell>
        </row>
        <row r="3404">
          <cell r="G3404" t="str">
            <v>Xã La Bằng</v>
          </cell>
          <cell r="I3404" t="str">
            <v>21513</v>
          </cell>
        </row>
        <row r="3405">
          <cell r="G3405" t="str">
            <v>Xã Tân Thái</v>
          </cell>
          <cell r="I3405" t="str">
            <v>21513</v>
          </cell>
        </row>
        <row r="3406">
          <cell r="G3406" t="str">
            <v>Xã Vạn Thọ</v>
          </cell>
          <cell r="I3406" t="str">
            <v>21513</v>
          </cell>
        </row>
        <row r="3407">
          <cell r="G3407" t="str">
            <v>Xã Quân Chu</v>
          </cell>
          <cell r="I3407" t="str">
            <v>21513</v>
          </cell>
        </row>
        <row r="3408">
          <cell r="G3408" t="str">
            <v>Thị trấn Hương Sơn</v>
          </cell>
          <cell r="I3408" t="str">
            <v>21515</v>
          </cell>
        </row>
        <row r="3409">
          <cell r="G3409" t="str">
            <v xml:space="preserve">Xã Tân Khánh </v>
          </cell>
          <cell r="I3409" t="str">
            <v>21515</v>
          </cell>
        </row>
        <row r="3410">
          <cell r="G3410" t="str">
            <v>Xã Tân Kim</v>
          </cell>
          <cell r="I3410" t="str">
            <v>21515</v>
          </cell>
        </row>
        <row r="3411">
          <cell r="G3411" t="str">
            <v>Xã Đào Xá</v>
          </cell>
          <cell r="I3411" t="str">
            <v>21515</v>
          </cell>
        </row>
        <row r="3412">
          <cell r="G3412" t="str">
            <v>Xã Bảo Lý</v>
          </cell>
          <cell r="I3412" t="str">
            <v>21515</v>
          </cell>
        </row>
        <row r="3413">
          <cell r="G3413" t="str">
            <v>Xã Thượng Đình</v>
          </cell>
          <cell r="I3413" t="str">
            <v>21515</v>
          </cell>
        </row>
        <row r="3414">
          <cell r="G3414" t="str">
            <v>Xã Nhã Lộng</v>
          </cell>
          <cell r="I3414" t="str">
            <v>21515</v>
          </cell>
        </row>
        <row r="3415">
          <cell r="G3415" t="str">
            <v>Xã Điềm Thụy</v>
          </cell>
          <cell r="I3415" t="str">
            <v>21515</v>
          </cell>
        </row>
        <row r="3416">
          <cell r="G3416" t="str">
            <v>Xã Tân Đức</v>
          </cell>
          <cell r="I3416" t="str">
            <v>21515</v>
          </cell>
        </row>
        <row r="3417">
          <cell r="G3417" t="str">
            <v>Xã Lương Phú</v>
          </cell>
          <cell r="I3417" t="str">
            <v>21515</v>
          </cell>
        </row>
        <row r="3418">
          <cell r="G3418" t="str">
            <v>Xã Nga My</v>
          </cell>
          <cell r="I3418" t="str">
            <v>21515</v>
          </cell>
        </row>
        <row r="3419">
          <cell r="G3419" t="str">
            <v>Xã Thanh Ninh</v>
          </cell>
          <cell r="I3419" t="str">
            <v>21515</v>
          </cell>
        </row>
        <row r="3420">
          <cell r="G3420" t="str">
            <v>Xã Dương Thành</v>
          </cell>
          <cell r="I3420" t="str">
            <v>21515</v>
          </cell>
        </row>
        <row r="3421">
          <cell r="G3421" t="str">
            <v>Xã Đồng Liên</v>
          </cell>
          <cell r="I3421" t="str">
            <v>21515</v>
          </cell>
        </row>
        <row r="3422">
          <cell r="G3422" t="str">
            <v>Xã úc Kỳ</v>
          </cell>
          <cell r="I3422" t="str">
            <v>21515</v>
          </cell>
        </row>
        <row r="3423">
          <cell r="G3423" t="str">
            <v>Xã Bàn Đạt</v>
          </cell>
          <cell r="I3423" t="str">
            <v>21515</v>
          </cell>
        </row>
        <row r="3424">
          <cell r="G3424" t="str">
            <v xml:space="preserve">Xã Tân Thành       </v>
          </cell>
          <cell r="I3424" t="str">
            <v>21515</v>
          </cell>
        </row>
        <row r="3425">
          <cell r="G3425" t="str">
            <v xml:space="preserve">Xã Tân Hòa    </v>
          </cell>
          <cell r="I3425" t="str">
            <v>21515</v>
          </cell>
        </row>
        <row r="3426">
          <cell r="G3426" t="str">
            <v xml:space="preserve">Xã Xuân Phương  </v>
          </cell>
          <cell r="I3426" t="str">
            <v>21515</v>
          </cell>
        </row>
        <row r="3427">
          <cell r="G3427" t="str">
            <v>Xã Kha Sơn</v>
          </cell>
          <cell r="I3427" t="str">
            <v>21515</v>
          </cell>
        </row>
        <row r="3428">
          <cell r="G3428" t="str">
            <v>Xã Hà Châu</v>
          </cell>
          <cell r="I3428" t="str">
            <v>21515</v>
          </cell>
        </row>
        <row r="3429">
          <cell r="G3429" t="str">
            <v>Phường Bãi Bông</v>
          </cell>
          <cell r="I3429" t="str">
            <v>21517</v>
          </cell>
        </row>
        <row r="3430">
          <cell r="G3430" t="str">
            <v xml:space="preserve">Phường Bắc Sơn  </v>
          </cell>
          <cell r="I3430" t="str">
            <v>21517</v>
          </cell>
        </row>
        <row r="3431">
          <cell r="G3431" t="str">
            <v>Xã Phúc Tân</v>
          </cell>
          <cell r="I3431" t="str">
            <v>21517</v>
          </cell>
        </row>
        <row r="3432">
          <cell r="G3432" t="str">
            <v>Xã Phúc Thuận</v>
          </cell>
          <cell r="I3432" t="str">
            <v>21517</v>
          </cell>
        </row>
        <row r="3433">
          <cell r="G3433" t="str">
            <v xml:space="preserve">Xã Hồng Tiến  </v>
          </cell>
          <cell r="I3433" t="str">
            <v>21517</v>
          </cell>
        </row>
        <row r="3434">
          <cell r="G3434" t="str">
            <v xml:space="preserve">Xã Minh Đức   </v>
          </cell>
          <cell r="I3434" t="str">
            <v>21517</v>
          </cell>
        </row>
        <row r="3435">
          <cell r="G3435" t="str">
            <v xml:space="preserve">Xã Thành Công  </v>
          </cell>
          <cell r="I3435" t="str">
            <v>21517</v>
          </cell>
        </row>
        <row r="3436">
          <cell r="G3436" t="str">
            <v xml:space="preserve">Xã Tiên Phong </v>
          </cell>
          <cell r="I3436" t="str">
            <v>21517</v>
          </cell>
        </row>
        <row r="3437">
          <cell r="G3437" t="str">
            <v xml:space="preserve">Xã Nam Tiến </v>
          </cell>
          <cell r="I3437" t="str">
            <v>21517</v>
          </cell>
        </row>
        <row r="3438">
          <cell r="G3438" t="str">
            <v xml:space="preserve">Xã Tân Hương   </v>
          </cell>
          <cell r="I3438" t="str">
            <v>21517</v>
          </cell>
        </row>
        <row r="3439">
          <cell r="G3439" t="str">
            <v>Xã Đông Cao</v>
          </cell>
          <cell r="I3439" t="str">
            <v>21517</v>
          </cell>
        </row>
        <row r="3440">
          <cell r="G3440" t="str">
            <v xml:space="preserve">Xã Tân Phú </v>
          </cell>
          <cell r="I3440" t="str">
            <v>21517</v>
          </cell>
        </row>
        <row r="3441">
          <cell r="G3441" t="str">
            <v>Xã Thuận Thành</v>
          </cell>
          <cell r="I3441" t="str">
            <v>21517</v>
          </cell>
        </row>
        <row r="3442">
          <cell r="G3442" t="str">
            <v>Phường Đồng Tiến</v>
          </cell>
          <cell r="I3442" t="str">
            <v>21517</v>
          </cell>
        </row>
        <row r="3443">
          <cell r="G3443" t="str">
            <v>Phường Ba Hàng</v>
          </cell>
          <cell r="I3443" t="str">
            <v>21517</v>
          </cell>
        </row>
        <row r="3444">
          <cell r="G3444" t="str">
            <v>Xã Đắc Sơn</v>
          </cell>
          <cell r="I3444" t="str">
            <v>21517</v>
          </cell>
        </row>
        <row r="3445">
          <cell r="G3445" t="str">
            <v>Xã Vạn Phái</v>
          </cell>
          <cell r="I3445" t="str">
            <v>21517</v>
          </cell>
        </row>
        <row r="3446">
          <cell r="G3446" t="str">
            <v xml:space="preserve">Xã Trung Thành   </v>
          </cell>
          <cell r="I3446" t="str">
            <v>21517</v>
          </cell>
        </row>
        <row r="3447">
          <cell r="G3447" t="str">
            <v>Phường Dữu Lâu</v>
          </cell>
          <cell r="I3447" t="str">
            <v>21701</v>
          </cell>
        </row>
        <row r="3448">
          <cell r="G3448" t="str">
            <v>Phường Vân Cơ</v>
          </cell>
          <cell r="I3448" t="str">
            <v>21701</v>
          </cell>
        </row>
        <row r="3449">
          <cell r="G3449" t="str">
            <v>Phường Nông Trang</v>
          </cell>
          <cell r="I3449" t="str">
            <v>21701</v>
          </cell>
        </row>
        <row r="3450">
          <cell r="G3450" t="str">
            <v>Phường Gia Cẩm</v>
          </cell>
          <cell r="I3450" t="str">
            <v>21701</v>
          </cell>
        </row>
        <row r="3451">
          <cell r="G3451" t="str">
            <v>Phường Thọ Sơn</v>
          </cell>
          <cell r="I3451" t="str">
            <v>21701</v>
          </cell>
        </row>
        <row r="3452">
          <cell r="G3452" t="str">
            <v>Phường Thanh Miếu</v>
          </cell>
          <cell r="I3452" t="str">
            <v>21701</v>
          </cell>
        </row>
        <row r="3453">
          <cell r="G3453" t="str">
            <v>Phường Bạch Hạc</v>
          </cell>
          <cell r="I3453" t="str">
            <v>21701</v>
          </cell>
        </row>
        <row r="3454">
          <cell r="G3454" t="str">
            <v>Phường Vân Phú</v>
          </cell>
          <cell r="I3454" t="str">
            <v>21701</v>
          </cell>
        </row>
        <row r="3455">
          <cell r="G3455" t="str">
            <v>Xã Phượng Lâu</v>
          </cell>
          <cell r="I3455" t="str">
            <v>21701</v>
          </cell>
        </row>
        <row r="3456">
          <cell r="G3456" t="str">
            <v>Xã Thụy Vân</v>
          </cell>
          <cell r="I3456" t="str">
            <v>21701</v>
          </cell>
        </row>
        <row r="3457">
          <cell r="G3457" t="str">
            <v>Phường Minh Phương</v>
          </cell>
          <cell r="I3457" t="str">
            <v>21701</v>
          </cell>
        </row>
        <row r="3458">
          <cell r="G3458" t="str">
            <v>Xã Sông Lô</v>
          </cell>
          <cell r="I3458" t="str">
            <v>21701</v>
          </cell>
        </row>
        <row r="3459">
          <cell r="G3459" t="str">
            <v>Phường Tân Dân</v>
          </cell>
          <cell r="I3459" t="str">
            <v>21701</v>
          </cell>
        </row>
        <row r="3460">
          <cell r="G3460" t="str">
            <v>Phường Minh Nông</v>
          </cell>
          <cell r="I3460" t="str">
            <v>21701</v>
          </cell>
        </row>
        <row r="3461">
          <cell r="G3461" t="str">
            <v>Phường Tiên Cát</v>
          </cell>
          <cell r="I3461" t="str">
            <v>21701</v>
          </cell>
        </row>
        <row r="3462">
          <cell r="G3462" t="str">
            <v>Phường Bến Gót</v>
          </cell>
          <cell r="I3462" t="str">
            <v>21701</v>
          </cell>
        </row>
        <row r="3463">
          <cell r="G3463" t="str">
            <v xml:space="preserve">Xã Trưng Vương </v>
          </cell>
          <cell r="I3463" t="str">
            <v>21701</v>
          </cell>
        </row>
        <row r="3464">
          <cell r="G3464" t="str">
            <v xml:space="preserve">Xã Tân Đức </v>
          </cell>
          <cell r="I3464" t="str">
            <v>21701</v>
          </cell>
        </row>
        <row r="3465">
          <cell r="G3465" t="str">
            <v>Xã Kim Đức</v>
          </cell>
          <cell r="I3465" t="str">
            <v>21701</v>
          </cell>
        </row>
        <row r="3466">
          <cell r="G3466" t="str">
            <v>Xã Hy Cương</v>
          </cell>
          <cell r="I3466" t="str">
            <v>21701</v>
          </cell>
        </row>
        <row r="3467">
          <cell r="G3467" t="str">
            <v>Xã Chu Hoá</v>
          </cell>
          <cell r="I3467" t="str">
            <v>21701</v>
          </cell>
        </row>
        <row r="3468">
          <cell r="G3468" t="str">
            <v>Xã Thanh Đình</v>
          </cell>
          <cell r="I3468" t="str">
            <v>21701</v>
          </cell>
        </row>
        <row r="3469">
          <cell r="G3469" t="str">
            <v>Xã Hùng Lô</v>
          </cell>
          <cell r="I3469" t="str">
            <v>21701</v>
          </cell>
        </row>
        <row r="3470">
          <cell r="G3470" t="str">
            <v>Phường Trường Thịnh</v>
          </cell>
          <cell r="I3470" t="str">
            <v>21703</v>
          </cell>
        </row>
        <row r="3471">
          <cell r="G3471" t="str">
            <v>Phường Phong Châu</v>
          </cell>
          <cell r="I3471" t="str">
            <v>21703</v>
          </cell>
        </row>
        <row r="3472">
          <cell r="G3472" t="str">
            <v>Phường âu Cơ</v>
          </cell>
          <cell r="I3472" t="str">
            <v>21703</v>
          </cell>
        </row>
        <row r="3473">
          <cell r="G3473" t="str">
            <v>Xã Hà Lộc</v>
          </cell>
          <cell r="I3473" t="str">
            <v>21703</v>
          </cell>
        </row>
        <row r="3474">
          <cell r="G3474" t="str">
            <v>Xã Văn Lung</v>
          </cell>
          <cell r="I3474" t="str">
            <v>21703</v>
          </cell>
        </row>
        <row r="3475">
          <cell r="G3475" t="str">
            <v>Xã Thanh Minh</v>
          </cell>
          <cell r="I3475" t="str">
            <v>21703</v>
          </cell>
        </row>
        <row r="3476">
          <cell r="G3476" t="str">
            <v>Xã Hà Thạch</v>
          </cell>
          <cell r="I3476" t="str">
            <v>21703</v>
          </cell>
        </row>
        <row r="3477">
          <cell r="G3477" t="str">
            <v xml:space="preserve">Phường Hùng Vương </v>
          </cell>
          <cell r="I3477" t="str">
            <v>21703</v>
          </cell>
        </row>
        <row r="3478">
          <cell r="G3478" t="str">
            <v>Xã Phú Hộ</v>
          </cell>
          <cell r="I3478" t="str">
            <v>21703</v>
          </cell>
        </row>
        <row r="3479">
          <cell r="G3479" t="str">
            <v>Phường Thanh Vinh</v>
          </cell>
          <cell r="I3479" t="str">
            <v>21703</v>
          </cell>
        </row>
        <row r="3480">
          <cell r="G3480" t="str">
            <v>Xã Đông Khê</v>
          </cell>
          <cell r="I3480" t="str">
            <v>21705</v>
          </cell>
        </row>
        <row r="3481">
          <cell r="G3481" t="str">
            <v>Xã Nghinh Xuyên</v>
          </cell>
          <cell r="I3481" t="str">
            <v>21705</v>
          </cell>
        </row>
        <row r="3482">
          <cell r="G3482" t="str">
            <v>Xã Bằng Luân</v>
          </cell>
          <cell r="I3482" t="str">
            <v>21705</v>
          </cell>
        </row>
        <row r="3483">
          <cell r="G3483" t="str">
            <v xml:space="preserve">Xã Vân Du </v>
          </cell>
          <cell r="I3483" t="str">
            <v>21705</v>
          </cell>
        </row>
        <row r="3484">
          <cell r="G3484" t="str">
            <v xml:space="preserve">Xã Phương Trung </v>
          </cell>
          <cell r="I3484" t="str">
            <v>21705</v>
          </cell>
        </row>
        <row r="3485">
          <cell r="G3485" t="str">
            <v xml:space="preserve">Xã Minh Lương </v>
          </cell>
          <cell r="I3485" t="str">
            <v>21705</v>
          </cell>
        </row>
        <row r="3486">
          <cell r="G3486" t="str">
            <v>Xã Bằng Doãn</v>
          </cell>
          <cell r="I3486" t="str">
            <v>21705</v>
          </cell>
        </row>
        <row r="3487">
          <cell r="G3487" t="str">
            <v>Xã Chí Đám</v>
          </cell>
          <cell r="I3487" t="str">
            <v>21705</v>
          </cell>
        </row>
        <row r="3488">
          <cell r="G3488" t="str">
            <v>Xã Phúc Lai</v>
          </cell>
          <cell r="I3488" t="str">
            <v>21705</v>
          </cell>
        </row>
        <row r="3489">
          <cell r="G3489" t="str">
            <v>Xã Ngọc Quan</v>
          </cell>
          <cell r="I3489" t="str">
            <v>21705</v>
          </cell>
        </row>
        <row r="3490">
          <cell r="G3490" t="str">
            <v>Xã Sóc Đăng</v>
          </cell>
          <cell r="I3490" t="str">
            <v>21705</v>
          </cell>
        </row>
        <row r="3491">
          <cell r="G3491" t="str">
            <v>Xã Phú Thứ</v>
          </cell>
          <cell r="I3491" t="str">
            <v>21705</v>
          </cell>
        </row>
        <row r="3492">
          <cell r="G3492" t="str">
            <v>Xã Tây Cốc</v>
          </cell>
          <cell r="I3492" t="str">
            <v>21705</v>
          </cell>
        </row>
        <row r="3493">
          <cell r="G3493" t="str">
            <v>Xã Hùng Long</v>
          </cell>
          <cell r="I3493" t="str">
            <v>21705</v>
          </cell>
        </row>
        <row r="3494">
          <cell r="G3494" t="str">
            <v>Xã Vụ Quang</v>
          </cell>
          <cell r="I3494" t="str">
            <v>21705</v>
          </cell>
        </row>
        <row r="3495">
          <cell r="G3495" t="str">
            <v>Xã Vân Đồn</v>
          </cell>
          <cell r="I3495" t="str">
            <v>21705</v>
          </cell>
        </row>
        <row r="3496">
          <cell r="G3496" t="str">
            <v xml:space="preserve">Xã Minh Tiến     </v>
          </cell>
          <cell r="I3496" t="str">
            <v>21705</v>
          </cell>
        </row>
        <row r="3497">
          <cell r="G3497" t="str">
            <v>Xã Chân Mộng</v>
          </cell>
          <cell r="I3497" t="str">
            <v>21705</v>
          </cell>
        </row>
        <row r="3498">
          <cell r="G3498" t="str">
            <v>Thị trấn Đoan Hùng</v>
          </cell>
          <cell r="I3498" t="str">
            <v>21705</v>
          </cell>
        </row>
        <row r="3499">
          <cell r="G3499" t="str">
            <v>Xã Hữu Đô</v>
          </cell>
          <cell r="I3499" t="str">
            <v>21705</v>
          </cell>
        </row>
        <row r="3500">
          <cell r="G3500" t="str">
            <v xml:space="preserve">Xã Minh Phú </v>
          </cell>
          <cell r="I3500" t="str">
            <v>21705</v>
          </cell>
        </row>
        <row r="3501">
          <cell r="G3501" t="str">
            <v>Xã Hùng Quan</v>
          </cell>
          <cell r="I3501" t="str">
            <v>21705</v>
          </cell>
        </row>
        <row r="3502">
          <cell r="G3502" t="str">
            <v>Xã Quế Lâm</v>
          </cell>
          <cell r="I3502" t="str">
            <v>21705</v>
          </cell>
        </row>
        <row r="3503">
          <cell r="G3503" t="str">
            <v>Xã Phong Phú</v>
          </cell>
          <cell r="I3503" t="str">
            <v>21705</v>
          </cell>
        </row>
        <row r="3504">
          <cell r="G3504" t="str">
            <v>Xã Đại Nghĩa</v>
          </cell>
          <cell r="I3504" t="str">
            <v>21705</v>
          </cell>
        </row>
        <row r="3505">
          <cell r="G3505" t="str">
            <v>Xã Yên Kiện</v>
          </cell>
          <cell r="I3505" t="str">
            <v>21705</v>
          </cell>
        </row>
        <row r="3506">
          <cell r="G3506" t="str">
            <v>Xã Tiêu Sơn</v>
          </cell>
          <cell r="I3506" t="str">
            <v>21705</v>
          </cell>
        </row>
        <row r="3507">
          <cell r="G3507" t="str">
            <v>Xã Ca Đình</v>
          </cell>
          <cell r="I3507" t="str">
            <v>21705</v>
          </cell>
        </row>
        <row r="3508">
          <cell r="G3508" t="str">
            <v>Thị trấn Hạ Hòa</v>
          </cell>
          <cell r="I3508" t="str">
            <v>21707</v>
          </cell>
        </row>
        <row r="3509">
          <cell r="G3509" t="str">
            <v>Xã Đại Phạm</v>
          </cell>
          <cell r="I3509" t="str">
            <v>21707</v>
          </cell>
        </row>
        <row r="3510">
          <cell r="G3510" t="str">
            <v>Xã Đan Hà</v>
          </cell>
          <cell r="I3510" t="str">
            <v>21707</v>
          </cell>
        </row>
        <row r="3511">
          <cell r="G3511" t="str">
            <v>Xã Hà Lương</v>
          </cell>
          <cell r="I3511" t="str">
            <v>21707</v>
          </cell>
        </row>
        <row r="3512">
          <cell r="G3512" t="str">
            <v>Xã Lệnh Khanh</v>
          </cell>
          <cell r="I3512" t="str">
            <v>21707</v>
          </cell>
        </row>
        <row r="3513">
          <cell r="G3513" t="str">
            <v xml:space="preserve">Xã Liên Phương  </v>
          </cell>
          <cell r="I3513" t="str">
            <v>21707</v>
          </cell>
        </row>
        <row r="3514">
          <cell r="G3514" t="str">
            <v>Xã Đan Thượng</v>
          </cell>
          <cell r="I3514" t="str">
            <v>21707</v>
          </cell>
        </row>
        <row r="3515">
          <cell r="G3515" t="str">
            <v>Xã Lâm Lợi</v>
          </cell>
          <cell r="I3515" t="str">
            <v>21707</v>
          </cell>
        </row>
        <row r="3516">
          <cell r="G3516" t="str">
            <v xml:space="preserve">Xã Phương Viên </v>
          </cell>
          <cell r="I3516" t="str">
            <v>21707</v>
          </cell>
        </row>
        <row r="3517">
          <cell r="G3517" t="str">
            <v>Xã Gia Điền</v>
          </cell>
          <cell r="I3517" t="str">
            <v>21707</v>
          </cell>
        </row>
        <row r="3518">
          <cell r="G3518" t="str">
            <v>Xã Quân Khê</v>
          </cell>
          <cell r="I3518" t="str">
            <v>21707</v>
          </cell>
        </row>
        <row r="3519">
          <cell r="G3519" t="str">
            <v>Xã Y Sơn</v>
          </cell>
          <cell r="I3519" t="str">
            <v>21707</v>
          </cell>
        </row>
        <row r="3520">
          <cell r="G3520" t="str">
            <v>Xã Hương Xạ</v>
          </cell>
          <cell r="I3520" t="str">
            <v>21707</v>
          </cell>
        </row>
        <row r="3521">
          <cell r="G3521" t="str">
            <v>Xã Xuân áng</v>
          </cell>
          <cell r="I3521" t="str">
            <v>21707</v>
          </cell>
        </row>
        <row r="3522">
          <cell r="G3522" t="str">
            <v>Xã Yên Kỳ</v>
          </cell>
          <cell r="I3522" t="str">
            <v>21707</v>
          </cell>
        </row>
        <row r="3523">
          <cell r="G3523" t="str">
            <v>Xã Lang Sơn</v>
          </cell>
          <cell r="I3523" t="str">
            <v>21707</v>
          </cell>
        </row>
        <row r="3524">
          <cell r="G3524" t="str">
            <v>Xã Bằng Giã</v>
          </cell>
          <cell r="I3524" t="str">
            <v>21707</v>
          </cell>
        </row>
        <row r="3525">
          <cell r="G3525" t="str">
            <v xml:space="preserve">Xã Vô Tranh </v>
          </cell>
          <cell r="I3525" t="str">
            <v>21707</v>
          </cell>
        </row>
        <row r="3526">
          <cell r="G3526" t="str">
            <v xml:space="preserve">Xã Văn Lang </v>
          </cell>
          <cell r="I3526" t="str">
            <v>21707</v>
          </cell>
        </row>
        <row r="3527">
          <cell r="G3527" t="str">
            <v>Xã Chính Công</v>
          </cell>
          <cell r="I3527" t="str">
            <v>21707</v>
          </cell>
        </row>
        <row r="3528">
          <cell r="G3528" t="str">
            <v>Xã Vĩnh Chân</v>
          </cell>
          <cell r="I3528" t="str">
            <v>21707</v>
          </cell>
        </row>
        <row r="3529">
          <cell r="G3529" t="str">
            <v>Xã Mai Tùng</v>
          </cell>
          <cell r="I3529" t="str">
            <v>21707</v>
          </cell>
        </row>
        <row r="3530">
          <cell r="G3530" t="str">
            <v>Xã Vụ Cầu</v>
          </cell>
          <cell r="I3530" t="str">
            <v>21707</v>
          </cell>
        </row>
        <row r="3531">
          <cell r="G3531" t="str">
            <v>Xã Hiền Lương</v>
          </cell>
          <cell r="I3531" t="str">
            <v>21707</v>
          </cell>
        </row>
        <row r="3532">
          <cell r="G3532" t="str">
            <v>Xã Chuế Lưu</v>
          </cell>
          <cell r="I3532" t="str">
            <v>21707</v>
          </cell>
        </row>
        <row r="3533">
          <cell r="G3533" t="str">
            <v>Xã Minh Côi</v>
          </cell>
          <cell r="I3533" t="str">
            <v>21707</v>
          </cell>
        </row>
        <row r="3534">
          <cell r="G3534" t="str">
            <v>Xã Yên Luật</v>
          </cell>
          <cell r="I3534" t="str">
            <v>21707</v>
          </cell>
        </row>
        <row r="3535">
          <cell r="G3535" t="str">
            <v>Xã Hậu Bổng</v>
          </cell>
          <cell r="I3535" t="str">
            <v>21707</v>
          </cell>
        </row>
        <row r="3536">
          <cell r="G3536" t="str">
            <v>Xã Phụ Khánh</v>
          </cell>
          <cell r="I3536" t="str">
            <v>21707</v>
          </cell>
        </row>
        <row r="3537">
          <cell r="G3537" t="str">
            <v>Xã Động Lâm</v>
          </cell>
          <cell r="I3537" t="str">
            <v>21707</v>
          </cell>
        </row>
        <row r="3538">
          <cell r="G3538" t="str">
            <v>Xã ấm Hạ</v>
          </cell>
          <cell r="I3538" t="str">
            <v>21707</v>
          </cell>
        </row>
        <row r="3539">
          <cell r="G3539" t="str">
            <v>Xã Cáo Điền</v>
          </cell>
          <cell r="I3539" t="str">
            <v>21707</v>
          </cell>
        </row>
        <row r="3540">
          <cell r="G3540" t="str">
            <v>Xã Minh Hạc</v>
          </cell>
          <cell r="I3540" t="str">
            <v>21707</v>
          </cell>
        </row>
        <row r="3541">
          <cell r="G3541" t="str">
            <v>Xã Mạn Lạn</v>
          </cell>
          <cell r="I3541" t="str">
            <v>21709</v>
          </cell>
        </row>
        <row r="3542">
          <cell r="G3542" t="str">
            <v xml:space="preserve">Xã Thanh Xá </v>
          </cell>
          <cell r="I3542" t="str">
            <v>21709</v>
          </cell>
        </row>
        <row r="3543">
          <cell r="G3543" t="str">
            <v>Xã Chí Tiên</v>
          </cell>
          <cell r="I3543" t="str">
            <v>21709</v>
          </cell>
        </row>
        <row r="3544">
          <cell r="G3544" t="str">
            <v>Xã Hoàng Cương</v>
          </cell>
          <cell r="I3544" t="str">
            <v>21709</v>
          </cell>
        </row>
        <row r="3545">
          <cell r="G3545" t="str">
            <v>Xã Sơn Cương</v>
          </cell>
          <cell r="I3545" t="str">
            <v>21709</v>
          </cell>
        </row>
        <row r="3546">
          <cell r="G3546" t="str">
            <v xml:space="preserve">Xã Thanh Hà </v>
          </cell>
          <cell r="I3546" t="str">
            <v>21709</v>
          </cell>
        </row>
        <row r="3547">
          <cell r="G3547" t="str">
            <v>Xã Đỗ Sơn</v>
          </cell>
          <cell r="I3547" t="str">
            <v>21709</v>
          </cell>
        </row>
        <row r="3548">
          <cell r="G3548" t="str">
            <v>Xã Đỗ Xuyên</v>
          </cell>
          <cell r="I3548" t="str">
            <v>21709</v>
          </cell>
        </row>
        <row r="3549">
          <cell r="G3549" t="str">
            <v>Xã Lương Lỗ</v>
          </cell>
          <cell r="I3549" t="str">
            <v>21709</v>
          </cell>
        </row>
        <row r="3550">
          <cell r="G3550" t="str">
            <v>Xã Khải Xuân</v>
          </cell>
          <cell r="I3550" t="str">
            <v>21709</v>
          </cell>
        </row>
        <row r="3551">
          <cell r="G3551" t="str">
            <v xml:space="preserve">Xã Đông Lĩnh </v>
          </cell>
          <cell r="I3551" t="str">
            <v>21709</v>
          </cell>
        </row>
        <row r="3552">
          <cell r="G3552" t="str">
            <v xml:space="preserve">Xã Đại An  </v>
          </cell>
          <cell r="I3552" t="str">
            <v>21709</v>
          </cell>
        </row>
        <row r="3553">
          <cell r="G3553" t="str">
            <v>Xã Hanh Cù</v>
          </cell>
          <cell r="I3553" t="str">
            <v>21709</v>
          </cell>
        </row>
        <row r="3554">
          <cell r="G3554" t="str">
            <v>Xã Đồng Xuân</v>
          </cell>
          <cell r="I3554" t="str">
            <v>21709</v>
          </cell>
        </row>
        <row r="3555">
          <cell r="G3555" t="str">
            <v>Xã Năng Yên</v>
          </cell>
          <cell r="I3555" t="str">
            <v>21709</v>
          </cell>
        </row>
        <row r="3556">
          <cell r="G3556" t="str">
            <v>Xã Yển Khê</v>
          </cell>
          <cell r="I3556" t="str">
            <v>21709</v>
          </cell>
        </row>
        <row r="3557">
          <cell r="G3557" t="str">
            <v>Xã Quảng Nạp</v>
          </cell>
          <cell r="I3557" t="str">
            <v>21709</v>
          </cell>
        </row>
        <row r="3558">
          <cell r="G3558" t="str">
            <v>Xã Vũ Yển</v>
          </cell>
          <cell r="I3558" t="str">
            <v>21709</v>
          </cell>
        </row>
        <row r="3559">
          <cell r="G3559" t="str">
            <v xml:space="preserve">Xã Võ Lao </v>
          </cell>
          <cell r="I3559" t="str">
            <v>21709</v>
          </cell>
        </row>
        <row r="3560">
          <cell r="G3560" t="str">
            <v xml:space="preserve">Xã Đông Thành </v>
          </cell>
          <cell r="I3560" t="str">
            <v>21709</v>
          </cell>
        </row>
        <row r="3561">
          <cell r="G3561" t="str">
            <v xml:space="preserve">Xã Thanh Vân </v>
          </cell>
          <cell r="I3561" t="str">
            <v>21709</v>
          </cell>
        </row>
        <row r="3562">
          <cell r="G3562" t="str">
            <v>Xã Yên Nội</v>
          </cell>
          <cell r="I3562" t="str">
            <v>21709</v>
          </cell>
        </row>
        <row r="3563">
          <cell r="G3563" t="str">
            <v>Thị trấn Thanh Ba</v>
          </cell>
          <cell r="I3563" t="str">
            <v>21709</v>
          </cell>
        </row>
        <row r="3564">
          <cell r="G3564" t="str">
            <v>Xã Thái Ninh</v>
          </cell>
          <cell r="I3564" t="str">
            <v>21709</v>
          </cell>
        </row>
        <row r="3565">
          <cell r="G3565" t="str">
            <v>Xã Ninh Dân</v>
          </cell>
          <cell r="I3565" t="str">
            <v>21709</v>
          </cell>
        </row>
        <row r="3566">
          <cell r="G3566" t="str">
            <v>Xã Phương Lĩnh</v>
          </cell>
          <cell r="I3566" t="str">
            <v>21709</v>
          </cell>
        </row>
        <row r="3567">
          <cell r="G3567" t="str">
            <v>Xã Vân Lĩnh</v>
          </cell>
          <cell r="I3567" t="str">
            <v>21709</v>
          </cell>
        </row>
        <row r="3568">
          <cell r="G3568" t="str">
            <v xml:space="preserve">Xã Phú Mỹ </v>
          </cell>
          <cell r="I3568" t="str">
            <v>21711</v>
          </cell>
        </row>
        <row r="3569">
          <cell r="G3569" t="str">
            <v>Xã Liên Hoa</v>
          </cell>
          <cell r="I3569" t="str">
            <v>21711</v>
          </cell>
        </row>
        <row r="3570">
          <cell r="G3570" t="str">
            <v>Xã Trạm Thản</v>
          </cell>
          <cell r="I3570" t="str">
            <v>21711</v>
          </cell>
        </row>
        <row r="3571">
          <cell r="G3571" t="str">
            <v>Xã Tiên Phú</v>
          </cell>
          <cell r="I3571" t="str">
            <v>21711</v>
          </cell>
        </row>
        <row r="3572">
          <cell r="G3572" t="str">
            <v>Xã Hạ Giáp</v>
          </cell>
          <cell r="I3572" t="str">
            <v>21711</v>
          </cell>
        </row>
        <row r="3573">
          <cell r="G3573" t="str">
            <v>Xã Bảo Thanh</v>
          </cell>
          <cell r="I3573" t="str">
            <v>21711</v>
          </cell>
        </row>
        <row r="3574">
          <cell r="G3574" t="str">
            <v xml:space="preserve">Xã Gia Thanh </v>
          </cell>
          <cell r="I3574" t="str">
            <v>21711</v>
          </cell>
        </row>
        <row r="3575">
          <cell r="G3575" t="str">
            <v>Xã Tiên Du</v>
          </cell>
          <cell r="I3575" t="str">
            <v>21711</v>
          </cell>
        </row>
        <row r="3576">
          <cell r="G3576" t="str">
            <v>Xã Bình Bộ</v>
          </cell>
          <cell r="I3576" t="str">
            <v>21711</v>
          </cell>
        </row>
        <row r="3577">
          <cell r="G3577" t="str">
            <v>Xã An Đạo</v>
          </cell>
          <cell r="I3577" t="str">
            <v>21711</v>
          </cell>
        </row>
        <row r="3578">
          <cell r="G3578" t="str">
            <v>Xã Vĩnh Phú</v>
          </cell>
          <cell r="I3578" t="str">
            <v>21711</v>
          </cell>
        </row>
        <row r="3579">
          <cell r="G3579" t="str">
            <v>Xã Trị Quận</v>
          </cell>
          <cell r="I3579" t="str">
            <v>21711</v>
          </cell>
        </row>
        <row r="3580">
          <cell r="G3580" t="str">
            <v>Xã Tử Đà</v>
          </cell>
          <cell r="I3580" t="str">
            <v>21711</v>
          </cell>
        </row>
        <row r="3581">
          <cell r="G3581" t="str">
            <v>Thị trấn Phong Châu</v>
          </cell>
          <cell r="I3581" t="str">
            <v>21711</v>
          </cell>
        </row>
        <row r="3582">
          <cell r="G3582" t="str">
            <v>Xã Trung Giáp</v>
          </cell>
          <cell r="I3582" t="str">
            <v>21711</v>
          </cell>
        </row>
        <row r="3583">
          <cell r="G3583" t="str">
            <v xml:space="preserve">Xã Phú Lộc </v>
          </cell>
          <cell r="I3583" t="str">
            <v>21711</v>
          </cell>
        </row>
        <row r="3584">
          <cell r="G3584" t="str">
            <v>Xã Phú Nham</v>
          </cell>
          <cell r="I3584" t="str">
            <v>21711</v>
          </cell>
        </row>
        <row r="3585">
          <cell r="G3585" t="str">
            <v xml:space="preserve">Xã Phù Ninh </v>
          </cell>
          <cell r="I3585" t="str">
            <v>21711</v>
          </cell>
        </row>
        <row r="3586">
          <cell r="G3586" t="str">
            <v>Xã Lệ Mỹ</v>
          </cell>
          <cell r="I3586" t="str">
            <v>21711</v>
          </cell>
        </row>
        <row r="3587">
          <cell r="G3587" t="str">
            <v xml:space="preserve">Xã Tuy Lộc </v>
          </cell>
          <cell r="I3587" t="str">
            <v>21713</v>
          </cell>
        </row>
        <row r="3588">
          <cell r="G3588" t="str">
            <v>Xã Ngô Xá</v>
          </cell>
          <cell r="I3588" t="str">
            <v>21713</v>
          </cell>
        </row>
        <row r="3589">
          <cell r="G3589" t="str">
            <v>Xã Phương Xá</v>
          </cell>
          <cell r="I3589" t="str">
            <v>21713</v>
          </cell>
        </row>
        <row r="3590">
          <cell r="G3590" t="str">
            <v>Xã Đồng Cam</v>
          </cell>
          <cell r="I3590" t="str">
            <v>21713</v>
          </cell>
        </row>
        <row r="3591">
          <cell r="G3591" t="str">
            <v>Xã Thụy Liễu</v>
          </cell>
          <cell r="I3591" t="str">
            <v>21713</v>
          </cell>
        </row>
        <row r="3592">
          <cell r="G3592" t="str">
            <v xml:space="preserve">Xã Phùng Xá  </v>
          </cell>
          <cell r="I3592" t="str">
            <v>21713</v>
          </cell>
        </row>
        <row r="3593">
          <cell r="G3593" t="str">
            <v>Xã Sai Nga</v>
          </cell>
          <cell r="I3593" t="str">
            <v>21713</v>
          </cell>
        </row>
        <row r="3594">
          <cell r="G3594" t="str">
            <v>Xã Tùng Khê</v>
          </cell>
          <cell r="I3594" t="str">
            <v>21713</v>
          </cell>
        </row>
        <row r="3595">
          <cell r="G3595" t="str">
            <v>Xã Văn Bán</v>
          </cell>
          <cell r="I3595" t="str">
            <v>21713</v>
          </cell>
        </row>
        <row r="3596">
          <cell r="G3596" t="str">
            <v>Xã Thanh Nga</v>
          </cell>
          <cell r="I3596" t="str">
            <v>21713</v>
          </cell>
        </row>
        <row r="3597">
          <cell r="G3597" t="str">
            <v>Xã Phú Khê</v>
          </cell>
          <cell r="I3597" t="str">
            <v>21713</v>
          </cell>
        </row>
        <row r="3598">
          <cell r="G3598" t="str">
            <v>Xã Sơn Tình</v>
          </cell>
          <cell r="I3598" t="str">
            <v>21713</v>
          </cell>
        </row>
        <row r="3599">
          <cell r="G3599" t="str">
            <v>Xã Yên Tập</v>
          </cell>
          <cell r="I3599" t="str">
            <v>21713</v>
          </cell>
        </row>
        <row r="3600">
          <cell r="G3600" t="str">
            <v>Xã Tạ Xá</v>
          </cell>
          <cell r="I3600" t="str">
            <v>21713</v>
          </cell>
        </row>
        <row r="3601">
          <cell r="G3601" t="str">
            <v xml:space="preserve">Xã Phú Lạc </v>
          </cell>
          <cell r="I3601" t="str">
            <v>21713</v>
          </cell>
        </row>
        <row r="3602">
          <cell r="G3602" t="str">
            <v>Xã Tình Cương</v>
          </cell>
          <cell r="I3602" t="str">
            <v>21713</v>
          </cell>
        </row>
        <row r="3603">
          <cell r="G3603" t="str">
            <v>Xã Văn Khúc</v>
          </cell>
          <cell r="I3603" t="str">
            <v>21713</v>
          </cell>
        </row>
        <row r="3604">
          <cell r="G3604" t="str">
            <v>Xã Yên Dưỡng</v>
          </cell>
          <cell r="I3604" t="str">
            <v>21713</v>
          </cell>
        </row>
        <row r="3605">
          <cell r="G3605" t="str">
            <v>Xã Điêu Lương</v>
          </cell>
          <cell r="I3605" t="str">
            <v>21713</v>
          </cell>
        </row>
        <row r="3606">
          <cell r="G3606" t="str">
            <v>Xã Đồng Lương</v>
          </cell>
          <cell r="I3606" t="str">
            <v>21713</v>
          </cell>
        </row>
        <row r="3607">
          <cell r="G3607" t="str">
            <v>Xã Tiên Lương</v>
          </cell>
          <cell r="I3607" t="str">
            <v>21713</v>
          </cell>
        </row>
        <row r="3608">
          <cell r="G3608" t="str">
            <v>Xã Cấp Dẫn</v>
          </cell>
          <cell r="I3608" t="str">
            <v>21713</v>
          </cell>
        </row>
        <row r="3609">
          <cell r="G3609" t="str">
            <v>Xã Hiền Đa</v>
          </cell>
          <cell r="I3609" t="str">
            <v>21713</v>
          </cell>
        </row>
        <row r="3610">
          <cell r="G3610" t="str">
            <v>Thị trấn Sông Thao</v>
          </cell>
          <cell r="I3610" t="str">
            <v>21713</v>
          </cell>
        </row>
        <row r="3611">
          <cell r="G3611" t="str">
            <v>Xã Phượng Vĩ</v>
          </cell>
          <cell r="I3611" t="str">
            <v>21713</v>
          </cell>
        </row>
        <row r="3612">
          <cell r="G3612" t="str">
            <v>Xã Sơn Nga</v>
          </cell>
          <cell r="I3612" t="str">
            <v>21713</v>
          </cell>
        </row>
        <row r="3613">
          <cell r="G3613" t="str">
            <v>Xã Tam Sơn</v>
          </cell>
          <cell r="I3613" t="str">
            <v>21713</v>
          </cell>
        </row>
        <row r="3614">
          <cell r="G3614" t="str">
            <v>Xã Xương Thịnh</v>
          </cell>
          <cell r="I3614" t="str">
            <v>21713</v>
          </cell>
        </row>
        <row r="3615">
          <cell r="G3615" t="str">
            <v>Xã Hương Lung</v>
          </cell>
          <cell r="I3615" t="str">
            <v>21713</v>
          </cell>
        </row>
        <row r="3616">
          <cell r="G3616" t="str">
            <v>Xã Chương Xá</v>
          </cell>
          <cell r="I3616" t="str">
            <v>21713</v>
          </cell>
        </row>
        <row r="3617">
          <cell r="G3617" t="str">
            <v>Xã Cát Trù</v>
          </cell>
          <cell r="I3617" t="str">
            <v>21713</v>
          </cell>
        </row>
        <row r="3618">
          <cell r="G3618" t="str">
            <v>Xã Mỹ Lung</v>
          </cell>
          <cell r="I3618" t="str">
            <v>21715</v>
          </cell>
        </row>
        <row r="3619">
          <cell r="G3619" t="str">
            <v xml:space="preserve">Xã Mỹ Lương </v>
          </cell>
          <cell r="I3619" t="str">
            <v>21715</v>
          </cell>
        </row>
        <row r="3620">
          <cell r="G3620" t="str">
            <v xml:space="preserve">Xã Lương Sơn  </v>
          </cell>
          <cell r="I3620" t="str">
            <v>21715</v>
          </cell>
        </row>
        <row r="3621">
          <cell r="G3621" t="str">
            <v>Xã Xuân An</v>
          </cell>
          <cell r="I3621" t="str">
            <v>21715</v>
          </cell>
        </row>
        <row r="3622">
          <cell r="G3622" t="str">
            <v xml:space="preserve">Xã Trung Sơn </v>
          </cell>
          <cell r="I3622" t="str">
            <v>21715</v>
          </cell>
        </row>
        <row r="3623">
          <cell r="G3623" t="str">
            <v xml:space="preserve">Xã Hưng Long  </v>
          </cell>
          <cell r="I3623" t="str">
            <v>21715</v>
          </cell>
        </row>
        <row r="3624">
          <cell r="G3624" t="str">
            <v xml:space="preserve">Xã Đồng Lạc    </v>
          </cell>
          <cell r="I3624" t="str">
            <v>21715</v>
          </cell>
        </row>
        <row r="3625">
          <cell r="G3625" t="str">
            <v>Xã Thượng Long</v>
          </cell>
          <cell r="I3625" t="str">
            <v>21715</v>
          </cell>
        </row>
        <row r="3626">
          <cell r="G3626" t="str">
            <v xml:space="preserve">Xã Đồng Thịnh </v>
          </cell>
          <cell r="I3626" t="str">
            <v>21715</v>
          </cell>
        </row>
        <row r="3627">
          <cell r="G3627" t="str">
            <v xml:space="preserve">Xã Minh Hòa   </v>
          </cell>
          <cell r="I3627" t="str">
            <v>21715</v>
          </cell>
        </row>
        <row r="3628">
          <cell r="G3628" t="str">
            <v>Xã Ngọc Lập</v>
          </cell>
          <cell r="I3628" t="str">
            <v>21715</v>
          </cell>
        </row>
        <row r="3629">
          <cell r="G3629" t="str">
            <v>Xã Ngọc Đồng</v>
          </cell>
          <cell r="I3629" t="str">
            <v>21715</v>
          </cell>
        </row>
        <row r="3630">
          <cell r="G3630" t="str">
            <v xml:space="preserve">Xã Xuân Thủy </v>
          </cell>
          <cell r="I3630" t="str">
            <v>21715</v>
          </cell>
        </row>
        <row r="3631">
          <cell r="G3631" t="str">
            <v>Thị trấn Yên Lập</v>
          </cell>
          <cell r="I3631" t="str">
            <v>21715</v>
          </cell>
        </row>
        <row r="3632">
          <cell r="G3632" t="str">
            <v>Xã Xuân Viên</v>
          </cell>
          <cell r="I3632" t="str">
            <v>21715</v>
          </cell>
        </row>
        <row r="3633">
          <cell r="G3633" t="str">
            <v>Xã Nga Hoàng</v>
          </cell>
          <cell r="I3633" t="str">
            <v>21715</v>
          </cell>
        </row>
        <row r="3634">
          <cell r="G3634" t="str">
            <v xml:space="preserve">Xã Phúc Khánh </v>
          </cell>
          <cell r="I3634" t="str">
            <v>21715</v>
          </cell>
        </row>
        <row r="3635">
          <cell r="G3635" t="str">
            <v>Thị trấn Hưng Hoá</v>
          </cell>
          <cell r="I3635" t="str">
            <v>21717</v>
          </cell>
        </row>
        <row r="3636">
          <cell r="G3636" t="str">
            <v>Xã Hiền Quan</v>
          </cell>
          <cell r="I3636" t="str">
            <v>21717</v>
          </cell>
        </row>
        <row r="3637">
          <cell r="G3637" t="str">
            <v>Xã Hương Nha</v>
          </cell>
          <cell r="I3637" t="str">
            <v>21717</v>
          </cell>
        </row>
        <row r="3638">
          <cell r="G3638" t="str">
            <v>Xã Thanh Uyên</v>
          </cell>
          <cell r="I3638" t="str">
            <v>21717</v>
          </cell>
        </row>
        <row r="3639">
          <cell r="G3639" t="str">
            <v>Xã Văn Lương</v>
          </cell>
          <cell r="I3639" t="str">
            <v>21717</v>
          </cell>
        </row>
        <row r="3640">
          <cell r="G3640" t="str">
            <v>Xã Hùng Đô</v>
          </cell>
          <cell r="I3640" t="str">
            <v>21717</v>
          </cell>
        </row>
        <row r="3641">
          <cell r="G3641" t="str">
            <v xml:space="preserve">Xã Tam Cường </v>
          </cell>
          <cell r="I3641" t="str">
            <v>21717</v>
          </cell>
        </row>
        <row r="3642">
          <cell r="G3642" t="str">
            <v>Xã Cổ Tiết</v>
          </cell>
          <cell r="I3642" t="str">
            <v>21717</v>
          </cell>
        </row>
        <row r="3643">
          <cell r="G3643" t="str">
            <v>Xã Quang Húc</v>
          </cell>
          <cell r="I3643" t="str">
            <v>21717</v>
          </cell>
        </row>
        <row r="3644">
          <cell r="G3644" t="str">
            <v>Xã Hương Nộn</v>
          </cell>
          <cell r="I3644" t="str">
            <v>21717</v>
          </cell>
        </row>
        <row r="3645">
          <cell r="G3645" t="str">
            <v>Xã Thọ Văn</v>
          </cell>
          <cell r="I3645" t="str">
            <v>21717</v>
          </cell>
        </row>
        <row r="3646">
          <cell r="G3646" t="str">
            <v>Xã Dậu Dương</v>
          </cell>
          <cell r="I3646" t="str">
            <v>21717</v>
          </cell>
        </row>
        <row r="3647">
          <cell r="G3647" t="str">
            <v xml:space="preserve">Xã Thượng Nông </v>
          </cell>
          <cell r="I3647" t="str">
            <v>21717</v>
          </cell>
        </row>
        <row r="3648">
          <cell r="G3648" t="str">
            <v>Xã Tứ Mỹ</v>
          </cell>
          <cell r="I3648" t="str">
            <v>21717</v>
          </cell>
        </row>
        <row r="3649">
          <cell r="G3649" t="str">
            <v xml:space="preserve">Xã Dị Nậu </v>
          </cell>
          <cell r="I3649" t="str">
            <v>21717</v>
          </cell>
        </row>
        <row r="3650">
          <cell r="G3650" t="str">
            <v>Xã Vực Trường</v>
          </cell>
          <cell r="I3650" t="str">
            <v>21717</v>
          </cell>
        </row>
        <row r="3651">
          <cell r="G3651" t="str">
            <v xml:space="preserve">Xã Xuân Quang  </v>
          </cell>
          <cell r="I3651" t="str">
            <v>21717</v>
          </cell>
        </row>
        <row r="3652">
          <cell r="G3652" t="str">
            <v>Xã Phương Thịnh</v>
          </cell>
          <cell r="I3652" t="str">
            <v>21717</v>
          </cell>
        </row>
        <row r="3653">
          <cell r="G3653" t="str">
            <v>Xã Tề Lễ</v>
          </cell>
          <cell r="I3653" t="str">
            <v>21717</v>
          </cell>
        </row>
        <row r="3654">
          <cell r="G3654" t="str">
            <v>Xã Hồng Đà</v>
          </cell>
          <cell r="I3654" t="str">
            <v>21717</v>
          </cell>
        </row>
        <row r="3655">
          <cell r="G3655" t="str">
            <v>Thị trấn Thanh Sơn</v>
          </cell>
          <cell r="I3655" t="str">
            <v>21719</v>
          </cell>
        </row>
        <row r="3656">
          <cell r="G3656" t="str">
            <v>Xã Sơn Hùng</v>
          </cell>
          <cell r="I3656" t="str">
            <v>21719</v>
          </cell>
        </row>
        <row r="3657">
          <cell r="G3657" t="str">
            <v>Xã Địch Quả</v>
          </cell>
          <cell r="I3657" t="str">
            <v>21719</v>
          </cell>
        </row>
        <row r="3658">
          <cell r="G3658" t="str">
            <v>Xã Giáp Lai</v>
          </cell>
          <cell r="I3658" t="str">
            <v>21719</v>
          </cell>
        </row>
        <row r="3659">
          <cell r="G3659" t="str">
            <v>Xã Thục Luyện</v>
          </cell>
          <cell r="I3659" t="str">
            <v>21719</v>
          </cell>
        </row>
        <row r="3660">
          <cell r="G3660" t="str">
            <v>Xã Võ Miếu</v>
          </cell>
          <cell r="I3660" t="str">
            <v>21719</v>
          </cell>
        </row>
        <row r="3661">
          <cell r="G3661" t="str">
            <v>Xã Tất Thắng</v>
          </cell>
          <cell r="I3661" t="str">
            <v>21719</v>
          </cell>
        </row>
        <row r="3662">
          <cell r="G3662" t="str">
            <v>Xã Cự Đồng</v>
          </cell>
          <cell r="I3662" t="str">
            <v>21719</v>
          </cell>
        </row>
        <row r="3663">
          <cell r="G3663" t="str">
            <v>Xã Hương Cần</v>
          </cell>
          <cell r="I3663" t="str">
            <v>21719</v>
          </cell>
        </row>
        <row r="3664">
          <cell r="G3664" t="str">
            <v>Xã Đông Cửu</v>
          </cell>
          <cell r="I3664" t="str">
            <v>21719</v>
          </cell>
        </row>
        <row r="3665">
          <cell r="G3665" t="str">
            <v xml:space="preserve">Xã Tân Lập        </v>
          </cell>
          <cell r="I3665" t="str">
            <v>21719</v>
          </cell>
        </row>
        <row r="3666">
          <cell r="G3666" t="str">
            <v xml:space="preserve">Xã Yên Lãng </v>
          </cell>
          <cell r="I3666" t="str">
            <v>21719</v>
          </cell>
        </row>
        <row r="3667">
          <cell r="G3667" t="str">
            <v>Xã Thượng Cửu</v>
          </cell>
          <cell r="I3667" t="str">
            <v>21719</v>
          </cell>
        </row>
        <row r="3668">
          <cell r="G3668" t="str">
            <v>Xã Lương Nha</v>
          </cell>
          <cell r="I3668" t="str">
            <v>21719</v>
          </cell>
        </row>
        <row r="3669">
          <cell r="G3669" t="str">
            <v xml:space="preserve">Xã Yên Sơn     </v>
          </cell>
          <cell r="I3669" t="str">
            <v>21719</v>
          </cell>
        </row>
        <row r="3670">
          <cell r="G3670" t="str">
            <v xml:space="preserve">Xã Tân Minh   </v>
          </cell>
          <cell r="I3670" t="str">
            <v>21719</v>
          </cell>
        </row>
        <row r="3671">
          <cell r="G3671" t="str">
            <v>Xã Thạch Khoán</v>
          </cell>
          <cell r="I3671" t="str">
            <v>21719</v>
          </cell>
        </row>
        <row r="3672">
          <cell r="G3672" t="str">
            <v>Xã Cự Thắng</v>
          </cell>
          <cell r="I3672" t="str">
            <v>21719</v>
          </cell>
        </row>
        <row r="3673">
          <cell r="G3673" t="str">
            <v>Xã Văn Miếu</v>
          </cell>
          <cell r="I3673" t="str">
            <v>21719</v>
          </cell>
        </row>
        <row r="3674">
          <cell r="G3674" t="str">
            <v>Xã Thắng Sơn</v>
          </cell>
          <cell r="I3674" t="str">
            <v>21719</v>
          </cell>
        </row>
        <row r="3675">
          <cell r="G3675" t="str">
            <v>Xã Khả Cửu</v>
          </cell>
          <cell r="I3675" t="str">
            <v>21719</v>
          </cell>
        </row>
        <row r="3676">
          <cell r="G3676" t="str">
            <v xml:space="preserve">Xã Yên Lương </v>
          </cell>
          <cell r="I3676" t="str">
            <v>21719</v>
          </cell>
        </row>
        <row r="3677">
          <cell r="G3677" t="str">
            <v>Xã Tinh Nhuệ</v>
          </cell>
          <cell r="I3677" t="str">
            <v>21719</v>
          </cell>
        </row>
        <row r="3678">
          <cell r="G3678" t="str">
            <v xml:space="preserve">Xã Tân Sơn  </v>
          </cell>
          <cell r="I3678" t="str">
            <v>21720</v>
          </cell>
        </row>
        <row r="3679">
          <cell r="G3679" t="str">
            <v xml:space="preserve">Xã Xuân Đài </v>
          </cell>
          <cell r="I3679" t="str">
            <v>21720</v>
          </cell>
        </row>
        <row r="3680">
          <cell r="G3680" t="str">
            <v>Xã Văn Luông</v>
          </cell>
          <cell r="I3680" t="str">
            <v>21720</v>
          </cell>
        </row>
        <row r="3681">
          <cell r="G3681" t="str">
            <v xml:space="preserve">Xã Xuân Sơn </v>
          </cell>
          <cell r="I3681" t="str">
            <v>21720</v>
          </cell>
        </row>
        <row r="3682">
          <cell r="G3682" t="str">
            <v>Xã Long Cốc</v>
          </cell>
          <cell r="I3682" t="str">
            <v>21720</v>
          </cell>
        </row>
        <row r="3683">
          <cell r="G3683" t="str">
            <v>Xã Kim Thượng</v>
          </cell>
          <cell r="I3683" t="str">
            <v>21720</v>
          </cell>
        </row>
        <row r="3684">
          <cell r="G3684" t="str">
            <v xml:space="preserve">Xã Tam Thanh </v>
          </cell>
          <cell r="I3684" t="str">
            <v>21720</v>
          </cell>
        </row>
        <row r="3685">
          <cell r="G3685" t="str">
            <v>Xã Vinh Tiền</v>
          </cell>
          <cell r="I3685" t="str">
            <v>21720</v>
          </cell>
        </row>
        <row r="3686">
          <cell r="G3686" t="str">
            <v xml:space="preserve">Xã Đồng Sơn </v>
          </cell>
          <cell r="I3686" t="str">
            <v>21720</v>
          </cell>
        </row>
        <row r="3687">
          <cell r="G3687" t="str">
            <v>Xã Minh Đài</v>
          </cell>
          <cell r="I3687" t="str">
            <v>21720</v>
          </cell>
        </row>
        <row r="3688">
          <cell r="G3688" t="str">
            <v xml:space="preserve">Xã Tân Phú  </v>
          </cell>
          <cell r="I3688" t="str">
            <v>21720</v>
          </cell>
        </row>
        <row r="3689">
          <cell r="G3689" t="str">
            <v>Xã Thu Cúc</v>
          </cell>
          <cell r="I3689" t="str">
            <v>21720</v>
          </cell>
        </row>
        <row r="3690">
          <cell r="G3690" t="str">
            <v>Xã Thạch Kiệt</v>
          </cell>
          <cell r="I3690" t="str">
            <v>21720</v>
          </cell>
        </row>
        <row r="3691">
          <cell r="G3691" t="str">
            <v>Xã Thu Ngạc</v>
          </cell>
          <cell r="I3691" t="str">
            <v>21720</v>
          </cell>
        </row>
        <row r="3692">
          <cell r="G3692" t="str">
            <v>Xã Kiệt Sơn</v>
          </cell>
          <cell r="I3692" t="str">
            <v>21720</v>
          </cell>
        </row>
        <row r="3693">
          <cell r="G3693" t="str">
            <v>Xã Lai Đồng</v>
          </cell>
          <cell r="I3693" t="str">
            <v>21720</v>
          </cell>
        </row>
        <row r="3694">
          <cell r="G3694" t="str">
            <v xml:space="preserve">Xã Mỹ Thuận </v>
          </cell>
          <cell r="I3694" t="str">
            <v>21720</v>
          </cell>
        </row>
        <row r="3695">
          <cell r="G3695" t="str">
            <v>Xã Bản Nguyên</v>
          </cell>
          <cell r="I3695" t="str">
            <v>21721</v>
          </cell>
        </row>
        <row r="3696">
          <cell r="G3696" t="str">
            <v>Xã Tứ Xã</v>
          </cell>
          <cell r="I3696" t="str">
            <v>21721</v>
          </cell>
        </row>
        <row r="3697">
          <cell r="G3697" t="str">
            <v>Thị trấn Lâm Thao</v>
          </cell>
          <cell r="I3697" t="str">
            <v>21721</v>
          </cell>
        </row>
        <row r="3698">
          <cell r="G3698" t="str">
            <v xml:space="preserve">Thị trấn Hùng Sơn </v>
          </cell>
          <cell r="I3698" t="str">
            <v>21721</v>
          </cell>
        </row>
        <row r="3699">
          <cell r="G3699" t="str">
            <v>Xã Xuân Lũng</v>
          </cell>
          <cell r="I3699" t="str">
            <v>21721</v>
          </cell>
        </row>
        <row r="3700">
          <cell r="G3700" t="str">
            <v>Xã Sơn Vi</v>
          </cell>
          <cell r="I3700" t="str">
            <v>21721</v>
          </cell>
        </row>
        <row r="3701">
          <cell r="G3701" t="str">
            <v>Xã Sơn Dương</v>
          </cell>
          <cell r="I3701" t="str">
            <v>21721</v>
          </cell>
        </row>
        <row r="3702">
          <cell r="G3702" t="str">
            <v>Xã Cao Xá</v>
          </cell>
          <cell r="I3702" t="str">
            <v>21721</v>
          </cell>
        </row>
        <row r="3703">
          <cell r="G3703" t="str">
            <v xml:space="preserve">Xã Vĩnh Lại </v>
          </cell>
          <cell r="I3703" t="str">
            <v>21721</v>
          </cell>
        </row>
        <row r="3704">
          <cell r="G3704" t="str">
            <v>Xã Thạch Sơn</v>
          </cell>
          <cell r="I3704" t="str">
            <v>21721</v>
          </cell>
        </row>
        <row r="3705">
          <cell r="G3705" t="str">
            <v>Xã Tiên Kiên</v>
          </cell>
          <cell r="I3705" t="str">
            <v>21721</v>
          </cell>
        </row>
        <row r="3706">
          <cell r="G3706" t="str">
            <v>Xã Xuân Huy</v>
          </cell>
          <cell r="I3706" t="str">
            <v>21721</v>
          </cell>
        </row>
        <row r="3707">
          <cell r="G3707" t="str">
            <v>Xã Hợp Hải</v>
          </cell>
          <cell r="I3707" t="str">
            <v>21721</v>
          </cell>
        </row>
        <row r="3708">
          <cell r="G3708" t="str">
            <v>Xã Kinh Kệ</v>
          </cell>
          <cell r="I3708" t="str">
            <v>21721</v>
          </cell>
        </row>
        <row r="3709">
          <cell r="G3709" t="str">
            <v xml:space="preserve">Xã Đào Xá </v>
          </cell>
          <cell r="I3709" t="str">
            <v>21723</v>
          </cell>
        </row>
        <row r="3710">
          <cell r="G3710" t="str">
            <v>Xã Xuân Lộc</v>
          </cell>
          <cell r="I3710" t="str">
            <v>21723</v>
          </cell>
        </row>
        <row r="3711">
          <cell r="G3711" t="str">
            <v>Thị trấn Thanh Thuỷ</v>
          </cell>
          <cell r="I3711" t="str">
            <v>21723</v>
          </cell>
        </row>
        <row r="3712">
          <cell r="G3712" t="str">
            <v>Xã Sơn Thủy</v>
          </cell>
          <cell r="I3712" t="str">
            <v>21723</v>
          </cell>
        </row>
        <row r="3713">
          <cell r="G3713" t="str">
            <v>Xã Bảo Yên</v>
          </cell>
          <cell r="I3713" t="str">
            <v>21723</v>
          </cell>
        </row>
        <row r="3714">
          <cell r="G3714" t="str">
            <v>Xã Đồng Luận</v>
          </cell>
          <cell r="I3714" t="str">
            <v>21723</v>
          </cell>
        </row>
        <row r="3715">
          <cell r="G3715" t="str">
            <v>Xã Hoàng Xá</v>
          </cell>
          <cell r="I3715" t="str">
            <v>21723</v>
          </cell>
        </row>
        <row r="3716">
          <cell r="G3716" t="str">
            <v xml:space="preserve">Xã Trung Thịnh </v>
          </cell>
          <cell r="I3716" t="str">
            <v>21723</v>
          </cell>
        </row>
        <row r="3717">
          <cell r="G3717" t="str">
            <v>Xã Phượng Mao</v>
          </cell>
          <cell r="I3717" t="str">
            <v>21723</v>
          </cell>
        </row>
        <row r="3718">
          <cell r="G3718" t="str">
            <v>Xã Tu Vũ</v>
          </cell>
          <cell r="I3718" t="str">
            <v>21723</v>
          </cell>
        </row>
        <row r="3719">
          <cell r="G3719" t="str">
            <v>Xã Thạch Đồng</v>
          </cell>
          <cell r="I3719" t="str">
            <v>21723</v>
          </cell>
        </row>
        <row r="3720">
          <cell r="G3720" t="str">
            <v>Xã Yến Mao</v>
          </cell>
          <cell r="I3720" t="str">
            <v>21723</v>
          </cell>
        </row>
        <row r="3721">
          <cell r="G3721" t="str">
            <v>Xã Tân Phương</v>
          </cell>
          <cell r="I3721" t="str">
            <v>21723</v>
          </cell>
        </row>
        <row r="3722">
          <cell r="G3722" t="str">
            <v>Xã Đoan Hạ</v>
          </cell>
          <cell r="I3722" t="str">
            <v>21723</v>
          </cell>
        </row>
        <row r="3723">
          <cell r="G3723" t="str">
            <v xml:space="preserve">Xã Trung Nghĩa </v>
          </cell>
          <cell r="I3723" t="str">
            <v>21723</v>
          </cell>
        </row>
        <row r="3724">
          <cell r="G3724" t="str">
            <v>Phường Hội Hợp</v>
          </cell>
          <cell r="I3724" t="str">
            <v>21901</v>
          </cell>
        </row>
        <row r="3725">
          <cell r="G3725" t="str">
            <v>Phường Đống Đa</v>
          </cell>
          <cell r="I3725" t="str">
            <v>21901</v>
          </cell>
        </row>
        <row r="3726">
          <cell r="G3726" t="str">
            <v xml:space="preserve">Phường Ngô Quyền  </v>
          </cell>
          <cell r="I3726" t="str">
            <v>21901</v>
          </cell>
        </row>
        <row r="3727">
          <cell r="G3727" t="str">
            <v>Xã Định Trung</v>
          </cell>
          <cell r="I3727" t="str">
            <v>21901</v>
          </cell>
        </row>
        <row r="3728">
          <cell r="G3728" t="str">
            <v>Phường Khai Quang</v>
          </cell>
          <cell r="I3728" t="str">
            <v>21901</v>
          </cell>
        </row>
        <row r="3729">
          <cell r="G3729" t="str">
            <v>Xã Thanh Trù</v>
          </cell>
          <cell r="I3729" t="str">
            <v>21901</v>
          </cell>
        </row>
        <row r="3730">
          <cell r="G3730" t="str">
            <v>Phường Tích Sơn</v>
          </cell>
          <cell r="I3730" t="str">
            <v>21901</v>
          </cell>
        </row>
        <row r="3731">
          <cell r="G3731" t="str">
            <v>Phường Liên Bảo</v>
          </cell>
          <cell r="I3731" t="str">
            <v>21901</v>
          </cell>
        </row>
        <row r="3732">
          <cell r="G3732" t="str">
            <v xml:space="preserve">Phường Đồng Tâm  </v>
          </cell>
          <cell r="I3732" t="str">
            <v>21901</v>
          </cell>
        </row>
        <row r="3733">
          <cell r="G3733" t="str">
            <v xml:space="preserve">Phường Hùng Vương  </v>
          </cell>
          <cell r="I3733" t="str">
            <v>21902</v>
          </cell>
        </row>
        <row r="3734">
          <cell r="G3734" t="str">
            <v>Phường Trưng Nhị</v>
          </cell>
          <cell r="I3734" t="str">
            <v>21902</v>
          </cell>
        </row>
        <row r="3735">
          <cell r="G3735" t="str">
            <v>Phường Xuân Hòa</v>
          </cell>
          <cell r="I3735" t="str">
            <v>21902</v>
          </cell>
        </row>
        <row r="3736">
          <cell r="G3736" t="str">
            <v xml:space="preserve">Xã Cao Minh  </v>
          </cell>
          <cell r="I3736" t="str">
            <v>21902</v>
          </cell>
        </row>
        <row r="3737">
          <cell r="G3737" t="str">
            <v>Xã Nam Viêm</v>
          </cell>
          <cell r="I3737" t="str">
            <v>21902</v>
          </cell>
        </row>
        <row r="3738">
          <cell r="G3738" t="str">
            <v>Xã Tiền Châu</v>
          </cell>
          <cell r="I3738" t="str">
            <v>21902</v>
          </cell>
        </row>
        <row r="3739">
          <cell r="G3739" t="str">
            <v>Phường Phúc Thắng</v>
          </cell>
          <cell r="I3739" t="str">
            <v>21902</v>
          </cell>
        </row>
        <row r="3740">
          <cell r="G3740" t="str">
            <v>Phường Trưng Trắc</v>
          </cell>
          <cell r="I3740" t="str">
            <v>21902</v>
          </cell>
        </row>
        <row r="3741">
          <cell r="G3741" t="str">
            <v xml:space="preserve">Xã Ngọc Thanh </v>
          </cell>
          <cell r="I3741" t="str">
            <v>21902</v>
          </cell>
        </row>
        <row r="3742">
          <cell r="G3742" t="str">
            <v xml:space="preserve">Phường Đồng Xuân </v>
          </cell>
          <cell r="I3742" t="str">
            <v>21902</v>
          </cell>
        </row>
        <row r="3743">
          <cell r="G3743" t="str">
            <v>Xã Đình Chu</v>
          </cell>
          <cell r="I3743" t="str">
            <v>21903</v>
          </cell>
        </row>
        <row r="3744">
          <cell r="G3744" t="str">
            <v>Xã Triệu Đề</v>
          </cell>
          <cell r="I3744" t="str">
            <v>21903</v>
          </cell>
        </row>
        <row r="3745">
          <cell r="G3745" t="str">
            <v xml:space="preserve">Xã Sơn Đông </v>
          </cell>
          <cell r="I3745" t="str">
            <v>21903</v>
          </cell>
        </row>
        <row r="3746">
          <cell r="G3746" t="str">
            <v>Xã Văn Quán</v>
          </cell>
          <cell r="I3746" t="str">
            <v>21903</v>
          </cell>
        </row>
        <row r="3747">
          <cell r="G3747" t="str">
            <v xml:space="preserve">Xã Quang Sơn  </v>
          </cell>
          <cell r="I3747" t="str">
            <v>21903</v>
          </cell>
        </row>
        <row r="3748">
          <cell r="G3748" t="str">
            <v xml:space="preserve">Xã Ngọc Mỹ </v>
          </cell>
          <cell r="I3748" t="str">
            <v>21903</v>
          </cell>
        </row>
        <row r="3749">
          <cell r="G3749" t="str">
            <v xml:space="preserve">Xã Hợp Lý </v>
          </cell>
          <cell r="I3749" t="str">
            <v>21903</v>
          </cell>
        </row>
        <row r="3750">
          <cell r="G3750" t="str">
            <v>Xã Liễn Sơn</v>
          </cell>
          <cell r="I3750" t="str">
            <v>21903</v>
          </cell>
        </row>
        <row r="3751">
          <cell r="G3751" t="str">
            <v xml:space="preserve">Xã Xuân Hòa    </v>
          </cell>
          <cell r="I3751" t="str">
            <v>21903</v>
          </cell>
        </row>
        <row r="3752">
          <cell r="G3752" t="str">
            <v>Xã Tử Du</v>
          </cell>
          <cell r="I3752" t="str">
            <v>21903</v>
          </cell>
        </row>
        <row r="3753">
          <cell r="G3753" t="str">
            <v>Xã Bàn Giản</v>
          </cell>
          <cell r="I3753" t="str">
            <v>21903</v>
          </cell>
        </row>
        <row r="3754">
          <cell r="G3754" t="str">
            <v>Xã Xuân Lôi</v>
          </cell>
          <cell r="I3754" t="str">
            <v>21903</v>
          </cell>
        </row>
        <row r="3755">
          <cell r="G3755" t="str">
            <v>Xã Đồng ích</v>
          </cell>
          <cell r="I3755" t="str">
            <v>21903</v>
          </cell>
        </row>
        <row r="3756">
          <cell r="G3756" t="str">
            <v>Xã Bắc Bình</v>
          </cell>
          <cell r="I3756" t="str">
            <v>21903</v>
          </cell>
        </row>
        <row r="3757">
          <cell r="G3757" t="str">
            <v>Thị trấn Lập Thạch</v>
          </cell>
          <cell r="I3757" t="str">
            <v>21903</v>
          </cell>
        </row>
        <row r="3758">
          <cell r="G3758" t="str">
            <v xml:space="preserve">Xã Thái Hòa    </v>
          </cell>
          <cell r="I3758" t="str">
            <v>21903</v>
          </cell>
        </row>
        <row r="3759">
          <cell r="G3759" t="str">
            <v xml:space="preserve">Xã Liên Hòa </v>
          </cell>
          <cell r="I3759" t="str">
            <v>21903</v>
          </cell>
        </row>
        <row r="3760">
          <cell r="G3760" t="str">
            <v>Xã Tam Sơn - Đã chuyển sang Huyện Sông Lô</v>
          </cell>
          <cell r="I3760" t="str">
            <v>21903</v>
          </cell>
        </row>
        <row r="3761">
          <cell r="G3761" t="str">
            <v>Xã Tiên Lữ</v>
          </cell>
          <cell r="I3761" t="str">
            <v>21903</v>
          </cell>
        </row>
        <row r="3762">
          <cell r="G3762" t="str">
            <v>Thị trấn Hoa Sơn</v>
          </cell>
          <cell r="I3762" t="str">
            <v>21903</v>
          </cell>
        </row>
        <row r="3763">
          <cell r="G3763" t="str">
            <v>Xã Vân Trục</v>
          </cell>
          <cell r="I3763" t="str">
            <v>21903</v>
          </cell>
        </row>
        <row r="3764">
          <cell r="G3764" t="str">
            <v>Xã Hợp Châu</v>
          </cell>
          <cell r="I3764" t="str">
            <v>21904</v>
          </cell>
        </row>
        <row r="3765">
          <cell r="G3765" t="str">
            <v>Xã Đạo Trù</v>
          </cell>
          <cell r="I3765" t="str">
            <v>21904</v>
          </cell>
        </row>
        <row r="3766">
          <cell r="G3766" t="str">
            <v>Xã Bồ Lý</v>
          </cell>
          <cell r="I3766" t="str">
            <v>21904</v>
          </cell>
        </row>
        <row r="3767">
          <cell r="G3767" t="str">
            <v>Xã Tam Quan</v>
          </cell>
          <cell r="I3767" t="str">
            <v>21904</v>
          </cell>
        </row>
        <row r="3768">
          <cell r="G3768" t="str">
            <v xml:space="preserve">Xã Hồ Sơn </v>
          </cell>
          <cell r="I3768" t="str">
            <v>21904</v>
          </cell>
        </row>
        <row r="3769">
          <cell r="G3769" t="str">
            <v xml:space="preserve">Xã Minh Quang   </v>
          </cell>
          <cell r="I3769" t="str">
            <v>21904</v>
          </cell>
        </row>
        <row r="3770">
          <cell r="G3770" t="str">
            <v xml:space="preserve">Xã Yên Dương </v>
          </cell>
          <cell r="I3770" t="str">
            <v>21904</v>
          </cell>
        </row>
        <row r="3771">
          <cell r="G3771" t="str">
            <v>Thị trấn Tam Đảo</v>
          </cell>
          <cell r="I3771" t="str">
            <v>21904</v>
          </cell>
        </row>
        <row r="3772">
          <cell r="G3772" t="str">
            <v>Xã Đại Đình</v>
          </cell>
          <cell r="I3772" t="str">
            <v>21904</v>
          </cell>
        </row>
        <row r="3773">
          <cell r="G3773" t="str">
            <v>Thị trấn Hợp Hòa</v>
          </cell>
          <cell r="I3773" t="str">
            <v>21905</v>
          </cell>
        </row>
        <row r="3774">
          <cell r="G3774" t="str">
            <v>Xã Hoàng Hoa</v>
          </cell>
          <cell r="I3774" t="str">
            <v>21905</v>
          </cell>
        </row>
        <row r="3775">
          <cell r="G3775" t="str">
            <v>Xã Kim Long</v>
          </cell>
          <cell r="I3775" t="str">
            <v>21905</v>
          </cell>
        </row>
        <row r="3776">
          <cell r="G3776" t="str">
            <v>Xã Hướng Đạo</v>
          </cell>
          <cell r="I3776" t="str">
            <v>21905</v>
          </cell>
        </row>
        <row r="3777">
          <cell r="G3777" t="str">
            <v xml:space="preserve">Xã Thanh Vân  </v>
          </cell>
          <cell r="I3777" t="str">
            <v>21905</v>
          </cell>
        </row>
        <row r="3778">
          <cell r="G3778" t="str">
            <v>Xã Duy Phiên</v>
          </cell>
          <cell r="I3778" t="str">
            <v>21905</v>
          </cell>
        </row>
        <row r="3779">
          <cell r="G3779" t="str">
            <v>Xã Hoàng Lâu</v>
          </cell>
          <cell r="I3779" t="str">
            <v>21905</v>
          </cell>
        </row>
        <row r="3780">
          <cell r="G3780" t="str">
            <v xml:space="preserve">Xã Vân Hội </v>
          </cell>
          <cell r="I3780" t="str">
            <v>21905</v>
          </cell>
        </row>
        <row r="3781">
          <cell r="G3781" t="str">
            <v>Xã Hợp Thịnh</v>
          </cell>
          <cell r="I3781" t="str">
            <v>21905</v>
          </cell>
        </row>
        <row r="3782">
          <cell r="G3782" t="str">
            <v>Xã Đạo Tú</v>
          </cell>
          <cell r="I3782" t="str">
            <v>21905</v>
          </cell>
        </row>
        <row r="3783">
          <cell r="G3783" t="str">
            <v>Xã Đồng Tĩnh</v>
          </cell>
          <cell r="I3783" t="str">
            <v>21905</v>
          </cell>
        </row>
        <row r="3784">
          <cell r="G3784" t="str">
            <v xml:space="preserve">Xã An Hòa  </v>
          </cell>
          <cell r="I3784" t="str">
            <v>21905</v>
          </cell>
        </row>
        <row r="3785">
          <cell r="G3785" t="str">
            <v>Xã Hoàng Đan</v>
          </cell>
          <cell r="I3785" t="str">
            <v>21905</v>
          </cell>
        </row>
        <row r="3786">
          <cell r="G3786" t="str">
            <v>Thị trấn Vĩnh Tường</v>
          </cell>
          <cell r="I3786" t="str">
            <v>21907</v>
          </cell>
        </row>
        <row r="3787">
          <cell r="G3787" t="str">
            <v xml:space="preserve">Xã Yên Bình      </v>
          </cell>
          <cell r="I3787" t="str">
            <v>21907</v>
          </cell>
        </row>
        <row r="3788">
          <cell r="G3788" t="str">
            <v>Xã Chấn Hưng</v>
          </cell>
          <cell r="I3788" t="str">
            <v>21907</v>
          </cell>
        </row>
        <row r="3789">
          <cell r="G3789" t="str">
            <v xml:space="preserve">Xã Yên Lập </v>
          </cell>
          <cell r="I3789" t="str">
            <v>21907</v>
          </cell>
        </row>
        <row r="3790">
          <cell r="G3790" t="str">
            <v>Xã Việt Xuân</v>
          </cell>
          <cell r="I3790" t="str">
            <v>21907</v>
          </cell>
        </row>
        <row r="3791">
          <cell r="G3791" t="str">
            <v>Xã Bồ Sao</v>
          </cell>
          <cell r="I3791" t="str">
            <v>21907</v>
          </cell>
        </row>
        <row r="3792">
          <cell r="G3792" t="str">
            <v>Xã Lũng Hòa</v>
          </cell>
          <cell r="I3792" t="str">
            <v>21907</v>
          </cell>
        </row>
        <row r="3793">
          <cell r="G3793" t="str">
            <v>Xã Cao Đại</v>
          </cell>
          <cell r="I3793" t="str">
            <v>21907</v>
          </cell>
        </row>
        <row r="3794">
          <cell r="G3794" t="str">
            <v>Xã Vĩnh Sơn</v>
          </cell>
          <cell r="I3794" t="str">
            <v>21907</v>
          </cell>
        </row>
        <row r="3795">
          <cell r="G3795" t="str">
            <v xml:space="preserve">Xã Bình Dương </v>
          </cell>
          <cell r="I3795" t="str">
            <v>21907</v>
          </cell>
        </row>
        <row r="3796">
          <cell r="G3796" t="str">
            <v xml:space="preserve">Xã Tân Cương </v>
          </cell>
          <cell r="I3796" t="str">
            <v>21907</v>
          </cell>
        </row>
        <row r="3797">
          <cell r="G3797" t="str">
            <v>Xã Thượng Trưng</v>
          </cell>
          <cell r="I3797" t="str">
            <v>21907</v>
          </cell>
        </row>
        <row r="3798">
          <cell r="G3798" t="str">
            <v>Xã Vũ Di</v>
          </cell>
          <cell r="I3798" t="str">
            <v>21907</v>
          </cell>
        </row>
        <row r="3799">
          <cell r="G3799" t="str">
            <v>Xã Lý Nhân</v>
          </cell>
          <cell r="I3799" t="str">
            <v>21907</v>
          </cell>
        </row>
        <row r="3800">
          <cell r="G3800" t="str">
            <v>Xã Tam Phúc</v>
          </cell>
          <cell r="I3800" t="str">
            <v>21907</v>
          </cell>
        </row>
        <row r="3801">
          <cell r="G3801" t="str">
            <v>Thị trấn Tứ Trưng</v>
          </cell>
          <cell r="I3801" t="str">
            <v>21907</v>
          </cell>
        </row>
        <row r="3802">
          <cell r="G3802" t="str">
            <v xml:space="preserve">Xã An Tường </v>
          </cell>
          <cell r="I3802" t="str">
            <v>21907</v>
          </cell>
        </row>
        <row r="3803">
          <cell r="G3803" t="str">
            <v>Xã Vĩnh Thịnh</v>
          </cell>
          <cell r="I3803" t="str">
            <v>21907</v>
          </cell>
        </row>
        <row r="3804">
          <cell r="G3804" t="str">
            <v>Xã Phú Đa</v>
          </cell>
          <cell r="I3804" t="str">
            <v>21907</v>
          </cell>
        </row>
        <row r="3805">
          <cell r="G3805" t="str">
            <v xml:space="preserve">Xã Tân Tiến          </v>
          </cell>
          <cell r="I3805" t="str">
            <v>21907</v>
          </cell>
        </row>
        <row r="3806">
          <cell r="G3806" t="str">
            <v>Xã Vân Xuân</v>
          </cell>
          <cell r="I3806" t="str">
            <v>21907</v>
          </cell>
        </row>
        <row r="3807">
          <cell r="G3807" t="str">
            <v>Xã Kim Xá</v>
          </cell>
          <cell r="I3807" t="str">
            <v>21907</v>
          </cell>
        </row>
        <row r="3808">
          <cell r="G3808" t="str">
            <v>Xã Nghĩa Hưng</v>
          </cell>
          <cell r="I3808" t="str">
            <v>21907</v>
          </cell>
        </row>
        <row r="3809">
          <cell r="G3809" t="str">
            <v xml:space="preserve">Xã Đại Đồng      </v>
          </cell>
          <cell r="I3809" t="str">
            <v>21907</v>
          </cell>
        </row>
        <row r="3810">
          <cell r="G3810" t="str">
            <v>Thị trấn Thổ Tang</v>
          </cell>
          <cell r="I3810" t="str">
            <v>21907</v>
          </cell>
        </row>
        <row r="3811">
          <cell r="G3811" t="str">
            <v xml:space="preserve">Xã Phú Thịnh    </v>
          </cell>
          <cell r="I3811" t="str">
            <v>21907</v>
          </cell>
        </row>
        <row r="3812">
          <cell r="G3812" t="str">
            <v>Xã Tuân Chính</v>
          </cell>
          <cell r="I3812" t="str">
            <v>21907</v>
          </cell>
        </row>
        <row r="3813">
          <cell r="G3813" t="str">
            <v>Xã Ngũ Kiên</v>
          </cell>
          <cell r="I3813" t="str">
            <v>21907</v>
          </cell>
        </row>
        <row r="3814">
          <cell r="G3814" t="str">
            <v>Xã Vĩnh Ninh</v>
          </cell>
          <cell r="I3814" t="str">
            <v>21907</v>
          </cell>
        </row>
        <row r="3815">
          <cell r="G3815" t="str">
            <v>Xã Đồng Cương</v>
          </cell>
          <cell r="I3815" t="str">
            <v>21909</v>
          </cell>
        </row>
        <row r="3816">
          <cell r="G3816" t="str">
            <v xml:space="preserve">Xã Bình Định </v>
          </cell>
          <cell r="I3816" t="str">
            <v>21909</v>
          </cell>
        </row>
        <row r="3817">
          <cell r="G3817" t="str">
            <v>Xã Trung Nguyên</v>
          </cell>
          <cell r="I3817" t="str">
            <v>21909</v>
          </cell>
        </row>
        <row r="3818">
          <cell r="G3818" t="str">
            <v>Xã Tề Lỗ</v>
          </cell>
          <cell r="I3818" t="str">
            <v>21909</v>
          </cell>
        </row>
        <row r="3819">
          <cell r="G3819" t="str">
            <v xml:space="preserve">Xã Yên Đồng  </v>
          </cell>
          <cell r="I3819" t="str">
            <v>21909</v>
          </cell>
        </row>
        <row r="3820">
          <cell r="G3820" t="str">
            <v xml:space="preserve">Xã Văn Tiến </v>
          </cell>
          <cell r="I3820" t="str">
            <v>21909</v>
          </cell>
        </row>
        <row r="3821">
          <cell r="G3821" t="str">
            <v>Xã Nguyệt Đức</v>
          </cell>
          <cell r="I3821" t="str">
            <v>21909</v>
          </cell>
        </row>
        <row r="3822">
          <cell r="G3822" t="str">
            <v>Xã Hồng Phương</v>
          </cell>
          <cell r="I3822" t="str">
            <v>21909</v>
          </cell>
        </row>
        <row r="3823">
          <cell r="G3823" t="str">
            <v>Xã Trung Kiên</v>
          </cell>
          <cell r="I3823" t="str">
            <v>21909</v>
          </cell>
        </row>
        <row r="3824">
          <cell r="G3824" t="str">
            <v xml:space="preserve">Xã Hồng Châu </v>
          </cell>
          <cell r="I3824" t="str">
            <v>21909</v>
          </cell>
        </row>
        <row r="3825">
          <cell r="G3825" t="str">
            <v xml:space="preserve">Xã Trung Hà  </v>
          </cell>
          <cell r="I3825" t="str">
            <v>21909</v>
          </cell>
        </row>
        <row r="3826">
          <cell r="G3826" t="str">
            <v>Thị trấn Yên Lạc</v>
          </cell>
          <cell r="I3826" t="str">
            <v>21909</v>
          </cell>
        </row>
        <row r="3827">
          <cell r="G3827" t="str">
            <v xml:space="preserve">Xã Liên Châu </v>
          </cell>
          <cell r="I3827" t="str">
            <v>21909</v>
          </cell>
        </row>
        <row r="3828">
          <cell r="G3828" t="str">
            <v>Xã Đồng Văn</v>
          </cell>
          <cell r="I3828" t="str">
            <v>21909</v>
          </cell>
        </row>
        <row r="3829">
          <cell r="G3829" t="str">
            <v>Xã Tam Hồng</v>
          </cell>
          <cell r="I3829" t="str">
            <v>21909</v>
          </cell>
        </row>
        <row r="3830">
          <cell r="G3830" t="str">
            <v xml:space="preserve">Xã Yên Phương </v>
          </cell>
          <cell r="I3830" t="str">
            <v>21909</v>
          </cell>
        </row>
        <row r="3831">
          <cell r="G3831" t="str">
            <v>Xã Đại Tự</v>
          </cell>
          <cell r="I3831" t="str">
            <v>21909</v>
          </cell>
        </row>
        <row r="3832">
          <cell r="G3832" t="str">
            <v>Xã Trung Mỹ</v>
          </cell>
          <cell r="I3832" t="str">
            <v>21913</v>
          </cell>
        </row>
        <row r="3833">
          <cell r="G3833" t="str">
            <v>TT Gia Khánh</v>
          </cell>
          <cell r="I3833" t="str">
            <v>21913</v>
          </cell>
        </row>
        <row r="3834">
          <cell r="G3834" t="str">
            <v>Xã Bá Hiến</v>
          </cell>
          <cell r="I3834" t="str">
            <v>21913</v>
          </cell>
        </row>
        <row r="3835">
          <cell r="G3835" t="str">
            <v>Xã Tam Hợp</v>
          </cell>
          <cell r="I3835" t="str">
            <v>21913</v>
          </cell>
        </row>
        <row r="3836">
          <cell r="G3836" t="str">
            <v xml:space="preserve">Xã Hương Sơn  </v>
          </cell>
          <cell r="I3836" t="str">
            <v>21913</v>
          </cell>
        </row>
        <row r="3837">
          <cell r="G3837" t="str">
            <v xml:space="preserve">Xã Thiện Kế </v>
          </cell>
          <cell r="I3837" t="str">
            <v>21913</v>
          </cell>
        </row>
        <row r="3838">
          <cell r="G3838" t="str">
            <v xml:space="preserve">Xã Đạo Đức </v>
          </cell>
          <cell r="I3838" t="str">
            <v>21913</v>
          </cell>
        </row>
        <row r="3839">
          <cell r="G3839" t="str">
            <v xml:space="preserve">Xã Tân Phong   </v>
          </cell>
          <cell r="I3839" t="str">
            <v>21913</v>
          </cell>
        </row>
        <row r="3840">
          <cell r="G3840" t="str">
            <v>Xã Quất Lưu</v>
          </cell>
          <cell r="I3840" t="str">
            <v>21913</v>
          </cell>
        </row>
        <row r="3841">
          <cell r="G3841" t="str">
            <v xml:space="preserve">Xã Phú Xuân </v>
          </cell>
          <cell r="I3841" t="str">
            <v>21913</v>
          </cell>
        </row>
        <row r="3842">
          <cell r="G3842" t="str">
            <v>Xã Sơn Lôi</v>
          </cell>
          <cell r="I3842" t="str">
            <v>21913</v>
          </cell>
        </row>
        <row r="3843">
          <cell r="G3843" t="str">
            <v>Thị trấn Thanh Lãng</v>
          </cell>
          <cell r="I3843" t="str">
            <v>21913</v>
          </cell>
        </row>
        <row r="3844">
          <cell r="G3844" t="str">
            <v>Thị trấn Hương Canh</v>
          </cell>
          <cell r="I3844" t="str">
            <v>21913</v>
          </cell>
        </row>
        <row r="3845">
          <cell r="G3845" t="str">
            <v xml:space="preserve">Xã Đồng Thịnh  </v>
          </cell>
          <cell r="I3845" t="str">
            <v>21915</v>
          </cell>
        </row>
        <row r="3846">
          <cell r="G3846" t="str">
            <v>Xã Tứ Yên</v>
          </cell>
          <cell r="I3846" t="str">
            <v>21915</v>
          </cell>
        </row>
        <row r="3847">
          <cell r="G3847" t="str">
            <v>Xã Cao Phong</v>
          </cell>
          <cell r="I3847" t="str">
            <v>21915</v>
          </cell>
        </row>
        <row r="3848">
          <cell r="G3848" t="str">
            <v>Xã Lãng Công</v>
          </cell>
          <cell r="I3848" t="str">
            <v>21915</v>
          </cell>
        </row>
        <row r="3849">
          <cell r="G3849" t="str">
            <v>Xã Bạch Lưu</v>
          </cell>
          <cell r="I3849" t="str">
            <v>21915</v>
          </cell>
        </row>
        <row r="3850">
          <cell r="G3850" t="str">
            <v>Xã Hải Lựu</v>
          </cell>
          <cell r="I3850" t="str">
            <v>21915</v>
          </cell>
        </row>
        <row r="3851">
          <cell r="G3851" t="str">
            <v xml:space="preserve">Xã Nhân Đạo </v>
          </cell>
          <cell r="I3851" t="str">
            <v>21915</v>
          </cell>
        </row>
        <row r="3852">
          <cell r="G3852" t="str">
            <v>Xã Đôn Nhân</v>
          </cell>
          <cell r="I3852" t="str">
            <v>21915</v>
          </cell>
        </row>
        <row r="3853">
          <cell r="G3853" t="str">
            <v>Xã Phương Khoan</v>
          </cell>
          <cell r="I3853" t="str">
            <v>21915</v>
          </cell>
        </row>
        <row r="3854">
          <cell r="G3854" t="str">
            <v>Xã Nhạo Sơn</v>
          </cell>
          <cell r="I3854" t="str">
            <v>21915</v>
          </cell>
        </row>
        <row r="3855">
          <cell r="G3855" t="str">
            <v>Xã Như Thụy</v>
          </cell>
          <cell r="I3855" t="str">
            <v>21915</v>
          </cell>
        </row>
        <row r="3856">
          <cell r="G3856" t="str">
            <v>Xã Đức Bác</v>
          </cell>
          <cell r="I3856" t="str">
            <v>21915</v>
          </cell>
        </row>
        <row r="3857">
          <cell r="G3857" t="str">
            <v>Xã Quang Yên</v>
          </cell>
          <cell r="I3857" t="str">
            <v>21915</v>
          </cell>
        </row>
        <row r="3858">
          <cell r="G3858" t="str">
            <v>Xã Đồng Quế</v>
          </cell>
          <cell r="I3858" t="str">
            <v>21915</v>
          </cell>
        </row>
        <row r="3859">
          <cell r="G3859" t="str">
            <v xml:space="preserve">Thị trấn Tam Sơn </v>
          </cell>
          <cell r="I3859" t="str">
            <v>21915</v>
          </cell>
        </row>
        <row r="3860">
          <cell r="G3860" t="str">
            <v>Xã Yên Thạch</v>
          </cell>
          <cell r="I3860" t="str">
            <v>21915</v>
          </cell>
        </row>
        <row r="3861">
          <cell r="G3861" t="str">
            <v xml:space="preserve">Xã Tân Lập         </v>
          </cell>
          <cell r="I3861" t="str">
            <v>21915</v>
          </cell>
        </row>
        <row r="3862">
          <cell r="G3862" t="str">
            <v xml:space="preserve">Phường Lê Lợi   </v>
          </cell>
          <cell r="I3862" t="str">
            <v>22101</v>
          </cell>
        </row>
        <row r="3863">
          <cell r="G3863" t="str">
            <v>Phường Mỹ Độ</v>
          </cell>
          <cell r="I3863" t="str">
            <v>22101</v>
          </cell>
        </row>
        <row r="3864">
          <cell r="G3864" t="str">
            <v>Phường Thọ Xương</v>
          </cell>
          <cell r="I3864" t="str">
            <v>22101</v>
          </cell>
        </row>
        <row r="3865">
          <cell r="G3865" t="str">
            <v xml:space="preserve">Phường Trần Nguyên Hãn </v>
          </cell>
          <cell r="I3865" t="str">
            <v>22101</v>
          </cell>
        </row>
        <row r="3866">
          <cell r="G3866" t="str">
            <v xml:space="preserve">Phường Hoàng Văn Thụ    </v>
          </cell>
          <cell r="I3866" t="str">
            <v>22101</v>
          </cell>
        </row>
        <row r="3867">
          <cell r="G3867" t="str">
            <v xml:space="preserve">Phường Trần Phú   </v>
          </cell>
          <cell r="I3867" t="str">
            <v>22101</v>
          </cell>
        </row>
        <row r="3868">
          <cell r="G3868" t="str">
            <v xml:space="preserve">Xã Song Mai </v>
          </cell>
          <cell r="I3868" t="str">
            <v>22101</v>
          </cell>
        </row>
        <row r="3869">
          <cell r="G3869" t="str">
            <v xml:space="preserve">Phường Ngô Quyền   </v>
          </cell>
          <cell r="I3869" t="str">
            <v>22101</v>
          </cell>
        </row>
        <row r="3870">
          <cell r="G3870" t="str">
            <v>Xã Dĩnh Trì</v>
          </cell>
          <cell r="I3870" t="str">
            <v>22101</v>
          </cell>
        </row>
        <row r="3871">
          <cell r="G3871" t="str">
            <v xml:space="preserve">Xã Tân Mỹ  </v>
          </cell>
          <cell r="I3871" t="str">
            <v>22101</v>
          </cell>
        </row>
        <row r="3872">
          <cell r="G3872" t="str">
            <v xml:space="preserve">Xã Tân Tiến           </v>
          </cell>
          <cell r="I3872" t="str">
            <v>22101</v>
          </cell>
        </row>
        <row r="3873">
          <cell r="G3873" t="str">
            <v xml:space="preserve">Xã Đồng Sơn  </v>
          </cell>
          <cell r="I3873" t="str">
            <v>22101</v>
          </cell>
        </row>
        <row r="3874">
          <cell r="G3874" t="str">
            <v>Xã Song Khê</v>
          </cell>
          <cell r="I3874" t="str">
            <v>22101</v>
          </cell>
        </row>
        <row r="3875">
          <cell r="G3875" t="str">
            <v>Phường Xương Giang</v>
          </cell>
          <cell r="I3875" t="str">
            <v>22101</v>
          </cell>
        </row>
        <row r="3876">
          <cell r="G3876" t="str">
            <v>Phường Dĩnh Kế</v>
          </cell>
          <cell r="I3876" t="str">
            <v>22101</v>
          </cell>
        </row>
        <row r="3877">
          <cell r="G3877" t="str">
            <v>Phường Đa Mai</v>
          </cell>
          <cell r="I3877" t="str">
            <v>22101</v>
          </cell>
        </row>
        <row r="3878">
          <cell r="G3878" t="str">
            <v>Thị trấn Cầu Gồ</v>
          </cell>
          <cell r="I3878" t="str">
            <v>22103</v>
          </cell>
        </row>
        <row r="3879">
          <cell r="G3879" t="str">
            <v>Thị trấn Bố Hạ</v>
          </cell>
          <cell r="I3879" t="str">
            <v>22103</v>
          </cell>
        </row>
        <row r="3880">
          <cell r="G3880" t="str">
            <v xml:space="preserve">Xã Canh Nậu </v>
          </cell>
          <cell r="I3880" t="str">
            <v>22103</v>
          </cell>
        </row>
        <row r="3881">
          <cell r="G3881" t="str">
            <v>Xã Xuân Lương</v>
          </cell>
          <cell r="I3881" t="str">
            <v>22103</v>
          </cell>
        </row>
        <row r="3882">
          <cell r="G3882" t="str">
            <v>Xã Đồng Hưu</v>
          </cell>
          <cell r="I3882" t="str">
            <v>22103</v>
          </cell>
        </row>
        <row r="3883">
          <cell r="G3883" t="str">
            <v xml:space="preserve">Xã Tam Hiệp  </v>
          </cell>
          <cell r="I3883" t="str">
            <v>22103</v>
          </cell>
        </row>
        <row r="3884">
          <cell r="G3884" t="str">
            <v xml:space="preserve">Xã Tiến Thắng  </v>
          </cell>
          <cell r="I3884" t="str">
            <v>22103</v>
          </cell>
        </row>
        <row r="3885">
          <cell r="G3885" t="str">
            <v xml:space="preserve">Xã Hồng Kỳ </v>
          </cell>
          <cell r="I3885" t="str">
            <v>22103</v>
          </cell>
        </row>
        <row r="3886">
          <cell r="G3886" t="str">
            <v xml:space="preserve">Xã Đông Sơn    </v>
          </cell>
          <cell r="I3886" t="str">
            <v>22103</v>
          </cell>
        </row>
        <row r="3887">
          <cell r="G3887" t="str">
            <v>Xã Tân Hiệp</v>
          </cell>
          <cell r="I3887" t="str">
            <v>22103</v>
          </cell>
        </row>
        <row r="3888">
          <cell r="G3888" t="str">
            <v>Xã Đồng Kỳ</v>
          </cell>
          <cell r="I3888" t="str">
            <v>22103</v>
          </cell>
        </row>
        <row r="3889">
          <cell r="G3889" t="str">
            <v xml:space="preserve">Xã An Thượng </v>
          </cell>
          <cell r="I3889" t="str">
            <v>22103</v>
          </cell>
        </row>
        <row r="3890">
          <cell r="G3890" t="str">
            <v>Xã Bố Hạ</v>
          </cell>
          <cell r="I3890" t="str">
            <v>22103</v>
          </cell>
        </row>
        <row r="3891">
          <cell r="G3891" t="str">
            <v>Xã Tam Tiến</v>
          </cell>
          <cell r="I3891" t="str">
            <v>22103</v>
          </cell>
        </row>
        <row r="3892">
          <cell r="G3892" t="str">
            <v>Xã Phồn Xương</v>
          </cell>
          <cell r="I3892" t="str">
            <v>22103</v>
          </cell>
        </row>
        <row r="3893">
          <cell r="G3893" t="str">
            <v xml:space="preserve">Xã Đồng Tiến      </v>
          </cell>
          <cell r="I3893" t="str">
            <v>22103</v>
          </cell>
        </row>
        <row r="3894">
          <cell r="G3894" t="str">
            <v>Xã Đồng Vương</v>
          </cell>
          <cell r="I3894" t="str">
            <v>22103</v>
          </cell>
        </row>
        <row r="3895">
          <cell r="G3895" t="str">
            <v xml:space="preserve">Xã Đồng Lạc     </v>
          </cell>
          <cell r="I3895" t="str">
            <v>22103</v>
          </cell>
        </row>
        <row r="3896">
          <cell r="G3896" t="str">
            <v>Xã Hương Vĩ</v>
          </cell>
          <cell r="I3896" t="str">
            <v>22103</v>
          </cell>
        </row>
        <row r="3897">
          <cell r="G3897" t="str">
            <v>Xã Tân Sỏi</v>
          </cell>
          <cell r="I3897" t="str">
            <v>22103</v>
          </cell>
        </row>
        <row r="3898">
          <cell r="G3898" t="str">
            <v xml:space="preserve">Xã Đồng Tâm   </v>
          </cell>
          <cell r="I3898" t="str">
            <v>22103</v>
          </cell>
        </row>
        <row r="3899">
          <cell r="G3899" t="str">
            <v>Thị trấn Cao Thượng</v>
          </cell>
          <cell r="I3899" t="str">
            <v>22105</v>
          </cell>
        </row>
        <row r="3900">
          <cell r="G3900" t="str">
            <v>Thị trấn Nhã Nam</v>
          </cell>
          <cell r="I3900" t="str">
            <v>22105</v>
          </cell>
        </row>
        <row r="3901">
          <cell r="G3901" t="str">
            <v>Xã Nhã Nam</v>
          </cell>
          <cell r="I3901" t="str">
            <v>22105</v>
          </cell>
        </row>
        <row r="3902">
          <cell r="G3902" t="str">
            <v>Xã Tân Trung</v>
          </cell>
          <cell r="I3902" t="str">
            <v>22105</v>
          </cell>
        </row>
        <row r="3903">
          <cell r="G3903" t="str">
            <v>Xã Đại Hóa</v>
          </cell>
          <cell r="I3903" t="str">
            <v>22105</v>
          </cell>
        </row>
        <row r="3904">
          <cell r="G3904" t="str">
            <v xml:space="preserve">Xã Phúc Sơn  </v>
          </cell>
          <cell r="I3904" t="str">
            <v>22105</v>
          </cell>
        </row>
        <row r="3905">
          <cell r="G3905" t="str">
            <v>Xã An Dương</v>
          </cell>
          <cell r="I3905" t="str">
            <v>22105</v>
          </cell>
        </row>
        <row r="3906">
          <cell r="G3906" t="str">
            <v xml:space="preserve">Xã Hợp Đức </v>
          </cell>
          <cell r="I3906" t="str">
            <v>22105</v>
          </cell>
        </row>
        <row r="3907">
          <cell r="G3907" t="str">
            <v>Xã Lam Cốt</v>
          </cell>
          <cell r="I3907" t="str">
            <v>22105</v>
          </cell>
        </row>
        <row r="3908">
          <cell r="G3908" t="str">
            <v xml:space="preserve">Xã Cao Xá </v>
          </cell>
          <cell r="I3908" t="str">
            <v>22105</v>
          </cell>
        </row>
        <row r="3909">
          <cell r="G3909" t="str">
            <v>Xã Việt Ngọc</v>
          </cell>
          <cell r="I3909" t="str">
            <v>22105</v>
          </cell>
        </row>
        <row r="3910">
          <cell r="G3910" t="str">
            <v>Xã Song Vân</v>
          </cell>
          <cell r="I3910" t="str">
            <v>22105</v>
          </cell>
        </row>
        <row r="3911">
          <cell r="G3911" t="str">
            <v>Xã Ngọc Châu</v>
          </cell>
          <cell r="I3911" t="str">
            <v>22105</v>
          </cell>
        </row>
        <row r="3912">
          <cell r="G3912" t="str">
            <v>Xã Việt Lập</v>
          </cell>
          <cell r="I3912" t="str">
            <v>22105</v>
          </cell>
        </row>
        <row r="3913">
          <cell r="G3913" t="str">
            <v>Xã Liên Chung</v>
          </cell>
          <cell r="I3913" t="str">
            <v>22105</v>
          </cell>
        </row>
        <row r="3914">
          <cell r="G3914" t="str">
            <v>Xã Quế Nham</v>
          </cell>
          <cell r="I3914" t="str">
            <v>22105</v>
          </cell>
        </row>
        <row r="3915">
          <cell r="G3915" t="str">
            <v xml:space="preserve">Xã Phúc Hòa </v>
          </cell>
          <cell r="I3915" t="str">
            <v>22105</v>
          </cell>
        </row>
        <row r="3916">
          <cell r="G3916" t="str">
            <v>Xã Ngọc Thiện</v>
          </cell>
          <cell r="I3916" t="str">
            <v>22105</v>
          </cell>
        </row>
        <row r="3917">
          <cell r="G3917" t="str">
            <v>Xã Lan Giới</v>
          </cell>
          <cell r="I3917" t="str">
            <v>22105</v>
          </cell>
        </row>
        <row r="3918">
          <cell r="G3918" t="str">
            <v xml:space="preserve">Xã Quang Tiến </v>
          </cell>
          <cell r="I3918" t="str">
            <v>22105</v>
          </cell>
        </row>
        <row r="3919">
          <cell r="G3919" t="str">
            <v xml:space="preserve">Xã Liên Sơn   </v>
          </cell>
          <cell r="I3919" t="str">
            <v>22105</v>
          </cell>
        </row>
        <row r="3920">
          <cell r="G3920" t="str">
            <v xml:space="preserve">Xã Cao Thượng </v>
          </cell>
          <cell r="I3920" t="str">
            <v>22105</v>
          </cell>
        </row>
        <row r="3921">
          <cell r="G3921" t="str">
            <v>Xã Ngọc Vân</v>
          </cell>
          <cell r="I3921" t="str">
            <v>22105</v>
          </cell>
        </row>
        <row r="3922">
          <cell r="G3922" t="str">
            <v>Xã Ngọc Lý</v>
          </cell>
          <cell r="I3922" t="str">
            <v>22105</v>
          </cell>
        </row>
        <row r="3923">
          <cell r="G3923" t="str">
            <v xml:space="preserve">Xã Hồng Giang </v>
          </cell>
          <cell r="I3923" t="str">
            <v>22107</v>
          </cell>
        </row>
        <row r="3924">
          <cell r="G3924" t="str">
            <v>Xã Tân Hoa</v>
          </cell>
          <cell r="I3924" t="str">
            <v>22107</v>
          </cell>
        </row>
        <row r="3925">
          <cell r="G3925" t="str">
            <v>Xã Giáp Sơn</v>
          </cell>
          <cell r="I3925" t="str">
            <v>22107</v>
          </cell>
        </row>
        <row r="3926">
          <cell r="G3926" t="str">
            <v>Xã Biển Động</v>
          </cell>
          <cell r="I3926" t="str">
            <v>22107</v>
          </cell>
        </row>
        <row r="3927">
          <cell r="G3927" t="str">
            <v>Xã Quý Sơn</v>
          </cell>
          <cell r="I3927" t="str">
            <v>22107</v>
          </cell>
        </row>
        <row r="3928">
          <cell r="G3928" t="str">
            <v>Xã Trù Hựu</v>
          </cell>
          <cell r="I3928" t="str">
            <v>22107</v>
          </cell>
        </row>
        <row r="3929">
          <cell r="G3929" t="str">
            <v>Xã Phì Điền</v>
          </cell>
          <cell r="I3929" t="str">
            <v>22107</v>
          </cell>
        </row>
        <row r="3930">
          <cell r="G3930" t="str">
            <v>Xã Nghĩa Hồ</v>
          </cell>
          <cell r="I3930" t="str">
            <v>22107</v>
          </cell>
        </row>
        <row r="3931">
          <cell r="G3931" t="str">
            <v xml:space="preserve">Xã Tân Lập          </v>
          </cell>
          <cell r="I3931" t="str">
            <v>22107</v>
          </cell>
        </row>
        <row r="3932">
          <cell r="G3932" t="str">
            <v xml:space="preserve">Xã Phú Nhuận </v>
          </cell>
          <cell r="I3932" t="str">
            <v>22107</v>
          </cell>
        </row>
        <row r="3933">
          <cell r="G3933" t="str">
            <v xml:space="preserve">Xã Nam Dương </v>
          </cell>
          <cell r="I3933" t="str">
            <v>22107</v>
          </cell>
        </row>
        <row r="3934">
          <cell r="G3934" t="str">
            <v>Xã Tân Mộc</v>
          </cell>
          <cell r="I3934" t="str">
            <v>22107</v>
          </cell>
        </row>
        <row r="3935">
          <cell r="G3935" t="str">
            <v>Xã Đèo Gia</v>
          </cell>
          <cell r="I3935" t="str">
            <v>22107</v>
          </cell>
        </row>
        <row r="3936">
          <cell r="G3936" t="str">
            <v xml:space="preserve">Xã Kiên Thành </v>
          </cell>
          <cell r="I3936" t="str">
            <v>22107</v>
          </cell>
        </row>
        <row r="3937">
          <cell r="G3937" t="str">
            <v>Thị trấn Chũ</v>
          </cell>
          <cell r="I3937" t="str">
            <v>22107</v>
          </cell>
        </row>
        <row r="3938">
          <cell r="G3938" t="str">
            <v xml:space="preserve">Xã Tân Sơn   </v>
          </cell>
          <cell r="I3938" t="str">
            <v>22107</v>
          </cell>
        </row>
        <row r="3939">
          <cell r="G3939" t="str">
            <v>Xã Phong Minh</v>
          </cell>
          <cell r="I3939" t="str">
            <v>22107</v>
          </cell>
        </row>
        <row r="3940">
          <cell r="G3940" t="str">
            <v>Xã Hộ Đáp</v>
          </cell>
          <cell r="I3940" t="str">
            <v>22107</v>
          </cell>
        </row>
        <row r="3941">
          <cell r="G3941" t="str">
            <v xml:space="preserve">Xã Sơn Hải </v>
          </cell>
          <cell r="I3941" t="str">
            <v>22107</v>
          </cell>
        </row>
        <row r="3942">
          <cell r="G3942" t="str">
            <v>Xã Kiên Lao</v>
          </cell>
          <cell r="I3942" t="str">
            <v>22107</v>
          </cell>
        </row>
        <row r="3943">
          <cell r="G3943" t="str">
            <v>Xã Biên Sơn</v>
          </cell>
          <cell r="I3943" t="str">
            <v>22107</v>
          </cell>
        </row>
        <row r="3944">
          <cell r="G3944" t="str">
            <v xml:space="preserve">Xã Kim Sơn    </v>
          </cell>
          <cell r="I3944" t="str">
            <v>22107</v>
          </cell>
        </row>
        <row r="3945">
          <cell r="G3945" t="str">
            <v>Xã Đồng Cốc</v>
          </cell>
          <cell r="I3945" t="str">
            <v>22107</v>
          </cell>
        </row>
        <row r="3946">
          <cell r="G3946" t="str">
            <v>Xã Xa Lý</v>
          </cell>
          <cell r="I3946" t="str">
            <v>22107</v>
          </cell>
        </row>
        <row r="3947">
          <cell r="G3947" t="str">
            <v xml:space="preserve">Xã Tân Quang    </v>
          </cell>
          <cell r="I3947" t="str">
            <v>22107</v>
          </cell>
        </row>
        <row r="3948">
          <cell r="G3948" t="str">
            <v>Xã Mỹ An</v>
          </cell>
          <cell r="I3948" t="str">
            <v>22107</v>
          </cell>
        </row>
        <row r="3949">
          <cell r="G3949" t="str">
            <v>Xã Phượng Sơn</v>
          </cell>
          <cell r="I3949" t="str">
            <v>22107</v>
          </cell>
        </row>
        <row r="3950">
          <cell r="G3950" t="str">
            <v>Xã Cấm Sơn</v>
          </cell>
          <cell r="I3950" t="str">
            <v>22107</v>
          </cell>
        </row>
        <row r="3951">
          <cell r="G3951" t="str">
            <v xml:space="preserve">Xã Phong Vân </v>
          </cell>
          <cell r="I3951" t="str">
            <v>22107</v>
          </cell>
        </row>
        <row r="3952">
          <cell r="G3952" t="str">
            <v xml:space="preserve">Xã Thanh Hải  </v>
          </cell>
          <cell r="I3952" t="str">
            <v>22107</v>
          </cell>
        </row>
        <row r="3953">
          <cell r="G3953" t="str">
            <v xml:space="preserve">Xã Đồng Tân  </v>
          </cell>
          <cell r="I3953" t="str">
            <v>22109</v>
          </cell>
        </row>
        <row r="3954">
          <cell r="G3954" t="str">
            <v xml:space="preserve">Xã Thanh Vân   </v>
          </cell>
          <cell r="I3954" t="str">
            <v>22109</v>
          </cell>
        </row>
        <row r="3955">
          <cell r="G3955" t="str">
            <v>Xã Hoàng Lương</v>
          </cell>
          <cell r="I3955" t="str">
            <v>22109</v>
          </cell>
        </row>
        <row r="3956">
          <cell r="G3956" t="str">
            <v>Xã Hoàng Thanh</v>
          </cell>
          <cell r="I3956" t="str">
            <v>22109</v>
          </cell>
        </row>
        <row r="3957">
          <cell r="G3957" t="str">
            <v>Xã Hoàng An</v>
          </cell>
          <cell r="I3957" t="str">
            <v>22109</v>
          </cell>
        </row>
        <row r="3958">
          <cell r="G3958" t="str">
            <v xml:space="preserve">Xã Ngọc Sơn  </v>
          </cell>
          <cell r="I3958" t="str">
            <v>22109</v>
          </cell>
        </row>
        <row r="3959">
          <cell r="G3959" t="str">
            <v xml:space="preserve">Xã Đức Thắng </v>
          </cell>
          <cell r="I3959" t="str">
            <v>22109</v>
          </cell>
        </row>
        <row r="3960">
          <cell r="G3960" t="str">
            <v xml:space="preserve">Xã Quang Minh    </v>
          </cell>
          <cell r="I3960" t="str">
            <v>22109</v>
          </cell>
        </row>
        <row r="3961">
          <cell r="G3961" t="str">
            <v xml:space="preserve">Xã Hùng Sơn  </v>
          </cell>
          <cell r="I3961" t="str">
            <v>22109</v>
          </cell>
        </row>
        <row r="3962">
          <cell r="G3962" t="str">
            <v xml:space="preserve">Xã Đại Thành </v>
          </cell>
          <cell r="I3962" t="str">
            <v>22109</v>
          </cell>
        </row>
        <row r="3963">
          <cell r="G3963" t="str">
            <v>Xã Thường Thắng</v>
          </cell>
          <cell r="I3963" t="str">
            <v>22109</v>
          </cell>
        </row>
        <row r="3964">
          <cell r="G3964" t="str">
            <v>Xã Danh Thắng</v>
          </cell>
          <cell r="I3964" t="str">
            <v>22109</v>
          </cell>
        </row>
        <row r="3965">
          <cell r="G3965" t="str">
            <v>Xã Mai Trung</v>
          </cell>
          <cell r="I3965" t="str">
            <v>22109</v>
          </cell>
        </row>
        <row r="3966">
          <cell r="G3966" t="str">
            <v>Xã Xuân Cẩm</v>
          </cell>
          <cell r="I3966" t="str">
            <v>22109</v>
          </cell>
        </row>
        <row r="3967">
          <cell r="G3967" t="str">
            <v>Xã Hương Lâm</v>
          </cell>
          <cell r="I3967" t="str">
            <v>22109</v>
          </cell>
        </row>
        <row r="3968">
          <cell r="G3968" t="str">
            <v xml:space="preserve">Xã Đông Lỗ </v>
          </cell>
          <cell r="I3968" t="str">
            <v>22109</v>
          </cell>
        </row>
        <row r="3969">
          <cell r="G3969" t="str">
            <v xml:space="preserve">Xã Mai Đình </v>
          </cell>
          <cell r="I3969" t="str">
            <v>22109</v>
          </cell>
        </row>
        <row r="3970">
          <cell r="G3970" t="str">
            <v xml:space="preserve">Xã Hòa Sơn </v>
          </cell>
          <cell r="I3970" t="str">
            <v>22109</v>
          </cell>
        </row>
        <row r="3971">
          <cell r="G3971" t="str">
            <v>Xã Đoan Bái</v>
          </cell>
          <cell r="I3971" t="str">
            <v>22109</v>
          </cell>
        </row>
        <row r="3972">
          <cell r="G3972" t="str">
            <v>Thị trấn Thắng</v>
          </cell>
          <cell r="I3972" t="str">
            <v>22109</v>
          </cell>
        </row>
        <row r="3973">
          <cell r="G3973" t="str">
            <v>Xã Hoàng Vân</v>
          </cell>
          <cell r="I3973" t="str">
            <v>22109</v>
          </cell>
        </row>
        <row r="3974">
          <cell r="G3974" t="str">
            <v xml:space="preserve">Xã Thái Sơn     </v>
          </cell>
          <cell r="I3974" t="str">
            <v>22109</v>
          </cell>
        </row>
        <row r="3975">
          <cell r="G3975" t="str">
            <v>Xã Lương Phong</v>
          </cell>
          <cell r="I3975" t="str">
            <v>22109</v>
          </cell>
        </row>
        <row r="3976">
          <cell r="G3976" t="str">
            <v xml:space="preserve">Xã Hợp Thịnh </v>
          </cell>
          <cell r="I3976" t="str">
            <v>22109</v>
          </cell>
        </row>
        <row r="3977">
          <cell r="G3977" t="str">
            <v xml:space="preserve">Xã Bắc Lý </v>
          </cell>
          <cell r="I3977" t="str">
            <v>22109</v>
          </cell>
        </row>
        <row r="3978">
          <cell r="G3978" t="str">
            <v>Xã Châu Minh</v>
          </cell>
          <cell r="I3978" t="str">
            <v>22109</v>
          </cell>
        </row>
        <row r="3979">
          <cell r="G3979" t="str">
            <v>Thị trấn Kép</v>
          </cell>
          <cell r="I3979" t="str">
            <v>22111</v>
          </cell>
        </row>
        <row r="3980">
          <cell r="G3980" t="str">
            <v>Thị trấn NT Bố Hạ</v>
          </cell>
          <cell r="I3980" t="str">
            <v>22111</v>
          </cell>
        </row>
        <row r="3981">
          <cell r="G3981" t="str">
            <v>Xã Nghĩa Hòa</v>
          </cell>
          <cell r="I3981" t="str">
            <v>22111</v>
          </cell>
        </row>
        <row r="3982">
          <cell r="G3982" t="str">
            <v xml:space="preserve">Xã Nghĩa Hưng </v>
          </cell>
          <cell r="I3982" t="str">
            <v>22111</v>
          </cell>
        </row>
        <row r="3983">
          <cell r="G3983" t="str">
            <v>Xã Quang Thịnh</v>
          </cell>
          <cell r="I3983" t="str">
            <v>22111</v>
          </cell>
        </row>
        <row r="3984">
          <cell r="G3984" t="str">
            <v>Xã Đào Mỹ</v>
          </cell>
          <cell r="I3984" t="str">
            <v>22111</v>
          </cell>
        </row>
        <row r="3985">
          <cell r="G3985" t="str">
            <v>Xã Tiên Lục</v>
          </cell>
          <cell r="I3985" t="str">
            <v>22111</v>
          </cell>
        </row>
        <row r="3986">
          <cell r="G3986" t="str">
            <v xml:space="preserve">Xã Mỹ Hà </v>
          </cell>
          <cell r="I3986" t="str">
            <v>22111</v>
          </cell>
        </row>
        <row r="3987">
          <cell r="G3987" t="str">
            <v>Xã Hương Lạc</v>
          </cell>
          <cell r="I3987" t="str">
            <v>22111</v>
          </cell>
        </row>
        <row r="3988">
          <cell r="G3988" t="str">
            <v>Xã Dương Đức</v>
          </cell>
          <cell r="I3988" t="str">
            <v>22111</v>
          </cell>
        </row>
        <row r="3989">
          <cell r="G3989" t="str">
            <v xml:space="preserve">Xã Yên Mỹ    </v>
          </cell>
          <cell r="I3989" t="str">
            <v>22111</v>
          </cell>
        </row>
        <row r="3990">
          <cell r="G3990" t="str">
            <v xml:space="preserve">Xã Tân Hưng     </v>
          </cell>
          <cell r="I3990" t="str">
            <v>22111</v>
          </cell>
        </row>
        <row r="3991">
          <cell r="G3991" t="str">
            <v>Xã Mỹ Thái</v>
          </cell>
          <cell r="I3991" t="str">
            <v>22111</v>
          </cell>
        </row>
        <row r="3992">
          <cell r="G3992" t="str">
            <v>Xã Xương Lâm</v>
          </cell>
          <cell r="I3992" t="str">
            <v>22111</v>
          </cell>
        </row>
        <row r="3993">
          <cell r="G3993" t="str">
            <v>Xã Đại Lâm</v>
          </cell>
          <cell r="I3993" t="str">
            <v>22111</v>
          </cell>
        </row>
        <row r="3994">
          <cell r="G3994" t="str">
            <v>Xã Thái Đào</v>
          </cell>
          <cell r="I3994" t="str">
            <v>22111</v>
          </cell>
        </row>
        <row r="3995">
          <cell r="G3995" t="str">
            <v>Xã An Hà</v>
          </cell>
          <cell r="I3995" t="str">
            <v>22111</v>
          </cell>
        </row>
        <row r="3996">
          <cell r="G3996" t="str">
            <v>Xã Xuân Hương</v>
          </cell>
          <cell r="I3996" t="str">
            <v>22111</v>
          </cell>
        </row>
        <row r="3997">
          <cell r="G3997" t="str">
            <v>Thị trấn Vôi</v>
          </cell>
          <cell r="I3997" t="str">
            <v>22111</v>
          </cell>
        </row>
        <row r="3998">
          <cell r="G3998" t="str">
            <v xml:space="preserve">Xã Hương Sơn   </v>
          </cell>
          <cell r="I3998" t="str">
            <v>22111</v>
          </cell>
        </row>
        <row r="3999">
          <cell r="G3999" t="str">
            <v xml:space="preserve">Xã Tân Thịnh     </v>
          </cell>
          <cell r="I3999" t="str">
            <v>22111</v>
          </cell>
        </row>
        <row r="4000">
          <cell r="G4000" t="str">
            <v xml:space="preserve">Xã Tân Thanh </v>
          </cell>
          <cell r="I4000" t="str">
            <v>22111</v>
          </cell>
        </row>
        <row r="4001">
          <cell r="G4001" t="str">
            <v>Xã Phi Mô</v>
          </cell>
          <cell r="I4001" t="str">
            <v>22111</v>
          </cell>
        </row>
        <row r="4002">
          <cell r="G4002" t="str">
            <v>Xã Tân Dĩnh</v>
          </cell>
          <cell r="I4002" t="str">
            <v>22111</v>
          </cell>
        </row>
        <row r="4003">
          <cell r="G4003" t="str">
            <v>Thị trấn An Châu</v>
          </cell>
          <cell r="I4003" t="str">
            <v>22113</v>
          </cell>
        </row>
        <row r="4004">
          <cell r="G4004" t="str">
            <v xml:space="preserve">Xã Thạch Sơn </v>
          </cell>
          <cell r="I4004" t="str">
            <v>22113</v>
          </cell>
        </row>
        <row r="4005">
          <cell r="G4005" t="str">
            <v xml:space="preserve">Xã Vân Sơn </v>
          </cell>
          <cell r="I4005" t="str">
            <v>22113</v>
          </cell>
        </row>
        <row r="4006">
          <cell r="G4006" t="str">
            <v>Xã Phúc Thắng</v>
          </cell>
          <cell r="I4006" t="str">
            <v>22113</v>
          </cell>
        </row>
        <row r="4007">
          <cell r="G4007" t="str">
            <v>Xã Chiên Sơn</v>
          </cell>
          <cell r="I4007" t="str">
            <v>22113</v>
          </cell>
        </row>
        <row r="4008">
          <cell r="G4008" t="str">
            <v>Xã Vĩnh Khương</v>
          </cell>
          <cell r="I4008" t="str">
            <v>22113</v>
          </cell>
        </row>
        <row r="4009">
          <cell r="G4009" t="str">
            <v>Xã Cẩm Đàn</v>
          </cell>
          <cell r="I4009" t="str">
            <v>22113</v>
          </cell>
        </row>
        <row r="4010">
          <cell r="G4010" t="str">
            <v xml:space="preserve">Xã An Lạc   </v>
          </cell>
          <cell r="I4010" t="str">
            <v>22113</v>
          </cell>
        </row>
        <row r="4011">
          <cell r="G4011" t="str">
            <v xml:space="preserve">Xã Yên Định </v>
          </cell>
          <cell r="I4011" t="str">
            <v>22113</v>
          </cell>
        </row>
        <row r="4012">
          <cell r="G4012" t="str">
            <v>Xã Lệ Viễn</v>
          </cell>
          <cell r="I4012" t="str">
            <v>22113</v>
          </cell>
        </row>
        <row r="4013">
          <cell r="G4013" t="str">
            <v>Xã An Bá</v>
          </cell>
          <cell r="I4013" t="str">
            <v>22113</v>
          </cell>
        </row>
        <row r="4014">
          <cell r="G4014" t="str">
            <v>Xã Dương Hưu</v>
          </cell>
          <cell r="I4014" t="str">
            <v>22113</v>
          </cell>
        </row>
        <row r="4015">
          <cell r="G4015" t="str">
            <v>Xã Long Sơn</v>
          </cell>
          <cell r="I4015" t="str">
            <v>22113</v>
          </cell>
        </row>
        <row r="4016">
          <cell r="G4016" t="str">
            <v xml:space="preserve">Thị Trấn Thanh Sơn </v>
          </cell>
          <cell r="I4016" t="str">
            <v>22113</v>
          </cell>
        </row>
        <row r="4017">
          <cell r="G4017" t="str">
            <v>Xã Thanh Luận</v>
          </cell>
          <cell r="I4017" t="str">
            <v>22113</v>
          </cell>
        </row>
        <row r="4018">
          <cell r="G4018" t="str">
            <v>Xã Quế Sơn</v>
          </cell>
          <cell r="I4018" t="str">
            <v>22113</v>
          </cell>
        </row>
        <row r="4019">
          <cell r="G4019" t="str">
            <v>Xã Tuấn Đạo</v>
          </cell>
          <cell r="I4019" t="str">
            <v>22113</v>
          </cell>
        </row>
        <row r="4020">
          <cell r="G4020" t="str">
            <v xml:space="preserve">Xã Hữu Sản </v>
          </cell>
          <cell r="I4020" t="str">
            <v>22113</v>
          </cell>
        </row>
        <row r="4021">
          <cell r="G4021" t="str">
            <v>Xã Giáo Liêm</v>
          </cell>
          <cell r="I4021" t="str">
            <v>22113</v>
          </cell>
        </row>
        <row r="4022">
          <cell r="G4022" t="str">
            <v>Xã An Lập</v>
          </cell>
          <cell r="I4022" t="str">
            <v>22113</v>
          </cell>
        </row>
        <row r="4023">
          <cell r="G4023" t="str">
            <v xml:space="preserve">Xã An Châu  </v>
          </cell>
          <cell r="I4023" t="str">
            <v>22113</v>
          </cell>
        </row>
        <row r="4024">
          <cell r="G4024" t="str">
            <v>Xã Bồng Am</v>
          </cell>
          <cell r="I4024" t="str">
            <v>22113</v>
          </cell>
        </row>
        <row r="4025">
          <cell r="G4025" t="str">
            <v>Xã Tuấn Mậu</v>
          </cell>
          <cell r="I4025" t="str">
            <v>22113</v>
          </cell>
        </row>
        <row r="4026">
          <cell r="G4026" t="str">
            <v>Thị trấn Lục Nam</v>
          </cell>
          <cell r="I4026" t="str">
            <v>22115</v>
          </cell>
        </row>
        <row r="4027">
          <cell r="G4027" t="str">
            <v xml:space="preserve">Xã Đông Hưng </v>
          </cell>
          <cell r="I4027" t="str">
            <v>22115</v>
          </cell>
        </row>
        <row r="4028">
          <cell r="G4028" t="str">
            <v>Xã Đông Phú</v>
          </cell>
          <cell r="I4028" t="str">
            <v>22115</v>
          </cell>
        </row>
        <row r="4029">
          <cell r="G4029" t="str">
            <v>Xã Tam Dị</v>
          </cell>
          <cell r="I4029" t="str">
            <v>22115</v>
          </cell>
        </row>
        <row r="4030">
          <cell r="G4030" t="str">
            <v>Xã Bảo Đài</v>
          </cell>
          <cell r="I4030" t="str">
            <v>22115</v>
          </cell>
        </row>
        <row r="4031">
          <cell r="G4031" t="str">
            <v>Xã Trường Giang</v>
          </cell>
          <cell r="I4031" t="str">
            <v>22115</v>
          </cell>
        </row>
        <row r="4032">
          <cell r="G4032" t="str">
            <v xml:space="preserve">Xã Tiên Hưng </v>
          </cell>
          <cell r="I4032" t="str">
            <v>22115</v>
          </cell>
        </row>
        <row r="4033">
          <cell r="G4033" t="str">
            <v>Xã Phương Sơn</v>
          </cell>
          <cell r="I4033" t="str">
            <v>22115</v>
          </cell>
        </row>
        <row r="4034">
          <cell r="G4034" t="str">
            <v>Xã Cương Sơn</v>
          </cell>
          <cell r="I4034" t="str">
            <v>22115</v>
          </cell>
        </row>
        <row r="4035">
          <cell r="G4035" t="str">
            <v>Xã Nghĩa Phương</v>
          </cell>
          <cell r="I4035" t="str">
            <v>22115</v>
          </cell>
        </row>
        <row r="4036">
          <cell r="G4036" t="str">
            <v xml:space="preserve">Xã Vô Tranh  </v>
          </cell>
          <cell r="I4036" t="str">
            <v>22115</v>
          </cell>
        </row>
        <row r="4037">
          <cell r="G4037" t="str">
            <v>Xã Lan Mẫu</v>
          </cell>
          <cell r="I4037" t="str">
            <v>22115</v>
          </cell>
        </row>
        <row r="4038">
          <cell r="G4038" t="str">
            <v xml:space="preserve">Xã Yên Sơn      </v>
          </cell>
          <cell r="I4038" t="str">
            <v>22115</v>
          </cell>
        </row>
        <row r="4039">
          <cell r="G4039" t="str">
            <v>Xã Trường Sơn</v>
          </cell>
          <cell r="I4039" t="str">
            <v>22115</v>
          </cell>
        </row>
        <row r="4040">
          <cell r="G4040" t="str">
            <v>Xã Lục Sơn</v>
          </cell>
          <cell r="I4040" t="str">
            <v>22115</v>
          </cell>
        </row>
        <row r="4041">
          <cell r="G4041" t="str">
            <v>Xã Bắc Lũng</v>
          </cell>
          <cell r="I4041" t="str">
            <v>22115</v>
          </cell>
        </row>
        <row r="4042">
          <cell r="G4042" t="str">
            <v>Xã Cẩm Lý</v>
          </cell>
          <cell r="I4042" t="str">
            <v>22115</v>
          </cell>
        </row>
        <row r="4043">
          <cell r="G4043" t="str">
            <v>Xã Đan Hội</v>
          </cell>
          <cell r="I4043" t="str">
            <v>22115</v>
          </cell>
        </row>
        <row r="4044">
          <cell r="G4044" t="str">
            <v xml:space="preserve">Xã Thanh Lâm </v>
          </cell>
          <cell r="I4044" t="str">
            <v>22115</v>
          </cell>
        </row>
        <row r="4045">
          <cell r="G4045" t="str">
            <v>Xã Khám Lạng</v>
          </cell>
          <cell r="I4045" t="str">
            <v>22115</v>
          </cell>
        </row>
        <row r="4046">
          <cell r="G4046" t="str">
            <v>Thị trấn Đồi Ngô</v>
          </cell>
          <cell r="I4046" t="str">
            <v>22115</v>
          </cell>
        </row>
        <row r="4047">
          <cell r="G4047" t="str">
            <v>Xã Bảo Sơn</v>
          </cell>
          <cell r="I4047" t="str">
            <v>22115</v>
          </cell>
        </row>
        <row r="4048">
          <cell r="G4048" t="str">
            <v>Xã Tiên Nha</v>
          </cell>
          <cell r="I4048" t="str">
            <v>22115</v>
          </cell>
        </row>
        <row r="4049">
          <cell r="G4049" t="str">
            <v>Xã Chu Điện</v>
          </cell>
          <cell r="I4049" t="str">
            <v>22115</v>
          </cell>
        </row>
        <row r="4050">
          <cell r="G4050" t="str">
            <v xml:space="preserve">Xã Bình Sơn </v>
          </cell>
          <cell r="I4050" t="str">
            <v>22115</v>
          </cell>
        </row>
        <row r="4051">
          <cell r="G4051" t="str">
            <v>Xã Huyền Sơn</v>
          </cell>
          <cell r="I4051" t="str">
            <v>22115</v>
          </cell>
        </row>
        <row r="4052">
          <cell r="G4052" t="str">
            <v xml:space="preserve">Xã Vũ Xá </v>
          </cell>
          <cell r="I4052" t="str">
            <v>22115</v>
          </cell>
        </row>
        <row r="4053">
          <cell r="G4053" t="str">
            <v>Thị trấn Bích Động</v>
          </cell>
          <cell r="I4053" t="str">
            <v>22117</v>
          </cell>
        </row>
        <row r="4054">
          <cell r="G4054" t="str">
            <v>Thị trấn Nếnh</v>
          </cell>
          <cell r="I4054" t="str">
            <v>22117</v>
          </cell>
        </row>
        <row r="4055">
          <cell r="G4055" t="str">
            <v>Xã Thượng Lan</v>
          </cell>
          <cell r="I4055" t="str">
            <v>22117</v>
          </cell>
        </row>
        <row r="4056">
          <cell r="G4056" t="str">
            <v xml:space="preserve">Xã Nghĩa Trung </v>
          </cell>
          <cell r="I4056" t="str">
            <v>22117</v>
          </cell>
        </row>
        <row r="4057">
          <cell r="G4057" t="str">
            <v>Xã Hương Mai</v>
          </cell>
          <cell r="I4057" t="str">
            <v>22117</v>
          </cell>
        </row>
        <row r="4058">
          <cell r="G4058" t="str">
            <v>Xã Bích Sơn</v>
          </cell>
          <cell r="I4058" t="str">
            <v>22117</v>
          </cell>
        </row>
        <row r="4059">
          <cell r="G4059" t="str">
            <v xml:space="preserve">Xã Trung Sơn  </v>
          </cell>
          <cell r="I4059" t="str">
            <v>22117</v>
          </cell>
        </row>
        <row r="4060">
          <cell r="G4060" t="str">
            <v xml:space="preserve">Xã Hồng Thái       </v>
          </cell>
          <cell r="I4060" t="str">
            <v>22117</v>
          </cell>
        </row>
        <row r="4061">
          <cell r="G4061" t="str">
            <v>Xã Tăng Tiến</v>
          </cell>
          <cell r="I4061" t="str">
            <v>22117</v>
          </cell>
        </row>
        <row r="4062">
          <cell r="G4062" t="str">
            <v>Xã Quảng Minh</v>
          </cell>
          <cell r="I4062" t="str">
            <v>22117</v>
          </cell>
        </row>
        <row r="4063">
          <cell r="G4063" t="str">
            <v>Xã Ninh Sơn</v>
          </cell>
          <cell r="I4063" t="str">
            <v>22117</v>
          </cell>
        </row>
        <row r="4064">
          <cell r="G4064" t="str">
            <v>Xã Vân Trung</v>
          </cell>
          <cell r="I4064" t="str">
            <v>22117</v>
          </cell>
        </row>
        <row r="4065">
          <cell r="G4065" t="str">
            <v>Xã Quang Châu</v>
          </cell>
          <cell r="I4065" t="str">
            <v>22117</v>
          </cell>
        </row>
        <row r="4066">
          <cell r="G4066" t="str">
            <v xml:space="preserve">Xã Minh Đức    </v>
          </cell>
          <cell r="I4066" t="str">
            <v>22117</v>
          </cell>
        </row>
        <row r="4067">
          <cell r="G4067" t="str">
            <v xml:space="preserve">Xã Vân Hà  </v>
          </cell>
          <cell r="I4067" t="str">
            <v>22117</v>
          </cell>
        </row>
        <row r="4068">
          <cell r="G4068" t="str">
            <v xml:space="preserve">Xã Việt Tiến  </v>
          </cell>
          <cell r="I4068" t="str">
            <v>22117</v>
          </cell>
        </row>
        <row r="4069">
          <cell r="G4069" t="str">
            <v>Xã Tự Lạn</v>
          </cell>
          <cell r="I4069" t="str">
            <v>22117</v>
          </cell>
        </row>
        <row r="4070">
          <cell r="G4070" t="str">
            <v>Xã Tiên Sơn</v>
          </cell>
          <cell r="I4070" t="str">
            <v>22117</v>
          </cell>
        </row>
        <row r="4071">
          <cell r="G4071" t="str">
            <v>Xã Hoàng Ninh</v>
          </cell>
          <cell r="I4071" t="str">
            <v>22117</v>
          </cell>
        </row>
        <row r="4072">
          <cell r="G4072" t="str">
            <v>Xã Lão Hộ</v>
          </cell>
          <cell r="I4072" t="str">
            <v>22119</v>
          </cell>
        </row>
        <row r="4073">
          <cell r="G4073" t="str">
            <v>Xã Hương Gián</v>
          </cell>
          <cell r="I4073" t="str">
            <v>22119</v>
          </cell>
        </row>
        <row r="4074">
          <cell r="G4074" t="str">
            <v xml:space="preserve">Xã Quỳnh Sơn  </v>
          </cell>
          <cell r="I4074" t="str">
            <v>22119</v>
          </cell>
        </row>
        <row r="4075">
          <cell r="G4075" t="str">
            <v>Xã Nội Hoàng</v>
          </cell>
          <cell r="I4075" t="str">
            <v>22119</v>
          </cell>
        </row>
        <row r="4076">
          <cell r="G4076" t="str">
            <v xml:space="preserve">Xã Tiền Phong      </v>
          </cell>
          <cell r="I4076" t="str">
            <v>22119</v>
          </cell>
        </row>
        <row r="4077">
          <cell r="G4077" t="str">
            <v>Xã Tân Liễu</v>
          </cell>
          <cell r="I4077" t="str">
            <v>22119</v>
          </cell>
        </row>
        <row r="4078">
          <cell r="G4078" t="str">
            <v>Xã Trí Yên</v>
          </cell>
          <cell r="I4078" t="str">
            <v>22119</v>
          </cell>
        </row>
        <row r="4079">
          <cell r="G4079" t="str">
            <v>Xã Lãng Sơn</v>
          </cell>
          <cell r="I4079" t="str">
            <v>22119</v>
          </cell>
        </row>
        <row r="4080">
          <cell r="G4080" t="str">
            <v>Xã Tiến Dũng</v>
          </cell>
          <cell r="I4080" t="str">
            <v>22119</v>
          </cell>
        </row>
        <row r="4081">
          <cell r="G4081" t="str">
            <v xml:space="preserve">Xã Đức Giang </v>
          </cell>
          <cell r="I4081" t="str">
            <v>22119</v>
          </cell>
        </row>
        <row r="4082">
          <cell r="G4082" t="str">
            <v>Xã Tư Mại</v>
          </cell>
          <cell r="I4082" t="str">
            <v>22119</v>
          </cell>
        </row>
        <row r="4083">
          <cell r="G4083" t="str">
            <v>Xã Thắng Cương</v>
          </cell>
          <cell r="I4083" t="str">
            <v>22119</v>
          </cell>
        </row>
        <row r="4084">
          <cell r="G4084" t="str">
            <v>Xã Đồng Việt</v>
          </cell>
          <cell r="I4084" t="str">
            <v>22119</v>
          </cell>
        </row>
        <row r="4085">
          <cell r="G4085" t="str">
            <v>Xã Nham Sơn</v>
          </cell>
          <cell r="I4085" t="str">
            <v>22119</v>
          </cell>
        </row>
        <row r="4086">
          <cell r="G4086" t="str">
            <v>Thị trấn Neo</v>
          </cell>
          <cell r="I4086" t="str">
            <v>22119</v>
          </cell>
        </row>
        <row r="4087">
          <cell r="G4087" t="str">
            <v xml:space="preserve">Xã Tân An   </v>
          </cell>
          <cell r="I4087" t="str">
            <v>22119</v>
          </cell>
        </row>
        <row r="4088">
          <cell r="G4088" t="str">
            <v xml:space="preserve">Xã Xuân Phú  </v>
          </cell>
          <cell r="I4088" t="str">
            <v>22119</v>
          </cell>
        </row>
        <row r="4089">
          <cell r="G4089" t="str">
            <v>Xã Yên Lư</v>
          </cell>
          <cell r="I4089" t="str">
            <v>22119</v>
          </cell>
        </row>
        <row r="4090">
          <cell r="G4090" t="str">
            <v>Xã Cảnh Thụy</v>
          </cell>
          <cell r="I4090" t="str">
            <v>22119</v>
          </cell>
        </row>
        <row r="4091">
          <cell r="G4091" t="str">
            <v xml:space="preserve">Xã Đồng Phúc </v>
          </cell>
          <cell r="I4091" t="str">
            <v>22119</v>
          </cell>
        </row>
        <row r="4092">
          <cell r="G4092" t="str">
            <v>Thị Trấn Tân Dân</v>
          </cell>
          <cell r="I4092" t="str">
            <v>22119</v>
          </cell>
        </row>
        <row r="4093">
          <cell r="G4093" t="str">
            <v>Phường Vũ Ninh</v>
          </cell>
          <cell r="I4093" t="str">
            <v>22301</v>
          </cell>
        </row>
        <row r="4094">
          <cell r="G4094" t="str">
            <v>Phường Đáp Cầu</v>
          </cell>
          <cell r="I4094" t="str">
            <v>22301</v>
          </cell>
        </row>
        <row r="4095">
          <cell r="G4095" t="str">
            <v>Phường Kinh Bắc</v>
          </cell>
          <cell r="I4095" t="str">
            <v>22301</v>
          </cell>
        </row>
        <row r="4096">
          <cell r="G4096" t="str">
            <v>Phường Vệ An</v>
          </cell>
          <cell r="I4096" t="str">
            <v>22301</v>
          </cell>
        </row>
        <row r="4097">
          <cell r="G4097" t="str">
            <v>Phường Tiền An</v>
          </cell>
          <cell r="I4097" t="str">
            <v>22301</v>
          </cell>
        </row>
        <row r="4098">
          <cell r="G4098" t="str">
            <v>Phường Đại Phúc</v>
          </cell>
          <cell r="I4098" t="str">
            <v>22301</v>
          </cell>
        </row>
        <row r="4099">
          <cell r="G4099" t="str">
            <v>Phường Ninh Xá</v>
          </cell>
          <cell r="I4099" t="str">
            <v>22301</v>
          </cell>
        </row>
        <row r="4100">
          <cell r="G4100" t="str">
            <v>Phường Suối Hoa</v>
          </cell>
          <cell r="I4100" t="str">
            <v>22301</v>
          </cell>
        </row>
        <row r="4101">
          <cell r="G4101" t="str">
            <v>Phường Thị Cầu</v>
          </cell>
          <cell r="I4101" t="str">
            <v>22301</v>
          </cell>
        </row>
        <row r="4102">
          <cell r="G4102" t="str">
            <v>Phường Võ Cường</v>
          </cell>
          <cell r="I4102" t="str">
            <v>22301</v>
          </cell>
        </row>
        <row r="4103">
          <cell r="G4103" t="str">
            <v>Phường Phong Khê</v>
          </cell>
          <cell r="I4103" t="str">
            <v>22301</v>
          </cell>
        </row>
        <row r="4104">
          <cell r="G4104" t="str">
            <v>Xã Hòa Long</v>
          </cell>
          <cell r="I4104" t="str">
            <v>22301</v>
          </cell>
        </row>
        <row r="4105">
          <cell r="G4105" t="str">
            <v>Phường Vạn An</v>
          </cell>
          <cell r="I4105" t="str">
            <v>22301</v>
          </cell>
        </row>
        <row r="4106">
          <cell r="G4106" t="str">
            <v>Phường Khúc Xuyên</v>
          </cell>
          <cell r="I4106" t="str">
            <v>22301</v>
          </cell>
        </row>
        <row r="4107">
          <cell r="G4107" t="str">
            <v>Xã Kim Chân</v>
          </cell>
          <cell r="I4107" t="str">
            <v>22301</v>
          </cell>
        </row>
        <row r="4108">
          <cell r="G4108" t="str">
            <v>Phường Vân Dương</v>
          </cell>
          <cell r="I4108" t="str">
            <v>22301</v>
          </cell>
        </row>
        <row r="4109">
          <cell r="G4109" t="str">
            <v xml:space="preserve">Xã Nam Sơn   </v>
          </cell>
          <cell r="I4109" t="str">
            <v>22301</v>
          </cell>
        </row>
        <row r="4110">
          <cell r="G4110" t="str">
            <v>Phường Khắc Niệm</v>
          </cell>
          <cell r="I4110" t="str">
            <v>22301</v>
          </cell>
        </row>
        <row r="4111">
          <cell r="G4111" t="str">
            <v>Phường Hạp Lĩnh</v>
          </cell>
          <cell r="I4111" t="str">
            <v>22301</v>
          </cell>
        </row>
        <row r="4112">
          <cell r="G4112" t="str">
            <v>Thị trấn Chờ</v>
          </cell>
          <cell r="I4112" t="str">
            <v>22303</v>
          </cell>
        </row>
        <row r="4113">
          <cell r="G4113" t="str">
            <v>Xã Dũng Liệt</v>
          </cell>
          <cell r="I4113" t="str">
            <v>22303</v>
          </cell>
        </row>
        <row r="4114">
          <cell r="G4114" t="str">
            <v xml:space="preserve">Xã Tam Đa   </v>
          </cell>
          <cell r="I4114" t="str">
            <v>22303</v>
          </cell>
        </row>
        <row r="4115">
          <cell r="G4115" t="str">
            <v xml:space="preserve">Xã Yên Trung  </v>
          </cell>
          <cell r="I4115" t="str">
            <v>22303</v>
          </cell>
        </row>
        <row r="4116">
          <cell r="G4116" t="str">
            <v>Xã Thụy Hòa</v>
          </cell>
          <cell r="I4116" t="str">
            <v>22303</v>
          </cell>
        </row>
        <row r="4117">
          <cell r="G4117" t="str">
            <v>Xã Đông Tiến</v>
          </cell>
          <cell r="I4117" t="str">
            <v>22303</v>
          </cell>
        </row>
        <row r="4118">
          <cell r="G4118" t="str">
            <v>Xã Yên Phụ</v>
          </cell>
          <cell r="I4118" t="str">
            <v>22303</v>
          </cell>
        </row>
        <row r="4119">
          <cell r="G4119" t="str">
            <v xml:space="preserve">Xã Trung Nghĩa  </v>
          </cell>
          <cell r="I4119" t="str">
            <v>22303</v>
          </cell>
        </row>
        <row r="4120">
          <cell r="G4120" t="str">
            <v xml:space="preserve">Xã Đông Phong  </v>
          </cell>
          <cell r="I4120" t="str">
            <v>22303</v>
          </cell>
        </row>
        <row r="4121">
          <cell r="G4121" t="str">
            <v>Xã Long Châu</v>
          </cell>
          <cell r="I4121" t="str">
            <v>22303</v>
          </cell>
        </row>
        <row r="4122">
          <cell r="G4122" t="str">
            <v>Xã Văn Môn</v>
          </cell>
          <cell r="I4122" t="str">
            <v>22303</v>
          </cell>
        </row>
        <row r="4123">
          <cell r="G4123" t="str">
            <v xml:space="preserve">Xã Đông Thọ  </v>
          </cell>
          <cell r="I4123" t="str">
            <v>22303</v>
          </cell>
        </row>
        <row r="4124">
          <cell r="G4124" t="str">
            <v xml:space="preserve">Xã Hòa Tiến </v>
          </cell>
          <cell r="I4124" t="str">
            <v>22303</v>
          </cell>
        </row>
        <row r="4125">
          <cell r="G4125" t="str">
            <v>Xã Tam Giang</v>
          </cell>
          <cell r="I4125" t="str">
            <v>22303</v>
          </cell>
        </row>
        <row r="4126">
          <cell r="G4126" t="str">
            <v>Xã Đại Xuân</v>
          </cell>
          <cell r="I4126" t="str">
            <v>22305</v>
          </cell>
        </row>
        <row r="4127">
          <cell r="G4127" t="str">
            <v xml:space="preserve">Xã Nhân Hòa  </v>
          </cell>
          <cell r="I4127" t="str">
            <v>22305</v>
          </cell>
        </row>
        <row r="4128">
          <cell r="G4128" t="str">
            <v>Xã Phương Liễu</v>
          </cell>
          <cell r="I4128" t="str">
            <v>22305</v>
          </cell>
        </row>
        <row r="4129">
          <cell r="G4129" t="str">
            <v>Xã Quế Tân</v>
          </cell>
          <cell r="I4129" t="str">
            <v>22305</v>
          </cell>
        </row>
        <row r="4130">
          <cell r="G4130" t="str">
            <v>Xã Phù Lãng</v>
          </cell>
          <cell r="I4130" t="str">
            <v>22305</v>
          </cell>
        </row>
        <row r="4131">
          <cell r="G4131" t="str">
            <v xml:space="preserve">Xã Phượng Mao </v>
          </cell>
          <cell r="I4131" t="str">
            <v>22305</v>
          </cell>
        </row>
        <row r="4132">
          <cell r="G4132" t="str">
            <v>Xã Ngọc Xá</v>
          </cell>
          <cell r="I4132" t="str">
            <v>22305</v>
          </cell>
        </row>
        <row r="4133">
          <cell r="G4133" t="str">
            <v>Xã Châu Phong</v>
          </cell>
          <cell r="I4133" t="str">
            <v>22305</v>
          </cell>
        </row>
        <row r="4134">
          <cell r="G4134" t="str">
            <v>Xã Cách Bi</v>
          </cell>
          <cell r="I4134" t="str">
            <v>22305</v>
          </cell>
        </row>
        <row r="4135">
          <cell r="G4135" t="str">
            <v xml:space="preserve">Xã Đào Viên </v>
          </cell>
          <cell r="I4135" t="str">
            <v>22305</v>
          </cell>
        </row>
        <row r="4136">
          <cell r="G4136" t="str">
            <v>Xã Yên Giả</v>
          </cell>
          <cell r="I4136" t="str">
            <v>22305</v>
          </cell>
        </row>
        <row r="4137">
          <cell r="G4137" t="str">
            <v xml:space="preserve">Xã Đức Long   </v>
          </cell>
          <cell r="I4137" t="str">
            <v>22305</v>
          </cell>
        </row>
        <row r="4138">
          <cell r="G4138" t="str">
            <v xml:space="preserve">Xã Chi Lăng   </v>
          </cell>
          <cell r="I4138" t="str">
            <v>22305</v>
          </cell>
        </row>
        <row r="4139">
          <cell r="G4139" t="str">
            <v>Xã Hán Quảng</v>
          </cell>
          <cell r="I4139" t="str">
            <v>22305</v>
          </cell>
        </row>
        <row r="4140">
          <cell r="G4140" t="str">
            <v>Xã Việt Thống</v>
          </cell>
          <cell r="I4140" t="str">
            <v>22305</v>
          </cell>
        </row>
        <row r="4141">
          <cell r="G4141" t="str">
            <v xml:space="preserve">Xã Việt Hùng   </v>
          </cell>
          <cell r="I4141" t="str">
            <v>22305</v>
          </cell>
        </row>
        <row r="4142">
          <cell r="G4142" t="str">
            <v>Thị trấn Phố Mới</v>
          </cell>
          <cell r="I4142" t="str">
            <v>22305</v>
          </cell>
        </row>
        <row r="4143">
          <cell r="G4143" t="str">
            <v>Xã Bằng An</v>
          </cell>
          <cell r="I4143" t="str">
            <v>22305</v>
          </cell>
        </row>
        <row r="4144">
          <cell r="G4144" t="str">
            <v>Xã Phù Lương</v>
          </cell>
          <cell r="I4144" t="str">
            <v>22305</v>
          </cell>
        </row>
        <row r="4145">
          <cell r="G4145" t="str">
            <v>Xã Bồng Lai</v>
          </cell>
          <cell r="I4145" t="str">
            <v>22305</v>
          </cell>
        </row>
        <row r="4146">
          <cell r="G4146" t="str">
            <v>Xã Mộ Đạo</v>
          </cell>
          <cell r="I4146" t="str">
            <v>22305</v>
          </cell>
        </row>
        <row r="4147">
          <cell r="G4147" t="str">
            <v>Xã Nội Duệ</v>
          </cell>
          <cell r="I4147" t="str">
            <v>22307</v>
          </cell>
        </row>
        <row r="4148">
          <cell r="G4148" t="str">
            <v>Xã Liên Bão</v>
          </cell>
          <cell r="I4148" t="str">
            <v>22307</v>
          </cell>
        </row>
        <row r="4149">
          <cell r="G4149" t="str">
            <v>Xã Hiên Vân</v>
          </cell>
          <cell r="I4149" t="str">
            <v>22307</v>
          </cell>
        </row>
        <row r="4150">
          <cell r="G4150" t="str">
            <v>Xã Hoàn Sơn</v>
          </cell>
          <cell r="I4150" t="str">
            <v>22307</v>
          </cell>
        </row>
        <row r="4151">
          <cell r="G4151" t="str">
            <v>Xã Việt Đoàn</v>
          </cell>
          <cell r="I4151" t="str">
            <v>22307</v>
          </cell>
        </row>
        <row r="4152">
          <cell r="G4152" t="str">
            <v>Xã Phật Tích</v>
          </cell>
          <cell r="I4152" t="str">
            <v>22307</v>
          </cell>
        </row>
        <row r="4153">
          <cell r="G4153" t="str">
            <v xml:space="preserve">Xã Đại Đồng       </v>
          </cell>
          <cell r="I4153" t="str">
            <v>22307</v>
          </cell>
        </row>
        <row r="4154">
          <cell r="G4154" t="str">
            <v>Xã Minh Đạo</v>
          </cell>
          <cell r="I4154" t="str">
            <v>22307</v>
          </cell>
        </row>
        <row r="4155">
          <cell r="G4155" t="str">
            <v xml:space="preserve">Xã Phú Lâm </v>
          </cell>
          <cell r="I4155" t="str">
            <v>22307</v>
          </cell>
        </row>
        <row r="4156">
          <cell r="G4156" t="str">
            <v xml:space="preserve">Xã Tri Phương  </v>
          </cell>
          <cell r="I4156" t="str">
            <v>22307</v>
          </cell>
        </row>
        <row r="4157">
          <cell r="G4157" t="str">
            <v>Thị trấn Lim</v>
          </cell>
          <cell r="I4157" t="str">
            <v>22307</v>
          </cell>
        </row>
        <row r="4158">
          <cell r="G4158" t="str">
            <v>Xã Lạc Vệ</v>
          </cell>
          <cell r="I4158" t="str">
            <v>22307</v>
          </cell>
        </row>
        <row r="4159">
          <cell r="G4159" t="str">
            <v>Xã Tân Chi</v>
          </cell>
          <cell r="I4159" t="str">
            <v>22307</v>
          </cell>
        </row>
        <row r="4160">
          <cell r="G4160" t="str">
            <v>Xã Cảnh Hưng</v>
          </cell>
          <cell r="I4160" t="str">
            <v>22307</v>
          </cell>
        </row>
        <row r="4161">
          <cell r="G4161" t="str">
            <v>Xã Hòai Thượng</v>
          </cell>
          <cell r="I4161" t="str">
            <v>22309</v>
          </cell>
        </row>
        <row r="4162">
          <cell r="G4162" t="str">
            <v>Xã Đại Đồng Thành</v>
          </cell>
          <cell r="I4162" t="str">
            <v>22309</v>
          </cell>
        </row>
        <row r="4163">
          <cell r="G4163" t="str">
            <v>Xã Mão Điền</v>
          </cell>
          <cell r="I4163" t="str">
            <v>22309</v>
          </cell>
        </row>
        <row r="4164">
          <cell r="G4164" t="str">
            <v>Xã Đình Tổ</v>
          </cell>
          <cell r="I4164" t="str">
            <v>22309</v>
          </cell>
        </row>
        <row r="4165">
          <cell r="G4165" t="str">
            <v xml:space="preserve">Xã An Bình   </v>
          </cell>
          <cell r="I4165" t="str">
            <v>22309</v>
          </cell>
        </row>
        <row r="4166">
          <cell r="G4166" t="str">
            <v>Xã Trí Quả</v>
          </cell>
          <cell r="I4166" t="str">
            <v>22309</v>
          </cell>
        </row>
        <row r="4167">
          <cell r="G4167" t="str">
            <v>Xã Thanh Khương</v>
          </cell>
          <cell r="I4167" t="str">
            <v>22309</v>
          </cell>
        </row>
        <row r="4168">
          <cell r="G4168" t="str">
            <v>Xã Xuân Lâm</v>
          </cell>
          <cell r="I4168" t="str">
            <v>22309</v>
          </cell>
        </row>
        <row r="4169">
          <cell r="G4169" t="str">
            <v>Xã Ngũ Thái</v>
          </cell>
          <cell r="I4169" t="str">
            <v>22309</v>
          </cell>
        </row>
        <row r="4170">
          <cell r="G4170" t="str">
            <v xml:space="preserve">Xã Nguyệt Đức </v>
          </cell>
          <cell r="I4170" t="str">
            <v>22309</v>
          </cell>
        </row>
        <row r="4171">
          <cell r="G4171" t="str">
            <v>Xã Nghĩa Đạo</v>
          </cell>
          <cell r="I4171" t="str">
            <v>22309</v>
          </cell>
        </row>
        <row r="4172">
          <cell r="G4172" t="str">
            <v>Xã Song Liễu</v>
          </cell>
          <cell r="I4172" t="str">
            <v>22309</v>
          </cell>
        </row>
        <row r="4173">
          <cell r="G4173" t="str">
            <v>Xã Trạm Lộ</v>
          </cell>
          <cell r="I4173" t="str">
            <v>22309</v>
          </cell>
        </row>
        <row r="4174">
          <cell r="G4174" t="str">
            <v>Thị trấn Hồ</v>
          </cell>
          <cell r="I4174" t="str">
            <v>22309</v>
          </cell>
        </row>
        <row r="4175">
          <cell r="G4175" t="str">
            <v>Xã Song Hồ</v>
          </cell>
          <cell r="I4175" t="str">
            <v>22309</v>
          </cell>
        </row>
        <row r="4176">
          <cell r="G4176" t="str">
            <v>Xã Gia Đông</v>
          </cell>
          <cell r="I4176" t="str">
            <v>22309</v>
          </cell>
        </row>
        <row r="4177">
          <cell r="G4177" t="str">
            <v>Xã Hà Mãn</v>
          </cell>
          <cell r="I4177" t="str">
            <v>22309</v>
          </cell>
        </row>
        <row r="4178">
          <cell r="G4178" t="str">
            <v>Xã Ninh Xá</v>
          </cell>
          <cell r="I4178" t="str">
            <v>22309</v>
          </cell>
        </row>
        <row r="4179">
          <cell r="G4179" t="str">
            <v>Xã Trung Kênh</v>
          </cell>
          <cell r="I4179" t="str">
            <v>22311</v>
          </cell>
        </row>
        <row r="4180">
          <cell r="G4180" t="str">
            <v>Xã Phú Hòa</v>
          </cell>
          <cell r="I4180" t="str">
            <v>22311</v>
          </cell>
        </row>
        <row r="4181">
          <cell r="G4181" t="str">
            <v>Xã Mỹ Hương</v>
          </cell>
          <cell r="I4181" t="str">
            <v>22311</v>
          </cell>
        </row>
        <row r="4182">
          <cell r="G4182" t="str">
            <v>Xã Tân Lãng</v>
          </cell>
          <cell r="I4182" t="str">
            <v>22311</v>
          </cell>
        </row>
        <row r="4183">
          <cell r="G4183" t="str">
            <v>Xã Quảng Phú</v>
          </cell>
          <cell r="I4183" t="str">
            <v>22311</v>
          </cell>
        </row>
        <row r="4184">
          <cell r="G4184" t="str">
            <v>Xã Trừng Xá</v>
          </cell>
          <cell r="I4184" t="str">
            <v>22311</v>
          </cell>
        </row>
        <row r="4185">
          <cell r="G4185" t="str">
            <v>Xã Lai Hạ</v>
          </cell>
          <cell r="I4185" t="str">
            <v>22311</v>
          </cell>
        </row>
        <row r="4186">
          <cell r="G4186" t="str">
            <v>Xã Trung Chính</v>
          </cell>
          <cell r="I4186" t="str">
            <v>22311</v>
          </cell>
        </row>
        <row r="4187">
          <cell r="G4187" t="str">
            <v xml:space="preserve">Xã Minh Tân           </v>
          </cell>
          <cell r="I4187" t="str">
            <v>22311</v>
          </cell>
        </row>
        <row r="4188">
          <cell r="G4188" t="str">
            <v xml:space="preserve">Xã Phú Lương  </v>
          </cell>
          <cell r="I4188" t="str">
            <v>22311</v>
          </cell>
        </row>
        <row r="4189">
          <cell r="G4189" t="str">
            <v xml:space="preserve">Xã An Thịnh </v>
          </cell>
          <cell r="I4189" t="str">
            <v>22311</v>
          </cell>
        </row>
        <row r="4190">
          <cell r="G4190" t="str">
            <v>Thị trấn Thứa</v>
          </cell>
          <cell r="I4190" t="str">
            <v>22311</v>
          </cell>
        </row>
        <row r="4191">
          <cell r="G4191" t="str">
            <v>Xã Lâm Thao</v>
          </cell>
          <cell r="I4191" t="str">
            <v>22311</v>
          </cell>
        </row>
        <row r="4192">
          <cell r="G4192" t="str">
            <v xml:space="preserve">Xã Bình Định  </v>
          </cell>
          <cell r="I4192" t="str">
            <v>22311</v>
          </cell>
        </row>
        <row r="4193">
          <cell r="G4193" t="str">
            <v>Phường Đông Ngàn</v>
          </cell>
          <cell r="I4193" t="str">
            <v>22313</v>
          </cell>
        </row>
        <row r="4194">
          <cell r="G4194" t="str">
            <v xml:space="preserve">Xã Tam Sơn </v>
          </cell>
          <cell r="I4194" t="str">
            <v>22313</v>
          </cell>
        </row>
        <row r="4195">
          <cell r="G4195" t="str">
            <v>Xã Hương Mạc</v>
          </cell>
          <cell r="I4195" t="str">
            <v>22313</v>
          </cell>
        </row>
        <row r="4196">
          <cell r="G4196" t="str">
            <v>Xã Phù Khê</v>
          </cell>
          <cell r="I4196" t="str">
            <v>22313</v>
          </cell>
        </row>
        <row r="4197">
          <cell r="G4197" t="str">
            <v>Phường Đồng Kỵ</v>
          </cell>
          <cell r="I4197" t="str">
            <v>22313</v>
          </cell>
        </row>
        <row r="4198">
          <cell r="G4198" t="str">
            <v>Phường Đồng Nguyên</v>
          </cell>
          <cell r="I4198" t="str">
            <v>22313</v>
          </cell>
        </row>
        <row r="4199">
          <cell r="G4199" t="str">
            <v>Phường Tân Hồng</v>
          </cell>
          <cell r="I4199" t="str">
            <v>22313</v>
          </cell>
        </row>
        <row r="4200">
          <cell r="G4200" t="str">
            <v>Xã Phù Chẩn</v>
          </cell>
          <cell r="I4200" t="str">
            <v>22313</v>
          </cell>
        </row>
        <row r="4201">
          <cell r="G4201" t="str">
            <v>Phường Đình Bảng</v>
          </cell>
          <cell r="I4201" t="str">
            <v>22313</v>
          </cell>
        </row>
        <row r="4202">
          <cell r="G4202" t="str">
            <v>Xã Tương Giang</v>
          </cell>
          <cell r="I4202" t="str">
            <v>22313</v>
          </cell>
        </row>
        <row r="4203">
          <cell r="G4203" t="str">
            <v>Phường Châu Khê</v>
          </cell>
          <cell r="I4203" t="str">
            <v>22313</v>
          </cell>
        </row>
        <row r="4204">
          <cell r="G4204" t="str">
            <v>Phường Trang Hạ</v>
          </cell>
          <cell r="I4204" t="str">
            <v>22313</v>
          </cell>
        </row>
        <row r="4205">
          <cell r="G4205" t="str">
            <v>Thị trấn Gia Bình</v>
          </cell>
          <cell r="I4205" t="str">
            <v>22315</v>
          </cell>
        </row>
        <row r="4206">
          <cell r="G4206" t="str">
            <v>Xã Thái Bảo</v>
          </cell>
          <cell r="I4206" t="str">
            <v>22315</v>
          </cell>
        </row>
        <row r="4207">
          <cell r="G4207" t="str">
            <v>Xã Giang Sơn</v>
          </cell>
          <cell r="I4207" t="str">
            <v>22315</v>
          </cell>
        </row>
        <row r="4208">
          <cell r="G4208" t="str">
            <v xml:space="preserve">Xã Song Giang </v>
          </cell>
          <cell r="I4208" t="str">
            <v>22315</v>
          </cell>
        </row>
        <row r="4209">
          <cell r="G4209" t="str">
            <v xml:space="preserve">Xã Bình Dương  </v>
          </cell>
          <cell r="I4209" t="str">
            <v>22315</v>
          </cell>
        </row>
        <row r="4210">
          <cell r="G4210" t="str">
            <v xml:space="preserve">Xã Lãng Ngâm </v>
          </cell>
          <cell r="I4210" t="str">
            <v>22315</v>
          </cell>
        </row>
        <row r="4211">
          <cell r="G4211" t="str">
            <v xml:space="preserve">Xã Xuân Lai </v>
          </cell>
          <cell r="I4211" t="str">
            <v>22315</v>
          </cell>
        </row>
        <row r="4212">
          <cell r="G4212" t="str">
            <v>Xã Đông Cứu</v>
          </cell>
          <cell r="I4212" t="str">
            <v>22315</v>
          </cell>
        </row>
        <row r="4213">
          <cell r="G4213" t="str">
            <v>Xã Đại Bái</v>
          </cell>
          <cell r="I4213" t="str">
            <v>22315</v>
          </cell>
        </row>
        <row r="4214">
          <cell r="G4214" t="str">
            <v>Xã Cao Đức</v>
          </cell>
          <cell r="I4214" t="str">
            <v>22315</v>
          </cell>
        </row>
        <row r="4215">
          <cell r="G4215" t="str">
            <v>Xã Vạn Ninh</v>
          </cell>
          <cell r="I4215" t="str">
            <v>22315</v>
          </cell>
        </row>
        <row r="4216">
          <cell r="G4216" t="str">
            <v>Xã Đại Lai</v>
          </cell>
          <cell r="I4216" t="str">
            <v>22315</v>
          </cell>
        </row>
        <row r="4217">
          <cell r="G4217" t="str">
            <v>Xã Nhân Thắng</v>
          </cell>
          <cell r="I4217" t="str">
            <v>22315</v>
          </cell>
        </row>
        <row r="4218">
          <cell r="G4218" t="str">
            <v>Xã Quỳnh Phú</v>
          </cell>
          <cell r="I4218" t="str">
            <v>22315</v>
          </cell>
        </row>
        <row r="4219">
          <cell r="G4219" t="str">
            <v>Phường Hà Khánh</v>
          </cell>
          <cell r="I4219" t="str">
            <v>22501</v>
          </cell>
        </row>
        <row r="4220">
          <cell r="G4220" t="str">
            <v>Phường Hà Khẩu</v>
          </cell>
          <cell r="I4220" t="str">
            <v>22501</v>
          </cell>
        </row>
        <row r="4221">
          <cell r="G4221" t="str">
            <v>Phường Giếng Đáy</v>
          </cell>
          <cell r="I4221" t="str">
            <v>22501</v>
          </cell>
        </row>
        <row r="4222">
          <cell r="G4222" t="str">
            <v>Phường Hà Tu</v>
          </cell>
          <cell r="I4222" t="str">
            <v>22501</v>
          </cell>
        </row>
        <row r="4223">
          <cell r="G4223" t="str">
            <v>Phường Hà Trung</v>
          </cell>
          <cell r="I4223" t="str">
            <v>22501</v>
          </cell>
        </row>
        <row r="4224">
          <cell r="G4224" t="str">
            <v>Phường Bãi Cháy</v>
          </cell>
          <cell r="I4224" t="str">
            <v>22501</v>
          </cell>
        </row>
        <row r="4225">
          <cell r="G4225" t="str">
            <v>Phường Cao Thắng</v>
          </cell>
          <cell r="I4225" t="str">
            <v>22501</v>
          </cell>
        </row>
        <row r="4226">
          <cell r="G4226" t="str">
            <v>Phường Hùng Thắng</v>
          </cell>
          <cell r="I4226" t="str">
            <v>22501</v>
          </cell>
        </row>
        <row r="4227">
          <cell r="G4227" t="str">
            <v xml:space="preserve">Phường Trần Hưng Đạo     </v>
          </cell>
          <cell r="I4227" t="str">
            <v>22501</v>
          </cell>
        </row>
        <row r="4228">
          <cell r="G4228" t="str">
            <v>Phường Hồng Hải</v>
          </cell>
          <cell r="I4228" t="str">
            <v>22501</v>
          </cell>
        </row>
        <row r="4229">
          <cell r="G4229" t="str">
            <v xml:space="preserve">Phường Bạch Đằng </v>
          </cell>
          <cell r="I4229" t="str">
            <v>22501</v>
          </cell>
        </row>
        <row r="4230">
          <cell r="G4230" t="str">
            <v>Phường Tuần Châu</v>
          </cell>
          <cell r="I4230" t="str">
            <v>22501</v>
          </cell>
        </row>
        <row r="4231">
          <cell r="G4231" t="str">
            <v xml:space="preserve">Xã Việt Hưng  </v>
          </cell>
          <cell r="I4231" t="str">
            <v>22501</v>
          </cell>
        </row>
        <row r="4232">
          <cell r="G4232" t="str">
            <v xml:space="preserve">Xã Đại Yên </v>
          </cell>
          <cell r="I4232" t="str">
            <v>22501</v>
          </cell>
        </row>
        <row r="4233">
          <cell r="G4233" t="str">
            <v>Phường Hà Phong</v>
          </cell>
          <cell r="I4233" t="str">
            <v>22501</v>
          </cell>
        </row>
        <row r="4234">
          <cell r="G4234" t="str">
            <v>Phường Hồng Gai</v>
          </cell>
          <cell r="I4234" t="str">
            <v>22501</v>
          </cell>
        </row>
        <row r="4235">
          <cell r="G4235" t="str">
            <v>Phường Cao Xanh</v>
          </cell>
          <cell r="I4235" t="str">
            <v>22501</v>
          </cell>
        </row>
        <row r="4236">
          <cell r="G4236" t="str">
            <v>Phường Hà Lầm</v>
          </cell>
          <cell r="I4236" t="str">
            <v>22501</v>
          </cell>
        </row>
        <row r="4237">
          <cell r="G4237" t="str">
            <v xml:space="preserve">Phường Yết Kiêu </v>
          </cell>
          <cell r="I4237" t="str">
            <v>22501</v>
          </cell>
        </row>
        <row r="4238">
          <cell r="G4238" t="str">
            <v xml:space="preserve">Phường Hồng Hà </v>
          </cell>
          <cell r="I4238" t="str">
            <v>22501</v>
          </cell>
        </row>
        <row r="4239">
          <cell r="G4239" t="str">
            <v>Phường Mông Dương</v>
          </cell>
          <cell r="I4239" t="str">
            <v>22503</v>
          </cell>
        </row>
        <row r="4240">
          <cell r="G4240" t="str">
            <v>Phường Cửa ông</v>
          </cell>
          <cell r="I4240" t="str">
            <v>22503</v>
          </cell>
        </row>
        <row r="4241">
          <cell r="G4241" t="str">
            <v>Phường Cẩm Phú</v>
          </cell>
          <cell r="I4241" t="str">
            <v>22503</v>
          </cell>
        </row>
        <row r="4242">
          <cell r="G4242" t="str">
            <v>Phường Cẩm Tây</v>
          </cell>
          <cell r="I4242" t="str">
            <v>22503</v>
          </cell>
        </row>
        <row r="4243">
          <cell r="G4243" t="str">
            <v>Phường Quang Hanh</v>
          </cell>
          <cell r="I4243" t="str">
            <v>22503</v>
          </cell>
        </row>
        <row r="4244">
          <cell r="G4244" t="str">
            <v>Phường Cẩm Thủy</v>
          </cell>
          <cell r="I4244" t="str">
            <v>22503</v>
          </cell>
        </row>
        <row r="4245">
          <cell r="G4245" t="str">
            <v>Phường Cẩm Thạch</v>
          </cell>
          <cell r="I4245" t="str">
            <v>22503</v>
          </cell>
        </row>
        <row r="4246">
          <cell r="G4246" t="str">
            <v>Phường Cẩm Thành</v>
          </cell>
          <cell r="I4246" t="str">
            <v>22503</v>
          </cell>
        </row>
        <row r="4247">
          <cell r="G4247" t="str">
            <v>Phường Cẩm Trung</v>
          </cell>
          <cell r="I4247" t="str">
            <v>22503</v>
          </cell>
        </row>
        <row r="4248">
          <cell r="G4248" t="str">
            <v xml:space="preserve">Xã Cộng Hòa     </v>
          </cell>
          <cell r="I4248" t="str">
            <v>22503</v>
          </cell>
        </row>
        <row r="4249">
          <cell r="G4249" t="str">
            <v>Xã Dương Huy</v>
          </cell>
          <cell r="I4249" t="str">
            <v>22503</v>
          </cell>
        </row>
        <row r="4250">
          <cell r="G4250" t="str">
            <v>Phường Cẩm Sơn</v>
          </cell>
          <cell r="I4250" t="str">
            <v>22503</v>
          </cell>
        </row>
        <row r="4251">
          <cell r="G4251" t="str">
            <v>Xã Cẩm Hải</v>
          </cell>
          <cell r="I4251" t="str">
            <v>22503</v>
          </cell>
        </row>
        <row r="4252">
          <cell r="G4252" t="str">
            <v>Phường Cẩm Đông</v>
          </cell>
          <cell r="I4252" t="str">
            <v>22503</v>
          </cell>
        </row>
        <row r="4253">
          <cell r="G4253" t="str">
            <v>Phường Cẩm Thịnh</v>
          </cell>
          <cell r="I4253" t="str">
            <v>22503</v>
          </cell>
        </row>
        <row r="4254">
          <cell r="G4254" t="str">
            <v>Phường Cẩm Bình</v>
          </cell>
          <cell r="I4254" t="str">
            <v>22503</v>
          </cell>
        </row>
        <row r="4255">
          <cell r="G4255" t="str">
            <v>Phường Thanh Sơn</v>
          </cell>
          <cell r="I4255" t="str">
            <v>22505</v>
          </cell>
        </row>
        <row r="4256">
          <cell r="G4256" t="str">
            <v xml:space="preserve">Phường Bắc Sơn  </v>
          </cell>
          <cell r="I4256" t="str">
            <v>22505</v>
          </cell>
        </row>
        <row r="4257">
          <cell r="G4257" t="str">
            <v xml:space="preserve">Phường Quang Trung           </v>
          </cell>
          <cell r="I4257" t="str">
            <v>22505</v>
          </cell>
        </row>
        <row r="4258">
          <cell r="G4258" t="str">
            <v xml:space="preserve">Phường Trưng Vương </v>
          </cell>
          <cell r="I4258" t="str">
            <v>22505</v>
          </cell>
        </row>
        <row r="4259">
          <cell r="G4259" t="str">
            <v>Phường Yên Thanh</v>
          </cell>
          <cell r="I4259" t="str">
            <v>22505</v>
          </cell>
        </row>
        <row r="4260">
          <cell r="G4260" t="str">
            <v>Xã Thượng Yên Công</v>
          </cell>
          <cell r="I4260" t="str">
            <v>22505</v>
          </cell>
        </row>
        <row r="4261">
          <cell r="G4261" t="str">
            <v>Phường Phương Đông</v>
          </cell>
          <cell r="I4261" t="str">
            <v>22505</v>
          </cell>
        </row>
        <row r="4262">
          <cell r="G4262" t="str">
            <v>Xã Điền Công</v>
          </cell>
          <cell r="I4262" t="str">
            <v>22505</v>
          </cell>
        </row>
        <row r="4263">
          <cell r="G4263" t="str">
            <v>Phường Vàng Danh</v>
          </cell>
          <cell r="I4263" t="str">
            <v>22505</v>
          </cell>
        </row>
        <row r="4264">
          <cell r="G4264" t="str">
            <v>Phường Nam Khê</v>
          </cell>
          <cell r="I4264" t="str">
            <v>22505</v>
          </cell>
        </row>
        <row r="4265">
          <cell r="G4265" t="str">
            <v>Phường Phương Nam</v>
          </cell>
          <cell r="I4265" t="str">
            <v>22505</v>
          </cell>
        </row>
        <row r="4266">
          <cell r="G4266" t="str">
            <v>Thị trấn Bình Liêu</v>
          </cell>
          <cell r="I4266" t="str">
            <v>22507</v>
          </cell>
        </row>
        <row r="4267">
          <cell r="G4267" t="str">
            <v>Xã Hoành Mô</v>
          </cell>
          <cell r="I4267" t="str">
            <v>22507</v>
          </cell>
        </row>
        <row r="4268">
          <cell r="G4268" t="str">
            <v xml:space="preserve">Xã Đồng Tâm    </v>
          </cell>
          <cell r="I4268" t="str">
            <v>22507</v>
          </cell>
        </row>
        <row r="4269">
          <cell r="G4269" t="str">
            <v>Xã Tình Húc</v>
          </cell>
          <cell r="I4269" t="str">
            <v>22507</v>
          </cell>
        </row>
        <row r="4270">
          <cell r="G4270" t="str">
            <v>Xã Lục Hồn</v>
          </cell>
          <cell r="I4270" t="str">
            <v>22507</v>
          </cell>
        </row>
        <row r="4271">
          <cell r="G4271" t="str">
            <v>Xã Vô Ngại</v>
          </cell>
          <cell r="I4271" t="str">
            <v>22507</v>
          </cell>
        </row>
        <row r="4272">
          <cell r="G4272" t="str">
            <v xml:space="preserve">Xã Đồng Văn </v>
          </cell>
          <cell r="I4272" t="str">
            <v>22507</v>
          </cell>
        </row>
        <row r="4273">
          <cell r="G4273" t="str">
            <v>Xã Húc Động</v>
          </cell>
          <cell r="I4273" t="str">
            <v>22507</v>
          </cell>
        </row>
        <row r="4274">
          <cell r="G4274" t="str">
            <v xml:space="preserve">Phường Trần Phú    </v>
          </cell>
          <cell r="I4274" t="str">
            <v>22509</v>
          </cell>
        </row>
        <row r="4275">
          <cell r="G4275" t="str">
            <v>Phường Ninh Dương</v>
          </cell>
          <cell r="I4275" t="str">
            <v>22509</v>
          </cell>
        </row>
        <row r="4276">
          <cell r="G4276" t="str">
            <v>Phường Hòa Lạc</v>
          </cell>
          <cell r="I4276" t="str">
            <v>22509</v>
          </cell>
        </row>
        <row r="4277">
          <cell r="G4277" t="str">
            <v xml:space="preserve">Xã Hải Sơn </v>
          </cell>
          <cell r="I4277" t="str">
            <v>22509</v>
          </cell>
        </row>
        <row r="4278">
          <cell r="G4278" t="str">
            <v xml:space="preserve">Xã Bắc Sơn     </v>
          </cell>
          <cell r="I4278" t="str">
            <v>22509</v>
          </cell>
        </row>
        <row r="4279">
          <cell r="G4279" t="str">
            <v>Phường Hải Yên</v>
          </cell>
          <cell r="I4279" t="str">
            <v>22509</v>
          </cell>
        </row>
        <row r="4280">
          <cell r="G4280" t="str">
            <v>Xã Quảng Nghĩa</v>
          </cell>
          <cell r="I4280" t="str">
            <v>22509</v>
          </cell>
        </row>
        <row r="4281">
          <cell r="G4281" t="str">
            <v>Phường Hải Hòa</v>
          </cell>
          <cell r="I4281" t="str">
            <v>22509</v>
          </cell>
        </row>
        <row r="4282">
          <cell r="G4282" t="str">
            <v xml:space="preserve">Xã Vạn Ninh </v>
          </cell>
          <cell r="I4282" t="str">
            <v>22509</v>
          </cell>
        </row>
        <row r="4283">
          <cell r="G4283" t="str">
            <v>Phường Bình Ngọc</v>
          </cell>
          <cell r="I4283" t="str">
            <v>22509</v>
          </cell>
        </row>
        <row r="4284">
          <cell r="G4284" t="str">
            <v>Xã Vĩnh Trung</v>
          </cell>
          <cell r="I4284" t="str">
            <v>22509</v>
          </cell>
        </row>
        <row r="4285">
          <cell r="G4285" t="str">
            <v xml:space="preserve">Xã Hải Đông </v>
          </cell>
          <cell r="I4285" t="str">
            <v>22509</v>
          </cell>
        </row>
        <row r="4286">
          <cell r="G4286" t="str">
            <v>Phường Ka Long</v>
          </cell>
          <cell r="I4286" t="str">
            <v>22509</v>
          </cell>
        </row>
        <row r="4287">
          <cell r="G4287" t="str">
            <v>Phường Trà Cổ</v>
          </cell>
          <cell r="I4287" t="str">
            <v>22509</v>
          </cell>
        </row>
        <row r="4288">
          <cell r="G4288" t="str">
            <v>Xã Hải Tiến</v>
          </cell>
          <cell r="I4288" t="str">
            <v>22509</v>
          </cell>
        </row>
        <row r="4289">
          <cell r="G4289" t="str">
            <v xml:space="preserve">Xã Hải Xuân </v>
          </cell>
          <cell r="I4289" t="str">
            <v>22509</v>
          </cell>
        </row>
        <row r="4290">
          <cell r="G4290" t="str">
            <v>Xã Vĩnh Thực</v>
          </cell>
          <cell r="I4290" t="str">
            <v>22509</v>
          </cell>
        </row>
        <row r="4291">
          <cell r="G4291" t="str">
            <v>Thị trấn Quảng Hà</v>
          </cell>
          <cell r="I4291" t="str">
            <v>22511</v>
          </cell>
        </row>
        <row r="4292">
          <cell r="G4292" t="str">
            <v>Xã Quảng Đức</v>
          </cell>
          <cell r="I4292" t="str">
            <v>22511</v>
          </cell>
        </row>
        <row r="4293">
          <cell r="G4293" t="str">
            <v>Xã Quảng Sơn</v>
          </cell>
          <cell r="I4293" t="str">
            <v>22511</v>
          </cell>
        </row>
        <row r="4294">
          <cell r="G4294" t="str">
            <v>Xã Quảng Thắng</v>
          </cell>
          <cell r="I4294" t="str">
            <v>22511</v>
          </cell>
        </row>
        <row r="4295">
          <cell r="G4295" t="str">
            <v>Xã Quảng Thịnh</v>
          </cell>
          <cell r="I4295" t="str">
            <v>22511</v>
          </cell>
        </row>
        <row r="4296">
          <cell r="G4296" t="str">
            <v xml:space="preserve">Xã Quảng Minh </v>
          </cell>
          <cell r="I4296" t="str">
            <v>22511</v>
          </cell>
        </row>
        <row r="4297">
          <cell r="G4297" t="str">
            <v>Xã Quảng Long</v>
          </cell>
          <cell r="I4297" t="str">
            <v>22511</v>
          </cell>
        </row>
        <row r="4298">
          <cell r="G4298" t="str">
            <v>Xã Đường Hoa</v>
          </cell>
          <cell r="I4298" t="str">
            <v>22511</v>
          </cell>
        </row>
        <row r="4299">
          <cell r="G4299" t="str">
            <v>Xã Quảng Phong</v>
          </cell>
          <cell r="I4299" t="str">
            <v>22511</v>
          </cell>
        </row>
        <row r="4300">
          <cell r="G4300" t="str">
            <v>Xã Phú Hải</v>
          </cell>
          <cell r="I4300" t="str">
            <v>22511</v>
          </cell>
        </row>
        <row r="4301">
          <cell r="G4301" t="str">
            <v>Xã Quảng Điền</v>
          </cell>
          <cell r="I4301" t="str">
            <v>22511</v>
          </cell>
        </row>
        <row r="4302">
          <cell r="G4302" t="str">
            <v>Xã Quảng Thành</v>
          </cell>
          <cell r="I4302" t="str">
            <v>22511</v>
          </cell>
        </row>
        <row r="4303">
          <cell r="G4303" t="str">
            <v>Xã Tiến Tới</v>
          </cell>
          <cell r="I4303" t="str">
            <v>22511</v>
          </cell>
        </row>
        <row r="4304">
          <cell r="G4304" t="str">
            <v>Xã Quảng Chính</v>
          </cell>
          <cell r="I4304" t="str">
            <v>22511</v>
          </cell>
        </row>
        <row r="4305">
          <cell r="G4305" t="str">
            <v>Xã Quảng Trung</v>
          </cell>
          <cell r="I4305" t="str">
            <v>22511</v>
          </cell>
        </row>
        <row r="4306">
          <cell r="G4306" t="str">
            <v>Xã Cái Chiên</v>
          </cell>
          <cell r="I4306" t="str">
            <v>22511</v>
          </cell>
        </row>
        <row r="4307">
          <cell r="G4307" t="str">
            <v>Thị trấn Tiên Yên</v>
          </cell>
          <cell r="I4307" t="str">
            <v>22513</v>
          </cell>
        </row>
        <row r="4308">
          <cell r="G4308" t="str">
            <v>Xã Hà Lâu</v>
          </cell>
          <cell r="I4308" t="str">
            <v>22513</v>
          </cell>
        </row>
        <row r="4309">
          <cell r="G4309" t="str">
            <v>Xã Đại Dực</v>
          </cell>
          <cell r="I4309" t="str">
            <v>22513</v>
          </cell>
        </row>
        <row r="4310">
          <cell r="G4310" t="str">
            <v xml:space="preserve">Xã Đại Thành  </v>
          </cell>
          <cell r="I4310" t="str">
            <v>22513</v>
          </cell>
        </row>
        <row r="4311">
          <cell r="G4311" t="str">
            <v xml:space="preserve">Xã Điền Xá </v>
          </cell>
          <cell r="I4311" t="str">
            <v>22513</v>
          </cell>
        </row>
        <row r="4312">
          <cell r="G4312" t="str">
            <v>Xã Đông Ngũ</v>
          </cell>
          <cell r="I4312" t="str">
            <v>22513</v>
          </cell>
        </row>
        <row r="4313">
          <cell r="G4313" t="str">
            <v>Xã Hải Lạng</v>
          </cell>
          <cell r="I4313" t="str">
            <v>22513</v>
          </cell>
        </row>
        <row r="4314">
          <cell r="G4314" t="str">
            <v>Xã Tiên Lãng</v>
          </cell>
          <cell r="I4314" t="str">
            <v>22513</v>
          </cell>
        </row>
        <row r="4315">
          <cell r="G4315" t="str">
            <v>Xã Đồng Rui</v>
          </cell>
          <cell r="I4315" t="str">
            <v>22513</v>
          </cell>
        </row>
        <row r="4316">
          <cell r="G4316" t="str">
            <v>Xã Yên Than</v>
          </cell>
          <cell r="I4316" t="str">
            <v>22513</v>
          </cell>
        </row>
        <row r="4317">
          <cell r="G4317" t="str">
            <v>Xã Phong Dụ</v>
          </cell>
          <cell r="I4317" t="str">
            <v>22513</v>
          </cell>
        </row>
        <row r="4318">
          <cell r="G4318" t="str">
            <v xml:space="preserve">Xã Đông Hải  </v>
          </cell>
          <cell r="I4318" t="str">
            <v>22513</v>
          </cell>
        </row>
        <row r="4319">
          <cell r="G4319" t="str">
            <v>Thị trấn Ba Chẽ</v>
          </cell>
          <cell r="I4319" t="str">
            <v>22515</v>
          </cell>
        </row>
        <row r="4320">
          <cell r="G4320" t="str">
            <v xml:space="preserve">Xã Thanh Sơn    </v>
          </cell>
          <cell r="I4320" t="str">
            <v>22515</v>
          </cell>
        </row>
        <row r="4321">
          <cell r="G4321" t="str">
            <v xml:space="preserve">Xã Thanh Lâm  </v>
          </cell>
          <cell r="I4321" t="str">
            <v>22515</v>
          </cell>
        </row>
        <row r="4322">
          <cell r="G4322" t="str">
            <v xml:space="preserve">Xã Nam Sơn    </v>
          </cell>
          <cell r="I4322" t="str">
            <v>22515</v>
          </cell>
        </row>
        <row r="4323">
          <cell r="G4323" t="str">
            <v>Xã Lương Mông</v>
          </cell>
          <cell r="I4323" t="str">
            <v>22515</v>
          </cell>
        </row>
        <row r="4324">
          <cell r="G4324" t="str">
            <v>Xã Đồn Đạc</v>
          </cell>
          <cell r="I4324" t="str">
            <v>22515</v>
          </cell>
        </row>
        <row r="4325">
          <cell r="G4325" t="str">
            <v>Xã Đạp Thanh</v>
          </cell>
          <cell r="I4325" t="str">
            <v>22515</v>
          </cell>
        </row>
        <row r="4326">
          <cell r="G4326" t="str">
            <v>Xã Minh Cầm</v>
          </cell>
          <cell r="I4326" t="str">
            <v>22515</v>
          </cell>
        </row>
        <row r="4327">
          <cell r="G4327" t="str">
            <v>Thị trấn Cái Rồng</v>
          </cell>
          <cell r="I4327" t="str">
            <v>22517</v>
          </cell>
        </row>
        <row r="4328">
          <cell r="G4328" t="str">
            <v>Xã Đài Xuyên</v>
          </cell>
          <cell r="I4328" t="str">
            <v>22517</v>
          </cell>
        </row>
        <row r="4329">
          <cell r="G4329" t="str">
            <v xml:space="preserve">Xã Minh Châu   </v>
          </cell>
          <cell r="I4329" t="str">
            <v>22517</v>
          </cell>
        </row>
        <row r="4330">
          <cell r="G4330" t="str">
            <v xml:space="preserve">Xã Đoàn Kết  </v>
          </cell>
          <cell r="I4330" t="str">
            <v>22517</v>
          </cell>
        </row>
        <row r="4331">
          <cell r="G4331" t="str">
            <v>Xã Hạ Long</v>
          </cell>
          <cell r="I4331" t="str">
            <v>22517</v>
          </cell>
        </row>
        <row r="4332">
          <cell r="G4332" t="str">
            <v xml:space="preserve">Xã Bản Sen </v>
          </cell>
          <cell r="I4332" t="str">
            <v>22517</v>
          </cell>
        </row>
        <row r="4333">
          <cell r="G4333" t="str">
            <v xml:space="preserve">Xã Thắng Lợi   </v>
          </cell>
          <cell r="I4333" t="str">
            <v>22517</v>
          </cell>
        </row>
        <row r="4334">
          <cell r="G4334" t="str">
            <v>Xã Quan Lạn</v>
          </cell>
          <cell r="I4334" t="str">
            <v>22517</v>
          </cell>
        </row>
        <row r="4335">
          <cell r="G4335" t="str">
            <v xml:space="preserve">Xã Bình Dân </v>
          </cell>
          <cell r="I4335" t="str">
            <v>22517</v>
          </cell>
        </row>
        <row r="4336">
          <cell r="G4336" t="str">
            <v xml:space="preserve">Xã Vạn Yên </v>
          </cell>
          <cell r="I4336" t="str">
            <v>22517</v>
          </cell>
        </row>
        <row r="4337">
          <cell r="G4337" t="str">
            <v xml:space="preserve">Xã Đông Xá </v>
          </cell>
          <cell r="I4337" t="str">
            <v>22517</v>
          </cell>
        </row>
        <row r="4338">
          <cell r="G4338" t="str">
            <v>Xã Ngọc Vừng</v>
          </cell>
          <cell r="I4338" t="str">
            <v>22517</v>
          </cell>
        </row>
        <row r="4339">
          <cell r="G4339" t="str">
            <v>Thị trấn Trới</v>
          </cell>
          <cell r="I4339" t="str">
            <v>22519</v>
          </cell>
        </row>
        <row r="4340">
          <cell r="G4340" t="str">
            <v>Xã Kỳ Thượng</v>
          </cell>
          <cell r="I4340" t="str">
            <v>22519</v>
          </cell>
        </row>
        <row r="4341">
          <cell r="G4341" t="str">
            <v>Xã Đồng Lâm</v>
          </cell>
          <cell r="I4341" t="str">
            <v>22519</v>
          </cell>
        </row>
        <row r="4342">
          <cell r="G4342" t="str">
            <v xml:space="preserve">Xã Hòa Bình           </v>
          </cell>
          <cell r="I4342" t="str">
            <v>22519</v>
          </cell>
        </row>
        <row r="4343">
          <cell r="G4343" t="str">
            <v>Xã Vũ Oai</v>
          </cell>
          <cell r="I4343" t="str">
            <v>22519</v>
          </cell>
        </row>
        <row r="4344">
          <cell r="G4344" t="str">
            <v>Xã Quảng La</v>
          </cell>
          <cell r="I4344" t="str">
            <v>22519</v>
          </cell>
        </row>
        <row r="4345">
          <cell r="G4345" t="str">
            <v>Xã Bằng Cả</v>
          </cell>
          <cell r="I4345" t="str">
            <v>22519</v>
          </cell>
        </row>
        <row r="4346">
          <cell r="G4346" t="str">
            <v xml:space="preserve">Xã Sơn Dương </v>
          </cell>
          <cell r="I4346" t="str">
            <v>22519</v>
          </cell>
        </row>
        <row r="4347">
          <cell r="G4347" t="str">
            <v xml:space="preserve">Xã Lê Lợi      </v>
          </cell>
          <cell r="I4347" t="str">
            <v>22519</v>
          </cell>
        </row>
        <row r="4348">
          <cell r="G4348" t="str">
            <v xml:space="preserve">Xã Đồng Sơn   </v>
          </cell>
          <cell r="I4348" t="str">
            <v>22519</v>
          </cell>
        </row>
        <row r="4349">
          <cell r="G4349" t="str">
            <v xml:space="preserve">Xã Tân Dân      </v>
          </cell>
          <cell r="I4349" t="str">
            <v>22519</v>
          </cell>
        </row>
        <row r="4350">
          <cell r="G4350" t="str">
            <v xml:space="preserve">Xã Dân Chủ   </v>
          </cell>
          <cell r="I4350" t="str">
            <v>22519</v>
          </cell>
        </row>
        <row r="4351">
          <cell r="G4351" t="str">
            <v xml:space="preserve">Xã Thống Nhất   </v>
          </cell>
          <cell r="I4351" t="str">
            <v>22519</v>
          </cell>
        </row>
        <row r="4352">
          <cell r="G4352" t="str">
            <v xml:space="preserve">Xã An Sinh </v>
          </cell>
          <cell r="I4352" t="str">
            <v>22521</v>
          </cell>
        </row>
        <row r="4353">
          <cell r="G4353" t="str">
            <v>Xã Tràng Lương</v>
          </cell>
          <cell r="I4353" t="str">
            <v>22521</v>
          </cell>
        </row>
        <row r="4354">
          <cell r="G4354" t="str">
            <v>Xã Bình Khê</v>
          </cell>
          <cell r="I4354" t="str">
            <v>22521</v>
          </cell>
        </row>
        <row r="4355">
          <cell r="G4355" t="str">
            <v>Xã Việt Dân</v>
          </cell>
          <cell r="I4355" t="str">
            <v>22521</v>
          </cell>
        </row>
        <row r="4356">
          <cell r="G4356" t="str">
            <v xml:space="preserve">Xã Bình Dương   </v>
          </cell>
          <cell r="I4356" t="str">
            <v>22521</v>
          </cell>
        </row>
        <row r="4357">
          <cell r="G4357" t="str">
            <v xml:space="preserve">Xã Đức Chính </v>
          </cell>
          <cell r="I4357" t="str">
            <v>22521</v>
          </cell>
        </row>
        <row r="4358">
          <cell r="G4358" t="str">
            <v xml:space="preserve">Xã Tràng An </v>
          </cell>
          <cell r="I4358" t="str">
            <v>22521</v>
          </cell>
        </row>
        <row r="4359">
          <cell r="G4359" t="str">
            <v>Xã Thủy An</v>
          </cell>
          <cell r="I4359" t="str">
            <v>22521</v>
          </cell>
        </row>
        <row r="4360">
          <cell r="G4360" t="str">
            <v xml:space="preserve">Xã Xuân Sơn  </v>
          </cell>
          <cell r="I4360" t="str">
            <v>22521</v>
          </cell>
        </row>
        <row r="4361">
          <cell r="G4361" t="str">
            <v>Xã Hoàng Quế</v>
          </cell>
          <cell r="I4361" t="str">
            <v>22521</v>
          </cell>
        </row>
        <row r="4362">
          <cell r="G4362" t="str">
            <v xml:space="preserve">Xã Yên Thọ </v>
          </cell>
          <cell r="I4362" t="str">
            <v>22521</v>
          </cell>
        </row>
        <row r="4363">
          <cell r="G4363" t="str">
            <v xml:space="preserve">Xã Hồng Phong       </v>
          </cell>
          <cell r="I4363" t="str">
            <v>22521</v>
          </cell>
        </row>
        <row r="4364">
          <cell r="G4364" t="str">
            <v xml:space="preserve">Xã Kim Sơn     </v>
          </cell>
          <cell r="I4364" t="str">
            <v>22521</v>
          </cell>
        </row>
        <row r="4365">
          <cell r="G4365" t="str">
            <v>Xã Yên Đức</v>
          </cell>
          <cell r="I4365" t="str">
            <v>22521</v>
          </cell>
        </row>
        <row r="4366">
          <cell r="G4366" t="str">
            <v>Thị trấn Mạo Khê</v>
          </cell>
          <cell r="I4366" t="str">
            <v>22521</v>
          </cell>
        </row>
        <row r="4367">
          <cell r="G4367" t="str">
            <v>Xã Hồng Thái Tây</v>
          </cell>
          <cell r="I4367" t="str">
            <v>22521</v>
          </cell>
        </row>
        <row r="4368">
          <cell r="G4368" t="str">
            <v xml:space="preserve">Xã Nguyễn Huệ </v>
          </cell>
          <cell r="I4368" t="str">
            <v>22521</v>
          </cell>
        </row>
        <row r="4369">
          <cell r="G4369" t="str">
            <v>Xã Hồng Thái Đông</v>
          </cell>
          <cell r="I4369" t="str">
            <v>22521</v>
          </cell>
        </row>
        <row r="4370">
          <cell r="G4370" t="str">
            <v xml:space="preserve">Xã Hưng Đạo       </v>
          </cell>
          <cell r="I4370" t="str">
            <v>22521</v>
          </cell>
        </row>
        <row r="4371">
          <cell r="G4371" t="str">
            <v xml:space="preserve">Xã Tân Việt     </v>
          </cell>
          <cell r="I4371" t="str">
            <v>22521</v>
          </cell>
        </row>
        <row r="4372">
          <cell r="G4372" t="str">
            <v>Thị trấn Đông Triều</v>
          </cell>
          <cell r="I4372" t="str">
            <v>22521</v>
          </cell>
        </row>
        <row r="4373">
          <cell r="G4373" t="str">
            <v>Thị trấn Cô Tô</v>
          </cell>
          <cell r="I4373" t="str">
            <v>22523</v>
          </cell>
        </row>
        <row r="4374">
          <cell r="G4374" t="str">
            <v xml:space="preserve">Xã Đồng Tiến       </v>
          </cell>
          <cell r="I4374" t="str">
            <v>22523</v>
          </cell>
        </row>
        <row r="4375">
          <cell r="G4375" t="str">
            <v>Xã Thanh Lân</v>
          </cell>
          <cell r="I4375" t="str">
            <v>22523</v>
          </cell>
        </row>
        <row r="4376">
          <cell r="G4376" t="str">
            <v>Phường Quảng Yên</v>
          </cell>
          <cell r="I4376" t="str">
            <v>22525</v>
          </cell>
        </row>
        <row r="4377">
          <cell r="G4377" t="str">
            <v>Phường Đông Mai</v>
          </cell>
          <cell r="I4377" t="str">
            <v>22525</v>
          </cell>
        </row>
        <row r="4378">
          <cell r="G4378" t="str">
            <v>Xã Sông Khoai</v>
          </cell>
          <cell r="I4378" t="str">
            <v>22525</v>
          </cell>
        </row>
        <row r="4379">
          <cell r="G4379" t="str">
            <v xml:space="preserve">Xã Hiệp Hòa   </v>
          </cell>
          <cell r="I4379" t="str">
            <v>22525</v>
          </cell>
        </row>
        <row r="4380">
          <cell r="G4380" t="str">
            <v>Xã Hoàng Tân</v>
          </cell>
          <cell r="I4380" t="str">
            <v>22525</v>
          </cell>
        </row>
        <row r="4381">
          <cell r="G4381" t="str">
            <v xml:space="preserve">Phường Tân An </v>
          </cell>
          <cell r="I4381" t="str">
            <v>22525</v>
          </cell>
        </row>
        <row r="4382">
          <cell r="G4382" t="str">
            <v>Phường Yên Giang</v>
          </cell>
          <cell r="I4382" t="str">
            <v>22525</v>
          </cell>
        </row>
        <row r="4383">
          <cell r="G4383" t="str">
            <v>Phường Hà An</v>
          </cell>
          <cell r="I4383" t="str">
            <v>22525</v>
          </cell>
        </row>
        <row r="4384">
          <cell r="G4384" t="str">
            <v xml:space="preserve">Xã Cẩm La </v>
          </cell>
          <cell r="I4384" t="str">
            <v>22525</v>
          </cell>
        </row>
        <row r="4385">
          <cell r="G4385" t="str">
            <v>Phường Yên Hải</v>
          </cell>
          <cell r="I4385" t="str">
            <v>22525</v>
          </cell>
        </row>
        <row r="4386">
          <cell r="G4386" t="str">
            <v xml:space="preserve">Xã Liên Hòa  </v>
          </cell>
          <cell r="I4386" t="str">
            <v>22525</v>
          </cell>
        </row>
        <row r="4387">
          <cell r="G4387" t="str">
            <v>Phường Phong Cốc</v>
          </cell>
          <cell r="I4387" t="str">
            <v>22525</v>
          </cell>
        </row>
        <row r="4388">
          <cell r="G4388" t="str">
            <v xml:space="preserve">Xã Tiền Phong       </v>
          </cell>
          <cell r="I4388" t="str">
            <v>22525</v>
          </cell>
        </row>
        <row r="4389">
          <cell r="G4389" t="str">
            <v xml:space="preserve">Phường Cộng Hòa </v>
          </cell>
          <cell r="I4389" t="str">
            <v>22525</v>
          </cell>
        </row>
        <row r="4390">
          <cell r="G4390" t="str">
            <v>Phường Minh Thành</v>
          </cell>
          <cell r="I4390" t="str">
            <v>22525</v>
          </cell>
        </row>
        <row r="4391">
          <cell r="G4391" t="str">
            <v>Xã Tiền An</v>
          </cell>
          <cell r="I4391" t="str">
            <v>22525</v>
          </cell>
        </row>
        <row r="4392">
          <cell r="G4392" t="str">
            <v>Phường Nam Hòa</v>
          </cell>
          <cell r="I4392" t="str">
            <v>22525</v>
          </cell>
        </row>
        <row r="4393">
          <cell r="G4393" t="str">
            <v>Phường Phong Hải</v>
          </cell>
          <cell r="I4393" t="str">
            <v>22525</v>
          </cell>
        </row>
        <row r="4394">
          <cell r="G4394" t="str">
            <v>Xã Liên Vị</v>
          </cell>
          <cell r="I4394" t="str">
            <v>22525</v>
          </cell>
        </row>
        <row r="4395">
          <cell r="G4395" t="str">
            <v>Xã Đầm Hà</v>
          </cell>
          <cell r="I4395" t="str">
            <v>22527</v>
          </cell>
        </row>
        <row r="4396">
          <cell r="G4396" t="str">
            <v>Xã Đại Bình</v>
          </cell>
          <cell r="I4396" t="str">
            <v>22527</v>
          </cell>
        </row>
        <row r="4397">
          <cell r="G4397" t="str">
            <v>Xã Quảng Tân</v>
          </cell>
          <cell r="I4397" t="str">
            <v>22527</v>
          </cell>
        </row>
        <row r="4398">
          <cell r="G4398" t="str">
            <v xml:space="preserve">Xã Quảng Lâm </v>
          </cell>
          <cell r="I4398" t="str">
            <v>22527</v>
          </cell>
        </row>
        <row r="4399">
          <cell r="G4399" t="str">
            <v>Xã Quảng An</v>
          </cell>
          <cell r="I4399" t="str">
            <v>22527</v>
          </cell>
        </row>
        <row r="4400">
          <cell r="G4400" t="str">
            <v xml:space="preserve">Xã Tân Bình </v>
          </cell>
          <cell r="I4400" t="str">
            <v>22527</v>
          </cell>
        </row>
        <row r="4401">
          <cell r="G4401" t="str">
            <v>Xã Dực Yên</v>
          </cell>
          <cell r="I4401" t="str">
            <v>22527</v>
          </cell>
        </row>
        <row r="4402">
          <cell r="G4402" t="str">
            <v xml:space="preserve">Xã Tân Lập           </v>
          </cell>
          <cell r="I4402" t="str">
            <v>22527</v>
          </cell>
        </row>
        <row r="4403">
          <cell r="G4403" t="str">
            <v>Thị trấn Đầm Hà</v>
          </cell>
          <cell r="I4403" t="str">
            <v>22527</v>
          </cell>
        </row>
        <row r="4404">
          <cell r="G4404" t="str">
            <v>Xã Quảng Lợi</v>
          </cell>
          <cell r="I4404" t="str">
            <v>22527</v>
          </cell>
        </row>
        <row r="4405">
          <cell r="G4405" t="str">
            <v>Phường Noong Bua</v>
          </cell>
          <cell r="I4405" t="str">
            <v>30101</v>
          </cell>
        </row>
        <row r="4406">
          <cell r="G4406" t="str">
            <v>Phường Him Lam</v>
          </cell>
          <cell r="I4406" t="str">
            <v>30101</v>
          </cell>
        </row>
        <row r="4407">
          <cell r="G4407" t="str">
            <v xml:space="preserve">Phường Thanh Bình  </v>
          </cell>
          <cell r="I4407" t="str">
            <v>30101</v>
          </cell>
        </row>
        <row r="4408">
          <cell r="G4408" t="str">
            <v>Phường Tân Thanh</v>
          </cell>
          <cell r="I4408" t="str">
            <v>30101</v>
          </cell>
        </row>
        <row r="4409">
          <cell r="G4409" t="str">
            <v>Phường Nam Thanh</v>
          </cell>
          <cell r="I4409" t="str">
            <v>30101</v>
          </cell>
        </row>
        <row r="4410">
          <cell r="G4410" t="str">
            <v>Phường Thanh Trường</v>
          </cell>
          <cell r="I4410" t="str">
            <v>30101</v>
          </cell>
        </row>
        <row r="4411">
          <cell r="G4411" t="str">
            <v xml:space="preserve">Xã Thanh Minh </v>
          </cell>
          <cell r="I4411" t="str">
            <v>30101</v>
          </cell>
        </row>
        <row r="4412">
          <cell r="G4412" t="str">
            <v>Phường Mường Thanh</v>
          </cell>
          <cell r="I4412" t="str">
            <v>30101</v>
          </cell>
        </row>
        <row r="4413">
          <cell r="G4413" t="str">
            <v>Xã Tà Lèng</v>
          </cell>
          <cell r="I4413" t="str">
            <v>30101</v>
          </cell>
        </row>
        <row r="4414">
          <cell r="G4414" t="str">
            <v>Xã Lay Nưa</v>
          </cell>
          <cell r="I4414" t="str">
            <v>30103</v>
          </cell>
        </row>
        <row r="4415">
          <cell r="G4415" t="str">
            <v>Phường Na Lay</v>
          </cell>
          <cell r="I4415" t="str">
            <v>30103</v>
          </cell>
        </row>
        <row r="4416">
          <cell r="G4416" t="str">
            <v>Phường Sông Đà</v>
          </cell>
          <cell r="I4416" t="str">
            <v>30103</v>
          </cell>
        </row>
        <row r="4417">
          <cell r="G4417" t="str">
            <v>Xã Sín Thầu</v>
          </cell>
          <cell r="I4417" t="str">
            <v>30104</v>
          </cell>
        </row>
        <row r="4418">
          <cell r="G4418" t="str">
            <v>Xã Chung Chải</v>
          </cell>
          <cell r="I4418" t="str">
            <v>30104</v>
          </cell>
        </row>
        <row r="4419">
          <cell r="G4419" t="str">
            <v>Xã Mường Nhé</v>
          </cell>
          <cell r="I4419" t="str">
            <v>30104</v>
          </cell>
        </row>
        <row r="4420">
          <cell r="G4420" t="str">
            <v>Xã Nậm Kè</v>
          </cell>
          <cell r="I4420" t="str">
            <v>30104</v>
          </cell>
        </row>
        <row r="4421">
          <cell r="G4421" t="str">
            <v xml:space="preserve">Xã Quảng Lâm  </v>
          </cell>
          <cell r="I4421" t="str">
            <v>30104</v>
          </cell>
        </row>
        <row r="4422">
          <cell r="G4422" t="str">
            <v>Xã Mường Toong</v>
          </cell>
          <cell r="I4422" t="str">
            <v>30104</v>
          </cell>
        </row>
        <row r="4423">
          <cell r="G4423" t="str">
            <v>Xã Pá Mỳ</v>
          </cell>
          <cell r="I4423" t="str">
            <v>30104</v>
          </cell>
        </row>
        <row r="4424">
          <cell r="G4424" t="str">
            <v>Thị Trấn Mường</v>
          </cell>
          <cell r="I4424" t="str">
            <v>30104</v>
          </cell>
        </row>
        <row r="4425">
          <cell r="G4425" t="str">
            <v>Xã Nậm Vì</v>
          </cell>
          <cell r="I4425" t="str">
            <v>30104</v>
          </cell>
        </row>
        <row r="4426">
          <cell r="G4426" t="str">
            <v>Xã Leng Su Sìn</v>
          </cell>
          <cell r="I4426" t="str">
            <v>30104</v>
          </cell>
        </row>
        <row r="4427">
          <cell r="G4427" t="str">
            <v>Xã Huổi Lếnh</v>
          </cell>
          <cell r="I4427" t="str">
            <v>30104</v>
          </cell>
        </row>
        <row r="4428">
          <cell r="G4428" t="str">
            <v>Xã Sen Thượng</v>
          </cell>
          <cell r="I4428" t="str">
            <v>30104</v>
          </cell>
        </row>
        <row r="4429">
          <cell r="G4429" t="str">
            <v>Thị trấn Mường Chà</v>
          </cell>
          <cell r="I4429" t="str">
            <v>30111</v>
          </cell>
        </row>
        <row r="4430">
          <cell r="G4430" t="str">
            <v>Xã Mường Tùng</v>
          </cell>
          <cell r="I4430" t="str">
            <v>30111</v>
          </cell>
        </row>
        <row r="4431">
          <cell r="G4431" t="str">
            <v>Xã Hừa Ngài</v>
          </cell>
          <cell r="I4431" t="str">
            <v>30111</v>
          </cell>
        </row>
        <row r="4432">
          <cell r="G4432" t="str">
            <v>Xã Pa Ham</v>
          </cell>
          <cell r="I4432" t="str">
            <v>30111</v>
          </cell>
        </row>
        <row r="4433">
          <cell r="G4433" t="str">
            <v>Xã Huổi Lèng</v>
          </cell>
          <cell r="I4433" t="str">
            <v>30111</v>
          </cell>
        </row>
        <row r="4434">
          <cell r="G4434" t="str">
            <v>Xã Mường Mơn</v>
          </cell>
          <cell r="I4434" t="str">
            <v>30111</v>
          </cell>
        </row>
        <row r="4435">
          <cell r="G4435" t="str">
            <v>Xã Xá Tổng</v>
          </cell>
          <cell r="I4435" t="str">
            <v>30111</v>
          </cell>
        </row>
        <row r="4436">
          <cell r="G4436" t="str">
            <v>Xã Na Sang</v>
          </cell>
          <cell r="I4436" t="str">
            <v>30111</v>
          </cell>
        </row>
        <row r="4437">
          <cell r="G4437" t="str">
            <v>Xã Ma Thì Hồ</v>
          </cell>
          <cell r="I4437" t="str">
            <v>30111</v>
          </cell>
        </row>
        <row r="4438">
          <cell r="G4438" t="str">
            <v>Xã Sa Lông</v>
          </cell>
          <cell r="I4438" t="str">
            <v>30111</v>
          </cell>
        </row>
        <row r="4439">
          <cell r="G4439" t="str">
            <v>Xã Huổi Mí</v>
          </cell>
          <cell r="I4439" t="str">
            <v>30111</v>
          </cell>
        </row>
        <row r="4440">
          <cell r="G4440" t="str">
            <v>Xã Nậm Nèn</v>
          </cell>
          <cell r="I4440" t="str">
            <v>30111</v>
          </cell>
        </row>
        <row r="4441">
          <cell r="G4441" t="str">
            <v>Thị trấn Tủa Chùa</v>
          </cell>
          <cell r="I4441" t="str">
            <v>30113</v>
          </cell>
        </row>
        <row r="4442">
          <cell r="G4442" t="str">
            <v>Xã Huổi Só</v>
          </cell>
          <cell r="I4442" t="str">
            <v>30113</v>
          </cell>
        </row>
        <row r="4443">
          <cell r="G4443" t="str">
            <v>Xã Tả Sìn Thàng</v>
          </cell>
          <cell r="I4443" t="str">
            <v>30113</v>
          </cell>
        </row>
        <row r="4444">
          <cell r="G4444" t="str">
            <v xml:space="preserve">Xã Tả Phìn  </v>
          </cell>
          <cell r="I4444" t="str">
            <v>30113</v>
          </cell>
        </row>
        <row r="4445">
          <cell r="G4445" t="str">
            <v>Xã Trung Thu</v>
          </cell>
          <cell r="I4445" t="str">
            <v>30113</v>
          </cell>
        </row>
        <row r="4446">
          <cell r="G4446" t="str">
            <v>Xã Sính Phình</v>
          </cell>
          <cell r="I4446" t="str">
            <v>30113</v>
          </cell>
        </row>
        <row r="4447">
          <cell r="G4447" t="str">
            <v>Xã Sáng Nhè</v>
          </cell>
          <cell r="I4447" t="str">
            <v>30113</v>
          </cell>
        </row>
        <row r="4448">
          <cell r="G4448" t="str">
            <v>Xã Mường Báng</v>
          </cell>
          <cell r="I4448" t="str">
            <v>30113</v>
          </cell>
        </row>
        <row r="4449">
          <cell r="G4449" t="str">
            <v>Xã Lao Xả Phình</v>
          </cell>
          <cell r="I4449" t="str">
            <v>30113</v>
          </cell>
        </row>
        <row r="4450">
          <cell r="G4450" t="str">
            <v xml:space="preserve">Xã Xín Chải </v>
          </cell>
          <cell r="I4450" t="str">
            <v>30113</v>
          </cell>
        </row>
        <row r="4451">
          <cell r="G4451" t="str">
            <v>Xã Tủa Thàng</v>
          </cell>
          <cell r="I4451" t="str">
            <v>30113</v>
          </cell>
        </row>
        <row r="4452">
          <cell r="G4452" t="str">
            <v>Xã Mường Đun</v>
          </cell>
          <cell r="I4452" t="str">
            <v>30113</v>
          </cell>
        </row>
        <row r="4453">
          <cell r="G4453" t="str">
            <v>Thị trấn Tuần Giáo</v>
          </cell>
          <cell r="I4453" t="str">
            <v>30115</v>
          </cell>
        </row>
        <row r="4454">
          <cell r="G4454" t="str">
            <v>Xã Mùn Chung</v>
          </cell>
          <cell r="I4454" t="str">
            <v>30115</v>
          </cell>
        </row>
        <row r="4455">
          <cell r="G4455" t="str">
            <v>Xã Mường Mùn</v>
          </cell>
          <cell r="I4455" t="str">
            <v>30115</v>
          </cell>
        </row>
        <row r="4456">
          <cell r="G4456" t="str">
            <v>Xã Quài Nưa</v>
          </cell>
          <cell r="I4456" t="str">
            <v>30115</v>
          </cell>
        </row>
        <row r="4457">
          <cell r="G4457" t="str">
            <v>Xã Mường Thín</v>
          </cell>
          <cell r="I4457" t="str">
            <v>30115</v>
          </cell>
        </row>
        <row r="4458">
          <cell r="G4458" t="str">
            <v>Xã Tỏa Tình</v>
          </cell>
          <cell r="I4458" t="str">
            <v>30115</v>
          </cell>
        </row>
        <row r="4459">
          <cell r="G4459" t="str">
            <v>Xã Quài Cang</v>
          </cell>
          <cell r="I4459" t="str">
            <v>30115</v>
          </cell>
        </row>
        <row r="4460">
          <cell r="G4460" t="str">
            <v>Xã Chiềng Sinh</v>
          </cell>
          <cell r="I4460" t="str">
            <v>30115</v>
          </cell>
        </row>
        <row r="4461">
          <cell r="G4461" t="str">
            <v>Xã Tênh Phông</v>
          </cell>
          <cell r="I4461" t="str">
            <v>30115</v>
          </cell>
        </row>
        <row r="4462">
          <cell r="G4462" t="str">
            <v>Xã Ta Ma</v>
          </cell>
          <cell r="I4462" t="str">
            <v>30115</v>
          </cell>
        </row>
        <row r="4463">
          <cell r="G4463" t="str">
            <v>Xã Phình Sáng</v>
          </cell>
          <cell r="I4463" t="str">
            <v>30115</v>
          </cell>
        </row>
        <row r="4464">
          <cell r="G4464" t="str">
            <v>Xã Pú Nhung</v>
          </cell>
          <cell r="I4464" t="str">
            <v>30115</v>
          </cell>
        </row>
        <row r="4465">
          <cell r="G4465" t="str">
            <v>Xã Nà Sáy</v>
          </cell>
          <cell r="I4465" t="str">
            <v>30115</v>
          </cell>
        </row>
        <row r="4466">
          <cell r="G4466" t="str">
            <v>Xã Quài Tở</v>
          </cell>
          <cell r="I4466" t="str">
            <v>30115</v>
          </cell>
        </row>
        <row r="4467">
          <cell r="G4467" t="str">
            <v>Xã Rạng Đông</v>
          </cell>
          <cell r="I4467" t="str">
            <v>30115</v>
          </cell>
        </row>
        <row r="4468">
          <cell r="G4468" t="str">
            <v>Xã Nà Tòng</v>
          </cell>
          <cell r="I4468" t="str">
            <v>30115</v>
          </cell>
        </row>
        <row r="4469">
          <cell r="G4469" t="str">
            <v>Xã Pú Xi</v>
          </cell>
          <cell r="I4469" t="str">
            <v>30115</v>
          </cell>
        </row>
        <row r="4470">
          <cell r="G4470" t="str">
            <v>Xã Mường Khong</v>
          </cell>
          <cell r="I4470" t="str">
            <v>30115</v>
          </cell>
        </row>
        <row r="4471">
          <cell r="G4471" t="str">
            <v>Xã Chiềng Đông</v>
          </cell>
          <cell r="I4471" t="str">
            <v>30115</v>
          </cell>
        </row>
        <row r="4472">
          <cell r="G4472" t="str">
            <v>Xã Nà Nhạn</v>
          </cell>
          <cell r="I4472" t="str">
            <v>30117</v>
          </cell>
        </row>
        <row r="4473">
          <cell r="G4473" t="str">
            <v>Xã Mường Pồn</v>
          </cell>
          <cell r="I4473" t="str">
            <v>30117</v>
          </cell>
        </row>
        <row r="4474">
          <cell r="G4474" t="str">
            <v>Xã Thanh Nưa</v>
          </cell>
          <cell r="I4474" t="str">
            <v>30117</v>
          </cell>
        </row>
        <row r="4475">
          <cell r="G4475" t="str">
            <v>Xã Mường Phăng</v>
          </cell>
          <cell r="I4475" t="str">
            <v>30117</v>
          </cell>
        </row>
        <row r="4476">
          <cell r="G4476" t="str">
            <v>Xã Thanh Xương</v>
          </cell>
          <cell r="I4476" t="str">
            <v>30117</v>
          </cell>
        </row>
        <row r="4477">
          <cell r="G4477" t="str">
            <v>Xã Thanh Chăn</v>
          </cell>
          <cell r="I4477" t="str">
            <v>30117</v>
          </cell>
        </row>
        <row r="4478">
          <cell r="G4478" t="str">
            <v xml:space="preserve">Xã Thanh An </v>
          </cell>
          <cell r="I4478" t="str">
            <v>30117</v>
          </cell>
        </row>
        <row r="4479">
          <cell r="G4479" t="str">
            <v>Xã Thanh Yên</v>
          </cell>
          <cell r="I4479" t="str">
            <v>30117</v>
          </cell>
        </row>
        <row r="4480">
          <cell r="G4480" t="str">
            <v>Xã Noong Luống</v>
          </cell>
          <cell r="I4480" t="str">
            <v>30117</v>
          </cell>
        </row>
        <row r="4481">
          <cell r="G4481" t="str">
            <v>Xã Sam Mứn</v>
          </cell>
          <cell r="I4481" t="str">
            <v>30117</v>
          </cell>
        </row>
        <row r="4482">
          <cell r="G4482" t="str">
            <v>Xã Núa Ngam</v>
          </cell>
          <cell r="I4482" t="str">
            <v>30117</v>
          </cell>
        </row>
        <row r="4483">
          <cell r="G4483" t="str">
            <v>Xã Na ư</v>
          </cell>
          <cell r="I4483" t="str">
            <v>30117</v>
          </cell>
        </row>
        <row r="4484">
          <cell r="G4484" t="str">
            <v>Xã Thanh Hưng</v>
          </cell>
          <cell r="I4484" t="str">
            <v>30117</v>
          </cell>
        </row>
        <row r="4485">
          <cell r="G4485" t="str">
            <v>Xã Mường Lói</v>
          </cell>
          <cell r="I4485" t="str">
            <v>30117</v>
          </cell>
        </row>
        <row r="4486">
          <cell r="G4486" t="str">
            <v>Xã Nà Tấu</v>
          </cell>
          <cell r="I4486" t="str">
            <v>30117</v>
          </cell>
        </row>
        <row r="4487">
          <cell r="G4487" t="str">
            <v>Xã Thanh Luông</v>
          </cell>
          <cell r="I4487" t="str">
            <v>30117</v>
          </cell>
        </row>
        <row r="4488">
          <cell r="G4488" t="str">
            <v>Xã Pa Thơm</v>
          </cell>
          <cell r="I4488" t="str">
            <v>30117</v>
          </cell>
        </row>
        <row r="4489">
          <cell r="G4489" t="str">
            <v>Xã Noong Hẹt</v>
          </cell>
          <cell r="I4489" t="str">
            <v>30117</v>
          </cell>
        </row>
        <row r="4490">
          <cell r="G4490" t="str">
            <v>Xã Mường Nhà</v>
          </cell>
          <cell r="I4490" t="str">
            <v>30117</v>
          </cell>
        </row>
        <row r="4491">
          <cell r="G4491" t="str">
            <v>Xã Hua Thanh</v>
          </cell>
          <cell r="I4491" t="str">
            <v>30117</v>
          </cell>
        </row>
        <row r="4492">
          <cell r="G4492" t="str">
            <v>Xã Pá Khoang</v>
          </cell>
          <cell r="I4492" t="str">
            <v>30117</v>
          </cell>
        </row>
        <row r="4493">
          <cell r="G4493" t="str">
            <v>Xã Pom Lót</v>
          </cell>
          <cell r="I4493" t="str">
            <v>30117</v>
          </cell>
        </row>
        <row r="4494">
          <cell r="G4494" t="str">
            <v>Xã Hẹ Muông</v>
          </cell>
          <cell r="I4494" t="str">
            <v>30117</v>
          </cell>
        </row>
        <row r="4495">
          <cell r="G4495" t="str">
            <v>Xã Na Tông</v>
          </cell>
          <cell r="I4495" t="str">
            <v>30117</v>
          </cell>
        </row>
        <row r="4496">
          <cell r="G4496" t="str">
            <v>Xã Phu Luông</v>
          </cell>
          <cell r="I4496" t="str">
            <v>30117</v>
          </cell>
        </row>
        <row r="4497">
          <cell r="G4497" t="str">
            <v>Thị trấn Điện Biên Đông</v>
          </cell>
          <cell r="I4497" t="str">
            <v>30119</v>
          </cell>
        </row>
        <row r="4498">
          <cell r="G4498" t="str">
            <v>Xã Na Son</v>
          </cell>
          <cell r="I4498" t="str">
            <v>30119</v>
          </cell>
        </row>
        <row r="4499">
          <cell r="G4499" t="str">
            <v>Xã Phì Nhừ</v>
          </cell>
          <cell r="I4499" t="str">
            <v>30119</v>
          </cell>
        </row>
        <row r="4500">
          <cell r="G4500" t="str">
            <v>Xã Chiềng Sơ</v>
          </cell>
          <cell r="I4500" t="str">
            <v>30119</v>
          </cell>
        </row>
        <row r="4501">
          <cell r="G4501" t="str">
            <v>Xã Mường Luân</v>
          </cell>
          <cell r="I4501" t="str">
            <v>30119</v>
          </cell>
        </row>
        <row r="4502">
          <cell r="G4502" t="str">
            <v>Xã Pú Nhi</v>
          </cell>
          <cell r="I4502" t="str">
            <v>30119</v>
          </cell>
        </row>
        <row r="4503">
          <cell r="G4503" t="str">
            <v>Xã Luân Giói</v>
          </cell>
          <cell r="I4503" t="str">
            <v>30119</v>
          </cell>
        </row>
        <row r="4504">
          <cell r="G4504" t="str">
            <v>Xã Phình Giàng</v>
          </cell>
          <cell r="I4504" t="str">
            <v>30119</v>
          </cell>
        </row>
        <row r="4505">
          <cell r="G4505" t="str">
            <v>Xã Pú Hồng</v>
          </cell>
          <cell r="I4505" t="str">
            <v>30119</v>
          </cell>
        </row>
        <row r="4506">
          <cell r="G4506" t="str">
            <v>Xã Tìa Dình</v>
          </cell>
          <cell r="I4506" t="str">
            <v>30119</v>
          </cell>
        </row>
        <row r="4507">
          <cell r="G4507" t="str">
            <v>Xã Háng Lìa</v>
          </cell>
          <cell r="I4507" t="str">
            <v>30119</v>
          </cell>
        </row>
        <row r="4508">
          <cell r="G4508" t="str">
            <v>Xã Xa Dung</v>
          </cell>
          <cell r="I4508" t="str">
            <v>30119</v>
          </cell>
        </row>
        <row r="4509">
          <cell r="G4509" t="str">
            <v>Xã Keo Lôm</v>
          </cell>
          <cell r="I4509" t="str">
            <v>30119</v>
          </cell>
        </row>
        <row r="4510">
          <cell r="G4510" t="str">
            <v>Xã Nong U</v>
          </cell>
          <cell r="I4510" t="str">
            <v>30119</v>
          </cell>
        </row>
        <row r="4511">
          <cell r="G4511" t="str">
            <v>Thị Trấn Mường ảng</v>
          </cell>
          <cell r="I4511" t="str">
            <v>30121</v>
          </cell>
        </row>
        <row r="4512">
          <cell r="G4512" t="str">
            <v>Xã ảng cang</v>
          </cell>
          <cell r="I4512" t="str">
            <v>30121</v>
          </cell>
        </row>
        <row r="4513">
          <cell r="G4513" t="str">
            <v>Xã ảng nưa</v>
          </cell>
          <cell r="I4513" t="str">
            <v>30121</v>
          </cell>
        </row>
        <row r="4514">
          <cell r="G4514" t="str">
            <v>Xã ảng tở</v>
          </cell>
          <cell r="I4514" t="str">
            <v>30121</v>
          </cell>
        </row>
        <row r="4515">
          <cell r="G4515" t="str">
            <v>Xã Ngối Cáy</v>
          </cell>
          <cell r="I4515" t="str">
            <v>30121</v>
          </cell>
        </row>
        <row r="4516">
          <cell r="G4516" t="str">
            <v>Xã Mường Đăng</v>
          </cell>
          <cell r="I4516" t="str">
            <v>30121</v>
          </cell>
        </row>
        <row r="4517">
          <cell r="G4517" t="str">
            <v>Xã Búng Lao</v>
          </cell>
          <cell r="I4517" t="str">
            <v>30121</v>
          </cell>
        </row>
        <row r="4518">
          <cell r="G4518" t="str">
            <v>Xã Xuân Lao</v>
          </cell>
          <cell r="I4518" t="str">
            <v>30121</v>
          </cell>
        </row>
        <row r="4519">
          <cell r="G4519" t="str">
            <v>Xã Nậm Lịch</v>
          </cell>
          <cell r="I4519" t="str">
            <v>30121</v>
          </cell>
        </row>
        <row r="4520">
          <cell r="G4520" t="str">
            <v>Xã Mường Lạn</v>
          </cell>
          <cell r="I4520" t="str">
            <v>30121</v>
          </cell>
        </row>
        <row r="4521">
          <cell r="G4521" t="str">
            <v>Xã Nậm Tin</v>
          </cell>
          <cell r="I4521" t="str">
            <v>30123</v>
          </cell>
        </row>
        <row r="4522">
          <cell r="G4522" t="str">
            <v>Xã Pa Tần</v>
          </cell>
          <cell r="I4522" t="str">
            <v>30123</v>
          </cell>
        </row>
        <row r="4523">
          <cell r="G4523" t="str">
            <v>Xã Chà Cang</v>
          </cell>
          <cell r="I4523" t="str">
            <v>30123</v>
          </cell>
        </row>
        <row r="4524">
          <cell r="G4524" t="str">
            <v>Xã Na Cô Sa</v>
          </cell>
          <cell r="I4524" t="str">
            <v>30123</v>
          </cell>
        </row>
        <row r="4525">
          <cell r="G4525" t="str">
            <v>Xã Nà Khoa</v>
          </cell>
          <cell r="I4525" t="str">
            <v>30123</v>
          </cell>
        </row>
        <row r="4526">
          <cell r="G4526" t="str">
            <v>Xã Nà Hỳ</v>
          </cell>
          <cell r="I4526" t="str">
            <v>30123</v>
          </cell>
        </row>
        <row r="4527">
          <cell r="G4527" t="str">
            <v>Xã Nà Bủng</v>
          </cell>
          <cell r="I4527" t="str">
            <v>30123</v>
          </cell>
        </row>
        <row r="4528">
          <cell r="G4528" t="str">
            <v>Xã Nậm Nhừ</v>
          </cell>
          <cell r="I4528" t="str">
            <v>30123</v>
          </cell>
        </row>
        <row r="4529">
          <cell r="G4529" t="str">
            <v>Xã Nậm Chua</v>
          </cell>
          <cell r="I4529" t="str">
            <v>30123</v>
          </cell>
        </row>
        <row r="4530">
          <cell r="G4530" t="str">
            <v>Xã Nậm Khăn</v>
          </cell>
          <cell r="I4530" t="str">
            <v>30123</v>
          </cell>
        </row>
        <row r="4531">
          <cell r="G4531" t="str">
            <v>Xã Chà Tở</v>
          </cell>
          <cell r="I4531" t="str">
            <v>30123</v>
          </cell>
        </row>
        <row r="4532">
          <cell r="G4532" t="str">
            <v>Xã Vàng Đán</v>
          </cell>
          <cell r="I4532" t="str">
            <v>30123</v>
          </cell>
        </row>
        <row r="4533">
          <cell r="G4533" t="str">
            <v>Xã Chà Nưa</v>
          </cell>
          <cell r="I4533" t="str">
            <v>30123</v>
          </cell>
        </row>
        <row r="4534">
          <cell r="G4534" t="str">
            <v>Xã Phìn Hồ</v>
          </cell>
          <cell r="I4534" t="str">
            <v>30123</v>
          </cell>
        </row>
        <row r="4535">
          <cell r="G4535" t="str">
            <v>Xã Si pa Phìn</v>
          </cell>
          <cell r="I4535" t="str">
            <v>30123</v>
          </cell>
        </row>
        <row r="4536">
          <cell r="G4536" t="str">
            <v>Xã Thu Lũm</v>
          </cell>
          <cell r="I4536" t="str">
            <v>30201</v>
          </cell>
        </row>
        <row r="4537">
          <cell r="G4537" t="str">
            <v>Xã Pa ủ</v>
          </cell>
          <cell r="I4537" t="str">
            <v>30201</v>
          </cell>
        </row>
        <row r="4538">
          <cell r="G4538" t="str">
            <v>Xã Mường Tè</v>
          </cell>
          <cell r="I4538" t="str">
            <v>30201</v>
          </cell>
        </row>
        <row r="4539">
          <cell r="G4539" t="str">
            <v>Xã Pa Vệ Sử</v>
          </cell>
          <cell r="I4539" t="str">
            <v>30201</v>
          </cell>
        </row>
        <row r="4540">
          <cell r="G4540" t="str">
            <v>Xã Bum Tở</v>
          </cell>
          <cell r="I4540" t="str">
            <v>30201</v>
          </cell>
        </row>
        <row r="4541">
          <cell r="G4541" t="str">
            <v>Xã Nậm Khao</v>
          </cell>
          <cell r="I4541" t="str">
            <v>30201</v>
          </cell>
        </row>
        <row r="4542">
          <cell r="G4542" t="str">
            <v>Xã Tà Tổng</v>
          </cell>
          <cell r="I4542" t="str">
            <v>30201</v>
          </cell>
        </row>
        <row r="4543">
          <cell r="G4543" t="str">
            <v>Xã Bum Nưa</v>
          </cell>
          <cell r="I4543" t="str">
            <v>30201</v>
          </cell>
        </row>
        <row r="4544">
          <cell r="G4544" t="str">
            <v>Xã Kan Hồ</v>
          </cell>
          <cell r="I4544" t="str">
            <v>30201</v>
          </cell>
        </row>
        <row r="4545">
          <cell r="G4545" t="str">
            <v>Thị trấn Mường Tè</v>
          </cell>
          <cell r="I4545" t="str">
            <v>30201</v>
          </cell>
        </row>
        <row r="4546">
          <cell r="G4546" t="str">
            <v>Xã Ka Lăng</v>
          </cell>
          <cell r="I4546" t="str">
            <v>30201</v>
          </cell>
        </row>
        <row r="4547">
          <cell r="G4547" t="str">
            <v>Xã Mù Cả</v>
          </cell>
          <cell r="I4547" t="str">
            <v>30201</v>
          </cell>
        </row>
        <row r="4548">
          <cell r="G4548" t="str">
            <v>Xã Vàng San</v>
          </cell>
          <cell r="I4548" t="str">
            <v>30201</v>
          </cell>
        </row>
        <row r="4549">
          <cell r="G4549" t="str">
            <v>Xã Tá Bạ</v>
          </cell>
          <cell r="I4549" t="str">
            <v>30201</v>
          </cell>
        </row>
        <row r="4550">
          <cell r="G4550" t="str">
            <v>Phường Tân Phong</v>
          </cell>
          <cell r="I4550" t="str">
            <v>30202</v>
          </cell>
        </row>
        <row r="4551">
          <cell r="G4551" t="str">
            <v>Phường Quyết Thắng</v>
          </cell>
          <cell r="I4551" t="str">
            <v>30202</v>
          </cell>
        </row>
        <row r="4552">
          <cell r="G4552" t="str">
            <v>Phường Đoàn Kết</v>
          </cell>
          <cell r="I4552" t="str">
            <v>30202</v>
          </cell>
        </row>
        <row r="4553">
          <cell r="G4553" t="str">
            <v>Xã Nậm Loong</v>
          </cell>
          <cell r="I4553" t="str">
            <v>30202</v>
          </cell>
        </row>
        <row r="4554">
          <cell r="G4554" t="str">
            <v>Xã San Thàng</v>
          </cell>
          <cell r="I4554" t="str">
            <v>30202</v>
          </cell>
        </row>
        <row r="4555">
          <cell r="G4555" t="str">
            <v>Phường Đông Phong</v>
          </cell>
          <cell r="I4555" t="str">
            <v>30202</v>
          </cell>
        </row>
        <row r="4556">
          <cell r="G4556" t="str">
            <v>Phường Quyết Tiến</v>
          </cell>
          <cell r="I4556" t="str">
            <v>30202</v>
          </cell>
        </row>
        <row r="4557">
          <cell r="G4557" t="str">
            <v>Thị Trấn Phong Thổ</v>
          </cell>
          <cell r="I4557" t="str">
            <v>30203</v>
          </cell>
        </row>
        <row r="4558">
          <cell r="G4558" t="str">
            <v>Xã Sì Lờ Lầu</v>
          </cell>
          <cell r="I4558" t="str">
            <v>30203</v>
          </cell>
        </row>
        <row r="4559">
          <cell r="G4559" t="str">
            <v>Xã Mồ Sì San</v>
          </cell>
          <cell r="I4559" t="str">
            <v>30203</v>
          </cell>
        </row>
        <row r="4560">
          <cell r="G4560" t="str">
            <v>Xã Ma Li Chải</v>
          </cell>
          <cell r="I4560" t="str">
            <v>30203</v>
          </cell>
        </row>
        <row r="4561">
          <cell r="G4561" t="str">
            <v>Xã Pa Vây Sử</v>
          </cell>
          <cell r="I4561" t="str">
            <v>30203</v>
          </cell>
        </row>
        <row r="4562">
          <cell r="G4562" t="str">
            <v>Xã Vàng Ma Chải</v>
          </cell>
          <cell r="I4562" t="str">
            <v>30203</v>
          </cell>
        </row>
        <row r="4563">
          <cell r="G4563" t="str">
            <v>Xã Mù Sang</v>
          </cell>
          <cell r="I4563" t="str">
            <v>30203</v>
          </cell>
        </row>
        <row r="4564">
          <cell r="G4564" t="str">
            <v>Xã Dào San</v>
          </cell>
          <cell r="I4564" t="str">
            <v>30203</v>
          </cell>
        </row>
        <row r="4565">
          <cell r="G4565" t="str">
            <v>Xã Ma Ly Pho</v>
          </cell>
          <cell r="I4565" t="str">
            <v>30203</v>
          </cell>
        </row>
        <row r="4566">
          <cell r="G4566" t="str">
            <v>Xã Bản Lang</v>
          </cell>
          <cell r="I4566" t="str">
            <v>30203</v>
          </cell>
        </row>
        <row r="4567">
          <cell r="G4567" t="str">
            <v>Xã Khổng Lào</v>
          </cell>
          <cell r="I4567" t="str">
            <v>30203</v>
          </cell>
        </row>
        <row r="4568">
          <cell r="G4568" t="str">
            <v>Xã Nậm Xe</v>
          </cell>
          <cell r="I4568" t="str">
            <v>30203</v>
          </cell>
        </row>
        <row r="4569">
          <cell r="G4569" t="str">
            <v>Xã Mường So</v>
          </cell>
          <cell r="I4569" t="str">
            <v>30203</v>
          </cell>
        </row>
        <row r="4570">
          <cell r="G4570" t="str">
            <v>Xã Tông Qua Lìn</v>
          </cell>
          <cell r="I4570" t="str">
            <v>30203</v>
          </cell>
        </row>
        <row r="4571">
          <cell r="G4571" t="str">
            <v>Xã Hoang Thèn</v>
          </cell>
          <cell r="I4571" t="str">
            <v>30203</v>
          </cell>
        </row>
        <row r="4572">
          <cell r="G4572" t="str">
            <v>Xã Sin Suối Hồ</v>
          </cell>
          <cell r="I4572" t="str">
            <v>30203</v>
          </cell>
        </row>
        <row r="4573">
          <cell r="G4573" t="str">
            <v>Xã Huổi Luông</v>
          </cell>
          <cell r="I4573" t="str">
            <v>30203</v>
          </cell>
        </row>
        <row r="4574">
          <cell r="G4574" t="str">
            <v>Xã Lản Nhì Thảng</v>
          </cell>
          <cell r="I4574" t="str">
            <v>30203</v>
          </cell>
        </row>
        <row r="4575">
          <cell r="G4575" t="str">
            <v>Xã Giang Ma</v>
          </cell>
          <cell r="I4575" t="str">
            <v>30205</v>
          </cell>
        </row>
        <row r="4576">
          <cell r="G4576" t="str">
            <v>Xã Thèn Sin</v>
          </cell>
          <cell r="I4576" t="str">
            <v>30205</v>
          </cell>
        </row>
        <row r="4577">
          <cell r="G4577" t="str">
            <v>Xã Sùng Phài</v>
          </cell>
          <cell r="I4577" t="str">
            <v>30205</v>
          </cell>
        </row>
        <row r="4578">
          <cell r="G4578" t="str">
            <v>Xã Tả Lèng</v>
          </cell>
          <cell r="I4578" t="str">
            <v>30205</v>
          </cell>
        </row>
        <row r="4579">
          <cell r="G4579" t="str">
            <v xml:space="preserve">Xã Hồ Thầu </v>
          </cell>
          <cell r="I4579" t="str">
            <v>30205</v>
          </cell>
        </row>
        <row r="4580">
          <cell r="G4580" t="str">
            <v>Xã Bình Lư</v>
          </cell>
          <cell r="I4580" t="str">
            <v>30205</v>
          </cell>
        </row>
        <row r="4581">
          <cell r="G4581" t="str">
            <v>Xã Bản Giang</v>
          </cell>
          <cell r="I4581" t="str">
            <v>30205</v>
          </cell>
        </row>
        <row r="4582">
          <cell r="G4582" t="str">
            <v>Xã Bản Hon</v>
          </cell>
          <cell r="I4582" t="str">
            <v>30205</v>
          </cell>
        </row>
        <row r="4583">
          <cell r="G4583" t="str">
            <v>Xã Bản Bo</v>
          </cell>
          <cell r="I4583" t="str">
            <v>30205</v>
          </cell>
        </row>
        <row r="4584">
          <cell r="G4584" t="str">
            <v>Xã Khun Há</v>
          </cell>
          <cell r="I4584" t="str">
            <v>30205</v>
          </cell>
        </row>
        <row r="4585">
          <cell r="G4585" t="str">
            <v>Thị trấn Tam Đường</v>
          </cell>
          <cell r="I4585" t="str">
            <v>30205</v>
          </cell>
        </row>
        <row r="4586">
          <cell r="G4586" t="str">
            <v>Xã Nùng Nàng</v>
          </cell>
          <cell r="I4586" t="str">
            <v>30205</v>
          </cell>
        </row>
        <row r="4587">
          <cell r="G4587" t="str">
            <v>Xã Nà Tăm</v>
          </cell>
          <cell r="I4587" t="str">
            <v>30205</v>
          </cell>
        </row>
        <row r="4588">
          <cell r="G4588" t="str">
            <v>Xã Sơn Bình</v>
          </cell>
          <cell r="I4588" t="str">
            <v>30205</v>
          </cell>
        </row>
        <row r="4589">
          <cell r="G4589" t="str">
            <v>Thị trấn Sìn Hồ</v>
          </cell>
          <cell r="I4589" t="str">
            <v>30207</v>
          </cell>
        </row>
        <row r="4590">
          <cell r="G4590" t="str">
            <v>Xã Chăn Nưa</v>
          </cell>
          <cell r="I4590" t="str">
            <v>30207</v>
          </cell>
        </row>
        <row r="4591">
          <cell r="G4591" t="str">
            <v xml:space="preserve">Xã Pa Tần </v>
          </cell>
          <cell r="I4591" t="str">
            <v>30207</v>
          </cell>
        </row>
        <row r="4592">
          <cell r="G4592" t="str">
            <v>Xã Hồng Thu</v>
          </cell>
          <cell r="I4592" t="str">
            <v>30207</v>
          </cell>
        </row>
        <row r="4593">
          <cell r="G4593" t="str">
            <v>Xã Ma Quai</v>
          </cell>
          <cell r="I4593" t="str">
            <v>30207</v>
          </cell>
        </row>
        <row r="4594">
          <cell r="G4594" t="str">
            <v>Xã Xà Dề Phìn</v>
          </cell>
          <cell r="I4594" t="str">
            <v>30207</v>
          </cell>
        </row>
        <row r="4595">
          <cell r="G4595" t="str">
            <v>Xã Nậm Tăm</v>
          </cell>
          <cell r="I4595" t="str">
            <v>30207</v>
          </cell>
        </row>
        <row r="4596">
          <cell r="G4596" t="str">
            <v>Xã Pu Sam Cáp</v>
          </cell>
          <cell r="I4596" t="str">
            <v>30207</v>
          </cell>
        </row>
        <row r="4597">
          <cell r="G4597" t="str">
            <v>Xã Nậm Cha</v>
          </cell>
          <cell r="I4597" t="str">
            <v>30207</v>
          </cell>
        </row>
        <row r="4598">
          <cell r="G4598" t="str">
            <v>Xã Noong Hẻo</v>
          </cell>
          <cell r="I4598" t="str">
            <v>30207</v>
          </cell>
        </row>
        <row r="4599">
          <cell r="G4599" t="str">
            <v>Xã Nậm Mạ</v>
          </cell>
          <cell r="I4599" t="str">
            <v>30207</v>
          </cell>
        </row>
        <row r="4600">
          <cell r="G4600" t="str">
            <v>Xã Căn Co</v>
          </cell>
          <cell r="I4600" t="str">
            <v>30207</v>
          </cell>
        </row>
        <row r="4601">
          <cell r="G4601" t="str">
            <v>Xã Nậm Hăn</v>
          </cell>
          <cell r="I4601" t="str">
            <v>30207</v>
          </cell>
        </row>
        <row r="4602">
          <cell r="G4602" t="str">
            <v xml:space="preserve">Xã Tả Phìn   </v>
          </cell>
          <cell r="I4602" t="str">
            <v>30207</v>
          </cell>
        </row>
        <row r="4603">
          <cell r="G4603" t="str">
            <v>Xã Nậm Cuổi</v>
          </cell>
          <cell r="I4603" t="str">
            <v>30207</v>
          </cell>
        </row>
        <row r="4604">
          <cell r="G4604" t="str">
            <v xml:space="preserve">Xã Phìn Hồ </v>
          </cell>
          <cell r="I4604" t="str">
            <v>30207</v>
          </cell>
        </row>
        <row r="4605">
          <cell r="G4605" t="str">
            <v>Xã Phăng Sô Lin</v>
          </cell>
          <cell r="I4605" t="str">
            <v>30207</v>
          </cell>
        </row>
        <row r="4606">
          <cell r="G4606" t="str">
            <v>Xã Tả Ngảo</v>
          </cell>
          <cell r="I4606" t="str">
            <v>30207</v>
          </cell>
        </row>
        <row r="4607">
          <cell r="G4607" t="str">
            <v>Xã Làng Mô</v>
          </cell>
          <cell r="I4607" t="str">
            <v>30207</v>
          </cell>
        </row>
        <row r="4608">
          <cell r="G4608" t="str">
            <v>Xã Tủa Sín Chải</v>
          </cell>
          <cell r="I4608" t="str">
            <v>30207</v>
          </cell>
        </row>
        <row r="4609">
          <cell r="G4609" t="str">
            <v>Xã Pa Khóa</v>
          </cell>
          <cell r="I4609" t="str">
            <v>30207</v>
          </cell>
        </row>
        <row r="4610">
          <cell r="G4610" t="str">
            <v>Xã Lùng Thàng</v>
          </cell>
          <cell r="I4610" t="str">
            <v>30207</v>
          </cell>
        </row>
        <row r="4611">
          <cell r="G4611" t="str">
            <v>Thị trấn Than Uyên</v>
          </cell>
          <cell r="I4611" t="str">
            <v>30209</v>
          </cell>
        </row>
        <row r="4612">
          <cell r="G4612" t="str">
            <v>Xã Hua Nà</v>
          </cell>
          <cell r="I4612" t="str">
            <v>30209</v>
          </cell>
        </row>
        <row r="4613">
          <cell r="G4613" t="str">
            <v>Xã Tà Mung</v>
          </cell>
          <cell r="I4613" t="str">
            <v>30209</v>
          </cell>
        </row>
        <row r="4614">
          <cell r="G4614" t="str">
            <v>Xã Mường Than</v>
          </cell>
          <cell r="I4614" t="str">
            <v>30209</v>
          </cell>
        </row>
        <row r="4615">
          <cell r="G4615" t="str">
            <v>Xã Phúc Than</v>
          </cell>
          <cell r="I4615" t="str">
            <v>30209</v>
          </cell>
        </row>
        <row r="4616">
          <cell r="G4616" t="str">
            <v>Xã Pha Mu</v>
          </cell>
          <cell r="I4616" t="str">
            <v>30209</v>
          </cell>
        </row>
        <row r="4617">
          <cell r="G4617" t="str">
            <v>Xã Mường Cang</v>
          </cell>
          <cell r="I4617" t="str">
            <v>30209</v>
          </cell>
        </row>
        <row r="4618">
          <cell r="G4618" t="str">
            <v>Xã Mường Kim</v>
          </cell>
          <cell r="I4618" t="str">
            <v>30209</v>
          </cell>
        </row>
        <row r="4619">
          <cell r="G4619" t="str">
            <v>Xã Tà Gia</v>
          </cell>
          <cell r="I4619" t="str">
            <v>30209</v>
          </cell>
        </row>
        <row r="4620">
          <cell r="G4620" t="str">
            <v>Xã Khoen On</v>
          </cell>
          <cell r="I4620" t="str">
            <v>30209</v>
          </cell>
        </row>
        <row r="4621">
          <cell r="G4621" t="str">
            <v>Xã Tà Hừa</v>
          </cell>
          <cell r="I4621" t="str">
            <v>30209</v>
          </cell>
        </row>
        <row r="4622">
          <cell r="G4622" t="str">
            <v>Xã Mường Mít</v>
          </cell>
          <cell r="I4622" t="str">
            <v>30209</v>
          </cell>
        </row>
        <row r="4623">
          <cell r="G4623" t="str">
            <v>Thị Trấn Tân Uyên</v>
          </cell>
          <cell r="I4623" t="str">
            <v>30211</v>
          </cell>
        </row>
        <row r="4624">
          <cell r="G4624" t="str">
            <v>Xã Phúc Khoa</v>
          </cell>
          <cell r="I4624" t="str">
            <v>30211</v>
          </cell>
        </row>
        <row r="4625">
          <cell r="G4625" t="str">
            <v>Xã Mường Khoa</v>
          </cell>
          <cell r="I4625" t="str">
            <v>30211</v>
          </cell>
        </row>
        <row r="4626">
          <cell r="G4626" t="str">
            <v>Xã Trung Đồng</v>
          </cell>
          <cell r="I4626" t="str">
            <v>30211</v>
          </cell>
        </row>
        <row r="4627">
          <cell r="G4627" t="str">
            <v>Xã Nậm Cần</v>
          </cell>
          <cell r="I4627" t="str">
            <v>30211</v>
          </cell>
        </row>
        <row r="4628">
          <cell r="G4628" t="str">
            <v>Xã Nậm Sỏ</v>
          </cell>
          <cell r="I4628" t="str">
            <v>30211</v>
          </cell>
        </row>
        <row r="4629">
          <cell r="G4629" t="str">
            <v>Xã Thân Thuộc</v>
          </cell>
          <cell r="I4629" t="str">
            <v>30211</v>
          </cell>
        </row>
        <row r="4630">
          <cell r="G4630" t="str">
            <v>Xã Tà Mít</v>
          </cell>
          <cell r="I4630" t="str">
            <v>30211</v>
          </cell>
        </row>
        <row r="4631">
          <cell r="G4631" t="str">
            <v>Xã Hố Mít</v>
          </cell>
          <cell r="I4631" t="str">
            <v>30211</v>
          </cell>
        </row>
        <row r="4632">
          <cell r="G4632" t="str">
            <v>Xã Pắc Ta</v>
          </cell>
          <cell r="I4632" t="str">
            <v>30211</v>
          </cell>
        </row>
        <row r="4633">
          <cell r="G4633" t="str">
            <v>Thị Trấn Nậm Nhùn</v>
          </cell>
          <cell r="I4633" t="str">
            <v>30213</v>
          </cell>
        </row>
        <row r="4634">
          <cell r="G4634" t="str">
            <v>Xã Hua Bum</v>
          </cell>
          <cell r="I4634" t="str">
            <v>30213</v>
          </cell>
        </row>
        <row r="4635">
          <cell r="G4635" t="str">
            <v>Xã Mường Mô</v>
          </cell>
          <cell r="I4635" t="str">
            <v>30213</v>
          </cell>
        </row>
        <row r="4636">
          <cell r="G4636" t="str">
            <v>Xã Nậm Hàng</v>
          </cell>
          <cell r="I4636" t="str">
            <v>30213</v>
          </cell>
        </row>
        <row r="4637">
          <cell r="G4637" t="str">
            <v>Xã Nậm Manh</v>
          </cell>
          <cell r="I4637" t="str">
            <v>30213</v>
          </cell>
        </row>
        <row r="4638">
          <cell r="G4638" t="str">
            <v xml:space="preserve">Xã Lê Lợi       </v>
          </cell>
          <cell r="I4638" t="str">
            <v>30213</v>
          </cell>
        </row>
        <row r="4639">
          <cell r="G4639" t="str">
            <v>Xã Pú Đao</v>
          </cell>
          <cell r="I4639" t="str">
            <v>30213</v>
          </cell>
        </row>
        <row r="4640">
          <cell r="G4640" t="str">
            <v xml:space="preserve">Xã Nậm Ban </v>
          </cell>
          <cell r="I4640" t="str">
            <v>30213</v>
          </cell>
        </row>
        <row r="4641">
          <cell r="G4641" t="str">
            <v>Xã Nậm Pì</v>
          </cell>
          <cell r="I4641" t="str">
            <v>30213</v>
          </cell>
        </row>
        <row r="4642">
          <cell r="G4642" t="str">
            <v xml:space="preserve">Xã Trung Chải </v>
          </cell>
          <cell r="I4642" t="str">
            <v>30213</v>
          </cell>
        </row>
        <row r="4643">
          <cell r="G4643" t="str">
            <v>Xã Nậm Chà</v>
          </cell>
          <cell r="I4643" t="str">
            <v>30213</v>
          </cell>
        </row>
        <row r="4644">
          <cell r="G4644" t="str">
            <v>Phường Chiềng Lề</v>
          </cell>
          <cell r="I4644" t="str">
            <v>30301</v>
          </cell>
        </row>
        <row r="4645">
          <cell r="G4645" t="str">
            <v xml:space="preserve">Phường Quyết Thắng </v>
          </cell>
          <cell r="I4645" t="str">
            <v>30301</v>
          </cell>
        </row>
        <row r="4646">
          <cell r="G4646" t="str">
            <v>Phường Quyết Tâm</v>
          </cell>
          <cell r="I4646" t="str">
            <v>30301</v>
          </cell>
        </row>
        <row r="4647">
          <cell r="G4647" t="str">
            <v>Xã Chiềng Xôm</v>
          </cell>
          <cell r="I4647" t="str">
            <v>30301</v>
          </cell>
        </row>
        <row r="4648">
          <cell r="G4648" t="str">
            <v>Phường Chiềng An</v>
          </cell>
          <cell r="I4648" t="str">
            <v>30301</v>
          </cell>
        </row>
        <row r="4649">
          <cell r="G4649" t="str">
            <v>Phường Chiềng Cơi</v>
          </cell>
          <cell r="I4649" t="str">
            <v>30301</v>
          </cell>
        </row>
        <row r="4650">
          <cell r="G4650" t="str">
            <v>Xã Hua La</v>
          </cell>
          <cell r="I4650" t="str">
            <v>30301</v>
          </cell>
        </row>
        <row r="4651">
          <cell r="G4651" t="str">
            <v>Phường Chiềng Sinh</v>
          </cell>
          <cell r="I4651" t="str">
            <v>30301</v>
          </cell>
        </row>
        <row r="4652">
          <cell r="G4652" t="str">
            <v>Xã Chiềng Cọ</v>
          </cell>
          <cell r="I4652" t="str">
            <v>30301</v>
          </cell>
        </row>
        <row r="4653">
          <cell r="G4653" t="str">
            <v>Phường Tô Hiệu</v>
          </cell>
          <cell r="I4653" t="str">
            <v>30301</v>
          </cell>
        </row>
        <row r="4654">
          <cell r="G4654" t="str">
            <v>Xã Chiềng Đen</v>
          </cell>
          <cell r="I4654" t="str">
            <v>30301</v>
          </cell>
        </row>
        <row r="4655">
          <cell r="G4655" t="str">
            <v>Xã Chiềng Ngần</v>
          </cell>
          <cell r="I4655" t="str">
            <v>30301</v>
          </cell>
        </row>
        <row r="4656">
          <cell r="G4656" t="str">
            <v>Xã Mường Giàng</v>
          </cell>
          <cell r="I4656" t="str">
            <v>30303</v>
          </cell>
        </row>
        <row r="4657">
          <cell r="G4657" t="str">
            <v>Xã Chiềng Bằng</v>
          </cell>
          <cell r="I4657" t="str">
            <v>30303</v>
          </cell>
        </row>
        <row r="4658">
          <cell r="G4658" t="str">
            <v>Xã Mường Sại</v>
          </cell>
          <cell r="I4658" t="str">
            <v>30303</v>
          </cell>
        </row>
        <row r="4659">
          <cell r="G4659" t="str">
            <v>Xã Nậm ét</v>
          </cell>
          <cell r="I4659" t="str">
            <v>30303</v>
          </cell>
        </row>
        <row r="4660">
          <cell r="G4660" t="str">
            <v>Xã Chiềng Khoang</v>
          </cell>
          <cell r="I4660" t="str">
            <v>30303</v>
          </cell>
        </row>
        <row r="4661">
          <cell r="G4661" t="str">
            <v>Xã Chiềng ơn</v>
          </cell>
          <cell r="I4661" t="str">
            <v>30303</v>
          </cell>
        </row>
        <row r="4662">
          <cell r="G4662" t="str">
            <v>Xã Mường Chiên</v>
          </cell>
          <cell r="I4662" t="str">
            <v>30303</v>
          </cell>
        </row>
        <row r="4663">
          <cell r="G4663" t="str">
            <v>Xã Chiềng Khay</v>
          </cell>
          <cell r="I4663" t="str">
            <v>30303</v>
          </cell>
        </row>
        <row r="4664">
          <cell r="G4664" t="str">
            <v>Xã Mường Giôn</v>
          </cell>
          <cell r="I4664" t="str">
            <v>30303</v>
          </cell>
        </row>
        <row r="4665">
          <cell r="G4665" t="str">
            <v>Xã Pá Ma Pha Khinh</v>
          </cell>
          <cell r="I4665" t="str">
            <v>30303</v>
          </cell>
        </row>
        <row r="4666">
          <cell r="G4666" t="str">
            <v>Xã Cà Nàng</v>
          </cell>
          <cell r="I4666" t="str">
            <v>30303</v>
          </cell>
        </row>
        <row r="4667">
          <cell r="G4667" t="str">
            <v>Xã Pắc Ma</v>
          </cell>
          <cell r="I4667" t="str">
            <v>30303</v>
          </cell>
        </row>
        <row r="4668">
          <cell r="G4668" t="str">
            <v>Xã ít Ong</v>
          </cell>
          <cell r="I4668" t="str">
            <v>30305</v>
          </cell>
        </row>
        <row r="4669">
          <cell r="G4669" t="str">
            <v>Xã Nậm Giôn</v>
          </cell>
          <cell r="I4669" t="str">
            <v>30305</v>
          </cell>
        </row>
        <row r="4670">
          <cell r="G4670" t="str">
            <v>Xã Chiềng Lao</v>
          </cell>
          <cell r="I4670" t="str">
            <v>30305</v>
          </cell>
        </row>
        <row r="4671">
          <cell r="G4671" t="str">
            <v>Xã Hua Trai</v>
          </cell>
          <cell r="I4671" t="str">
            <v>30305</v>
          </cell>
        </row>
        <row r="4672">
          <cell r="G4672" t="str">
            <v>Xã Ngọc Chiến</v>
          </cell>
          <cell r="I4672" t="str">
            <v>30305</v>
          </cell>
        </row>
        <row r="4673">
          <cell r="G4673" t="str">
            <v>Xã Nậm Păm</v>
          </cell>
          <cell r="I4673" t="str">
            <v>30305</v>
          </cell>
        </row>
        <row r="4674">
          <cell r="G4674" t="str">
            <v>Xã Chiềng Muôn</v>
          </cell>
          <cell r="I4674" t="str">
            <v>30305</v>
          </cell>
        </row>
        <row r="4675">
          <cell r="G4675" t="str">
            <v>Xã Chiềng Ân</v>
          </cell>
          <cell r="I4675" t="str">
            <v>30305</v>
          </cell>
        </row>
        <row r="4676">
          <cell r="G4676" t="str">
            <v>Xã Pi Toong</v>
          </cell>
          <cell r="I4676" t="str">
            <v>30305</v>
          </cell>
        </row>
        <row r="4677">
          <cell r="G4677" t="str">
            <v>Xã Tạ Bú</v>
          </cell>
          <cell r="I4677" t="str">
            <v>30305</v>
          </cell>
        </row>
        <row r="4678">
          <cell r="G4678" t="str">
            <v>Xã Chiềng San</v>
          </cell>
          <cell r="I4678" t="str">
            <v>30305</v>
          </cell>
        </row>
        <row r="4679">
          <cell r="G4679" t="str">
            <v>Xã Mường Bú</v>
          </cell>
          <cell r="I4679" t="str">
            <v>30305</v>
          </cell>
        </row>
        <row r="4680">
          <cell r="G4680" t="str">
            <v>Xã Mường Chùm</v>
          </cell>
          <cell r="I4680" t="str">
            <v>30305</v>
          </cell>
        </row>
        <row r="4681">
          <cell r="G4681" t="str">
            <v>Xã Mường Trai</v>
          </cell>
          <cell r="I4681" t="str">
            <v>30305</v>
          </cell>
        </row>
        <row r="4682">
          <cell r="G4682" t="str">
            <v>Xã Chiềng Công</v>
          </cell>
          <cell r="I4682" t="str">
            <v>30305</v>
          </cell>
        </row>
        <row r="4683">
          <cell r="G4683" t="str">
            <v>Xã Chiềng Hoa</v>
          </cell>
          <cell r="I4683" t="str">
            <v>30305</v>
          </cell>
        </row>
        <row r="4684">
          <cell r="G4684" t="str">
            <v>Xã Phỏng Lái</v>
          </cell>
          <cell r="I4684" t="str">
            <v>30307</v>
          </cell>
        </row>
        <row r="4685">
          <cell r="G4685" t="str">
            <v>Xã Chiềng Pha</v>
          </cell>
          <cell r="I4685" t="str">
            <v>30307</v>
          </cell>
        </row>
        <row r="4686">
          <cell r="G4686" t="str">
            <v>Xã Chiềng La</v>
          </cell>
          <cell r="I4686" t="str">
            <v>30307</v>
          </cell>
        </row>
        <row r="4687">
          <cell r="G4687" t="str">
            <v>Xã Liệp Tè</v>
          </cell>
          <cell r="I4687" t="str">
            <v>30307</v>
          </cell>
        </row>
        <row r="4688">
          <cell r="G4688" t="str">
            <v>Xã é Tòng</v>
          </cell>
          <cell r="I4688" t="str">
            <v>30307</v>
          </cell>
        </row>
        <row r="4689">
          <cell r="G4689" t="str">
            <v>Xã Phỏng Lập</v>
          </cell>
          <cell r="I4689" t="str">
            <v>30307</v>
          </cell>
        </row>
        <row r="4690">
          <cell r="G4690" t="str">
            <v>Xã Chiềng Ly</v>
          </cell>
          <cell r="I4690" t="str">
            <v>30307</v>
          </cell>
        </row>
        <row r="4691">
          <cell r="G4691" t="str">
            <v>Xã Nong Lay</v>
          </cell>
          <cell r="I4691" t="str">
            <v>30307</v>
          </cell>
        </row>
        <row r="4692">
          <cell r="G4692" t="str">
            <v>Xã Mường Khiêng</v>
          </cell>
          <cell r="I4692" t="str">
            <v>30307</v>
          </cell>
        </row>
        <row r="4693">
          <cell r="G4693" t="str">
            <v>Xã Chiềng Bôm</v>
          </cell>
          <cell r="I4693" t="str">
            <v>30307</v>
          </cell>
        </row>
        <row r="4694">
          <cell r="G4694" t="str">
            <v>Xã Thôn Mòn</v>
          </cell>
          <cell r="I4694" t="str">
            <v>30307</v>
          </cell>
        </row>
        <row r="4695">
          <cell r="G4695" t="str">
            <v>Xã Tông Cọ</v>
          </cell>
          <cell r="I4695" t="str">
            <v>30307</v>
          </cell>
        </row>
        <row r="4696">
          <cell r="G4696" t="str">
            <v>Xã Bó Mười</v>
          </cell>
          <cell r="I4696" t="str">
            <v>30307</v>
          </cell>
        </row>
        <row r="4697">
          <cell r="G4697" t="str">
            <v>Xã Co Mạ</v>
          </cell>
          <cell r="I4697" t="str">
            <v>30307</v>
          </cell>
        </row>
        <row r="4698">
          <cell r="G4698" t="str">
            <v>Xã Chiềng Pấc</v>
          </cell>
          <cell r="I4698" t="str">
            <v>30307</v>
          </cell>
        </row>
        <row r="4699">
          <cell r="G4699" t="str">
            <v>Xã Nậm Lầu</v>
          </cell>
          <cell r="I4699" t="str">
            <v>30307</v>
          </cell>
        </row>
        <row r="4700">
          <cell r="G4700" t="str">
            <v>Xã Muổi Nọi</v>
          </cell>
          <cell r="I4700" t="str">
            <v>30307</v>
          </cell>
        </row>
        <row r="4701">
          <cell r="G4701" t="str">
            <v>Xã Pá Lông</v>
          </cell>
          <cell r="I4701" t="str">
            <v>30307</v>
          </cell>
        </row>
        <row r="4702">
          <cell r="G4702" t="str">
            <v>Xã Mường é</v>
          </cell>
          <cell r="I4702" t="str">
            <v>30307</v>
          </cell>
        </row>
        <row r="4703">
          <cell r="G4703" t="str">
            <v>Xã Long Hẹ</v>
          </cell>
          <cell r="I4703" t="str">
            <v>30307</v>
          </cell>
        </row>
        <row r="4704">
          <cell r="G4704" t="str">
            <v>Xã Bon Phặng</v>
          </cell>
          <cell r="I4704" t="str">
            <v>30307</v>
          </cell>
        </row>
        <row r="4705">
          <cell r="G4705" t="str">
            <v>Thị trấn Thuận Châu</v>
          </cell>
          <cell r="I4705" t="str">
            <v>30307</v>
          </cell>
        </row>
        <row r="4706">
          <cell r="G4706" t="str">
            <v>Xã Chiềng Ngàm</v>
          </cell>
          <cell r="I4706" t="str">
            <v>30307</v>
          </cell>
        </row>
        <row r="4707">
          <cell r="G4707" t="str">
            <v>Xã Phổng Lăng</v>
          </cell>
          <cell r="I4707" t="str">
            <v>30307</v>
          </cell>
        </row>
        <row r="4708">
          <cell r="G4708" t="str">
            <v>Xã Mường Bám</v>
          </cell>
          <cell r="I4708" t="str">
            <v>30307</v>
          </cell>
        </row>
        <row r="4709">
          <cell r="G4709" t="str">
            <v>Xã Tông Lạnh</v>
          </cell>
          <cell r="I4709" t="str">
            <v>30307</v>
          </cell>
        </row>
        <row r="4710">
          <cell r="G4710" t="str">
            <v>Xã Púng Tra</v>
          </cell>
          <cell r="I4710" t="str">
            <v>30307</v>
          </cell>
        </row>
        <row r="4711">
          <cell r="G4711" t="str">
            <v>Xã Co Tòng</v>
          </cell>
          <cell r="I4711" t="str">
            <v>30307</v>
          </cell>
        </row>
        <row r="4712">
          <cell r="G4712" t="str">
            <v>Xã Bản Lầm</v>
          </cell>
          <cell r="I4712" t="str">
            <v>30307</v>
          </cell>
        </row>
        <row r="4713">
          <cell r="G4713" t="str">
            <v>Thị trấn Bắc Yên</v>
          </cell>
          <cell r="I4713" t="str">
            <v>30309</v>
          </cell>
        </row>
        <row r="4714">
          <cell r="G4714" t="str">
            <v>Xã Phiêng Ban</v>
          </cell>
          <cell r="I4714" t="str">
            <v>30309</v>
          </cell>
        </row>
        <row r="4715">
          <cell r="G4715" t="str">
            <v>Xã Hang Chú</v>
          </cell>
          <cell r="I4715" t="str">
            <v>30309</v>
          </cell>
        </row>
        <row r="4716">
          <cell r="G4716" t="str">
            <v>Xã Tà Xùa</v>
          </cell>
          <cell r="I4716" t="str">
            <v>30309</v>
          </cell>
        </row>
        <row r="4717">
          <cell r="G4717" t="str">
            <v>Xã Làng Chếu</v>
          </cell>
          <cell r="I4717" t="str">
            <v>30309</v>
          </cell>
        </row>
        <row r="4718">
          <cell r="G4718" t="str">
            <v xml:space="preserve">Xã Mường Khoa </v>
          </cell>
          <cell r="I4718" t="str">
            <v>30309</v>
          </cell>
        </row>
        <row r="4719">
          <cell r="G4719" t="str">
            <v>Xã Song Pe</v>
          </cell>
          <cell r="I4719" t="str">
            <v>30309</v>
          </cell>
        </row>
        <row r="4720">
          <cell r="G4720" t="str">
            <v>Xã Hồng Ngài</v>
          </cell>
          <cell r="I4720" t="str">
            <v>30309</v>
          </cell>
        </row>
        <row r="4721">
          <cell r="G4721" t="str">
            <v>Xã Phiêng Côn</v>
          </cell>
          <cell r="I4721" t="str">
            <v>30309</v>
          </cell>
        </row>
        <row r="4722">
          <cell r="G4722" t="str">
            <v>Xã Chiềng Sại</v>
          </cell>
          <cell r="I4722" t="str">
            <v>30309</v>
          </cell>
        </row>
        <row r="4723">
          <cell r="G4723" t="str">
            <v>Xã Pắc Ngà</v>
          </cell>
          <cell r="I4723" t="str">
            <v>30309</v>
          </cell>
        </row>
        <row r="4724">
          <cell r="G4724" t="str">
            <v>Xã Xím Vàng</v>
          </cell>
          <cell r="I4724" t="str">
            <v>30309</v>
          </cell>
        </row>
        <row r="4725">
          <cell r="G4725" t="str">
            <v>Xã Chim Vàn</v>
          </cell>
          <cell r="I4725" t="str">
            <v>30309</v>
          </cell>
        </row>
        <row r="4726">
          <cell r="G4726" t="str">
            <v>Xã Tạ Khoa</v>
          </cell>
          <cell r="I4726" t="str">
            <v>30309</v>
          </cell>
        </row>
        <row r="4727">
          <cell r="G4727" t="str">
            <v>Xã Hua Nhàn</v>
          </cell>
          <cell r="I4727" t="str">
            <v>30309</v>
          </cell>
        </row>
        <row r="4728">
          <cell r="G4728" t="str">
            <v>Xã Háng Đồng</v>
          </cell>
          <cell r="I4728" t="str">
            <v>30309</v>
          </cell>
        </row>
        <row r="4729">
          <cell r="G4729" t="str">
            <v>Thị trấn Phù Yên</v>
          </cell>
          <cell r="I4729" t="str">
            <v>30311</v>
          </cell>
        </row>
        <row r="4730">
          <cell r="G4730" t="str">
            <v>Xã Mường Thải</v>
          </cell>
          <cell r="I4730" t="str">
            <v>30311</v>
          </cell>
        </row>
        <row r="4731">
          <cell r="G4731" t="str">
            <v>Xã Mường Cơi</v>
          </cell>
          <cell r="I4731" t="str">
            <v>30311</v>
          </cell>
        </row>
        <row r="4732">
          <cell r="G4732" t="str">
            <v>Xã Quang Huy</v>
          </cell>
          <cell r="I4732" t="str">
            <v>30311</v>
          </cell>
        </row>
        <row r="4733">
          <cell r="G4733" t="str">
            <v>Xã Huy Thượng</v>
          </cell>
          <cell r="I4733" t="str">
            <v>30311</v>
          </cell>
        </row>
        <row r="4734">
          <cell r="G4734" t="str">
            <v xml:space="preserve">Xã Tân Lang </v>
          </cell>
          <cell r="I4734" t="str">
            <v>30311</v>
          </cell>
        </row>
        <row r="4735">
          <cell r="G4735" t="str">
            <v>Xâ Gia Phù</v>
          </cell>
          <cell r="I4735" t="str">
            <v>30311</v>
          </cell>
        </row>
        <row r="4736">
          <cell r="G4736" t="str">
            <v>Xã Huy Hạ</v>
          </cell>
          <cell r="I4736" t="str">
            <v>30311</v>
          </cell>
        </row>
        <row r="4737">
          <cell r="G4737" t="str">
            <v>Xã Huy Tân</v>
          </cell>
          <cell r="I4737" t="str">
            <v>30311</v>
          </cell>
        </row>
        <row r="4738">
          <cell r="G4738" t="str">
            <v>Xã Mường Lang</v>
          </cell>
          <cell r="I4738" t="str">
            <v>30311</v>
          </cell>
        </row>
        <row r="4739">
          <cell r="G4739" t="str">
            <v>Xã Suối Bau</v>
          </cell>
          <cell r="I4739" t="str">
            <v>30311</v>
          </cell>
        </row>
        <row r="4740">
          <cell r="G4740" t="str">
            <v>Xã Mường Do</v>
          </cell>
          <cell r="I4740" t="str">
            <v>30311</v>
          </cell>
        </row>
        <row r="4741">
          <cell r="G4741" t="str">
            <v>Xã Sập Xa</v>
          </cell>
          <cell r="I4741" t="str">
            <v>30311</v>
          </cell>
        </row>
        <row r="4742">
          <cell r="G4742" t="str">
            <v>Xã Tường Thượng</v>
          </cell>
          <cell r="I4742" t="str">
            <v>30311</v>
          </cell>
        </row>
        <row r="4743">
          <cell r="G4743" t="str">
            <v>Xã Tường Phong</v>
          </cell>
          <cell r="I4743" t="str">
            <v>30311</v>
          </cell>
        </row>
        <row r="4744">
          <cell r="G4744" t="str">
            <v>Xã Tường Hạ</v>
          </cell>
          <cell r="I4744" t="str">
            <v>30311</v>
          </cell>
        </row>
        <row r="4745">
          <cell r="G4745" t="str">
            <v>Xã Kim Bon</v>
          </cell>
          <cell r="I4745" t="str">
            <v>30311</v>
          </cell>
        </row>
        <row r="4746">
          <cell r="G4746" t="str">
            <v>Xá Mường Bang</v>
          </cell>
          <cell r="I4746" t="str">
            <v>30311</v>
          </cell>
        </row>
        <row r="4747">
          <cell r="G4747" t="str">
            <v xml:space="preserve">Xã Tân Phong    </v>
          </cell>
          <cell r="I4747" t="str">
            <v>30311</v>
          </cell>
        </row>
        <row r="4748">
          <cell r="G4748" t="str">
            <v xml:space="preserve">Xã Nam Phong  </v>
          </cell>
          <cell r="I4748" t="str">
            <v>30311</v>
          </cell>
        </row>
        <row r="4749">
          <cell r="G4749" t="str">
            <v>Xã Suối Tọ</v>
          </cell>
          <cell r="I4749" t="str">
            <v>30311</v>
          </cell>
        </row>
        <row r="4750">
          <cell r="G4750" t="str">
            <v>Xã Huy Bắc</v>
          </cell>
          <cell r="I4750" t="str">
            <v>30311</v>
          </cell>
        </row>
        <row r="4751">
          <cell r="G4751" t="str">
            <v>Xã Tường Phù</v>
          </cell>
          <cell r="I4751" t="str">
            <v>30311</v>
          </cell>
        </row>
        <row r="4752">
          <cell r="G4752" t="str">
            <v>Xã Huy Tường</v>
          </cell>
          <cell r="I4752" t="str">
            <v>30311</v>
          </cell>
        </row>
        <row r="4753">
          <cell r="G4753" t="str">
            <v>Xã Tường Tiến</v>
          </cell>
          <cell r="I4753" t="str">
            <v>30311</v>
          </cell>
        </row>
        <row r="4754">
          <cell r="G4754" t="str">
            <v>Xã Đá Đỏ</v>
          </cell>
          <cell r="I4754" t="str">
            <v>30311</v>
          </cell>
        </row>
        <row r="4755">
          <cell r="G4755" t="str">
            <v>Xã Bắc Phong</v>
          </cell>
          <cell r="I4755" t="str">
            <v>30311</v>
          </cell>
        </row>
        <row r="4756">
          <cell r="G4756" t="str">
            <v>Xã Chiềng Sung</v>
          </cell>
          <cell r="I4756" t="str">
            <v>30313</v>
          </cell>
        </row>
        <row r="4757">
          <cell r="G4757" t="str">
            <v>Xã Mường Bằng</v>
          </cell>
          <cell r="I4757" t="str">
            <v>30313</v>
          </cell>
        </row>
        <row r="4758">
          <cell r="G4758" t="str">
            <v>Xã Mương Tranh</v>
          </cell>
          <cell r="I4758" t="str">
            <v>30313</v>
          </cell>
        </row>
        <row r="4759">
          <cell r="G4759" t="str">
            <v>Xã Chiềng Mung</v>
          </cell>
          <cell r="I4759" t="str">
            <v>30313</v>
          </cell>
        </row>
        <row r="4760">
          <cell r="G4760" t="str">
            <v>Xã Mường Bon</v>
          </cell>
          <cell r="I4760" t="str">
            <v>30313</v>
          </cell>
        </row>
        <row r="4761">
          <cell r="G4761" t="str">
            <v>Xã Chiềng Chung</v>
          </cell>
          <cell r="I4761" t="str">
            <v>30313</v>
          </cell>
        </row>
        <row r="4762">
          <cell r="G4762" t="str">
            <v>Xã Hát Lót</v>
          </cell>
          <cell r="I4762" t="str">
            <v>30313</v>
          </cell>
        </row>
        <row r="4763">
          <cell r="G4763" t="str">
            <v>Xã Cò Nòi</v>
          </cell>
          <cell r="I4763" t="str">
            <v>30313</v>
          </cell>
        </row>
        <row r="4764">
          <cell r="G4764" t="str">
            <v>Xã Chiềng Nơi</v>
          </cell>
          <cell r="I4764" t="str">
            <v>30313</v>
          </cell>
        </row>
        <row r="4765">
          <cell r="G4765" t="str">
            <v>Xã Chiềng Dong</v>
          </cell>
          <cell r="I4765" t="str">
            <v>30313</v>
          </cell>
        </row>
        <row r="4766">
          <cell r="G4766" t="str">
            <v>Xã Chiềng Kheo</v>
          </cell>
          <cell r="I4766" t="str">
            <v>30313</v>
          </cell>
        </row>
        <row r="4767">
          <cell r="G4767" t="str">
            <v>Xã Phiêng Pằn</v>
          </cell>
          <cell r="I4767" t="str">
            <v>30313</v>
          </cell>
        </row>
        <row r="4768">
          <cell r="G4768" t="str">
            <v>Xã Nà ơt</v>
          </cell>
          <cell r="I4768" t="str">
            <v>30313</v>
          </cell>
        </row>
        <row r="4769">
          <cell r="G4769" t="str">
            <v>Xã Tà Hộc</v>
          </cell>
          <cell r="I4769" t="str">
            <v>30313</v>
          </cell>
        </row>
        <row r="4770">
          <cell r="G4770" t="str">
            <v>Xã Chiềng Chăn</v>
          </cell>
          <cell r="I4770" t="str">
            <v>30313</v>
          </cell>
        </row>
        <row r="4771">
          <cell r="G4771" t="str">
            <v>Xã Chiềng Ve</v>
          </cell>
          <cell r="I4771" t="str">
            <v>30313</v>
          </cell>
        </row>
        <row r="4772">
          <cell r="G4772" t="str">
            <v>Thị trấn Hát Lót</v>
          </cell>
          <cell r="I4772" t="str">
            <v>30313</v>
          </cell>
        </row>
        <row r="4773">
          <cell r="G4773" t="str">
            <v>Xã Chiềng Ban</v>
          </cell>
          <cell r="I4773" t="str">
            <v>30313</v>
          </cell>
        </row>
        <row r="4774">
          <cell r="G4774" t="str">
            <v>Xã Chiềng Mai</v>
          </cell>
          <cell r="I4774" t="str">
            <v>30313</v>
          </cell>
        </row>
        <row r="4775">
          <cell r="G4775" t="str">
            <v>Xã Phiêng Cằm</v>
          </cell>
          <cell r="I4775" t="str">
            <v>30313</v>
          </cell>
        </row>
        <row r="4776">
          <cell r="G4776" t="str">
            <v>Xã Chiềng Lương</v>
          </cell>
          <cell r="I4776" t="str">
            <v>30313</v>
          </cell>
        </row>
        <row r="4777">
          <cell r="G4777" t="str">
            <v>Xã Nà Bó</v>
          </cell>
          <cell r="I4777" t="str">
            <v>30313</v>
          </cell>
        </row>
        <row r="4778">
          <cell r="G4778" t="str">
            <v>Thị trấn Sông Mã</v>
          </cell>
          <cell r="I4778" t="str">
            <v>30315</v>
          </cell>
        </row>
        <row r="4779">
          <cell r="G4779" t="str">
            <v>Xã Pú Pẩu</v>
          </cell>
          <cell r="I4779" t="str">
            <v>30315</v>
          </cell>
        </row>
        <row r="4780">
          <cell r="G4780" t="str">
            <v>Xã Chiềng Phung</v>
          </cell>
          <cell r="I4780" t="str">
            <v>30315</v>
          </cell>
        </row>
        <row r="4781">
          <cell r="G4781" t="str">
            <v>Xã Mường Lầm</v>
          </cell>
          <cell r="I4781" t="str">
            <v>30315</v>
          </cell>
        </row>
        <row r="4782">
          <cell r="G4782" t="str">
            <v>Xã Nậm Ty</v>
          </cell>
          <cell r="I4782" t="str">
            <v>30315</v>
          </cell>
        </row>
        <row r="4783">
          <cell r="G4783" t="str">
            <v xml:space="preserve">Xã Chiềng Sơ </v>
          </cell>
          <cell r="I4783" t="str">
            <v>30315</v>
          </cell>
        </row>
        <row r="4784">
          <cell r="G4784" t="str">
            <v>Xã Nà Nghịu</v>
          </cell>
          <cell r="I4784" t="str">
            <v>30315</v>
          </cell>
        </row>
        <row r="4785">
          <cell r="G4785" t="str">
            <v>Xã Nậm Mằn</v>
          </cell>
          <cell r="I4785" t="str">
            <v>30315</v>
          </cell>
        </row>
        <row r="4786">
          <cell r="G4786" t="str">
            <v>Xã Chiềng Cang</v>
          </cell>
          <cell r="I4786" t="str">
            <v>30315</v>
          </cell>
        </row>
        <row r="4787">
          <cell r="G4787" t="str">
            <v>Xã Huổi Một</v>
          </cell>
          <cell r="I4787" t="str">
            <v>30315</v>
          </cell>
        </row>
        <row r="4788">
          <cell r="G4788" t="str">
            <v>Xã Mường Sai</v>
          </cell>
          <cell r="I4788" t="str">
            <v>30315</v>
          </cell>
        </row>
        <row r="4789">
          <cell r="G4789" t="str">
            <v>Xã Mường Cai</v>
          </cell>
          <cell r="I4789" t="str">
            <v>30315</v>
          </cell>
        </row>
        <row r="4790">
          <cell r="G4790" t="str">
            <v>Xã Đứa Mòn</v>
          </cell>
          <cell r="I4790" t="str">
            <v>30315</v>
          </cell>
        </row>
        <row r="4791">
          <cell r="G4791" t="str">
            <v>Xã Chiềng Khương</v>
          </cell>
          <cell r="I4791" t="str">
            <v>30315</v>
          </cell>
        </row>
        <row r="4792">
          <cell r="G4792" t="str">
            <v>Xã Bó Sinh</v>
          </cell>
          <cell r="I4792" t="str">
            <v>30315</v>
          </cell>
        </row>
        <row r="4793">
          <cell r="G4793" t="str">
            <v>Xã Chiềng En</v>
          </cell>
          <cell r="I4793" t="str">
            <v>30315</v>
          </cell>
        </row>
        <row r="4794">
          <cell r="G4794" t="str">
            <v xml:space="preserve">Xã Yên Hưng   </v>
          </cell>
          <cell r="I4794" t="str">
            <v>30315</v>
          </cell>
        </row>
        <row r="4795">
          <cell r="G4795" t="str">
            <v>Xã Chiềng Khoong</v>
          </cell>
          <cell r="I4795" t="str">
            <v>30315</v>
          </cell>
        </row>
        <row r="4796">
          <cell r="G4796" t="str">
            <v>Xã Mường Hung</v>
          </cell>
          <cell r="I4796" t="str">
            <v>30315</v>
          </cell>
        </row>
        <row r="4797">
          <cell r="G4797" t="str">
            <v>Xã Chiềng Sàng</v>
          </cell>
          <cell r="I4797" t="str">
            <v>30317</v>
          </cell>
        </row>
        <row r="4798">
          <cell r="G4798" t="str">
            <v>Xã Chiềng Pằn</v>
          </cell>
          <cell r="I4798" t="str">
            <v>30317</v>
          </cell>
        </row>
        <row r="4799">
          <cell r="G4799" t="str">
            <v>Xã Viêng Lán</v>
          </cell>
          <cell r="I4799" t="str">
            <v>30317</v>
          </cell>
        </row>
        <row r="4800">
          <cell r="G4800" t="str">
            <v>Xã Chiềng Hặc</v>
          </cell>
          <cell r="I4800" t="str">
            <v>30317</v>
          </cell>
        </row>
        <row r="4801">
          <cell r="G4801" t="str">
            <v>Xã Mường Lựm</v>
          </cell>
          <cell r="I4801" t="str">
            <v>30317</v>
          </cell>
        </row>
        <row r="4802">
          <cell r="G4802" t="str">
            <v xml:space="preserve">Xã Yên Sơn       </v>
          </cell>
          <cell r="I4802" t="str">
            <v>30317</v>
          </cell>
        </row>
        <row r="4803">
          <cell r="G4803" t="str">
            <v>Xã Chiềng Khoi</v>
          </cell>
          <cell r="I4803" t="str">
            <v>30317</v>
          </cell>
        </row>
        <row r="4804">
          <cell r="G4804" t="str">
            <v>Xã Tú Nang</v>
          </cell>
          <cell r="I4804" t="str">
            <v>30317</v>
          </cell>
        </row>
        <row r="4805">
          <cell r="G4805" t="str">
            <v>Xã Lóng Phiêng</v>
          </cell>
          <cell r="I4805" t="str">
            <v>30317</v>
          </cell>
        </row>
        <row r="4806">
          <cell r="G4806" t="str">
            <v>Xã Phiêng KHòai</v>
          </cell>
          <cell r="I4806" t="str">
            <v>30317</v>
          </cell>
        </row>
        <row r="4807">
          <cell r="G4807" t="str">
            <v>Xã Chiềng Tương</v>
          </cell>
          <cell r="I4807" t="str">
            <v>30317</v>
          </cell>
        </row>
        <row r="4808">
          <cell r="G4808" t="str">
            <v>Xã Sập Vạt</v>
          </cell>
          <cell r="I4808" t="str">
            <v>30317</v>
          </cell>
        </row>
        <row r="4809">
          <cell r="G4809" t="str">
            <v>Thị trấn Yên Châu</v>
          </cell>
          <cell r="I4809" t="str">
            <v>30317</v>
          </cell>
        </row>
        <row r="4810">
          <cell r="G4810" t="str">
            <v>Xã Chiềng On</v>
          </cell>
          <cell r="I4810" t="str">
            <v>30317</v>
          </cell>
        </row>
        <row r="4811">
          <cell r="G4811" t="str">
            <v xml:space="preserve">Xã Chiềng Đông </v>
          </cell>
          <cell r="I4811" t="str">
            <v>30317</v>
          </cell>
        </row>
        <row r="4812">
          <cell r="G4812" t="str">
            <v>Thị trấn Mộc Châu</v>
          </cell>
          <cell r="I4812" t="str">
            <v>30319</v>
          </cell>
        </row>
        <row r="4813">
          <cell r="G4813" t="str">
            <v>Xã Chiềng Sơn</v>
          </cell>
          <cell r="I4813" t="str">
            <v>30319</v>
          </cell>
        </row>
        <row r="4814">
          <cell r="G4814" t="str">
            <v xml:space="preserve">Xã Tân Hợp </v>
          </cell>
          <cell r="I4814" t="str">
            <v>30319</v>
          </cell>
        </row>
        <row r="4815">
          <cell r="G4815" t="str">
            <v>Xã Qui Hướng</v>
          </cell>
          <cell r="I4815" t="str">
            <v>30319</v>
          </cell>
        </row>
        <row r="4816">
          <cell r="G4816" t="str">
            <v>Xã Tà Lại</v>
          </cell>
          <cell r="I4816" t="str">
            <v>30319</v>
          </cell>
        </row>
        <row r="4817">
          <cell r="G4817" t="str">
            <v>Xã Chiềng Hắc</v>
          </cell>
          <cell r="I4817" t="str">
            <v>30319</v>
          </cell>
        </row>
        <row r="4818">
          <cell r="G4818" t="str">
            <v>Xã Hua Păng</v>
          </cell>
          <cell r="I4818" t="str">
            <v>30319</v>
          </cell>
        </row>
        <row r="4819">
          <cell r="G4819" t="str">
            <v>Xã Chiềng Khứa</v>
          </cell>
          <cell r="I4819" t="str">
            <v>30319</v>
          </cell>
        </row>
        <row r="4820">
          <cell r="G4820" t="str">
            <v>Xã Mường Sang</v>
          </cell>
          <cell r="I4820" t="str">
            <v>30319</v>
          </cell>
        </row>
        <row r="4821">
          <cell r="G4821" t="str">
            <v>Xã Lóng Sập</v>
          </cell>
          <cell r="I4821" t="str">
            <v>30319</v>
          </cell>
        </row>
        <row r="4822">
          <cell r="G4822" t="str">
            <v>Xã Nà Mường</v>
          </cell>
          <cell r="I4822" t="str">
            <v>30319</v>
          </cell>
        </row>
        <row r="4823">
          <cell r="G4823" t="str">
            <v xml:space="preserve">Xã Phiêng Luông </v>
          </cell>
          <cell r="I4823" t="str">
            <v>30319</v>
          </cell>
        </row>
        <row r="4824">
          <cell r="G4824" t="str">
            <v>Thị trấn NT Mộc Châu</v>
          </cell>
          <cell r="I4824" t="str">
            <v>30319</v>
          </cell>
        </row>
        <row r="4825">
          <cell r="G4825" t="str">
            <v xml:space="preserve">Xã Tân Lập            </v>
          </cell>
          <cell r="I4825" t="str">
            <v>30319</v>
          </cell>
        </row>
        <row r="4826">
          <cell r="G4826" t="str">
            <v>Xã Đông Sang</v>
          </cell>
          <cell r="I4826" t="str">
            <v>30319</v>
          </cell>
        </row>
        <row r="4827">
          <cell r="G4827" t="str">
            <v>Xã Sam Kha</v>
          </cell>
          <cell r="I4827" t="str">
            <v>30321</v>
          </cell>
        </row>
        <row r="4828">
          <cell r="G4828" t="str">
            <v>Xã Púng Bánh</v>
          </cell>
          <cell r="I4828" t="str">
            <v>30321</v>
          </cell>
        </row>
        <row r="4829">
          <cell r="G4829" t="str">
            <v>Xã Dồm Cang</v>
          </cell>
          <cell r="I4829" t="str">
            <v>30321</v>
          </cell>
        </row>
        <row r="4830">
          <cell r="G4830" t="str">
            <v>Xã Nậm Lạnh</v>
          </cell>
          <cell r="I4830" t="str">
            <v>30321</v>
          </cell>
        </row>
        <row r="4831">
          <cell r="G4831" t="str">
            <v>Xã Mường Lèo</v>
          </cell>
          <cell r="I4831" t="str">
            <v>30321</v>
          </cell>
        </row>
        <row r="4832">
          <cell r="G4832" t="str">
            <v xml:space="preserve">Xã Mường Lạn </v>
          </cell>
          <cell r="I4832" t="str">
            <v>30321</v>
          </cell>
        </row>
        <row r="4833">
          <cell r="G4833" t="str">
            <v>Xã Sốp Cộp</v>
          </cell>
          <cell r="I4833" t="str">
            <v>30321</v>
          </cell>
        </row>
        <row r="4834">
          <cell r="G4834" t="str">
            <v>Xã Mường Và</v>
          </cell>
          <cell r="I4834" t="str">
            <v>30321</v>
          </cell>
        </row>
        <row r="4835">
          <cell r="G4835" t="str">
            <v>Xã Suối Bàng</v>
          </cell>
          <cell r="I4835" t="str">
            <v>30323</v>
          </cell>
        </row>
        <row r="4836">
          <cell r="G4836" t="str">
            <v xml:space="preserve">Xã Liên Hòa   </v>
          </cell>
          <cell r="I4836" t="str">
            <v>30323</v>
          </cell>
        </row>
        <row r="4837">
          <cell r="G4837" t="str">
            <v xml:space="preserve">Xã Mường Tè </v>
          </cell>
          <cell r="I4837" t="str">
            <v>30323</v>
          </cell>
        </row>
        <row r="4838">
          <cell r="G4838" t="str">
            <v>Xã Chiềng Khoa</v>
          </cell>
          <cell r="I4838" t="str">
            <v>30323</v>
          </cell>
        </row>
        <row r="4839">
          <cell r="G4839" t="str">
            <v xml:space="preserve">Xã Quang Minh     </v>
          </cell>
          <cell r="I4839" t="str">
            <v>30323</v>
          </cell>
        </row>
        <row r="4840">
          <cell r="G4840" t="str">
            <v>Xã Vân Hồ</v>
          </cell>
          <cell r="I4840" t="str">
            <v>30323</v>
          </cell>
        </row>
        <row r="4841">
          <cell r="G4841" t="str">
            <v>Xã Chiềng Yên</v>
          </cell>
          <cell r="I4841" t="str">
            <v>30323</v>
          </cell>
        </row>
        <row r="4842">
          <cell r="G4842" t="str">
            <v>Xã Xuân Nha</v>
          </cell>
          <cell r="I4842" t="str">
            <v>30323</v>
          </cell>
        </row>
        <row r="4843">
          <cell r="G4843" t="str">
            <v>Xã Song Khủa</v>
          </cell>
          <cell r="I4843" t="str">
            <v>30323</v>
          </cell>
        </row>
        <row r="4844">
          <cell r="G4844" t="str">
            <v>Xã Tô Múa</v>
          </cell>
          <cell r="I4844" t="str">
            <v>30323</v>
          </cell>
        </row>
        <row r="4845">
          <cell r="G4845" t="str">
            <v>Xã Mường Chen</v>
          </cell>
          <cell r="I4845" t="str">
            <v>30323</v>
          </cell>
        </row>
        <row r="4846">
          <cell r="G4846" t="str">
            <v>Xã Lóng Luông</v>
          </cell>
          <cell r="I4846" t="str">
            <v>30323</v>
          </cell>
        </row>
        <row r="4847">
          <cell r="G4847" t="str">
            <v>Xã Chiềng Xuân</v>
          </cell>
          <cell r="I4847" t="str">
            <v>30323</v>
          </cell>
        </row>
        <row r="4848">
          <cell r="G4848" t="str">
            <v>Xã Tân Xuân</v>
          </cell>
          <cell r="I4848" t="str">
            <v>30323</v>
          </cell>
        </row>
        <row r="4849">
          <cell r="G4849" t="str">
            <v>Phường Tân Hòa</v>
          </cell>
          <cell r="I4849" t="str">
            <v>30501</v>
          </cell>
        </row>
        <row r="4850">
          <cell r="G4850" t="str">
            <v>Phường Thịnh Lang</v>
          </cell>
          <cell r="I4850" t="str">
            <v>30501</v>
          </cell>
        </row>
        <row r="4851">
          <cell r="G4851" t="str">
            <v>Phường Hữu Nghị</v>
          </cell>
          <cell r="I4851" t="str">
            <v>30501</v>
          </cell>
        </row>
        <row r="4852">
          <cell r="G4852" t="str">
            <v>Phường Đồng Tiến</v>
          </cell>
          <cell r="I4852" t="str">
            <v>30501</v>
          </cell>
        </row>
        <row r="4853">
          <cell r="G4853" t="str">
            <v>Phường Phương Lâm</v>
          </cell>
          <cell r="I4853" t="str">
            <v>30501</v>
          </cell>
        </row>
        <row r="4854">
          <cell r="G4854" t="str">
            <v>Phường Chăm Mát</v>
          </cell>
          <cell r="I4854" t="str">
            <v>30501</v>
          </cell>
        </row>
        <row r="4855">
          <cell r="G4855" t="str">
            <v>Xã Yên Mông</v>
          </cell>
          <cell r="I4855" t="str">
            <v>30501</v>
          </cell>
        </row>
        <row r="4856">
          <cell r="G4856" t="str">
            <v xml:space="preserve">Xã Dân Chủ    </v>
          </cell>
          <cell r="I4856" t="str">
            <v>30501</v>
          </cell>
        </row>
        <row r="4857">
          <cell r="G4857" t="str">
            <v xml:space="preserve">Xã Thống Nhất    </v>
          </cell>
          <cell r="I4857" t="str">
            <v>30501</v>
          </cell>
        </row>
        <row r="4858">
          <cell r="G4858" t="str">
            <v xml:space="preserve">Xã Thái Thịnh  </v>
          </cell>
          <cell r="I4858" t="str">
            <v>30501</v>
          </cell>
        </row>
        <row r="4859">
          <cell r="G4859" t="str">
            <v>Phường Thái Bình</v>
          </cell>
          <cell r="I4859" t="str">
            <v>30501</v>
          </cell>
        </row>
        <row r="4860">
          <cell r="G4860" t="str">
            <v xml:space="preserve">Phường Tân Thịnh </v>
          </cell>
          <cell r="I4860" t="str">
            <v>30501</v>
          </cell>
        </row>
        <row r="4861">
          <cell r="G4861" t="str">
            <v>Xã Sủ Ngòi</v>
          </cell>
          <cell r="I4861" t="str">
            <v>30501</v>
          </cell>
        </row>
        <row r="4862">
          <cell r="G4862" t="str">
            <v xml:space="preserve">Xã Hòa Bình            </v>
          </cell>
          <cell r="I4862" t="str">
            <v>30501</v>
          </cell>
        </row>
        <row r="4863">
          <cell r="G4863" t="str">
            <v xml:space="preserve">Xã Trung Minh </v>
          </cell>
          <cell r="I4863" t="str">
            <v>30501</v>
          </cell>
        </row>
        <row r="4864">
          <cell r="G4864" t="str">
            <v>Thị trấn Đà Bắc</v>
          </cell>
          <cell r="I4864" t="str">
            <v>30503</v>
          </cell>
        </row>
        <row r="4865">
          <cell r="G4865" t="str">
            <v>Xã Đồng Nghê</v>
          </cell>
          <cell r="I4865" t="str">
            <v>30503</v>
          </cell>
        </row>
        <row r="4866">
          <cell r="G4866" t="str">
            <v>Xã Suối Nánh</v>
          </cell>
          <cell r="I4866" t="str">
            <v>30503</v>
          </cell>
        </row>
        <row r="4867">
          <cell r="G4867" t="str">
            <v>Xã Mường Tuổng</v>
          </cell>
          <cell r="I4867" t="str">
            <v>30503</v>
          </cell>
        </row>
        <row r="4868">
          <cell r="G4868" t="str">
            <v>Xã Mường Chiềng</v>
          </cell>
          <cell r="I4868" t="str">
            <v>30503</v>
          </cell>
        </row>
        <row r="4869">
          <cell r="G4869" t="str">
            <v>Xã Tân Pheo</v>
          </cell>
          <cell r="I4869" t="str">
            <v>30503</v>
          </cell>
        </row>
        <row r="4870">
          <cell r="G4870" t="str">
            <v xml:space="preserve">Xã Tân Minh    </v>
          </cell>
          <cell r="I4870" t="str">
            <v>30503</v>
          </cell>
        </row>
        <row r="4871">
          <cell r="G4871" t="str">
            <v>Xã Đồng Ruộng</v>
          </cell>
          <cell r="I4871" t="str">
            <v>30503</v>
          </cell>
        </row>
        <row r="4872">
          <cell r="G4872" t="str">
            <v>Xã Tu Lý</v>
          </cell>
          <cell r="I4872" t="str">
            <v>30503</v>
          </cell>
        </row>
        <row r="4873">
          <cell r="G4873" t="str">
            <v xml:space="preserve">Xã Trung Thành    </v>
          </cell>
          <cell r="I4873" t="str">
            <v>30503</v>
          </cell>
        </row>
        <row r="4874">
          <cell r="G4874" t="str">
            <v xml:space="preserve">Xã Cao Sơn  </v>
          </cell>
          <cell r="I4874" t="str">
            <v>30503</v>
          </cell>
        </row>
        <row r="4875">
          <cell r="G4875" t="str">
            <v>Xã Toàn Sơn</v>
          </cell>
          <cell r="I4875" t="str">
            <v>30503</v>
          </cell>
        </row>
        <row r="4876">
          <cell r="G4876" t="str">
            <v xml:space="preserve">Xã Tiền Phong        </v>
          </cell>
          <cell r="I4876" t="str">
            <v>30503</v>
          </cell>
        </row>
        <row r="4877">
          <cell r="G4877" t="str">
            <v>Xã Vầy Nưa</v>
          </cell>
          <cell r="I4877" t="str">
            <v>30503</v>
          </cell>
        </row>
        <row r="4878">
          <cell r="G4878" t="str">
            <v xml:space="preserve">Xã Đoàn Kết   </v>
          </cell>
          <cell r="I4878" t="str">
            <v>30503</v>
          </cell>
        </row>
        <row r="4879">
          <cell r="G4879" t="str">
            <v>Xã Giáp Đắt</v>
          </cell>
          <cell r="I4879" t="str">
            <v>30503</v>
          </cell>
        </row>
        <row r="4880">
          <cell r="G4880" t="str">
            <v>Xã Đồng Chum</v>
          </cell>
          <cell r="I4880" t="str">
            <v>30503</v>
          </cell>
        </row>
        <row r="4881">
          <cell r="G4881" t="str">
            <v>Xã Hào Lý</v>
          </cell>
          <cell r="I4881" t="str">
            <v>30503</v>
          </cell>
        </row>
        <row r="4882">
          <cell r="G4882" t="str">
            <v xml:space="preserve">Xã Yên Hòa  </v>
          </cell>
          <cell r="I4882" t="str">
            <v>30503</v>
          </cell>
        </row>
        <row r="4883">
          <cell r="G4883" t="str">
            <v xml:space="preserve">Xã Hiền Lương </v>
          </cell>
          <cell r="I4883" t="str">
            <v>30503</v>
          </cell>
        </row>
        <row r="4884">
          <cell r="G4884" t="str">
            <v>Xã Tân Mai</v>
          </cell>
          <cell r="I4884" t="str">
            <v>30505</v>
          </cell>
        </row>
        <row r="4885">
          <cell r="G4885" t="str">
            <v>Xã Pà Cò</v>
          </cell>
          <cell r="I4885" t="str">
            <v>30505</v>
          </cell>
        </row>
        <row r="4886">
          <cell r="G4886" t="str">
            <v>Xã Ba Khan</v>
          </cell>
          <cell r="I4886" t="str">
            <v>30505</v>
          </cell>
        </row>
        <row r="4887">
          <cell r="G4887" t="str">
            <v xml:space="preserve">Xã Tân Sơn    </v>
          </cell>
          <cell r="I4887" t="str">
            <v>30505</v>
          </cell>
        </row>
        <row r="4888">
          <cell r="G4888" t="str">
            <v>Xã Đồng Bảng</v>
          </cell>
          <cell r="I4888" t="str">
            <v>30505</v>
          </cell>
        </row>
        <row r="4889">
          <cell r="G4889" t="str">
            <v>Xã Bao La</v>
          </cell>
          <cell r="I4889" t="str">
            <v>30505</v>
          </cell>
        </row>
        <row r="4890">
          <cell r="G4890" t="str">
            <v>Xã Piềng Vế</v>
          </cell>
          <cell r="I4890" t="str">
            <v>30505</v>
          </cell>
        </row>
        <row r="4891">
          <cell r="G4891" t="str">
            <v>Xã Tòng Đậu</v>
          </cell>
          <cell r="I4891" t="str">
            <v>30505</v>
          </cell>
        </row>
        <row r="4892">
          <cell r="G4892" t="str">
            <v>Xã Nà Phòn</v>
          </cell>
          <cell r="I4892" t="str">
            <v>30505</v>
          </cell>
        </row>
        <row r="4893">
          <cell r="G4893" t="str">
            <v>Xã Săm Khòe</v>
          </cell>
          <cell r="I4893" t="str">
            <v>30505</v>
          </cell>
        </row>
        <row r="4894">
          <cell r="G4894" t="str">
            <v>Xã Mai Hạ</v>
          </cell>
          <cell r="I4894" t="str">
            <v>30505</v>
          </cell>
        </row>
        <row r="4895">
          <cell r="G4895" t="str">
            <v>Xã Noong Luông</v>
          </cell>
          <cell r="I4895" t="str">
            <v>30505</v>
          </cell>
        </row>
        <row r="4896">
          <cell r="G4896" t="str">
            <v>Xã Mai Hịch</v>
          </cell>
          <cell r="I4896" t="str">
            <v>30505</v>
          </cell>
        </row>
        <row r="4897">
          <cell r="G4897" t="str">
            <v>Xã Vạn Mai</v>
          </cell>
          <cell r="I4897" t="str">
            <v>30505</v>
          </cell>
        </row>
        <row r="4898">
          <cell r="G4898" t="str">
            <v>Xã Phúc Sạn</v>
          </cell>
          <cell r="I4898" t="str">
            <v>30505</v>
          </cell>
        </row>
        <row r="4899">
          <cell r="G4899" t="str">
            <v>Xã Thung Khe</v>
          </cell>
          <cell r="I4899" t="str">
            <v>30505</v>
          </cell>
        </row>
        <row r="4900">
          <cell r="G4900" t="str">
            <v>Thị trấn Mai Châu</v>
          </cell>
          <cell r="I4900" t="str">
            <v>30505</v>
          </cell>
        </row>
        <row r="4901">
          <cell r="G4901" t="str">
            <v>Xã Hang Kia</v>
          </cell>
          <cell r="I4901" t="str">
            <v>30505</v>
          </cell>
        </row>
        <row r="4902">
          <cell r="G4902" t="str">
            <v>Xã Cun Pheo</v>
          </cell>
          <cell r="I4902" t="str">
            <v>30505</v>
          </cell>
        </row>
        <row r="4903">
          <cell r="G4903" t="str">
            <v>Xã Nà Mèo</v>
          </cell>
          <cell r="I4903" t="str">
            <v>30505</v>
          </cell>
        </row>
        <row r="4904">
          <cell r="G4904" t="str">
            <v>Xã Chiềng Châu</v>
          </cell>
          <cell r="I4904" t="str">
            <v>30505</v>
          </cell>
        </row>
        <row r="4905">
          <cell r="G4905" t="str">
            <v>Xã Pù Pin</v>
          </cell>
          <cell r="I4905" t="str">
            <v>30505</v>
          </cell>
        </row>
        <row r="4906">
          <cell r="G4906" t="str">
            <v xml:space="preserve">Xã Tân Dân       </v>
          </cell>
          <cell r="I4906" t="str">
            <v>30505</v>
          </cell>
        </row>
        <row r="4907">
          <cell r="G4907" t="str">
            <v xml:space="preserve">Xã Phú Minh </v>
          </cell>
          <cell r="I4907" t="str">
            <v>30507</v>
          </cell>
        </row>
        <row r="4908">
          <cell r="G4908" t="str">
            <v xml:space="preserve">Xã Hợp Thành     </v>
          </cell>
          <cell r="I4908" t="str">
            <v>30507</v>
          </cell>
        </row>
        <row r="4909">
          <cell r="G4909" t="str">
            <v xml:space="preserve">Xã Phúc Tiến </v>
          </cell>
          <cell r="I4909" t="str">
            <v>30507</v>
          </cell>
        </row>
        <row r="4910">
          <cell r="G4910" t="str">
            <v>Xã Mông Hóa</v>
          </cell>
          <cell r="I4910" t="str">
            <v>30507</v>
          </cell>
        </row>
        <row r="4911">
          <cell r="G4911" t="str">
            <v>Xã Dân Hạ</v>
          </cell>
          <cell r="I4911" t="str">
            <v>30507</v>
          </cell>
        </row>
        <row r="4912">
          <cell r="G4912" t="str">
            <v>Thị trấn Kỳ Sơn</v>
          </cell>
          <cell r="I4912" t="str">
            <v>30507</v>
          </cell>
        </row>
        <row r="4913">
          <cell r="G4913" t="str">
            <v xml:space="preserve">Xã Hợp Thịnh  </v>
          </cell>
          <cell r="I4913" t="str">
            <v>30507</v>
          </cell>
        </row>
        <row r="4914">
          <cell r="G4914" t="str">
            <v xml:space="preserve">Xã Dân Hòa </v>
          </cell>
          <cell r="I4914" t="str">
            <v>30507</v>
          </cell>
        </row>
        <row r="4915">
          <cell r="G4915" t="str">
            <v xml:space="preserve">Xã Độc Lập  </v>
          </cell>
          <cell r="I4915" t="str">
            <v>30507</v>
          </cell>
        </row>
        <row r="4916">
          <cell r="G4916" t="str">
            <v xml:space="preserve">Xã Yên Quang  </v>
          </cell>
          <cell r="I4916" t="str">
            <v>30507</v>
          </cell>
        </row>
        <row r="4917">
          <cell r="G4917" t="str">
            <v>Thị trấn Lương Sơn</v>
          </cell>
          <cell r="I4917" t="str">
            <v>30509</v>
          </cell>
        </row>
        <row r="4918">
          <cell r="G4918" t="str">
            <v xml:space="preserve">Xã Lâm Sơn </v>
          </cell>
          <cell r="I4918" t="str">
            <v>30509</v>
          </cell>
        </row>
        <row r="4919">
          <cell r="G4919" t="str">
            <v xml:space="preserve">Xã Trường Sơn </v>
          </cell>
          <cell r="I4919" t="str">
            <v>30509</v>
          </cell>
        </row>
        <row r="4920">
          <cell r="G4920" t="str">
            <v>Xã Tân Vinh</v>
          </cell>
          <cell r="I4920" t="str">
            <v>30509</v>
          </cell>
        </row>
        <row r="4921">
          <cell r="G4921" t="str">
            <v>Xã Cao Răm</v>
          </cell>
          <cell r="I4921" t="str">
            <v>30509</v>
          </cell>
        </row>
        <row r="4922">
          <cell r="G4922" t="str">
            <v>Xã Cư Yên</v>
          </cell>
          <cell r="I4922" t="str">
            <v>30509</v>
          </cell>
        </row>
        <row r="4923">
          <cell r="G4923" t="str">
            <v xml:space="preserve">Xã Hợp Hòa </v>
          </cell>
          <cell r="I4923" t="str">
            <v>30509</v>
          </cell>
        </row>
        <row r="4924">
          <cell r="G4924" t="str">
            <v xml:space="preserve">Xã Liên Sơn    </v>
          </cell>
          <cell r="I4924" t="str">
            <v>30509</v>
          </cell>
        </row>
        <row r="4925">
          <cell r="G4925" t="str">
            <v xml:space="preserve">Xã Trung Sơn   </v>
          </cell>
          <cell r="I4925" t="str">
            <v>30509</v>
          </cell>
        </row>
        <row r="4926">
          <cell r="G4926" t="str">
            <v>Xã Tiến Sơn</v>
          </cell>
          <cell r="I4926" t="str">
            <v>30509</v>
          </cell>
        </row>
        <row r="4927">
          <cell r="G4927" t="str">
            <v xml:space="preserve">Xã Hòa Sơn  </v>
          </cell>
          <cell r="I4927" t="str">
            <v>30509</v>
          </cell>
        </row>
        <row r="4928">
          <cell r="G4928" t="str">
            <v>Xã Nhuận Trạch</v>
          </cell>
          <cell r="I4928" t="str">
            <v>30509</v>
          </cell>
        </row>
        <row r="4929">
          <cell r="G4929" t="str">
            <v>Xã Thành Lập</v>
          </cell>
          <cell r="I4929" t="str">
            <v>30509</v>
          </cell>
        </row>
        <row r="4930">
          <cell r="G4930" t="str">
            <v xml:space="preserve">Xã Hợp Châu </v>
          </cell>
          <cell r="I4930" t="str">
            <v>30509</v>
          </cell>
        </row>
        <row r="4931">
          <cell r="G4931" t="str">
            <v xml:space="preserve">Xã Long Sơn </v>
          </cell>
          <cell r="I4931" t="str">
            <v>30509</v>
          </cell>
        </row>
        <row r="4932">
          <cell r="G4932" t="str">
            <v xml:space="preserve">Xã Tân Thành        </v>
          </cell>
          <cell r="I4932" t="str">
            <v>30509</v>
          </cell>
        </row>
        <row r="4933">
          <cell r="G4933" t="str">
            <v xml:space="preserve">Xã Hợp Thanh </v>
          </cell>
          <cell r="I4933" t="str">
            <v>30509</v>
          </cell>
        </row>
        <row r="4934">
          <cell r="G4934" t="str">
            <v xml:space="preserve">Xã Cao Dương </v>
          </cell>
          <cell r="I4934" t="str">
            <v>30509</v>
          </cell>
        </row>
        <row r="4935">
          <cell r="G4935" t="str">
            <v xml:space="preserve">Xã Thanh Lương  </v>
          </cell>
          <cell r="I4935" t="str">
            <v>30509</v>
          </cell>
        </row>
        <row r="4936">
          <cell r="G4936" t="str">
            <v xml:space="preserve">Xã Cao Thắng </v>
          </cell>
          <cell r="I4936" t="str">
            <v>30509</v>
          </cell>
        </row>
        <row r="4937">
          <cell r="G4937" t="str">
            <v>Thị trấn Cao Phong</v>
          </cell>
          <cell r="I4937" t="str">
            <v>30510</v>
          </cell>
        </row>
        <row r="4938">
          <cell r="G4938" t="str">
            <v>Xã Thung Nai</v>
          </cell>
          <cell r="I4938" t="str">
            <v>30510</v>
          </cell>
        </row>
        <row r="4939">
          <cell r="G4939" t="str">
            <v>Xã Thu Phong</v>
          </cell>
          <cell r="I4939" t="str">
            <v>30510</v>
          </cell>
        </row>
        <row r="4940">
          <cell r="G4940" t="str">
            <v xml:space="preserve">Xã Đông Phong   </v>
          </cell>
          <cell r="I4940" t="str">
            <v>30510</v>
          </cell>
        </row>
        <row r="4941">
          <cell r="G4941" t="str">
            <v xml:space="preserve">Xã Tây Phong </v>
          </cell>
          <cell r="I4941" t="str">
            <v>30510</v>
          </cell>
        </row>
        <row r="4942">
          <cell r="G4942" t="str">
            <v xml:space="preserve">Xã Tân Phong     </v>
          </cell>
          <cell r="I4942" t="str">
            <v>30510</v>
          </cell>
        </row>
        <row r="4943">
          <cell r="G4943" t="str">
            <v>Xã Dũng Phong</v>
          </cell>
          <cell r="I4943" t="str">
            <v>30510</v>
          </cell>
        </row>
        <row r="4944">
          <cell r="G4944" t="str">
            <v xml:space="preserve">Xã Yên Lập  </v>
          </cell>
          <cell r="I4944" t="str">
            <v>30510</v>
          </cell>
        </row>
        <row r="4945">
          <cell r="G4945" t="str">
            <v xml:space="preserve">Xã Yên Thượng </v>
          </cell>
          <cell r="I4945" t="str">
            <v>30510</v>
          </cell>
        </row>
        <row r="4946">
          <cell r="G4946" t="str">
            <v xml:space="preserve">Xã Bắc Phong </v>
          </cell>
          <cell r="I4946" t="str">
            <v>30510</v>
          </cell>
        </row>
        <row r="4947">
          <cell r="G4947" t="str">
            <v xml:space="preserve">Xã Bình Thanh </v>
          </cell>
          <cell r="I4947" t="str">
            <v>30510</v>
          </cell>
        </row>
        <row r="4948">
          <cell r="G4948" t="str">
            <v xml:space="preserve">Xã Xuân Phong </v>
          </cell>
          <cell r="I4948" t="str">
            <v>30510</v>
          </cell>
        </row>
        <row r="4949">
          <cell r="G4949" t="str">
            <v xml:space="preserve">Xã Nam Phong   </v>
          </cell>
          <cell r="I4949" t="str">
            <v>30510</v>
          </cell>
        </row>
        <row r="4950">
          <cell r="G4950" t="str">
            <v xml:space="preserve">Xã Sơn Thủy </v>
          </cell>
          <cell r="I4950" t="str">
            <v>30511</v>
          </cell>
        </row>
        <row r="4951">
          <cell r="G4951" t="str">
            <v>Xã Đông Bắc</v>
          </cell>
          <cell r="I4951" t="str">
            <v>30511</v>
          </cell>
        </row>
        <row r="4952">
          <cell r="G4952" t="str">
            <v>Xã Thượng Bì</v>
          </cell>
          <cell r="I4952" t="str">
            <v>30511</v>
          </cell>
        </row>
        <row r="4953">
          <cell r="G4953" t="str">
            <v>Xã Lập Chiệng</v>
          </cell>
          <cell r="I4953" t="str">
            <v>30511</v>
          </cell>
        </row>
        <row r="4954">
          <cell r="G4954" t="str">
            <v>Xã Vĩnh Đồng</v>
          </cell>
          <cell r="I4954" t="str">
            <v>30511</v>
          </cell>
        </row>
        <row r="4955">
          <cell r="G4955" t="str">
            <v>Xã Trung Bì</v>
          </cell>
          <cell r="I4955" t="str">
            <v>30511</v>
          </cell>
        </row>
        <row r="4956">
          <cell r="G4956" t="str">
            <v xml:space="preserve">Xã Hợp Đồng </v>
          </cell>
          <cell r="I4956" t="str">
            <v>30511</v>
          </cell>
        </row>
        <row r="4957">
          <cell r="G4957" t="str">
            <v>Xã Kim Tiến</v>
          </cell>
          <cell r="I4957" t="str">
            <v>30511</v>
          </cell>
        </row>
        <row r="4958">
          <cell r="G4958" t="str">
            <v xml:space="preserve">Xã Kim Bình  </v>
          </cell>
          <cell r="I4958" t="str">
            <v>30511</v>
          </cell>
        </row>
        <row r="4959">
          <cell r="G4959" t="str">
            <v>Xã Hợp Kim</v>
          </cell>
          <cell r="I4959" t="str">
            <v>30511</v>
          </cell>
        </row>
        <row r="4960">
          <cell r="G4960" t="str">
            <v>Xã Kim Bôi</v>
          </cell>
          <cell r="I4960" t="str">
            <v>30511</v>
          </cell>
        </row>
        <row r="4961">
          <cell r="G4961" t="str">
            <v>Xã Nam Thượng</v>
          </cell>
          <cell r="I4961" t="str">
            <v>30511</v>
          </cell>
        </row>
        <row r="4962">
          <cell r="G4962" t="str">
            <v>Xã Cuối Hạ</v>
          </cell>
          <cell r="I4962" t="str">
            <v>30511</v>
          </cell>
        </row>
        <row r="4963">
          <cell r="G4963" t="str">
            <v>Xã Sào Báy</v>
          </cell>
          <cell r="I4963" t="str">
            <v>30511</v>
          </cell>
        </row>
        <row r="4964">
          <cell r="G4964" t="str">
            <v>Xã Nuông Dăm</v>
          </cell>
          <cell r="I4964" t="str">
            <v>30511</v>
          </cell>
        </row>
        <row r="4965">
          <cell r="G4965" t="str">
            <v>Thị trấn Bo</v>
          </cell>
          <cell r="I4965" t="str">
            <v>30511</v>
          </cell>
        </row>
        <row r="4966">
          <cell r="G4966" t="str">
            <v>Xã Đú Sáng</v>
          </cell>
          <cell r="I4966" t="str">
            <v>30511</v>
          </cell>
        </row>
        <row r="4967">
          <cell r="G4967" t="str">
            <v xml:space="preserve">Xã Bắc Sơn      </v>
          </cell>
          <cell r="I4967" t="str">
            <v>30511</v>
          </cell>
        </row>
        <row r="4968">
          <cell r="G4968" t="str">
            <v xml:space="preserve">Xã Bình Sơn  </v>
          </cell>
          <cell r="I4968" t="str">
            <v>30511</v>
          </cell>
        </row>
        <row r="4969">
          <cell r="G4969" t="str">
            <v xml:space="preserve">Xã Tú Sơn </v>
          </cell>
          <cell r="I4969" t="str">
            <v>30511</v>
          </cell>
        </row>
        <row r="4970">
          <cell r="G4970" t="str">
            <v xml:space="preserve">Xã Vĩnh Tiến  </v>
          </cell>
          <cell r="I4970" t="str">
            <v>30511</v>
          </cell>
        </row>
        <row r="4971">
          <cell r="G4971" t="str">
            <v>Xã Hạ Bì</v>
          </cell>
          <cell r="I4971" t="str">
            <v>30511</v>
          </cell>
        </row>
        <row r="4972">
          <cell r="G4972" t="str">
            <v>Xã Mỵ Hòa</v>
          </cell>
          <cell r="I4972" t="str">
            <v>30511</v>
          </cell>
        </row>
        <row r="4973">
          <cell r="G4973" t="str">
            <v xml:space="preserve">Xã Hùng Tiến   </v>
          </cell>
          <cell r="I4973" t="str">
            <v>30511</v>
          </cell>
        </row>
        <row r="4974">
          <cell r="G4974" t="str">
            <v>Xã Nật Sơn</v>
          </cell>
          <cell r="I4974" t="str">
            <v>30511</v>
          </cell>
        </row>
        <row r="4975">
          <cell r="G4975" t="str">
            <v>Xã Kim Truy</v>
          </cell>
          <cell r="I4975" t="str">
            <v>30511</v>
          </cell>
        </row>
        <row r="4976">
          <cell r="G4976" t="str">
            <v xml:space="preserve">Xã Kim Sơn      </v>
          </cell>
          <cell r="I4976" t="str">
            <v>30511</v>
          </cell>
        </row>
        <row r="4977">
          <cell r="G4977" t="str">
            <v>Xã Thượng Tiến</v>
          </cell>
          <cell r="I4977" t="str">
            <v>30511</v>
          </cell>
        </row>
        <row r="4978">
          <cell r="G4978" t="str">
            <v>Thị trấn Mường Khến</v>
          </cell>
          <cell r="I4978" t="str">
            <v>30513</v>
          </cell>
        </row>
        <row r="4979">
          <cell r="G4979" t="str">
            <v>Xã Phú Vinh</v>
          </cell>
          <cell r="I4979" t="str">
            <v>30513</v>
          </cell>
        </row>
        <row r="4980">
          <cell r="G4980" t="str">
            <v xml:space="preserve">Xã Phú Cường    </v>
          </cell>
          <cell r="I4980" t="str">
            <v>30513</v>
          </cell>
        </row>
        <row r="4981">
          <cell r="G4981" t="str">
            <v>Xã Quy Hậu</v>
          </cell>
          <cell r="I4981" t="str">
            <v>30513</v>
          </cell>
        </row>
        <row r="4982">
          <cell r="G4982" t="str">
            <v xml:space="preserve">Xã Phong Phú </v>
          </cell>
          <cell r="I4982" t="str">
            <v>30513</v>
          </cell>
        </row>
        <row r="4983">
          <cell r="G4983" t="str">
            <v>Xã Mãn Đức</v>
          </cell>
          <cell r="I4983" t="str">
            <v>30513</v>
          </cell>
        </row>
        <row r="4984">
          <cell r="G4984" t="str">
            <v>Xã Địch Giáo</v>
          </cell>
          <cell r="I4984" t="str">
            <v>30513</v>
          </cell>
        </row>
        <row r="4985">
          <cell r="G4985" t="str">
            <v xml:space="preserve">Xã Tuân Lộ </v>
          </cell>
          <cell r="I4985" t="str">
            <v>30513</v>
          </cell>
        </row>
        <row r="4986">
          <cell r="G4986" t="str">
            <v>Xã Thanh Hối</v>
          </cell>
          <cell r="I4986" t="str">
            <v>30513</v>
          </cell>
        </row>
        <row r="4987">
          <cell r="G4987" t="str">
            <v>Xã Đông Lai</v>
          </cell>
          <cell r="I4987" t="str">
            <v>30513</v>
          </cell>
        </row>
        <row r="4988">
          <cell r="G4988" t="str">
            <v xml:space="preserve">Xã Bắc Sơn       </v>
          </cell>
          <cell r="I4988" t="str">
            <v>30513</v>
          </cell>
        </row>
        <row r="4989">
          <cell r="G4989" t="str">
            <v>Xã Quy Mỹ</v>
          </cell>
          <cell r="I4989" t="str">
            <v>30513</v>
          </cell>
        </row>
        <row r="4990">
          <cell r="G4990" t="str">
            <v>Xã Do Nhân</v>
          </cell>
          <cell r="I4990" t="str">
            <v>30513</v>
          </cell>
        </row>
        <row r="4991">
          <cell r="G4991" t="str">
            <v>Xã Lỗ Sơn</v>
          </cell>
          <cell r="I4991" t="str">
            <v>30513</v>
          </cell>
        </row>
        <row r="4992">
          <cell r="G4992" t="str">
            <v>Xã Ngổ Luông</v>
          </cell>
          <cell r="I4992" t="str">
            <v>30513</v>
          </cell>
        </row>
        <row r="4993">
          <cell r="G4993" t="str">
            <v>Xã Gia Mô</v>
          </cell>
          <cell r="I4993" t="str">
            <v>30513</v>
          </cell>
        </row>
        <row r="4994">
          <cell r="G4994" t="str">
            <v xml:space="preserve">Xã Trung Hòa    </v>
          </cell>
          <cell r="I4994" t="str">
            <v>30513</v>
          </cell>
        </row>
        <row r="4995">
          <cell r="G4995" t="str">
            <v xml:space="preserve">Xã Ngọc Mỹ  </v>
          </cell>
          <cell r="I4995" t="str">
            <v>30513</v>
          </cell>
        </row>
        <row r="4996">
          <cell r="G4996" t="str">
            <v>Xã Ngòi Hoa</v>
          </cell>
          <cell r="I4996" t="str">
            <v>30513</v>
          </cell>
        </row>
        <row r="4997">
          <cell r="G4997" t="str">
            <v>Xã Mỹ Hòa</v>
          </cell>
          <cell r="I4997" t="str">
            <v>30513</v>
          </cell>
        </row>
        <row r="4998">
          <cell r="G4998" t="str">
            <v>Xã Quyết Chiến</v>
          </cell>
          <cell r="I4998" t="str">
            <v>30513</v>
          </cell>
        </row>
        <row r="4999">
          <cell r="G4999" t="str">
            <v>Xã Tử Nê</v>
          </cell>
          <cell r="I4999" t="str">
            <v>30513</v>
          </cell>
        </row>
        <row r="5000">
          <cell r="G5000" t="str">
            <v>Xã Lũng Vân</v>
          </cell>
          <cell r="I5000" t="str">
            <v>30513</v>
          </cell>
        </row>
        <row r="5001">
          <cell r="G5001" t="str">
            <v xml:space="preserve">Xã Nam Sơn     </v>
          </cell>
          <cell r="I5001" t="str">
            <v>30513</v>
          </cell>
        </row>
        <row r="5002">
          <cell r="G5002" t="str">
            <v>Thị trấn Vụ Bản</v>
          </cell>
          <cell r="I5002" t="str">
            <v>30515</v>
          </cell>
        </row>
        <row r="5003">
          <cell r="G5003" t="str">
            <v>Xã Miền Đồi</v>
          </cell>
          <cell r="I5003" t="str">
            <v>30515</v>
          </cell>
        </row>
        <row r="5004">
          <cell r="G5004" t="str">
            <v>Xã Tuân Đạo</v>
          </cell>
          <cell r="I5004" t="str">
            <v>30515</v>
          </cell>
        </row>
        <row r="5005">
          <cell r="G5005" t="str">
            <v xml:space="preserve">Xã Văn Sơn </v>
          </cell>
          <cell r="I5005" t="str">
            <v>30515</v>
          </cell>
        </row>
        <row r="5006">
          <cell r="G5006" t="str">
            <v xml:space="preserve">Xã Tân Lập             </v>
          </cell>
          <cell r="I5006" t="str">
            <v>30515</v>
          </cell>
        </row>
        <row r="5007">
          <cell r="G5007" t="str">
            <v xml:space="preserve">Xã Nhân Nghĩa </v>
          </cell>
          <cell r="I5007" t="str">
            <v>30515</v>
          </cell>
        </row>
        <row r="5008">
          <cell r="G5008" t="str">
            <v xml:space="preserve">Xã Phú Lương   </v>
          </cell>
          <cell r="I5008" t="str">
            <v>30515</v>
          </cell>
        </row>
        <row r="5009">
          <cell r="G5009" t="str">
            <v>Xã Phúc Tuy</v>
          </cell>
          <cell r="I5009" t="str">
            <v>30515</v>
          </cell>
        </row>
        <row r="5010">
          <cell r="G5010" t="str">
            <v>Xã Xuất Hóa</v>
          </cell>
          <cell r="I5010" t="str">
            <v>30515</v>
          </cell>
        </row>
        <row r="5011">
          <cell r="G5011" t="str">
            <v>Xã Bình Hẻm</v>
          </cell>
          <cell r="I5011" t="str">
            <v>30515</v>
          </cell>
        </row>
        <row r="5012">
          <cell r="G5012" t="str">
            <v>Xã Bình Cảng</v>
          </cell>
          <cell r="I5012" t="str">
            <v>30515</v>
          </cell>
        </row>
        <row r="5013">
          <cell r="G5013" t="str">
            <v>Xã Định Cư</v>
          </cell>
          <cell r="I5013" t="str">
            <v>30515</v>
          </cell>
        </row>
        <row r="5014">
          <cell r="G5014" t="str">
            <v>Xã Chí Đạo</v>
          </cell>
          <cell r="I5014" t="str">
            <v>30515</v>
          </cell>
        </row>
        <row r="5015">
          <cell r="G5015" t="str">
            <v>Xã Liên Vũ</v>
          </cell>
          <cell r="I5015" t="str">
            <v>30515</v>
          </cell>
        </row>
        <row r="5016">
          <cell r="G5016" t="str">
            <v>Xã Hương Nhượng</v>
          </cell>
          <cell r="I5016" t="str">
            <v>30515</v>
          </cell>
        </row>
        <row r="5017">
          <cell r="G5017" t="str">
            <v>Xã Vũ Lâm</v>
          </cell>
          <cell r="I5017" t="str">
            <v>30515</v>
          </cell>
        </row>
        <row r="5018">
          <cell r="G5018" t="str">
            <v xml:space="preserve">Xã Tự Do </v>
          </cell>
          <cell r="I5018" t="str">
            <v>30515</v>
          </cell>
        </row>
        <row r="5019">
          <cell r="G5019" t="str">
            <v>Xã Yên Nghiệp</v>
          </cell>
          <cell r="I5019" t="str">
            <v>30515</v>
          </cell>
        </row>
        <row r="5020">
          <cell r="G5020" t="str">
            <v>Xã ân Nghĩa</v>
          </cell>
          <cell r="I5020" t="str">
            <v>30515</v>
          </cell>
        </row>
        <row r="5021">
          <cell r="G5021" t="str">
            <v xml:space="preserve">Xã Mỹ Thành  </v>
          </cell>
          <cell r="I5021" t="str">
            <v>30515</v>
          </cell>
        </row>
        <row r="5022">
          <cell r="G5022" t="str">
            <v>Xã Chí Thiện</v>
          </cell>
          <cell r="I5022" t="str">
            <v>30515</v>
          </cell>
        </row>
        <row r="5023">
          <cell r="G5023" t="str">
            <v xml:space="preserve">Xã Tân Mỹ   </v>
          </cell>
          <cell r="I5023" t="str">
            <v>30515</v>
          </cell>
        </row>
        <row r="5024">
          <cell r="G5024" t="str">
            <v xml:space="preserve">Xã Quý Hòa </v>
          </cell>
          <cell r="I5024" t="str">
            <v>30515</v>
          </cell>
        </row>
        <row r="5025">
          <cell r="G5025" t="str">
            <v>Xã Văn Nghĩa</v>
          </cell>
          <cell r="I5025" t="str">
            <v>30515</v>
          </cell>
        </row>
        <row r="5026">
          <cell r="G5026" t="str">
            <v xml:space="preserve">Xã Thượng Cốc </v>
          </cell>
          <cell r="I5026" t="str">
            <v>30515</v>
          </cell>
        </row>
        <row r="5027">
          <cell r="G5027" t="str">
            <v xml:space="preserve">Xã Yên Phú     </v>
          </cell>
          <cell r="I5027" t="str">
            <v>30515</v>
          </cell>
        </row>
        <row r="5028">
          <cell r="G5028" t="str">
            <v>Xã Bình Chân</v>
          </cell>
          <cell r="I5028" t="str">
            <v>30515</v>
          </cell>
        </row>
        <row r="5029">
          <cell r="G5029" t="str">
            <v xml:space="preserve">Xã Ngọc Sơn   </v>
          </cell>
          <cell r="I5029" t="str">
            <v>30515</v>
          </cell>
        </row>
        <row r="5030">
          <cell r="G5030" t="str">
            <v>Xã Ngọc Lâu</v>
          </cell>
          <cell r="I5030" t="str">
            <v>30515</v>
          </cell>
        </row>
        <row r="5031">
          <cell r="G5031" t="str">
            <v>Xã Phú Lão</v>
          </cell>
          <cell r="I5031" t="str">
            <v>30517</v>
          </cell>
        </row>
        <row r="5032">
          <cell r="G5032" t="str">
            <v>Xã Phú Thành</v>
          </cell>
          <cell r="I5032" t="str">
            <v>30517</v>
          </cell>
        </row>
        <row r="5033">
          <cell r="G5033" t="str">
            <v>Xã Hưng Thi</v>
          </cell>
          <cell r="I5033" t="str">
            <v>30517</v>
          </cell>
        </row>
        <row r="5034">
          <cell r="G5034" t="str">
            <v xml:space="preserve">Xã Lạc Long </v>
          </cell>
          <cell r="I5034" t="str">
            <v>30517</v>
          </cell>
        </row>
        <row r="5035">
          <cell r="G5035" t="str">
            <v xml:space="preserve">Xã Liên Hòa    </v>
          </cell>
          <cell r="I5035" t="str">
            <v>30517</v>
          </cell>
        </row>
        <row r="5036">
          <cell r="G5036" t="str">
            <v>Xã Đồng Môn</v>
          </cell>
          <cell r="I5036" t="str">
            <v>30517</v>
          </cell>
        </row>
        <row r="5037">
          <cell r="G5037" t="str">
            <v xml:space="preserve">Xã Đồng Tâm     </v>
          </cell>
          <cell r="I5037" t="str">
            <v>30517</v>
          </cell>
        </row>
        <row r="5038">
          <cell r="G5038" t="str">
            <v>Xã Yên Bồng</v>
          </cell>
          <cell r="I5038" t="str">
            <v>30517</v>
          </cell>
        </row>
        <row r="5039">
          <cell r="G5039" t="str">
            <v xml:space="preserve">Xã An Bình    </v>
          </cell>
          <cell r="I5039" t="str">
            <v>30517</v>
          </cell>
        </row>
        <row r="5040">
          <cell r="G5040" t="str">
            <v>Thị trấn Chi Nê</v>
          </cell>
          <cell r="I5040" t="str">
            <v>30517</v>
          </cell>
        </row>
        <row r="5041">
          <cell r="G5041" t="str">
            <v>Xã Cố Nghĩa</v>
          </cell>
          <cell r="I5041" t="str">
            <v>30517</v>
          </cell>
        </row>
        <row r="5042">
          <cell r="G5042" t="str">
            <v>Xã Khoan Dụ</v>
          </cell>
          <cell r="I5042" t="str">
            <v>30517</v>
          </cell>
        </row>
        <row r="5043">
          <cell r="G5043" t="str">
            <v xml:space="preserve">Xã An Lạc    </v>
          </cell>
          <cell r="I5043" t="str">
            <v>30517</v>
          </cell>
        </row>
        <row r="5044">
          <cell r="G5044" t="str">
            <v>Xã Thanh Nông</v>
          </cell>
          <cell r="I5044" t="str">
            <v>30517</v>
          </cell>
        </row>
        <row r="5045">
          <cell r="G5045" t="str">
            <v xml:space="preserve">Thị trấn Thanh Hà </v>
          </cell>
          <cell r="I5045" t="str">
            <v>30517</v>
          </cell>
        </row>
        <row r="5046">
          <cell r="G5046" t="str">
            <v>Xã Lạc Sỹ</v>
          </cell>
          <cell r="I5046" t="str">
            <v>30519</v>
          </cell>
        </row>
        <row r="5047">
          <cell r="G5047" t="str">
            <v>Xã Lạc Hưng</v>
          </cell>
          <cell r="I5047" t="str">
            <v>30519</v>
          </cell>
        </row>
        <row r="5048">
          <cell r="G5048" t="str">
            <v>Xã Bảo Hiệu</v>
          </cell>
          <cell r="I5048" t="str">
            <v>30519</v>
          </cell>
        </row>
        <row r="5049">
          <cell r="G5049" t="str">
            <v>Xã Đa Phúc</v>
          </cell>
          <cell r="I5049" t="str">
            <v>30519</v>
          </cell>
        </row>
        <row r="5050">
          <cell r="G5050" t="str">
            <v>Xã Hữu Lợi</v>
          </cell>
          <cell r="I5050" t="str">
            <v>30519</v>
          </cell>
        </row>
        <row r="5051">
          <cell r="G5051" t="str">
            <v>Xã Lạc Thịnh</v>
          </cell>
          <cell r="I5051" t="str">
            <v>30519</v>
          </cell>
        </row>
        <row r="5052">
          <cell r="G5052" t="str">
            <v xml:space="preserve">Xã Yên Lạc  </v>
          </cell>
          <cell r="I5052" t="str">
            <v>30519</v>
          </cell>
        </row>
        <row r="5053">
          <cell r="G5053" t="str">
            <v xml:space="preserve">Xã Đoàn Kết    </v>
          </cell>
          <cell r="I5053" t="str">
            <v>30519</v>
          </cell>
        </row>
        <row r="5054">
          <cell r="G5054" t="str">
            <v>Xã Phú Lai</v>
          </cell>
          <cell r="I5054" t="str">
            <v>30519</v>
          </cell>
        </row>
        <row r="5055">
          <cell r="G5055" t="str">
            <v xml:space="preserve">Xã Yên Trị </v>
          </cell>
          <cell r="I5055" t="str">
            <v>30519</v>
          </cell>
        </row>
        <row r="5056">
          <cell r="G5056" t="str">
            <v>Xã Lạc Lương</v>
          </cell>
          <cell r="I5056" t="str">
            <v>30519</v>
          </cell>
        </row>
        <row r="5057">
          <cell r="G5057" t="str">
            <v>Thị trấn Hàng Trạm</v>
          </cell>
          <cell r="I5057" t="str">
            <v>30519</v>
          </cell>
        </row>
        <row r="5058">
          <cell r="G5058" t="str">
            <v>Xã Ngọc Lương</v>
          </cell>
          <cell r="I5058" t="str">
            <v>30519</v>
          </cell>
        </row>
        <row r="5059">
          <cell r="G5059" t="str">
            <v>Phường Đông Sơn</v>
          </cell>
          <cell r="I5059" t="str">
            <v>40101</v>
          </cell>
        </row>
        <row r="5060">
          <cell r="G5060" t="str">
            <v>Phường Đông Thọ</v>
          </cell>
          <cell r="I5060" t="str">
            <v>40101</v>
          </cell>
        </row>
        <row r="5061">
          <cell r="G5061" t="str">
            <v>Phường Phú Sơn</v>
          </cell>
          <cell r="I5061" t="str">
            <v>40101</v>
          </cell>
        </row>
        <row r="5062">
          <cell r="G5062" t="str">
            <v>Phường Đông Vệ</v>
          </cell>
          <cell r="I5062" t="str">
            <v>40101</v>
          </cell>
        </row>
        <row r="5063">
          <cell r="G5063" t="str">
            <v>Phường Đông Hương</v>
          </cell>
          <cell r="I5063" t="str">
            <v>40101</v>
          </cell>
        </row>
        <row r="5064">
          <cell r="G5064" t="str">
            <v>Phường Hàm Rồng</v>
          </cell>
          <cell r="I5064" t="str">
            <v>40101</v>
          </cell>
        </row>
        <row r="5065">
          <cell r="G5065" t="str">
            <v>Phường Nam Ngạn</v>
          </cell>
          <cell r="I5065" t="str">
            <v>40101</v>
          </cell>
        </row>
        <row r="5066">
          <cell r="G5066" t="str">
            <v xml:space="preserve">Phường Trường Thi </v>
          </cell>
          <cell r="I5066" t="str">
            <v>40101</v>
          </cell>
        </row>
        <row r="5067">
          <cell r="G5067" t="str">
            <v xml:space="preserve">Phường Điện Biên </v>
          </cell>
          <cell r="I5067" t="str">
            <v>40101</v>
          </cell>
        </row>
        <row r="5068">
          <cell r="G5068" t="str">
            <v xml:space="preserve">Phường Lam Sơn  </v>
          </cell>
          <cell r="I5068" t="str">
            <v>40101</v>
          </cell>
        </row>
        <row r="5069">
          <cell r="G5069" t="str">
            <v>Phường Ba Đình</v>
          </cell>
          <cell r="I5069" t="str">
            <v>40101</v>
          </cell>
        </row>
        <row r="5070">
          <cell r="G5070" t="str">
            <v>Phường Ngọc Trạo</v>
          </cell>
          <cell r="I5070" t="str">
            <v>40101</v>
          </cell>
        </row>
        <row r="5071">
          <cell r="G5071" t="str">
            <v>Phường Tân Sơn</v>
          </cell>
          <cell r="I5071" t="str">
            <v>40101</v>
          </cell>
        </row>
        <row r="5072">
          <cell r="G5072" t="str">
            <v>Phường Đông Cương</v>
          </cell>
          <cell r="I5072" t="str">
            <v>40101</v>
          </cell>
        </row>
        <row r="5073">
          <cell r="G5073" t="str">
            <v xml:space="preserve">Phường Đông Hải </v>
          </cell>
          <cell r="I5073" t="str">
            <v>40101</v>
          </cell>
        </row>
        <row r="5074">
          <cell r="G5074" t="str">
            <v>Phường Quảng Hưng</v>
          </cell>
          <cell r="I5074" t="str">
            <v>40101</v>
          </cell>
        </row>
        <row r="5075">
          <cell r="G5075" t="str">
            <v>Phường Quảng Thắng</v>
          </cell>
          <cell r="I5075" t="str">
            <v>40101</v>
          </cell>
        </row>
        <row r="5076">
          <cell r="G5076" t="str">
            <v>Phường Quảng Thành</v>
          </cell>
          <cell r="I5076" t="str">
            <v>40101</v>
          </cell>
        </row>
        <row r="5077">
          <cell r="G5077" t="str">
            <v xml:space="preserve">Xã Quảng Thịnh </v>
          </cell>
          <cell r="I5077" t="str">
            <v>40101</v>
          </cell>
        </row>
        <row r="5078">
          <cell r="G5078" t="str">
            <v>Xã Quảng Đông</v>
          </cell>
          <cell r="I5078" t="str">
            <v>40101</v>
          </cell>
        </row>
        <row r="5079">
          <cell r="G5079" t="str">
            <v>Xã Quảng Cát</v>
          </cell>
          <cell r="I5079" t="str">
            <v>40101</v>
          </cell>
        </row>
        <row r="5080">
          <cell r="G5080" t="str">
            <v xml:space="preserve">Xã Quảng Phú </v>
          </cell>
          <cell r="I5080" t="str">
            <v>40101</v>
          </cell>
        </row>
        <row r="5081">
          <cell r="G5081" t="str">
            <v>Xã Quảng Tâm</v>
          </cell>
          <cell r="I5081" t="str">
            <v>40101</v>
          </cell>
        </row>
        <row r="5082">
          <cell r="G5082" t="str">
            <v>Xã Hoằng Anh</v>
          </cell>
          <cell r="I5082" t="str">
            <v>40101</v>
          </cell>
        </row>
        <row r="5083">
          <cell r="G5083" t="str">
            <v>Xã Hoằng Lý</v>
          </cell>
          <cell r="I5083" t="str">
            <v>40101</v>
          </cell>
        </row>
        <row r="5084">
          <cell r="G5084" t="str">
            <v>Xã Hoằng Long</v>
          </cell>
          <cell r="I5084" t="str">
            <v>40101</v>
          </cell>
        </row>
        <row r="5085">
          <cell r="G5085" t="str">
            <v>Xã Hoằng Quang</v>
          </cell>
          <cell r="I5085" t="str">
            <v>40101</v>
          </cell>
        </row>
        <row r="5086">
          <cell r="G5086" t="str">
            <v>Xã Hoằng Đại</v>
          </cell>
          <cell r="I5086" t="str">
            <v>40101</v>
          </cell>
        </row>
        <row r="5087">
          <cell r="G5087" t="str">
            <v>Phường Tào Xuyên</v>
          </cell>
          <cell r="I5087" t="str">
            <v>40101</v>
          </cell>
        </row>
        <row r="5088">
          <cell r="G5088" t="str">
            <v>Xã Thiệu Dương</v>
          </cell>
          <cell r="I5088" t="str">
            <v>40101</v>
          </cell>
        </row>
        <row r="5089">
          <cell r="G5089" t="str">
            <v>Xã Thiệu Khánh</v>
          </cell>
          <cell r="I5089" t="str">
            <v>40101</v>
          </cell>
        </row>
        <row r="5090">
          <cell r="G5090" t="str">
            <v>Xã Thiệu Vân</v>
          </cell>
          <cell r="I5090" t="str">
            <v>40101</v>
          </cell>
        </row>
        <row r="5091">
          <cell r="G5091" t="str">
            <v xml:space="preserve">Xã Đông Vinh </v>
          </cell>
          <cell r="I5091" t="str">
            <v>40101</v>
          </cell>
        </row>
        <row r="5092">
          <cell r="G5092" t="str">
            <v xml:space="preserve">Xã Đông Lĩnh  </v>
          </cell>
          <cell r="I5092" t="str">
            <v>40101</v>
          </cell>
        </row>
        <row r="5093">
          <cell r="G5093" t="str">
            <v xml:space="preserve">Xã Đông Tân </v>
          </cell>
          <cell r="I5093" t="str">
            <v>40101</v>
          </cell>
        </row>
        <row r="5094">
          <cell r="G5094" t="str">
            <v xml:space="preserve">Xã Đông Hưng  </v>
          </cell>
          <cell r="I5094" t="str">
            <v>40101</v>
          </cell>
        </row>
        <row r="5095">
          <cell r="G5095" t="str">
            <v>Phường An Hoạch</v>
          </cell>
          <cell r="I5095" t="str">
            <v>40101</v>
          </cell>
        </row>
        <row r="5096">
          <cell r="G5096" t="str">
            <v xml:space="preserve">Phường Lam Sơn   </v>
          </cell>
          <cell r="I5096" t="str">
            <v>40103</v>
          </cell>
        </row>
        <row r="5097">
          <cell r="G5097" t="str">
            <v xml:space="preserve">Phường Bắc Sơn   </v>
          </cell>
          <cell r="I5097" t="str">
            <v>40103</v>
          </cell>
        </row>
        <row r="5098">
          <cell r="G5098" t="str">
            <v xml:space="preserve">Phường Đông Sơn </v>
          </cell>
          <cell r="I5098" t="str">
            <v>40103</v>
          </cell>
        </row>
        <row r="5099">
          <cell r="G5099" t="str">
            <v xml:space="preserve">Phường Ba Đình </v>
          </cell>
          <cell r="I5099" t="str">
            <v>40103</v>
          </cell>
        </row>
        <row r="5100">
          <cell r="G5100" t="str">
            <v xml:space="preserve">Phường Ngọc Trạo </v>
          </cell>
          <cell r="I5100" t="str">
            <v>40103</v>
          </cell>
        </row>
        <row r="5101">
          <cell r="G5101" t="str">
            <v xml:space="preserve">Xã Quang Trung         </v>
          </cell>
          <cell r="I5101" t="str">
            <v>40103</v>
          </cell>
        </row>
        <row r="5102">
          <cell r="G5102" t="str">
            <v>Xã Hà Lan</v>
          </cell>
          <cell r="I5102" t="str">
            <v>40103</v>
          </cell>
        </row>
        <row r="5103">
          <cell r="G5103" t="str">
            <v xml:space="preserve">Phường Phú Sơn </v>
          </cell>
          <cell r="I5103" t="str">
            <v>40103</v>
          </cell>
        </row>
        <row r="5104">
          <cell r="G5104" t="str">
            <v xml:space="preserve">Phường Bắc Sơn    </v>
          </cell>
          <cell r="I5104" t="str">
            <v>40105</v>
          </cell>
        </row>
        <row r="5105">
          <cell r="G5105" t="str">
            <v xml:space="preserve">Phường Trung Sơn </v>
          </cell>
          <cell r="I5105" t="str">
            <v>40105</v>
          </cell>
        </row>
        <row r="5106">
          <cell r="G5106" t="str">
            <v>Phường Trường Sơn</v>
          </cell>
          <cell r="I5106" t="str">
            <v>40105</v>
          </cell>
        </row>
        <row r="5107">
          <cell r="G5107" t="str">
            <v>Xã Quảng Cư</v>
          </cell>
          <cell r="I5107" t="str">
            <v>40105</v>
          </cell>
        </row>
        <row r="5108">
          <cell r="G5108" t="str">
            <v>Phường Quảng Tiến</v>
          </cell>
          <cell r="I5108" t="str">
            <v>40105</v>
          </cell>
        </row>
        <row r="5109">
          <cell r="G5109" t="str">
            <v>Xã Mường Chanh</v>
          </cell>
          <cell r="I5109" t="str">
            <v>40107</v>
          </cell>
        </row>
        <row r="5110">
          <cell r="G5110" t="str">
            <v>Xã Tam Chung</v>
          </cell>
          <cell r="I5110" t="str">
            <v>40107</v>
          </cell>
        </row>
        <row r="5111">
          <cell r="G5111" t="str">
            <v>Thị trấn Mường Lát</v>
          </cell>
          <cell r="I5111" t="str">
            <v>40107</v>
          </cell>
        </row>
        <row r="5112">
          <cell r="G5112" t="str">
            <v>Xã Quang Chiểu</v>
          </cell>
          <cell r="I5112" t="str">
            <v>40107</v>
          </cell>
        </row>
        <row r="5113">
          <cell r="G5113" t="str">
            <v>Xã Tén Tằn</v>
          </cell>
          <cell r="I5113" t="str">
            <v>40107</v>
          </cell>
        </row>
        <row r="5114">
          <cell r="G5114" t="str">
            <v>Xã Mường Lý</v>
          </cell>
          <cell r="I5114" t="str">
            <v>40107</v>
          </cell>
        </row>
        <row r="5115">
          <cell r="G5115" t="str">
            <v>Xã Trung Lý</v>
          </cell>
          <cell r="I5115" t="str">
            <v>40107</v>
          </cell>
        </row>
        <row r="5116">
          <cell r="G5116" t="str">
            <v>Xã Pù Nhi</v>
          </cell>
          <cell r="I5116" t="str">
            <v>40107</v>
          </cell>
        </row>
        <row r="5117">
          <cell r="G5117" t="str">
            <v xml:space="preserve">Xã Nhi Sơn </v>
          </cell>
          <cell r="I5117" t="str">
            <v>40107</v>
          </cell>
        </row>
        <row r="5118">
          <cell r="G5118" t="str">
            <v>Xã Phú Thanh</v>
          </cell>
          <cell r="I5118" t="str">
            <v>40109</v>
          </cell>
        </row>
        <row r="5119">
          <cell r="G5119" t="str">
            <v xml:space="preserve">Xã Nam Tiến  </v>
          </cell>
          <cell r="I5119" t="str">
            <v>40109</v>
          </cell>
        </row>
        <row r="5120">
          <cell r="G5120" t="str">
            <v xml:space="preserve">Xã Thanh Xuân  </v>
          </cell>
          <cell r="I5120" t="str">
            <v>40109</v>
          </cell>
        </row>
        <row r="5121">
          <cell r="G5121" t="str">
            <v>Xã Hồi Xuân</v>
          </cell>
          <cell r="I5121" t="str">
            <v>40109</v>
          </cell>
        </row>
        <row r="5122">
          <cell r="G5122" t="str">
            <v>Xã Nam Động</v>
          </cell>
          <cell r="I5122" t="str">
            <v>40109</v>
          </cell>
        </row>
        <row r="5123">
          <cell r="G5123" t="str">
            <v>Thị trấn Quan Hóa</v>
          </cell>
          <cell r="I5123" t="str">
            <v>40109</v>
          </cell>
        </row>
        <row r="5124">
          <cell r="G5124" t="str">
            <v>Xã Thành Sơn</v>
          </cell>
          <cell r="I5124" t="str">
            <v>40109</v>
          </cell>
        </row>
        <row r="5125">
          <cell r="G5125" t="str">
            <v xml:space="preserve">Xã Trung Sơn    </v>
          </cell>
          <cell r="I5125" t="str">
            <v>40109</v>
          </cell>
        </row>
        <row r="5126">
          <cell r="G5126" t="str">
            <v xml:space="preserve">Xã Trung Thành     </v>
          </cell>
          <cell r="I5126" t="str">
            <v>40109</v>
          </cell>
        </row>
        <row r="5127">
          <cell r="G5127" t="str">
            <v>Xã Phú Lệ</v>
          </cell>
          <cell r="I5127" t="str">
            <v>40109</v>
          </cell>
        </row>
        <row r="5128">
          <cell r="G5128" t="str">
            <v xml:space="preserve">Xã Phú Sơn  </v>
          </cell>
          <cell r="I5128" t="str">
            <v>40109</v>
          </cell>
        </row>
        <row r="5129">
          <cell r="G5129" t="str">
            <v xml:space="preserve">Xã Phú Xuân  </v>
          </cell>
          <cell r="I5129" t="str">
            <v>40109</v>
          </cell>
        </row>
        <row r="5130">
          <cell r="G5130" t="str">
            <v>Xã Hiền Chung</v>
          </cell>
          <cell r="I5130" t="str">
            <v>40109</v>
          </cell>
        </row>
        <row r="5131">
          <cell r="G5131" t="str">
            <v>Xã Hiền Kiệt</v>
          </cell>
          <cell r="I5131" t="str">
            <v>40109</v>
          </cell>
        </row>
        <row r="5132">
          <cell r="G5132" t="str">
            <v>Xã Thiên Phú</v>
          </cell>
          <cell r="I5132" t="str">
            <v>40109</v>
          </cell>
        </row>
        <row r="5133">
          <cell r="G5133" t="str">
            <v>Xã Phú Nghiêm</v>
          </cell>
          <cell r="I5133" t="str">
            <v>40109</v>
          </cell>
        </row>
        <row r="5134">
          <cell r="G5134" t="str">
            <v>Xã Nam Xuân</v>
          </cell>
          <cell r="I5134" t="str">
            <v>40109</v>
          </cell>
        </row>
        <row r="5135">
          <cell r="G5135" t="str">
            <v xml:space="preserve">Xã Xuân Phú   </v>
          </cell>
          <cell r="I5135" t="str">
            <v>40109</v>
          </cell>
        </row>
        <row r="5136">
          <cell r="G5136" t="str">
            <v>Thị trấn Quan Sơn</v>
          </cell>
          <cell r="I5136" t="str">
            <v>40111</v>
          </cell>
        </row>
        <row r="5137">
          <cell r="G5137" t="str">
            <v>Xã Mường Mìn</v>
          </cell>
          <cell r="I5137" t="str">
            <v>40111</v>
          </cell>
        </row>
        <row r="5138">
          <cell r="G5138" t="str">
            <v>Xã Trung Hạ</v>
          </cell>
          <cell r="I5138" t="str">
            <v>40111</v>
          </cell>
        </row>
        <row r="5139">
          <cell r="G5139" t="str">
            <v xml:space="preserve">Xã Sơn Thủy  </v>
          </cell>
          <cell r="I5139" t="str">
            <v>40111</v>
          </cell>
        </row>
        <row r="5140">
          <cell r="G5140" t="str">
            <v>Xã Sơn Điện</v>
          </cell>
          <cell r="I5140" t="str">
            <v>40111</v>
          </cell>
        </row>
        <row r="5141">
          <cell r="G5141" t="str">
            <v>Xã Trung Xuân</v>
          </cell>
          <cell r="I5141" t="str">
            <v>40111</v>
          </cell>
        </row>
        <row r="5142">
          <cell r="G5142" t="str">
            <v>Xã Trung Thượng</v>
          </cell>
          <cell r="I5142" t="str">
            <v>40111</v>
          </cell>
        </row>
        <row r="5143">
          <cell r="G5143" t="str">
            <v xml:space="preserve">Xã Sơn Hà    </v>
          </cell>
          <cell r="I5143" t="str">
            <v>40111</v>
          </cell>
        </row>
        <row r="5144">
          <cell r="G5144" t="str">
            <v xml:space="preserve">Xã Tam Thanh  </v>
          </cell>
          <cell r="I5144" t="str">
            <v>40111</v>
          </cell>
        </row>
        <row r="5145">
          <cell r="G5145" t="str">
            <v>Xã Na Mèo</v>
          </cell>
          <cell r="I5145" t="str">
            <v>40111</v>
          </cell>
        </row>
        <row r="5146">
          <cell r="G5146" t="str">
            <v>Xã Sơn Lư</v>
          </cell>
          <cell r="I5146" t="str">
            <v>40111</v>
          </cell>
        </row>
        <row r="5147">
          <cell r="G5147" t="str">
            <v>Xã Tam Lư</v>
          </cell>
          <cell r="I5147" t="str">
            <v>40111</v>
          </cell>
        </row>
        <row r="5148">
          <cell r="G5148" t="str">
            <v xml:space="preserve">Xã Trung Tiến </v>
          </cell>
          <cell r="I5148" t="str">
            <v>40111</v>
          </cell>
        </row>
        <row r="5149">
          <cell r="G5149" t="str">
            <v>Xã Điền Quang</v>
          </cell>
          <cell r="I5149" t="str">
            <v>40113</v>
          </cell>
        </row>
        <row r="5150">
          <cell r="G5150" t="str">
            <v>Xã Hạ Trung</v>
          </cell>
          <cell r="I5150" t="str">
            <v>40113</v>
          </cell>
        </row>
        <row r="5151">
          <cell r="G5151" t="str">
            <v>Xã Điền Hạ</v>
          </cell>
          <cell r="I5151" t="str">
            <v>40113</v>
          </cell>
        </row>
        <row r="5152">
          <cell r="G5152" t="str">
            <v>Xã Lương Ngoại</v>
          </cell>
          <cell r="I5152" t="str">
            <v>40113</v>
          </cell>
        </row>
        <row r="5153">
          <cell r="G5153" t="str">
            <v>Xã Lương Trung</v>
          </cell>
          <cell r="I5153" t="str">
            <v>40113</v>
          </cell>
        </row>
        <row r="5154">
          <cell r="G5154" t="str">
            <v xml:space="preserve">Xã Cổ Lũng </v>
          </cell>
          <cell r="I5154" t="str">
            <v>40113</v>
          </cell>
        </row>
        <row r="5155">
          <cell r="G5155" t="str">
            <v>Xã Văn Nho</v>
          </cell>
          <cell r="I5155" t="str">
            <v>40113</v>
          </cell>
        </row>
        <row r="5156">
          <cell r="G5156" t="str">
            <v xml:space="preserve">Xã Tân Lập              </v>
          </cell>
          <cell r="I5156" t="str">
            <v>40113</v>
          </cell>
        </row>
        <row r="5157">
          <cell r="G5157" t="str">
            <v>Thị trấn Cành Nàng</v>
          </cell>
          <cell r="I5157" t="str">
            <v>40113</v>
          </cell>
        </row>
        <row r="5158">
          <cell r="G5158" t="str">
            <v>Xã Điền Thượng</v>
          </cell>
          <cell r="I5158" t="str">
            <v>40113</v>
          </cell>
        </row>
        <row r="5159">
          <cell r="G5159" t="str">
            <v>Xã Điền Trung</v>
          </cell>
          <cell r="I5159" t="str">
            <v>40113</v>
          </cell>
        </row>
        <row r="5160">
          <cell r="G5160" t="str">
            <v xml:space="preserve">Xã Thành Sơn </v>
          </cell>
          <cell r="I5160" t="str">
            <v>40113</v>
          </cell>
        </row>
        <row r="5161">
          <cell r="G5161" t="str">
            <v>Xã ái Thượng</v>
          </cell>
          <cell r="I5161" t="str">
            <v>40113</v>
          </cell>
        </row>
        <row r="5162">
          <cell r="G5162" t="str">
            <v>Xã Lương Nội</v>
          </cell>
          <cell r="I5162" t="str">
            <v>40113</v>
          </cell>
        </row>
        <row r="5163">
          <cell r="G5163" t="str">
            <v>Xã Điền Lư</v>
          </cell>
          <cell r="I5163" t="str">
            <v>40113</v>
          </cell>
        </row>
        <row r="5164">
          <cell r="G5164" t="str">
            <v>Xã Lũng Niêm</v>
          </cell>
          <cell r="I5164" t="str">
            <v>40113</v>
          </cell>
        </row>
        <row r="5165">
          <cell r="G5165" t="str">
            <v>Xã Lũng Cao</v>
          </cell>
          <cell r="I5165" t="str">
            <v>40113</v>
          </cell>
        </row>
        <row r="5166">
          <cell r="G5166" t="str">
            <v>Xã Thành Lâm</v>
          </cell>
          <cell r="I5166" t="str">
            <v>40113</v>
          </cell>
        </row>
        <row r="5167">
          <cell r="G5167" t="str">
            <v>Xã Ban Công</v>
          </cell>
          <cell r="I5167" t="str">
            <v>40113</v>
          </cell>
        </row>
        <row r="5168">
          <cell r="G5168" t="str">
            <v>Xã Kỳ Tân</v>
          </cell>
          <cell r="I5168" t="str">
            <v>40113</v>
          </cell>
        </row>
        <row r="5169">
          <cell r="G5169" t="str">
            <v>Xã Thiết ống</v>
          </cell>
          <cell r="I5169" t="str">
            <v>40113</v>
          </cell>
        </row>
        <row r="5170">
          <cell r="G5170" t="str">
            <v>Xã Lâm Sa</v>
          </cell>
          <cell r="I5170" t="str">
            <v>40113</v>
          </cell>
        </row>
        <row r="5171">
          <cell r="G5171" t="str">
            <v>Xã Thiết Kế</v>
          </cell>
          <cell r="I5171" t="str">
            <v>40113</v>
          </cell>
        </row>
        <row r="5172">
          <cell r="G5172" t="str">
            <v>Xã Cẩm Giang</v>
          </cell>
          <cell r="I5172" t="str">
            <v>40115</v>
          </cell>
        </row>
        <row r="5173">
          <cell r="G5173" t="str">
            <v>Xã Cẩm Tân</v>
          </cell>
          <cell r="I5173" t="str">
            <v>40115</v>
          </cell>
        </row>
        <row r="5174">
          <cell r="G5174" t="str">
            <v xml:space="preserve">Xã Cẩm Yên </v>
          </cell>
          <cell r="I5174" t="str">
            <v>40115</v>
          </cell>
        </row>
        <row r="5175">
          <cell r="G5175" t="str">
            <v>Xã Phúc Do</v>
          </cell>
          <cell r="I5175" t="str">
            <v>40115</v>
          </cell>
        </row>
        <row r="5176">
          <cell r="G5176" t="str">
            <v>Xã Cẩm Thạch</v>
          </cell>
          <cell r="I5176" t="str">
            <v>40115</v>
          </cell>
        </row>
        <row r="5177">
          <cell r="G5177" t="str">
            <v>Xã Cẩm Tú</v>
          </cell>
          <cell r="I5177" t="str">
            <v>40115</v>
          </cell>
        </row>
        <row r="5178">
          <cell r="G5178" t="str">
            <v>Xã Cẩm Tâm</v>
          </cell>
          <cell r="I5178" t="str">
            <v>40115</v>
          </cell>
        </row>
        <row r="5179">
          <cell r="G5179" t="str">
            <v>Thị trấn Cẩm Thủy</v>
          </cell>
          <cell r="I5179" t="str">
            <v>40115</v>
          </cell>
        </row>
        <row r="5180">
          <cell r="G5180" t="str">
            <v>Xã Cẩm Thành</v>
          </cell>
          <cell r="I5180" t="str">
            <v>40115</v>
          </cell>
        </row>
        <row r="5181">
          <cell r="G5181" t="str">
            <v>Xã Cẩm Quý</v>
          </cell>
          <cell r="I5181" t="str">
            <v>40115</v>
          </cell>
        </row>
        <row r="5182">
          <cell r="G5182" t="str">
            <v>Xã Cẩm Lương</v>
          </cell>
          <cell r="I5182" t="str">
            <v>40115</v>
          </cell>
        </row>
        <row r="5183">
          <cell r="G5183" t="str">
            <v>Xã Cẩm Liên</v>
          </cell>
          <cell r="I5183" t="str">
            <v>40115</v>
          </cell>
        </row>
        <row r="5184">
          <cell r="G5184" t="str">
            <v>Xã Cẩm Bình</v>
          </cell>
          <cell r="I5184" t="str">
            <v>40115</v>
          </cell>
        </row>
        <row r="5185">
          <cell r="G5185" t="str">
            <v xml:space="preserve">Xã Cẩm Sơn </v>
          </cell>
          <cell r="I5185" t="str">
            <v>40115</v>
          </cell>
        </row>
        <row r="5186">
          <cell r="G5186" t="str">
            <v>Xã Cẩm Châu</v>
          </cell>
          <cell r="I5186" t="str">
            <v>40115</v>
          </cell>
        </row>
        <row r="5187">
          <cell r="G5187" t="str">
            <v>Xã Cẩm Phong</v>
          </cell>
          <cell r="I5187" t="str">
            <v>40115</v>
          </cell>
        </row>
        <row r="5188">
          <cell r="G5188" t="str">
            <v>Xã Cẩm Ngọc</v>
          </cell>
          <cell r="I5188" t="str">
            <v>40115</v>
          </cell>
        </row>
        <row r="5189">
          <cell r="G5189" t="str">
            <v>Xã Cẩm Long</v>
          </cell>
          <cell r="I5189" t="str">
            <v>40115</v>
          </cell>
        </row>
        <row r="5190">
          <cell r="G5190" t="str">
            <v>Xã Cẩm Phú</v>
          </cell>
          <cell r="I5190" t="str">
            <v>40115</v>
          </cell>
        </row>
        <row r="5191">
          <cell r="G5191" t="str">
            <v>Xã Cẩm Vân</v>
          </cell>
          <cell r="I5191" t="str">
            <v>40115</v>
          </cell>
        </row>
        <row r="5192">
          <cell r="G5192" t="str">
            <v>Xã Quang Hiến</v>
          </cell>
          <cell r="I5192" t="str">
            <v>40117</v>
          </cell>
        </row>
        <row r="5193">
          <cell r="G5193" t="str">
            <v xml:space="preserve">Xã Yên Thắng   </v>
          </cell>
          <cell r="I5193" t="str">
            <v>40117</v>
          </cell>
        </row>
        <row r="5194">
          <cell r="G5194" t="str">
            <v xml:space="preserve">Xã Tân Phúc </v>
          </cell>
          <cell r="I5194" t="str">
            <v>40117</v>
          </cell>
        </row>
        <row r="5195">
          <cell r="G5195" t="str">
            <v xml:space="preserve">Xã Đồng Lương </v>
          </cell>
          <cell r="I5195" t="str">
            <v>40117</v>
          </cell>
        </row>
        <row r="5196">
          <cell r="G5196" t="str">
            <v>Thị trấn Lang Chánh</v>
          </cell>
          <cell r="I5196" t="str">
            <v>40117</v>
          </cell>
        </row>
        <row r="5197">
          <cell r="G5197" t="str">
            <v>Xã Yên Khương</v>
          </cell>
          <cell r="I5197" t="str">
            <v>40117</v>
          </cell>
        </row>
        <row r="5198">
          <cell r="G5198" t="str">
            <v>Xã Trí Nang</v>
          </cell>
          <cell r="I5198" t="str">
            <v>40117</v>
          </cell>
        </row>
        <row r="5199">
          <cell r="G5199" t="str">
            <v xml:space="preserve">Xã Giao An </v>
          </cell>
          <cell r="I5199" t="str">
            <v>40117</v>
          </cell>
        </row>
        <row r="5200">
          <cell r="G5200" t="str">
            <v xml:space="preserve">Xã Giao Thiện </v>
          </cell>
          <cell r="I5200" t="str">
            <v>40117</v>
          </cell>
        </row>
        <row r="5201">
          <cell r="G5201" t="str">
            <v>Xã Tam Văn</v>
          </cell>
          <cell r="I5201" t="str">
            <v>40117</v>
          </cell>
        </row>
        <row r="5202">
          <cell r="G5202" t="str">
            <v>Xã Lâm Phú</v>
          </cell>
          <cell r="I5202" t="str">
            <v>40117</v>
          </cell>
        </row>
        <row r="5203">
          <cell r="G5203" t="str">
            <v>Xã Thành Mỹ</v>
          </cell>
          <cell r="I5203" t="str">
            <v>40119</v>
          </cell>
        </row>
        <row r="5204">
          <cell r="G5204" t="str">
            <v>Xã Thành An</v>
          </cell>
          <cell r="I5204" t="str">
            <v>40119</v>
          </cell>
        </row>
        <row r="5205">
          <cell r="G5205" t="str">
            <v>Thị trấn Kim Tân</v>
          </cell>
          <cell r="I5205" t="str">
            <v>40119</v>
          </cell>
        </row>
        <row r="5206">
          <cell r="G5206" t="str">
            <v>Xã Thạch Quảng</v>
          </cell>
          <cell r="I5206" t="str">
            <v>40119</v>
          </cell>
        </row>
        <row r="5207">
          <cell r="G5207" t="str">
            <v>Xã Thành Minh</v>
          </cell>
          <cell r="I5207" t="str">
            <v>40119</v>
          </cell>
        </row>
        <row r="5208">
          <cell r="G5208" t="str">
            <v>Xã Thành Vân</v>
          </cell>
          <cell r="I5208" t="str">
            <v>40119</v>
          </cell>
        </row>
        <row r="5209">
          <cell r="G5209" t="str">
            <v>Xã Thành Tiến</v>
          </cell>
          <cell r="I5209" t="str">
            <v>40119</v>
          </cell>
        </row>
        <row r="5210">
          <cell r="G5210" t="str">
            <v>Xã Thạch Cẩm</v>
          </cell>
          <cell r="I5210" t="str">
            <v>40119</v>
          </cell>
        </row>
        <row r="5211">
          <cell r="G5211" t="str">
            <v xml:space="preserve">Xã Thạch Sơn  </v>
          </cell>
          <cell r="I5211" t="str">
            <v>40119</v>
          </cell>
        </row>
        <row r="5212">
          <cell r="G5212" t="str">
            <v xml:space="preserve">Xã Thạch Bình </v>
          </cell>
          <cell r="I5212" t="str">
            <v>40119</v>
          </cell>
        </row>
        <row r="5213">
          <cell r="G5213" t="str">
            <v>Xã Thạch Định</v>
          </cell>
          <cell r="I5213" t="str">
            <v>40119</v>
          </cell>
        </row>
        <row r="5214">
          <cell r="G5214" t="str">
            <v xml:space="preserve">Xã Thạch Đồng </v>
          </cell>
          <cell r="I5214" t="str">
            <v>40119</v>
          </cell>
        </row>
        <row r="5215">
          <cell r="G5215" t="str">
            <v>Xã Thạch Long</v>
          </cell>
          <cell r="I5215" t="str">
            <v>40119</v>
          </cell>
        </row>
        <row r="5216">
          <cell r="G5216" t="str">
            <v>Xã Thành Yên</v>
          </cell>
          <cell r="I5216" t="str">
            <v>40119</v>
          </cell>
        </row>
        <row r="5217">
          <cell r="G5217" t="str">
            <v>Xã Thành Vinh</v>
          </cell>
          <cell r="I5217" t="str">
            <v>40119</v>
          </cell>
        </row>
        <row r="5218">
          <cell r="G5218" t="str">
            <v xml:space="preserve">Xã Thành Công   </v>
          </cell>
          <cell r="I5218" t="str">
            <v>40119</v>
          </cell>
        </row>
        <row r="5219">
          <cell r="G5219" t="str">
            <v>Xã Thành Tân</v>
          </cell>
          <cell r="I5219" t="str">
            <v>40119</v>
          </cell>
        </row>
        <row r="5220">
          <cell r="G5220" t="str">
            <v>Xã Thành Trực</v>
          </cell>
          <cell r="I5220" t="str">
            <v>40119</v>
          </cell>
        </row>
        <row r="5221">
          <cell r="G5221" t="str">
            <v>Xã Thành Tâm</v>
          </cell>
          <cell r="I5221" t="str">
            <v>40119</v>
          </cell>
        </row>
        <row r="5222">
          <cell r="G5222" t="str">
            <v>Xã Thành Thọ</v>
          </cell>
          <cell r="I5222" t="str">
            <v>40119</v>
          </cell>
        </row>
        <row r="5223">
          <cell r="G5223" t="str">
            <v xml:space="preserve">Xã Thành Long </v>
          </cell>
          <cell r="I5223" t="str">
            <v>40119</v>
          </cell>
        </row>
        <row r="5224">
          <cell r="G5224" t="str">
            <v>Xã Thành Kim</v>
          </cell>
          <cell r="I5224" t="str">
            <v>40119</v>
          </cell>
        </row>
        <row r="5225">
          <cell r="G5225" t="str">
            <v>Xã Thành Hưng</v>
          </cell>
          <cell r="I5225" t="str">
            <v>40119</v>
          </cell>
        </row>
        <row r="5226">
          <cell r="G5226" t="str">
            <v>Xã Ngọc Trạo</v>
          </cell>
          <cell r="I5226" t="str">
            <v>40119</v>
          </cell>
        </row>
        <row r="5227">
          <cell r="G5227" t="str">
            <v>Thị trấn Vân Du</v>
          </cell>
          <cell r="I5227" t="str">
            <v>40119</v>
          </cell>
        </row>
        <row r="5228">
          <cell r="G5228" t="str">
            <v>Xã Thạch Tân</v>
          </cell>
          <cell r="I5228" t="str">
            <v>40119</v>
          </cell>
        </row>
        <row r="5229">
          <cell r="G5229" t="str">
            <v xml:space="preserve">Xã Thạch Lâm </v>
          </cell>
          <cell r="I5229" t="str">
            <v>40119</v>
          </cell>
        </row>
        <row r="5230">
          <cell r="G5230" t="str">
            <v>Xã Thạch Tượng</v>
          </cell>
          <cell r="I5230" t="str">
            <v>40119</v>
          </cell>
        </row>
        <row r="5231">
          <cell r="G5231" t="str">
            <v xml:space="preserve">Xã Quang Trung          </v>
          </cell>
          <cell r="I5231" t="str">
            <v>40121</v>
          </cell>
        </row>
        <row r="5232">
          <cell r="G5232" t="str">
            <v>Xã Nguyệt ấn</v>
          </cell>
          <cell r="I5232" t="str">
            <v>40121</v>
          </cell>
        </row>
        <row r="5233">
          <cell r="G5233" t="str">
            <v>Xã Thúy Sơn</v>
          </cell>
          <cell r="I5233" t="str">
            <v>40121</v>
          </cell>
        </row>
        <row r="5234">
          <cell r="G5234" t="str">
            <v xml:space="preserve">Xã Ngọc Khê </v>
          </cell>
          <cell r="I5234" t="str">
            <v>40121</v>
          </cell>
        </row>
        <row r="5235">
          <cell r="G5235" t="str">
            <v xml:space="preserve">Xã Ngọc Sơn    </v>
          </cell>
          <cell r="I5235" t="str">
            <v>40121</v>
          </cell>
        </row>
        <row r="5236">
          <cell r="G5236" t="str">
            <v>Xã Phùng Giáo</v>
          </cell>
          <cell r="I5236" t="str">
            <v>40121</v>
          </cell>
        </row>
        <row r="5237">
          <cell r="G5237" t="str">
            <v>Xã Kiên Thọ</v>
          </cell>
          <cell r="I5237" t="str">
            <v>40121</v>
          </cell>
        </row>
        <row r="5238">
          <cell r="G5238" t="str">
            <v>Thị trấn Ngọc Lặc</v>
          </cell>
          <cell r="I5238" t="str">
            <v>40121</v>
          </cell>
        </row>
        <row r="5239">
          <cell r="G5239" t="str">
            <v xml:space="preserve">Xã Lam Sơn  </v>
          </cell>
          <cell r="I5239" t="str">
            <v>40121</v>
          </cell>
        </row>
        <row r="5240">
          <cell r="G5240" t="str">
            <v xml:space="preserve">Xã Mỹ Tân </v>
          </cell>
          <cell r="I5240" t="str">
            <v>40121</v>
          </cell>
        </row>
        <row r="5241">
          <cell r="G5241" t="str">
            <v>Xã Thạch Lập</v>
          </cell>
          <cell r="I5241" t="str">
            <v>40121</v>
          </cell>
        </row>
        <row r="5242">
          <cell r="G5242" t="str">
            <v>Xã Vân Am</v>
          </cell>
          <cell r="I5242" t="str">
            <v>40121</v>
          </cell>
        </row>
        <row r="5243">
          <cell r="G5243" t="str">
            <v>Xã Cao Ngọc</v>
          </cell>
          <cell r="I5243" t="str">
            <v>40121</v>
          </cell>
        </row>
        <row r="5244">
          <cell r="G5244" t="str">
            <v xml:space="preserve">Xã Đồng Thịnh   </v>
          </cell>
          <cell r="I5244" t="str">
            <v>40121</v>
          </cell>
        </row>
        <row r="5245">
          <cell r="G5245" t="str">
            <v xml:space="preserve">Xã Ngọc Liên </v>
          </cell>
          <cell r="I5245" t="str">
            <v>40121</v>
          </cell>
        </row>
        <row r="5246">
          <cell r="G5246" t="str">
            <v>Xã Lộc Thịnh</v>
          </cell>
          <cell r="I5246" t="str">
            <v>40121</v>
          </cell>
        </row>
        <row r="5247">
          <cell r="G5247" t="str">
            <v>Xã Cao Thịnh</v>
          </cell>
          <cell r="I5247" t="str">
            <v>40121</v>
          </cell>
        </row>
        <row r="5248">
          <cell r="G5248" t="str">
            <v>Xã Ngọc Trung</v>
          </cell>
          <cell r="I5248" t="str">
            <v>40121</v>
          </cell>
        </row>
        <row r="5249">
          <cell r="G5249" t="str">
            <v>Xã Phùng Minh</v>
          </cell>
          <cell r="I5249" t="str">
            <v>40121</v>
          </cell>
        </row>
        <row r="5250">
          <cell r="G5250" t="str">
            <v xml:space="preserve">Xã Phúc Thịnh </v>
          </cell>
          <cell r="I5250" t="str">
            <v>40121</v>
          </cell>
        </row>
        <row r="5251">
          <cell r="G5251" t="str">
            <v xml:space="preserve">Xã Minh Tiến      </v>
          </cell>
          <cell r="I5251" t="str">
            <v>40121</v>
          </cell>
        </row>
        <row r="5252">
          <cell r="G5252" t="str">
            <v xml:space="preserve">Xã Minh Sơn  </v>
          </cell>
          <cell r="I5252" t="str">
            <v>40121</v>
          </cell>
        </row>
        <row r="5253">
          <cell r="G5253" t="str">
            <v>Xã Ngọc Phụng</v>
          </cell>
          <cell r="I5253" t="str">
            <v>40123</v>
          </cell>
        </row>
        <row r="5254">
          <cell r="G5254" t="str">
            <v xml:space="preserve">Xã Xuân Lộc </v>
          </cell>
          <cell r="I5254" t="str">
            <v>40123</v>
          </cell>
        </row>
        <row r="5255">
          <cell r="G5255" t="str">
            <v>Xã Thọ Thanh</v>
          </cell>
          <cell r="I5255" t="str">
            <v>40123</v>
          </cell>
        </row>
        <row r="5256">
          <cell r="G5256" t="str">
            <v>Xã Xuân Cao</v>
          </cell>
          <cell r="I5256" t="str">
            <v>40123</v>
          </cell>
        </row>
        <row r="5257">
          <cell r="G5257" t="str">
            <v>Xã Bát Mọt</v>
          </cell>
          <cell r="I5257" t="str">
            <v>40123</v>
          </cell>
        </row>
        <row r="5258">
          <cell r="G5258" t="str">
            <v>Xã Xuân Lẹ</v>
          </cell>
          <cell r="I5258" t="str">
            <v>40123</v>
          </cell>
        </row>
        <row r="5259">
          <cell r="G5259" t="str">
            <v>Thị trấn Thường Xuân</v>
          </cell>
          <cell r="I5259" t="str">
            <v>40123</v>
          </cell>
        </row>
        <row r="5260">
          <cell r="G5260" t="str">
            <v xml:space="preserve">Xã Yên Nhân  </v>
          </cell>
          <cell r="I5260" t="str">
            <v>40123</v>
          </cell>
        </row>
        <row r="5261">
          <cell r="G5261" t="str">
            <v>Xã Vạn Xuân</v>
          </cell>
          <cell r="I5261" t="str">
            <v>40123</v>
          </cell>
        </row>
        <row r="5262">
          <cell r="G5262" t="str">
            <v xml:space="preserve">Xã Lương Sơn   </v>
          </cell>
          <cell r="I5262" t="str">
            <v>40123</v>
          </cell>
        </row>
        <row r="5263">
          <cell r="G5263" t="str">
            <v>Xã Luận Thành</v>
          </cell>
          <cell r="I5263" t="str">
            <v>40123</v>
          </cell>
        </row>
        <row r="5264">
          <cell r="G5264" t="str">
            <v>Xã Luận Khê</v>
          </cell>
          <cell r="I5264" t="str">
            <v>40123</v>
          </cell>
        </row>
        <row r="5265">
          <cell r="G5265" t="str">
            <v>Xã Xuân Thắng</v>
          </cell>
          <cell r="I5265" t="str">
            <v>40123</v>
          </cell>
        </row>
        <row r="5266">
          <cell r="G5266" t="str">
            <v xml:space="preserve">Xã Xuân Cẩm </v>
          </cell>
          <cell r="I5266" t="str">
            <v>40123</v>
          </cell>
        </row>
        <row r="5267">
          <cell r="G5267" t="str">
            <v xml:space="preserve">Xã Xuân Dương   </v>
          </cell>
          <cell r="I5267" t="str">
            <v>40123</v>
          </cell>
        </row>
        <row r="5268">
          <cell r="G5268" t="str">
            <v>Xã Xuân Chinh</v>
          </cell>
          <cell r="I5268" t="str">
            <v>40123</v>
          </cell>
        </row>
        <row r="5269">
          <cell r="G5269" t="str">
            <v xml:space="preserve">Xã Tân Thành         </v>
          </cell>
          <cell r="I5269" t="str">
            <v>40123</v>
          </cell>
        </row>
        <row r="5270">
          <cell r="G5270" t="str">
            <v xml:space="preserve">Xã Thanh Lâm   </v>
          </cell>
          <cell r="I5270" t="str">
            <v>40125</v>
          </cell>
        </row>
        <row r="5271">
          <cell r="G5271" t="str">
            <v>Thị trấn Yên Cát</v>
          </cell>
          <cell r="I5271" t="str">
            <v>40125</v>
          </cell>
        </row>
        <row r="5272">
          <cell r="G5272" t="str">
            <v>Xã Bãi Trành</v>
          </cell>
          <cell r="I5272" t="str">
            <v>40125</v>
          </cell>
        </row>
        <row r="5273">
          <cell r="G5273" t="str">
            <v>Xã Xuân Quỳ</v>
          </cell>
          <cell r="I5273" t="str">
            <v>40125</v>
          </cell>
        </row>
        <row r="5274">
          <cell r="G5274" t="str">
            <v xml:space="preserve">Xã Tân Bình  </v>
          </cell>
          <cell r="I5274" t="str">
            <v>40125</v>
          </cell>
        </row>
        <row r="5275">
          <cell r="G5275" t="str">
            <v>Xã Thanh Hòa</v>
          </cell>
          <cell r="I5275" t="str">
            <v>40125</v>
          </cell>
        </row>
        <row r="5276">
          <cell r="G5276" t="str">
            <v xml:space="preserve">Xã Thanh Sơn     </v>
          </cell>
          <cell r="I5276" t="str">
            <v>40125</v>
          </cell>
        </row>
        <row r="5277">
          <cell r="G5277" t="str">
            <v>Xã Thượng Ninh</v>
          </cell>
          <cell r="I5277" t="str">
            <v>40125</v>
          </cell>
        </row>
        <row r="5278">
          <cell r="G5278" t="str">
            <v xml:space="preserve">Xã Thanh Phong </v>
          </cell>
          <cell r="I5278" t="str">
            <v>40125</v>
          </cell>
        </row>
        <row r="5279">
          <cell r="G5279" t="str">
            <v xml:space="preserve">Xã Xuân Hòa     </v>
          </cell>
          <cell r="I5279" t="str">
            <v>40125</v>
          </cell>
        </row>
        <row r="5280">
          <cell r="G5280" t="str">
            <v>Xã Xuân Bình</v>
          </cell>
          <cell r="I5280" t="str">
            <v>40125</v>
          </cell>
        </row>
        <row r="5281">
          <cell r="G5281" t="str">
            <v>Xã Hóa Quỳ</v>
          </cell>
          <cell r="I5281" t="str">
            <v>40125</v>
          </cell>
        </row>
        <row r="5282">
          <cell r="G5282" t="str">
            <v>Xã Yên Lễ</v>
          </cell>
          <cell r="I5282" t="str">
            <v>40125</v>
          </cell>
        </row>
        <row r="5283">
          <cell r="G5283" t="str">
            <v>Xã Cát Vân</v>
          </cell>
          <cell r="I5283" t="str">
            <v>40125</v>
          </cell>
        </row>
        <row r="5284">
          <cell r="G5284" t="str">
            <v>Xã Cát Tân</v>
          </cell>
          <cell r="I5284" t="str">
            <v>40125</v>
          </cell>
        </row>
        <row r="5285">
          <cell r="G5285" t="str">
            <v>Xã Bình Lương</v>
          </cell>
          <cell r="I5285" t="str">
            <v>40125</v>
          </cell>
        </row>
        <row r="5286">
          <cell r="G5286" t="str">
            <v>Xã Thanh Quân</v>
          </cell>
          <cell r="I5286" t="str">
            <v>40125</v>
          </cell>
        </row>
        <row r="5287">
          <cell r="G5287" t="str">
            <v xml:space="preserve">Xã Thanh Xuân   </v>
          </cell>
          <cell r="I5287" t="str">
            <v>40125</v>
          </cell>
        </row>
        <row r="5288">
          <cell r="G5288" t="str">
            <v xml:space="preserve">Xã Phú Nhuận  </v>
          </cell>
          <cell r="I5288" t="str">
            <v>40127</v>
          </cell>
        </row>
        <row r="5289">
          <cell r="G5289" t="str">
            <v>Xã Xuân Khang</v>
          </cell>
          <cell r="I5289" t="str">
            <v>40127</v>
          </cell>
        </row>
        <row r="5290">
          <cell r="G5290" t="str">
            <v>Xã Xuân Thái</v>
          </cell>
          <cell r="I5290" t="str">
            <v>40127</v>
          </cell>
        </row>
        <row r="5291">
          <cell r="G5291" t="str">
            <v>Xã Phúc Đường</v>
          </cell>
          <cell r="I5291" t="str">
            <v>40127</v>
          </cell>
        </row>
        <row r="5292">
          <cell r="G5292" t="str">
            <v>Thị trấn Bến Sung</v>
          </cell>
          <cell r="I5292" t="str">
            <v>40127</v>
          </cell>
        </row>
        <row r="5293">
          <cell r="G5293" t="str">
            <v>Xã Cán Khê</v>
          </cell>
          <cell r="I5293" t="str">
            <v>40127</v>
          </cell>
        </row>
        <row r="5294">
          <cell r="G5294" t="str">
            <v>Xã Xuân Du</v>
          </cell>
          <cell r="I5294" t="str">
            <v>40127</v>
          </cell>
        </row>
        <row r="5295">
          <cell r="G5295" t="str">
            <v>Xã Xuân Thọ</v>
          </cell>
          <cell r="I5295" t="str">
            <v>40127</v>
          </cell>
        </row>
        <row r="5296">
          <cell r="G5296" t="str">
            <v>Xã Phượng Nghi</v>
          </cell>
          <cell r="I5296" t="str">
            <v>40127</v>
          </cell>
        </row>
        <row r="5297">
          <cell r="G5297" t="str">
            <v>Xã Mậu Lâm</v>
          </cell>
          <cell r="I5297" t="str">
            <v>40127</v>
          </cell>
        </row>
        <row r="5298">
          <cell r="G5298" t="str">
            <v xml:space="preserve">Xã Hải Long </v>
          </cell>
          <cell r="I5298" t="str">
            <v>40127</v>
          </cell>
        </row>
        <row r="5299">
          <cell r="G5299" t="str">
            <v xml:space="preserve">Xã Hải Vân </v>
          </cell>
          <cell r="I5299" t="str">
            <v>40127</v>
          </cell>
        </row>
        <row r="5300">
          <cell r="G5300" t="str">
            <v>Xã Xuân Phúc</v>
          </cell>
          <cell r="I5300" t="str">
            <v>40127</v>
          </cell>
        </row>
        <row r="5301">
          <cell r="G5301" t="str">
            <v xml:space="preserve">Xã Yên Thọ  </v>
          </cell>
          <cell r="I5301" t="str">
            <v>40127</v>
          </cell>
        </row>
        <row r="5302">
          <cell r="G5302" t="str">
            <v xml:space="preserve">Xã Yên Lạc   </v>
          </cell>
          <cell r="I5302" t="str">
            <v>40127</v>
          </cell>
        </row>
        <row r="5303">
          <cell r="G5303" t="str">
            <v xml:space="preserve">Xã Thanh Tân  </v>
          </cell>
          <cell r="I5303" t="str">
            <v>40127</v>
          </cell>
        </row>
        <row r="5304">
          <cell r="G5304" t="str">
            <v>Xã Thanh Kỳ</v>
          </cell>
          <cell r="I5304" t="str">
            <v>40127</v>
          </cell>
        </row>
        <row r="5305">
          <cell r="G5305" t="str">
            <v xml:space="preserve">Xã Vĩnh Long </v>
          </cell>
          <cell r="I5305" t="str">
            <v>40129</v>
          </cell>
        </row>
        <row r="5306">
          <cell r="G5306" t="str">
            <v xml:space="preserve">Xã Vĩnh Quang  </v>
          </cell>
          <cell r="I5306" t="str">
            <v>40129</v>
          </cell>
        </row>
        <row r="5307">
          <cell r="G5307" t="str">
            <v xml:space="preserve">Xã Vĩnh Phúc </v>
          </cell>
          <cell r="I5307" t="str">
            <v>40129</v>
          </cell>
        </row>
        <row r="5308">
          <cell r="G5308" t="str">
            <v xml:space="preserve">Xã Vĩnh Hòa </v>
          </cell>
          <cell r="I5308" t="str">
            <v>40129</v>
          </cell>
        </row>
        <row r="5309">
          <cell r="G5309" t="str">
            <v xml:space="preserve">Xã Vĩnh Thịnh </v>
          </cell>
          <cell r="I5309" t="str">
            <v>40129</v>
          </cell>
        </row>
        <row r="5310">
          <cell r="G5310" t="str">
            <v xml:space="preserve">Thị trấn Vĩnh Lộc </v>
          </cell>
          <cell r="I5310" t="str">
            <v>40129</v>
          </cell>
        </row>
        <row r="5311">
          <cell r="G5311" t="str">
            <v>Xã Vĩnh Thành</v>
          </cell>
          <cell r="I5311" t="str">
            <v>40129</v>
          </cell>
        </row>
        <row r="5312">
          <cell r="G5312" t="str">
            <v xml:space="preserve">Xã Vĩnh Yên   </v>
          </cell>
          <cell r="I5312" t="str">
            <v>40129</v>
          </cell>
        </row>
        <row r="5313">
          <cell r="G5313" t="str">
            <v xml:space="preserve">Xã Vĩnh Tiến   </v>
          </cell>
          <cell r="I5313" t="str">
            <v>40129</v>
          </cell>
        </row>
        <row r="5314">
          <cell r="G5314" t="str">
            <v>Xã Vĩnh Hưng</v>
          </cell>
          <cell r="I5314" t="str">
            <v>40129</v>
          </cell>
        </row>
        <row r="5315">
          <cell r="G5315" t="str">
            <v>Xã Vĩnh Minh</v>
          </cell>
          <cell r="I5315" t="str">
            <v>40129</v>
          </cell>
        </row>
        <row r="5316">
          <cell r="G5316" t="str">
            <v>Xã Vĩnh Khang</v>
          </cell>
          <cell r="I5316" t="str">
            <v>40129</v>
          </cell>
        </row>
        <row r="5317">
          <cell r="G5317" t="str">
            <v>Xã Vĩnh Hùng</v>
          </cell>
          <cell r="I5317" t="str">
            <v>40129</v>
          </cell>
        </row>
        <row r="5318">
          <cell r="G5318" t="str">
            <v>Xã Vĩnh Tân</v>
          </cell>
          <cell r="I5318" t="str">
            <v>40129</v>
          </cell>
        </row>
        <row r="5319">
          <cell r="G5319" t="str">
            <v xml:space="preserve">Xã Vĩnh Ninh </v>
          </cell>
          <cell r="I5319" t="str">
            <v>40129</v>
          </cell>
        </row>
        <row r="5320">
          <cell r="G5320" t="str">
            <v xml:space="preserve">Xã Vĩnh An </v>
          </cell>
          <cell r="I5320" t="str">
            <v>40129</v>
          </cell>
        </row>
        <row r="5321">
          <cell r="G5321" t="str">
            <v>Xã Hà Vinh</v>
          </cell>
          <cell r="I5321" t="str">
            <v>40131</v>
          </cell>
        </row>
        <row r="5322">
          <cell r="G5322" t="str">
            <v>Xã Hà Ngọc</v>
          </cell>
          <cell r="I5322" t="str">
            <v>40131</v>
          </cell>
        </row>
        <row r="5323">
          <cell r="G5323" t="str">
            <v xml:space="preserve">Xã Hà Châu </v>
          </cell>
          <cell r="I5323" t="str">
            <v>40131</v>
          </cell>
        </row>
        <row r="5324">
          <cell r="G5324" t="str">
            <v>Thị trấn Hà Trung</v>
          </cell>
          <cell r="I5324" t="str">
            <v>40131</v>
          </cell>
        </row>
        <row r="5325">
          <cell r="G5325" t="str">
            <v>Xã Hà Vân</v>
          </cell>
          <cell r="I5325" t="str">
            <v>40131</v>
          </cell>
        </row>
        <row r="5326">
          <cell r="G5326" t="str">
            <v>Xã Hà Dương</v>
          </cell>
          <cell r="I5326" t="str">
            <v>40131</v>
          </cell>
        </row>
        <row r="5327">
          <cell r="G5327" t="str">
            <v>Xã Hà Ninh</v>
          </cell>
          <cell r="I5327" t="str">
            <v>40131</v>
          </cell>
        </row>
        <row r="5328">
          <cell r="G5328" t="str">
            <v>Xã Hà Lĩnh</v>
          </cell>
          <cell r="I5328" t="str">
            <v>40131</v>
          </cell>
        </row>
        <row r="5329">
          <cell r="G5329" t="str">
            <v>Xã Hà Bình</v>
          </cell>
          <cell r="I5329" t="str">
            <v>40131</v>
          </cell>
        </row>
        <row r="5330">
          <cell r="G5330" t="str">
            <v>Xã Hà Thái</v>
          </cell>
          <cell r="I5330" t="str">
            <v>40131</v>
          </cell>
        </row>
        <row r="5331">
          <cell r="G5331" t="str">
            <v>Xã Hà Long</v>
          </cell>
          <cell r="I5331" t="str">
            <v>40131</v>
          </cell>
        </row>
        <row r="5332">
          <cell r="G5332" t="str">
            <v>Xã Hà Bắc</v>
          </cell>
          <cell r="I5332" t="str">
            <v>40131</v>
          </cell>
        </row>
        <row r="5333">
          <cell r="G5333" t="str">
            <v>Xã Hà Yên</v>
          </cell>
          <cell r="I5333" t="str">
            <v>40131</v>
          </cell>
        </row>
        <row r="5334">
          <cell r="G5334" t="str">
            <v xml:space="preserve">Xã Hà Thanh </v>
          </cell>
          <cell r="I5334" t="str">
            <v>40131</v>
          </cell>
        </row>
        <row r="5335">
          <cell r="G5335" t="str">
            <v>Xã Hà Giang</v>
          </cell>
          <cell r="I5335" t="str">
            <v>40131</v>
          </cell>
        </row>
        <row r="5336">
          <cell r="G5336" t="str">
            <v>Xã Hà Phú</v>
          </cell>
          <cell r="I5336" t="str">
            <v>40131</v>
          </cell>
        </row>
        <row r="5337">
          <cell r="G5337" t="str">
            <v>Xã Hà Phong</v>
          </cell>
          <cell r="I5337" t="str">
            <v>40131</v>
          </cell>
        </row>
        <row r="5338">
          <cell r="G5338" t="str">
            <v>Xã Hà Lâm</v>
          </cell>
          <cell r="I5338" t="str">
            <v>40131</v>
          </cell>
        </row>
        <row r="5339">
          <cell r="G5339" t="str">
            <v>Xã Hà Sơn</v>
          </cell>
          <cell r="I5339" t="str">
            <v>40131</v>
          </cell>
        </row>
        <row r="5340">
          <cell r="G5340" t="str">
            <v>Xã Hà Đông</v>
          </cell>
          <cell r="I5340" t="str">
            <v>40131</v>
          </cell>
        </row>
        <row r="5341">
          <cell r="G5341" t="str">
            <v>Xã Hà Tân</v>
          </cell>
          <cell r="I5341" t="str">
            <v>40131</v>
          </cell>
        </row>
        <row r="5342">
          <cell r="G5342" t="str">
            <v>Xã Hà Tiến</v>
          </cell>
          <cell r="I5342" t="str">
            <v>40131</v>
          </cell>
        </row>
        <row r="5343">
          <cell r="G5343" t="str">
            <v>Xã Hà Lai</v>
          </cell>
          <cell r="I5343" t="str">
            <v>40131</v>
          </cell>
        </row>
        <row r="5344">
          <cell r="G5344" t="str">
            <v>Xã Hà Toại</v>
          </cell>
          <cell r="I5344" t="str">
            <v>40131</v>
          </cell>
        </row>
        <row r="5345">
          <cell r="G5345" t="str">
            <v>Xã Hà Hải</v>
          </cell>
          <cell r="I5345" t="str">
            <v>40131</v>
          </cell>
        </row>
        <row r="5346">
          <cell r="G5346" t="str">
            <v>Xã Nga Tiến</v>
          </cell>
          <cell r="I5346" t="str">
            <v>40133</v>
          </cell>
        </row>
        <row r="5347">
          <cell r="G5347" t="str">
            <v>Xã Nga An</v>
          </cell>
          <cell r="I5347" t="str">
            <v>40133</v>
          </cell>
        </row>
        <row r="5348">
          <cell r="G5348" t="str">
            <v>Xã Ba Đình</v>
          </cell>
          <cell r="I5348" t="str">
            <v>40133</v>
          </cell>
        </row>
        <row r="5349">
          <cell r="G5349" t="str">
            <v>Xã Nga Thiện</v>
          </cell>
          <cell r="I5349" t="str">
            <v>40133</v>
          </cell>
        </row>
        <row r="5350">
          <cell r="G5350" t="str">
            <v>Xã Nga Trung</v>
          </cell>
          <cell r="I5350" t="str">
            <v>40133</v>
          </cell>
        </row>
        <row r="5351">
          <cell r="G5351" t="str">
            <v>Xã Nga Mỹ</v>
          </cell>
          <cell r="I5351" t="str">
            <v>40133</v>
          </cell>
        </row>
        <row r="5352">
          <cell r="G5352" t="str">
            <v>Xã Nga Thành</v>
          </cell>
          <cell r="I5352" t="str">
            <v>40133</v>
          </cell>
        </row>
        <row r="5353">
          <cell r="G5353" t="str">
            <v>Xã Nga Tân</v>
          </cell>
          <cell r="I5353" t="str">
            <v>40133</v>
          </cell>
        </row>
        <row r="5354">
          <cell r="G5354" t="str">
            <v>Xã Nga Thạch</v>
          </cell>
          <cell r="I5354" t="str">
            <v>40133</v>
          </cell>
        </row>
        <row r="5355">
          <cell r="G5355" t="str">
            <v>Thị trấn Nga Sơn</v>
          </cell>
          <cell r="I5355" t="str">
            <v>40133</v>
          </cell>
        </row>
        <row r="5356">
          <cell r="G5356" t="str">
            <v>Xã Nga Vịnh</v>
          </cell>
          <cell r="I5356" t="str">
            <v>40133</v>
          </cell>
        </row>
        <row r="5357">
          <cell r="G5357" t="str">
            <v>Xã Nga Văn</v>
          </cell>
          <cell r="I5357" t="str">
            <v>40133</v>
          </cell>
        </row>
        <row r="5358">
          <cell r="G5358" t="str">
            <v>Xã Nga Lĩnh</v>
          </cell>
          <cell r="I5358" t="str">
            <v>40133</v>
          </cell>
        </row>
        <row r="5359">
          <cell r="G5359" t="str">
            <v>Xã Nga Nhân</v>
          </cell>
          <cell r="I5359" t="str">
            <v>40133</v>
          </cell>
        </row>
        <row r="5360">
          <cell r="G5360" t="str">
            <v>Xã Nga Bạch</v>
          </cell>
          <cell r="I5360" t="str">
            <v>40133</v>
          </cell>
        </row>
        <row r="5361">
          <cell r="G5361" t="str">
            <v>Xã Nga Thanh</v>
          </cell>
          <cell r="I5361" t="str">
            <v>40133</v>
          </cell>
        </row>
        <row r="5362">
          <cell r="G5362" t="str">
            <v>Xã Nga Hưng</v>
          </cell>
          <cell r="I5362" t="str">
            <v>40133</v>
          </cell>
        </row>
        <row r="5363">
          <cell r="G5363" t="str">
            <v>Xã Nga Yên</v>
          </cell>
          <cell r="I5363" t="str">
            <v>40133</v>
          </cell>
        </row>
        <row r="5364">
          <cell r="G5364" t="str">
            <v>Xã Nga Giáp</v>
          </cell>
          <cell r="I5364" t="str">
            <v>40133</v>
          </cell>
        </row>
        <row r="5365">
          <cell r="G5365" t="str">
            <v>Xã Nga Hải</v>
          </cell>
          <cell r="I5365" t="str">
            <v>40133</v>
          </cell>
        </row>
        <row r="5366">
          <cell r="G5366" t="str">
            <v>Xã Nga Phú</v>
          </cell>
          <cell r="I5366" t="str">
            <v>40133</v>
          </cell>
        </row>
        <row r="5367">
          <cell r="G5367" t="str">
            <v>Xã Nga Điền</v>
          </cell>
          <cell r="I5367" t="str">
            <v>40133</v>
          </cell>
        </row>
        <row r="5368">
          <cell r="G5368" t="str">
            <v>Xã Nga Thủy</v>
          </cell>
          <cell r="I5368" t="str">
            <v>40133</v>
          </cell>
        </row>
        <row r="5369">
          <cell r="G5369" t="str">
            <v>Xã Nga Liên</v>
          </cell>
          <cell r="I5369" t="str">
            <v>40133</v>
          </cell>
        </row>
        <row r="5370">
          <cell r="G5370" t="str">
            <v>Xã Nga Thái</v>
          </cell>
          <cell r="I5370" t="str">
            <v>40133</v>
          </cell>
        </row>
        <row r="5371">
          <cell r="G5371" t="str">
            <v>Xã Nga Thắng</v>
          </cell>
          <cell r="I5371" t="str">
            <v>40133</v>
          </cell>
        </row>
        <row r="5372">
          <cell r="G5372" t="str">
            <v>Xã Nga Trường</v>
          </cell>
          <cell r="I5372" t="str">
            <v>40133</v>
          </cell>
        </row>
        <row r="5373">
          <cell r="G5373" t="str">
            <v>Thị trấn Quán Lào</v>
          </cell>
          <cell r="I5373" t="str">
            <v>40135</v>
          </cell>
        </row>
        <row r="5374">
          <cell r="G5374" t="str">
            <v xml:space="preserve">Xã Yên Phong   </v>
          </cell>
          <cell r="I5374" t="str">
            <v>40135</v>
          </cell>
        </row>
        <row r="5375">
          <cell r="G5375" t="str">
            <v>Xã Định Công</v>
          </cell>
          <cell r="I5375" t="str">
            <v>40135</v>
          </cell>
        </row>
        <row r="5376">
          <cell r="G5376" t="str">
            <v xml:space="preserve">Xã Yên Phú      </v>
          </cell>
          <cell r="I5376" t="str">
            <v>40135</v>
          </cell>
        </row>
        <row r="5377">
          <cell r="G5377" t="str">
            <v>Xã Qúi Lộc</v>
          </cell>
          <cell r="I5377" t="str">
            <v>40135</v>
          </cell>
        </row>
        <row r="5378">
          <cell r="G5378" t="str">
            <v>Xã Yên Trường</v>
          </cell>
          <cell r="I5378" t="str">
            <v>40135</v>
          </cell>
        </row>
        <row r="5379">
          <cell r="G5379" t="str">
            <v>Xã Yên Hùng</v>
          </cell>
          <cell r="I5379" t="str">
            <v>40135</v>
          </cell>
        </row>
        <row r="5380">
          <cell r="G5380" t="str">
            <v>Xã Định Tăng</v>
          </cell>
          <cell r="I5380" t="str">
            <v>40135</v>
          </cell>
        </row>
        <row r="5381">
          <cell r="G5381" t="str">
            <v>Xã Định Tân</v>
          </cell>
          <cell r="I5381" t="str">
            <v>40135</v>
          </cell>
        </row>
        <row r="5382">
          <cell r="G5382" t="str">
            <v>Xã Định Tường</v>
          </cell>
          <cell r="I5382" t="str">
            <v>40135</v>
          </cell>
        </row>
        <row r="5383">
          <cell r="G5383" t="str">
            <v>Thị trấn Thống Nhất</v>
          </cell>
          <cell r="I5383" t="str">
            <v>40135</v>
          </cell>
        </row>
        <row r="5384">
          <cell r="G5384" t="str">
            <v xml:space="preserve">Xã Yên Lâm  </v>
          </cell>
          <cell r="I5384" t="str">
            <v>40135</v>
          </cell>
        </row>
        <row r="5385">
          <cell r="G5385" t="str">
            <v>Xã Yên Tâm</v>
          </cell>
          <cell r="I5385" t="str">
            <v>40135</v>
          </cell>
        </row>
        <row r="5386">
          <cell r="G5386" t="str">
            <v>Xã Yên Giang</v>
          </cell>
          <cell r="I5386" t="str">
            <v>40135</v>
          </cell>
        </row>
        <row r="5387">
          <cell r="G5387" t="str">
            <v xml:space="preserve">Xã Yên Thọ   </v>
          </cell>
          <cell r="I5387" t="str">
            <v>40135</v>
          </cell>
        </row>
        <row r="5388">
          <cell r="G5388" t="str">
            <v xml:space="preserve">Xã Yên Trung   </v>
          </cell>
          <cell r="I5388" t="str">
            <v>40135</v>
          </cell>
        </row>
        <row r="5389">
          <cell r="G5389" t="str">
            <v>Xã Yên Bái</v>
          </cell>
          <cell r="I5389" t="str">
            <v>40135</v>
          </cell>
        </row>
        <row r="5390">
          <cell r="G5390" t="str">
            <v xml:space="preserve">Xã Yên Thái  </v>
          </cell>
          <cell r="I5390" t="str">
            <v>40135</v>
          </cell>
        </row>
        <row r="5391">
          <cell r="G5391" t="str">
            <v xml:space="preserve">Xã Yên Thịnh  </v>
          </cell>
          <cell r="I5391" t="str">
            <v>40135</v>
          </cell>
        </row>
        <row r="5392">
          <cell r="G5392" t="str">
            <v xml:space="preserve">Xã Yên Ninh  </v>
          </cell>
          <cell r="I5392" t="str">
            <v>40135</v>
          </cell>
        </row>
        <row r="5393">
          <cell r="G5393" t="str">
            <v xml:space="preserve">Xã Yên Lạc    </v>
          </cell>
          <cell r="I5393" t="str">
            <v>40135</v>
          </cell>
        </row>
        <row r="5394">
          <cell r="G5394" t="str">
            <v>Xã Định Hòa</v>
          </cell>
          <cell r="I5394" t="str">
            <v>40135</v>
          </cell>
        </row>
        <row r="5395">
          <cell r="G5395" t="str">
            <v>Xã Định Thành</v>
          </cell>
          <cell r="I5395" t="str">
            <v>40135</v>
          </cell>
        </row>
        <row r="5396">
          <cell r="G5396" t="str">
            <v>Xã Định Tiến</v>
          </cell>
          <cell r="I5396" t="str">
            <v>40135</v>
          </cell>
        </row>
        <row r="5397">
          <cell r="G5397" t="str">
            <v>Xã Định Long</v>
          </cell>
          <cell r="I5397" t="str">
            <v>40135</v>
          </cell>
        </row>
        <row r="5398">
          <cell r="G5398" t="str">
            <v>Xã Định Liên</v>
          </cell>
          <cell r="I5398" t="str">
            <v>40135</v>
          </cell>
        </row>
        <row r="5399">
          <cell r="G5399" t="str">
            <v>Xã Định Hưng</v>
          </cell>
          <cell r="I5399" t="str">
            <v>40135</v>
          </cell>
        </row>
        <row r="5400">
          <cell r="G5400" t="str">
            <v>Xã Định Hải</v>
          </cell>
          <cell r="I5400" t="str">
            <v>40135</v>
          </cell>
        </row>
        <row r="5401">
          <cell r="G5401" t="str">
            <v>Xã Định Bình</v>
          </cell>
          <cell r="I5401" t="str">
            <v>40135</v>
          </cell>
        </row>
        <row r="5402">
          <cell r="G5402" t="str">
            <v>Thị trấn Sao Vàng</v>
          </cell>
          <cell r="I5402" t="str">
            <v>40137</v>
          </cell>
        </row>
        <row r="5403">
          <cell r="G5403" t="str">
            <v xml:space="preserve">Xã Xuân Hòa      </v>
          </cell>
          <cell r="I5403" t="str">
            <v>40137</v>
          </cell>
        </row>
        <row r="5404">
          <cell r="G5404" t="str">
            <v xml:space="preserve">Xã Xuân Phú    </v>
          </cell>
          <cell r="I5404" t="str">
            <v>40137</v>
          </cell>
        </row>
        <row r="5405">
          <cell r="G5405" t="str">
            <v>Xã Xuân Yên</v>
          </cell>
          <cell r="I5405" t="str">
            <v>40137</v>
          </cell>
        </row>
        <row r="5406">
          <cell r="G5406" t="str">
            <v>Thị trấn Thọ Xuân</v>
          </cell>
          <cell r="I5406" t="str">
            <v>40137</v>
          </cell>
        </row>
        <row r="5407">
          <cell r="G5407" t="str">
            <v xml:space="preserve">Xã Xuân Thành </v>
          </cell>
          <cell r="I5407" t="str">
            <v>40137</v>
          </cell>
        </row>
        <row r="5408">
          <cell r="G5408" t="str">
            <v xml:space="preserve">Xã Xuân Phong  </v>
          </cell>
          <cell r="I5408" t="str">
            <v>40137</v>
          </cell>
        </row>
        <row r="5409">
          <cell r="G5409" t="str">
            <v>Xã Thọ Hải</v>
          </cell>
          <cell r="I5409" t="str">
            <v>40137</v>
          </cell>
        </row>
        <row r="5410">
          <cell r="G5410" t="str">
            <v xml:space="preserve">Xã Xuân Sơn   </v>
          </cell>
          <cell r="I5410" t="str">
            <v>40137</v>
          </cell>
        </row>
        <row r="5411">
          <cell r="G5411" t="str">
            <v xml:space="preserve">Xã Quảng Phú  </v>
          </cell>
          <cell r="I5411" t="str">
            <v>40137</v>
          </cell>
        </row>
        <row r="5412">
          <cell r="G5412" t="str">
            <v xml:space="preserve">Xã Xuân Lai  </v>
          </cell>
          <cell r="I5412" t="str">
            <v>40137</v>
          </cell>
        </row>
        <row r="5413">
          <cell r="G5413" t="str">
            <v xml:space="preserve">Xã Xuân Tân  </v>
          </cell>
          <cell r="I5413" t="str">
            <v>40137</v>
          </cell>
        </row>
        <row r="5414">
          <cell r="G5414" t="str">
            <v>Xã Xuân Bái</v>
          </cell>
          <cell r="I5414" t="str">
            <v>40137</v>
          </cell>
        </row>
        <row r="5415">
          <cell r="G5415" t="str">
            <v xml:space="preserve">Xã Xuân Thắng </v>
          </cell>
          <cell r="I5415" t="str">
            <v>40137</v>
          </cell>
        </row>
        <row r="5416">
          <cell r="G5416" t="str">
            <v>Xã Xuân Lam</v>
          </cell>
          <cell r="I5416" t="str">
            <v>40137</v>
          </cell>
        </row>
        <row r="5417">
          <cell r="G5417" t="str">
            <v>Xã Xuân Thiên</v>
          </cell>
          <cell r="I5417" t="str">
            <v>40137</v>
          </cell>
        </row>
        <row r="5418">
          <cell r="G5418" t="str">
            <v>Xã Thọ Minh</v>
          </cell>
          <cell r="I5418" t="str">
            <v>40137</v>
          </cell>
        </row>
        <row r="5419">
          <cell r="G5419" t="str">
            <v xml:space="preserve">Xã Xuân Châu </v>
          </cell>
          <cell r="I5419" t="str">
            <v>40137</v>
          </cell>
        </row>
        <row r="5420">
          <cell r="G5420" t="str">
            <v>Xã Thọ Lập</v>
          </cell>
          <cell r="I5420" t="str">
            <v>40137</v>
          </cell>
        </row>
        <row r="5421">
          <cell r="G5421" t="str">
            <v>Xã Xuân Tín</v>
          </cell>
          <cell r="I5421" t="str">
            <v>40137</v>
          </cell>
        </row>
        <row r="5422">
          <cell r="G5422" t="str">
            <v xml:space="preserve">Xã Phú Yên </v>
          </cell>
          <cell r="I5422" t="str">
            <v>40137</v>
          </cell>
        </row>
        <row r="5423">
          <cell r="G5423" t="str">
            <v xml:space="preserve">Xã Xuân Lập </v>
          </cell>
          <cell r="I5423" t="str">
            <v>40137</v>
          </cell>
        </row>
        <row r="5424">
          <cell r="G5424" t="str">
            <v>Xã Thọ Thắng</v>
          </cell>
          <cell r="I5424" t="str">
            <v>40137</v>
          </cell>
        </row>
        <row r="5425">
          <cell r="G5425" t="str">
            <v xml:space="preserve">Xã Xuân Minh </v>
          </cell>
          <cell r="I5425" t="str">
            <v>40137</v>
          </cell>
        </row>
        <row r="5426">
          <cell r="G5426" t="str">
            <v xml:space="preserve">Xã Xuân Vinh </v>
          </cell>
          <cell r="I5426" t="str">
            <v>40137</v>
          </cell>
        </row>
        <row r="5427">
          <cell r="G5427" t="str">
            <v>Xã Thọ Trường</v>
          </cell>
          <cell r="I5427" t="str">
            <v>40137</v>
          </cell>
        </row>
        <row r="5428">
          <cell r="G5428" t="str">
            <v>Xã Thọ Xương</v>
          </cell>
          <cell r="I5428" t="str">
            <v>40137</v>
          </cell>
        </row>
        <row r="5429">
          <cell r="G5429" t="str">
            <v>Thị trấn Lam Sơn</v>
          </cell>
          <cell r="I5429" t="str">
            <v>40137</v>
          </cell>
        </row>
        <row r="5430">
          <cell r="G5430" t="str">
            <v>Xã Xuân Khánh</v>
          </cell>
          <cell r="I5430" t="str">
            <v>40137</v>
          </cell>
        </row>
        <row r="5431">
          <cell r="G5431" t="str">
            <v>Xã Thọ Nguyên</v>
          </cell>
          <cell r="I5431" t="str">
            <v>40137</v>
          </cell>
        </row>
        <row r="5432">
          <cell r="G5432" t="str">
            <v xml:space="preserve">Xã Hạnh Phúc </v>
          </cell>
          <cell r="I5432" t="str">
            <v>40137</v>
          </cell>
        </row>
        <row r="5433">
          <cell r="G5433" t="str">
            <v>Xã Bắc Lương</v>
          </cell>
          <cell r="I5433" t="str">
            <v>40137</v>
          </cell>
        </row>
        <row r="5434">
          <cell r="G5434" t="str">
            <v>Xã Nam Giang</v>
          </cell>
          <cell r="I5434" t="str">
            <v>40137</v>
          </cell>
        </row>
        <row r="5435">
          <cell r="G5435" t="str">
            <v xml:space="preserve">Xã Thọ Lộc </v>
          </cell>
          <cell r="I5435" t="str">
            <v>40137</v>
          </cell>
        </row>
        <row r="5436">
          <cell r="G5436" t="str">
            <v xml:space="preserve">Xã Xuân Trường </v>
          </cell>
          <cell r="I5436" t="str">
            <v>40137</v>
          </cell>
        </row>
        <row r="5437">
          <cell r="G5437" t="str">
            <v>Xã Tây Hồ</v>
          </cell>
          <cell r="I5437" t="str">
            <v>40137</v>
          </cell>
        </row>
        <row r="5438">
          <cell r="G5438" t="str">
            <v xml:space="preserve">Xã Xuân Giang  </v>
          </cell>
          <cell r="I5438" t="str">
            <v>40137</v>
          </cell>
        </row>
        <row r="5439">
          <cell r="G5439" t="str">
            <v xml:space="preserve">Xã Xuân Quang   </v>
          </cell>
          <cell r="I5439" t="str">
            <v>40137</v>
          </cell>
        </row>
        <row r="5440">
          <cell r="G5440" t="str">
            <v>Xã Xuân Hưng</v>
          </cell>
          <cell r="I5440" t="str">
            <v>40137</v>
          </cell>
        </row>
        <row r="5441">
          <cell r="G5441" t="str">
            <v>Xã Thọ Diên</v>
          </cell>
          <cell r="I5441" t="str">
            <v>40137</v>
          </cell>
        </row>
        <row r="5442">
          <cell r="G5442" t="str">
            <v>Xã Thọ Lâm</v>
          </cell>
          <cell r="I5442" t="str">
            <v>40137</v>
          </cell>
        </row>
        <row r="5443">
          <cell r="G5443" t="str">
            <v xml:space="preserve">Xã Tuy Lộc  </v>
          </cell>
          <cell r="I5443" t="str">
            <v>40139</v>
          </cell>
        </row>
        <row r="5444">
          <cell r="G5444" t="str">
            <v>Xã Hòa Lộc</v>
          </cell>
          <cell r="I5444" t="str">
            <v>40139</v>
          </cell>
        </row>
        <row r="5445">
          <cell r="G5445" t="str">
            <v>Xã Đồng Lộc</v>
          </cell>
          <cell r="I5445" t="str">
            <v>40139</v>
          </cell>
        </row>
        <row r="5446">
          <cell r="G5446" t="str">
            <v>Xã Tiến Lộc</v>
          </cell>
          <cell r="I5446" t="str">
            <v>40139</v>
          </cell>
        </row>
        <row r="5447">
          <cell r="G5447" t="str">
            <v>Xã Thành Lộc</v>
          </cell>
          <cell r="I5447" t="str">
            <v>40139</v>
          </cell>
        </row>
        <row r="5448">
          <cell r="G5448" t="str">
            <v>Xã Văn Lộc</v>
          </cell>
          <cell r="I5448" t="str">
            <v>40139</v>
          </cell>
        </row>
        <row r="5449">
          <cell r="G5449" t="str">
            <v>Xã Thịnh Lộc</v>
          </cell>
          <cell r="I5449" t="str">
            <v>40139</v>
          </cell>
        </row>
        <row r="5450">
          <cell r="G5450" t="str">
            <v xml:space="preserve">Xã Phú Lộc  </v>
          </cell>
          <cell r="I5450" t="str">
            <v>40139</v>
          </cell>
        </row>
        <row r="5451">
          <cell r="G5451" t="str">
            <v xml:space="preserve">Xã Hải Lộc </v>
          </cell>
          <cell r="I5451" t="str">
            <v>40139</v>
          </cell>
        </row>
        <row r="5452">
          <cell r="G5452" t="str">
            <v>Thị trấn Hậu Lộc</v>
          </cell>
          <cell r="I5452" t="str">
            <v>40139</v>
          </cell>
        </row>
        <row r="5453">
          <cell r="G5453" t="str">
            <v>Xã Đại Lộc</v>
          </cell>
          <cell r="I5453" t="str">
            <v>40139</v>
          </cell>
        </row>
        <row r="5454">
          <cell r="G5454" t="str">
            <v>Xã Triệu Lộc</v>
          </cell>
          <cell r="I5454" t="str">
            <v>40139</v>
          </cell>
        </row>
        <row r="5455">
          <cell r="G5455" t="str">
            <v>Xã Châu Lộc</v>
          </cell>
          <cell r="I5455" t="str">
            <v>40139</v>
          </cell>
        </row>
        <row r="5456">
          <cell r="G5456" t="str">
            <v>Xã Lộc Sơn</v>
          </cell>
          <cell r="I5456" t="str">
            <v>40139</v>
          </cell>
        </row>
        <row r="5457">
          <cell r="G5457" t="str">
            <v>Xã Cầu Lộc</v>
          </cell>
          <cell r="I5457" t="str">
            <v>40139</v>
          </cell>
        </row>
        <row r="5458">
          <cell r="G5458" t="str">
            <v>Xã Phong Lộc</v>
          </cell>
          <cell r="I5458" t="str">
            <v>40139</v>
          </cell>
        </row>
        <row r="5459">
          <cell r="G5459" t="str">
            <v xml:space="preserve">Xã Mỹ Lộc </v>
          </cell>
          <cell r="I5459" t="str">
            <v>40139</v>
          </cell>
        </row>
        <row r="5460">
          <cell r="G5460" t="str">
            <v>Xã Thuần Lộc</v>
          </cell>
          <cell r="I5460" t="str">
            <v>40139</v>
          </cell>
        </row>
        <row r="5461">
          <cell r="G5461" t="str">
            <v>Xã Lộc Tân</v>
          </cell>
          <cell r="I5461" t="str">
            <v>40139</v>
          </cell>
        </row>
        <row r="5462">
          <cell r="G5462" t="str">
            <v xml:space="preserve">Xã Xuân Lộc  </v>
          </cell>
          <cell r="I5462" t="str">
            <v>40139</v>
          </cell>
        </row>
        <row r="5463">
          <cell r="G5463" t="str">
            <v>Xã Hoa Lộc</v>
          </cell>
          <cell r="I5463" t="str">
            <v>40139</v>
          </cell>
        </row>
        <row r="5464">
          <cell r="G5464" t="str">
            <v>Xã Liên Lộc</v>
          </cell>
          <cell r="I5464" t="str">
            <v>40139</v>
          </cell>
        </row>
        <row r="5465">
          <cell r="G5465" t="str">
            <v>Xã Quang Lộc</v>
          </cell>
          <cell r="I5465" t="str">
            <v>40139</v>
          </cell>
        </row>
        <row r="5466">
          <cell r="G5466" t="str">
            <v>Xã Minh Lộc</v>
          </cell>
          <cell r="I5466" t="str">
            <v>40139</v>
          </cell>
        </row>
        <row r="5467">
          <cell r="G5467" t="str">
            <v>Xã Hưng Lộc</v>
          </cell>
          <cell r="I5467" t="str">
            <v>40139</v>
          </cell>
        </row>
        <row r="5468">
          <cell r="G5468" t="str">
            <v xml:space="preserve">Xã Đa Lộc </v>
          </cell>
          <cell r="I5468" t="str">
            <v>40139</v>
          </cell>
        </row>
        <row r="5469">
          <cell r="G5469" t="str">
            <v>Xã Ngư Lộc</v>
          </cell>
          <cell r="I5469" t="str">
            <v>40139</v>
          </cell>
        </row>
        <row r="5470">
          <cell r="G5470" t="str">
            <v>Xã Thiệu Long</v>
          </cell>
          <cell r="I5470" t="str">
            <v>40141</v>
          </cell>
        </row>
        <row r="5471">
          <cell r="G5471" t="str">
            <v>Xã Thiệu Minh</v>
          </cell>
          <cell r="I5471" t="str">
            <v>40141</v>
          </cell>
        </row>
        <row r="5472">
          <cell r="G5472" t="str">
            <v>Thị trấn Vạn Hà</v>
          </cell>
          <cell r="I5472" t="str">
            <v>40141</v>
          </cell>
        </row>
        <row r="5473">
          <cell r="G5473" t="str">
            <v>Xã Thiệu Công</v>
          </cell>
          <cell r="I5473" t="str">
            <v>40141</v>
          </cell>
        </row>
        <row r="5474">
          <cell r="G5474" t="str">
            <v>Xã Thiệu Duy</v>
          </cell>
          <cell r="I5474" t="str">
            <v>40141</v>
          </cell>
        </row>
        <row r="5475">
          <cell r="G5475" t="str">
            <v>Xã Thiệu Quang</v>
          </cell>
          <cell r="I5475" t="str">
            <v>40141</v>
          </cell>
        </row>
        <row r="5476">
          <cell r="G5476" t="str">
            <v>Xã Thiệu Hòa</v>
          </cell>
          <cell r="I5476" t="str">
            <v>40141</v>
          </cell>
        </row>
        <row r="5477">
          <cell r="G5477" t="str">
            <v>Xã Thiệu Lý</v>
          </cell>
          <cell r="I5477" t="str">
            <v>40141</v>
          </cell>
        </row>
        <row r="5478">
          <cell r="G5478" t="str">
            <v>Xã Thiệu Châu</v>
          </cell>
          <cell r="I5478" t="str">
            <v>40141</v>
          </cell>
        </row>
        <row r="5479">
          <cell r="G5479" t="str">
            <v>Xã Thiệu Ngọc</v>
          </cell>
          <cell r="I5479" t="str">
            <v>40141</v>
          </cell>
        </row>
        <row r="5480">
          <cell r="G5480" t="str">
            <v>Xã Thiệu Vũ</v>
          </cell>
          <cell r="I5480" t="str">
            <v>40141</v>
          </cell>
        </row>
        <row r="5481">
          <cell r="G5481" t="str">
            <v>Xã Thiệu Phúc</v>
          </cell>
          <cell r="I5481" t="str">
            <v>40141</v>
          </cell>
        </row>
        <row r="5482">
          <cell r="G5482" t="str">
            <v>Xã Thiệu Tiến</v>
          </cell>
          <cell r="I5482" t="str">
            <v>40141</v>
          </cell>
        </row>
        <row r="5483">
          <cell r="G5483" t="str">
            <v>Xã Thiệu Phú</v>
          </cell>
          <cell r="I5483" t="str">
            <v>40141</v>
          </cell>
        </row>
        <row r="5484">
          <cell r="G5484" t="str">
            <v>Xã Thiệu Giang</v>
          </cell>
          <cell r="I5484" t="str">
            <v>40141</v>
          </cell>
        </row>
        <row r="5485">
          <cell r="G5485" t="str">
            <v>Xã Thiệu Nguyên</v>
          </cell>
          <cell r="I5485" t="str">
            <v>40141</v>
          </cell>
        </row>
        <row r="5486">
          <cell r="G5486" t="str">
            <v>Xã Thiệu Hợp</v>
          </cell>
          <cell r="I5486" t="str">
            <v>40141</v>
          </cell>
        </row>
        <row r="5487">
          <cell r="G5487" t="str">
            <v>Xã Thiệu Thịnh</v>
          </cell>
          <cell r="I5487" t="str">
            <v>40141</v>
          </cell>
        </row>
        <row r="5488">
          <cell r="G5488" t="str">
            <v>Xã Thiệu Thành</v>
          </cell>
          <cell r="I5488" t="str">
            <v>40141</v>
          </cell>
        </row>
        <row r="5489">
          <cell r="G5489" t="str">
            <v>Xã Thiệu Toán</v>
          </cell>
          <cell r="I5489" t="str">
            <v>40141</v>
          </cell>
        </row>
        <row r="5490">
          <cell r="G5490" t="str">
            <v>Xã Thiệu Chính</v>
          </cell>
          <cell r="I5490" t="str">
            <v>40141</v>
          </cell>
        </row>
        <row r="5491">
          <cell r="G5491" t="str">
            <v>Xã Thiệu Tâm</v>
          </cell>
          <cell r="I5491" t="str">
            <v>40141</v>
          </cell>
        </row>
        <row r="5492">
          <cell r="G5492" t="str">
            <v>Xã Thiệu Viên</v>
          </cell>
          <cell r="I5492" t="str">
            <v>40141</v>
          </cell>
        </row>
        <row r="5493">
          <cell r="G5493" t="str">
            <v>Xã Thiệu Vận</v>
          </cell>
          <cell r="I5493" t="str">
            <v>40141</v>
          </cell>
        </row>
        <row r="5494">
          <cell r="G5494" t="str">
            <v>Xã Thiệu Trung</v>
          </cell>
          <cell r="I5494" t="str">
            <v>40141</v>
          </cell>
        </row>
        <row r="5495">
          <cell r="G5495" t="str">
            <v>Xã Thiệu Đô</v>
          </cell>
          <cell r="I5495" t="str">
            <v>40141</v>
          </cell>
        </row>
        <row r="5496">
          <cell r="G5496" t="str">
            <v>Xã Thiệu Giao</v>
          </cell>
          <cell r="I5496" t="str">
            <v>40141</v>
          </cell>
        </row>
        <row r="5497">
          <cell r="G5497" t="str">
            <v>Xã Thiệu Tân</v>
          </cell>
          <cell r="I5497" t="str">
            <v>40141</v>
          </cell>
        </row>
        <row r="5498">
          <cell r="G5498" t="str">
            <v>Xã Hoằng Trinh</v>
          </cell>
          <cell r="I5498" t="str">
            <v>40143</v>
          </cell>
        </row>
        <row r="5499">
          <cell r="G5499" t="str">
            <v>Xã Hoằng Trạch</v>
          </cell>
          <cell r="I5499" t="str">
            <v>40143</v>
          </cell>
        </row>
        <row r="5500">
          <cell r="G5500" t="str">
            <v>Xã Hoằng Phụ</v>
          </cell>
          <cell r="I5500" t="str">
            <v>40143</v>
          </cell>
        </row>
        <row r="5501">
          <cell r="G5501" t="str">
            <v>Xã Hoằng Phượng</v>
          </cell>
          <cell r="I5501" t="str">
            <v>40143</v>
          </cell>
        </row>
        <row r="5502">
          <cell r="G5502" t="str">
            <v>Xã Hoằng Giang</v>
          </cell>
          <cell r="I5502" t="str">
            <v>40143</v>
          </cell>
        </row>
        <row r="5503">
          <cell r="G5503" t="str">
            <v>Xã Hoằng Quý</v>
          </cell>
          <cell r="I5503" t="str">
            <v>40143</v>
          </cell>
        </row>
        <row r="5504">
          <cell r="G5504" t="str">
            <v>Xã Hoằng Minh</v>
          </cell>
          <cell r="I5504" t="str">
            <v>40143</v>
          </cell>
        </row>
        <row r="5505">
          <cell r="G5505" t="str">
            <v>Xã Hoằng Đạt</v>
          </cell>
          <cell r="I5505" t="str">
            <v>40143</v>
          </cell>
        </row>
        <row r="5506">
          <cell r="G5506" t="str">
            <v>Xã Hoằng Đồng</v>
          </cell>
          <cell r="I5506" t="str">
            <v>40143</v>
          </cell>
        </row>
        <row r="5507">
          <cell r="G5507" t="str">
            <v>Xã Hoằng Lộc</v>
          </cell>
          <cell r="I5507" t="str">
            <v>40143</v>
          </cell>
        </row>
        <row r="5508">
          <cell r="G5508" t="str">
            <v>Xã Hoằng Lưu</v>
          </cell>
          <cell r="I5508" t="str">
            <v>40143</v>
          </cell>
        </row>
        <row r="5509">
          <cell r="G5509" t="str">
            <v>Xã Hoằng Tiến</v>
          </cell>
          <cell r="I5509" t="str">
            <v>40143</v>
          </cell>
        </row>
        <row r="5510">
          <cell r="G5510" t="str">
            <v>Xã Hoằng Thanh</v>
          </cell>
          <cell r="I5510" t="str">
            <v>40143</v>
          </cell>
        </row>
        <row r="5511">
          <cell r="G5511" t="str">
            <v>Xã Hoằng Phú</v>
          </cell>
          <cell r="I5511" t="str">
            <v>40143</v>
          </cell>
        </row>
        <row r="5512">
          <cell r="G5512" t="str">
            <v>Xã Hoằng Quỳ</v>
          </cell>
          <cell r="I5512" t="str">
            <v>40143</v>
          </cell>
        </row>
        <row r="5513">
          <cell r="G5513" t="str">
            <v>Xã Hoằng Kim</v>
          </cell>
          <cell r="I5513" t="str">
            <v>40143</v>
          </cell>
        </row>
        <row r="5514">
          <cell r="G5514" t="str">
            <v>Xã Hoằng Trung</v>
          </cell>
          <cell r="I5514" t="str">
            <v>40143</v>
          </cell>
        </row>
        <row r="5515">
          <cell r="G5515" t="str">
            <v>Xã Hoằng Sơn</v>
          </cell>
          <cell r="I5515" t="str">
            <v>40143</v>
          </cell>
        </row>
        <row r="5516">
          <cell r="G5516" t="str">
            <v>Xã Hoằng Lương</v>
          </cell>
          <cell r="I5516" t="str">
            <v>40143</v>
          </cell>
        </row>
        <row r="5517">
          <cell r="G5517" t="str">
            <v>Xã Hoằng Xuyên</v>
          </cell>
          <cell r="I5517" t="str">
            <v>40143</v>
          </cell>
        </row>
        <row r="5518">
          <cell r="G5518" t="str">
            <v>Xã Hoằng Cát</v>
          </cell>
          <cell r="I5518" t="str">
            <v>40143</v>
          </cell>
        </row>
        <row r="5519">
          <cell r="G5519" t="str">
            <v>Xã Hoằng Khê</v>
          </cell>
          <cell r="I5519" t="str">
            <v>40143</v>
          </cell>
        </row>
        <row r="5520">
          <cell r="G5520" t="str">
            <v>Xã Hoằng Hợp</v>
          </cell>
          <cell r="I5520" t="str">
            <v>40143</v>
          </cell>
        </row>
        <row r="5521">
          <cell r="G5521" t="str">
            <v>Xã Hoằng Phúc</v>
          </cell>
          <cell r="I5521" t="str">
            <v>40143</v>
          </cell>
        </row>
        <row r="5522">
          <cell r="G5522" t="str">
            <v>Xã Hoằng Đức</v>
          </cell>
          <cell r="I5522" t="str">
            <v>40143</v>
          </cell>
        </row>
        <row r="5523">
          <cell r="G5523" t="str">
            <v>Xã Hoằng Hà</v>
          </cell>
          <cell r="I5523" t="str">
            <v>40143</v>
          </cell>
        </row>
        <row r="5524">
          <cell r="G5524" t="str">
            <v>Xã Hoằng Vinh</v>
          </cell>
          <cell r="I5524" t="str">
            <v>40143</v>
          </cell>
        </row>
        <row r="5525">
          <cell r="G5525" t="str">
            <v>Xã Hoằng Đạo</v>
          </cell>
          <cell r="I5525" t="str">
            <v>40143</v>
          </cell>
        </row>
        <row r="5526">
          <cell r="G5526" t="str">
            <v>Xã Hoằng Thắng</v>
          </cell>
          <cell r="I5526" t="str">
            <v>40143</v>
          </cell>
        </row>
        <row r="5527">
          <cell r="G5527" t="str">
            <v>Xã Hoằng Thái</v>
          </cell>
          <cell r="I5527" t="str">
            <v>40143</v>
          </cell>
        </row>
        <row r="5528">
          <cell r="G5528" t="str">
            <v>Xã Hoằng Thịnh</v>
          </cell>
          <cell r="I5528" t="str">
            <v>40143</v>
          </cell>
        </row>
        <row r="5529">
          <cell r="G5529" t="str">
            <v>Xã Hoằng Thành</v>
          </cell>
          <cell r="I5529" t="str">
            <v>40143</v>
          </cell>
        </row>
        <row r="5530">
          <cell r="G5530" t="str">
            <v>Xã Hoằng Phong</v>
          </cell>
          <cell r="I5530" t="str">
            <v>40143</v>
          </cell>
        </row>
        <row r="5531">
          <cell r="G5531" t="str">
            <v>Xã Hoằng Châu</v>
          </cell>
          <cell r="I5531" t="str">
            <v>40143</v>
          </cell>
        </row>
        <row r="5532">
          <cell r="G5532" t="str">
            <v>Xã Hoằng Tân</v>
          </cell>
          <cell r="I5532" t="str">
            <v>40143</v>
          </cell>
        </row>
        <row r="5533">
          <cell r="G5533" t="str">
            <v>Xã Hoằng Yến</v>
          </cell>
          <cell r="I5533" t="str">
            <v>40143</v>
          </cell>
        </row>
        <row r="5534">
          <cell r="G5534" t="str">
            <v>Xã Hoằng Hải</v>
          </cell>
          <cell r="I5534" t="str">
            <v>40143</v>
          </cell>
        </row>
        <row r="5535">
          <cell r="G5535" t="str">
            <v>Xã Hoằng Ngọc</v>
          </cell>
          <cell r="I5535" t="str">
            <v>40143</v>
          </cell>
        </row>
        <row r="5536">
          <cell r="G5536" t="str">
            <v>Xã Hoằng Đông</v>
          </cell>
          <cell r="I5536" t="str">
            <v>40143</v>
          </cell>
        </row>
        <row r="5537">
          <cell r="G5537" t="str">
            <v>Xã Hoằng Trường</v>
          </cell>
          <cell r="I5537" t="str">
            <v>40143</v>
          </cell>
        </row>
        <row r="5538">
          <cell r="G5538" t="str">
            <v>Thị trấn Hoằng Hóa</v>
          </cell>
          <cell r="I5538" t="str">
            <v>40143</v>
          </cell>
        </row>
        <row r="5539">
          <cell r="G5539" t="str">
            <v>Xã Hoằng Xuân</v>
          </cell>
          <cell r="I5539" t="str">
            <v>40143</v>
          </cell>
        </row>
        <row r="5540">
          <cell r="G5540" t="str">
            <v>Xã Hoằng Khánh</v>
          </cell>
          <cell r="I5540" t="str">
            <v>40143</v>
          </cell>
        </row>
        <row r="5541">
          <cell r="G5541" t="str">
            <v xml:space="preserve">Xã Đông Hòa </v>
          </cell>
          <cell r="I5541" t="str">
            <v>40145</v>
          </cell>
        </row>
        <row r="5542">
          <cell r="G5542" t="str">
            <v xml:space="preserve">Xã Đông Quang  </v>
          </cell>
          <cell r="I5542" t="str">
            <v>40145</v>
          </cell>
        </row>
        <row r="5543">
          <cell r="G5543" t="str">
            <v xml:space="preserve">Xã Đông Hoàng  </v>
          </cell>
          <cell r="I5543" t="str">
            <v>40145</v>
          </cell>
        </row>
        <row r="5544">
          <cell r="G5544" t="str">
            <v xml:space="preserve">Xã Đông Yên </v>
          </cell>
          <cell r="I5544" t="str">
            <v>40145</v>
          </cell>
        </row>
        <row r="5545">
          <cell r="G5545" t="str">
            <v xml:space="preserve">Xã Đông Tiến </v>
          </cell>
          <cell r="I5545" t="str">
            <v>40145</v>
          </cell>
        </row>
        <row r="5546">
          <cell r="G5546" t="str">
            <v>Xã Đông Văn</v>
          </cell>
          <cell r="I5546" t="str">
            <v>40145</v>
          </cell>
        </row>
        <row r="5547">
          <cell r="G5547" t="str">
            <v>Thị trấn Rừng Thông</v>
          </cell>
          <cell r="I5547" t="str">
            <v>40145</v>
          </cell>
        </row>
        <row r="5548">
          <cell r="G5548" t="str">
            <v xml:space="preserve">Xã Đông Ninh </v>
          </cell>
          <cell r="I5548" t="str">
            <v>40145</v>
          </cell>
        </row>
        <row r="5549">
          <cell r="G5549" t="str">
            <v xml:space="preserve">Xã Đông Khê </v>
          </cell>
          <cell r="I5549" t="str">
            <v>40145</v>
          </cell>
        </row>
        <row r="5550">
          <cell r="G5550" t="str">
            <v xml:space="preserve">Xã Đông Minh  </v>
          </cell>
          <cell r="I5550" t="str">
            <v>40145</v>
          </cell>
        </row>
        <row r="5551">
          <cell r="G5551" t="str">
            <v>Xã Đông Thanh</v>
          </cell>
          <cell r="I5551" t="str">
            <v>40145</v>
          </cell>
        </row>
        <row r="5552">
          <cell r="G5552" t="str">
            <v>Xã Đông Anh</v>
          </cell>
          <cell r="I5552" t="str">
            <v>40145</v>
          </cell>
        </row>
        <row r="5553">
          <cell r="G5553" t="str">
            <v xml:space="preserve">Xã Đông Xuân   </v>
          </cell>
          <cell r="I5553" t="str">
            <v>40145</v>
          </cell>
        </row>
        <row r="5554">
          <cell r="G5554" t="str">
            <v>Xã Đông Thịnh</v>
          </cell>
          <cell r="I5554" t="str">
            <v>40145</v>
          </cell>
        </row>
        <row r="5555">
          <cell r="G5555" t="str">
            <v xml:space="preserve">Xã Đông Phú </v>
          </cell>
          <cell r="I5555" t="str">
            <v>40145</v>
          </cell>
        </row>
        <row r="5556">
          <cell r="G5556" t="str">
            <v>Xã Đông Nam</v>
          </cell>
          <cell r="I5556" t="str">
            <v>40145</v>
          </cell>
        </row>
        <row r="5557">
          <cell r="G5557" t="str">
            <v>Xã Thọ Thế</v>
          </cell>
          <cell r="I5557" t="str">
            <v>40147</v>
          </cell>
        </row>
        <row r="5558">
          <cell r="G5558" t="str">
            <v xml:space="preserve">Xã Đồng Thắng </v>
          </cell>
          <cell r="I5558" t="str">
            <v>40147</v>
          </cell>
        </row>
        <row r="5559">
          <cell r="G5559" t="str">
            <v>Xã Hợp Thắng</v>
          </cell>
          <cell r="I5559" t="str">
            <v>40147</v>
          </cell>
        </row>
        <row r="5560">
          <cell r="G5560" t="str">
            <v>Thị trấn Triệu Sơn</v>
          </cell>
          <cell r="I5560" t="str">
            <v>40147</v>
          </cell>
        </row>
        <row r="5561">
          <cell r="G5561" t="str">
            <v xml:space="preserve">Xã Hợp Tiến    </v>
          </cell>
          <cell r="I5561" t="str">
            <v>40147</v>
          </cell>
        </row>
        <row r="5562">
          <cell r="G5562" t="str">
            <v xml:space="preserve">Xã Minh Sơn   </v>
          </cell>
          <cell r="I5562" t="str">
            <v>40147</v>
          </cell>
        </row>
        <row r="5563">
          <cell r="G5563" t="str">
            <v>Xã Dân Lý</v>
          </cell>
          <cell r="I5563" t="str">
            <v>40147</v>
          </cell>
        </row>
        <row r="5564">
          <cell r="G5564" t="str">
            <v xml:space="preserve">Xã Thái Hòa     </v>
          </cell>
          <cell r="I5564" t="str">
            <v>40147</v>
          </cell>
        </row>
        <row r="5565">
          <cell r="G5565" t="str">
            <v xml:space="preserve">Xã Đồng Tiến        </v>
          </cell>
          <cell r="I5565" t="str">
            <v>40147</v>
          </cell>
        </row>
        <row r="5566">
          <cell r="G5566" t="str">
            <v>Xã Xuân Thịnh</v>
          </cell>
          <cell r="I5566" t="str">
            <v>40147</v>
          </cell>
        </row>
        <row r="5567">
          <cell r="G5567" t="str">
            <v>Xã Thọ Ngọc</v>
          </cell>
          <cell r="I5567" t="str">
            <v>40147</v>
          </cell>
        </row>
        <row r="5568">
          <cell r="G5568" t="str">
            <v>Xã Thọ Vực</v>
          </cell>
          <cell r="I5568" t="str">
            <v>40147</v>
          </cell>
        </row>
        <row r="5569">
          <cell r="G5569" t="str">
            <v>Xã Thọ Sơn</v>
          </cell>
          <cell r="I5569" t="str">
            <v>40147</v>
          </cell>
        </row>
        <row r="5570">
          <cell r="G5570" t="str">
            <v>Xã Thọ Bình</v>
          </cell>
          <cell r="I5570" t="str">
            <v>40147</v>
          </cell>
        </row>
        <row r="5571">
          <cell r="G5571" t="str">
            <v>Xã Thọ Tiến</v>
          </cell>
          <cell r="I5571" t="str">
            <v>40147</v>
          </cell>
        </row>
        <row r="5572">
          <cell r="G5572" t="str">
            <v xml:space="preserve">Xã Hợp Lý  </v>
          </cell>
          <cell r="I5572" t="str">
            <v>40147</v>
          </cell>
        </row>
        <row r="5573">
          <cell r="G5573" t="str">
            <v xml:space="preserve">Xã Hợp Thành      </v>
          </cell>
          <cell r="I5573" t="str">
            <v>40147</v>
          </cell>
        </row>
        <row r="5574">
          <cell r="G5574" t="str">
            <v>Xã Triệu Thành</v>
          </cell>
          <cell r="I5574" t="str">
            <v>40147</v>
          </cell>
        </row>
        <row r="5575">
          <cell r="G5575" t="str">
            <v xml:space="preserve">Xã Minh Dân </v>
          </cell>
          <cell r="I5575" t="str">
            <v>40147</v>
          </cell>
        </row>
        <row r="5576">
          <cell r="G5576" t="str">
            <v xml:space="preserve">Xã Minh Châu    </v>
          </cell>
          <cell r="I5576" t="str">
            <v>40147</v>
          </cell>
        </row>
        <row r="5577">
          <cell r="G5577" t="str">
            <v>Xã Dân Lực</v>
          </cell>
          <cell r="I5577" t="str">
            <v>40147</v>
          </cell>
        </row>
        <row r="5578">
          <cell r="G5578" t="str">
            <v>Xã Dân Quyền</v>
          </cell>
          <cell r="I5578" t="str">
            <v>40147</v>
          </cell>
        </row>
        <row r="5579">
          <cell r="G5579" t="str">
            <v>Xã An Nông</v>
          </cell>
          <cell r="I5579" t="str">
            <v>40147</v>
          </cell>
        </row>
        <row r="5580">
          <cell r="G5580" t="str">
            <v xml:space="preserve">Xã Văn Sơn  </v>
          </cell>
          <cell r="I5580" t="str">
            <v>40147</v>
          </cell>
        </row>
        <row r="5581">
          <cell r="G5581" t="str">
            <v>Xã Tân Ninh</v>
          </cell>
          <cell r="I5581" t="str">
            <v>40147</v>
          </cell>
        </row>
        <row r="5582">
          <cell r="G5582" t="str">
            <v>Xã Đồng Lợi</v>
          </cell>
          <cell r="I5582" t="str">
            <v>40147</v>
          </cell>
        </row>
        <row r="5583">
          <cell r="G5583" t="str">
            <v>Xã Tiến Nông</v>
          </cell>
          <cell r="I5583" t="str">
            <v>40147</v>
          </cell>
        </row>
        <row r="5584">
          <cell r="G5584" t="str">
            <v>Xã Khuyến Nông</v>
          </cell>
          <cell r="I5584" t="str">
            <v>40147</v>
          </cell>
        </row>
        <row r="5585">
          <cell r="G5585" t="str">
            <v xml:space="preserve">Xã Xuân Lộc   </v>
          </cell>
          <cell r="I5585" t="str">
            <v>40147</v>
          </cell>
        </row>
        <row r="5586">
          <cell r="G5586" t="str">
            <v>Xã Thọ Dân</v>
          </cell>
          <cell r="I5586" t="str">
            <v>40147</v>
          </cell>
        </row>
        <row r="5587">
          <cell r="G5587" t="str">
            <v xml:space="preserve">Xã Xuân Thọ </v>
          </cell>
          <cell r="I5587" t="str">
            <v>40147</v>
          </cell>
        </row>
        <row r="5588">
          <cell r="G5588" t="str">
            <v>Xã Thọ Tân</v>
          </cell>
          <cell r="I5588" t="str">
            <v>40147</v>
          </cell>
        </row>
        <row r="5589">
          <cell r="G5589" t="str">
            <v>Xã Thọ Cường</v>
          </cell>
          <cell r="I5589" t="str">
            <v>40147</v>
          </cell>
        </row>
        <row r="5590">
          <cell r="G5590" t="str">
            <v>Xã Thọ Phú</v>
          </cell>
          <cell r="I5590" t="str">
            <v>40147</v>
          </cell>
        </row>
        <row r="5591">
          <cell r="G5591" t="str">
            <v>Xã Nông Trường</v>
          </cell>
          <cell r="I5591" t="str">
            <v>40147</v>
          </cell>
        </row>
        <row r="5592">
          <cell r="G5592" t="str">
            <v xml:space="preserve">Xã Bình Sơn   </v>
          </cell>
          <cell r="I5592" t="str">
            <v>40147</v>
          </cell>
        </row>
        <row r="5593">
          <cell r="G5593" t="str">
            <v>Xã Quảng Nhân</v>
          </cell>
          <cell r="I5593" t="str">
            <v>40149</v>
          </cell>
        </row>
        <row r="5594">
          <cell r="G5594" t="str">
            <v>Xã Quảng Phúc</v>
          </cell>
          <cell r="I5594" t="str">
            <v>40149</v>
          </cell>
        </row>
        <row r="5595">
          <cell r="G5595" t="str">
            <v>Xã Quảng Đại</v>
          </cell>
          <cell r="I5595" t="str">
            <v>40149</v>
          </cell>
        </row>
        <row r="5596">
          <cell r="G5596" t="str">
            <v xml:space="preserve">Xã Quảng Lợi </v>
          </cell>
          <cell r="I5596" t="str">
            <v>40149</v>
          </cell>
        </row>
        <row r="5597">
          <cell r="G5597" t="str">
            <v xml:space="preserve">Xã Quảng Đức </v>
          </cell>
          <cell r="I5597" t="str">
            <v>40149</v>
          </cell>
        </row>
        <row r="5598">
          <cell r="G5598" t="str">
            <v>Xã Quảng Ninh</v>
          </cell>
          <cell r="I5598" t="str">
            <v>40149</v>
          </cell>
        </row>
        <row r="5599">
          <cell r="G5599" t="str">
            <v xml:space="preserve">Xã Quảng Long </v>
          </cell>
          <cell r="I5599" t="str">
            <v>40149</v>
          </cell>
        </row>
        <row r="5600">
          <cell r="G5600" t="str">
            <v xml:space="preserve">Xã Quảng Khê </v>
          </cell>
          <cell r="I5600" t="str">
            <v>40149</v>
          </cell>
        </row>
        <row r="5601">
          <cell r="G5601" t="str">
            <v>Xã Quảng Trường</v>
          </cell>
          <cell r="I5601" t="str">
            <v>40149</v>
          </cell>
        </row>
        <row r="5602">
          <cell r="G5602" t="str">
            <v>Xã Quảng Hùng</v>
          </cell>
          <cell r="I5602" t="str">
            <v>40149</v>
          </cell>
        </row>
        <row r="5603">
          <cell r="G5603" t="str">
            <v>Xã Quảng Thọ</v>
          </cell>
          <cell r="I5603" t="str">
            <v>40149</v>
          </cell>
        </row>
        <row r="5604">
          <cell r="G5604" t="str">
            <v>Xã Quảng Hải</v>
          </cell>
          <cell r="I5604" t="str">
            <v>40149</v>
          </cell>
        </row>
        <row r="5605">
          <cell r="G5605" t="str">
            <v>Xã Quảng Nham</v>
          </cell>
          <cell r="I5605" t="str">
            <v>40149</v>
          </cell>
        </row>
        <row r="5606">
          <cell r="G5606" t="str">
            <v>Xã Quảng Thạch</v>
          </cell>
          <cell r="I5606" t="str">
            <v>40149</v>
          </cell>
        </row>
        <row r="5607">
          <cell r="G5607" t="str">
            <v>Xã Quảng Thái</v>
          </cell>
          <cell r="I5607" t="str">
            <v>40149</v>
          </cell>
        </row>
        <row r="5608">
          <cell r="G5608" t="str">
            <v>Thị trấn Quảng Xương</v>
          </cell>
          <cell r="I5608" t="str">
            <v>40149</v>
          </cell>
        </row>
        <row r="5609">
          <cell r="G5609" t="str">
            <v xml:space="preserve">Xã Quảng Tân </v>
          </cell>
          <cell r="I5609" t="str">
            <v>40149</v>
          </cell>
        </row>
        <row r="5610">
          <cell r="G5610" t="str">
            <v>Xã Quảng Trạch</v>
          </cell>
          <cell r="I5610" t="str">
            <v>40149</v>
          </cell>
        </row>
        <row r="5611">
          <cell r="G5611" t="str">
            <v xml:space="preserve">Xã Quảng Phong </v>
          </cell>
          <cell r="I5611" t="str">
            <v>40149</v>
          </cell>
        </row>
        <row r="5612">
          <cell r="G5612" t="str">
            <v>Xã Quảng Định</v>
          </cell>
          <cell r="I5612" t="str">
            <v>40149</v>
          </cell>
        </row>
        <row r="5613">
          <cell r="G5613" t="str">
            <v>Xã Quảng Bình</v>
          </cell>
          <cell r="I5613" t="str">
            <v>40149</v>
          </cell>
        </row>
        <row r="5614">
          <cell r="G5614" t="str">
            <v>Xã Quảng Hợp</v>
          </cell>
          <cell r="I5614" t="str">
            <v>40149</v>
          </cell>
        </row>
        <row r="5615">
          <cell r="G5615" t="str">
            <v>Xã Quảng Văn</v>
          </cell>
          <cell r="I5615" t="str">
            <v>40149</v>
          </cell>
        </row>
        <row r="5616">
          <cell r="G5616" t="str">
            <v>Xã Quảng Yên</v>
          </cell>
          <cell r="I5616" t="str">
            <v>40149</v>
          </cell>
        </row>
        <row r="5617">
          <cell r="G5617" t="str">
            <v>Xã Quảng Hòa</v>
          </cell>
          <cell r="I5617" t="str">
            <v>40149</v>
          </cell>
        </row>
        <row r="5618">
          <cell r="G5618" t="str">
            <v>Xã Quảng Lĩnh</v>
          </cell>
          <cell r="I5618" t="str">
            <v>40149</v>
          </cell>
        </row>
        <row r="5619">
          <cell r="G5619" t="str">
            <v xml:space="preserve">Xã Quảng Trung </v>
          </cell>
          <cell r="I5619" t="str">
            <v>40149</v>
          </cell>
        </row>
        <row r="5620">
          <cell r="G5620" t="str">
            <v xml:space="preserve">Xã Quảng Chính </v>
          </cell>
          <cell r="I5620" t="str">
            <v>40149</v>
          </cell>
        </row>
        <row r="5621">
          <cell r="G5621" t="str">
            <v>Xã Quảng Ngọc</v>
          </cell>
          <cell r="I5621" t="str">
            <v>40149</v>
          </cell>
        </row>
        <row r="5622">
          <cell r="G5622" t="str">
            <v>Xã Quảng Vọng</v>
          </cell>
          <cell r="I5622" t="str">
            <v>40149</v>
          </cell>
        </row>
        <row r="5623">
          <cell r="G5623" t="str">
            <v xml:space="preserve">Xã Quảng Minh  </v>
          </cell>
          <cell r="I5623" t="str">
            <v>40149</v>
          </cell>
        </row>
        <row r="5624">
          <cell r="G5624" t="str">
            <v>Xã Quảng Giao</v>
          </cell>
          <cell r="I5624" t="str">
            <v>40149</v>
          </cell>
        </row>
        <row r="5625">
          <cell r="G5625" t="str">
            <v xml:space="preserve">Xã Quảng Châu </v>
          </cell>
          <cell r="I5625" t="str">
            <v>40149</v>
          </cell>
        </row>
        <row r="5626">
          <cell r="G5626" t="str">
            <v>Xã Quảng Vinh</v>
          </cell>
          <cell r="I5626" t="str">
            <v>40149</v>
          </cell>
        </row>
        <row r="5627">
          <cell r="G5627" t="str">
            <v>Xã Quảng Lưu</v>
          </cell>
          <cell r="I5627" t="str">
            <v>40149</v>
          </cell>
        </row>
        <row r="5628">
          <cell r="G5628" t="str">
            <v>Xã Quảng Lộc</v>
          </cell>
          <cell r="I5628" t="str">
            <v>40149</v>
          </cell>
        </row>
        <row r="5629">
          <cell r="G5629" t="str">
            <v xml:space="preserve">Xã Tân Phúc  </v>
          </cell>
          <cell r="I5629" t="str">
            <v>40151</v>
          </cell>
        </row>
        <row r="5630">
          <cell r="G5630" t="str">
            <v>Xã Minh Nghĩa</v>
          </cell>
          <cell r="I5630" t="str">
            <v>40151</v>
          </cell>
        </row>
        <row r="5631">
          <cell r="G5631" t="str">
            <v>Xã Công Liêm</v>
          </cell>
          <cell r="I5631" t="str">
            <v>40151</v>
          </cell>
        </row>
        <row r="5632">
          <cell r="G5632" t="str">
            <v>Xã Tân Thọ</v>
          </cell>
          <cell r="I5632" t="str">
            <v>40151</v>
          </cell>
        </row>
        <row r="5633">
          <cell r="G5633" t="str">
            <v>Xã Hoàng Giang</v>
          </cell>
          <cell r="I5633" t="str">
            <v>40151</v>
          </cell>
        </row>
        <row r="5634">
          <cell r="G5634" t="str">
            <v>Xã Tế Thắng</v>
          </cell>
          <cell r="I5634" t="str">
            <v>40151</v>
          </cell>
        </row>
        <row r="5635">
          <cell r="G5635" t="str">
            <v>Xã Tế Nông</v>
          </cell>
          <cell r="I5635" t="str">
            <v>40151</v>
          </cell>
        </row>
        <row r="5636">
          <cell r="G5636" t="str">
            <v>Xã Trừơng Trung</v>
          </cell>
          <cell r="I5636" t="str">
            <v>40151</v>
          </cell>
        </row>
        <row r="5637">
          <cell r="G5637" t="str">
            <v>Xã Trường Minh</v>
          </cell>
          <cell r="I5637" t="str">
            <v>40151</v>
          </cell>
        </row>
        <row r="5638">
          <cell r="G5638" t="str">
            <v>Xã Tượng Văn</v>
          </cell>
          <cell r="I5638" t="str">
            <v>40151</v>
          </cell>
        </row>
        <row r="5639">
          <cell r="G5639" t="str">
            <v>Xã Công Chính</v>
          </cell>
          <cell r="I5639" t="str">
            <v>40151</v>
          </cell>
        </row>
        <row r="5640">
          <cell r="G5640" t="str">
            <v>Thị trấn Nông Cống</v>
          </cell>
          <cell r="I5640" t="str">
            <v>40151</v>
          </cell>
        </row>
        <row r="5641">
          <cell r="G5641" t="str">
            <v>Xã Hoàng Sơn</v>
          </cell>
          <cell r="I5641" t="str">
            <v>40151</v>
          </cell>
        </row>
        <row r="5642">
          <cell r="G5642" t="str">
            <v>Xã Tân Khang</v>
          </cell>
          <cell r="I5642" t="str">
            <v>40151</v>
          </cell>
        </row>
        <row r="5643">
          <cell r="G5643" t="str">
            <v xml:space="preserve">Xã Trung Chính </v>
          </cell>
          <cell r="I5643" t="str">
            <v>40151</v>
          </cell>
        </row>
        <row r="5644">
          <cell r="G5644" t="str">
            <v>Xã Trung ý</v>
          </cell>
          <cell r="I5644" t="str">
            <v>40151</v>
          </cell>
        </row>
        <row r="5645">
          <cell r="G5645" t="str">
            <v xml:space="preserve">Xã Trung Thành      </v>
          </cell>
          <cell r="I5645" t="str">
            <v>40151</v>
          </cell>
        </row>
        <row r="5646">
          <cell r="G5646" t="str">
            <v>Xã Tế Tân</v>
          </cell>
          <cell r="I5646" t="str">
            <v>40151</v>
          </cell>
        </row>
        <row r="5647">
          <cell r="G5647" t="str">
            <v>Xã Minh Thọ</v>
          </cell>
          <cell r="I5647" t="str">
            <v>40151</v>
          </cell>
        </row>
        <row r="5648">
          <cell r="G5648" t="str">
            <v>Xã Tế Lợi</v>
          </cell>
          <cell r="I5648" t="str">
            <v>40151</v>
          </cell>
        </row>
        <row r="5649">
          <cell r="G5649" t="str">
            <v>Xã Minh Khôi</v>
          </cell>
          <cell r="I5649" t="str">
            <v>40151</v>
          </cell>
        </row>
        <row r="5650">
          <cell r="G5650" t="str">
            <v xml:space="preserve">Xã Vạn Hòa </v>
          </cell>
          <cell r="I5650" t="str">
            <v>40151</v>
          </cell>
        </row>
        <row r="5651">
          <cell r="G5651" t="str">
            <v xml:space="preserve">Xã Vạn Thắng </v>
          </cell>
          <cell r="I5651" t="str">
            <v>40151</v>
          </cell>
        </row>
        <row r="5652">
          <cell r="G5652" t="str">
            <v xml:space="preserve">Xã Trường Giang </v>
          </cell>
          <cell r="I5652" t="str">
            <v>40151</v>
          </cell>
        </row>
        <row r="5653">
          <cell r="G5653" t="str">
            <v>Xã Vạn Thiện</v>
          </cell>
          <cell r="I5653" t="str">
            <v>40151</v>
          </cell>
        </row>
        <row r="5654">
          <cell r="G5654" t="str">
            <v xml:space="preserve">Xã Thăng Long  </v>
          </cell>
          <cell r="I5654" t="str">
            <v>40151</v>
          </cell>
        </row>
        <row r="5655">
          <cell r="G5655" t="str">
            <v xml:space="preserve">Xã Trường Sơn  </v>
          </cell>
          <cell r="I5655" t="str">
            <v>40151</v>
          </cell>
        </row>
        <row r="5656">
          <cell r="G5656" t="str">
            <v>Xã Thăng Bình</v>
          </cell>
          <cell r="I5656" t="str">
            <v>40151</v>
          </cell>
        </row>
        <row r="5657">
          <cell r="G5657" t="str">
            <v>Xã Thăng Thọ</v>
          </cell>
          <cell r="I5657" t="str">
            <v>40151</v>
          </cell>
        </row>
        <row r="5658">
          <cell r="G5658" t="str">
            <v xml:space="preserve">Xã Tượng Lĩnh </v>
          </cell>
          <cell r="I5658" t="str">
            <v>40151</v>
          </cell>
        </row>
        <row r="5659">
          <cell r="G5659" t="str">
            <v>Xã Tượng Sơn</v>
          </cell>
          <cell r="I5659" t="str">
            <v>40151</v>
          </cell>
        </row>
        <row r="5660">
          <cell r="G5660" t="str">
            <v>Xã Công Bình</v>
          </cell>
          <cell r="I5660" t="str">
            <v>40151</v>
          </cell>
        </row>
        <row r="5661">
          <cell r="G5661" t="str">
            <v xml:space="preserve">Xã Yên Mỹ     </v>
          </cell>
          <cell r="I5661" t="str">
            <v>40151</v>
          </cell>
        </row>
        <row r="5662">
          <cell r="G5662" t="str">
            <v xml:space="preserve">Xã Thanh Thủy   </v>
          </cell>
          <cell r="I5662" t="str">
            <v>40153</v>
          </cell>
        </row>
        <row r="5663">
          <cell r="G5663" t="str">
            <v>Xã Hải Lĩnh</v>
          </cell>
          <cell r="I5663" t="str">
            <v>40153</v>
          </cell>
        </row>
        <row r="5664">
          <cell r="G5664" t="str">
            <v>Xã Hải Bình</v>
          </cell>
          <cell r="I5664" t="str">
            <v>40153</v>
          </cell>
        </row>
        <row r="5665">
          <cell r="G5665" t="str">
            <v xml:space="preserve">Xã Hùng Sơn   </v>
          </cell>
          <cell r="I5665" t="str">
            <v>40153</v>
          </cell>
        </row>
        <row r="5666">
          <cell r="G5666" t="str">
            <v xml:space="preserve">Xã Định Hải </v>
          </cell>
          <cell r="I5666" t="str">
            <v>40153</v>
          </cell>
        </row>
        <row r="5667">
          <cell r="G5667" t="str">
            <v>Xã Hải Nhân</v>
          </cell>
          <cell r="I5667" t="str">
            <v>40153</v>
          </cell>
        </row>
        <row r="5668">
          <cell r="G5668" t="str">
            <v xml:space="preserve">Xã Phú Lâm  </v>
          </cell>
          <cell r="I5668" t="str">
            <v>40153</v>
          </cell>
        </row>
        <row r="5669">
          <cell r="G5669" t="str">
            <v xml:space="preserve">Xã Tân Trường </v>
          </cell>
          <cell r="I5669" t="str">
            <v>40153</v>
          </cell>
        </row>
        <row r="5670">
          <cell r="G5670" t="str">
            <v>Xã Trường Lâm</v>
          </cell>
          <cell r="I5670" t="str">
            <v>40153</v>
          </cell>
        </row>
        <row r="5671">
          <cell r="G5671" t="str">
            <v xml:space="preserve">Xã Hải Hà </v>
          </cell>
          <cell r="I5671" t="str">
            <v>40153</v>
          </cell>
        </row>
        <row r="5672">
          <cell r="G5672" t="str">
            <v>Thị trấn Tĩnh Gia</v>
          </cell>
          <cell r="I5672" t="str">
            <v>40153</v>
          </cell>
        </row>
        <row r="5673">
          <cell r="G5673" t="str">
            <v xml:space="preserve">Xã Hải Châu </v>
          </cell>
          <cell r="I5673" t="str">
            <v>40153</v>
          </cell>
        </row>
        <row r="5674">
          <cell r="G5674" t="str">
            <v xml:space="preserve">Xã Thanh Sơn      </v>
          </cell>
          <cell r="I5674" t="str">
            <v>40153</v>
          </cell>
        </row>
        <row r="5675">
          <cell r="G5675" t="str">
            <v>Xã Triêu Dương</v>
          </cell>
          <cell r="I5675" t="str">
            <v>40153</v>
          </cell>
        </row>
        <row r="5676">
          <cell r="G5676" t="str">
            <v xml:space="preserve">Xã Hải Ninh </v>
          </cell>
          <cell r="I5676" t="str">
            <v>40153</v>
          </cell>
        </row>
        <row r="5677">
          <cell r="G5677" t="str">
            <v>Xã Anh Sơn</v>
          </cell>
          <cell r="I5677" t="str">
            <v>40153</v>
          </cell>
        </row>
        <row r="5678">
          <cell r="G5678" t="str">
            <v>Xã Ngọc Lĩnh</v>
          </cell>
          <cell r="I5678" t="str">
            <v>40153</v>
          </cell>
        </row>
        <row r="5679">
          <cell r="G5679" t="str">
            <v xml:space="preserve">Xã Hải An </v>
          </cell>
          <cell r="I5679" t="str">
            <v>40153</v>
          </cell>
        </row>
        <row r="5680">
          <cell r="G5680" t="str">
            <v>Xã Các Sơn</v>
          </cell>
          <cell r="I5680" t="str">
            <v>40153</v>
          </cell>
        </row>
        <row r="5681">
          <cell r="G5681" t="str">
            <v xml:space="preserve">Xã Tân Dân        </v>
          </cell>
          <cell r="I5681" t="str">
            <v>40153</v>
          </cell>
        </row>
        <row r="5682">
          <cell r="G5682" t="str">
            <v xml:space="preserve">Xã Phú Sơn   </v>
          </cell>
          <cell r="I5682" t="str">
            <v>40153</v>
          </cell>
        </row>
        <row r="5683">
          <cell r="G5683" t="str">
            <v xml:space="preserve">Xã Ninh Hải  </v>
          </cell>
          <cell r="I5683" t="str">
            <v>40153</v>
          </cell>
        </row>
        <row r="5684">
          <cell r="G5684" t="str">
            <v>Xã Nguyên Bình</v>
          </cell>
          <cell r="I5684" t="str">
            <v>40153</v>
          </cell>
        </row>
        <row r="5685">
          <cell r="G5685" t="str">
            <v xml:space="preserve">Xã Hải Hòa </v>
          </cell>
          <cell r="I5685" t="str">
            <v>40153</v>
          </cell>
        </row>
        <row r="5686">
          <cell r="G5686" t="str">
            <v xml:space="preserve">Xã Bình Minh     </v>
          </cell>
          <cell r="I5686" t="str">
            <v>40153</v>
          </cell>
        </row>
        <row r="5687">
          <cell r="G5687" t="str">
            <v xml:space="preserve">Xã Hải Thanh </v>
          </cell>
          <cell r="I5687" t="str">
            <v>40153</v>
          </cell>
        </row>
        <row r="5688">
          <cell r="G5688" t="str">
            <v xml:space="preserve">Xã Xuân Lâm </v>
          </cell>
          <cell r="I5688" t="str">
            <v>40153</v>
          </cell>
        </row>
        <row r="5689">
          <cell r="G5689" t="str">
            <v>Xã Trúc Lâm</v>
          </cell>
          <cell r="I5689" t="str">
            <v>40153</v>
          </cell>
        </row>
        <row r="5690">
          <cell r="G5690" t="str">
            <v>Xã Tùng Lâm</v>
          </cell>
          <cell r="I5690" t="str">
            <v>40153</v>
          </cell>
        </row>
        <row r="5691">
          <cell r="G5691" t="str">
            <v>Xã Tĩnh Hải</v>
          </cell>
          <cell r="I5691" t="str">
            <v>40153</v>
          </cell>
        </row>
        <row r="5692">
          <cell r="G5692" t="str">
            <v xml:space="preserve">Xã Mai Lâm </v>
          </cell>
          <cell r="I5692" t="str">
            <v>40153</v>
          </cell>
        </row>
        <row r="5693">
          <cell r="G5693" t="str">
            <v xml:space="preserve">Xã Hải Yến </v>
          </cell>
          <cell r="I5693" t="str">
            <v>40153</v>
          </cell>
        </row>
        <row r="5694">
          <cell r="G5694" t="str">
            <v>Xã Hải Thượng</v>
          </cell>
          <cell r="I5694" t="str">
            <v>40153</v>
          </cell>
        </row>
        <row r="5695">
          <cell r="G5695" t="str">
            <v>Xã Nghi Sơn</v>
          </cell>
          <cell r="I5695" t="str">
            <v>40153</v>
          </cell>
        </row>
        <row r="5696">
          <cell r="G5696" t="str">
            <v xml:space="preserve">Phường Quang Trung            </v>
          </cell>
          <cell r="I5696" t="str">
            <v>40301</v>
          </cell>
        </row>
        <row r="5697">
          <cell r="G5697" t="str">
            <v>Phường Hưng Bình</v>
          </cell>
          <cell r="I5697" t="str">
            <v>40301</v>
          </cell>
        </row>
        <row r="5698">
          <cell r="G5698" t="str">
            <v>Phường Lê Mao</v>
          </cell>
          <cell r="I5698" t="str">
            <v>40301</v>
          </cell>
        </row>
        <row r="5699">
          <cell r="G5699" t="str">
            <v>Phường Trung Đô</v>
          </cell>
          <cell r="I5699" t="str">
            <v>40301</v>
          </cell>
        </row>
        <row r="5700">
          <cell r="G5700" t="str">
            <v>Xã Hưng Hòa</v>
          </cell>
          <cell r="I5700" t="str">
            <v>40301</v>
          </cell>
        </row>
        <row r="5701">
          <cell r="G5701" t="str">
            <v>Phường Đông Vĩnh</v>
          </cell>
          <cell r="I5701" t="str">
            <v>40301</v>
          </cell>
        </row>
        <row r="5702">
          <cell r="G5702" t="str">
            <v>Phường Hà Huy Tập</v>
          </cell>
          <cell r="I5702" t="str">
            <v>40301</v>
          </cell>
        </row>
        <row r="5703">
          <cell r="G5703" t="str">
            <v xml:space="preserve">Phường Lê Lợi    </v>
          </cell>
          <cell r="I5703" t="str">
            <v>40301</v>
          </cell>
        </row>
        <row r="5704">
          <cell r="G5704" t="str">
            <v>Phường Quán Bàu</v>
          </cell>
          <cell r="I5704" t="str">
            <v>40301</v>
          </cell>
        </row>
        <row r="5705">
          <cell r="G5705" t="str">
            <v>Phường Hưng Phúc</v>
          </cell>
          <cell r="I5705" t="str">
            <v>40301</v>
          </cell>
        </row>
        <row r="5706">
          <cell r="G5706" t="str">
            <v>Phường Hưng Dũng</v>
          </cell>
          <cell r="I5706" t="str">
            <v>40301</v>
          </cell>
        </row>
        <row r="5707">
          <cell r="G5707" t="str">
            <v xml:space="preserve">Phường Cửa Nam  </v>
          </cell>
          <cell r="I5707" t="str">
            <v>40301</v>
          </cell>
        </row>
        <row r="5708">
          <cell r="G5708" t="str">
            <v>Phường Đội Cung</v>
          </cell>
          <cell r="I5708" t="str">
            <v>40301</v>
          </cell>
        </row>
        <row r="5709">
          <cell r="G5709" t="str">
            <v xml:space="preserve">Phường Trường Thi  </v>
          </cell>
          <cell r="I5709" t="str">
            <v>40301</v>
          </cell>
        </row>
        <row r="5710">
          <cell r="G5710" t="str">
            <v>Phường Bến Thủy</v>
          </cell>
          <cell r="I5710" t="str">
            <v>40301</v>
          </cell>
        </row>
        <row r="5711">
          <cell r="G5711" t="str">
            <v>Phường Hồng Sơn</v>
          </cell>
          <cell r="I5711" t="str">
            <v>40301</v>
          </cell>
        </row>
        <row r="5712">
          <cell r="G5712" t="str">
            <v>Xã Nghi Phú</v>
          </cell>
          <cell r="I5712" t="str">
            <v>40301</v>
          </cell>
        </row>
        <row r="5713">
          <cell r="G5713" t="str">
            <v>Xã Hưng Đông</v>
          </cell>
          <cell r="I5713" t="str">
            <v>40301</v>
          </cell>
        </row>
        <row r="5714">
          <cell r="G5714" t="str">
            <v xml:space="preserve">Xã Hưng Lộc </v>
          </cell>
          <cell r="I5714" t="str">
            <v>40301</v>
          </cell>
        </row>
        <row r="5715">
          <cell r="G5715" t="str">
            <v>Phường  Vinh Tân</v>
          </cell>
          <cell r="I5715" t="str">
            <v>40301</v>
          </cell>
        </row>
        <row r="5716">
          <cell r="G5716" t="str">
            <v>Xã Hưng Chính</v>
          </cell>
          <cell r="I5716" t="str">
            <v>40301</v>
          </cell>
        </row>
        <row r="5717">
          <cell r="G5717" t="str">
            <v>Xã Nghi Kim</v>
          </cell>
          <cell r="I5717" t="str">
            <v>40301</v>
          </cell>
        </row>
        <row r="5718">
          <cell r="G5718" t="str">
            <v>Xã Nghi Liên</v>
          </cell>
          <cell r="I5718" t="str">
            <v>40301</v>
          </cell>
        </row>
        <row r="5719">
          <cell r="G5719" t="str">
            <v>Xã Nghi Ân</v>
          </cell>
          <cell r="I5719" t="str">
            <v>40301</v>
          </cell>
        </row>
        <row r="5720">
          <cell r="G5720" t="str">
            <v>Xã Nghi Đức</v>
          </cell>
          <cell r="I5720" t="str">
            <v>40301</v>
          </cell>
        </row>
        <row r="5721">
          <cell r="G5721" t="str">
            <v>Phường Nghi Tân</v>
          </cell>
          <cell r="I5721" t="str">
            <v>40303</v>
          </cell>
        </row>
        <row r="5722">
          <cell r="G5722" t="str">
            <v>Phường Thu Thuỷ</v>
          </cell>
          <cell r="I5722" t="str">
            <v>40303</v>
          </cell>
        </row>
        <row r="5723">
          <cell r="G5723" t="str">
            <v>Phường Nghi Thu</v>
          </cell>
          <cell r="I5723" t="str">
            <v>40303</v>
          </cell>
        </row>
        <row r="5724">
          <cell r="G5724" t="str">
            <v>Phường Nghi Thuỷ</v>
          </cell>
          <cell r="I5724" t="str">
            <v>40303</v>
          </cell>
        </row>
        <row r="5725">
          <cell r="G5725" t="str">
            <v>Phường Nghi Hòa</v>
          </cell>
          <cell r="I5725" t="str">
            <v>40303</v>
          </cell>
        </row>
        <row r="5726">
          <cell r="G5726" t="str">
            <v>Phường Nghi Hải</v>
          </cell>
          <cell r="I5726" t="str">
            <v>40303</v>
          </cell>
        </row>
        <row r="5727">
          <cell r="G5727" t="str">
            <v>Phường Nghi Hương</v>
          </cell>
          <cell r="I5727" t="str">
            <v>40303</v>
          </cell>
        </row>
        <row r="5728">
          <cell r="G5728" t="str">
            <v>Xã Mường Nọc</v>
          </cell>
          <cell r="I5728" t="str">
            <v>40305</v>
          </cell>
        </row>
        <row r="5729">
          <cell r="G5729" t="str">
            <v>Xã Hạnh Dịch</v>
          </cell>
          <cell r="I5729" t="str">
            <v>40305</v>
          </cell>
        </row>
        <row r="5730">
          <cell r="G5730" t="str">
            <v>Xã Châu Kim</v>
          </cell>
          <cell r="I5730" t="str">
            <v>40305</v>
          </cell>
        </row>
        <row r="5731">
          <cell r="G5731" t="str">
            <v xml:space="preserve">Xã Quang Phong </v>
          </cell>
          <cell r="I5731" t="str">
            <v>40305</v>
          </cell>
        </row>
        <row r="5732">
          <cell r="G5732" t="str">
            <v>Thị trấn Kim Sơn</v>
          </cell>
          <cell r="I5732" t="str">
            <v>40305</v>
          </cell>
        </row>
        <row r="5733">
          <cell r="G5733" t="str">
            <v>Xã Thông Thụ</v>
          </cell>
          <cell r="I5733" t="str">
            <v>40305</v>
          </cell>
        </row>
        <row r="5734">
          <cell r="G5734" t="str">
            <v xml:space="preserve">Xã Đồng Văn  </v>
          </cell>
          <cell r="I5734" t="str">
            <v>40305</v>
          </cell>
        </row>
        <row r="5735">
          <cell r="G5735" t="str">
            <v xml:space="preserve">Xã Tiền Phong         </v>
          </cell>
          <cell r="I5735" t="str">
            <v>40305</v>
          </cell>
        </row>
        <row r="5736">
          <cell r="G5736" t="str">
            <v>Xã Nậm Giải</v>
          </cell>
          <cell r="I5736" t="str">
            <v>40305</v>
          </cell>
        </row>
        <row r="5737">
          <cell r="G5737" t="str">
            <v xml:space="preserve">Xã Tri Lễ </v>
          </cell>
          <cell r="I5737" t="str">
            <v>40305</v>
          </cell>
        </row>
        <row r="5738">
          <cell r="G5738" t="str">
            <v xml:space="preserve">Xã Quế Sơn </v>
          </cell>
          <cell r="I5738" t="str">
            <v>40305</v>
          </cell>
        </row>
        <row r="5739">
          <cell r="G5739" t="str">
            <v>Xã Châu Thôn</v>
          </cell>
          <cell r="I5739" t="str">
            <v>40305</v>
          </cell>
        </row>
        <row r="5740">
          <cell r="G5740" t="str">
            <v>Xã Nậm Nhoóng</v>
          </cell>
          <cell r="I5740" t="str">
            <v>40305</v>
          </cell>
        </row>
        <row r="5741">
          <cell r="G5741" t="str">
            <v>Xã Cắm Muộn</v>
          </cell>
          <cell r="I5741" t="str">
            <v>40305</v>
          </cell>
        </row>
        <row r="5742">
          <cell r="G5742" t="str">
            <v>Xã Châu Tiến</v>
          </cell>
          <cell r="I5742" t="str">
            <v>40307</v>
          </cell>
        </row>
        <row r="5743">
          <cell r="G5743" t="str">
            <v>Xã Châu Thuận</v>
          </cell>
          <cell r="I5743" t="str">
            <v>40307</v>
          </cell>
        </row>
        <row r="5744">
          <cell r="G5744" t="str">
            <v>Xã Châu Hoàn</v>
          </cell>
          <cell r="I5744" t="str">
            <v>40307</v>
          </cell>
        </row>
        <row r="5745">
          <cell r="G5745" t="str">
            <v>Xã Diên Lãm</v>
          </cell>
          <cell r="I5745" t="str">
            <v>40307</v>
          </cell>
        </row>
        <row r="5746">
          <cell r="G5746" t="str">
            <v>Thị trấn Tân Lạc</v>
          </cell>
          <cell r="I5746" t="str">
            <v>40307</v>
          </cell>
        </row>
        <row r="5747">
          <cell r="G5747" t="str">
            <v>Xã Châu Bính</v>
          </cell>
          <cell r="I5747" t="str">
            <v>40307</v>
          </cell>
        </row>
        <row r="5748">
          <cell r="G5748" t="str">
            <v>Xã Châu Hội</v>
          </cell>
          <cell r="I5748" t="str">
            <v>40307</v>
          </cell>
        </row>
        <row r="5749">
          <cell r="G5749" t="str">
            <v>Xã Châu Nga</v>
          </cell>
          <cell r="I5749" t="str">
            <v>40307</v>
          </cell>
        </row>
        <row r="5750">
          <cell r="G5750" t="str">
            <v>Xã Châu Hạnh</v>
          </cell>
          <cell r="I5750" t="str">
            <v>40307</v>
          </cell>
        </row>
        <row r="5751">
          <cell r="G5751" t="str">
            <v>Xã Châu Thắng</v>
          </cell>
          <cell r="I5751" t="str">
            <v>40307</v>
          </cell>
        </row>
        <row r="5752">
          <cell r="G5752" t="str">
            <v xml:space="preserve">Xã Châu Phong </v>
          </cell>
          <cell r="I5752" t="str">
            <v>40307</v>
          </cell>
        </row>
        <row r="5753">
          <cell r="G5753" t="str">
            <v>Xã Châu Bình</v>
          </cell>
          <cell r="I5753" t="str">
            <v>40307</v>
          </cell>
        </row>
        <row r="5754">
          <cell r="G5754" t="str">
            <v>Xã Na Loi</v>
          </cell>
          <cell r="I5754" t="str">
            <v>40309</v>
          </cell>
        </row>
        <row r="5755">
          <cell r="G5755" t="str">
            <v>Xã Mường ải</v>
          </cell>
          <cell r="I5755" t="str">
            <v>40309</v>
          </cell>
        </row>
        <row r="5756">
          <cell r="G5756" t="str">
            <v>Xã Bảo Nam</v>
          </cell>
          <cell r="I5756" t="str">
            <v>40309</v>
          </cell>
        </row>
        <row r="5757">
          <cell r="G5757" t="str">
            <v>Xã Hữu Lập</v>
          </cell>
          <cell r="I5757" t="str">
            <v>40309</v>
          </cell>
        </row>
        <row r="5758">
          <cell r="G5758" t="str">
            <v>Xã Hữu Kiệm</v>
          </cell>
          <cell r="I5758" t="str">
            <v>40309</v>
          </cell>
        </row>
        <row r="5759">
          <cell r="G5759" t="str">
            <v>Xã Nậm Càn</v>
          </cell>
          <cell r="I5759" t="str">
            <v>40309</v>
          </cell>
        </row>
        <row r="5760">
          <cell r="G5760" t="str">
            <v>Thị trấn Mường Xén</v>
          </cell>
          <cell r="I5760" t="str">
            <v>40309</v>
          </cell>
        </row>
        <row r="5761">
          <cell r="G5761" t="str">
            <v>Xã Mỹ Lý</v>
          </cell>
          <cell r="I5761" t="str">
            <v>40309</v>
          </cell>
        </row>
        <row r="5762">
          <cell r="G5762" t="str">
            <v xml:space="preserve">Xã Bắc Lý  </v>
          </cell>
          <cell r="I5762" t="str">
            <v>40309</v>
          </cell>
        </row>
        <row r="5763">
          <cell r="G5763" t="str">
            <v>Xã Keng Đu</v>
          </cell>
          <cell r="I5763" t="str">
            <v>40309</v>
          </cell>
        </row>
        <row r="5764">
          <cell r="G5764" t="str">
            <v>Xã Đoọc Mạy</v>
          </cell>
          <cell r="I5764" t="str">
            <v>40309</v>
          </cell>
        </row>
        <row r="5765">
          <cell r="G5765" t="str">
            <v>Xã Huồi Tụ</v>
          </cell>
          <cell r="I5765" t="str">
            <v>40309</v>
          </cell>
        </row>
        <row r="5766">
          <cell r="G5766" t="str">
            <v>Xã Mường Lống</v>
          </cell>
          <cell r="I5766" t="str">
            <v>40309</v>
          </cell>
        </row>
        <row r="5767">
          <cell r="G5767" t="str">
            <v>Xã Nậm Cắn</v>
          </cell>
          <cell r="I5767" t="str">
            <v>40309</v>
          </cell>
        </row>
        <row r="5768">
          <cell r="G5768" t="str">
            <v>Xã Phà Đánh</v>
          </cell>
          <cell r="I5768" t="str">
            <v>40309</v>
          </cell>
        </row>
        <row r="5769">
          <cell r="G5769" t="str">
            <v>Xã Bảo Thắng</v>
          </cell>
          <cell r="I5769" t="str">
            <v>40309</v>
          </cell>
        </row>
        <row r="5770">
          <cell r="G5770" t="str">
            <v>Xã Tà Cạ</v>
          </cell>
          <cell r="I5770" t="str">
            <v>40309</v>
          </cell>
        </row>
        <row r="5771">
          <cell r="G5771" t="str">
            <v>Xã Chiêu Lưu</v>
          </cell>
          <cell r="I5771" t="str">
            <v>40309</v>
          </cell>
        </row>
        <row r="5772">
          <cell r="G5772" t="str">
            <v>Xã Mường Típ</v>
          </cell>
          <cell r="I5772" t="str">
            <v>40309</v>
          </cell>
        </row>
        <row r="5773">
          <cell r="G5773" t="str">
            <v xml:space="preserve">Xã Tây Sơn </v>
          </cell>
          <cell r="I5773" t="str">
            <v>40309</v>
          </cell>
        </row>
        <row r="5774">
          <cell r="G5774" t="str">
            <v>Xã Na Ngoi</v>
          </cell>
          <cell r="I5774" t="str">
            <v>40309</v>
          </cell>
        </row>
        <row r="5775">
          <cell r="G5775" t="str">
            <v>Xã Châu Hồng</v>
          </cell>
          <cell r="I5775" t="str">
            <v>40311</v>
          </cell>
        </row>
        <row r="5776">
          <cell r="G5776" t="str">
            <v>Xã Châu Đình</v>
          </cell>
          <cell r="I5776" t="str">
            <v>40311</v>
          </cell>
        </row>
        <row r="5777">
          <cell r="G5777" t="str">
            <v xml:space="preserve">Xã Châu Tiến </v>
          </cell>
          <cell r="I5777" t="str">
            <v>40311</v>
          </cell>
        </row>
        <row r="5778">
          <cell r="G5778" t="str">
            <v>Xã Liên Hợp</v>
          </cell>
          <cell r="I5778" t="str">
            <v>40311</v>
          </cell>
        </row>
        <row r="5779">
          <cell r="G5779" t="str">
            <v>Xã Châu Quang</v>
          </cell>
          <cell r="I5779" t="str">
            <v>40311</v>
          </cell>
        </row>
        <row r="5780">
          <cell r="G5780" t="str">
            <v>Xã Châu Thái</v>
          </cell>
          <cell r="I5780" t="str">
            <v>40311</v>
          </cell>
        </row>
        <row r="5781">
          <cell r="G5781" t="str">
            <v>Xã Châu Lý</v>
          </cell>
          <cell r="I5781" t="str">
            <v>40311</v>
          </cell>
        </row>
        <row r="5782">
          <cell r="G5782" t="str">
            <v>Thị trấn Quỳ Hợp</v>
          </cell>
          <cell r="I5782" t="str">
            <v>40311</v>
          </cell>
        </row>
        <row r="5783">
          <cell r="G5783" t="str">
            <v xml:space="preserve">Xã Yên Hợp </v>
          </cell>
          <cell r="I5783" t="str">
            <v>40311</v>
          </cell>
        </row>
        <row r="5784">
          <cell r="G5784" t="str">
            <v>Xã Đồng Hợp</v>
          </cell>
          <cell r="I5784" t="str">
            <v>40311</v>
          </cell>
        </row>
        <row r="5785">
          <cell r="G5785" t="str">
            <v>Xã Châu Thành</v>
          </cell>
          <cell r="I5785" t="str">
            <v>40311</v>
          </cell>
        </row>
        <row r="5786">
          <cell r="G5786" t="str">
            <v xml:space="preserve">Xã Châu Lộc </v>
          </cell>
          <cell r="I5786" t="str">
            <v>40311</v>
          </cell>
        </row>
        <row r="5787">
          <cell r="G5787" t="str">
            <v xml:space="preserve">Xã Tam Hợp </v>
          </cell>
          <cell r="I5787" t="str">
            <v>40311</v>
          </cell>
        </row>
        <row r="5788">
          <cell r="G5788" t="str">
            <v>Xã Châu Cường</v>
          </cell>
          <cell r="I5788" t="str">
            <v>40311</v>
          </cell>
        </row>
        <row r="5789">
          <cell r="G5789" t="str">
            <v>Xã Thọ Hợp</v>
          </cell>
          <cell r="I5789" t="str">
            <v>40311</v>
          </cell>
        </row>
        <row r="5790">
          <cell r="G5790" t="str">
            <v>Xã Minh Hợp</v>
          </cell>
          <cell r="I5790" t="str">
            <v>40311</v>
          </cell>
        </row>
        <row r="5791">
          <cell r="G5791" t="str">
            <v>Xã Nghĩa Xuân</v>
          </cell>
          <cell r="I5791" t="str">
            <v>40311</v>
          </cell>
        </row>
        <row r="5792">
          <cell r="G5792" t="str">
            <v>Xã Văn Lợi</v>
          </cell>
          <cell r="I5792" t="str">
            <v>40311</v>
          </cell>
        </row>
        <row r="5793">
          <cell r="G5793" t="str">
            <v xml:space="preserve">Xã Nam Sơn      </v>
          </cell>
          <cell r="I5793" t="str">
            <v>40311</v>
          </cell>
        </row>
        <row r="5794">
          <cell r="G5794" t="str">
            <v>Xã Hạ Sơn</v>
          </cell>
          <cell r="I5794" t="str">
            <v>40311</v>
          </cell>
        </row>
        <row r="5795">
          <cell r="G5795" t="str">
            <v xml:space="preserve">Xã Bắc Sơn        </v>
          </cell>
          <cell r="I5795" t="str">
            <v>40311</v>
          </cell>
        </row>
        <row r="5796">
          <cell r="G5796" t="str">
            <v xml:space="preserve">Xã Nghĩa Hưng  </v>
          </cell>
          <cell r="I5796" t="str">
            <v>40313</v>
          </cell>
        </row>
        <row r="5797">
          <cell r="G5797" t="str">
            <v>Xã Nghĩa Yên</v>
          </cell>
          <cell r="I5797" t="str">
            <v>40313</v>
          </cell>
        </row>
        <row r="5798">
          <cell r="G5798" t="str">
            <v xml:space="preserve">Xã Nghĩa Lợi  </v>
          </cell>
          <cell r="I5798" t="str">
            <v>40313</v>
          </cell>
        </row>
        <row r="5799">
          <cell r="G5799" t="str">
            <v xml:space="preserve">Xã Nghĩa Phú </v>
          </cell>
          <cell r="I5799" t="str">
            <v>40313</v>
          </cell>
        </row>
        <row r="5800">
          <cell r="G5800" t="str">
            <v xml:space="preserve">Xã Nghĩa Trung  </v>
          </cell>
          <cell r="I5800" t="str">
            <v>40313</v>
          </cell>
        </row>
        <row r="5801">
          <cell r="G5801" t="str">
            <v>Xã Nghĩa Mai</v>
          </cell>
          <cell r="I5801" t="str">
            <v>40313</v>
          </cell>
        </row>
        <row r="5802">
          <cell r="G5802" t="str">
            <v xml:space="preserve">Xã Nghĩa Lạc </v>
          </cell>
          <cell r="I5802" t="str">
            <v>40313</v>
          </cell>
        </row>
        <row r="5803">
          <cell r="G5803" t="str">
            <v xml:space="preserve">Xã Nghĩa Lâm </v>
          </cell>
          <cell r="I5803" t="str">
            <v>40313</v>
          </cell>
        </row>
        <row r="5804">
          <cell r="G5804" t="str">
            <v xml:space="preserve">Xã Nghĩa Sơn  </v>
          </cell>
          <cell r="I5804" t="str">
            <v>40313</v>
          </cell>
        </row>
        <row r="5805">
          <cell r="G5805" t="str">
            <v xml:space="preserve">Xã Nghĩa Bình </v>
          </cell>
          <cell r="I5805" t="str">
            <v>40313</v>
          </cell>
        </row>
        <row r="5806">
          <cell r="G5806" t="str">
            <v>Xã Nghĩa Thọ</v>
          </cell>
          <cell r="I5806" t="str">
            <v>40313</v>
          </cell>
        </row>
        <row r="5807">
          <cell r="G5807" t="str">
            <v xml:space="preserve">Xã Nghĩa Minh </v>
          </cell>
          <cell r="I5807" t="str">
            <v>40313</v>
          </cell>
        </row>
        <row r="5808">
          <cell r="G5808" t="str">
            <v xml:space="preserve">Xã Nghĩa Hồng </v>
          </cell>
          <cell r="I5808" t="str">
            <v>40313</v>
          </cell>
        </row>
        <row r="5809">
          <cell r="G5809" t="str">
            <v xml:space="preserve">Xã Nghĩa Thịnh </v>
          </cell>
          <cell r="I5809" t="str">
            <v>40313</v>
          </cell>
        </row>
        <row r="5810">
          <cell r="G5810" t="str">
            <v>Xã Nghĩa Hội</v>
          </cell>
          <cell r="I5810" t="str">
            <v>40313</v>
          </cell>
        </row>
        <row r="5811">
          <cell r="G5811" t="str">
            <v xml:space="preserve">Xã Nghĩa Tân </v>
          </cell>
          <cell r="I5811" t="str">
            <v>40313</v>
          </cell>
        </row>
        <row r="5812">
          <cell r="G5812" t="str">
            <v xml:space="preserve">Xã Nghĩa Thắng </v>
          </cell>
          <cell r="I5812" t="str">
            <v>40313</v>
          </cell>
        </row>
        <row r="5813">
          <cell r="G5813" t="str">
            <v>Xã Nghĩa Hiếu</v>
          </cell>
          <cell r="I5813" t="str">
            <v>40313</v>
          </cell>
        </row>
        <row r="5814">
          <cell r="G5814" t="str">
            <v>Xã Nghĩa Liên</v>
          </cell>
          <cell r="I5814" t="str">
            <v>40313</v>
          </cell>
        </row>
        <row r="5815">
          <cell r="G5815" t="str">
            <v>Xã Nghĩa Đức</v>
          </cell>
          <cell r="I5815" t="str">
            <v>40313</v>
          </cell>
        </row>
        <row r="5816">
          <cell r="G5816" t="str">
            <v xml:space="preserve">Xã Nghĩa An   </v>
          </cell>
          <cell r="I5816" t="str">
            <v>40313</v>
          </cell>
        </row>
        <row r="5817">
          <cell r="G5817" t="str">
            <v>Xã Nghĩa Long</v>
          </cell>
          <cell r="I5817" t="str">
            <v>40313</v>
          </cell>
        </row>
        <row r="5818">
          <cell r="G5818" t="str">
            <v>Xã Nghĩa Khánh</v>
          </cell>
          <cell r="I5818" t="str">
            <v>40313</v>
          </cell>
        </row>
        <row r="5819">
          <cell r="G5819" t="str">
            <v>Xã Nghĩa Lộc</v>
          </cell>
          <cell r="I5819" t="str">
            <v>40313</v>
          </cell>
        </row>
        <row r="5820">
          <cell r="G5820" t="str">
            <v>Thị trấn Nghĩa Đàn</v>
          </cell>
          <cell r="I5820" t="str">
            <v>40313</v>
          </cell>
        </row>
        <row r="5821">
          <cell r="G5821" t="str">
            <v>Phưòng Hòa Hiếu</v>
          </cell>
          <cell r="I5821" t="str">
            <v>40314</v>
          </cell>
        </row>
        <row r="5822">
          <cell r="G5822" t="str">
            <v>Phường Quang Tiến</v>
          </cell>
          <cell r="I5822" t="str">
            <v>40314</v>
          </cell>
        </row>
        <row r="5823">
          <cell r="G5823" t="str">
            <v>Phường Long Sơn</v>
          </cell>
          <cell r="I5823" t="str">
            <v>40314</v>
          </cell>
        </row>
        <row r="5824">
          <cell r="G5824" t="str">
            <v>Phường Quang Phong</v>
          </cell>
          <cell r="I5824" t="str">
            <v>40314</v>
          </cell>
        </row>
        <row r="5825">
          <cell r="G5825" t="str">
            <v>Xã Nghĩa Mỹ</v>
          </cell>
          <cell r="I5825" t="str">
            <v>40314</v>
          </cell>
        </row>
        <row r="5826">
          <cell r="G5826" t="str">
            <v xml:space="preserve">Xã Nghĩa Thuận </v>
          </cell>
          <cell r="I5826" t="str">
            <v>40314</v>
          </cell>
        </row>
        <row r="5827">
          <cell r="G5827" t="str">
            <v>Xã Nghĩa Tiến</v>
          </cell>
          <cell r="I5827" t="str">
            <v>40314</v>
          </cell>
        </row>
        <row r="5828">
          <cell r="G5828" t="str">
            <v>Xã Đông Hiếu</v>
          </cell>
          <cell r="I5828" t="str">
            <v>40314</v>
          </cell>
        </row>
        <row r="5829">
          <cell r="G5829" t="str">
            <v>Xã Tây Hiếu</v>
          </cell>
          <cell r="I5829" t="str">
            <v>40314</v>
          </cell>
        </row>
        <row r="5830">
          <cell r="G5830" t="str">
            <v xml:space="preserve">Xã Nghĩa Hòa </v>
          </cell>
          <cell r="I5830" t="str">
            <v>40314</v>
          </cell>
        </row>
        <row r="5831">
          <cell r="G5831" t="str">
            <v xml:space="preserve">Xã Nga My </v>
          </cell>
          <cell r="I5831" t="str">
            <v>40315</v>
          </cell>
        </row>
        <row r="5832">
          <cell r="G5832" t="str">
            <v xml:space="preserve">Xã Tam Hợp  </v>
          </cell>
          <cell r="I5832" t="str">
            <v>40315</v>
          </cell>
        </row>
        <row r="5833">
          <cell r="G5833" t="str">
            <v>Xã Hữu Khuông</v>
          </cell>
          <cell r="I5833" t="str">
            <v>40315</v>
          </cell>
        </row>
        <row r="5834">
          <cell r="G5834" t="str">
            <v>Xã Xiêng My</v>
          </cell>
          <cell r="I5834" t="str">
            <v>40315</v>
          </cell>
        </row>
        <row r="5835">
          <cell r="G5835" t="str">
            <v xml:space="preserve">Xã Yên Hòa   </v>
          </cell>
          <cell r="I5835" t="str">
            <v>40315</v>
          </cell>
        </row>
        <row r="5836">
          <cell r="G5836" t="str">
            <v>Xã Thạch Giám</v>
          </cell>
          <cell r="I5836" t="str">
            <v>40315</v>
          </cell>
        </row>
        <row r="5837">
          <cell r="G5837" t="str">
            <v xml:space="preserve">Xã Tam Quang </v>
          </cell>
          <cell r="I5837" t="str">
            <v>40315</v>
          </cell>
        </row>
        <row r="5838">
          <cell r="G5838" t="str">
            <v>Thị trấn Hòa Bình</v>
          </cell>
          <cell r="I5838" t="str">
            <v>40315</v>
          </cell>
        </row>
        <row r="5839">
          <cell r="G5839" t="str">
            <v xml:space="preserve">Xã Mai Sơn  </v>
          </cell>
          <cell r="I5839" t="str">
            <v>40315</v>
          </cell>
        </row>
        <row r="5840">
          <cell r="G5840" t="str">
            <v>Xã Nhôn Mai</v>
          </cell>
          <cell r="I5840" t="str">
            <v>40315</v>
          </cell>
        </row>
        <row r="5841">
          <cell r="G5841" t="str">
            <v>Xã Yên Tĩnh</v>
          </cell>
          <cell r="I5841" t="str">
            <v>40315</v>
          </cell>
        </row>
        <row r="5842">
          <cell r="G5842" t="str">
            <v>Xã Lưỡng Minh</v>
          </cell>
          <cell r="I5842" t="str">
            <v>40315</v>
          </cell>
        </row>
        <row r="5843">
          <cell r="G5843" t="str">
            <v>Xã Yên Na</v>
          </cell>
          <cell r="I5843" t="str">
            <v>40315</v>
          </cell>
        </row>
        <row r="5844">
          <cell r="G5844" t="str">
            <v>Xã Lưu Kiền</v>
          </cell>
          <cell r="I5844" t="str">
            <v>40315</v>
          </cell>
        </row>
        <row r="5845">
          <cell r="G5845" t="str">
            <v>Xã Xá Lượng</v>
          </cell>
          <cell r="I5845" t="str">
            <v>40315</v>
          </cell>
        </row>
        <row r="5846">
          <cell r="G5846" t="str">
            <v>Xã Tam Thái</v>
          </cell>
          <cell r="I5846" t="str">
            <v>40315</v>
          </cell>
        </row>
        <row r="5847">
          <cell r="G5847" t="str">
            <v>Xã Tam Đình</v>
          </cell>
          <cell r="I5847" t="str">
            <v>40315</v>
          </cell>
        </row>
        <row r="5848">
          <cell r="G5848" t="str">
            <v xml:space="preserve">Xã Yên Thắng    </v>
          </cell>
          <cell r="I5848" t="str">
            <v>40315</v>
          </cell>
        </row>
        <row r="5849">
          <cell r="G5849" t="str">
            <v>Xã Quỳnh Bảng</v>
          </cell>
          <cell r="I5849" t="str">
            <v>40317</v>
          </cell>
        </row>
        <row r="5850">
          <cell r="G5850" t="str">
            <v>Xã Quỳnh Diễn</v>
          </cell>
          <cell r="I5850" t="str">
            <v>40317</v>
          </cell>
        </row>
        <row r="5851">
          <cell r="G5851" t="str">
            <v>Xã Quỳnh Yên</v>
          </cell>
          <cell r="I5851" t="str">
            <v>40317</v>
          </cell>
        </row>
        <row r="5852">
          <cell r="G5852" t="str">
            <v xml:space="preserve">Xã Quỳnh Hưng </v>
          </cell>
          <cell r="I5852" t="str">
            <v>40317</v>
          </cell>
        </row>
        <row r="5853">
          <cell r="G5853" t="str">
            <v xml:space="preserve">Xã An Hòa   </v>
          </cell>
          <cell r="I5853" t="str">
            <v>40317</v>
          </cell>
        </row>
        <row r="5854">
          <cell r="G5854" t="str">
            <v>Xã Quỳnh Thuận</v>
          </cell>
          <cell r="I5854" t="str">
            <v>40317</v>
          </cell>
        </row>
        <row r="5855">
          <cell r="G5855" t="str">
            <v>Xã Quỳnh Tam</v>
          </cell>
          <cell r="I5855" t="str">
            <v>40317</v>
          </cell>
        </row>
        <row r="5856">
          <cell r="G5856" t="str">
            <v>Xã Quỳnh Thắng</v>
          </cell>
          <cell r="I5856" t="str">
            <v>40317</v>
          </cell>
        </row>
        <row r="5857">
          <cell r="G5857" t="str">
            <v xml:space="preserve">Xã Quỳnh Hoa </v>
          </cell>
          <cell r="I5857" t="str">
            <v>40317</v>
          </cell>
        </row>
        <row r="5858">
          <cell r="G5858" t="str">
            <v>Xã Quỳnh Thạch</v>
          </cell>
          <cell r="I5858" t="str">
            <v>40317</v>
          </cell>
        </row>
        <row r="5859">
          <cell r="G5859" t="str">
            <v xml:space="preserve">Xã Quỳnh Mỹ </v>
          </cell>
          <cell r="I5859" t="str">
            <v>40317</v>
          </cell>
        </row>
        <row r="5860">
          <cell r="G5860" t="str">
            <v>Xã Quỳnh Thanh</v>
          </cell>
          <cell r="I5860" t="str">
            <v>40317</v>
          </cell>
        </row>
        <row r="5861">
          <cell r="G5861" t="str">
            <v>Xã Quỳnh Hậu</v>
          </cell>
          <cell r="I5861" t="str">
            <v>40317</v>
          </cell>
        </row>
        <row r="5862">
          <cell r="G5862" t="str">
            <v xml:space="preserve">Xã Quỳnh Lâm </v>
          </cell>
          <cell r="I5862" t="str">
            <v>40317</v>
          </cell>
        </row>
        <row r="5863">
          <cell r="G5863" t="str">
            <v>Xã Quỳnh Đôi</v>
          </cell>
          <cell r="I5863" t="str">
            <v>40317</v>
          </cell>
        </row>
        <row r="5864">
          <cell r="G5864" t="str">
            <v>Xã Quỳnh Lương</v>
          </cell>
          <cell r="I5864" t="str">
            <v>40317</v>
          </cell>
        </row>
        <row r="5865">
          <cell r="G5865" t="str">
            <v xml:space="preserve">Xã Quỳnh Hồng </v>
          </cell>
          <cell r="I5865" t="str">
            <v>40317</v>
          </cell>
        </row>
        <row r="5866">
          <cell r="G5866" t="str">
            <v>Xã Quỳnh Bá</v>
          </cell>
          <cell r="I5866" t="str">
            <v>40317</v>
          </cell>
        </row>
        <row r="5867">
          <cell r="G5867" t="str">
            <v xml:space="preserve">Xã Quỳnh Minh </v>
          </cell>
          <cell r="I5867" t="str">
            <v>40317</v>
          </cell>
        </row>
        <row r="5868">
          <cell r="G5868" t="str">
            <v>Xã Quỳnh Giang</v>
          </cell>
          <cell r="I5868" t="str">
            <v>40317</v>
          </cell>
        </row>
        <row r="5869">
          <cell r="G5869" t="str">
            <v xml:space="preserve">Xã Quỳnh Ngọc </v>
          </cell>
          <cell r="I5869" t="str">
            <v>40317</v>
          </cell>
        </row>
        <row r="5870">
          <cell r="G5870" t="str">
            <v>Xã Quỳnh Nghĩa</v>
          </cell>
          <cell r="I5870" t="str">
            <v>40317</v>
          </cell>
        </row>
        <row r="5871">
          <cell r="G5871" t="str">
            <v>Xã Tiến Thủy</v>
          </cell>
          <cell r="I5871" t="str">
            <v>40317</v>
          </cell>
        </row>
        <row r="5872">
          <cell r="G5872" t="str">
            <v xml:space="preserve">Xã Sơn Hải  </v>
          </cell>
          <cell r="I5872" t="str">
            <v>40317</v>
          </cell>
        </row>
        <row r="5873">
          <cell r="G5873" t="str">
            <v xml:space="preserve">Xã Quỳnh Thọ </v>
          </cell>
          <cell r="I5873" t="str">
            <v>40317</v>
          </cell>
        </row>
        <row r="5874">
          <cell r="G5874" t="str">
            <v>Xã Quỳnh Long</v>
          </cell>
          <cell r="I5874" t="str">
            <v>40317</v>
          </cell>
        </row>
        <row r="5875">
          <cell r="G5875" t="str">
            <v>Xã Tân Thắng</v>
          </cell>
          <cell r="I5875" t="str">
            <v>40317</v>
          </cell>
        </row>
        <row r="5876">
          <cell r="G5876" t="str">
            <v>Thị trấn Cầu Giát</v>
          </cell>
          <cell r="I5876" t="str">
            <v>40317</v>
          </cell>
        </row>
        <row r="5877">
          <cell r="G5877" t="str">
            <v>Xã Quỳnh Tân</v>
          </cell>
          <cell r="I5877" t="str">
            <v>40317</v>
          </cell>
        </row>
        <row r="5878">
          <cell r="G5878" t="str">
            <v xml:space="preserve">Xã Quỳnh Châu </v>
          </cell>
          <cell r="I5878" t="str">
            <v>40317</v>
          </cell>
        </row>
        <row r="5879">
          <cell r="G5879" t="str">
            <v xml:space="preserve">Xã Tân Sơn     </v>
          </cell>
          <cell r="I5879" t="str">
            <v>40317</v>
          </cell>
        </row>
        <row r="5880">
          <cell r="G5880" t="str">
            <v>Xã Quỳnh Văn</v>
          </cell>
          <cell r="I5880" t="str">
            <v>40317</v>
          </cell>
        </row>
        <row r="5881">
          <cell r="G5881" t="str">
            <v xml:space="preserve">Xã Ngọc Sơn     </v>
          </cell>
          <cell r="I5881" t="str">
            <v>40317</v>
          </cell>
        </row>
        <row r="5882">
          <cell r="G5882" t="str">
            <v xml:space="preserve">Xã Tân Hợp  </v>
          </cell>
          <cell r="I5882" t="str">
            <v>40319</v>
          </cell>
        </row>
        <row r="5883">
          <cell r="G5883" t="str">
            <v xml:space="preserve">Xã Tân An    </v>
          </cell>
          <cell r="I5883" t="str">
            <v>40319</v>
          </cell>
        </row>
        <row r="5884">
          <cell r="G5884" t="str">
            <v>Thị trấn Tân Kỳ</v>
          </cell>
          <cell r="I5884" t="str">
            <v>40319</v>
          </cell>
        </row>
        <row r="5885">
          <cell r="G5885" t="str">
            <v>Xã Giai Xuân</v>
          </cell>
          <cell r="I5885" t="str">
            <v>40319</v>
          </cell>
        </row>
        <row r="5886">
          <cell r="G5886" t="str">
            <v xml:space="preserve">Xã Nghĩa Thái </v>
          </cell>
          <cell r="I5886" t="str">
            <v>40319</v>
          </cell>
        </row>
        <row r="5887">
          <cell r="G5887" t="str">
            <v>Xã Tiên Kỳ</v>
          </cell>
          <cell r="I5887" t="str">
            <v>40319</v>
          </cell>
        </row>
        <row r="5888">
          <cell r="G5888" t="str">
            <v xml:space="preserve">Xã Kỳ Sơn  </v>
          </cell>
          <cell r="I5888" t="str">
            <v>40319</v>
          </cell>
        </row>
        <row r="5889">
          <cell r="G5889" t="str">
            <v>Xã Nghĩa Hành</v>
          </cell>
          <cell r="I5889" t="str">
            <v>40319</v>
          </cell>
        </row>
        <row r="5890">
          <cell r="G5890" t="str">
            <v xml:space="preserve">Xã Tân Phú   </v>
          </cell>
          <cell r="I5890" t="str">
            <v>40319</v>
          </cell>
        </row>
        <row r="5891">
          <cell r="G5891" t="str">
            <v xml:space="preserve">Xã Tân Xuân </v>
          </cell>
          <cell r="I5891" t="str">
            <v>40319</v>
          </cell>
        </row>
        <row r="5892">
          <cell r="G5892" t="str">
            <v xml:space="preserve">Xã Nghĩa Bình  </v>
          </cell>
          <cell r="I5892" t="str">
            <v>40319</v>
          </cell>
        </row>
        <row r="5893">
          <cell r="G5893" t="str">
            <v xml:space="preserve">Xã Nghĩa Đồng </v>
          </cell>
          <cell r="I5893" t="str">
            <v>40319</v>
          </cell>
        </row>
        <row r="5894">
          <cell r="G5894" t="str">
            <v xml:space="preserve">Xã Đồng Văn   </v>
          </cell>
          <cell r="I5894" t="str">
            <v>40319</v>
          </cell>
        </row>
        <row r="5895">
          <cell r="G5895" t="str">
            <v>Xã Nghĩa Hợp</v>
          </cell>
          <cell r="I5895" t="str">
            <v>40319</v>
          </cell>
        </row>
        <row r="5896">
          <cell r="G5896" t="str">
            <v>Xã Nghĩa Hoàn</v>
          </cell>
          <cell r="I5896" t="str">
            <v>40319</v>
          </cell>
        </row>
        <row r="5897">
          <cell r="G5897" t="str">
            <v xml:space="preserve">Xã Nghĩa Phúc  </v>
          </cell>
          <cell r="I5897" t="str">
            <v>40319</v>
          </cell>
        </row>
        <row r="5898">
          <cell r="G5898" t="str">
            <v>Xã Nghĩa Dũng</v>
          </cell>
          <cell r="I5898" t="str">
            <v>40319</v>
          </cell>
        </row>
        <row r="5899">
          <cell r="G5899" t="str">
            <v xml:space="preserve">Xã Tân Long  </v>
          </cell>
          <cell r="I5899" t="str">
            <v>40319</v>
          </cell>
        </row>
        <row r="5900">
          <cell r="G5900" t="str">
            <v xml:space="preserve">Xã Hương Sơn    </v>
          </cell>
          <cell r="I5900" t="str">
            <v>40319</v>
          </cell>
        </row>
        <row r="5901">
          <cell r="G5901" t="str">
            <v xml:space="preserve">Xã Kỳ Tân </v>
          </cell>
          <cell r="I5901" t="str">
            <v>40319</v>
          </cell>
        </row>
        <row r="5902">
          <cell r="G5902" t="str">
            <v xml:space="preserve">Xã Phú Sơn    </v>
          </cell>
          <cell r="I5902" t="str">
            <v>40319</v>
          </cell>
        </row>
        <row r="5903">
          <cell r="G5903" t="str">
            <v xml:space="preserve">Xã Tân Sơn      </v>
          </cell>
          <cell r="I5903" t="str">
            <v>40319</v>
          </cell>
        </row>
        <row r="5904">
          <cell r="G5904" t="str">
            <v xml:space="preserve">Xã Tân Hương    </v>
          </cell>
          <cell r="I5904" t="str">
            <v>40319</v>
          </cell>
        </row>
        <row r="5905">
          <cell r="G5905" t="str">
            <v>Thị trấn Con Cuông</v>
          </cell>
          <cell r="I5905" t="str">
            <v>40321</v>
          </cell>
        </row>
        <row r="5906">
          <cell r="G5906" t="str">
            <v>Xã Bình Chuẩn</v>
          </cell>
          <cell r="I5906" t="str">
            <v>40321</v>
          </cell>
        </row>
        <row r="5907">
          <cell r="G5907" t="str">
            <v>Xã Đôn Phục</v>
          </cell>
          <cell r="I5907" t="str">
            <v>40321</v>
          </cell>
        </row>
        <row r="5908">
          <cell r="G5908" t="str">
            <v>Xã Bồng Khê</v>
          </cell>
          <cell r="I5908" t="str">
            <v>40321</v>
          </cell>
        </row>
        <row r="5909">
          <cell r="G5909" t="str">
            <v>Xã Lạng Khê</v>
          </cell>
          <cell r="I5909" t="str">
            <v>40321</v>
          </cell>
        </row>
        <row r="5910">
          <cell r="G5910" t="str">
            <v>Xã Cam Lâm</v>
          </cell>
          <cell r="I5910" t="str">
            <v>40321</v>
          </cell>
        </row>
        <row r="5911">
          <cell r="G5911" t="str">
            <v>Xã Thạch Ngàn</v>
          </cell>
          <cell r="I5911" t="str">
            <v>40321</v>
          </cell>
        </row>
        <row r="5912">
          <cell r="G5912" t="str">
            <v>Xã Mậu Đức</v>
          </cell>
          <cell r="I5912" t="str">
            <v>40321</v>
          </cell>
        </row>
        <row r="5913">
          <cell r="G5913" t="str">
            <v>Xã Châu Khê</v>
          </cell>
          <cell r="I5913" t="str">
            <v>40321</v>
          </cell>
        </row>
        <row r="5914">
          <cell r="G5914" t="str">
            <v>Xã Chi Khê</v>
          </cell>
          <cell r="I5914" t="str">
            <v>40321</v>
          </cell>
        </row>
        <row r="5915">
          <cell r="G5915" t="str">
            <v>Xã Yên Khê</v>
          </cell>
          <cell r="I5915" t="str">
            <v>40321</v>
          </cell>
        </row>
        <row r="5916">
          <cell r="G5916" t="str">
            <v>Xã Lục Dạ</v>
          </cell>
          <cell r="I5916" t="str">
            <v>40321</v>
          </cell>
        </row>
        <row r="5917">
          <cell r="G5917" t="str">
            <v>Xã Môn Sơn</v>
          </cell>
          <cell r="I5917" t="str">
            <v>40321</v>
          </cell>
        </row>
        <row r="5918">
          <cell r="G5918" t="str">
            <v>Xã Đức Thành</v>
          </cell>
          <cell r="I5918" t="str">
            <v>40323</v>
          </cell>
        </row>
        <row r="5919">
          <cell r="G5919" t="str">
            <v>Xã Tăng Thành</v>
          </cell>
          <cell r="I5919" t="str">
            <v>40323</v>
          </cell>
        </row>
        <row r="5920">
          <cell r="G5920" t="str">
            <v>Xã Lý Thành</v>
          </cell>
          <cell r="I5920" t="str">
            <v>40323</v>
          </cell>
        </row>
        <row r="5921">
          <cell r="G5921" t="str">
            <v xml:space="preserve">Xã Tân Thành          </v>
          </cell>
          <cell r="I5921" t="str">
            <v>40323</v>
          </cell>
        </row>
        <row r="5922">
          <cell r="G5922" t="str">
            <v>Xã Đô Thành</v>
          </cell>
          <cell r="I5922" t="str">
            <v>40323</v>
          </cell>
        </row>
        <row r="5923">
          <cell r="G5923" t="str">
            <v xml:space="preserve">Xã Phúc Thành </v>
          </cell>
          <cell r="I5923" t="str">
            <v>40323</v>
          </cell>
        </row>
        <row r="5924">
          <cell r="G5924" t="str">
            <v>Xã Hoa Thành</v>
          </cell>
          <cell r="I5924" t="str">
            <v>40323</v>
          </cell>
        </row>
        <row r="5925">
          <cell r="G5925" t="str">
            <v xml:space="preserve">Xã Hợp Thành       </v>
          </cell>
          <cell r="I5925" t="str">
            <v>40323</v>
          </cell>
        </row>
        <row r="5926">
          <cell r="G5926" t="str">
            <v xml:space="preserve">Xã Trung Thành       </v>
          </cell>
          <cell r="I5926" t="str">
            <v>40323</v>
          </cell>
        </row>
        <row r="5927">
          <cell r="G5927" t="str">
            <v xml:space="preserve">Xã Vĩnh Thành </v>
          </cell>
          <cell r="I5927" t="str">
            <v>40323</v>
          </cell>
        </row>
        <row r="5928">
          <cell r="G5928" t="str">
            <v xml:space="preserve">Xã Đại Thành   </v>
          </cell>
          <cell r="I5928" t="str">
            <v>40323</v>
          </cell>
        </row>
        <row r="5929">
          <cell r="G5929" t="str">
            <v>Xã Công Thành</v>
          </cell>
          <cell r="I5929" t="str">
            <v>40323</v>
          </cell>
        </row>
        <row r="5930">
          <cell r="G5930" t="str">
            <v>Thị trấn Yên Thành</v>
          </cell>
          <cell r="I5930" t="str">
            <v>40323</v>
          </cell>
        </row>
        <row r="5931">
          <cell r="G5931" t="str">
            <v>Xã Mã Thành</v>
          </cell>
          <cell r="I5931" t="str">
            <v>40323</v>
          </cell>
        </row>
        <row r="5932">
          <cell r="G5932" t="str">
            <v>Xã Lăng Thành</v>
          </cell>
          <cell r="I5932" t="str">
            <v>40323</v>
          </cell>
        </row>
        <row r="5933">
          <cell r="G5933" t="str">
            <v>Xã Kim Thành</v>
          </cell>
          <cell r="I5933" t="str">
            <v>40323</v>
          </cell>
        </row>
        <row r="5934">
          <cell r="G5934" t="str">
            <v>Xã Hậu Thành</v>
          </cell>
          <cell r="I5934" t="str">
            <v>40323</v>
          </cell>
        </row>
        <row r="5935">
          <cell r="G5935" t="str">
            <v>Xã Thọ Thành</v>
          </cell>
          <cell r="I5935" t="str">
            <v>40323</v>
          </cell>
        </row>
        <row r="5936">
          <cell r="G5936" t="str">
            <v xml:space="preserve">Xã Quang Thành </v>
          </cell>
          <cell r="I5936" t="str">
            <v>40323</v>
          </cell>
        </row>
        <row r="5937">
          <cell r="G5937" t="str">
            <v>Xã Tây Thành</v>
          </cell>
          <cell r="I5937" t="str">
            <v>40323</v>
          </cell>
        </row>
        <row r="5938">
          <cell r="G5938" t="str">
            <v>Xã Hồng Thành</v>
          </cell>
          <cell r="I5938" t="str">
            <v>40323</v>
          </cell>
        </row>
        <row r="5939">
          <cell r="G5939" t="str">
            <v>Xã Đồng Thành</v>
          </cell>
          <cell r="I5939" t="str">
            <v>40323</v>
          </cell>
        </row>
        <row r="5940">
          <cell r="G5940" t="str">
            <v xml:space="preserve">Xã Phú Thành </v>
          </cell>
          <cell r="I5940" t="str">
            <v>40323</v>
          </cell>
        </row>
        <row r="5941">
          <cell r="G5941" t="str">
            <v>Xã Văn Thành</v>
          </cell>
          <cell r="I5941" t="str">
            <v>40323</v>
          </cell>
        </row>
        <row r="5942">
          <cell r="G5942" t="str">
            <v>Xã Thịnh Thành</v>
          </cell>
          <cell r="I5942" t="str">
            <v>40323</v>
          </cell>
        </row>
        <row r="5943">
          <cell r="G5943" t="str">
            <v xml:space="preserve">Xã Xuân Thành  </v>
          </cell>
          <cell r="I5943" t="str">
            <v>40323</v>
          </cell>
        </row>
        <row r="5944">
          <cell r="G5944" t="str">
            <v>Xã Bắc Thành</v>
          </cell>
          <cell r="I5944" t="str">
            <v>40323</v>
          </cell>
        </row>
        <row r="5945">
          <cell r="G5945" t="str">
            <v>Xã Nhân Thành</v>
          </cell>
          <cell r="I5945" t="str">
            <v>40323</v>
          </cell>
        </row>
        <row r="5946">
          <cell r="G5946" t="str">
            <v>Xã Long Thành</v>
          </cell>
          <cell r="I5946" t="str">
            <v>40323</v>
          </cell>
        </row>
        <row r="5947">
          <cell r="G5947" t="str">
            <v>Xã Minh Thành</v>
          </cell>
          <cell r="I5947" t="str">
            <v>40323</v>
          </cell>
        </row>
        <row r="5948">
          <cell r="G5948" t="str">
            <v>Xã Nam Thành</v>
          </cell>
          <cell r="I5948" t="str">
            <v>40323</v>
          </cell>
        </row>
        <row r="5949">
          <cell r="G5949" t="str">
            <v xml:space="preserve">Xã Khánh Thành </v>
          </cell>
          <cell r="I5949" t="str">
            <v>40323</v>
          </cell>
        </row>
        <row r="5950">
          <cell r="G5950" t="str">
            <v>Xã Viên Thành</v>
          </cell>
          <cell r="I5950" t="str">
            <v>40323</v>
          </cell>
        </row>
        <row r="5951">
          <cell r="G5951" t="str">
            <v>Xã Liên Thành</v>
          </cell>
          <cell r="I5951" t="str">
            <v>40323</v>
          </cell>
        </row>
        <row r="5952">
          <cell r="G5952" t="str">
            <v>Xã Bảo Thành</v>
          </cell>
          <cell r="I5952" t="str">
            <v>40323</v>
          </cell>
        </row>
        <row r="5953">
          <cell r="G5953" t="str">
            <v xml:space="preserve">Xã Mỹ Thành   </v>
          </cell>
          <cell r="I5953" t="str">
            <v>40323</v>
          </cell>
        </row>
        <row r="5954">
          <cell r="G5954" t="str">
            <v xml:space="preserve">Xã Sơn Thành </v>
          </cell>
          <cell r="I5954" t="str">
            <v>40323</v>
          </cell>
        </row>
        <row r="5955">
          <cell r="G5955" t="str">
            <v>Xã Tiến Thành</v>
          </cell>
          <cell r="I5955" t="str">
            <v>40323</v>
          </cell>
        </row>
        <row r="5956">
          <cell r="G5956" t="str">
            <v>Xã Hùng Thành</v>
          </cell>
          <cell r="I5956" t="str">
            <v>40323</v>
          </cell>
        </row>
        <row r="5957">
          <cell r="G5957" t="str">
            <v>Xã Diễn Thọ</v>
          </cell>
          <cell r="I5957" t="str">
            <v>40325</v>
          </cell>
        </row>
        <row r="5958">
          <cell r="G5958" t="str">
            <v>Xã Diễn Yên</v>
          </cell>
          <cell r="I5958" t="str">
            <v>40325</v>
          </cell>
        </row>
        <row r="5959">
          <cell r="G5959" t="str">
            <v>Xã Diễn Xuân</v>
          </cell>
          <cell r="I5959" t="str">
            <v>40325</v>
          </cell>
        </row>
        <row r="5960">
          <cell r="G5960" t="str">
            <v>Xã Diễn Bình</v>
          </cell>
          <cell r="I5960" t="str">
            <v>40325</v>
          </cell>
        </row>
        <row r="5961">
          <cell r="G5961" t="str">
            <v>Xã Diễn Đoài</v>
          </cell>
          <cell r="I5961" t="str">
            <v>40325</v>
          </cell>
        </row>
        <row r="5962">
          <cell r="G5962" t="str">
            <v>Xã Diễn Hùng</v>
          </cell>
          <cell r="I5962" t="str">
            <v>40325</v>
          </cell>
        </row>
        <row r="5963">
          <cell r="G5963" t="str">
            <v>Xã Diễn Hải</v>
          </cell>
          <cell r="I5963" t="str">
            <v>40325</v>
          </cell>
        </row>
        <row r="5964">
          <cell r="G5964" t="str">
            <v>Xã Diễn Kim</v>
          </cell>
          <cell r="I5964" t="str">
            <v>40325</v>
          </cell>
        </row>
        <row r="5965">
          <cell r="G5965" t="str">
            <v>Xã Diễn Đồng</v>
          </cell>
          <cell r="I5965" t="str">
            <v>40325</v>
          </cell>
        </row>
        <row r="5966">
          <cell r="G5966" t="str">
            <v>Xã Diễn Quảng</v>
          </cell>
          <cell r="I5966" t="str">
            <v>40325</v>
          </cell>
        </row>
        <row r="5967">
          <cell r="G5967" t="str">
            <v>Xã Diễn Phúc</v>
          </cell>
          <cell r="I5967" t="str">
            <v>40325</v>
          </cell>
        </row>
        <row r="5968">
          <cell r="G5968" t="str">
            <v>Xã Diễn Lợi</v>
          </cell>
          <cell r="I5968" t="str">
            <v>40325</v>
          </cell>
        </row>
        <row r="5969">
          <cell r="G5969" t="str">
            <v>Xã Diễn Lộc</v>
          </cell>
          <cell r="I5969" t="str">
            <v>40325</v>
          </cell>
        </row>
        <row r="5970">
          <cell r="G5970" t="str">
            <v>Xã Diễn Trung</v>
          </cell>
          <cell r="I5970" t="str">
            <v>40325</v>
          </cell>
        </row>
        <row r="5971">
          <cell r="G5971" t="str">
            <v>Xã Diễn An</v>
          </cell>
          <cell r="I5971" t="str">
            <v>40325</v>
          </cell>
        </row>
        <row r="5972">
          <cell r="G5972" t="str">
            <v>Xã Diễn Phú</v>
          </cell>
          <cell r="I5972" t="str">
            <v>40325</v>
          </cell>
        </row>
        <row r="5973">
          <cell r="G5973" t="str">
            <v>Xã Diễn Thắng</v>
          </cell>
          <cell r="I5973" t="str">
            <v>40325</v>
          </cell>
        </row>
        <row r="5974">
          <cell r="G5974" t="str">
            <v>Thị trấn Diễn Châu</v>
          </cell>
          <cell r="I5974" t="str">
            <v>40325</v>
          </cell>
        </row>
        <row r="5975">
          <cell r="G5975" t="str">
            <v>Xã Diễn Lâm</v>
          </cell>
          <cell r="I5975" t="str">
            <v>40325</v>
          </cell>
        </row>
        <row r="5976">
          <cell r="G5976" t="str">
            <v>Xã Diễn Trường</v>
          </cell>
          <cell r="I5976" t="str">
            <v>40325</v>
          </cell>
        </row>
        <row r="5977">
          <cell r="G5977" t="str">
            <v>Xã Diễn Hoàng</v>
          </cell>
          <cell r="I5977" t="str">
            <v>40325</v>
          </cell>
        </row>
        <row r="5978">
          <cell r="G5978" t="str">
            <v>Xã Diễn Mỹ</v>
          </cell>
          <cell r="I5978" t="str">
            <v>40325</v>
          </cell>
        </row>
        <row r="5979">
          <cell r="G5979" t="str">
            <v>Xã Diễn Hồng</v>
          </cell>
          <cell r="I5979" t="str">
            <v>40325</v>
          </cell>
        </row>
        <row r="5980">
          <cell r="G5980" t="str">
            <v>Xã Diễn Phong</v>
          </cell>
          <cell r="I5980" t="str">
            <v>40325</v>
          </cell>
        </row>
        <row r="5981">
          <cell r="G5981" t="str">
            <v>Xã Diễn Tháp</v>
          </cell>
          <cell r="I5981" t="str">
            <v>40325</v>
          </cell>
        </row>
        <row r="5982">
          <cell r="G5982" t="str">
            <v>Xã Diễn Liên</v>
          </cell>
          <cell r="I5982" t="str">
            <v>40325</v>
          </cell>
        </row>
        <row r="5983">
          <cell r="G5983" t="str">
            <v>Xã Diễn Vạn</v>
          </cell>
          <cell r="I5983" t="str">
            <v>40325</v>
          </cell>
        </row>
        <row r="5984">
          <cell r="G5984" t="str">
            <v>Xã Diễn Kỷ</v>
          </cell>
          <cell r="I5984" t="str">
            <v>40325</v>
          </cell>
        </row>
        <row r="5985">
          <cell r="G5985" t="str">
            <v>Xã Diễn Thái</v>
          </cell>
          <cell r="I5985" t="str">
            <v>40325</v>
          </cell>
        </row>
        <row r="5986">
          <cell r="G5986" t="str">
            <v>Xã Diễn Bích</v>
          </cell>
          <cell r="I5986" t="str">
            <v>40325</v>
          </cell>
        </row>
        <row r="5987">
          <cell r="G5987" t="str">
            <v>Xã Diễn Hạnh</v>
          </cell>
          <cell r="I5987" t="str">
            <v>40325</v>
          </cell>
        </row>
        <row r="5988">
          <cell r="G5988" t="str">
            <v>Xã Diễn Ngọc</v>
          </cell>
          <cell r="I5988" t="str">
            <v>40325</v>
          </cell>
        </row>
        <row r="5989">
          <cell r="G5989" t="str">
            <v>Xã Diễn Nguyên</v>
          </cell>
          <cell r="I5989" t="str">
            <v>40325</v>
          </cell>
        </row>
        <row r="5990">
          <cell r="G5990" t="str">
            <v>Xã Diễn Hoa</v>
          </cell>
          <cell r="I5990" t="str">
            <v>40325</v>
          </cell>
        </row>
        <row r="5991">
          <cell r="G5991" t="str">
            <v>Xã Diễn Thành</v>
          </cell>
          <cell r="I5991" t="str">
            <v>40325</v>
          </cell>
        </row>
        <row r="5992">
          <cell r="G5992" t="str">
            <v>Xã Diễn Minh</v>
          </cell>
          <cell r="I5992" t="str">
            <v>40325</v>
          </cell>
        </row>
        <row r="5993">
          <cell r="G5993" t="str">
            <v>Xã Diễn Cát</v>
          </cell>
          <cell r="I5993" t="str">
            <v>40325</v>
          </cell>
        </row>
        <row r="5994">
          <cell r="G5994" t="str">
            <v>Xã Diễn Thịnh</v>
          </cell>
          <cell r="I5994" t="str">
            <v>40325</v>
          </cell>
        </row>
        <row r="5995">
          <cell r="G5995" t="str">
            <v>Xã Diễn Tân</v>
          </cell>
          <cell r="I5995" t="str">
            <v>40325</v>
          </cell>
        </row>
        <row r="5996">
          <cell r="G5996" t="str">
            <v xml:space="preserve">Xã Thọ Sơn </v>
          </cell>
          <cell r="I5996" t="str">
            <v>40327</v>
          </cell>
        </row>
        <row r="5997">
          <cell r="G5997" t="str">
            <v>Xã Lạng Sơn</v>
          </cell>
          <cell r="I5997" t="str">
            <v>40327</v>
          </cell>
        </row>
        <row r="5998">
          <cell r="G5998" t="str">
            <v xml:space="preserve">Xã Bình Sơn    </v>
          </cell>
          <cell r="I5998" t="str">
            <v>40327</v>
          </cell>
        </row>
        <row r="5999">
          <cell r="G5999" t="str">
            <v xml:space="preserve">Xã Cẩm Sơn  </v>
          </cell>
          <cell r="I5999" t="str">
            <v>40327</v>
          </cell>
        </row>
        <row r="6000">
          <cell r="G6000" t="str">
            <v>Xã Tào Sơn</v>
          </cell>
          <cell r="I6000" t="str">
            <v>40327</v>
          </cell>
        </row>
        <row r="6001">
          <cell r="G6001" t="str">
            <v xml:space="preserve">Xã Thạch Sơn   </v>
          </cell>
          <cell r="I6001" t="str">
            <v>40327</v>
          </cell>
        </row>
        <row r="6002">
          <cell r="G6002" t="str">
            <v>Xã Lĩnh Sơn</v>
          </cell>
          <cell r="I6002" t="str">
            <v>40327</v>
          </cell>
        </row>
        <row r="6003">
          <cell r="G6003" t="str">
            <v>Thị trấn Anh Sơn</v>
          </cell>
          <cell r="I6003" t="str">
            <v>40327</v>
          </cell>
        </row>
        <row r="6004">
          <cell r="G6004" t="str">
            <v xml:space="preserve">Xã Thành Sơn  </v>
          </cell>
          <cell r="I6004" t="str">
            <v>40327</v>
          </cell>
        </row>
        <row r="6005">
          <cell r="G6005" t="str">
            <v xml:space="preserve">Xã Tam Sơn  </v>
          </cell>
          <cell r="I6005" t="str">
            <v>40327</v>
          </cell>
        </row>
        <row r="6006">
          <cell r="G6006" t="str">
            <v>Xã Đỉnh Sơn</v>
          </cell>
          <cell r="I6006" t="str">
            <v>40327</v>
          </cell>
        </row>
        <row r="6007">
          <cell r="G6007" t="str">
            <v xml:space="preserve">Xã Hùng Sơn    </v>
          </cell>
          <cell r="I6007" t="str">
            <v>40327</v>
          </cell>
        </row>
        <row r="6008">
          <cell r="G6008" t="str">
            <v>Xã Đức Sơn</v>
          </cell>
          <cell r="I6008" t="str">
            <v>40327</v>
          </cell>
        </row>
        <row r="6009">
          <cell r="G6009" t="str">
            <v>Xã Tường Sơn</v>
          </cell>
          <cell r="I6009" t="str">
            <v>40327</v>
          </cell>
        </row>
        <row r="6010">
          <cell r="G6010" t="str">
            <v xml:space="preserve">Xã Vĩnh Sơn </v>
          </cell>
          <cell r="I6010" t="str">
            <v>40327</v>
          </cell>
        </row>
        <row r="6011">
          <cell r="G6011" t="str">
            <v>Xã Hội Sơn</v>
          </cell>
          <cell r="I6011" t="str">
            <v>40327</v>
          </cell>
        </row>
        <row r="6012">
          <cell r="G6012" t="str">
            <v xml:space="preserve">Xã Phúc Sơn   </v>
          </cell>
          <cell r="I6012" t="str">
            <v>40327</v>
          </cell>
        </row>
        <row r="6013">
          <cell r="G6013" t="str">
            <v xml:space="preserve">Xã Long Sơn  </v>
          </cell>
          <cell r="I6013" t="str">
            <v>40327</v>
          </cell>
        </row>
        <row r="6014">
          <cell r="G6014" t="str">
            <v>Xã Khai Sơn</v>
          </cell>
          <cell r="I6014" t="str">
            <v>40327</v>
          </cell>
        </row>
        <row r="6015">
          <cell r="G6015" t="str">
            <v xml:space="preserve">Xã Cao Sơn   </v>
          </cell>
          <cell r="I6015" t="str">
            <v>40327</v>
          </cell>
        </row>
        <row r="6016">
          <cell r="G6016" t="str">
            <v xml:space="preserve">Xã Hoa Sơn </v>
          </cell>
          <cell r="I6016" t="str">
            <v>40327</v>
          </cell>
        </row>
        <row r="6017">
          <cell r="G6017" t="str">
            <v>Xã Bồi Sơn</v>
          </cell>
          <cell r="I6017" t="str">
            <v>40329</v>
          </cell>
        </row>
        <row r="6018">
          <cell r="G6018" t="str">
            <v xml:space="preserve">Xã Nam Sơn       </v>
          </cell>
          <cell r="I6018" t="str">
            <v>40329</v>
          </cell>
        </row>
        <row r="6019">
          <cell r="G6019" t="str">
            <v>Xã Thuận Sơn</v>
          </cell>
          <cell r="I6019" t="str">
            <v>40329</v>
          </cell>
        </row>
        <row r="6020">
          <cell r="G6020" t="str">
            <v>Xã Mỹ Sơn</v>
          </cell>
          <cell r="I6020" t="str">
            <v>40329</v>
          </cell>
        </row>
        <row r="6021">
          <cell r="G6021" t="str">
            <v xml:space="preserve">Xã Minh Sơn    </v>
          </cell>
          <cell r="I6021" t="str">
            <v>40329</v>
          </cell>
        </row>
        <row r="6022">
          <cell r="G6022" t="str">
            <v xml:space="preserve">Xã Lam Sơn   </v>
          </cell>
          <cell r="I6022" t="str">
            <v>40329</v>
          </cell>
        </row>
        <row r="6023">
          <cell r="G6023" t="str">
            <v xml:space="preserve">Xã Ngọc Sơn      </v>
          </cell>
          <cell r="I6023" t="str">
            <v>40329</v>
          </cell>
        </row>
        <row r="6024">
          <cell r="G6024" t="str">
            <v xml:space="preserve">Xã Hòa Sơn   </v>
          </cell>
          <cell r="I6024" t="str">
            <v>40329</v>
          </cell>
        </row>
        <row r="6025">
          <cell r="G6025" t="str">
            <v>Xã Lưu Sơn</v>
          </cell>
          <cell r="I6025" t="str">
            <v>40329</v>
          </cell>
        </row>
        <row r="6026">
          <cell r="G6026" t="str">
            <v>Xã Đà Sơn</v>
          </cell>
          <cell r="I6026" t="str">
            <v>40329</v>
          </cell>
        </row>
        <row r="6027">
          <cell r="G6027" t="str">
            <v xml:space="preserve">Xã Quang Sơn   </v>
          </cell>
          <cell r="I6027" t="str">
            <v>40329</v>
          </cell>
        </row>
        <row r="6028">
          <cell r="G6028" t="str">
            <v>Thị trấn Đô Lương</v>
          </cell>
          <cell r="I6028" t="str">
            <v>40329</v>
          </cell>
        </row>
        <row r="6029">
          <cell r="G6029" t="str">
            <v xml:space="preserve">Xã Hồng Sơn </v>
          </cell>
          <cell r="I6029" t="str">
            <v>40329</v>
          </cell>
        </row>
        <row r="6030">
          <cell r="G6030" t="str">
            <v>Xã Bài Sơn</v>
          </cell>
          <cell r="I6030" t="str">
            <v>40329</v>
          </cell>
        </row>
        <row r="6031">
          <cell r="G6031" t="str">
            <v xml:space="preserve">Xã Bắc Sơn         </v>
          </cell>
          <cell r="I6031" t="str">
            <v>40329</v>
          </cell>
        </row>
        <row r="6032">
          <cell r="G6032" t="str">
            <v xml:space="preserve">Xã Tràng Sơn </v>
          </cell>
          <cell r="I6032" t="str">
            <v>40329</v>
          </cell>
        </row>
        <row r="6033">
          <cell r="G6033" t="str">
            <v xml:space="preserve">Xã Thượng Sơn </v>
          </cell>
          <cell r="I6033" t="str">
            <v>40329</v>
          </cell>
        </row>
        <row r="6034">
          <cell r="G6034" t="str">
            <v>Xã Đặng Sơn</v>
          </cell>
          <cell r="I6034" t="str">
            <v>40329</v>
          </cell>
        </row>
        <row r="6035">
          <cell r="G6035" t="str">
            <v xml:space="preserve">Xã Đông Sơn     </v>
          </cell>
          <cell r="I6035" t="str">
            <v>40329</v>
          </cell>
        </row>
        <row r="6036">
          <cell r="G6036" t="str">
            <v xml:space="preserve">Xã Yên Sơn        </v>
          </cell>
          <cell r="I6036" t="str">
            <v>40329</v>
          </cell>
        </row>
        <row r="6037">
          <cell r="G6037" t="str">
            <v xml:space="preserve">Xã Văn Sơn   </v>
          </cell>
          <cell r="I6037" t="str">
            <v>40329</v>
          </cell>
        </row>
        <row r="6038">
          <cell r="G6038" t="str">
            <v>Xã Lạc Sơn</v>
          </cell>
          <cell r="I6038" t="str">
            <v>40329</v>
          </cell>
        </row>
        <row r="6039">
          <cell r="G6039" t="str">
            <v xml:space="preserve">Xã Tân Sơn       </v>
          </cell>
          <cell r="I6039" t="str">
            <v>40329</v>
          </cell>
        </row>
        <row r="6040">
          <cell r="G6040" t="str">
            <v xml:space="preserve">Xã Thái Sơn      </v>
          </cell>
          <cell r="I6040" t="str">
            <v>40329</v>
          </cell>
        </row>
        <row r="6041">
          <cell r="G6041" t="str">
            <v>Xã Thịnh Sơn</v>
          </cell>
          <cell r="I6041" t="str">
            <v>40329</v>
          </cell>
        </row>
        <row r="6042">
          <cell r="G6042" t="str">
            <v xml:space="preserve">Xã Trung Sơn     </v>
          </cell>
          <cell r="I6042" t="str">
            <v>40329</v>
          </cell>
        </row>
        <row r="6043">
          <cell r="G6043" t="str">
            <v xml:space="preserve">Xã Xuân Sơn    </v>
          </cell>
          <cell r="I6043" t="str">
            <v>40329</v>
          </cell>
        </row>
        <row r="6044">
          <cell r="G6044" t="str">
            <v>Xã Nhân Sơn</v>
          </cell>
          <cell r="I6044" t="str">
            <v>40329</v>
          </cell>
        </row>
        <row r="6045">
          <cell r="G6045" t="str">
            <v>Xã Hiến Sơn</v>
          </cell>
          <cell r="I6045" t="str">
            <v>40329</v>
          </cell>
        </row>
        <row r="6046">
          <cell r="G6046" t="str">
            <v>Xã Trù Sơn</v>
          </cell>
          <cell r="I6046" t="str">
            <v>40329</v>
          </cell>
        </row>
        <row r="6047">
          <cell r="G6047" t="str">
            <v xml:space="preserve">Xã Đại Sơn  </v>
          </cell>
          <cell r="I6047" t="str">
            <v>40329</v>
          </cell>
        </row>
        <row r="6048">
          <cell r="G6048" t="str">
            <v>Xã Giang Sơn Đông</v>
          </cell>
          <cell r="I6048" t="str">
            <v>40329</v>
          </cell>
        </row>
        <row r="6049">
          <cell r="G6049" t="str">
            <v>Xã Giang Sơn Tây</v>
          </cell>
          <cell r="I6049" t="str">
            <v>40329</v>
          </cell>
        </row>
        <row r="6050">
          <cell r="G6050" t="str">
            <v xml:space="preserve">Xã Thanh Phong  </v>
          </cell>
          <cell r="I6050" t="str">
            <v>40331</v>
          </cell>
        </row>
        <row r="6051">
          <cell r="G6051" t="str">
            <v xml:space="preserve">Xã Ngọc Sơn       </v>
          </cell>
          <cell r="I6051" t="str">
            <v>40331</v>
          </cell>
        </row>
        <row r="6052">
          <cell r="G6052" t="str">
            <v xml:space="preserve">Xã Thanh Yên </v>
          </cell>
          <cell r="I6052" t="str">
            <v>40331</v>
          </cell>
        </row>
        <row r="6053">
          <cell r="G6053" t="str">
            <v xml:space="preserve">Xã Thanh Đức </v>
          </cell>
          <cell r="I6053" t="str">
            <v>40331</v>
          </cell>
        </row>
        <row r="6054">
          <cell r="G6054" t="str">
            <v>Xã Cát Văn</v>
          </cell>
          <cell r="I6054" t="str">
            <v>40331</v>
          </cell>
        </row>
        <row r="6055">
          <cell r="G6055" t="str">
            <v xml:space="preserve">Xã Thanh Hòa </v>
          </cell>
          <cell r="I6055" t="str">
            <v>40331</v>
          </cell>
        </row>
        <row r="6056">
          <cell r="G6056" t="str">
            <v>Xã Thanh Tiên</v>
          </cell>
          <cell r="I6056" t="str">
            <v>40331</v>
          </cell>
        </row>
        <row r="6057">
          <cell r="G6057" t="str">
            <v xml:space="preserve">Xã Thanh Văn </v>
          </cell>
          <cell r="I6057" t="str">
            <v>40331</v>
          </cell>
        </row>
        <row r="6058">
          <cell r="G6058" t="str">
            <v>Xã Thanh Lĩnh</v>
          </cell>
          <cell r="I6058" t="str">
            <v>40331</v>
          </cell>
        </row>
        <row r="6059">
          <cell r="G6059" t="str">
            <v>Xã Thanh Chi</v>
          </cell>
          <cell r="I6059" t="str">
            <v>40331</v>
          </cell>
        </row>
        <row r="6060">
          <cell r="G6060" t="str">
            <v xml:space="preserve">Xã Thanh Khê </v>
          </cell>
          <cell r="I6060" t="str">
            <v>40331</v>
          </cell>
        </row>
        <row r="6061">
          <cell r="G6061" t="str">
            <v>Xã Thanh Khai</v>
          </cell>
          <cell r="I6061" t="str">
            <v>40331</v>
          </cell>
        </row>
        <row r="6062">
          <cell r="G6062" t="str">
            <v xml:space="preserve">Xã Thanh Tùng </v>
          </cell>
          <cell r="I6062" t="str">
            <v>40331</v>
          </cell>
        </row>
        <row r="6063">
          <cell r="G6063" t="str">
            <v xml:space="preserve">Xã Thanh Xuân    </v>
          </cell>
          <cell r="I6063" t="str">
            <v>40331</v>
          </cell>
        </row>
        <row r="6064">
          <cell r="G6064" t="str">
            <v>Thị trấn Thanh Chương</v>
          </cell>
          <cell r="I6064" t="str">
            <v>40331</v>
          </cell>
        </row>
        <row r="6065">
          <cell r="G6065" t="str">
            <v>Xã Thanh Nho</v>
          </cell>
          <cell r="I6065" t="str">
            <v>40331</v>
          </cell>
        </row>
        <row r="6066">
          <cell r="G6066" t="str">
            <v>Xã Hạnh Lâm</v>
          </cell>
          <cell r="I6066" t="str">
            <v>40331</v>
          </cell>
        </row>
        <row r="6067">
          <cell r="G6067" t="str">
            <v>Xã Phong Thịnh</v>
          </cell>
          <cell r="I6067" t="str">
            <v>40331</v>
          </cell>
        </row>
        <row r="6068">
          <cell r="G6068" t="str">
            <v xml:space="preserve">Xã Thanh Mỹ </v>
          </cell>
          <cell r="I6068" t="str">
            <v>40331</v>
          </cell>
        </row>
        <row r="6069">
          <cell r="G6069" t="str">
            <v xml:space="preserve">Xã Thanh Hưng </v>
          </cell>
          <cell r="I6069" t="str">
            <v>40331</v>
          </cell>
        </row>
        <row r="6070">
          <cell r="G6070" t="str">
            <v>Xã Thanh Liên</v>
          </cell>
          <cell r="I6070" t="str">
            <v>40331</v>
          </cell>
        </row>
        <row r="6071">
          <cell r="G6071" t="str">
            <v>Xã Thanh Tường</v>
          </cell>
          <cell r="I6071" t="str">
            <v>40331</v>
          </cell>
        </row>
        <row r="6072">
          <cell r="G6072" t="str">
            <v>Xã Thanh Đồng</v>
          </cell>
          <cell r="I6072" t="str">
            <v>40331</v>
          </cell>
        </row>
        <row r="6073">
          <cell r="G6073" t="str">
            <v>Xã Thanh Ngọc</v>
          </cell>
          <cell r="I6073" t="str">
            <v>40331</v>
          </cell>
        </row>
        <row r="6074">
          <cell r="G6074" t="str">
            <v xml:space="preserve">Xã Thanh Hương </v>
          </cell>
          <cell r="I6074" t="str">
            <v>40331</v>
          </cell>
        </row>
        <row r="6075">
          <cell r="G6075" t="str">
            <v xml:space="preserve">Xã Đồng Văn    </v>
          </cell>
          <cell r="I6075" t="str">
            <v>40331</v>
          </cell>
        </row>
        <row r="6076">
          <cell r="G6076" t="str">
            <v>Xã Thanh Thịnh</v>
          </cell>
          <cell r="I6076" t="str">
            <v>40331</v>
          </cell>
        </row>
        <row r="6077">
          <cell r="G6077" t="str">
            <v xml:space="preserve">Xã Thanh An  </v>
          </cell>
          <cell r="I6077" t="str">
            <v>40331</v>
          </cell>
        </row>
        <row r="6078">
          <cell r="G6078" t="str">
            <v>Xã Xuân Tường</v>
          </cell>
          <cell r="I6078" t="str">
            <v>40331</v>
          </cell>
        </row>
        <row r="6079">
          <cell r="G6079" t="str">
            <v>Xã Thanh Dương</v>
          </cell>
          <cell r="I6079" t="str">
            <v>40331</v>
          </cell>
        </row>
        <row r="6080">
          <cell r="G6080" t="str">
            <v xml:space="preserve">Xã Thanh Lương   </v>
          </cell>
          <cell r="I6080" t="str">
            <v>40331</v>
          </cell>
        </row>
        <row r="6081">
          <cell r="G6081" t="str">
            <v>Xã Võ Liệt</v>
          </cell>
          <cell r="I6081" t="str">
            <v>40331</v>
          </cell>
        </row>
        <row r="6082">
          <cell r="G6082" t="str">
            <v xml:space="preserve">Xã Thanh Long   </v>
          </cell>
          <cell r="I6082" t="str">
            <v>40331</v>
          </cell>
        </row>
        <row r="6083">
          <cell r="G6083" t="str">
            <v xml:space="preserve">Xã Thanh Thủy    </v>
          </cell>
          <cell r="I6083" t="str">
            <v>40331</v>
          </cell>
        </row>
        <row r="6084">
          <cell r="G6084" t="str">
            <v xml:space="preserve">Xã Thanh Hà  </v>
          </cell>
          <cell r="I6084" t="str">
            <v>40331</v>
          </cell>
        </row>
        <row r="6085">
          <cell r="G6085" t="str">
            <v xml:space="preserve">Xã Thanh Giang </v>
          </cell>
          <cell r="I6085" t="str">
            <v>40331</v>
          </cell>
        </row>
        <row r="6086">
          <cell r="G6086" t="str">
            <v xml:space="preserve">Xã Thanh Lâm    </v>
          </cell>
          <cell r="I6086" t="str">
            <v>40331</v>
          </cell>
        </row>
        <row r="6087">
          <cell r="G6087" t="str">
            <v xml:space="preserve">Xã Thanh Mai  </v>
          </cell>
          <cell r="I6087" t="str">
            <v>40331</v>
          </cell>
        </row>
        <row r="6088">
          <cell r="G6088" t="str">
            <v xml:space="preserve">Xã Thanh Sơn       </v>
          </cell>
          <cell r="I6088" t="str">
            <v>40331</v>
          </cell>
        </row>
        <row r="6089">
          <cell r="G6089" t="str">
            <v xml:space="preserve">Xã Ngọc Lâm </v>
          </cell>
          <cell r="I6089" t="str">
            <v>40331</v>
          </cell>
        </row>
        <row r="6090">
          <cell r="G6090" t="str">
            <v>Xã Nghi Quang</v>
          </cell>
          <cell r="I6090" t="str">
            <v>40333</v>
          </cell>
        </row>
        <row r="6091">
          <cell r="G6091" t="str">
            <v>Xã Nghi Công Nam</v>
          </cell>
          <cell r="I6091" t="str">
            <v>40333</v>
          </cell>
        </row>
        <row r="6092">
          <cell r="G6092" t="str">
            <v>Xã Nghi Thái</v>
          </cell>
          <cell r="I6092" t="str">
            <v>40333</v>
          </cell>
        </row>
        <row r="6093">
          <cell r="G6093" t="str">
            <v>Xã Nghi Phương</v>
          </cell>
          <cell r="I6093" t="str">
            <v>40333</v>
          </cell>
        </row>
        <row r="6094">
          <cell r="G6094" t="str">
            <v>Xã Nghi Hợp</v>
          </cell>
          <cell r="I6094" t="str">
            <v>40333</v>
          </cell>
        </row>
        <row r="6095">
          <cell r="G6095" t="str">
            <v>Xã Nghi Công Bắc</v>
          </cell>
          <cell r="I6095" t="str">
            <v>40333</v>
          </cell>
        </row>
        <row r="6096">
          <cell r="G6096" t="str">
            <v>Xã Nghi Trường</v>
          </cell>
          <cell r="I6096" t="str">
            <v>40333</v>
          </cell>
        </row>
        <row r="6097">
          <cell r="G6097" t="str">
            <v>Xã Nghi Vạn</v>
          </cell>
          <cell r="I6097" t="str">
            <v>40333</v>
          </cell>
        </row>
        <row r="6098">
          <cell r="G6098" t="str">
            <v>Thị trấn Quán Hành</v>
          </cell>
          <cell r="I6098" t="str">
            <v>40333</v>
          </cell>
        </row>
        <row r="6099">
          <cell r="G6099" t="str">
            <v>Xã Nghi Văn</v>
          </cell>
          <cell r="I6099" t="str">
            <v>40333</v>
          </cell>
        </row>
        <row r="6100">
          <cell r="G6100" t="str">
            <v>Xã Nghi Yên</v>
          </cell>
          <cell r="I6100" t="str">
            <v>40333</v>
          </cell>
        </row>
        <row r="6101">
          <cell r="G6101" t="str">
            <v>Xã Nghi Tiến</v>
          </cell>
          <cell r="I6101" t="str">
            <v>40333</v>
          </cell>
        </row>
        <row r="6102">
          <cell r="G6102" t="str">
            <v>Xã Nghi Hưng</v>
          </cell>
          <cell r="I6102" t="str">
            <v>40333</v>
          </cell>
        </row>
        <row r="6103">
          <cell r="G6103" t="str">
            <v>Xã Nghi Đồng</v>
          </cell>
          <cell r="I6103" t="str">
            <v>40333</v>
          </cell>
        </row>
        <row r="6104">
          <cell r="G6104" t="str">
            <v>Xã Nghi Thiết</v>
          </cell>
          <cell r="I6104" t="str">
            <v>40333</v>
          </cell>
        </row>
        <row r="6105">
          <cell r="G6105" t="str">
            <v>Xã Nghi Lâm</v>
          </cell>
          <cell r="I6105" t="str">
            <v>40333</v>
          </cell>
        </row>
        <row r="6106">
          <cell r="G6106" t="str">
            <v>Xã Nghi Kiều</v>
          </cell>
          <cell r="I6106" t="str">
            <v>40333</v>
          </cell>
        </row>
        <row r="6107">
          <cell r="G6107" t="str">
            <v>Xã Nghi Mỹ</v>
          </cell>
          <cell r="I6107" t="str">
            <v>40333</v>
          </cell>
        </row>
        <row r="6108">
          <cell r="G6108" t="str">
            <v>Xã Nghi Thuận</v>
          </cell>
          <cell r="I6108" t="str">
            <v>40333</v>
          </cell>
        </row>
        <row r="6109">
          <cell r="G6109" t="str">
            <v>Xã Nghi Long</v>
          </cell>
          <cell r="I6109" t="str">
            <v>40333</v>
          </cell>
        </row>
        <row r="6110">
          <cell r="G6110" t="str">
            <v>Xã Nghi Xá</v>
          </cell>
          <cell r="I6110" t="str">
            <v>40333</v>
          </cell>
        </row>
        <row r="6111">
          <cell r="G6111" t="str">
            <v>Xã Nghi Hoa</v>
          </cell>
          <cell r="I6111" t="str">
            <v>40333</v>
          </cell>
        </row>
        <row r="6112">
          <cell r="G6112" t="str">
            <v>Xã Nghi Khánh</v>
          </cell>
          <cell r="I6112" t="str">
            <v>40333</v>
          </cell>
        </row>
        <row r="6113">
          <cell r="G6113" t="str">
            <v>Xã Nghi Thịnh</v>
          </cell>
          <cell r="I6113" t="str">
            <v>40333</v>
          </cell>
        </row>
        <row r="6114">
          <cell r="G6114" t="str">
            <v>Xã Nghi Thạch</v>
          </cell>
          <cell r="I6114" t="str">
            <v>40333</v>
          </cell>
        </row>
        <row r="6115">
          <cell r="G6115" t="str">
            <v>Xã Nghi Trung</v>
          </cell>
          <cell r="I6115" t="str">
            <v>40333</v>
          </cell>
        </row>
        <row r="6116">
          <cell r="G6116" t="str">
            <v>Xã Nghi Diên</v>
          </cell>
          <cell r="I6116" t="str">
            <v>40333</v>
          </cell>
        </row>
        <row r="6117">
          <cell r="G6117" t="str">
            <v>Xã Nghi Phong</v>
          </cell>
          <cell r="I6117" t="str">
            <v>40333</v>
          </cell>
        </row>
        <row r="6118">
          <cell r="G6118" t="str">
            <v>Xã Nghi Xuân</v>
          </cell>
          <cell r="I6118" t="str">
            <v>40333</v>
          </cell>
        </row>
        <row r="6119">
          <cell r="G6119" t="str">
            <v xml:space="preserve">Xã Nghi ân </v>
          </cell>
          <cell r="I6119" t="str">
            <v>40333</v>
          </cell>
        </row>
        <row r="6120">
          <cell r="G6120" t="str">
            <v>Xã Phúc Thọ</v>
          </cell>
          <cell r="I6120" t="str">
            <v>40333</v>
          </cell>
        </row>
        <row r="6121">
          <cell r="G6121" t="str">
            <v>Xã Nam Kim</v>
          </cell>
          <cell r="I6121" t="str">
            <v>40335</v>
          </cell>
        </row>
        <row r="6122">
          <cell r="G6122" t="str">
            <v xml:space="preserve">Xã Hùng Tiến    </v>
          </cell>
          <cell r="I6122" t="str">
            <v>40335</v>
          </cell>
        </row>
        <row r="6123">
          <cell r="G6123" t="str">
            <v xml:space="preserve">Xã Nam Hưng   </v>
          </cell>
          <cell r="I6123" t="str">
            <v>40335</v>
          </cell>
        </row>
        <row r="6124">
          <cell r="G6124" t="str">
            <v xml:space="preserve">Xã Nam Xuân </v>
          </cell>
          <cell r="I6124" t="str">
            <v>40335</v>
          </cell>
        </row>
        <row r="6125">
          <cell r="G6125" t="str">
            <v xml:space="preserve">Xã Nam Giang </v>
          </cell>
          <cell r="I6125" t="str">
            <v>40335</v>
          </cell>
        </row>
        <row r="6126">
          <cell r="G6126" t="str">
            <v xml:space="preserve">Xã Nam Tân </v>
          </cell>
          <cell r="I6126" t="str">
            <v>40335</v>
          </cell>
        </row>
        <row r="6127">
          <cell r="G6127" t="str">
            <v xml:space="preserve">Xã Xuân Lâm  </v>
          </cell>
          <cell r="I6127" t="str">
            <v>40335</v>
          </cell>
        </row>
        <row r="6128">
          <cell r="G6128" t="str">
            <v xml:space="preserve">Xã Nam Cường   </v>
          </cell>
          <cell r="I6128" t="str">
            <v>40335</v>
          </cell>
        </row>
        <row r="6129">
          <cell r="G6129" t="str">
            <v>Thị trấn Nam Đàn</v>
          </cell>
          <cell r="I6129" t="str">
            <v>40335</v>
          </cell>
        </row>
        <row r="6130">
          <cell r="G6130" t="str">
            <v>Xã Nam Nghĩa</v>
          </cell>
          <cell r="I6130" t="str">
            <v>40335</v>
          </cell>
        </row>
        <row r="6131">
          <cell r="G6131" t="str">
            <v xml:space="preserve">Xã Nam Thanh  </v>
          </cell>
          <cell r="I6131" t="str">
            <v>40335</v>
          </cell>
        </row>
        <row r="6132">
          <cell r="G6132" t="str">
            <v>Xã Nam Anh</v>
          </cell>
          <cell r="I6132" t="str">
            <v>40335</v>
          </cell>
        </row>
        <row r="6133">
          <cell r="G6133" t="str">
            <v xml:space="preserve">Xã Nam Thái </v>
          </cell>
          <cell r="I6133" t="str">
            <v>40335</v>
          </cell>
        </row>
        <row r="6134">
          <cell r="G6134" t="str">
            <v>Xã Vân Diên</v>
          </cell>
          <cell r="I6134" t="str">
            <v>40335</v>
          </cell>
        </row>
        <row r="6135">
          <cell r="G6135" t="str">
            <v>Xã Nam Lĩnh</v>
          </cell>
          <cell r="I6135" t="str">
            <v>40335</v>
          </cell>
        </row>
        <row r="6136">
          <cell r="G6136" t="str">
            <v xml:space="preserve">Xã Xuân Hòa       </v>
          </cell>
          <cell r="I6136" t="str">
            <v>40335</v>
          </cell>
        </row>
        <row r="6137">
          <cell r="G6137" t="str">
            <v xml:space="preserve">Xã Nam Thượng </v>
          </cell>
          <cell r="I6137" t="str">
            <v>40335</v>
          </cell>
        </row>
        <row r="6138">
          <cell r="G6138" t="str">
            <v>Xã Kim Liên</v>
          </cell>
          <cell r="I6138" t="str">
            <v>40335</v>
          </cell>
        </row>
        <row r="6139">
          <cell r="G6139" t="str">
            <v>Xã Nam Lộc</v>
          </cell>
          <cell r="I6139" t="str">
            <v>40335</v>
          </cell>
        </row>
        <row r="6140">
          <cell r="G6140" t="str">
            <v>Xã Hồng Long</v>
          </cell>
          <cell r="I6140" t="str">
            <v>40335</v>
          </cell>
        </row>
        <row r="6141">
          <cell r="G6141" t="str">
            <v>Xã Nam Cát</v>
          </cell>
          <cell r="I6141" t="str">
            <v>40335</v>
          </cell>
        </row>
        <row r="6142">
          <cell r="G6142" t="str">
            <v>Xã Khánh Sơn</v>
          </cell>
          <cell r="I6142" t="str">
            <v>40335</v>
          </cell>
        </row>
        <row r="6143">
          <cell r="G6143" t="str">
            <v>Xã Nam Phúc</v>
          </cell>
          <cell r="I6143" t="str">
            <v>40335</v>
          </cell>
        </row>
        <row r="6144">
          <cell r="G6144" t="str">
            <v xml:space="preserve">Xã Nam Trung  </v>
          </cell>
          <cell r="I6144" t="str">
            <v>40335</v>
          </cell>
        </row>
        <row r="6145">
          <cell r="G6145" t="str">
            <v>Xã Hưng Lợi</v>
          </cell>
          <cell r="I6145" t="str">
            <v>40337</v>
          </cell>
        </row>
        <row r="6146">
          <cell r="G6146" t="str">
            <v>Xã Hưng Trung</v>
          </cell>
          <cell r="I6146" t="str">
            <v>40337</v>
          </cell>
        </row>
        <row r="6147">
          <cell r="G6147" t="str">
            <v xml:space="preserve">Xã Hưng Đạo        </v>
          </cell>
          <cell r="I6147" t="str">
            <v>40337</v>
          </cell>
        </row>
        <row r="6148">
          <cell r="G6148" t="str">
            <v>Xã Hưng Thông</v>
          </cell>
          <cell r="I6148" t="str">
            <v>40337</v>
          </cell>
        </row>
        <row r="6149">
          <cell r="G6149" t="str">
            <v>Xã Hưng Phúc</v>
          </cell>
          <cell r="I6149" t="str">
            <v>40337</v>
          </cell>
        </row>
        <row r="6150">
          <cell r="G6150" t="str">
            <v>Xã Hưng Châu</v>
          </cell>
          <cell r="I6150" t="str">
            <v>40337</v>
          </cell>
        </row>
        <row r="6151">
          <cell r="G6151" t="str">
            <v xml:space="preserve">Xã Hưng Khánh </v>
          </cell>
          <cell r="I6151" t="str">
            <v>40337</v>
          </cell>
        </row>
        <row r="6152">
          <cell r="G6152" t="str">
            <v>Thị trấn Hưng Nguyên</v>
          </cell>
          <cell r="I6152" t="str">
            <v>40337</v>
          </cell>
        </row>
        <row r="6153">
          <cell r="G6153" t="str">
            <v>Xã Hưng Yên</v>
          </cell>
          <cell r="I6153" t="str">
            <v>40337</v>
          </cell>
        </row>
        <row r="6154">
          <cell r="G6154" t="str">
            <v>Xã Hưng Tây</v>
          </cell>
          <cell r="I6154" t="str">
            <v>40337</v>
          </cell>
        </row>
        <row r="6155">
          <cell r="G6155" t="str">
            <v>Xã Hưng Mỹ</v>
          </cell>
          <cell r="I6155" t="str">
            <v>40337</v>
          </cell>
        </row>
        <row r="6156">
          <cell r="G6156" t="str">
            <v xml:space="preserve">Xã Hưng Thịnh   </v>
          </cell>
          <cell r="I6156" t="str">
            <v>40337</v>
          </cell>
        </row>
        <row r="6157">
          <cell r="G6157" t="str">
            <v>Xã Hưng Lĩnh</v>
          </cell>
          <cell r="I6157" t="str">
            <v>40337</v>
          </cell>
        </row>
        <row r="6158">
          <cell r="G6158" t="str">
            <v>Xã Hưng Tân</v>
          </cell>
          <cell r="I6158" t="str">
            <v>40337</v>
          </cell>
        </row>
        <row r="6159">
          <cell r="G6159" t="str">
            <v>Xã Hưng Thắng</v>
          </cell>
          <cell r="I6159" t="str">
            <v>40337</v>
          </cell>
        </row>
        <row r="6160">
          <cell r="G6160" t="str">
            <v xml:space="preserve">Xã Hưng Long   </v>
          </cell>
          <cell r="I6160" t="str">
            <v>40337</v>
          </cell>
        </row>
        <row r="6161">
          <cell r="G6161" t="str">
            <v>Xã Hưng Tiến</v>
          </cell>
          <cell r="I6161" t="str">
            <v>40337</v>
          </cell>
        </row>
        <row r="6162">
          <cell r="G6162" t="str">
            <v>Xã Hưng Xá</v>
          </cell>
          <cell r="I6162" t="str">
            <v>40337</v>
          </cell>
        </row>
        <row r="6163">
          <cell r="G6163" t="str">
            <v>Xã Hưng Xuân</v>
          </cell>
          <cell r="I6163" t="str">
            <v>40337</v>
          </cell>
        </row>
        <row r="6164">
          <cell r="G6164" t="str">
            <v xml:space="preserve">Xã Hưng Nhân </v>
          </cell>
          <cell r="I6164" t="str">
            <v>40337</v>
          </cell>
        </row>
        <row r="6165">
          <cell r="G6165" t="str">
            <v>Xã Hưng Phú</v>
          </cell>
          <cell r="I6165" t="str">
            <v>40337</v>
          </cell>
        </row>
        <row r="6166">
          <cell r="G6166" t="str">
            <v>Xã Hưng Lam</v>
          </cell>
          <cell r="I6166" t="str">
            <v>40337</v>
          </cell>
        </row>
        <row r="6167">
          <cell r="G6167" t="str">
            <v>Xã Hưng Yên Bắc</v>
          </cell>
          <cell r="I6167" t="str">
            <v>40337</v>
          </cell>
        </row>
        <row r="6168">
          <cell r="G6168" t="str">
            <v>Phường Quỳnh Thiện</v>
          </cell>
          <cell r="I6168" t="str">
            <v>40339</v>
          </cell>
        </row>
        <row r="6169">
          <cell r="G6169" t="str">
            <v>Phường Quỳnh Dị</v>
          </cell>
          <cell r="I6169" t="str">
            <v>40339</v>
          </cell>
        </row>
        <row r="6170">
          <cell r="G6170" t="str">
            <v>Phường Mai Hùng</v>
          </cell>
          <cell r="I6170" t="str">
            <v>40339</v>
          </cell>
        </row>
        <row r="6171">
          <cell r="G6171" t="str">
            <v>Phường Quỳnh Phương</v>
          </cell>
          <cell r="I6171" t="str">
            <v>40339</v>
          </cell>
        </row>
        <row r="6172">
          <cell r="G6172" t="str">
            <v>Phường Quỳnh Xuân</v>
          </cell>
          <cell r="I6172" t="str">
            <v>40339</v>
          </cell>
        </row>
        <row r="6173">
          <cell r="G6173" t="str">
            <v xml:space="preserve">Xã Quỳnh Trang </v>
          </cell>
          <cell r="I6173" t="str">
            <v>40339</v>
          </cell>
        </row>
        <row r="6174">
          <cell r="G6174" t="str">
            <v>Xã Quỳnh Lập</v>
          </cell>
          <cell r="I6174" t="str">
            <v>40339</v>
          </cell>
        </row>
        <row r="6175">
          <cell r="G6175" t="str">
            <v>Xã Quỳnh Liên</v>
          </cell>
          <cell r="I6175" t="str">
            <v>40339</v>
          </cell>
        </row>
        <row r="6176">
          <cell r="G6176" t="str">
            <v>Xã Quỳnh Vinh</v>
          </cell>
          <cell r="I6176" t="str">
            <v>40339</v>
          </cell>
        </row>
        <row r="6177">
          <cell r="G6177" t="str">
            <v>Xã Quỳnh Lộc</v>
          </cell>
          <cell r="I6177" t="str">
            <v>40339</v>
          </cell>
        </row>
        <row r="6178">
          <cell r="G6178" t="str">
            <v>Phường Thạch Linh</v>
          </cell>
          <cell r="I6178" t="str">
            <v>40501</v>
          </cell>
        </row>
        <row r="6179">
          <cell r="G6179" t="str">
            <v>Phường Nam Hà</v>
          </cell>
          <cell r="I6179" t="str">
            <v>40501</v>
          </cell>
        </row>
        <row r="6180">
          <cell r="G6180" t="str">
            <v xml:space="preserve">Phường Hà Huy Tập </v>
          </cell>
          <cell r="I6180" t="str">
            <v>40501</v>
          </cell>
        </row>
        <row r="6181">
          <cell r="G6181" t="str">
            <v>Xã Thạch Hạ</v>
          </cell>
          <cell r="I6181" t="str">
            <v>40501</v>
          </cell>
        </row>
        <row r="6182">
          <cell r="G6182" t="str">
            <v xml:space="preserve">Xã Thạch Bình  </v>
          </cell>
          <cell r="I6182" t="str">
            <v>40501</v>
          </cell>
        </row>
        <row r="6183">
          <cell r="G6183" t="str">
            <v xml:space="preserve">Phường Trần Phú     </v>
          </cell>
          <cell r="I6183" t="str">
            <v>40501</v>
          </cell>
        </row>
        <row r="6184">
          <cell r="G6184" t="str">
            <v>Phường Bắc Hà</v>
          </cell>
          <cell r="I6184" t="str">
            <v>40501</v>
          </cell>
        </row>
        <row r="6185">
          <cell r="G6185" t="str">
            <v xml:space="preserve">Phường Tân Giang </v>
          </cell>
          <cell r="I6185" t="str">
            <v>40501</v>
          </cell>
        </row>
        <row r="6186">
          <cell r="G6186" t="str">
            <v>Phường Đại Nài</v>
          </cell>
          <cell r="I6186" t="str">
            <v>40501</v>
          </cell>
        </row>
        <row r="6187">
          <cell r="G6187" t="str">
            <v>Xã Thạch Trung</v>
          </cell>
          <cell r="I6187" t="str">
            <v>40501</v>
          </cell>
        </row>
        <row r="6188">
          <cell r="G6188" t="str">
            <v xml:space="preserve"> Phường Thạch Quý</v>
          </cell>
          <cell r="I6188" t="str">
            <v>40501</v>
          </cell>
        </row>
        <row r="6189">
          <cell r="G6189" t="str">
            <v xml:space="preserve"> Phường Văn Yên</v>
          </cell>
          <cell r="I6189" t="str">
            <v>40501</v>
          </cell>
        </row>
        <row r="6190">
          <cell r="G6190" t="str">
            <v>Xã Thạch Môn</v>
          </cell>
          <cell r="I6190" t="str">
            <v>40501</v>
          </cell>
        </row>
        <row r="6191">
          <cell r="G6191" t="str">
            <v xml:space="preserve">Xã Thạch Đồng  </v>
          </cell>
          <cell r="I6191" t="str">
            <v>40501</v>
          </cell>
        </row>
        <row r="6192">
          <cell r="G6192" t="str">
            <v>Xã Thạch Hưng</v>
          </cell>
          <cell r="I6192" t="str">
            <v>40501</v>
          </cell>
        </row>
        <row r="6193">
          <cell r="G6193" t="str">
            <v xml:space="preserve">Phường Nguyễn Du  </v>
          </cell>
          <cell r="I6193" t="str">
            <v>40501</v>
          </cell>
        </row>
        <row r="6194">
          <cell r="G6194" t="str">
            <v>Phường Nam Hồng</v>
          </cell>
          <cell r="I6194" t="str">
            <v>40503</v>
          </cell>
        </row>
        <row r="6195">
          <cell r="G6195" t="str">
            <v xml:space="preserve">Xã Trung Lương  </v>
          </cell>
          <cell r="I6195" t="str">
            <v>40503</v>
          </cell>
        </row>
        <row r="6196">
          <cell r="G6196" t="str">
            <v>Xã Đức Thuận</v>
          </cell>
          <cell r="I6196" t="str">
            <v>40503</v>
          </cell>
        </row>
        <row r="6197">
          <cell r="G6197" t="str">
            <v>Xã Đậu Liêu</v>
          </cell>
          <cell r="I6197" t="str">
            <v>40503</v>
          </cell>
        </row>
        <row r="6198">
          <cell r="G6198" t="str">
            <v>Xã Thuận Lộc</v>
          </cell>
          <cell r="I6198" t="str">
            <v>40503</v>
          </cell>
        </row>
        <row r="6199">
          <cell r="G6199" t="str">
            <v>Phường Bắc Hồng</v>
          </cell>
          <cell r="I6199" t="str">
            <v>40503</v>
          </cell>
        </row>
        <row r="6200">
          <cell r="G6200" t="str">
            <v>Thị trấn Nghi Xuân</v>
          </cell>
          <cell r="I6200" t="str">
            <v>40505</v>
          </cell>
        </row>
        <row r="6201">
          <cell r="G6201" t="str">
            <v>Xã Xuân Liên</v>
          </cell>
          <cell r="I6201" t="str">
            <v>40505</v>
          </cell>
        </row>
        <row r="6202">
          <cell r="G6202" t="str">
            <v>Xã Xuân Hội</v>
          </cell>
          <cell r="I6202" t="str">
            <v>40505</v>
          </cell>
        </row>
        <row r="6203">
          <cell r="G6203" t="str">
            <v>Xã Xuân Phổ</v>
          </cell>
          <cell r="I6203" t="str">
            <v>40505</v>
          </cell>
        </row>
        <row r="6204">
          <cell r="G6204" t="str">
            <v xml:space="preserve">Xã Xuân Yên </v>
          </cell>
          <cell r="I6204" t="str">
            <v>40505</v>
          </cell>
        </row>
        <row r="6205">
          <cell r="G6205" t="str">
            <v xml:space="preserve">Xã Xuân Hồng </v>
          </cell>
          <cell r="I6205" t="str">
            <v>40505</v>
          </cell>
        </row>
        <row r="6206">
          <cell r="G6206" t="str">
            <v xml:space="preserve">Xã Xuân Lam </v>
          </cell>
          <cell r="I6206" t="str">
            <v>40505</v>
          </cell>
        </row>
        <row r="6207">
          <cell r="G6207" t="str">
            <v>Thị trấn Xuân An</v>
          </cell>
          <cell r="I6207" t="str">
            <v>40505</v>
          </cell>
        </row>
        <row r="6208">
          <cell r="G6208" t="str">
            <v xml:space="preserve">Xã Xuân Trường  </v>
          </cell>
          <cell r="I6208" t="str">
            <v>40505</v>
          </cell>
        </row>
        <row r="6209">
          <cell r="G6209" t="str">
            <v>Xã Xuân Đan</v>
          </cell>
          <cell r="I6209" t="str">
            <v>40505</v>
          </cell>
        </row>
        <row r="6210">
          <cell r="G6210" t="str">
            <v>Xã Xuân Hải</v>
          </cell>
          <cell r="I6210" t="str">
            <v>40505</v>
          </cell>
        </row>
        <row r="6211">
          <cell r="G6211" t="str">
            <v xml:space="preserve">Xã Xuân Giang   </v>
          </cell>
          <cell r="I6211" t="str">
            <v>40505</v>
          </cell>
        </row>
        <row r="6212">
          <cell r="G6212" t="str">
            <v>Xã Tiên Điền</v>
          </cell>
          <cell r="I6212" t="str">
            <v>40505</v>
          </cell>
        </row>
        <row r="6213">
          <cell r="G6213" t="str">
            <v>Xã Xuân Mỹ</v>
          </cell>
          <cell r="I6213" t="str">
            <v>40505</v>
          </cell>
        </row>
        <row r="6214">
          <cell r="G6214" t="str">
            <v xml:space="preserve">Xã Xuân Thành   </v>
          </cell>
          <cell r="I6214" t="str">
            <v>40505</v>
          </cell>
        </row>
        <row r="6215">
          <cell r="G6215" t="str">
            <v xml:space="preserve">Xã Xuân Viên </v>
          </cell>
          <cell r="I6215" t="str">
            <v>40505</v>
          </cell>
        </row>
        <row r="6216">
          <cell r="G6216" t="str">
            <v>Xã Cổ Đạm</v>
          </cell>
          <cell r="I6216" t="str">
            <v>40505</v>
          </cell>
        </row>
        <row r="6217">
          <cell r="G6217" t="str">
            <v>Xã Xuân Lĩnh</v>
          </cell>
          <cell r="I6217" t="str">
            <v>40505</v>
          </cell>
        </row>
        <row r="6218">
          <cell r="G6218" t="str">
            <v>Xã Cương Gián</v>
          </cell>
          <cell r="I6218" t="str">
            <v>40505</v>
          </cell>
        </row>
        <row r="6219">
          <cell r="G6219" t="str">
            <v xml:space="preserve">Xã Trường Sơn   </v>
          </cell>
          <cell r="I6219" t="str">
            <v>40507</v>
          </cell>
        </row>
        <row r="6220">
          <cell r="G6220" t="str">
            <v xml:space="preserve">Xã Đức Hòa </v>
          </cell>
          <cell r="I6220" t="str">
            <v>40507</v>
          </cell>
        </row>
        <row r="6221">
          <cell r="G6221" t="str">
            <v>Xã Đức Vĩnh</v>
          </cell>
          <cell r="I6221" t="str">
            <v>40507</v>
          </cell>
        </row>
        <row r="6222">
          <cell r="G6222" t="str">
            <v xml:space="preserve">Xã Liên Minh  </v>
          </cell>
          <cell r="I6222" t="str">
            <v>40507</v>
          </cell>
        </row>
        <row r="6223">
          <cell r="G6223" t="str">
            <v>Xã Tùng ảnh</v>
          </cell>
          <cell r="I6223" t="str">
            <v>40507</v>
          </cell>
        </row>
        <row r="6224">
          <cell r="G6224" t="str">
            <v>Xã Đức Thủy</v>
          </cell>
          <cell r="I6224" t="str">
            <v>40507</v>
          </cell>
        </row>
        <row r="6225">
          <cell r="G6225" t="str">
            <v xml:space="preserve">Xã Đức Long    </v>
          </cell>
          <cell r="I6225" t="str">
            <v>40507</v>
          </cell>
        </row>
        <row r="6226">
          <cell r="G6226" t="str">
            <v>Xã Đức Lập</v>
          </cell>
          <cell r="I6226" t="str">
            <v>40507</v>
          </cell>
        </row>
        <row r="6227">
          <cell r="G6227" t="str">
            <v>Xã Đức Lạng</v>
          </cell>
          <cell r="I6227" t="str">
            <v>40507</v>
          </cell>
        </row>
        <row r="6228">
          <cell r="G6228" t="str">
            <v>Thị trấn Đức Thọ</v>
          </cell>
          <cell r="I6228" t="str">
            <v>40507</v>
          </cell>
        </row>
        <row r="6229">
          <cell r="G6229" t="str">
            <v xml:space="preserve">Xã Đức Quang </v>
          </cell>
          <cell r="I6229" t="str">
            <v>40507</v>
          </cell>
        </row>
        <row r="6230">
          <cell r="G6230" t="str">
            <v>Xã Đức Châu</v>
          </cell>
          <cell r="I6230" t="str">
            <v>40507</v>
          </cell>
        </row>
        <row r="6231">
          <cell r="G6231" t="str">
            <v>Xã Đức Tùng</v>
          </cell>
          <cell r="I6231" t="str">
            <v>40507</v>
          </cell>
        </row>
        <row r="6232">
          <cell r="G6232" t="str">
            <v>Xã Đức La</v>
          </cell>
          <cell r="I6232" t="str">
            <v>40507</v>
          </cell>
        </row>
        <row r="6233">
          <cell r="G6233" t="str">
            <v>Xã Yên Hồ</v>
          </cell>
          <cell r="I6233" t="str">
            <v>40507</v>
          </cell>
        </row>
        <row r="6234">
          <cell r="G6234" t="str">
            <v>Xã Đức Nhân</v>
          </cell>
          <cell r="I6234" t="str">
            <v>40507</v>
          </cell>
        </row>
        <row r="6235">
          <cell r="G6235" t="str">
            <v>Xã Bùi Xá</v>
          </cell>
          <cell r="I6235" t="str">
            <v>40507</v>
          </cell>
        </row>
        <row r="6236">
          <cell r="G6236" t="str">
            <v>Xã Đức Thịnh</v>
          </cell>
          <cell r="I6236" t="str">
            <v>40507</v>
          </cell>
        </row>
        <row r="6237">
          <cell r="G6237" t="str">
            <v>Xã Đức Yên</v>
          </cell>
          <cell r="I6237" t="str">
            <v>40507</v>
          </cell>
        </row>
        <row r="6238">
          <cell r="G6238" t="str">
            <v>Xã Thái Yên</v>
          </cell>
          <cell r="I6238" t="str">
            <v>40507</v>
          </cell>
        </row>
        <row r="6239">
          <cell r="G6239" t="str">
            <v>Xã Trung Lễ</v>
          </cell>
          <cell r="I6239" t="str">
            <v>40507</v>
          </cell>
        </row>
        <row r="6240">
          <cell r="G6240" t="str">
            <v>Xã Đức Lâm</v>
          </cell>
          <cell r="I6240" t="str">
            <v>40507</v>
          </cell>
        </row>
        <row r="6241">
          <cell r="G6241" t="str">
            <v>Xã Đức Thanh</v>
          </cell>
          <cell r="I6241" t="str">
            <v>40507</v>
          </cell>
        </row>
        <row r="6242">
          <cell r="G6242" t="str">
            <v>Xã Đức Dũng</v>
          </cell>
          <cell r="I6242" t="str">
            <v>40507</v>
          </cell>
        </row>
        <row r="6243">
          <cell r="G6243" t="str">
            <v>Xã Đức An</v>
          </cell>
          <cell r="I6243" t="str">
            <v>40507</v>
          </cell>
        </row>
        <row r="6244">
          <cell r="G6244" t="str">
            <v>Xã Đức Lạc</v>
          </cell>
          <cell r="I6244" t="str">
            <v>40507</v>
          </cell>
        </row>
        <row r="6245">
          <cell r="G6245" t="str">
            <v>Xã Đức Đồng</v>
          </cell>
          <cell r="I6245" t="str">
            <v>40507</v>
          </cell>
        </row>
        <row r="6246">
          <cell r="G6246" t="str">
            <v xml:space="preserve">Xã Tân Hương     </v>
          </cell>
          <cell r="I6246" t="str">
            <v>40507</v>
          </cell>
        </row>
        <row r="6247">
          <cell r="G6247" t="str">
            <v>Xã Sơn Hồng</v>
          </cell>
          <cell r="I6247" t="str">
            <v>40509</v>
          </cell>
        </row>
        <row r="6248">
          <cell r="G6248" t="str">
            <v>Xã Sơn Ninh</v>
          </cell>
          <cell r="I6248" t="str">
            <v>40509</v>
          </cell>
        </row>
        <row r="6249">
          <cell r="G6249" t="str">
            <v>Xã Sơn Diệm</v>
          </cell>
          <cell r="I6249" t="str">
            <v>40509</v>
          </cell>
        </row>
        <row r="6250">
          <cell r="G6250" t="str">
            <v>Xã Sơn Lâm</v>
          </cell>
          <cell r="I6250" t="str">
            <v>40509</v>
          </cell>
        </row>
        <row r="6251">
          <cell r="G6251" t="str">
            <v>Xã Sơn Giang</v>
          </cell>
          <cell r="I6251" t="str">
            <v>40509</v>
          </cell>
        </row>
        <row r="6252">
          <cell r="G6252" t="str">
            <v>Xã Sơn Mỹ</v>
          </cell>
          <cell r="I6252" t="str">
            <v>40509</v>
          </cell>
        </row>
        <row r="6253">
          <cell r="G6253" t="str">
            <v>Xã Sơn Châu</v>
          </cell>
          <cell r="I6253" t="str">
            <v>40509</v>
          </cell>
        </row>
        <row r="6254">
          <cell r="G6254" t="str">
            <v>Xã Sơn Bằng</v>
          </cell>
          <cell r="I6254" t="str">
            <v>40509</v>
          </cell>
        </row>
        <row r="6255">
          <cell r="G6255" t="str">
            <v>Xã Sơn Trà</v>
          </cell>
          <cell r="I6255" t="str">
            <v>40509</v>
          </cell>
        </row>
        <row r="6256">
          <cell r="G6256" t="str">
            <v>Xã Sơn Hàm</v>
          </cell>
          <cell r="I6256" t="str">
            <v>40509</v>
          </cell>
        </row>
        <row r="6257">
          <cell r="G6257" t="str">
            <v>Xã Sơn Mai</v>
          </cell>
          <cell r="I6257" t="str">
            <v>40509</v>
          </cell>
        </row>
        <row r="6258">
          <cell r="G6258" t="str">
            <v>Thị trấn Phố Châu</v>
          </cell>
          <cell r="I6258" t="str">
            <v>40509</v>
          </cell>
        </row>
        <row r="6259">
          <cell r="G6259" t="str">
            <v>Thị trấn Tây Sơn</v>
          </cell>
          <cell r="I6259" t="str">
            <v>40509</v>
          </cell>
        </row>
        <row r="6260">
          <cell r="G6260" t="str">
            <v>Xã Sơn Tiến</v>
          </cell>
          <cell r="I6260" t="str">
            <v>40509</v>
          </cell>
        </row>
        <row r="6261">
          <cell r="G6261" t="str">
            <v>Xã Sơn Lễ</v>
          </cell>
          <cell r="I6261" t="str">
            <v>40509</v>
          </cell>
        </row>
        <row r="6262">
          <cell r="G6262" t="str">
            <v xml:space="preserve">Xã Sơn Thịnh </v>
          </cell>
          <cell r="I6262" t="str">
            <v>40509</v>
          </cell>
        </row>
        <row r="6263">
          <cell r="G6263" t="str">
            <v>Xã Sơn An</v>
          </cell>
          <cell r="I6263" t="str">
            <v>40509</v>
          </cell>
        </row>
        <row r="6264">
          <cell r="G6264" t="str">
            <v>Xã Sơn Lĩnh</v>
          </cell>
          <cell r="I6264" t="str">
            <v>40509</v>
          </cell>
        </row>
        <row r="6265">
          <cell r="G6265" t="str">
            <v>Xã Sơn Hòa</v>
          </cell>
          <cell r="I6265" t="str">
            <v>40509</v>
          </cell>
        </row>
        <row r="6266">
          <cell r="G6266" t="str">
            <v>Xã Sơn Tân</v>
          </cell>
          <cell r="I6266" t="str">
            <v>40509</v>
          </cell>
        </row>
        <row r="6267">
          <cell r="G6267" t="str">
            <v>Xã Sơn Tây</v>
          </cell>
          <cell r="I6267" t="str">
            <v>40509</v>
          </cell>
        </row>
        <row r="6268">
          <cell r="G6268" t="str">
            <v xml:space="preserve">Xã Sơn Hà     </v>
          </cell>
          <cell r="I6268" t="str">
            <v>40509</v>
          </cell>
        </row>
        <row r="6269">
          <cell r="G6269" t="str">
            <v>Xã Sơn Quang</v>
          </cell>
          <cell r="I6269" t="str">
            <v>40509</v>
          </cell>
        </row>
        <row r="6270">
          <cell r="G6270" t="str">
            <v>Xã Sơn Trung</v>
          </cell>
          <cell r="I6270" t="str">
            <v>40509</v>
          </cell>
        </row>
        <row r="6271">
          <cell r="G6271" t="str">
            <v xml:space="preserve">Xã Sơn Bình </v>
          </cell>
          <cell r="I6271" t="str">
            <v>40509</v>
          </cell>
        </row>
        <row r="6272">
          <cell r="G6272" t="str">
            <v>Xã Sơn Kim 1</v>
          </cell>
          <cell r="I6272" t="str">
            <v>40509</v>
          </cell>
        </row>
        <row r="6273">
          <cell r="G6273" t="str">
            <v>Xã Sơn Kim 2</v>
          </cell>
          <cell r="I6273" t="str">
            <v>40509</v>
          </cell>
        </row>
        <row r="6274">
          <cell r="G6274" t="str">
            <v>Xã Sơn Long</v>
          </cell>
          <cell r="I6274" t="str">
            <v>40509</v>
          </cell>
        </row>
        <row r="6275">
          <cell r="G6275" t="str">
            <v xml:space="preserve">Xã Sơn Thủy   </v>
          </cell>
          <cell r="I6275" t="str">
            <v>40509</v>
          </cell>
        </row>
        <row r="6276">
          <cell r="G6276" t="str">
            <v xml:space="preserve">Xã Sơn Phú  </v>
          </cell>
          <cell r="I6276" t="str">
            <v>40509</v>
          </cell>
        </row>
        <row r="6277">
          <cell r="G6277" t="str">
            <v>Xã Sơn Phúc</v>
          </cell>
          <cell r="I6277" t="str">
            <v>40509</v>
          </cell>
        </row>
        <row r="6278">
          <cell r="G6278" t="str">
            <v>Xã Sơn Trường</v>
          </cell>
          <cell r="I6278" t="str">
            <v>40509</v>
          </cell>
        </row>
        <row r="6279">
          <cell r="G6279" t="str">
            <v>Xã Gia Hanh</v>
          </cell>
          <cell r="I6279" t="str">
            <v>40511</v>
          </cell>
        </row>
        <row r="6280">
          <cell r="G6280" t="str">
            <v>Xã Sơn Lộc</v>
          </cell>
          <cell r="I6280" t="str">
            <v>40511</v>
          </cell>
        </row>
        <row r="6281">
          <cell r="G6281" t="str">
            <v>Xã Khánh Lộc</v>
          </cell>
          <cell r="I6281" t="str">
            <v>40511</v>
          </cell>
        </row>
        <row r="6282">
          <cell r="G6282" t="str">
            <v>Xã Kim Lộc</v>
          </cell>
          <cell r="I6282" t="str">
            <v>40511</v>
          </cell>
        </row>
        <row r="6283">
          <cell r="G6283" t="str">
            <v>Xã Song Lộc</v>
          </cell>
          <cell r="I6283" t="str">
            <v>40511</v>
          </cell>
        </row>
        <row r="6284">
          <cell r="G6284" t="str">
            <v>Xã Vĩnh Lộc</v>
          </cell>
          <cell r="I6284" t="str">
            <v>40511</v>
          </cell>
        </row>
        <row r="6285">
          <cell r="G6285" t="str">
            <v xml:space="preserve">Xã Tiến Lộc </v>
          </cell>
          <cell r="I6285" t="str">
            <v>40511</v>
          </cell>
        </row>
        <row r="6286">
          <cell r="G6286" t="str">
            <v>Xã Trung Lộc</v>
          </cell>
          <cell r="I6286" t="str">
            <v>40511</v>
          </cell>
        </row>
        <row r="6287">
          <cell r="G6287" t="str">
            <v xml:space="preserve">Xã Xuân Lộc    </v>
          </cell>
          <cell r="I6287" t="str">
            <v>40511</v>
          </cell>
        </row>
        <row r="6288">
          <cell r="G6288" t="str">
            <v>Xã Thượng Lộc</v>
          </cell>
          <cell r="I6288" t="str">
            <v>40511</v>
          </cell>
        </row>
        <row r="6289">
          <cell r="G6289" t="str">
            <v xml:space="preserve">Xã Quang Lộc </v>
          </cell>
          <cell r="I6289" t="str">
            <v>40511</v>
          </cell>
        </row>
        <row r="6290">
          <cell r="G6290" t="str">
            <v xml:space="preserve">Xã Đồng Lộc </v>
          </cell>
          <cell r="I6290" t="str">
            <v>40511</v>
          </cell>
        </row>
        <row r="6291">
          <cell r="G6291" t="str">
            <v xml:space="preserve">Xã Mỹ Lộc  </v>
          </cell>
          <cell r="I6291" t="str">
            <v>40511</v>
          </cell>
        </row>
        <row r="6292">
          <cell r="G6292" t="str">
            <v>Thị trấn Nghèn</v>
          </cell>
          <cell r="I6292" t="str">
            <v>40511</v>
          </cell>
        </row>
        <row r="6293">
          <cell r="G6293" t="str">
            <v>Xã Thiên Lộc</v>
          </cell>
          <cell r="I6293" t="str">
            <v>40511</v>
          </cell>
        </row>
        <row r="6294">
          <cell r="G6294" t="str">
            <v>Xã Thuần Thiện</v>
          </cell>
          <cell r="I6294" t="str">
            <v>40511</v>
          </cell>
        </row>
        <row r="6295">
          <cell r="G6295" t="str">
            <v>Xã Vượng Lộc</v>
          </cell>
          <cell r="I6295" t="str">
            <v>40511</v>
          </cell>
        </row>
        <row r="6296">
          <cell r="G6296" t="str">
            <v>Xã Thanh Lộc</v>
          </cell>
          <cell r="I6296" t="str">
            <v>40511</v>
          </cell>
        </row>
        <row r="6297">
          <cell r="G6297" t="str">
            <v>Xã Thường Nga</v>
          </cell>
          <cell r="I6297" t="str">
            <v>40511</v>
          </cell>
        </row>
        <row r="6298">
          <cell r="G6298" t="str">
            <v>Xã Trường Lộc</v>
          </cell>
          <cell r="I6298" t="str">
            <v>40511</v>
          </cell>
        </row>
        <row r="6299">
          <cell r="G6299" t="str">
            <v>Xã Tùng Lộc</v>
          </cell>
          <cell r="I6299" t="str">
            <v>40511</v>
          </cell>
        </row>
        <row r="6300">
          <cell r="G6300" t="str">
            <v xml:space="preserve">Xã Yên Lộc  </v>
          </cell>
          <cell r="I6300" t="str">
            <v>40511</v>
          </cell>
        </row>
        <row r="6301">
          <cell r="G6301" t="str">
            <v xml:space="preserve">Xã Phú Lộc   </v>
          </cell>
          <cell r="I6301" t="str">
            <v>40511</v>
          </cell>
        </row>
        <row r="6302">
          <cell r="G6302" t="str">
            <v>Thị trấn Thạch Hà</v>
          </cell>
          <cell r="I6302" t="str">
            <v>40513</v>
          </cell>
        </row>
        <row r="6303">
          <cell r="G6303" t="str">
            <v>Xã Thạch Lạc</v>
          </cell>
          <cell r="I6303" t="str">
            <v>40513</v>
          </cell>
        </row>
        <row r="6304">
          <cell r="G6304" t="str">
            <v>Xã Thạch Xuân</v>
          </cell>
          <cell r="I6304" t="str">
            <v>40513</v>
          </cell>
        </row>
        <row r="6305">
          <cell r="G6305" t="str">
            <v>Xã Thạch Bàn</v>
          </cell>
          <cell r="I6305" t="str">
            <v>40513</v>
          </cell>
        </row>
        <row r="6306">
          <cell r="G6306" t="str">
            <v>Xã Thạch Kênh</v>
          </cell>
          <cell r="I6306" t="str">
            <v>40513</v>
          </cell>
        </row>
        <row r="6307">
          <cell r="G6307" t="str">
            <v>Xã Phù Việt</v>
          </cell>
          <cell r="I6307" t="str">
            <v>40513</v>
          </cell>
        </row>
        <row r="6308">
          <cell r="G6308" t="str">
            <v>Xã Việt Xuyên</v>
          </cell>
          <cell r="I6308" t="str">
            <v>40513</v>
          </cell>
        </row>
        <row r="6309">
          <cell r="G6309" t="str">
            <v>Xã Thạch Ngọc</v>
          </cell>
          <cell r="I6309" t="str">
            <v>40513</v>
          </cell>
        </row>
        <row r="6310">
          <cell r="G6310" t="str">
            <v>Xã Thạch Thắng</v>
          </cell>
          <cell r="I6310" t="str">
            <v>40513</v>
          </cell>
        </row>
        <row r="6311">
          <cell r="G6311" t="str">
            <v>Xã Thạch Hội</v>
          </cell>
          <cell r="I6311" t="str">
            <v>40513</v>
          </cell>
        </row>
        <row r="6312">
          <cell r="G6312" t="str">
            <v>Xã Thạch Hương</v>
          </cell>
          <cell r="I6312" t="str">
            <v>40513</v>
          </cell>
        </row>
        <row r="6313">
          <cell r="G6313" t="str">
            <v xml:space="preserve">Xã Ngọc Sơn        </v>
          </cell>
          <cell r="I6313" t="str">
            <v>40513</v>
          </cell>
        </row>
        <row r="6314">
          <cell r="G6314" t="str">
            <v>Xã Thạch Hải</v>
          </cell>
          <cell r="I6314" t="str">
            <v>40513</v>
          </cell>
        </row>
        <row r="6315">
          <cell r="G6315" t="str">
            <v xml:space="preserve">Xã Thạch Sơn    </v>
          </cell>
          <cell r="I6315" t="str">
            <v>40513</v>
          </cell>
        </row>
        <row r="6316">
          <cell r="G6316" t="str">
            <v>Xã Thạch Liên</v>
          </cell>
          <cell r="I6316" t="str">
            <v>40513</v>
          </cell>
        </row>
        <row r="6317">
          <cell r="G6317" t="str">
            <v>Xã Thạch Đỉnh</v>
          </cell>
          <cell r="I6317" t="str">
            <v>40513</v>
          </cell>
        </row>
        <row r="6318">
          <cell r="G6318" t="str">
            <v>Xã Thạch Khê</v>
          </cell>
          <cell r="I6318" t="str">
            <v>40513</v>
          </cell>
        </row>
        <row r="6319">
          <cell r="G6319" t="str">
            <v xml:space="preserve">Xã Thạch Long </v>
          </cell>
          <cell r="I6319" t="str">
            <v>40513</v>
          </cell>
        </row>
        <row r="6320">
          <cell r="G6320" t="str">
            <v>Xã Thạch Tiến</v>
          </cell>
          <cell r="I6320" t="str">
            <v>40513</v>
          </cell>
        </row>
        <row r="6321">
          <cell r="G6321" t="str">
            <v>Xã Thạch Thanh</v>
          </cell>
          <cell r="I6321" t="str">
            <v>40513</v>
          </cell>
        </row>
        <row r="6322">
          <cell r="G6322" t="str">
            <v>Xã Thạch Trị</v>
          </cell>
          <cell r="I6322" t="str">
            <v>40513</v>
          </cell>
        </row>
        <row r="6323">
          <cell r="G6323" t="str">
            <v xml:space="preserve">Xã Tượng Sơn </v>
          </cell>
          <cell r="I6323" t="str">
            <v>40513</v>
          </cell>
        </row>
        <row r="6324">
          <cell r="G6324" t="str">
            <v>Xã Thạch Văn</v>
          </cell>
          <cell r="I6324" t="str">
            <v>40513</v>
          </cell>
        </row>
        <row r="6325">
          <cell r="G6325" t="str">
            <v>Xã Thạch Vĩnh</v>
          </cell>
          <cell r="I6325" t="str">
            <v>40513</v>
          </cell>
        </row>
        <row r="6326">
          <cell r="G6326" t="str">
            <v>Xã Thạch Lưu</v>
          </cell>
          <cell r="I6326" t="str">
            <v>40513</v>
          </cell>
        </row>
        <row r="6327">
          <cell r="G6327" t="str">
            <v>Xã Thạch Đài</v>
          </cell>
          <cell r="I6327" t="str">
            <v>40513</v>
          </cell>
        </row>
        <row r="6328">
          <cell r="G6328" t="str">
            <v xml:space="preserve">Xã Bắc Sơn          </v>
          </cell>
          <cell r="I6328" t="str">
            <v>40513</v>
          </cell>
        </row>
        <row r="6329">
          <cell r="G6329" t="str">
            <v xml:space="preserve">Xã Thạch Tân </v>
          </cell>
          <cell r="I6329" t="str">
            <v>40513</v>
          </cell>
        </row>
        <row r="6330">
          <cell r="G6330" t="str">
            <v xml:space="preserve">Xã Thạch Lâm  </v>
          </cell>
          <cell r="I6330" t="str">
            <v>40513</v>
          </cell>
        </row>
        <row r="6331">
          <cell r="G6331" t="str">
            <v>Xã Nam Hương</v>
          </cell>
          <cell r="I6331" t="str">
            <v>40513</v>
          </cell>
        </row>
        <row r="6332">
          <cell r="G6332" t="str">
            <v>Xã Thạch Điền</v>
          </cell>
          <cell r="I6332" t="str">
            <v>40513</v>
          </cell>
        </row>
        <row r="6333">
          <cell r="G6333" t="str">
            <v xml:space="preserve">Xã Cẩm Thành </v>
          </cell>
          <cell r="I6333" t="str">
            <v>40515</v>
          </cell>
        </row>
        <row r="6334">
          <cell r="G6334" t="str">
            <v>Xã Cẩm Lộc</v>
          </cell>
          <cell r="I6334" t="str">
            <v>40515</v>
          </cell>
        </row>
        <row r="6335">
          <cell r="G6335" t="str">
            <v xml:space="preserve">Xã Cẩm Sơn   </v>
          </cell>
          <cell r="I6335" t="str">
            <v>40515</v>
          </cell>
        </row>
        <row r="6336">
          <cell r="G6336" t="str">
            <v xml:space="preserve">Xã Cẩm Hưng </v>
          </cell>
          <cell r="I6336" t="str">
            <v>40515</v>
          </cell>
        </row>
        <row r="6337">
          <cell r="G6337" t="str">
            <v>Thị trấn Cẩm Xuyên</v>
          </cell>
          <cell r="I6337" t="str">
            <v>40515</v>
          </cell>
        </row>
        <row r="6338">
          <cell r="G6338" t="str">
            <v xml:space="preserve">Xã Cẩm Yên  </v>
          </cell>
          <cell r="I6338" t="str">
            <v>40515</v>
          </cell>
        </row>
        <row r="6339">
          <cell r="G6339" t="str">
            <v>Xã Cẩm Nam</v>
          </cell>
          <cell r="I6339" t="str">
            <v>40515</v>
          </cell>
        </row>
        <row r="6340">
          <cell r="G6340" t="str">
            <v>Xã Cẩm Nhượng</v>
          </cell>
          <cell r="I6340" t="str">
            <v>40515</v>
          </cell>
        </row>
        <row r="6341">
          <cell r="G6341" t="str">
            <v>Xã Cẩm Quan</v>
          </cell>
          <cell r="I6341" t="str">
            <v>40515</v>
          </cell>
        </row>
        <row r="6342">
          <cell r="G6342" t="str">
            <v>Thị trấn Thiên Cầm</v>
          </cell>
          <cell r="I6342" t="str">
            <v>40515</v>
          </cell>
        </row>
        <row r="6343">
          <cell r="G6343" t="str">
            <v>Xã Cẩm Hòa</v>
          </cell>
          <cell r="I6343" t="str">
            <v>40515</v>
          </cell>
        </row>
        <row r="6344">
          <cell r="G6344" t="str">
            <v>Xã Cẩm Dương</v>
          </cell>
          <cell r="I6344" t="str">
            <v>40515</v>
          </cell>
        </row>
        <row r="6345">
          <cell r="G6345" t="str">
            <v xml:space="preserve">Xã Cẩm Bình </v>
          </cell>
          <cell r="I6345" t="str">
            <v>40515</v>
          </cell>
        </row>
        <row r="6346">
          <cell r="G6346" t="str">
            <v>Xã Cẩm Vĩnh</v>
          </cell>
          <cell r="I6346" t="str">
            <v>40515</v>
          </cell>
        </row>
        <row r="6347">
          <cell r="G6347" t="str">
            <v>Xã Cẩm Quang</v>
          </cell>
          <cell r="I6347" t="str">
            <v>40515</v>
          </cell>
        </row>
        <row r="6348">
          <cell r="G6348" t="str">
            <v>Xã Cẩm Huy</v>
          </cell>
          <cell r="I6348" t="str">
            <v>40515</v>
          </cell>
        </row>
        <row r="6349">
          <cell r="G6349" t="str">
            <v xml:space="preserve">Xã Cẩm Thạch </v>
          </cell>
          <cell r="I6349" t="str">
            <v>40515</v>
          </cell>
        </row>
        <row r="6350">
          <cell r="G6350" t="str">
            <v>Xã Cẩm Thăng</v>
          </cell>
          <cell r="I6350" t="str">
            <v>40515</v>
          </cell>
        </row>
        <row r="6351">
          <cell r="G6351" t="str">
            <v>Xã Cẩm Duệ</v>
          </cell>
          <cell r="I6351" t="str">
            <v>40515</v>
          </cell>
        </row>
        <row r="6352">
          <cell r="G6352" t="str">
            <v xml:space="preserve">Xã Cẩm Phúc </v>
          </cell>
          <cell r="I6352" t="str">
            <v>40515</v>
          </cell>
        </row>
        <row r="6353">
          <cell r="G6353" t="str">
            <v xml:space="preserve">Xã Cẩm Lĩnh </v>
          </cell>
          <cell r="I6353" t="str">
            <v>40515</v>
          </cell>
        </row>
        <row r="6354">
          <cell r="G6354" t="str">
            <v>Xã Cẩm Hà</v>
          </cell>
          <cell r="I6354" t="str">
            <v>40515</v>
          </cell>
        </row>
        <row r="6355">
          <cell r="G6355" t="str">
            <v>Xã Cẩm Thịnh</v>
          </cell>
          <cell r="I6355" t="str">
            <v>40515</v>
          </cell>
        </row>
        <row r="6356">
          <cell r="G6356" t="str">
            <v>Xã Cẩm Mỹ</v>
          </cell>
          <cell r="I6356" t="str">
            <v>40515</v>
          </cell>
        </row>
        <row r="6357">
          <cell r="G6357" t="str">
            <v>Xã Cẩm Trung</v>
          </cell>
          <cell r="I6357" t="str">
            <v>40515</v>
          </cell>
        </row>
        <row r="6358">
          <cell r="G6358" t="str">
            <v>Xã Cẩm Lạc</v>
          </cell>
          <cell r="I6358" t="str">
            <v>40515</v>
          </cell>
        </row>
        <row r="6359">
          <cell r="G6359" t="str">
            <v>Xã Cẩm Minh</v>
          </cell>
          <cell r="I6359" t="str">
            <v>40515</v>
          </cell>
        </row>
        <row r="6360">
          <cell r="G6360" t="str">
            <v>Xã Hương Long</v>
          </cell>
          <cell r="I6360" t="str">
            <v>40517</v>
          </cell>
        </row>
        <row r="6361">
          <cell r="G6361" t="str">
            <v>Thị trấn Hương Khê</v>
          </cell>
          <cell r="I6361" t="str">
            <v>40517</v>
          </cell>
        </row>
        <row r="6362">
          <cell r="G6362" t="str">
            <v>Xã Phương Điền</v>
          </cell>
          <cell r="I6362" t="str">
            <v>40517</v>
          </cell>
        </row>
        <row r="6363">
          <cell r="G6363" t="str">
            <v>Xã Hương Bình</v>
          </cell>
          <cell r="I6363" t="str">
            <v>40517</v>
          </cell>
        </row>
        <row r="6364">
          <cell r="G6364" t="str">
            <v>Xã Phú Phong</v>
          </cell>
          <cell r="I6364" t="str">
            <v>40517</v>
          </cell>
        </row>
        <row r="6365">
          <cell r="G6365" t="str">
            <v>Xã Phúc Trạch</v>
          </cell>
          <cell r="I6365" t="str">
            <v>40517</v>
          </cell>
        </row>
        <row r="6366">
          <cell r="G6366" t="str">
            <v>Xã Hương Liên</v>
          </cell>
          <cell r="I6366" t="str">
            <v>40517</v>
          </cell>
        </row>
        <row r="6367">
          <cell r="G6367" t="str">
            <v>Xã Phương Mỹ</v>
          </cell>
          <cell r="I6367" t="str">
            <v>40517</v>
          </cell>
        </row>
        <row r="6368">
          <cell r="G6368" t="str">
            <v>Xã Hà Linh</v>
          </cell>
          <cell r="I6368" t="str">
            <v>40517</v>
          </cell>
        </row>
        <row r="6369">
          <cell r="G6369" t="str">
            <v>Xã Hương Thủy</v>
          </cell>
          <cell r="I6369" t="str">
            <v>40517</v>
          </cell>
        </row>
        <row r="6370">
          <cell r="G6370" t="str">
            <v>Xã Hòa Hải</v>
          </cell>
          <cell r="I6370" t="str">
            <v>40517</v>
          </cell>
        </row>
        <row r="6371">
          <cell r="G6371" t="str">
            <v>Xã Phúc Đồng</v>
          </cell>
          <cell r="I6371" t="str">
            <v>40517</v>
          </cell>
        </row>
        <row r="6372">
          <cell r="G6372" t="str">
            <v>Xã Hương Giang</v>
          </cell>
          <cell r="I6372" t="str">
            <v>40517</v>
          </cell>
        </row>
        <row r="6373">
          <cell r="G6373" t="str">
            <v xml:space="preserve">Xã Lộc Yên </v>
          </cell>
          <cell r="I6373" t="str">
            <v>40517</v>
          </cell>
        </row>
        <row r="6374">
          <cell r="G6374" t="str">
            <v>Xã Phú Gia</v>
          </cell>
          <cell r="I6374" t="str">
            <v>40517</v>
          </cell>
        </row>
        <row r="6375">
          <cell r="G6375" t="str">
            <v>Xã Gia Phố</v>
          </cell>
          <cell r="I6375" t="str">
            <v>40517</v>
          </cell>
        </row>
        <row r="6376">
          <cell r="G6376" t="str">
            <v>Xã Hương Đô</v>
          </cell>
          <cell r="I6376" t="str">
            <v>40517</v>
          </cell>
        </row>
        <row r="6377">
          <cell r="G6377" t="str">
            <v>Xã Hương Vĩnh</v>
          </cell>
          <cell r="I6377" t="str">
            <v>40517</v>
          </cell>
        </row>
        <row r="6378">
          <cell r="G6378" t="str">
            <v>Xã Hương Xuân</v>
          </cell>
          <cell r="I6378" t="str">
            <v>40517</v>
          </cell>
        </row>
        <row r="6379">
          <cell r="G6379" t="str">
            <v>Xã Hương Trà</v>
          </cell>
          <cell r="I6379" t="str">
            <v>40517</v>
          </cell>
        </row>
        <row r="6380">
          <cell r="G6380" t="str">
            <v>Xã Hương Trạch</v>
          </cell>
          <cell r="I6380" t="str">
            <v>40517</v>
          </cell>
        </row>
        <row r="6381">
          <cell r="G6381" t="str">
            <v xml:space="preserve">Xã Hương Lâm </v>
          </cell>
          <cell r="I6381" t="str">
            <v>40517</v>
          </cell>
        </row>
        <row r="6382">
          <cell r="G6382" t="str">
            <v>Xã Kỳ Phong</v>
          </cell>
          <cell r="I6382" t="str">
            <v>40519</v>
          </cell>
        </row>
        <row r="6383">
          <cell r="G6383" t="str">
            <v>Xã Kỳ Xuân</v>
          </cell>
          <cell r="I6383" t="str">
            <v>40519</v>
          </cell>
        </row>
        <row r="6384">
          <cell r="G6384" t="str">
            <v>Xã Kỳ Tiến</v>
          </cell>
          <cell r="I6384" t="str">
            <v>40519</v>
          </cell>
        </row>
        <row r="6385">
          <cell r="G6385" t="str">
            <v>Xã Kỳ Thọ</v>
          </cell>
          <cell r="I6385" t="str">
            <v>40519</v>
          </cell>
        </row>
        <row r="6386">
          <cell r="G6386" t="str">
            <v xml:space="preserve">Xã Kỳ Sơn   </v>
          </cell>
          <cell r="I6386" t="str">
            <v>40519</v>
          </cell>
        </row>
        <row r="6387">
          <cell r="G6387" t="str">
            <v xml:space="preserve">Xã Kỳ Thượng </v>
          </cell>
          <cell r="I6387" t="str">
            <v>40519</v>
          </cell>
        </row>
        <row r="6388">
          <cell r="G6388" t="str">
            <v>Xã Kỳ Hải</v>
          </cell>
          <cell r="I6388" t="str">
            <v>40519</v>
          </cell>
        </row>
        <row r="6389">
          <cell r="G6389" t="str">
            <v>Xã Kỳ Thư</v>
          </cell>
          <cell r="I6389" t="str">
            <v>40519</v>
          </cell>
        </row>
        <row r="6390">
          <cell r="G6390" t="str">
            <v>Xã Kỳ Châu</v>
          </cell>
          <cell r="I6390" t="str">
            <v>40519</v>
          </cell>
        </row>
        <row r="6391">
          <cell r="G6391" t="str">
            <v xml:space="preserve">Xã Kỳ Tân  </v>
          </cell>
          <cell r="I6391" t="str">
            <v>40519</v>
          </cell>
        </row>
        <row r="6392">
          <cell r="G6392" t="str">
            <v>Xã Kỳ Hợp</v>
          </cell>
          <cell r="I6392" t="str">
            <v>40519</v>
          </cell>
        </row>
        <row r="6393">
          <cell r="G6393" t="str">
            <v>Xã Kỳ Lâm</v>
          </cell>
          <cell r="I6393" t="str">
            <v>40519</v>
          </cell>
        </row>
        <row r="6394">
          <cell r="G6394" t="str">
            <v>Xã Kỳ Lạc</v>
          </cell>
          <cell r="I6394" t="str">
            <v>40519</v>
          </cell>
        </row>
        <row r="6395">
          <cell r="G6395" t="str">
            <v>Xã Kỳ Bắc</v>
          </cell>
          <cell r="I6395" t="str">
            <v>40519</v>
          </cell>
        </row>
        <row r="6396">
          <cell r="G6396" t="str">
            <v xml:space="preserve">Xã Kỳ Phú </v>
          </cell>
          <cell r="I6396" t="str">
            <v>40519</v>
          </cell>
        </row>
        <row r="6397">
          <cell r="G6397" t="str">
            <v>Xã Kỳ Giang</v>
          </cell>
          <cell r="I6397" t="str">
            <v>40519</v>
          </cell>
        </row>
        <row r="6398">
          <cell r="G6398" t="str">
            <v>Xã Kỳ Đồng</v>
          </cell>
          <cell r="I6398" t="str">
            <v>40519</v>
          </cell>
        </row>
        <row r="6399">
          <cell r="G6399" t="str">
            <v>Xã Kỳ Khang</v>
          </cell>
          <cell r="I6399" t="str">
            <v>40519</v>
          </cell>
        </row>
        <row r="6400">
          <cell r="G6400" t="str">
            <v>Xã Kỳ Văn</v>
          </cell>
          <cell r="I6400" t="str">
            <v>40519</v>
          </cell>
        </row>
        <row r="6401">
          <cell r="G6401" t="str">
            <v>Xã Kỳ Trung</v>
          </cell>
          <cell r="I6401" t="str">
            <v>40519</v>
          </cell>
        </row>
        <row r="6402">
          <cell r="G6402" t="str">
            <v>Xã Kỳ Tây</v>
          </cell>
          <cell r="I6402" t="str">
            <v>40519</v>
          </cell>
        </row>
        <row r="6403">
          <cell r="G6403" t="str">
            <v>Xã Kỳ Hà</v>
          </cell>
          <cell r="I6403" t="str">
            <v>40520</v>
          </cell>
        </row>
        <row r="6404">
          <cell r="G6404" t="str">
            <v>Xã Kỳ Ninh</v>
          </cell>
          <cell r="I6404" t="str">
            <v>40520</v>
          </cell>
        </row>
        <row r="6405">
          <cell r="G6405" t="str">
            <v>Xã Kỳ Lợi</v>
          </cell>
          <cell r="I6405" t="str">
            <v>40520</v>
          </cell>
        </row>
        <row r="6406">
          <cell r="G6406" t="str">
            <v>Phường Kỳ Thịnh</v>
          </cell>
          <cell r="I6406" t="str">
            <v>40520</v>
          </cell>
        </row>
        <row r="6407">
          <cell r="G6407" t="str">
            <v>Phường Kỳ Long</v>
          </cell>
          <cell r="I6407" t="str">
            <v>40520</v>
          </cell>
        </row>
        <row r="6408">
          <cell r="G6408" t="str">
            <v>Phường Kỳ Liên</v>
          </cell>
          <cell r="I6408" t="str">
            <v>40520</v>
          </cell>
        </row>
        <row r="6409">
          <cell r="G6409" t="str">
            <v>Phường Kỳ Phương</v>
          </cell>
          <cell r="I6409" t="str">
            <v>40520</v>
          </cell>
        </row>
        <row r="6410">
          <cell r="G6410" t="str">
            <v>Xã Kỳ Nam</v>
          </cell>
          <cell r="I6410" t="str">
            <v>40520</v>
          </cell>
        </row>
        <row r="6411">
          <cell r="G6411" t="str">
            <v>Xã Kỳ Hưng</v>
          </cell>
          <cell r="I6411" t="str">
            <v>40520</v>
          </cell>
        </row>
        <row r="6412">
          <cell r="G6412" t="str">
            <v>Xã Kỳ Hoa</v>
          </cell>
          <cell r="I6412" t="str">
            <v>40520</v>
          </cell>
        </row>
        <row r="6413">
          <cell r="G6413" t="str">
            <v>Phường Sông Trí</v>
          </cell>
          <cell r="I6413" t="str">
            <v>40520</v>
          </cell>
        </row>
        <row r="6414">
          <cell r="G6414" t="str">
            <v>Phường Kỳ Trinh</v>
          </cell>
          <cell r="I6414" t="str">
            <v>40520</v>
          </cell>
        </row>
        <row r="6415">
          <cell r="G6415" t="str">
            <v>Xã ân Phú</v>
          </cell>
          <cell r="I6415" t="str">
            <v>40521</v>
          </cell>
        </row>
        <row r="6416">
          <cell r="G6416" t="str">
            <v xml:space="preserve">Xã Đức Giang  </v>
          </cell>
          <cell r="I6416" t="str">
            <v>40521</v>
          </cell>
        </row>
        <row r="6417">
          <cell r="G6417" t="str">
            <v>Xã Đức Bồng</v>
          </cell>
          <cell r="I6417" t="str">
            <v>40521</v>
          </cell>
        </row>
        <row r="6418">
          <cell r="G6418" t="str">
            <v>Xã Hương Minh</v>
          </cell>
          <cell r="I6418" t="str">
            <v>40521</v>
          </cell>
        </row>
        <row r="6419">
          <cell r="G6419" t="str">
            <v>Thị trấn Vũ Quang</v>
          </cell>
          <cell r="I6419" t="str">
            <v>40521</v>
          </cell>
        </row>
        <row r="6420">
          <cell r="G6420" t="str">
            <v>Xã Đức Lĩnh</v>
          </cell>
          <cell r="I6420" t="str">
            <v>40521</v>
          </cell>
        </row>
        <row r="6421">
          <cell r="G6421" t="str">
            <v>Xã Sơn Thọ</v>
          </cell>
          <cell r="I6421" t="str">
            <v>40521</v>
          </cell>
        </row>
        <row r="6422">
          <cell r="G6422" t="str">
            <v>Xã Đức Hương</v>
          </cell>
          <cell r="I6422" t="str">
            <v>40521</v>
          </cell>
        </row>
        <row r="6423">
          <cell r="G6423" t="str">
            <v>Xã Đức Liên</v>
          </cell>
          <cell r="I6423" t="str">
            <v>40521</v>
          </cell>
        </row>
        <row r="6424">
          <cell r="G6424" t="str">
            <v>Xã Hương Điền</v>
          </cell>
          <cell r="I6424" t="str">
            <v>40521</v>
          </cell>
        </row>
        <row r="6425">
          <cell r="G6425" t="str">
            <v>Xã Hương Thọ</v>
          </cell>
          <cell r="I6425" t="str">
            <v>40521</v>
          </cell>
        </row>
        <row r="6426">
          <cell r="G6426" t="str">
            <v>Xã Hương Quang</v>
          </cell>
          <cell r="I6426" t="str">
            <v>40521</v>
          </cell>
        </row>
        <row r="6427">
          <cell r="G6427" t="str">
            <v>Xã Thạch Bằng</v>
          </cell>
          <cell r="I6427" t="str">
            <v>40523</v>
          </cell>
        </row>
        <row r="6428">
          <cell r="G6428" t="str">
            <v>Xã Thạch Châu</v>
          </cell>
          <cell r="I6428" t="str">
            <v>40523</v>
          </cell>
        </row>
        <row r="6429">
          <cell r="G6429" t="str">
            <v>Xã Thạch Kim</v>
          </cell>
          <cell r="I6429" t="str">
            <v>40523</v>
          </cell>
        </row>
        <row r="6430">
          <cell r="G6430" t="str">
            <v>Xã Thạch Mỹ</v>
          </cell>
          <cell r="I6430" t="str">
            <v>40523</v>
          </cell>
        </row>
        <row r="6431">
          <cell r="G6431" t="str">
            <v>Xã Mai Phụ</v>
          </cell>
          <cell r="I6431" t="str">
            <v>40523</v>
          </cell>
        </row>
        <row r="6432">
          <cell r="G6432" t="str">
            <v>Xã Hộ Độ</v>
          </cell>
          <cell r="I6432" t="str">
            <v>40523</v>
          </cell>
        </row>
        <row r="6433">
          <cell r="G6433" t="str">
            <v>Xã Bình Lộc</v>
          </cell>
          <cell r="I6433" t="str">
            <v>40523</v>
          </cell>
        </row>
        <row r="6434">
          <cell r="G6434" t="str">
            <v xml:space="preserve">Xã Thịnh Lộc </v>
          </cell>
          <cell r="I6434" t="str">
            <v>40523</v>
          </cell>
        </row>
        <row r="6435">
          <cell r="G6435" t="str">
            <v xml:space="preserve">Xã Phù Lưu  </v>
          </cell>
          <cell r="I6435" t="str">
            <v>40523</v>
          </cell>
        </row>
        <row r="6436">
          <cell r="G6436" t="str">
            <v>Xã ích Hậu</v>
          </cell>
          <cell r="I6436" t="str">
            <v>40523</v>
          </cell>
        </row>
        <row r="6437">
          <cell r="G6437" t="str">
            <v>Xã Hồng Lộc</v>
          </cell>
          <cell r="I6437" t="str">
            <v>40523</v>
          </cell>
        </row>
        <row r="6438">
          <cell r="G6438" t="str">
            <v>Xã Tân Lộc</v>
          </cell>
          <cell r="I6438" t="str">
            <v>40523</v>
          </cell>
        </row>
        <row r="6439">
          <cell r="G6439" t="str">
            <v>Xã An Lộc</v>
          </cell>
          <cell r="I6439" t="str">
            <v>40523</v>
          </cell>
        </row>
        <row r="6440">
          <cell r="G6440" t="str">
            <v>Xã Nghĩa Ninh</v>
          </cell>
          <cell r="I6440" t="str">
            <v>40701</v>
          </cell>
        </row>
        <row r="6441">
          <cell r="G6441" t="str">
            <v>Phường Bắc Lý</v>
          </cell>
          <cell r="I6441" t="str">
            <v>40701</v>
          </cell>
        </row>
        <row r="6442">
          <cell r="G6442" t="str">
            <v>Phường Phú Hải</v>
          </cell>
          <cell r="I6442" t="str">
            <v>40701</v>
          </cell>
        </row>
        <row r="6443">
          <cell r="G6443" t="str">
            <v>Xã Lộc Ninh</v>
          </cell>
          <cell r="I6443" t="str">
            <v>40701</v>
          </cell>
        </row>
        <row r="6444">
          <cell r="G6444" t="str">
            <v xml:space="preserve">Xã Đức Ninh </v>
          </cell>
          <cell r="I6444" t="str">
            <v>40701</v>
          </cell>
        </row>
        <row r="6445">
          <cell r="G6445" t="str">
            <v xml:space="preserve">Phường Hải Thành </v>
          </cell>
          <cell r="I6445" t="str">
            <v>40701</v>
          </cell>
        </row>
        <row r="6446">
          <cell r="G6446" t="str">
            <v>Phường Đồng Phú</v>
          </cell>
          <cell r="I6446" t="str">
            <v>40701</v>
          </cell>
        </row>
        <row r="6447">
          <cell r="G6447" t="str">
            <v>Phường Đồng Mỹ</v>
          </cell>
          <cell r="I6447" t="str">
            <v>40701</v>
          </cell>
        </row>
        <row r="6448">
          <cell r="G6448" t="str">
            <v>Phường Nam Lý</v>
          </cell>
          <cell r="I6448" t="str">
            <v>40701</v>
          </cell>
        </row>
        <row r="6449">
          <cell r="G6449" t="str">
            <v>Phường Hải Đình</v>
          </cell>
          <cell r="I6449" t="str">
            <v>40701</v>
          </cell>
        </row>
        <row r="6450">
          <cell r="G6450" t="str">
            <v>Phường Đồng Sơn</v>
          </cell>
          <cell r="I6450" t="str">
            <v>40701</v>
          </cell>
        </row>
        <row r="6451">
          <cell r="G6451" t="str">
            <v>Phường Bắc Nghĩa</v>
          </cell>
          <cell r="I6451" t="str">
            <v>40701</v>
          </cell>
        </row>
        <row r="6452">
          <cell r="G6452" t="str">
            <v>Phường Đức Ninh Đông</v>
          </cell>
          <cell r="I6452" t="str">
            <v>40701</v>
          </cell>
        </row>
        <row r="6453">
          <cell r="G6453" t="str">
            <v>Xã Quang Phú</v>
          </cell>
          <cell r="I6453" t="str">
            <v>40701</v>
          </cell>
        </row>
        <row r="6454">
          <cell r="G6454" t="str">
            <v>Xã Bảo Ninh</v>
          </cell>
          <cell r="I6454" t="str">
            <v>40701</v>
          </cell>
        </row>
        <row r="6455">
          <cell r="G6455" t="str">
            <v>Xã Thuận Đức</v>
          </cell>
          <cell r="I6455" t="str">
            <v>40701</v>
          </cell>
        </row>
        <row r="6456">
          <cell r="G6456" t="str">
            <v>Xã Thanh Thạch</v>
          </cell>
          <cell r="I6456" t="str">
            <v>40703</v>
          </cell>
        </row>
        <row r="6457">
          <cell r="G6457" t="str">
            <v>Xã Cao Quảng</v>
          </cell>
          <cell r="I6457" t="str">
            <v>40703</v>
          </cell>
        </row>
        <row r="6458">
          <cell r="G6458" t="str">
            <v>Xã Kim Hóa</v>
          </cell>
          <cell r="I6458" t="str">
            <v>40703</v>
          </cell>
        </row>
        <row r="6459">
          <cell r="G6459" t="str">
            <v>Xã Lâm Hóa</v>
          </cell>
          <cell r="I6459" t="str">
            <v>40703</v>
          </cell>
        </row>
        <row r="6460">
          <cell r="G6460" t="str">
            <v>Xã Ngư Hóa</v>
          </cell>
          <cell r="I6460" t="str">
            <v>40703</v>
          </cell>
        </row>
        <row r="6461">
          <cell r="G6461" t="str">
            <v>Xã Đức Hóa</v>
          </cell>
          <cell r="I6461" t="str">
            <v>40703</v>
          </cell>
        </row>
        <row r="6462">
          <cell r="G6462" t="str">
            <v>Xã Châu Hóa</v>
          </cell>
          <cell r="I6462" t="str">
            <v>40703</v>
          </cell>
        </row>
        <row r="6463">
          <cell r="G6463" t="str">
            <v>Thị trấn Đồng Lê</v>
          </cell>
          <cell r="I6463" t="str">
            <v>40703</v>
          </cell>
        </row>
        <row r="6464">
          <cell r="G6464" t="str">
            <v>Xã Hương Hóa</v>
          </cell>
          <cell r="I6464" t="str">
            <v>40703</v>
          </cell>
        </row>
        <row r="6465">
          <cell r="G6465" t="str">
            <v>Xã Thanh Hóa</v>
          </cell>
          <cell r="I6465" t="str">
            <v>40703</v>
          </cell>
        </row>
        <row r="6466">
          <cell r="G6466" t="str">
            <v>Xã Thuận Hóa</v>
          </cell>
          <cell r="I6466" t="str">
            <v>40703</v>
          </cell>
        </row>
        <row r="6467">
          <cell r="G6467" t="str">
            <v>Xã Lê Hóa</v>
          </cell>
          <cell r="I6467" t="str">
            <v>40703</v>
          </cell>
        </row>
        <row r="6468">
          <cell r="G6468" t="str">
            <v>Xã Sơn Hoá</v>
          </cell>
          <cell r="I6468" t="str">
            <v>40703</v>
          </cell>
        </row>
        <row r="6469">
          <cell r="G6469" t="str">
            <v xml:space="preserve">Xã Đồng Hóa </v>
          </cell>
          <cell r="I6469" t="str">
            <v>40703</v>
          </cell>
        </row>
        <row r="6470">
          <cell r="G6470" t="str">
            <v>Xã Nam Hoá</v>
          </cell>
          <cell r="I6470" t="str">
            <v>40703</v>
          </cell>
        </row>
        <row r="6471">
          <cell r="G6471" t="str">
            <v>Xã Thạch Hóa</v>
          </cell>
          <cell r="I6471" t="str">
            <v>40703</v>
          </cell>
        </row>
        <row r="6472">
          <cell r="G6472" t="str">
            <v>Xã Phong Hóa</v>
          </cell>
          <cell r="I6472" t="str">
            <v>40703</v>
          </cell>
        </row>
        <row r="6473">
          <cell r="G6473" t="str">
            <v>Xã Mai Hóa</v>
          </cell>
          <cell r="I6473" t="str">
            <v>40703</v>
          </cell>
        </row>
        <row r="6474">
          <cell r="G6474" t="str">
            <v>Xã Tiến Hóa</v>
          </cell>
          <cell r="I6474" t="str">
            <v>40703</v>
          </cell>
        </row>
        <row r="6475">
          <cell r="G6475" t="str">
            <v>Xã Văn Hóa</v>
          </cell>
          <cell r="I6475" t="str">
            <v>40703</v>
          </cell>
        </row>
        <row r="6476">
          <cell r="G6476" t="str">
            <v>Xã Yên Hóa</v>
          </cell>
          <cell r="I6476" t="str">
            <v>40705</v>
          </cell>
        </row>
        <row r="6477">
          <cell r="G6477" t="str">
            <v>Xã Hóa Phúc</v>
          </cell>
          <cell r="I6477" t="str">
            <v>40705</v>
          </cell>
        </row>
        <row r="6478">
          <cell r="G6478" t="str">
            <v>Xã Hóa Tiến</v>
          </cell>
          <cell r="I6478" t="str">
            <v>40705</v>
          </cell>
        </row>
        <row r="6479">
          <cell r="G6479" t="str">
            <v>Xã Minh Hóa</v>
          </cell>
          <cell r="I6479" t="str">
            <v>40705</v>
          </cell>
        </row>
        <row r="6480">
          <cell r="G6480" t="str">
            <v>Xã Trung Hóa</v>
          </cell>
          <cell r="I6480" t="str">
            <v>40705</v>
          </cell>
        </row>
        <row r="6481">
          <cell r="G6481" t="str">
            <v>Thị trấn Quy Đạt</v>
          </cell>
          <cell r="I6481" t="str">
            <v>40705</v>
          </cell>
        </row>
        <row r="6482">
          <cell r="G6482" t="str">
            <v>Xã Dân Hóa</v>
          </cell>
          <cell r="I6482" t="str">
            <v>40705</v>
          </cell>
        </row>
        <row r="6483">
          <cell r="G6483" t="str">
            <v>Xã Trọng Hoá</v>
          </cell>
          <cell r="I6483" t="str">
            <v>40705</v>
          </cell>
        </row>
        <row r="6484">
          <cell r="G6484" t="str">
            <v>Xã Hồng Hóa</v>
          </cell>
          <cell r="I6484" t="str">
            <v>40705</v>
          </cell>
        </row>
        <row r="6485">
          <cell r="G6485" t="str">
            <v>Xã Hóa Thanh</v>
          </cell>
          <cell r="I6485" t="str">
            <v>40705</v>
          </cell>
        </row>
        <row r="6486">
          <cell r="G6486" t="str">
            <v>Xã Hóa Hợp</v>
          </cell>
          <cell r="I6486" t="str">
            <v>40705</v>
          </cell>
        </row>
        <row r="6487">
          <cell r="G6487" t="str">
            <v>Xã Xuân Hóa</v>
          </cell>
          <cell r="I6487" t="str">
            <v>40705</v>
          </cell>
        </row>
        <row r="6488">
          <cell r="G6488" t="str">
            <v>Xã Tân Hóa</v>
          </cell>
          <cell r="I6488" t="str">
            <v>40705</v>
          </cell>
        </row>
        <row r="6489">
          <cell r="G6489" t="str">
            <v>Xã Hóa Sơn</v>
          </cell>
          <cell r="I6489" t="str">
            <v>40705</v>
          </cell>
        </row>
        <row r="6490">
          <cell r="G6490" t="str">
            <v>Xã Quy Hóa</v>
          </cell>
          <cell r="I6490" t="str">
            <v>40705</v>
          </cell>
        </row>
        <row r="6491">
          <cell r="G6491" t="str">
            <v>Xã Thượng Hóa</v>
          </cell>
          <cell r="I6491" t="str">
            <v>40705</v>
          </cell>
        </row>
        <row r="6492">
          <cell r="G6492" t="str">
            <v>Xã Quảng Tiến</v>
          </cell>
          <cell r="I6492" t="str">
            <v>40707</v>
          </cell>
        </row>
        <row r="6493">
          <cell r="G6493" t="str">
            <v xml:space="preserve">Xã Quảng Hợp </v>
          </cell>
          <cell r="I6493" t="str">
            <v>40707</v>
          </cell>
        </row>
        <row r="6494">
          <cell r="G6494" t="str">
            <v xml:space="preserve">Xã Quảng Châu  </v>
          </cell>
          <cell r="I6494" t="str">
            <v>40707</v>
          </cell>
        </row>
        <row r="6495">
          <cell r="G6495" t="str">
            <v>Xã Cảnh Dương</v>
          </cell>
          <cell r="I6495" t="str">
            <v>40707</v>
          </cell>
        </row>
        <row r="6496">
          <cell r="G6496" t="str">
            <v>Xã Cảnh Hóa</v>
          </cell>
          <cell r="I6496" t="str">
            <v>40707</v>
          </cell>
        </row>
        <row r="6497">
          <cell r="G6497" t="str">
            <v xml:space="preserve">Xã Quảng Thanh </v>
          </cell>
          <cell r="I6497" t="str">
            <v>40707</v>
          </cell>
        </row>
        <row r="6498">
          <cell r="G6498" t="str">
            <v>Xã Quảng Kim</v>
          </cell>
          <cell r="I6498" t="str">
            <v>40707</v>
          </cell>
        </row>
        <row r="6499">
          <cell r="G6499" t="str">
            <v xml:space="preserve">Xã Quảng Đông </v>
          </cell>
          <cell r="I6499" t="str">
            <v>40707</v>
          </cell>
        </row>
        <row r="6500">
          <cell r="G6500" t="str">
            <v xml:space="preserve">Xã Quảng Phú   </v>
          </cell>
          <cell r="I6500" t="str">
            <v>40707</v>
          </cell>
        </row>
        <row r="6501">
          <cell r="G6501" t="str">
            <v xml:space="preserve">Xã Quảng Thạch </v>
          </cell>
          <cell r="I6501" t="str">
            <v>40707</v>
          </cell>
        </row>
        <row r="6502">
          <cell r="G6502" t="str">
            <v xml:space="preserve">Xã Quảng Lưu </v>
          </cell>
          <cell r="I6502" t="str">
            <v>40707</v>
          </cell>
        </row>
        <row r="6503">
          <cell r="G6503" t="str">
            <v>Xã Quảng Tùng</v>
          </cell>
          <cell r="I6503" t="str">
            <v>40707</v>
          </cell>
        </row>
        <row r="6504">
          <cell r="G6504" t="str">
            <v xml:space="preserve">Xã Quảng Hưng </v>
          </cell>
          <cell r="I6504" t="str">
            <v>40707</v>
          </cell>
        </row>
        <row r="6505">
          <cell r="G6505" t="str">
            <v>Xã Quảng Xuân</v>
          </cell>
          <cell r="I6505" t="str">
            <v>40707</v>
          </cell>
        </row>
        <row r="6506">
          <cell r="G6506" t="str">
            <v>Xã Quảng Liên</v>
          </cell>
          <cell r="I6506" t="str">
            <v>40707</v>
          </cell>
        </row>
        <row r="6507">
          <cell r="G6507" t="str">
            <v xml:space="preserve">Xã Quảng Trường </v>
          </cell>
          <cell r="I6507" t="str">
            <v>40707</v>
          </cell>
        </row>
        <row r="6508">
          <cell r="G6508" t="str">
            <v>Xã Quảng Phương</v>
          </cell>
          <cell r="I6508" t="str">
            <v>40707</v>
          </cell>
        </row>
        <row r="6509">
          <cell r="G6509" t="str">
            <v>Xã Phù Hóa</v>
          </cell>
          <cell r="I6509" t="str">
            <v>40707</v>
          </cell>
        </row>
        <row r="6510">
          <cell r="G6510" t="str">
            <v>Xã Liên Trạch</v>
          </cell>
          <cell r="I6510" t="str">
            <v>40709</v>
          </cell>
        </row>
        <row r="6511">
          <cell r="G6511" t="str">
            <v>Xã Phú Định</v>
          </cell>
          <cell r="I6511" t="str">
            <v>40709</v>
          </cell>
        </row>
        <row r="6512">
          <cell r="G6512" t="str">
            <v>Xã Thượng Trạch</v>
          </cell>
          <cell r="I6512" t="str">
            <v>40709</v>
          </cell>
        </row>
        <row r="6513">
          <cell r="G6513" t="str">
            <v>Xã Đồng Trạch</v>
          </cell>
          <cell r="I6513" t="str">
            <v>40709</v>
          </cell>
        </row>
        <row r="6514">
          <cell r="G6514" t="str">
            <v>Xã Hoàn Trạch</v>
          </cell>
          <cell r="I6514" t="str">
            <v>40709</v>
          </cell>
        </row>
        <row r="6515">
          <cell r="G6515" t="str">
            <v>Xã Hòa Trạch</v>
          </cell>
          <cell r="I6515" t="str">
            <v>40709</v>
          </cell>
        </row>
        <row r="6516">
          <cell r="G6516" t="str">
            <v>Xã Nam Trạch</v>
          </cell>
          <cell r="I6516" t="str">
            <v>40709</v>
          </cell>
        </row>
        <row r="6517">
          <cell r="G6517" t="str">
            <v>Thị trấn NT Việt Trung</v>
          </cell>
          <cell r="I6517" t="str">
            <v>40709</v>
          </cell>
        </row>
        <row r="6518">
          <cell r="G6518" t="str">
            <v>Xã Xuân Trạch</v>
          </cell>
          <cell r="I6518" t="str">
            <v>40709</v>
          </cell>
        </row>
        <row r="6519">
          <cell r="G6519" t="str">
            <v>Xã Mỹ Trạch</v>
          </cell>
          <cell r="I6519" t="str">
            <v>40709</v>
          </cell>
        </row>
        <row r="6520">
          <cell r="G6520" t="str">
            <v>Xã Hạ Trạch</v>
          </cell>
          <cell r="I6520" t="str">
            <v>40709</v>
          </cell>
        </row>
        <row r="6521">
          <cell r="G6521" t="str">
            <v>Xã Bắc Trạch</v>
          </cell>
          <cell r="I6521" t="str">
            <v>40709</v>
          </cell>
        </row>
        <row r="6522">
          <cell r="G6522" t="str">
            <v>Xã Lâm Trạch</v>
          </cell>
          <cell r="I6522" t="str">
            <v>40709</v>
          </cell>
        </row>
        <row r="6523">
          <cell r="G6523" t="str">
            <v>Xã Thanh Trạch</v>
          </cell>
          <cell r="I6523" t="str">
            <v>40709</v>
          </cell>
        </row>
        <row r="6524">
          <cell r="G6524" t="str">
            <v xml:space="preserve">Xã Phúc Trạch </v>
          </cell>
          <cell r="I6524" t="str">
            <v>40709</v>
          </cell>
        </row>
        <row r="6525">
          <cell r="G6525" t="str">
            <v>Xã Cự Nẫm</v>
          </cell>
          <cell r="I6525" t="str">
            <v>40709</v>
          </cell>
        </row>
        <row r="6526">
          <cell r="G6526" t="str">
            <v>Xã Hải Trạch</v>
          </cell>
          <cell r="I6526" t="str">
            <v>40709</v>
          </cell>
        </row>
        <row r="6527">
          <cell r="G6527" t="str">
            <v xml:space="preserve">Xã Sơn Lộc </v>
          </cell>
          <cell r="I6527" t="str">
            <v>40709</v>
          </cell>
        </row>
        <row r="6528">
          <cell r="G6528" t="str">
            <v>Xã Phú Trạch</v>
          </cell>
          <cell r="I6528" t="str">
            <v>40709</v>
          </cell>
        </row>
        <row r="6529">
          <cell r="G6529" t="str">
            <v>Xã Hưng Trạch</v>
          </cell>
          <cell r="I6529" t="str">
            <v>40709</v>
          </cell>
        </row>
        <row r="6530">
          <cell r="G6530" t="str">
            <v>Xã Đức Trạch</v>
          </cell>
          <cell r="I6530" t="str">
            <v>40709</v>
          </cell>
        </row>
        <row r="6531">
          <cell r="G6531" t="str">
            <v>Xã Sơn Trạch</v>
          </cell>
          <cell r="I6531" t="str">
            <v>40709</v>
          </cell>
        </row>
        <row r="6532">
          <cell r="G6532" t="str">
            <v>Xã Vạn Trạch</v>
          </cell>
          <cell r="I6532" t="str">
            <v>40709</v>
          </cell>
        </row>
        <row r="6533">
          <cell r="G6533" t="str">
            <v>Xã Trung Trạch</v>
          </cell>
          <cell r="I6533" t="str">
            <v>40709</v>
          </cell>
        </row>
        <row r="6534">
          <cell r="G6534" t="str">
            <v>Xã Tây Trạch</v>
          </cell>
          <cell r="I6534" t="str">
            <v>40709</v>
          </cell>
        </row>
        <row r="6535">
          <cell r="G6535" t="str">
            <v>Xã Đại Trạch</v>
          </cell>
          <cell r="I6535" t="str">
            <v>40709</v>
          </cell>
        </row>
        <row r="6536">
          <cell r="G6536" t="str">
            <v>Xã Nhân Trạch</v>
          </cell>
          <cell r="I6536" t="str">
            <v>40709</v>
          </cell>
        </row>
        <row r="6537">
          <cell r="G6537" t="str">
            <v>Xã Tân Trạch</v>
          </cell>
          <cell r="I6537" t="str">
            <v>40709</v>
          </cell>
        </row>
        <row r="6538">
          <cell r="G6538" t="str">
            <v>Xã Lý Trạch</v>
          </cell>
          <cell r="I6538" t="str">
            <v>40709</v>
          </cell>
        </row>
        <row r="6539">
          <cell r="G6539" t="str">
            <v>Thị trấn Hoàn Lão</v>
          </cell>
          <cell r="I6539" t="str">
            <v>40709</v>
          </cell>
        </row>
        <row r="6540">
          <cell r="G6540" t="str">
            <v xml:space="preserve">Xã Vĩnh Ninh  </v>
          </cell>
          <cell r="I6540" t="str">
            <v>40711</v>
          </cell>
        </row>
        <row r="6541">
          <cell r="G6541" t="str">
            <v xml:space="preserve">Xã An Ninh   </v>
          </cell>
          <cell r="I6541" t="str">
            <v>40711</v>
          </cell>
        </row>
        <row r="6542">
          <cell r="G6542" t="str">
            <v>Xã Lương Ninh</v>
          </cell>
          <cell r="I6542" t="str">
            <v>40711</v>
          </cell>
        </row>
        <row r="6543">
          <cell r="G6543" t="str">
            <v>Xã Hàm Ninh</v>
          </cell>
          <cell r="I6543" t="str">
            <v>40711</v>
          </cell>
        </row>
        <row r="6544">
          <cell r="G6544" t="str">
            <v xml:space="preserve">Xã Tân Ninh </v>
          </cell>
          <cell r="I6544" t="str">
            <v>40711</v>
          </cell>
        </row>
        <row r="6545">
          <cell r="G6545" t="str">
            <v>Thị trấn Quán Hàu</v>
          </cell>
          <cell r="I6545" t="str">
            <v>40711</v>
          </cell>
        </row>
        <row r="6546">
          <cell r="G6546" t="str">
            <v xml:space="preserve">Xã Trường Sơn    </v>
          </cell>
          <cell r="I6546" t="str">
            <v>40711</v>
          </cell>
        </row>
        <row r="6547">
          <cell r="G6547" t="str">
            <v>Xã Võ Ninh</v>
          </cell>
          <cell r="I6547" t="str">
            <v>40711</v>
          </cell>
        </row>
        <row r="6548">
          <cell r="G6548" t="str">
            <v xml:space="preserve">Xã Hải Ninh  </v>
          </cell>
          <cell r="I6548" t="str">
            <v>40711</v>
          </cell>
        </row>
        <row r="6549">
          <cell r="G6549" t="str">
            <v>Xã Duy Ninh</v>
          </cell>
          <cell r="I6549" t="str">
            <v>40711</v>
          </cell>
        </row>
        <row r="6550">
          <cell r="G6550" t="str">
            <v>Xã Gia Ninh</v>
          </cell>
          <cell r="I6550" t="str">
            <v>40711</v>
          </cell>
        </row>
        <row r="6551">
          <cell r="G6551" t="str">
            <v>Xã Trường Xuân</v>
          </cell>
          <cell r="I6551" t="str">
            <v>40711</v>
          </cell>
        </row>
        <row r="6552">
          <cell r="G6552" t="str">
            <v xml:space="preserve">Xã Hiền Ninh </v>
          </cell>
          <cell r="I6552" t="str">
            <v>40711</v>
          </cell>
        </row>
        <row r="6553">
          <cell r="G6553" t="str">
            <v xml:space="preserve">Xã Xuân Ninh </v>
          </cell>
          <cell r="I6553" t="str">
            <v>40711</v>
          </cell>
        </row>
        <row r="6554">
          <cell r="G6554" t="str">
            <v xml:space="preserve">Xã Vạn Ninh  </v>
          </cell>
          <cell r="I6554" t="str">
            <v>40711</v>
          </cell>
        </row>
        <row r="6555">
          <cell r="G6555" t="str">
            <v>Xã Ngân Thủy</v>
          </cell>
          <cell r="I6555" t="str">
            <v>40713</v>
          </cell>
        </row>
        <row r="6556">
          <cell r="G6556" t="str">
            <v>Xã Ngư Thủy Nam</v>
          </cell>
          <cell r="I6556" t="str">
            <v>40713</v>
          </cell>
        </row>
        <row r="6557">
          <cell r="G6557" t="str">
            <v>Thị trấn NT Lệ Ninh</v>
          </cell>
          <cell r="I6557" t="str">
            <v>40713</v>
          </cell>
        </row>
        <row r="6558">
          <cell r="G6558" t="str">
            <v>Xã An Thủy</v>
          </cell>
          <cell r="I6558" t="str">
            <v>40713</v>
          </cell>
        </row>
        <row r="6559">
          <cell r="G6559" t="str">
            <v xml:space="preserve">Xã Sơn Thủy    </v>
          </cell>
          <cell r="I6559" t="str">
            <v>40713</v>
          </cell>
        </row>
        <row r="6560">
          <cell r="G6560" t="str">
            <v>Xã Dương Thủy</v>
          </cell>
          <cell r="I6560" t="str">
            <v>40713</v>
          </cell>
        </row>
        <row r="6561">
          <cell r="G6561" t="str">
            <v>Xã Mỹ Thủy</v>
          </cell>
          <cell r="I6561" t="str">
            <v>40713</v>
          </cell>
        </row>
        <row r="6562">
          <cell r="G6562" t="str">
            <v>Xã Sen Thủy</v>
          </cell>
          <cell r="I6562" t="str">
            <v>40713</v>
          </cell>
        </row>
        <row r="6563">
          <cell r="G6563" t="str">
            <v>Xã Văn Thủy</v>
          </cell>
          <cell r="I6563" t="str">
            <v>40713</v>
          </cell>
        </row>
        <row r="6564">
          <cell r="G6564" t="str">
            <v>Thị trấn Kiến Giang</v>
          </cell>
          <cell r="I6564" t="str">
            <v>40713</v>
          </cell>
        </row>
        <row r="6565">
          <cell r="G6565" t="str">
            <v>Xã Hồng Thủy</v>
          </cell>
          <cell r="I6565" t="str">
            <v>40713</v>
          </cell>
        </row>
        <row r="6566">
          <cell r="G6566" t="str">
            <v>Xã Ngư Thuỷ Bắc</v>
          </cell>
          <cell r="I6566" t="str">
            <v>40713</v>
          </cell>
        </row>
        <row r="6567">
          <cell r="G6567" t="str">
            <v>Xã Hoa Thủy</v>
          </cell>
          <cell r="I6567" t="str">
            <v>40713</v>
          </cell>
        </row>
        <row r="6568">
          <cell r="G6568" t="str">
            <v xml:space="preserve">Xã Thanh Thủy     </v>
          </cell>
          <cell r="I6568" t="str">
            <v>40713</v>
          </cell>
        </row>
        <row r="6569">
          <cell r="G6569" t="str">
            <v>Xã Phong Thủy</v>
          </cell>
          <cell r="I6569" t="str">
            <v>40713</v>
          </cell>
        </row>
        <row r="6570">
          <cell r="G6570" t="str">
            <v>Xã Cam Thủy</v>
          </cell>
          <cell r="I6570" t="str">
            <v>40713</v>
          </cell>
        </row>
        <row r="6571">
          <cell r="G6571" t="str">
            <v>Xã Lộc Thủy</v>
          </cell>
          <cell r="I6571" t="str">
            <v>40713</v>
          </cell>
        </row>
        <row r="6572">
          <cell r="G6572" t="str">
            <v>Xã Ngư Thuỷ Trung</v>
          </cell>
          <cell r="I6572" t="str">
            <v>40713</v>
          </cell>
        </row>
        <row r="6573">
          <cell r="G6573" t="str">
            <v>Xã Liên Thủy</v>
          </cell>
          <cell r="I6573" t="str">
            <v>40713</v>
          </cell>
        </row>
        <row r="6574">
          <cell r="G6574" t="str">
            <v>Xã Hưng Thủy</v>
          </cell>
          <cell r="I6574" t="str">
            <v>40713</v>
          </cell>
        </row>
        <row r="6575">
          <cell r="G6575" t="str">
            <v>Xã Tân Thủy</v>
          </cell>
          <cell r="I6575" t="str">
            <v>40713</v>
          </cell>
        </row>
        <row r="6576">
          <cell r="G6576" t="str">
            <v>Xã Phú Thủy</v>
          </cell>
          <cell r="I6576" t="str">
            <v>40713</v>
          </cell>
        </row>
        <row r="6577">
          <cell r="G6577" t="str">
            <v xml:space="preserve">Xã Xuân Thủy  </v>
          </cell>
          <cell r="I6577" t="str">
            <v>40713</v>
          </cell>
        </row>
        <row r="6578">
          <cell r="G6578" t="str">
            <v>Xã Mai Thủy</v>
          </cell>
          <cell r="I6578" t="str">
            <v>40713</v>
          </cell>
        </row>
        <row r="6579">
          <cell r="G6579" t="str">
            <v>Xã Thái Thủy</v>
          </cell>
          <cell r="I6579" t="str">
            <v>40713</v>
          </cell>
        </row>
        <row r="6580">
          <cell r="G6580" t="str">
            <v>Xã Kim Thủy</v>
          </cell>
          <cell r="I6580" t="str">
            <v>40713</v>
          </cell>
        </row>
        <row r="6581">
          <cell r="G6581" t="str">
            <v>Xã Trường Thủy</v>
          </cell>
          <cell r="I6581" t="str">
            <v>40713</v>
          </cell>
        </row>
        <row r="6582">
          <cell r="G6582" t="str">
            <v>Xã Lâm Thuỷ</v>
          </cell>
          <cell r="I6582" t="str">
            <v>40713</v>
          </cell>
        </row>
        <row r="6583">
          <cell r="G6583" t="str">
            <v>Phường Ba Đồn</v>
          </cell>
          <cell r="I6583" t="str">
            <v>40715</v>
          </cell>
        </row>
        <row r="6584">
          <cell r="G6584" t="str">
            <v>Phường Quảng Long</v>
          </cell>
          <cell r="I6584" t="str">
            <v>40715</v>
          </cell>
        </row>
        <row r="6585">
          <cell r="G6585" t="str">
            <v>Phường Quảng Thọ</v>
          </cell>
          <cell r="I6585" t="str">
            <v>40715</v>
          </cell>
        </row>
        <row r="6586">
          <cell r="G6586" t="str">
            <v>Phường Quảng Thuận</v>
          </cell>
          <cell r="I6586" t="str">
            <v>40715</v>
          </cell>
        </row>
        <row r="6587">
          <cell r="G6587" t="str">
            <v>Phường Quảng Phúc</v>
          </cell>
          <cell r="I6587" t="str">
            <v>40715</v>
          </cell>
        </row>
        <row r="6588">
          <cell r="G6588" t="str">
            <v>Phường Quảng Phong</v>
          </cell>
          <cell r="I6588" t="str">
            <v>40715</v>
          </cell>
        </row>
        <row r="6589">
          <cell r="G6589" t="str">
            <v xml:space="preserve">Xã Quảng Sơn </v>
          </cell>
          <cell r="I6589" t="str">
            <v>40715</v>
          </cell>
        </row>
        <row r="6590">
          <cell r="G6590" t="str">
            <v>Xã Quảng Tiên</v>
          </cell>
          <cell r="I6590" t="str">
            <v>40715</v>
          </cell>
        </row>
        <row r="6591">
          <cell r="G6591" t="str">
            <v xml:space="preserve">Xã Quảng Trung  </v>
          </cell>
          <cell r="I6591" t="str">
            <v>40715</v>
          </cell>
        </row>
        <row r="6592">
          <cell r="G6592" t="str">
            <v xml:space="preserve">Xã Quảng Tân  </v>
          </cell>
          <cell r="I6592" t="str">
            <v>40715</v>
          </cell>
        </row>
        <row r="6593">
          <cell r="G6593" t="str">
            <v>Xã Quảng Thủy</v>
          </cell>
          <cell r="I6593" t="str">
            <v>40715</v>
          </cell>
        </row>
        <row r="6594">
          <cell r="G6594" t="str">
            <v xml:space="preserve">Xã Quảng Minh   </v>
          </cell>
          <cell r="I6594" t="str">
            <v>40715</v>
          </cell>
        </row>
        <row r="6595">
          <cell r="G6595" t="str">
            <v xml:space="preserve">Xã Quảng Lộc </v>
          </cell>
          <cell r="I6595" t="str">
            <v>40715</v>
          </cell>
        </row>
        <row r="6596">
          <cell r="G6596" t="str">
            <v xml:space="preserve">Xã Quảng Hải </v>
          </cell>
          <cell r="I6596" t="str">
            <v>40715</v>
          </cell>
        </row>
        <row r="6597">
          <cell r="G6597" t="str">
            <v xml:space="preserve">Xã Quảng Hòa </v>
          </cell>
          <cell r="I6597" t="str">
            <v>40715</v>
          </cell>
        </row>
        <row r="6598">
          <cell r="G6598" t="str">
            <v xml:space="preserve">Xã Quảng Văn </v>
          </cell>
          <cell r="I6598" t="str">
            <v>40715</v>
          </cell>
        </row>
        <row r="6599">
          <cell r="G6599" t="str">
            <v>Phường Đông Lễ</v>
          </cell>
          <cell r="I6599" t="str">
            <v>40901</v>
          </cell>
        </row>
        <row r="6600">
          <cell r="G6600" t="str">
            <v>Phường 5</v>
          </cell>
          <cell r="I6600" t="str">
            <v>40901</v>
          </cell>
        </row>
        <row r="6601">
          <cell r="G6601" t="str">
            <v>Phường Đông Giang</v>
          </cell>
          <cell r="I6601" t="str">
            <v>40901</v>
          </cell>
        </row>
        <row r="6602">
          <cell r="G6602" t="str">
            <v>Phường 1</v>
          </cell>
          <cell r="I6602" t="str">
            <v>40901</v>
          </cell>
        </row>
        <row r="6603">
          <cell r="G6603" t="str">
            <v>Phường Đông Thanh</v>
          </cell>
          <cell r="I6603" t="str">
            <v>40901</v>
          </cell>
        </row>
        <row r="6604">
          <cell r="G6604" t="str">
            <v>Phường 2</v>
          </cell>
          <cell r="I6604" t="str">
            <v>40901</v>
          </cell>
        </row>
        <row r="6605">
          <cell r="G6605" t="str">
            <v>Phường 4</v>
          </cell>
          <cell r="I6605" t="str">
            <v>40901</v>
          </cell>
        </row>
        <row r="6606">
          <cell r="G6606" t="str">
            <v>Phường Đông Lương</v>
          </cell>
          <cell r="I6606" t="str">
            <v>40901</v>
          </cell>
        </row>
        <row r="6607">
          <cell r="G6607" t="str">
            <v>Phường 3</v>
          </cell>
          <cell r="I6607" t="str">
            <v>40901</v>
          </cell>
        </row>
        <row r="6608">
          <cell r="G6608" t="str">
            <v xml:space="preserve">Phường 1 </v>
          </cell>
          <cell r="I6608" t="str">
            <v>40903</v>
          </cell>
        </row>
        <row r="6609">
          <cell r="G6609" t="str">
            <v xml:space="preserve">Phường 2 </v>
          </cell>
          <cell r="I6609" t="str">
            <v>40903</v>
          </cell>
        </row>
        <row r="6610">
          <cell r="G6610" t="str">
            <v xml:space="preserve">Phường 3 </v>
          </cell>
          <cell r="I6610" t="str">
            <v>40903</v>
          </cell>
        </row>
        <row r="6611">
          <cell r="G6611" t="str">
            <v>Phường An Đôn</v>
          </cell>
          <cell r="I6611" t="str">
            <v>40903</v>
          </cell>
        </row>
        <row r="6612">
          <cell r="G6612" t="str">
            <v>Xã Hải Lệ</v>
          </cell>
          <cell r="I6612" t="str">
            <v>40903</v>
          </cell>
        </row>
        <row r="6613">
          <cell r="G6613" t="str">
            <v>Xã Vĩnh Nam</v>
          </cell>
          <cell r="I6613" t="str">
            <v>40905</v>
          </cell>
        </row>
        <row r="6614">
          <cell r="G6614" t="str">
            <v>Xã Vĩnh Thái</v>
          </cell>
          <cell r="I6614" t="str">
            <v>40905</v>
          </cell>
        </row>
        <row r="6615">
          <cell r="G6615" t="str">
            <v>Xã Vĩnh Kim</v>
          </cell>
          <cell r="I6615" t="str">
            <v>40905</v>
          </cell>
        </row>
        <row r="6616">
          <cell r="G6616" t="str">
            <v>Xã Vĩnh Khê</v>
          </cell>
          <cell r="I6616" t="str">
            <v>40905</v>
          </cell>
        </row>
        <row r="6617">
          <cell r="G6617" t="str">
            <v>Xã Vĩnh Lâm</v>
          </cell>
          <cell r="I6617" t="str">
            <v>40905</v>
          </cell>
        </row>
        <row r="6618">
          <cell r="G6618" t="str">
            <v>Xã Vĩnh Hà</v>
          </cell>
          <cell r="I6618" t="str">
            <v>40905</v>
          </cell>
        </row>
        <row r="6619">
          <cell r="G6619" t="str">
            <v xml:space="preserve">Xã Vĩnh Sơn  </v>
          </cell>
          <cell r="I6619" t="str">
            <v>40905</v>
          </cell>
        </row>
        <row r="6620">
          <cell r="G6620" t="str">
            <v>Xã Vĩnh Giang</v>
          </cell>
          <cell r="I6620" t="str">
            <v>40905</v>
          </cell>
        </row>
        <row r="6621">
          <cell r="G6621" t="str">
            <v>Xã Vĩnh ô</v>
          </cell>
          <cell r="I6621" t="str">
            <v>40905</v>
          </cell>
        </row>
        <row r="6622">
          <cell r="G6622" t="str">
            <v>Thị trấn Cửa Tùng</v>
          </cell>
          <cell r="I6622" t="str">
            <v>40905</v>
          </cell>
        </row>
        <row r="6623">
          <cell r="G6623" t="str">
            <v>Thị trấn Hồ Xá</v>
          </cell>
          <cell r="I6623" t="str">
            <v>40905</v>
          </cell>
        </row>
        <row r="6624">
          <cell r="G6624" t="str">
            <v>Thị trấn Bến Quan</v>
          </cell>
          <cell r="I6624" t="str">
            <v>40905</v>
          </cell>
        </row>
        <row r="6625">
          <cell r="G6625" t="str">
            <v>Xã Vĩnh Tú</v>
          </cell>
          <cell r="I6625" t="str">
            <v>40905</v>
          </cell>
        </row>
        <row r="6626">
          <cell r="G6626" t="str">
            <v>Xã Vĩnh Chấp</v>
          </cell>
          <cell r="I6626" t="str">
            <v>40905</v>
          </cell>
        </row>
        <row r="6627">
          <cell r="G6627" t="str">
            <v xml:space="preserve">Xã Vĩnh Trung </v>
          </cell>
          <cell r="I6627" t="str">
            <v>40905</v>
          </cell>
        </row>
        <row r="6628">
          <cell r="G6628" t="str">
            <v>Xã Vĩnh Thạch</v>
          </cell>
          <cell r="I6628" t="str">
            <v>40905</v>
          </cell>
        </row>
        <row r="6629">
          <cell r="G6629" t="str">
            <v xml:space="preserve">Xã Vĩnh Long  </v>
          </cell>
          <cell r="I6629" t="str">
            <v>40905</v>
          </cell>
        </row>
        <row r="6630">
          <cell r="G6630" t="str">
            <v xml:space="preserve">Xã Vĩnh Hòa  </v>
          </cell>
          <cell r="I6630" t="str">
            <v>40905</v>
          </cell>
        </row>
        <row r="6631">
          <cell r="G6631" t="str">
            <v>Xã Vĩnh Hiền</v>
          </cell>
          <cell r="I6631" t="str">
            <v>40905</v>
          </cell>
        </row>
        <row r="6632">
          <cell r="G6632" t="str">
            <v>Xã Vĩnh Thủy</v>
          </cell>
          <cell r="I6632" t="str">
            <v>40905</v>
          </cell>
        </row>
        <row r="6633">
          <cell r="G6633" t="str">
            <v xml:space="preserve">Xã Vĩnh Thành  </v>
          </cell>
          <cell r="I6633" t="str">
            <v>40905</v>
          </cell>
        </row>
        <row r="6634">
          <cell r="G6634" t="str">
            <v xml:space="preserve">Xã Vĩnh Tân </v>
          </cell>
          <cell r="I6634" t="str">
            <v>40905</v>
          </cell>
        </row>
        <row r="6635">
          <cell r="G6635" t="str">
            <v>Xã Trung Giang</v>
          </cell>
          <cell r="I6635" t="str">
            <v>40907</v>
          </cell>
        </row>
        <row r="6636">
          <cell r="G6636" t="str">
            <v>Xã Linh Thượng</v>
          </cell>
          <cell r="I6636" t="str">
            <v>40907</v>
          </cell>
        </row>
        <row r="6637">
          <cell r="G6637" t="str">
            <v>Xã Trung Hải</v>
          </cell>
          <cell r="I6637" t="str">
            <v>40907</v>
          </cell>
        </row>
        <row r="6638">
          <cell r="G6638" t="str">
            <v>Xã Vĩnh Trường</v>
          </cell>
          <cell r="I6638" t="str">
            <v>40907</v>
          </cell>
        </row>
        <row r="6639">
          <cell r="G6639" t="str">
            <v>Xã Gio Châu</v>
          </cell>
          <cell r="I6639" t="str">
            <v>40907</v>
          </cell>
        </row>
        <row r="6640">
          <cell r="G6640" t="str">
            <v>Xã Gio Sơn</v>
          </cell>
          <cell r="I6640" t="str">
            <v>40907</v>
          </cell>
        </row>
        <row r="6641">
          <cell r="G6641" t="str">
            <v>Xã Linh Hải</v>
          </cell>
          <cell r="I6641" t="str">
            <v>40907</v>
          </cell>
        </row>
        <row r="6642">
          <cell r="G6642" t="str">
            <v>Thị trấn Gio Linh</v>
          </cell>
          <cell r="I6642" t="str">
            <v>40907</v>
          </cell>
        </row>
        <row r="6643">
          <cell r="G6643" t="str">
            <v>Thị trấn Cửa Việt</v>
          </cell>
          <cell r="I6643" t="str">
            <v>40907</v>
          </cell>
        </row>
        <row r="6644">
          <cell r="G6644" t="str">
            <v xml:space="preserve">Xã Trung Sơn      </v>
          </cell>
          <cell r="I6644" t="str">
            <v>40907</v>
          </cell>
        </row>
        <row r="6645">
          <cell r="G6645" t="str">
            <v>Xã Gio Phong</v>
          </cell>
          <cell r="I6645" t="str">
            <v>40907</v>
          </cell>
        </row>
        <row r="6646">
          <cell r="G6646" t="str">
            <v>Xã Gio Mỹ</v>
          </cell>
          <cell r="I6646" t="str">
            <v>40907</v>
          </cell>
        </row>
        <row r="6647">
          <cell r="G6647" t="str">
            <v>Xã Gio Bình</v>
          </cell>
          <cell r="I6647" t="str">
            <v>40907</v>
          </cell>
        </row>
        <row r="6648">
          <cell r="G6648" t="str">
            <v>Xã Gio Hải</v>
          </cell>
          <cell r="I6648" t="str">
            <v>40907</v>
          </cell>
        </row>
        <row r="6649">
          <cell r="G6649" t="str">
            <v>Xã Gio An</v>
          </cell>
          <cell r="I6649" t="str">
            <v>40907</v>
          </cell>
        </row>
        <row r="6650">
          <cell r="G6650" t="str">
            <v>Xã Gio Thành</v>
          </cell>
          <cell r="I6650" t="str">
            <v>40907</v>
          </cell>
        </row>
        <row r="6651">
          <cell r="G6651" t="str">
            <v>Xã Gio Việt</v>
          </cell>
          <cell r="I6651" t="str">
            <v>40907</v>
          </cell>
        </row>
        <row r="6652">
          <cell r="G6652" t="str">
            <v>Xã Gio Hòa</v>
          </cell>
          <cell r="I6652" t="str">
            <v>40907</v>
          </cell>
        </row>
        <row r="6653">
          <cell r="G6653" t="str">
            <v>Xã Gio Mai</v>
          </cell>
          <cell r="I6653" t="str">
            <v>40907</v>
          </cell>
        </row>
        <row r="6654">
          <cell r="G6654" t="str">
            <v>Xã Hải Thái</v>
          </cell>
          <cell r="I6654" t="str">
            <v>40907</v>
          </cell>
        </row>
        <row r="6655">
          <cell r="G6655" t="str">
            <v>Xã Gio Quang</v>
          </cell>
          <cell r="I6655" t="str">
            <v>40907</v>
          </cell>
        </row>
        <row r="6656">
          <cell r="G6656" t="str">
            <v>Xã Cam Thanh</v>
          </cell>
          <cell r="I6656" t="str">
            <v>40909</v>
          </cell>
        </row>
        <row r="6657">
          <cell r="G6657" t="str">
            <v xml:space="preserve">Xã Cam Thủy </v>
          </cell>
          <cell r="I6657" t="str">
            <v>40909</v>
          </cell>
        </row>
        <row r="6658">
          <cell r="G6658" t="str">
            <v>Xã Cam Chính</v>
          </cell>
          <cell r="I6658" t="str">
            <v>40909</v>
          </cell>
        </row>
        <row r="6659">
          <cell r="G6659" t="str">
            <v>Thị trấn Cam Lộ</v>
          </cell>
          <cell r="I6659" t="str">
            <v>40909</v>
          </cell>
        </row>
        <row r="6660">
          <cell r="G6660" t="str">
            <v>Xã Cam Tuyền</v>
          </cell>
          <cell r="I6660" t="str">
            <v>40909</v>
          </cell>
        </row>
        <row r="6661">
          <cell r="G6661" t="str">
            <v>Xã Cam An</v>
          </cell>
          <cell r="I6661" t="str">
            <v>40909</v>
          </cell>
        </row>
        <row r="6662">
          <cell r="G6662" t="str">
            <v>Xã Cam Thành</v>
          </cell>
          <cell r="I6662" t="str">
            <v>40909</v>
          </cell>
        </row>
        <row r="6663">
          <cell r="G6663" t="str">
            <v>Xã Cam Hiếu</v>
          </cell>
          <cell r="I6663" t="str">
            <v>40909</v>
          </cell>
        </row>
        <row r="6664">
          <cell r="G6664" t="str">
            <v>Xã Cam Nghĩa</v>
          </cell>
          <cell r="I6664" t="str">
            <v>40909</v>
          </cell>
        </row>
        <row r="6665">
          <cell r="G6665" t="str">
            <v>Xã Triệu Đại</v>
          </cell>
          <cell r="I6665" t="str">
            <v>40911</v>
          </cell>
        </row>
        <row r="6666">
          <cell r="G6666" t="str">
            <v>Xã Triệu Vân</v>
          </cell>
          <cell r="I6666" t="str">
            <v>40911</v>
          </cell>
        </row>
        <row r="6667">
          <cell r="G6667" t="str">
            <v>Xã Triệu Thuận</v>
          </cell>
          <cell r="I6667" t="str">
            <v>40911</v>
          </cell>
        </row>
        <row r="6668">
          <cell r="G6668" t="str">
            <v>Xã Triệu Sơn</v>
          </cell>
          <cell r="I6668" t="str">
            <v>40911</v>
          </cell>
        </row>
        <row r="6669">
          <cell r="G6669" t="str">
            <v>Xã Triệu Trung</v>
          </cell>
          <cell r="I6669" t="str">
            <v>40911</v>
          </cell>
        </row>
        <row r="6670">
          <cell r="G6670" t="str">
            <v xml:space="preserve">Xã Triệu Thành </v>
          </cell>
          <cell r="I6670" t="str">
            <v>40911</v>
          </cell>
        </row>
        <row r="6671">
          <cell r="G6671" t="str">
            <v>Thị trấn ái Tử</v>
          </cell>
          <cell r="I6671" t="str">
            <v>40911</v>
          </cell>
        </row>
        <row r="6672">
          <cell r="G6672" t="str">
            <v>Xã Triệu An</v>
          </cell>
          <cell r="I6672" t="str">
            <v>40911</v>
          </cell>
        </row>
        <row r="6673">
          <cell r="G6673" t="str">
            <v>Xã Triệu Phước</v>
          </cell>
          <cell r="I6673" t="str">
            <v>40911</v>
          </cell>
        </row>
        <row r="6674">
          <cell r="G6674" t="str">
            <v>Xã Triệu Độ</v>
          </cell>
          <cell r="I6674" t="str">
            <v>40911</v>
          </cell>
        </row>
        <row r="6675">
          <cell r="G6675" t="str">
            <v>Xã Triệu Trạch</v>
          </cell>
          <cell r="I6675" t="str">
            <v>40911</v>
          </cell>
        </row>
        <row r="6676">
          <cell r="G6676" t="str">
            <v>Xã Triệu Hòa</v>
          </cell>
          <cell r="I6676" t="str">
            <v>40911</v>
          </cell>
        </row>
        <row r="6677">
          <cell r="G6677" t="str">
            <v>Xã Triệu Lăng</v>
          </cell>
          <cell r="I6677" t="str">
            <v>40911</v>
          </cell>
        </row>
        <row r="6678">
          <cell r="G6678" t="str">
            <v>Xã Triệu Long</v>
          </cell>
          <cell r="I6678" t="str">
            <v>40911</v>
          </cell>
        </row>
        <row r="6679">
          <cell r="G6679" t="str">
            <v>Xã Triệu Tài</v>
          </cell>
          <cell r="I6679" t="str">
            <v>40911</v>
          </cell>
        </row>
        <row r="6680">
          <cell r="G6680" t="str">
            <v>Xã Triệu Đông</v>
          </cell>
          <cell r="I6680" t="str">
            <v>40911</v>
          </cell>
        </row>
        <row r="6681">
          <cell r="G6681" t="str">
            <v>Xã Triệu ái</v>
          </cell>
          <cell r="I6681" t="str">
            <v>40911</v>
          </cell>
        </row>
        <row r="6682">
          <cell r="G6682" t="str">
            <v>Xã Triệu Thượng</v>
          </cell>
          <cell r="I6682" t="str">
            <v>40911</v>
          </cell>
        </row>
        <row r="6683">
          <cell r="G6683" t="str">
            <v>Xã Triệu Giang</v>
          </cell>
          <cell r="I6683" t="str">
            <v>40911</v>
          </cell>
        </row>
        <row r="6684">
          <cell r="G6684" t="str">
            <v>Thị trấn Hải Lăng</v>
          </cell>
          <cell r="I6684" t="str">
            <v>40913</v>
          </cell>
        </row>
        <row r="6685">
          <cell r="G6685" t="str">
            <v>Xã Hải Thành</v>
          </cell>
          <cell r="I6685" t="str">
            <v>40913</v>
          </cell>
        </row>
        <row r="6686">
          <cell r="G6686" t="str">
            <v xml:space="preserve">Xã Hải Tân </v>
          </cell>
          <cell r="I6686" t="str">
            <v>40913</v>
          </cell>
        </row>
        <row r="6687">
          <cell r="G6687" t="str">
            <v>Xã Hải Chánh</v>
          </cell>
          <cell r="I6687" t="str">
            <v>40913</v>
          </cell>
        </row>
        <row r="6688">
          <cell r="G6688" t="str">
            <v>Xã Hải Thiện</v>
          </cell>
          <cell r="I6688" t="str">
            <v>40913</v>
          </cell>
        </row>
        <row r="6689">
          <cell r="G6689" t="str">
            <v xml:space="preserve">Xã Hải Xuân  </v>
          </cell>
          <cell r="I6689" t="str">
            <v>40913</v>
          </cell>
        </row>
        <row r="6690">
          <cell r="G6690" t="str">
            <v xml:space="preserve">Xã Hải Phú </v>
          </cell>
          <cell r="I6690" t="str">
            <v>40913</v>
          </cell>
        </row>
        <row r="6691">
          <cell r="G6691" t="str">
            <v xml:space="preserve">Xã Hải An  </v>
          </cell>
          <cell r="I6691" t="str">
            <v>40913</v>
          </cell>
        </row>
        <row r="6692">
          <cell r="G6692" t="str">
            <v>Xã Hải Ba</v>
          </cell>
          <cell r="I6692" t="str">
            <v>40913</v>
          </cell>
        </row>
        <row r="6693">
          <cell r="G6693" t="str">
            <v>Xã Hải Quy</v>
          </cell>
          <cell r="I6693" t="str">
            <v>40913</v>
          </cell>
        </row>
        <row r="6694">
          <cell r="G6694" t="str">
            <v>Xã Hải Quế</v>
          </cell>
          <cell r="I6694" t="str">
            <v>40913</v>
          </cell>
        </row>
        <row r="6695">
          <cell r="G6695" t="str">
            <v>Xã Hải Vĩnh</v>
          </cell>
          <cell r="I6695" t="str">
            <v>40913</v>
          </cell>
        </row>
        <row r="6696">
          <cell r="G6696" t="str">
            <v xml:space="preserve">Xã Hải Lệ </v>
          </cell>
          <cell r="I6696" t="str">
            <v>40913</v>
          </cell>
        </row>
        <row r="6697">
          <cell r="G6697" t="str">
            <v xml:space="preserve">Xã Hải Thượng </v>
          </cell>
          <cell r="I6697" t="str">
            <v>40913</v>
          </cell>
        </row>
        <row r="6698">
          <cell r="G6698" t="str">
            <v>Xã Hải Dương</v>
          </cell>
          <cell r="I6698" t="str">
            <v>40913</v>
          </cell>
        </row>
        <row r="6699">
          <cell r="G6699" t="str">
            <v>Xã Hải Lâm</v>
          </cell>
          <cell r="I6699" t="str">
            <v>40913</v>
          </cell>
        </row>
        <row r="6700">
          <cell r="G6700" t="str">
            <v xml:space="preserve">Xã Hải Hòa  </v>
          </cell>
          <cell r="I6700" t="str">
            <v>40913</v>
          </cell>
        </row>
        <row r="6701">
          <cell r="G6701" t="str">
            <v>Xã Hải Trường</v>
          </cell>
          <cell r="I6701" t="str">
            <v>40913</v>
          </cell>
        </row>
        <row r="6702">
          <cell r="G6702" t="str">
            <v>Xã Hải Thọ</v>
          </cell>
          <cell r="I6702" t="str">
            <v>40913</v>
          </cell>
        </row>
        <row r="6703">
          <cell r="G6703" t="str">
            <v xml:space="preserve">Xã Hải Sơn  </v>
          </cell>
          <cell r="I6703" t="str">
            <v>40913</v>
          </cell>
        </row>
        <row r="6704">
          <cell r="G6704" t="str">
            <v>Xã Hải Khê</v>
          </cell>
          <cell r="I6704" t="str">
            <v>40913</v>
          </cell>
        </row>
        <row r="6705">
          <cell r="G6705" t="str">
            <v>Thị trấn Khe Sanh</v>
          </cell>
          <cell r="I6705" t="str">
            <v>40915</v>
          </cell>
        </row>
        <row r="6706">
          <cell r="G6706" t="str">
            <v xml:space="preserve">Xã Tân Liên  </v>
          </cell>
          <cell r="I6706" t="str">
            <v>40915</v>
          </cell>
        </row>
        <row r="6707">
          <cell r="G6707" t="str">
            <v>Xã Hướng Linh</v>
          </cell>
          <cell r="I6707" t="str">
            <v>40915</v>
          </cell>
        </row>
        <row r="6708">
          <cell r="G6708" t="str">
            <v xml:space="preserve">Xã Tân Long   </v>
          </cell>
          <cell r="I6708" t="str">
            <v>40915</v>
          </cell>
        </row>
        <row r="6709">
          <cell r="G6709" t="str">
            <v>Xã Thuận</v>
          </cell>
          <cell r="I6709" t="str">
            <v>40915</v>
          </cell>
        </row>
        <row r="6710">
          <cell r="G6710" t="str">
            <v>Xã Thanh</v>
          </cell>
          <cell r="I6710" t="str">
            <v>40915</v>
          </cell>
        </row>
        <row r="6711">
          <cell r="G6711" t="str">
            <v>Xã Xy</v>
          </cell>
          <cell r="I6711" t="str">
            <v>40915</v>
          </cell>
        </row>
        <row r="6712">
          <cell r="G6712" t="str">
            <v>Thị trấn Lao Bảo</v>
          </cell>
          <cell r="I6712" t="str">
            <v>40915</v>
          </cell>
        </row>
        <row r="6713">
          <cell r="G6713" t="str">
            <v>Xã Hướng Lập</v>
          </cell>
          <cell r="I6713" t="str">
            <v>40915</v>
          </cell>
        </row>
        <row r="6714">
          <cell r="G6714" t="str">
            <v>Xã Hướng Việt</v>
          </cell>
          <cell r="I6714" t="str">
            <v>40915</v>
          </cell>
        </row>
        <row r="6715">
          <cell r="G6715" t="str">
            <v>Xã Hướng Phùng</v>
          </cell>
          <cell r="I6715" t="str">
            <v>40915</v>
          </cell>
        </row>
        <row r="6716">
          <cell r="G6716" t="str">
            <v>Xã Hướng Sơn</v>
          </cell>
          <cell r="I6716" t="str">
            <v>40915</v>
          </cell>
        </row>
        <row r="6717">
          <cell r="G6717" t="str">
            <v xml:space="preserve">Xã Tân Hợp   </v>
          </cell>
          <cell r="I6717" t="str">
            <v>40915</v>
          </cell>
        </row>
        <row r="6718">
          <cell r="G6718" t="str">
            <v>Xã Hướng Tân</v>
          </cell>
          <cell r="I6718" t="str">
            <v>40915</v>
          </cell>
        </row>
        <row r="6719">
          <cell r="G6719" t="str">
            <v xml:space="preserve">Xã Tân Thành           </v>
          </cell>
          <cell r="I6719" t="str">
            <v>40915</v>
          </cell>
        </row>
        <row r="6720">
          <cell r="G6720" t="str">
            <v xml:space="preserve">Xã Tân Lập               </v>
          </cell>
          <cell r="I6720" t="str">
            <v>40915</v>
          </cell>
        </row>
        <row r="6721">
          <cell r="G6721" t="str">
            <v>Xã Húc</v>
          </cell>
          <cell r="I6721" t="str">
            <v>40915</v>
          </cell>
        </row>
        <row r="6722">
          <cell r="G6722" t="str">
            <v>Xã Hướng Lộc</v>
          </cell>
          <cell r="I6722" t="str">
            <v>40915</v>
          </cell>
        </row>
        <row r="6723">
          <cell r="G6723" t="str">
            <v>Xã Ba Tầng</v>
          </cell>
          <cell r="I6723" t="str">
            <v>40915</v>
          </cell>
        </row>
        <row r="6724">
          <cell r="G6724" t="str">
            <v>Xã A Dơi</v>
          </cell>
          <cell r="I6724" t="str">
            <v>40915</v>
          </cell>
        </row>
        <row r="6725">
          <cell r="G6725" t="str">
            <v>Xã A Xing</v>
          </cell>
          <cell r="I6725" t="str">
            <v>40915</v>
          </cell>
        </row>
        <row r="6726">
          <cell r="G6726" t="str">
            <v>Xã A Túc</v>
          </cell>
          <cell r="I6726" t="str">
            <v>40915</v>
          </cell>
        </row>
        <row r="6727">
          <cell r="G6727" t="str">
            <v>Xã Ba Nang</v>
          </cell>
          <cell r="I6727" t="str">
            <v>40917</v>
          </cell>
        </row>
        <row r="6728">
          <cell r="G6728" t="str">
            <v>Xã Hướng Hiệp</v>
          </cell>
          <cell r="I6728" t="str">
            <v>40917</v>
          </cell>
        </row>
        <row r="6729">
          <cell r="G6729" t="str">
            <v xml:space="preserve">Xã Hải Phúc </v>
          </cell>
          <cell r="I6729" t="str">
            <v>40917</v>
          </cell>
        </row>
        <row r="6730">
          <cell r="G6730" t="str">
            <v>Xã A Vao</v>
          </cell>
          <cell r="I6730" t="str">
            <v>40917</v>
          </cell>
        </row>
        <row r="6731">
          <cell r="G6731" t="str">
            <v>Xã A Ngo</v>
          </cell>
          <cell r="I6731" t="str">
            <v>40917</v>
          </cell>
        </row>
        <row r="6732">
          <cell r="G6732" t="str">
            <v>Thị trấn Krông Klang</v>
          </cell>
          <cell r="I6732" t="str">
            <v>40917</v>
          </cell>
        </row>
        <row r="6733">
          <cell r="G6733" t="str">
            <v>Xã Mò ó</v>
          </cell>
          <cell r="I6733" t="str">
            <v>40917</v>
          </cell>
        </row>
        <row r="6734">
          <cell r="G6734" t="str">
            <v>Xã Đa Krông</v>
          </cell>
          <cell r="I6734" t="str">
            <v>40917</v>
          </cell>
        </row>
        <row r="6735">
          <cell r="G6735" t="str">
            <v xml:space="preserve">Xã Triệu Nguyên </v>
          </cell>
          <cell r="I6735" t="str">
            <v>40917</v>
          </cell>
        </row>
        <row r="6736">
          <cell r="G6736" t="str">
            <v>Xã Ba Lòng</v>
          </cell>
          <cell r="I6736" t="str">
            <v>40917</v>
          </cell>
        </row>
        <row r="6737">
          <cell r="G6737" t="str">
            <v>Xã Tà Long</v>
          </cell>
          <cell r="I6737" t="str">
            <v>40917</v>
          </cell>
        </row>
        <row r="6738">
          <cell r="G6738" t="str">
            <v>Xã Húc Nghì</v>
          </cell>
          <cell r="I6738" t="str">
            <v>40917</v>
          </cell>
        </row>
        <row r="6739">
          <cell r="G6739" t="str">
            <v>Xã Tà Rụt</v>
          </cell>
          <cell r="I6739" t="str">
            <v>40917</v>
          </cell>
        </row>
        <row r="6740">
          <cell r="G6740" t="str">
            <v>Xã A Bung</v>
          </cell>
          <cell r="I6740" t="str">
            <v>40917</v>
          </cell>
        </row>
        <row r="6741">
          <cell r="G6741" t="str">
            <v>Xã Cồn Cỏ</v>
          </cell>
          <cell r="I6741" t="str">
            <v>40919</v>
          </cell>
        </row>
        <row r="6742">
          <cell r="G6742" t="str">
            <v>Phường Phú Thuận</v>
          </cell>
          <cell r="I6742" t="str">
            <v>41101</v>
          </cell>
        </row>
        <row r="6743">
          <cell r="G6743" t="str">
            <v>Phường Phường Đúc</v>
          </cell>
          <cell r="I6743" t="str">
            <v>41101</v>
          </cell>
        </row>
        <row r="6744">
          <cell r="G6744" t="str">
            <v>Phường Phú Hậu</v>
          </cell>
          <cell r="I6744" t="str">
            <v>41101</v>
          </cell>
        </row>
        <row r="6745">
          <cell r="G6745" t="str">
            <v>Phường Phú Cát</v>
          </cell>
          <cell r="I6745" t="str">
            <v>41101</v>
          </cell>
        </row>
        <row r="6746">
          <cell r="G6746" t="str">
            <v>Phường Vĩnh Ninh</v>
          </cell>
          <cell r="I6746" t="str">
            <v>41101</v>
          </cell>
        </row>
        <row r="6747">
          <cell r="G6747" t="str">
            <v>Phường Phước Vĩnh</v>
          </cell>
          <cell r="I6747" t="str">
            <v>41101</v>
          </cell>
        </row>
        <row r="6748">
          <cell r="G6748" t="str">
            <v>Phường Thủy Xuân</v>
          </cell>
          <cell r="I6748" t="str">
            <v>41101</v>
          </cell>
        </row>
        <row r="6749">
          <cell r="G6749" t="str">
            <v>Phường Phú Bình</v>
          </cell>
          <cell r="I6749" t="str">
            <v>41101</v>
          </cell>
        </row>
        <row r="6750">
          <cell r="G6750" t="str">
            <v>Phường Tây Lộc</v>
          </cell>
          <cell r="I6750" t="str">
            <v>41101</v>
          </cell>
        </row>
        <row r="6751">
          <cell r="G6751" t="str">
            <v>Phường Thuận Lộc</v>
          </cell>
          <cell r="I6751" t="str">
            <v>41101</v>
          </cell>
        </row>
        <row r="6752">
          <cell r="G6752" t="str">
            <v>Phường Phú Hiệp</v>
          </cell>
          <cell r="I6752" t="str">
            <v>41101</v>
          </cell>
        </row>
        <row r="6753">
          <cell r="G6753" t="str">
            <v>Phường Thuận Hòa</v>
          </cell>
          <cell r="I6753" t="str">
            <v>41101</v>
          </cell>
        </row>
        <row r="6754">
          <cell r="G6754" t="str">
            <v>Phường Thuận Thành</v>
          </cell>
          <cell r="I6754" t="str">
            <v>41101</v>
          </cell>
        </row>
        <row r="6755">
          <cell r="G6755" t="str">
            <v>Phường Phú Hòa</v>
          </cell>
          <cell r="I6755" t="str">
            <v>41101</v>
          </cell>
        </row>
        <row r="6756">
          <cell r="G6756" t="str">
            <v>Phường Kim Long</v>
          </cell>
          <cell r="I6756" t="str">
            <v>41101</v>
          </cell>
        </row>
        <row r="6757">
          <cell r="G6757" t="str">
            <v>Phường Vỹ Dạ</v>
          </cell>
          <cell r="I6757" t="str">
            <v>41101</v>
          </cell>
        </row>
        <row r="6758">
          <cell r="G6758" t="str">
            <v>Phường Phú Hội</v>
          </cell>
          <cell r="I6758" t="str">
            <v>41101</v>
          </cell>
        </row>
        <row r="6759">
          <cell r="G6759" t="str">
            <v>Phường Phú Nhuận</v>
          </cell>
          <cell r="I6759" t="str">
            <v>41101</v>
          </cell>
        </row>
        <row r="6760">
          <cell r="G6760" t="str">
            <v>Phường Xuân Phú</v>
          </cell>
          <cell r="I6760" t="str">
            <v>41101</v>
          </cell>
        </row>
        <row r="6761">
          <cell r="G6761" t="str">
            <v>Phường Trường An</v>
          </cell>
          <cell r="I6761" t="str">
            <v>41101</v>
          </cell>
        </row>
        <row r="6762">
          <cell r="G6762" t="str">
            <v>Phường An Cựu</v>
          </cell>
          <cell r="I6762" t="str">
            <v>41101</v>
          </cell>
        </row>
        <row r="6763">
          <cell r="G6763" t="str">
            <v>Phường Hương Sơ</v>
          </cell>
          <cell r="I6763" t="str">
            <v>41101</v>
          </cell>
        </row>
        <row r="6764">
          <cell r="G6764" t="str">
            <v>Phường Thủy Biều</v>
          </cell>
          <cell r="I6764" t="str">
            <v>41101</v>
          </cell>
        </row>
        <row r="6765">
          <cell r="G6765" t="str">
            <v>Phường Hương Long</v>
          </cell>
          <cell r="I6765" t="str">
            <v>41101</v>
          </cell>
        </row>
        <row r="6766">
          <cell r="G6766" t="str">
            <v>Phường An Đông</v>
          </cell>
          <cell r="I6766" t="str">
            <v>41101</v>
          </cell>
        </row>
        <row r="6767">
          <cell r="G6767" t="str">
            <v>Phường An Tây</v>
          </cell>
          <cell r="I6767" t="str">
            <v>41101</v>
          </cell>
        </row>
        <row r="6768">
          <cell r="G6768" t="str">
            <v>Phường An Hòa</v>
          </cell>
          <cell r="I6768" t="str">
            <v>41101</v>
          </cell>
        </row>
        <row r="6769">
          <cell r="G6769" t="str">
            <v>Thị trấn Phong Điền</v>
          </cell>
          <cell r="I6769" t="str">
            <v>41103</v>
          </cell>
        </row>
        <row r="6770">
          <cell r="G6770" t="str">
            <v>Xã Phong Sơn</v>
          </cell>
          <cell r="I6770" t="str">
            <v>41103</v>
          </cell>
        </row>
        <row r="6771">
          <cell r="G6771" t="str">
            <v>Xã Điền Môn</v>
          </cell>
          <cell r="I6771" t="str">
            <v>41103</v>
          </cell>
        </row>
        <row r="6772">
          <cell r="G6772" t="str">
            <v>Xã Điền Hòa</v>
          </cell>
          <cell r="I6772" t="str">
            <v>41103</v>
          </cell>
        </row>
        <row r="6773">
          <cell r="G6773" t="str">
            <v>Xã Phong Hòa</v>
          </cell>
          <cell r="I6773" t="str">
            <v>41103</v>
          </cell>
        </row>
        <row r="6774">
          <cell r="G6774" t="str">
            <v>Xã Phong An</v>
          </cell>
          <cell r="I6774" t="str">
            <v>41103</v>
          </cell>
        </row>
        <row r="6775">
          <cell r="G6775" t="str">
            <v>Xã Điền Hương</v>
          </cell>
          <cell r="I6775" t="str">
            <v>41103</v>
          </cell>
        </row>
        <row r="6776">
          <cell r="G6776" t="str">
            <v>Xã Điền Lộc</v>
          </cell>
          <cell r="I6776" t="str">
            <v>41103</v>
          </cell>
        </row>
        <row r="6777">
          <cell r="G6777" t="str">
            <v>Xã Phong Bình</v>
          </cell>
          <cell r="I6777" t="str">
            <v>41103</v>
          </cell>
        </row>
        <row r="6778">
          <cell r="G6778" t="str">
            <v>Xã Phong Chương</v>
          </cell>
          <cell r="I6778" t="str">
            <v>41103</v>
          </cell>
        </row>
        <row r="6779">
          <cell r="G6779" t="str">
            <v>Xã Phong Hải</v>
          </cell>
          <cell r="I6779" t="str">
            <v>41103</v>
          </cell>
        </row>
        <row r="6780">
          <cell r="G6780" t="str">
            <v>Xã Điền Hải</v>
          </cell>
          <cell r="I6780" t="str">
            <v>41103</v>
          </cell>
        </row>
        <row r="6781">
          <cell r="G6781" t="str">
            <v>Xã Phong Thu</v>
          </cell>
          <cell r="I6781" t="str">
            <v>41103</v>
          </cell>
        </row>
        <row r="6782">
          <cell r="G6782" t="str">
            <v>Xã Phong Hiền</v>
          </cell>
          <cell r="I6782" t="str">
            <v>41103</v>
          </cell>
        </row>
        <row r="6783">
          <cell r="G6783" t="str">
            <v>Xã Phong Mỹ</v>
          </cell>
          <cell r="I6783" t="str">
            <v>41103</v>
          </cell>
        </row>
        <row r="6784">
          <cell r="G6784" t="str">
            <v>Xã Phong Xuân</v>
          </cell>
          <cell r="I6784" t="str">
            <v>41103</v>
          </cell>
        </row>
        <row r="6785">
          <cell r="G6785" t="str">
            <v xml:space="preserve">Xã Quảng Thái </v>
          </cell>
          <cell r="I6785" t="str">
            <v>41105</v>
          </cell>
        </row>
        <row r="6786">
          <cell r="G6786" t="str">
            <v>Xã Quảng Phước</v>
          </cell>
          <cell r="I6786" t="str">
            <v>41105</v>
          </cell>
        </row>
        <row r="6787">
          <cell r="G6787" t="str">
            <v xml:space="preserve">Xã Quảng Phú    </v>
          </cell>
          <cell r="I6787" t="str">
            <v>41105</v>
          </cell>
        </row>
        <row r="6788">
          <cell r="G6788" t="str">
            <v>Thị trấn Sịa</v>
          </cell>
          <cell r="I6788" t="str">
            <v>41105</v>
          </cell>
        </row>
        <row r="6789">
          <cell r="G6789" t="str">
            <v>Xã Quảng Ngạn</v>
          </cell>
          <cell r="I6789" t="str">
            <v>41105</v>
          </cell>
        </row>
        <row r="6790">
          <cell r="G6790" t="str">
            <v xml:space="preserve">Xã Quảng Lợi  </v>
          </cell>
          <cell r="I6790" t="str">
            <v>41105</v>
          </cell>
        </row>
        <row r="6791">
          <cell r="G6791" t="str">
            <v>Xã Quảng Công</v>
          </cell>
          <cell r="I6791" t="str">
            <v>41105</v>
          </cell>
        </row>
        <row r="6792">
          <cell r="G6792" t="str">
            <v xml:space="preserve">Xã Quảng Vinh </v>
          </cell>
          <cell r="I6792" t="str">
            <v>41105</v>
          </cell>
        </row>
        <row r="6793">
          <cell r="G6793" t="str">
            <v xml:space="preserve">Xã Quảng An </v>
          </cell>
          <cell r="I6793" t="str">
            <v>41105</v>
          </cell>
        </row>
        <row r="6794">
          <cell r="G6794" t="str">
            <v xml:space="preserve">Xã Quảng Thành </v>
          </cell>
          <cell r="I6794" t="str">
            <v>41105</v>
          </cell>
        </row>
        <row r="6795">
          <cell r="G6795" t="str">
            <v xml:space="preserve">Xã Quảng Thọ </v>
          </cell>
          <cell r="I6795" t="str">
            <v>41105</v>
          </cell>
        </row>
        <row r="6796">
          <cell r="G6796" t="str">
            <v>Phường Hương Văn</v>
          </cell>
          <cell r="I6796" t="str">
            <v>41107</v>
          </cell>
        </row>
        <row r="6797">
          <cell r="G6797" t="str">
            <v>Xã Hương Phong</v>
          </cell>
          <cell r="I6797" t="str">
            <v>41107</v>
          </cell>
        </row>
        <row r="6798">
          <cell r="G6798" t="str">
            <v>Xã Hương Vinh</v>
          </cell>
          <cell r="I6798" t="str">
            <v>41107</v>
          </cell>
        </row>
        <row r="6799">
          <cell r="G6799" t="str">
            <v xml:space="preserve">Xã Hương Bình </v>
          </cell>
          <cell r="I6799" t="str">
            <v>41107</v>
          </cell>
        </row>
        <row r="6800">
          <cell r="G6800" t="str">
            <v xml:space="preserve">Xã Hồng Tiến   </v>
          </cell>
          <cell r="I6800" t="str">
            <v>41107</v>
          </cell>
        </row>
        <row r="6801">
          <cell r="G6801" t="str">
            <v>Phường Tứ Hạ</v>
          </cell>
          <cell r="I6801" t="str">
            <v>41107</v>
          </cell>
        </row>
        <row r="6802">
          <cell r="G6802" t="str">
            <v xml:space="preserve">Xã Hải Dương </v>
          </cell>
          <cell r="I6802" t="str">
            <v>41107</v>
          </cell>
        </row>
        <row r="6803">
          <cell r="G6803" t="str">
            <v>Xã Hương Toàn</v>
          </cell>
          <cell r="I6803" t="str">
            <v>41107</v>
          </cell>
        </row>
        <row r="6804">
          <cell r="G6804" t="str">
            <v>Phường Hương Vân</v>
          </cell>
          <cell r="I6804" t="str">
            <v>41107</v>
          </cell>
        </row>
        <row r="6805">
          <cell r="G6805" t="str">
            <v>Phường Hương Xuân</v>
          </cell>
          <cell r="I6805" t="str">
            <v>41107</v>
          </cell>
        </row>
        <row r="6806">
          <cell r="G6806" t="str">
            <v>Phường Hương Chữ</v>
          </cell>
          <cell r="I6806" t="str">
            <v>41107</v>
          </cell>
        </row>
        <row r="6807">
          <cell r="G6807" t="str">
            <v>Phường Hương An</v>
          </cell>
          <cell r="I6807" t="str">
            <v>41107</v>
          </cell>
        </row>
        <row r="6808">
          <cell r="G6808" t="str">
            <v>Phường Hương Hồ</v>
          </cell>
          <cell r="I6808" t="str">
            <v>41107</v>
          </cell>
        </row>
        <row r="6809">
          <cell r="G6809" t="str">
            <v xml:space="preserve">Xã Hương Thọ </v>
          </cell>
          <cell r="I6809" t="str">
            <v>41107</v>
          </cell>
        </row>
        <row r="6810">
          <cell r="G6810" t="str">
            <v>Xã Bình Điền</v>
          </cell>
          <cell r="I6810" t="str">
            <v>41107</v>
          </cell>
        </row>
        <row r="6811">
          <cell r="G6811" t="str">
            <v xml:space="preserve">Xã Bình Thành </v>
          </cell>
          <cell r="I6811" t="str">
            <v>41107</v>
          </cell>
        </row>
        <row r="6812">
          <cell r="G6812" t="str">
            <v>Thị trấn Thuận An</v>
          </cell>
          <cell r="I6812" t="str">
            <v>41109</v>
          </cell>
        </row>
        <row r="6813">
          <cell r="G6813" t="str">
            <v xml:space="preserve">Xã Phú Lương    </v>
          </cell>
          <cell r="I6813" t="str">
            <v>41109</v>
          </cell>
        </row>
        <row r="6814">
          <cell r="G6814" t="str">
            <v>Xã Phú Mậu</v>
          </cell>
          <cell r="I6814" t="str">
            <v>41109</v>
          </cell>
        </row>
        <row r="6815">
          <cell r="G6815" t="str">
            <v xml:space="preserve">Xã Phú Xuân   </v>
          </cell>
          <cell r="I6815" t="str">
            <v>41109</v>
          </cell>
        </row>
        <row r="6816">
          <cell r="G6816" t="str">
            <v xml:space="preserve">Xã Phú Thượng </v>
          </cell>
          <cell r="I6816" t="str">
            <v>41109</v>
          </cell>
        </row>
        <row r="6817">
          <cell r="G6817" t="str">
            <v>Thị trấn Phú Đa</v>
          </cell>
          <cell r="I6817" t="str">
            <v>41109</v>
          </cell>
        </row>
        <row r="6818">
          <cell r="G6818" t="str">
            <v>Xã Vinh Thái</v>
          </cell>
          <cell r="I6818" t="str">
            <v>41109</v>
          </cell>
        </row>
        <row r="6819">
          <cell r="G6819" t="str">
            <v>Xã Phú Thuận</v>
          </cell>
          <cell r="I6819" t="str">
            <v>41109</v>
          </cell>
        </row>
        <row r="6820">
          <cell r="G6820" t="str">
            <v>Xã Phú Dương</v>
          </cell>
          <cell r="I6820" t="str">
            <v>41109</v>
          </cell>
        </row>
        <row r="6821">
          <cell r="G6821" t="str">
            <v>Xã Phú An</v>
          </cell>
          <cell r="I6821" t="str">
            <v>41109</v>
          </cell>
        </row>
        <row r="6822">
          <cell r="G6822" t="str">
            <v xml:space="preserve">Xã Phú Hải </v>
          </cell>
          <cell r="I6822" t="str">
            <v>41109</v>
          </cell>
        </row>
        <row r="6823">
          <cell r="G6823" t="str">
            <v>Xã Phú Diên</v>
          </cell>
          <cell r="I6823" t="str">
            <v>41109</v>
          </cell>
        </row>
        <row r="6824">
          <cell r="G6824" t="str">
            <v xml:space="preserve">Xã Phú Thanh </v>
          </cell>
          <cell r="I6824" t="str">
            <v>41109</v>
          </cell>
        </row>
        <row r="6825">
          <cell r="G6825" t="str">
            <v xml:space="preserve">Xã Phú Mỹ  </v>
          </cell>
          <cell r="I6825" t="str">
            <v>41109</v>
          </cell>
        </row>
        <row r="6826">
          <cell r="G6826" t="str">
            <v>Xã Phú Hồ</v>
          </cell>
          <cell r="I6826" t="str">
            <v>41109</v>
          </cell>
        </row>
        <row r="6827">
          <cell r="G6827" t="str">
            <v>Xã Vinh Xuân</v>
          </cell>
          <cell r="I6827" t="str">
            <v>41109</v>
          </cell>
        </row>
        <row r="6828">
          <cell r="G6828" t="str">
            <v>Xã Vinh Thanh</v>
          </cell>
          <cell r="I6828" t="str">
            <v>41109</v>
          </cell>
        </row>
        <row r="6829">
          <cell r="G6829" t="str">
            <v>Xã Vinh An</v>
          </cell>
          <cell r="I6829" t="str">
            <v>41109</v>
          </cell>
        </row>
        <row r="6830">
          <cell r="G6830" t="str">
            <v>Xã Vinh Phú</v>
          </cell>
          <cell r="I6830" t="str">
            <v>41109</v>
          </cell>
        </row>
        <row r="6831">
          <cell r="G6831" t="str">
            <v>Xã Vinh Hà</v>
          </cell>
          <cell r="I6831" t="str">
            <v>41109</v>
          </cell>
        </row>
        <row r="6832">
          <cell r="G6832" t="str">
            <v>Phường Thủy Châu</v>
          </cell>
          <cell r="I6832" t="str">
            <v>41111</v>
          </cell>
        </row>
        <row r="6833">
          <cell r="G6833" t="str">
            <v>Xã Thủy Thanh</v>
          </cell>
          <cell r="I6833" t="str">
            <v>41111</v>
          </cell>
        </row>
        <row r="6834">
          <cell r="G6834" t="str">
            <v>Phường Thủy Lương</v>
          </cell>
          <cell r="I6834" t="str">
            <v>41111</v>
          </cell>
        </row>
        <row r="6835">
          <cell r="G6835" t="str">
            <v xml:space="preserve">Xã Phú Sơn     </v>
          </cell>
          <cell r="I6835" t="str">
            <v>41111</v>
          </cell>
        </row>
        <row r="6836">
          <cell r="G6836" t="str">
            <v>Phường Phú Bài</v>
          </cell>
          <cell r="I6836" t="str">
            <v>41111</v>
          </cell>
        </row>
        <row r="6837">
          <cell r="G6837" t="str">
            <v>Xã Thủy Vân</v>
          </cell>
          <cell r="I6837" t="str">
            <v>41111</v>
          </cell>
        </row>
        <row r="6838">
          <cell r="G6838" t="str">
            <v>Phường Thủy Dương</v>
          </cell>
          <cell r="I6838" t="str">
            <v>41111</v>
          </cell>
        </row>
        <row r="6839">
          <cell r="G6839" t="str">
            <v>Phường Thủy Phương</v>
          </cell>
          <cell r="I6839" t="str">
            <v>41111</v>
          </cell>
        </row>
        <row r="6840">
          <cell r="G6840" t="str">
            <v>Xã Thủy Bằng</v>
          </cell>
          <cell r="I6840" t="str">
            <v>41111</v>
          </cell>
        </row>
        <row r="6841">
          <cell r="G6841" t="str">
            <v>Xã Thủy Tân</v>
          </cell>
          <cell r="I6841" t="str">
            <v>41111</v>
          </cell>
        </row>
        <row r="6842">
          <cell r="G6842" t="str">
            <v>Xã Thủy Phù</v>
          </cell>
          <cell r="I6842" t="str">
            <v>41111</v>
          </cell>
        </row>
        <row r="6843">
          <cell r="G6843" t="str">
            <v>Xã Dương Hòa</v>
          </cell>
          <cell r="I6843" t="str">
            <v>41111</v>
          </cell>
        </row>
        <row r="6844">
          <cell r="G6844" t="str">
            <v>Xã Lộc Điền</v>
          </cell>
          <cell r="I6844" t="str">
            <v>41113</v>
          </cell>
        </row>
        <row r="6845">
          <cell r="G6845" t="str">
            <v>Xã Vinh Mỹ</v>
          </cell>
          <cell r="I6845" t="str">
            <v>41113</v>
          </cell>
        </row>
        <row r="6846">
          <cell r="G6846" t="str">
            <v>Thị trấn Phú Lộc</v>
          </cell>
          <cell r="I6846" t="str">
            <v>41113</v>
          </cell>
        </row>
        <row r="6847">
          <cell r="G6847" t="str">
            <v>Xã Vinh Giang</v>
          </cell>
          <cell r="I6847" t="str">
            <v>41113</v>
          </cell>
        </row>
        <row r="6848">
          <cell r="G6848" t="str">
            <v>Xã Lộc Bình</v>
          </cell>
          <cell r="I6848" t="str">
            <v>41113</v>
          </cell>
        </row>
        <row r="6849">
          <cell r="G6849" t="str">
            <v xml:space="preserve">Xã Lộc Thủy </v>
          </cell>
          <cell r="I6849" t="str">
            <v>41113</v>
          </cell>
        </row>
        <row r="6850">
          <cell r="G6850" t="str">
            <v xml:space="preserve">Xã Xuân Lộc     </v>
          </cell>
          <cell r="I6850" t="str">
            <v>41113</v>
          </cell>
        </row>
        <row r="6851">
          <cell r="G6851" t="str">
            <v>Thị trấn Lăng Cô</v>
          </cell>
          <cell r="I6851" t="str">
            <v>41113</v>
          </cell>
        </row>
        <row r="6852">
          <cell r="G6852" t="str">
            <v>Xã Vinh Hưng</v>
          </cell>
          <cell r="I6852" t="str">
            <v>41113</v>
          </cell>
        </row>
        <row r="6853">
          <cell r="G6853" t="str">
            <v>Xã Vinh Hải</v>
          </cell>
          <cell r="I6853" t="str">
            <v>41113</v>
          </cell>
        </row>
        <row r="6854">
          <cell r="G6854" t="str">
            <v>Xã Vinh Hiền</v>
          </cell>
          <cell r="I6854" t="str">
            <v>41113</v>
          </cell>
        </row>
        <row r="6855">
          <cell r="G6855" t="str">
            <v>Xã Lộc Bổn</v>
          </cell>
          <cell r="I6855" t="str">
            <v>41113</v>
          </cell>
        </row>
        <row r="6856">
          <cell r="G6856" t="str">
            <v xml:space="preserve">Xã Lộc Sơn </v>
          </cell>
          <cell r="I6856" t="str">
            <v>41113</v>
          </cell>
        </row>
        <row r="6857">
          <cell r="G6857" t="str">
            <v>Xã Lộc Vĩnh</v>
          </cell>
          <cell r="I6857" t="str">
            <v>41113</v>
          </cell>
        </row>
        <row r="6858">
          <cell r="G6858" t="str">
            <v xml:space="preserve">Xã Lộc An </v>
          </cell>
          <cell r="I6858" t="str">
            <v>41113</v>
          </cell>
        </row>
        <row r="6859">
          <cell r="G6859" t="str">
            <v>Xã Lộc Trì</v>
          </cell>
          <cell r="I6859" t="str">
            <v>41113</v>
          </cell>
        </row>
        <row r="6860">
          <cell r="G6860" t="str">
            <v>Xã Lộc Tiến</v>
          </cell>
          <cell r="I6860" t="str">
            <v>41113</v>
          </cell>
        </row>
        <row r="6861">
          <cell r="G6861" t="str">
            <v xml:space="preserve">Xã Lộc Hòa </v>
          </cell>
          <cell r="I6861" t="str">
            <v>41113</v>
          </cell>
        </row>
        <row r="6862">
          <cell r="G6862" t="str">
            <v>Xã Hồng Quảng</v>
          </cell>
          <cell r="I6862" t="str">
            <v>41115</v>
          </cell>
        </row>
        <row r="6863">
          <cell r="G6863" t="str">
            <v xml:space="preserve">Xã Đông Sơn      </v>
          </cell>
          <cell r="I6863" t="str">
            <v>41115</v>
          </cell>
        </row>
        <row r="6864">
          <cell r="G6864" t="str">
            <v>Xã Hồng Hạ</v>
          </cell>
          <cell r="I6864" t="str">
            <v>41115</v>
          </cell>
        </row>
        <row r="6865">
          <cell r="G6865" t="str">
            <v>Xã Hồng Trung</v>
          </cell>
          <cell r="I6865" t="str">
            <v>41115</v>
          </cell>
        </row>
        <row r="6866">
          <cell r="G6866" t="str">
            <v>Xã Hương Nguyên</v>
          </cell>
          <cell r="I6866" t="str">
            <v>41115</v>
          </cell>
        </row>
        <row r="6867">
          <cell r="G6867" t="str">
            <v xml:space="preserve">Xã Bắc Sơn           </v>
          </cell>
          <cell r="I6867" t="str">
            <v>41115</v>
          </cell>
        </row>
        <row r="6868">
          <cell r="G6868" t="str">
            <v>Xã Hồng Bắc</v>
          </cell>
          <cell r="I6868" t="str">
            <v>41115</v>
          </cell>
        </row>
        <row r="6869">
          <cell r="G6869" t="str">
            <v xml:space="preserve">Xã A Ngo </v>
          </cell>
          <cell r="I6869" t="str">
            <v>41115</v>
          </cell>
        </row>
        <row r="6870">
          <cell r="G6870" t="str">
            <v xml:space="preserve">Xã Sơn Thủy     </v>
          </cell>
          <cell r="I6870" t="str">
            <v>41115</v>
          </cell>
        </row>
        <row r="6871">
          <cell r="G6871" t="str">
            <v xml:space="preserve">Xã Phú Vinh </v>
          </cell>
          <cell r="I6871" t="str">
            <v>41115</v>
          </cell>
        </row>
        <row r="6872">
          <cell r="G6872" t="str">
            <v xml:space="preserve">Xã Hương Phong </v>
          </cell>
          <cell r="I6872" t="str">
            <v>41115</v>
          </cell>
        </row>
        <row r="6873">
          <cell r="G6873" t="str">
            <v>Xã Nhâm</v>
          </cell>
          <cell r="I6873" t="str">
            <v>41115</v>
          </cell>
        </row>
        <row r="6874">
          <cell r="G6874" t="str">
            <v>Xã Hồng Thượng</v>
          </cell>
          <cell r="I6874" t="str">
            <v>41115</v>
          </cell>
        </row>
        <row r="6875">
          <cell r="G6875" t="str">
            <v xml:space="preserve">Xã Hồng Thái        </v>
          </cell>
          <cell r="I6875" t="str">
            <v>41115</v>
          </cell>
        </row>
        <row r="6876">
          <cell r="G6876" t="str">
            <v xml:space="preserve">Xã Hương Lâm  </v>
          </cell>
          <cell r="I6876" t="str">
            <v>41115</v>
          </cell>
        </row>
        <row r="6877">
          <cell r="G6877" t="str">
            <v>Xã A Roằng</v>
          </cell>
          <cell r="I6877" t="str">
            <v>41115</v>
          </cell>
        </row>
        <row r="6878">
          <cell r="G6878" t="str">
            <v>Xã A Đớt</v>
          </cell>
          <cell r="I6878" t="str">
            <v>41115</v>
          </cell>
        </row>
        <row r="6879">
          <cell r="G6879" t="str">
            <v xml:space="preserve">Xã Hồng Thủy </v>
          </cell>
          <cell r="I6879" t="str">
            <v>41115</v>
          </cell>
        </row>
        <row r="6880">
          <cell r="G6880" t="str">
            <v>Xã Hồng Kim</v>
          </cell>
          <cell r="I6880" t="str">
            <v>41115</v>
          </cell>
        </row>
        <row r="6881">
          <cell r="G6881" t="str">
            <v>Thị trấn A Lưới</v>
          </cell>
          <cell r="I6881" t="str">
            <v>41115</v>
          </cell>
        </row>
        <row r="6882">
          <cell r="G6882" t="str">
            <v xml:space="preserve">Xã Hồng Vân  </v>
          </cell>
          <cell r="I6882" t="str">
            <v>41115</v>
          </cell>
        </row>
        <row r="6883">
          <cell r="G6883" t="str">
            <v xml:space="preserve">Xã Hương Giang </v>
          </cell>
          <cell r="I6883" t="str">
            <v>41117</v>
          </cell>
        </row>
        <row r="6884">
          <cell r="G6884" t="str">
            <v>Xã Hương Lộc</v>
          </cell>
          <cell r="I6884" t="str">
            <v>41117</v>
          </cell>
        </row>
        <row r="6885">
          <cell r="G6885" t="str">
            <v>Xã Hương Hữu</v>
          </cell>
          <cell r="I6885" t="str">
            <v>41117</v>
          </cell>
        </row>
        <row r="6886">
          <cell r="G6886" t="str">
            <v>Thị trấn Khe Tre</v>
          </cell>
          <cell r="I6886" t="str">
            <v>41117</v>
          </cell>
        </row>
        <row r="6887">
          <cell r="G6887" t="str">
            <v>Xã Hương Phú</v>
          </cell>
          <cell r="I6887" t="str">
            <v>41117</v>
          </cell>
        </row>
        <row r="6888">
          <cell r="G6888" t="str">
            <v xml:space="preserve">Xã Hương Sơn     </v>
          </cell>
          <cell r="I6888" t="str">
            <v>41117</v>
          </cell>
        </row>
        <row r="6889">
          <cell r="G6889" t="str">
            <v>Xã Thượng Quảng</v>
          </cell>
          <cell r="I6889" t="str">
            <v>41117</v>
          </cell>
        </row>
        <row r="6890">
          <cell r="G6890" t="str">
            <v>Xã Hương Hòa</v>
          </cell>
          <cell r="I6890" t="str">
            <v>41117</v>
          </cell>
        </row>
        <row r="6891">
          <cell r="G6891" t="str">
            <v>Xã Thượng Lộ</v>
          </cell>
          <cell r="I6891" t="str">
            <v>41117</v>
          </cell>
        </row>
        <row r="6892">
          <cell r="G6892" t="str">
            <v xml:space="preserve">Xã Thượng Long </v>
          </cell>
          <cell r="I6892" t="str">
            <v>41117</v>
          </cell>
        </row>
        <row r="6893">
          <cell r="G6893" t="str">
            <v>Xã Thượng Nhật</v>
          </cell>
          <cell r="I6893" t="str">
            <v>41117</v>
          </cell>
        </row>
        <row r="6894">
          <cell r="G6894" t="str">
            <v>Phường Hải Châu I</v>
          </cell>
          <cell r="I6894" t="str">
            <v>50101</v>
          </cell>
        </row>
        <row r="6895">
          <cell r="G6895" t="str">
            <v>Phường Thạch Thang</v>
          </cell>
          <cell r="I6895" t="str">
            <v>50101</v>
          </cell>
        </row>
        <row r="6896">
          <cell r="G6896" t="str">
            <v>Phường Nam Dương</v>
          </cell>
          <cell r="I6896" t="str">
            <v>50101</v>
          </cell>
        </row>
        <row r="6897">
          <cell r="G6897" t="str">
            <v xml:space="preserve">Phường Thanh Bình   </v>
          </cell>
          <cell r="I6897" t="str">
            <v>50101</v>
          </cell>
        </row>
        <row r="6898">
          <cell r="G6898" t="str">
            <v>Phường Thuận Phước</v>
          </cell>
          <cell r="I6898" t="str">
            <v>50101</v>
          </cell>
        </row>
        <row r="6899">
          <cell r="G6899" t="str">
            <v>Phường Hải Châu II</v>
          </cell>
          <cell r="I6899" t="str">
            <v>50101</v>
          </cell>
        </row>
        <row r="6900">
          <cell r="G6900" t="str">
            <v>Phường Phước Ninh</v>
          </cell>
          <cell r="I6900" t="str">
            <v>50101</v>
          </cell>
        </row>
        <row r="6901">
          <cell r="G6901" t="str">
            <v>Phường Hòa Thuận</v>
          </cell>
          <cell r="I6901" t="str">
            <v>50101</v>
          </cell>
        </row>
        <row r="6902">
          <cell r="G6902" t="str">
            <v>Phường Bình Hiên</v>
          </cell>
          <cell r="I6902" t="str">
            <v>50101</v>
          </cell>
        </row>
        <row r="6903">
          <cell r="G6903" t="str">
            <v>Phường Bình Thuận</v>
          </cell>
          <cell r="I6903" t="str">
            <v>50101</v>
          </cell>
        </row>
        <row r="6904">
          <cell r="G6904" t="str">
            <v>Phường Hòa Cường</v>
          </cell>
          <cell r="I6904" t="str">
            <v>50101</v>
          </cell>
        </row>
        <row r="6905">
          <cell r="G6905" t="str">
            <v>Phường Hòa Thuận Đông</v>
          </cell>
          <cell r="I6905" t="str">
            <v>50101</v>
          </cell>
        </row>
        <row r="6906">
          <cell r="G6906" t="str">
            <v>Phường Hòa Thuận Tây</v>
          </cell>
          <cell r="I6906" t="str">
            <v>50101</v>
          </cell>
        </row>
        <row r="6907">
          <cell r="G6907" t="str">
            <v>Phường Hòa Cường Nam</v>
          </cell>
          <cell r="I6907" t="str">
            <v>50101</v>
          </cell>
        </row>
        <row r="6908">
          <cell r="G6908" t="str">
            <v>Phường Hòa Cường Bắc</v>
          </cell>
          <cell r="I6908" t="str">
            <v>50101</v>
          </cell>
        </row>
        <row r="6909">
          <cell r="G6909" t="str">
            <v>Phường Xuân Hà</v>
          </cell>
          <cell r="I6909" t="str">
            <v>50103</v>
          </cell>
        </row>
        <row r="6910">
          <cell r="G6910" t="str">
            <v>Phường Thạc Gián</v>
          </cell>
          <cell r="I6910" t="str">
            <v>50103</v>
          </cell>
        </row>
        <row r="6911">
          <cell r="G6911" t="str">
            <v>Phường Tam Thuận</v>
          </cell>
          <cell r="I6911" t="str">
            <v>50103</v>
          </cell>
        </row>
        <row r="6912">
          <cell r="G6912" t="str">
            <v>Phường Tân Chính</v>
          </cell>
          <cell r="I6912" t="str">
            <v>50103</v>
          </cell>
        </row>
        <row r="6913">
          <cell r="G6913" t="str">
            <v>Phường Chính Gián</v>
          </cell>
          <cell r="I6913" t="str">
            <v>50103</v>
          </cell>
        </row>
        <row r="6914">
          <cell r="G6914" t="str">
            <v>Phường Vĩnh Trung</v>
          </cell>
          <cell r="I6914" t="str">
            <v>50103</v>
          </cell>
        </row>
        <row r="6915">
          <cell r="G6915" t="str">
            <v>Phường An Khê</v>
          </cell>
          <cell r="I6915" t="str">
            <v>50103</v>
          </cell>
        </row>
        <row r="6916">
          <cell r="G6916" t="str">
            <v>Phường Thanh Khê Đông</v>
          </cell>
          <cell r="I6916" t="str">
            <v>50103</v>
          </cell>
        </row>
        <row r="6917">
          <cell r="G6917" t="str">
            <v>Phường Thanh Khê Tây</v>
          </cell>
          <cell r="I6917" t="str">
            <v>50103</v>
          </cell>
        </row>
        <row r="6918">
          <cell r="G6918" t="str">
            <v>Phường Hòa Khê</v>
          </cell>
          <cell r="I6918" t="str">
            <v>50103</v>
          </cell>
        </row>
        <row r="6919">
          <cell r="G6919" t="str">
            <v>Phường An Hải Tây</v>
          </cell>
          <cell r="I6919" t="str">
            <v>50105</v>
          </cell>
        </row>
        <row r="6920">
          <cell r="G6920" t="str">
            <v>Phường Thọ Quang</v>
          </cell>
          <cell r="I6920" t="str">
            <v>50105</v>
          </cell>
        </row>
        <row r="6921">
          <cell r="G6921" t="str">
            <v>Phường Phước Mỹ</v>
          </cell>
          <cell r="I6921" t="str">
            <v>50105</v>
          </cell>
        </row>
        <row r="6922">
          <cell r="G6922" t="str">
            <v>Phường Nại Hiên Đông</v>
          </cell>
          <cell r="I6922" t="str">
            <v>50105</v>
          </cell>
        </row>
        <row r="6923">
          <cell r="G6923" t="str">
            <v>Phường Mân Thái</v>
          </cell>
          <cell r="I6923" t="str">
            <v>50105</v>
          </cell>
        </row>
        <row r="6924">
          <cell r="G6924" t="str">
            <v>Phường An Hải Bắc</v>
          </cell>
          <cell r="I6924" t="str">
            <v>50105</v>
          </cell>
        </row>
        <row r="6925">
          <cell r="G6925" t="str">
            <v>Phường An Hải Đông</v>
          </cell>
          <cell r="I6925" t="str">
            <v>50105</v>
          </cell>
        </row>
        <row r="6926">
          <cell r="G6926" t="str">
            <v>Phường Hòa Quý</v>
          </cell>
          <cell r="I6926" t="str">
            <v>50107</v>
          </cell>
        </row>
        <row r="6927">
          <cell r="G6927" t="str">
            <v>Phường Mỹ An</v>
          </cell>
          <cell r="I6927" t="str">
            <v>50107</v>
          </cell>
        </row>
        <row r="6928">
          <cell r="G6928" t="str">
            <v>Phường Khuê Mỹ</v>
          </cell>
          <cell r="I6928" t="str">
            <v>50107</v>
          </cell>
        </row>
        <row r="6929">
          <cell r="G6929" t="str">
            <v>Phường Hòa Hải</v>
          </cell>
          <cell r="I6929" t="str">
            <v>50107</v>
          </cell>
        </row>
        <row r="6930">
          <cell r="G6930" t="str">
            <v>Phường Hòa Khánh Bắc</v>
          </cell>
          <cell r="I6930" t="str">
            <v>50109</v>
          </cell>
        </row>
        <row r="6931">
          <cell r="G6931" t="str">
            <v>Phường Hòa Hiệp Bắc</v>
          </cell>
          <cell r="I6931" t="str">
            <v>50109</v>
          </cell>
        </row>
        <row r="6932">
          <cell r="G6932" t="str">
            <v>Phường Hòa Minh</v>
          </cell>
          <cell r="I6932" t="str">
            <v>50109</v>
          </cell>
        </row>
        <row r="6933">
          <cell r="G6933" t="str">
            <v>Phường Hòa Hiệp Nam</v>
          </cell>
          <cell r="I6933" t="str">
            <v>50109</v>
          </cell>
        </row>
        <row r="6934">
          <cell r="G6934" t="str">
            <v>Phường Hòa Khánh Nam</v>
          </cell>
          <cell r="I6934" t="str">
            <v>50109</v>
          </cell>
        </row>
        <row r="6935">
          <cell r="G6935" t="str">
            <v xml:space="preserve">Xã Hòa Phú  </v>
          </cell>
          <cell r="I6935" t="str">
            <v>50111</v>
          </cell>
        </row>
        <row r="6936">
          <cell r="G6936" t="str">
            <v xml:space="preserve">Xã Hòa Sơn    </v>
          </cell>
          <cell r="I6936" t="str">
            <v>50111</v>
          </cell>
        </row>
        <row r="6937">
          <cell r="G6937" t="str">
            <v>Xã Hòa Châu</v>
          </cell>
          <cell r="I6937" t="str">
            <v>50111</v>
          </cell>
        </row>
        <row r="6938">
          <cell r="G6938" t="str">
            <v>Xã Hòa Bắc</v>
          </cell>
          <cell r="I6938" t="str">
            <v>50111</v>
          </cell>
        </row>
        <row r="6939">
          <cell r="G6939" t="str">
            <v>Xã Hòa Liên</v>
          </cell>
          <cell r="I6939" t="str">
            <v>50111</v>
          </cell>
        </row>
        <row r="6940">
          <cell r="G6940" t="str">
            <v>Xã Hòa Ninh</v>
          </cell>
          <cell r="I6940" t="str">
            <v>50111</v>
          </cell>
        </row>
        <row r="6941">
          <cell r="G6941" t="str">
            <v>Xã Hòa Nhơn</v>
          </cell>
          <cell r="I6941" t="str">
            <v>50111</v>
          </cell>
        </row>
        <row r="6942">
          <cell r="G6942" t="str">
            <v xml:space="preserve">Xã Hòa Phong </v>
          </cell>
          <cell r="I6942" t="str">
            <v>50111</v>
          </cell>
        </row>
        <row r="6943">
          <cell r="G6943" t="str">
            <v xml:space="preserve">Xã Hòa Tiến  </v>
          </cell>
          <cell r="I6943" t="str">
            <v>50111</v>
          </cell>
        </row>
        <row r="6944">
          <cell r="G6944" t="str">
            <v>Xã Hòa Phước</v>
          </cell>
          <cell r="I6944" t="str">
            <v>50111</v>
          </cell>
        </row>
        <row r="6945">
          <cell r="G6945" t="str">
            <v>Xã Hòa Khương</v>
          </cell>
          <cell r="I6945" t="str">
            <v>50111</v>
          </cell>
        </row>
        <row r="6946">
          <cell r="G6946" t="str">
            <v>Phường Khuê Trung</v>
          </cell>
          <cell r="I6946" t="str">
            <v>50115</v>
          </cell>
        </row>
        <row r="6947">
          <cell r="G6947" t="str">
            <v>Phường Hòa Xuân</v>
          </cell>
          <cell r="I6947" t="str">
            <v>50115</v>
          </cell>
        </row>
        <row r="6948">
          <cell r="G6948" t="str">
            <v>Phường Hòa Thọ Đông</v>
          </cell>
          <cell r="I6948" t="str">
            <v>50115</v>
          </cell>
        </row>
        <row r="6949">
          <cell r="G6949" t="str">
            <v>Phường Hòa Thọ Tây</v>
          </cell>
          <cell r="I6949" t="str">
            <v>50115</v>
          </cell>
        </row>
        <row r="6950">
          <cell r="G6950" t="str">
            <v>Phường Hòa An</v>
          </cell>
          <cell r="I6950" t="str">
            <v>50115</v>
          </cell>
        </row>
        <row r="6951">
          <cell r="G6951" t="str">
            <v>Phường Hòa Phát</v>
          </cell>
          <cell r="I6951" t="str">
            <v>50115</v>
          </cell>
        </row>
        <row r="6952">
          <cell r="G6952" t="str">
            <v>Phường Hòa Hương</v>
          </cell>
          <cell r="I6952" t="str">
            <v>50301</v>
          </cell>
        </row>
        <row r="6953">
          <cell r="G6953" t="str">
            <v>Phường Phước Hòa</v>
          </cell>
          <cell r="I6953" t="str">
            <v>50301</v>
          </cell>
        </row>
        <row r="6954">
          <cell r="G6954" t="str">
            <v>Phường An Sơn</v>
          </cell>
          <cell r="I6954" t="str">
            <v>50301</v>
          </cell>
        </row>
        <row r="6955">
          <cell r="G6955" t="str">
            <v>Xã Tam Thăng</v>
          </cell>
          <cell r="I6955" t="str">
            <v>50301</v>
          </cell>
        </row>
        <row r="6956">
          <cell r="G6956" t="str">
            <v>Phường Tân Thạnh</v>
          </cell>
          <cell r="I6956" t="str">
            <v>50301</v>
          </cell>
        </row>
        <row r="6957">
          <cell r="G6957" t="str">
            <v>Phường An Mỹ</v>
          </cell>
          <cell r="I6957" t="str">
            <v>50301</v>
          </cell>
        </row>
        <row r="6958">
          <cell r="G6958" t="str">
            <v>Phường An Xuân</v>
          </cell>
          <cell r="I6958" t="str">
            <v>50301</v>
          </cell>
        </row>
        <row r="6959">
          <cell r="G6959" t="str">
            <v>Phường Trường Xuân</v>
          </cell>
          <cell r="I6959" t="str">
            <v>50301</v>
          </cell>
        </row>
        <row r="6960">
          <cell r="G6960" t="str">
            <v>Phường An Phú</v>
          </cell>
          <cell r="I6960" t="str">
            <v>50301</v>
          </cell>
        </row>
        <row r="6961">
          <cell r="G6961" t="str">
            <v xml:space="preserve">Xã Tam Thanh   </v>
          </cell>
          <cell r="I6961" t="str">
            <v>50301</v>
          </cell>
        </row>
        <row r="6962">
          <cell r="G6962" t="str">
            <v>Xã Tam Phú</v>
          </cell>
          <cell r="I6962" t="str">
            <v>50301</v>
          </cell>
        </row>
        <row r="6963">
          <cell r="G6963" t="str">
            <v xml:space="preserve">Phường Hòa Thuận </v>
          </cell>
          <cell r="I6963" t="str">
            <v>50301</v>
          </cell>
        </row>
        <row r="6964">
          <cell r="G6964" t="str">
            <v>Xã Tam Ngọc</v>
          </cell>
          <cell r="I6964" t="str">
            <v>50301</v>
          </cell>
        </row>
        <row r="6965">
          <cell r="G6965" t="str">
            <v>Xã Tam Dân</v>
          </cell>
          <cell r="I6965" t="str">
            <v>50302</v>
          </cell>
        </row>
        <row r="6966">
          <cell r="G6966" t="str">
            <v>Xã Tam Lãnh</v>
          </cell>
          <cell r="I6966" t="str">
            <v>50302</v>
          </cell>
        </row>
        <row r="6967">
          <cell r="G6967" t="str">
            <v xml:space="preserve">Xã Tam Thái </v>
          </cell>
          <cell r="I6967" t="str">
            <v>50302</v>
          </cell>
        </row>
        <row r="6968">
          <cell r="G6968" t="str">
            <v>Xã Tam Đại</v>
          </cell>
          <cell r="I6968" t="str">
            <v>50302</v>
          </cell>
        </row>
        <row r="6969">
          <cell r="G6969" t="str">
            <v>Xã Tam Vinh</v>
          </cell>
          <cell r="I6969" t="str">
            <v>50302</v>
          </cell>
        </row>
        <row r="6970">
          <cell r="G6970" t="str">
            <v>Xã Tam Đàn</v>
          </cell>
          <cell r="I6970" t="str">
            <v>50302</v>
          </cell>
        </row>
        <row r="6971">
          <cell r="G6971" t="str">
            <v>Xã Tam An</v>
          </cell>
          <cell r="I6971" t="str">
            <v>50302</v>
          </cell>
        </row>
        <row r="6972">
          <cell r="G6972" t="str">
            <v>Xã Tam Thành</v>
          </cell>
          <cell r="I6972" t="str">
            <v>50302</v>
          </cell>
        </row>
        <row r="6973">
          <cell r="G6973" t="str">
            <v>Xã Tam Phước</v>
          </cell>
          <cell r="I6973" t="str">
            <v>50302</v>
          </cell>
        </row>
        <row r="6974">
          <cell r="G6974" t="str">
            <v>Xã Tam Lộc</v>
          </cell>
          <cell r="I6974" t="str">
            <v>50302</v>
          </cell>
        </row>
        <row r="6975">
          <cell r="G6975" t="str">
            <v>Thị trấn Phú Thịnh</v>
          </cell>
          <cell r="I6975" t="str">
            <v>50302</v>
          </cell>
        </row>
        <row r="6976">
          <cell r="G6976" t="str">
            <v>Phường Cẩm Châu</v>
          </cell>
          <cell r="I6976" t="str">
            <v>50303</v>
          </cell>
        </row>
        <row r="6977">
          <cell r="G6977" t="str">
            <v>Phường Minh An</v>
          </cell>
          <cell r="I6977" t="str">
            <v>50303</v>
          </cell>
        </row>
        <row r="6978">
          <cell r="G6978" t="str">
            <v>Phường Sơn Phong</v>
          </cell>
          <cell r="I6978" t="str">
            <v>50303</v>
          </cell>
        </row>
        <row r="6979">
          <cell r="G6979" t="str">
            <v>Xã Cẩm Kim</v>
          </cell>
          <cell r="I6979" t="str">
            <v>50303</v>
          </cell>
        </row>
        <row r="6980">
          <cell r="G6980" t="str">
            <v xml:space="preserve">Xã Tân Hiệp </v>
          </cell>
          <cell r="I6980" t="str">
            <v>50303</v>
          </cell>
        </row>
        <row r="6981">
          <cell r="G6981" t="str">
            <v xml:space="preserve">Phường Tân An  </v>
          </cell>
          <cell r="I6981" t="str">
            <v>50303</v>
          </cell>
        </row>
        <row r="6982">
          <cell r="G6982" t="str">
            <v>Phường Cẩm Phô</v>
          </cell>
          <cell r="I6982" t="str">
            <v>50303</v>
          </cell>
        </row>
        <row r="6983">
          <cell r="G6983" t="str">
            <v>Phường Thanh Hà</v>
          </cell>
          <cell r="I6983" t="str">
            <v>50303</v>
          </cell>
        </row>
        <row r="6984">
          <cell r="G6984" t="str">
            <v>Phường Cửa Đại</v>
          </cell>
          <cell r="I6984" t="str">
            <v>50303</v>
          </cell>
        </row>
        <row r="6985">
          <cell r="G6985" t="str">
            <v>Phường Cẩm An</v>
          </cell>
          <cell r="I6985" t="str">
            <v>50303</v>
          </cell>
        </row>
        <row r="6986">
          <cell r="G6986" t="str">
            <v xml:space="preserve">Xã Cẩm Hà </v>
          </cell>
          <cell r="I6986" t="str">
            <v>50303</v>
          </cell>
        </row>
        <row r="6987">
          <cell r="G6987" t="str">
            <v>Phường Cẩm Nam</v>
          </cell>
          <cell r="I6987" t="str">
            <v>50303</v>
          </cell>
        </row>
        <row r="6988">
          <cell r="G6988" t="str">
            <v>Xã Cẩm Thanh</v>
          </cell>
          <cell r="I6988" t="str">
            <v>50303</v>
          </cell>
        </row>
        <row r="6989">
          <cell r="G6989" t="str">
            <v>Xã A Nông</v>
          </cell>
          <cell r="I6989" t="str">
            <v>50304</v>
          </cell>
        </row>
        <row r="6990">
          <cell r="G6990" t="str">
            <v>Xã Tr Hy</v>
          </cell>
          <cell r="I6990" t="str">
            <v>50304</v>
          </cell>
        </row>
        <row r="6991">
          <cell r="G6991" t="str">
            <v>Xã Bha Lê</v>
          </cell>
          <cell r="I6991" t="str">
            <v>50304</v>
          </cell>
        </row>
        <row r="6992">
          <cell r="G6992" t="str">
            <v>Xã Ch ơm</v>
          </cell>
          <cell r="I6992" t="str">
            <v>50304</v>
          </cell>
        </row>
        <row r="6993">
          <cell r="G6993" t="str">
            <v>Xã Ga Ri</v>
          </cell>
          <cell r="I6993" t="str">
            <v>50304</v>
          </cell>
        </row>
        <row r="6994">
          <cell r="G6994" t="str">
            <v>Xã A Xan</v>
          </cell>
          <cell r="I6994" t="str">
            <v>50304</v>
          </cell>
        </row>
        <row r="6995">
          <cell r="G6995" t="str">
            <v>Xã Lăng</v>
          </cell>
          <cell r="I6995" t="str">
            <v>50304</v>
          </cell>
        </row>
        <row r="6996">
          <cell r="G6996" t="str">
            <v>Xã A Tiêng</v>
          </cell>
          <cell r="I6996" t="str">
            <v>50304</v>
          </cell>
        </row>
        <row r="6997">
          <cell r="G6997" t="str">
            <v>Xã A Vương</v>
          </cell>
          <cell r="I6997" t="str">
            <v>50304</v>
          </cell>
        </row>
        <row r="6998">
          <cell r="G6998" t="str">
            <v>Xã Dang</v>
          </cell>
          <cell r="I6998" t="str">
            <v>50304</v>
          </cell>
        </row>
        <row r="6999">
          <cell r="G6999" t="str">
            <v>Xã Ba</v>
          </cell>
          <cell r="I6999" t="str">
            <v>50305</v>
          </cell>
        </row>
        <row r="7000">
          <cell r="G7000" t="str">
            <v>Thị trấn P Rao</v>
          </cell>
          <cell r="I7000" t="str">
            <v>50305</v>
          </cell>
        </row>
        <row r="7001">
          <cell r="G7001" t="str">
            <v>Xã Tư</v>
          </cell>
          <cell r="I7001" t="str">
            <v>50305</v>
          </cell>
        </row>
        <row r="7002">
          <cell r="G7002" t="str">
            <v>Xã Za Hung</v>
          </cell>
          <cell r="I7002" t="str">
            <v>50305</v>
          </cell>
        </row>
        <row r="7003">
          <cell r="G7003" t="str">
            <v>Xã Tà Lu</v>
          </cell>
          <cell r="I7003" t="str">
            <v>50305</v>
          </cell>
        </row>
        <row r="7004">
          <cell r="G7004" t="str">
            <v>Xã Sông Kôn</v>
          </cell>
          <cell r="I7004" t="str">
            <v>50305</v>
          </cell>
        </row>
        <row r="7005">
          <cell r="G7005" t="str">
            <v>Xã Zơ Ngây</v>
          </cell>
          <cell r="I7005" t="str">
            <v>50305</v>
          </cell>
        </row>
        <row r="7006">
          <cell r="G7006" t="str">
            <v>Xã ATing</v>
          </cell>
          <cell r="I7006" t="str">
            <v>50305</v>
          </cell>
        </row>
        <row r="7007">
          <cell r="G7007" t="str">
            <v>Xã A Rooi</v>
          </cell>
          <cell r="I7007" t="str">
            <v>50305</v>
          </cell>
        </row>
        <row r="7008">
          <cell r="G7008" t="str">
            <v>Xã Mà Cooil</v>
          </cell>
          <cell r="I7008" t="str">
            <v>50305</v>
          </cell>
        </row>
        <row r="7009">
          <cell r="G7009" t="str">
            <v>Xã Ka Dăng</v>
          </cell>
          <cell r="I7009" t="str">
            <v>50305</v>
          </cell>
        </row>
        <row r="7010">
          <cell r="G7010" t="str">
            <v>Xã Đại Hồng</v>
          </cell>
          <cell r="I7010" t="str">
            <v>50307</v>
          </cell>
        </row>
        <row r="7011">
          <cell r="G7011" t="str">
            <v>Xã Đại Hòa</v>
          </cell>
          <cell r="I7011" t="str">
            <v>50307</v>
          </cell>
        </row>
        <row r="7012">
          <cell r="G7012" t="str">
            <v>Thị trấn ái Nghĩa</v>
          </cell>
          <cell r="I7012" t="str">
            <v>50307</v>
          </cell>
        </row>
        <row r="7013">
          <cell r="G7013" t="str">
            <v xml:space="preserve">Xã Đại Đồng        </v>
          </cell>
          <cell r="I7013" t="str">
            <v>50307</v>
          </cell>
        </row>
        <row r="7014">
          <cell r="G7014" t="str">
            <v>Xã Đại Thạnh</v>
          </cell>
          <cell r="I7014" t="str">
            <v>50307</v>
          </cell>
        </row>
        <row r="7015">
          <cell r="G7015" t="str">
            <v xml:space="preserve">Xã Đại Minh </v>
          </cell>
          <cell r="I7015" t="str">
            <v>50307</v>
          </cell>
        </row>
        <row r="7016">
          <cell r="G7016" t="str">
            <v xml:space="preserve">Xã Đại Sơn   </v>
          </cell>
          <cell r="I7016" t="str">
            <v>50307</v>
          </cell>
        </row>
        <row r="7017">
          <cell r="G7017" t="str">
            <v>Xã Đại Lãnh</v>
          </cell>
          <cell r="I7017" t="str">
            <v>50307</v>
          </cell>
        </row>
        <row r="7018">
          <cell r="G7018" t="str">
            <v xml:space="preserve">Xã Đại Hưng  </v>
          </cell>
          <cell r="I7018" t="str">
            <v>50307</v>
          </cell>
        </row>
        <row r="7019">
          <cell r="G7019" t="str">
            <v>Xã Đại Quang</v>
          </cell>
          <cell r="I7019" t="str">
            <v>50307</v>
          </cell>
        </row>
        <row r="7020">
          <cell r="G7020" t="str">
            <v xml:space="preserve">Xã Đại Nghĩa </v>
          </cell>
          <cell r="I7020" t="str">
            <v>50307</v>
          </cell>
        </row>
        <row r="7021">
          <cell r="G7021" t="str">
            <v>Xã Đại Hiệp</v>
          </cell>
          <cell r="I7021" t="str">
            <v>50307</v>
          </cell>
        </row>
        <row r="7022">
          <cell r="G7022" t="str">
            <v>Xã Đại Chánh</v>
          </cell>
          <cell r="I7022" t="str">
            <v>50307</v>
          </cell>
        </row>
        <row r="7023">
          <cell r="G7023" t="str">
            <v>Xã Đại Tân</v>
          </cell>
          <cell r="I7023" t="str">
            <v>50307</v>
          </cell>
        </row>
        <row r="7024">
          <cell r="G7024" t="str">
            <v>Xã Đại Phong</v>
          </cell>
          <cell r="I7024" t="str">
            <v>50307</v>
          </cell>
        </row>
        <row r="7025">
          <cell r="G7025" t="str">
            <v xml:space="preserve">Xã Đại Thắng   </v>
          </cell>
          <cell r="I7025" t="str">
            <v>50307</v>
          </cell>
        </row>
        <row r="7026">
          <cell r="G7026" t="str">
            <v xml:space="preserve">Xã Đại Cường </v>
          </cell>
          <cell r="I7026" t="str">
            <v>50307</v>
          </cell>
        </row>
        <row r="7027">
          <cell r="G7027" t="str">
            <v xml:space="preserve">Xã Đại An   </v>
          </cell>
          <cell r="I7027" t="str">
            <v>50307</v>
          </cell>
        </row>
        <row r="7028">
          <cell r="G7028" t="str">
            <v>Xã Điện Phước</v>
          </cell>
          <cell r="I7028" t="str">
            <v>50309</v>
          </cell>
        </row>
        <row r="7029">
          <cell r="G7029" t="str">
            <v>Thị trấn Vĩnh Điện</v>
          </cell>
          <cell r="I7029" t="str">
            <v>50309</v>
          </cell>
        </row>
        <row r="7030">
          <cell r="G7030" t="str">
            <v>Xã Điện Hồng</v>
          </cell>
          <cell r="I7030" t="str">
            <v>50309</v>
          </cell>
        </row>
        <row r="7031">
          <cell r="G7031" t="str">
            <v>Xã Điện Nam Bắc</v>
          </cell>
          <cell r="I7031" t="str">
            <v>50309</v>
          </cell>
        </row>
        <row r="7032">
          <cell r="G7032" t="str">
            <v>Xã Điện Phong</v>
          </cell>
          <cell r="I7032" t="str">
            <v>50309</v>
          </cell>
        </row>
        <row r="7033">
          <cell r="G7033" t="str">
            <v>Xã Điện Tiến</v>
          </cell>
          <cell r="I7033" t="str">
            <v>50309</v>
          </cell>
        </row>
        <row r="7034">
          <cell r="G7034" t="str">
            <v>Xã Điện Hòa</v>
          </cell>
          <cell r="I7034" t="str">
            <v>50309</v>
          </cell>
        </row>
        <row r="7035">
          <cell r="G7035" t="str">
            <v>Xã Điện Thắng Bắc</v>
          </cell>
          <cell r="I7035" t="str">
            <v>50309</v>
          </cell>
        </row>
        <row r="7036">
          <cell r="G7036" t="str">
            <v>Xã Điện Thắng Trung</v>
          </cell>
          <cell r="I7036" t="str">
            <v>50309</v>
          </cell>
        </row>
        <row r="7037">
          <cell r="G7037" t="str">
            <v>Xã Điện Thắng Nam</v>
          </cell>
          <cell r="I7037" t="str">
            <v>50309</v>
          </cell>
        </row>
        <row r="7038">
          <cell r="G7038" t="str">
            <v>Xã Điện Ngọc</v>
          </cell>
          <cell r="I7038" t="str">
            <v>50309</v>
          </cell>
        </row>
        <row r="7039">
          <cell r="G7039" t="str">
            <v>Xã Điện Thọ</v>
          </cell>
          <cell r="I7039" t="str">
            <v>50309</v>
          </cell>
        </row>
        <row r="7040">
          <cell r="G7040" t="str">
            <v>Xã Điện An</v>
          </cell>
          <cell r="I7040" t="str">
            <v>50309</v>
          </cell>
        </row>
        <row r="7041">
          <cell r="G7041" t="str">
            <v>Xã Điện Nam Trung</v>
          </cell>
          <cell r="I7041" t="str">
            <v>50309</v>
          </cell>
        </row>
        <row r="7042">
          <cell r="G7042" t="str">
            <v>Xã Điện Nam Đông</v>
          </cell>
          <cell r="I7042" t="str">
            <v>50309</v>
          </cell>
        </row>
        <row r="7043">
          <cell r="G7043" t="str">
            <v>Xã Điện Dương</v>
          </cell>
          <cell r="I7043" t="str">
            <v>50309</v>
          </cell>
        </row>
        <row r="7044">
          <cell r="G7044" t="str">
            <v>Xã Điện Quang</v>
          </cell>
          <cell r="I7044" t="str">
            <v>50309</v>
          </cell>
        </row>
        <row r="7045">
          <cell r="G7045" t="str">
            <v>Xã Điện Trung</v>
          </cell>
          <cell r="I7045" t="str">
            <v>50309</v>
          </cell>
        </row>
        <row r="7046">
          <cell r="G7046" t="str">
            <v>Xã Điện Minh</v>
          </cell>
          <cell r="I7046" t="str">
            <v>50309</v>
          </cell>
        </row>
        <row r="7047">
          <cell r="G7047" t="str">
            <v>Xã Điện Phương</v>
          </cell>
          <cell r="I7047" t="str">
            <v>50309</v>
          </cell>
        </row>
        <row r="7048">
          <cell r="G7048" t="str">
            <v>Xã Duy Nghĩa</v>
          </cell>
          <cell r="I7048" t="str">
            <v>50311</v>
          </cell>
        </row>
        <row r="7049">
          <cell r="G7049" t="str">
            <v>Thị trấn Nam Phước</v>
          </cell>
          <cell r="I7049" t="str">
            <v>50311</v>
          </cell>
        </row>
        <row r="7050">
          <cell r="G7050" t="str">
            <v>Xã Duy Trung</v>
          </cell>
          <cell r="I7050" t="str">
            <v>50311</v>
          </cell>
        </row>
        <row r="7051">
          <cell r="G7051" t="str">
            <v>Xã Duy Phước</v>
          </cell>
          <cell r="I7051" t="str">
            <v>50311</v>
          </cell>
        </row>
        <row r="7052">
          <cell r="G7052" t="str">
            <v>Xã Duy Thu</v>
          </cell>
          <cell r="I7052" t="str">
            <v>50311</v>
          </cell>
        </row>
        <row r="7053">
          <cell r="G7053" t="str">
            <v>Xã Duy Châu</v>
          </cell>
          <cell r="I7053" t="str">
            <v>50311</v>
          </cell>
        </row>
        <row r="7054">
          <cell r="G7054" t="str">
            <v>Xã Duy Thành</v>
          </cell>
          <cell r="I7054" t="str">
            <v>50311</v>
          </cell>
        </row>
        <row r="7055">
          <cell r="G7055" t="str">
            <v>Xã Duy Vinh</v>
          </cell>
          <cell r="I7055" t="str">
            <v>50311</v>
          </cell>
        </row>
        <row r="7056">
          <cell r="G7056" t="str">
            <v xml:space="preserve">Xã Duy Hải </v>
          </cell>
          <cell r="I7056" t="str">
            <v>50311</v>
          </cell>
        </row>
        <row r="7057">
          <cell r="G7057" t="str">
            <v>Xã Duy Phú</v>
          </cell>
          <cell r="I7057" t="str">
            <v>50311</v>
          </cell>
        </row>
        <row r="7058">
          <cell r="G7058" t="str">
            <v xml:space="preserve">Xã Duy Tân </v>
          </cell>
          <cell r="I7058" t="str">
            <v>50311</v>
          </cell>
        </row>
        <row r="7059">
          <cell r="G7059" t="str">
            <v>Xã Duy Hòa</v>
          </cell>
          <cell r="I7059" t="str">
            <v>50311</v>
          </cell>
        </row>
        <row r="7060">
          <cell r="G7060" t="str">
            <v>Xã Duy Trinh</v>
          </cell>
          <cell r="I7060" t="str">
            <v>50311</v>
          </cell>
        </row>
        <row r="7061">
          <cell r="G7061" t="str">
            <v>Xã Duy Sơn</v>
          </cell>
          <cell r="I7061" t="str">
            <v>50311</v>
          </cell>
        </row>
        <row r="7062">
          <cell r="G7062" t="str">
            <v>Xã Laêê</v>
          </cell>
          <cell r="I7062" t="str">
            <v>50313</v>
          </cell>
        </row>
        <row r="7063">
          <cell r="G7063" t="str">
            <v>Xã Zuôih</v>
          </cell>
          <cell r="I7063" t="str">
            <v>50313</v>
          </cell>
        </row>
        <row r="7064">
          <cell r="G7064" t="str">
            <v>Xã Chà vàl</v>
          </cell>
          <cell r="I7064" t="str">
            <v>50313</v>
          </cell>
        </row>
        <row r="7065">
          <cell r="G7065" t="str">
            <v>Thị trấn Thạnh Mỹ</v>
          </cell>
          <cell r="I7065" t="str">
            <v>50313</v>
          </cell>
        </row>
        <row r="7066">
          <cell r="G7066" t="str">
            <v>Xã Tà Bhing</v>
          </cell>
          <cell r="I7066" t="str">
            <v>50313</v>
          </cell>
        </row>
        <row r="7067">
          <cell r="G7067" t="str">
            <v>Xã Cà Dy</v>
          </cell>
          <cell r="I7067" t="str">
            <v>50313</v>
          </cell>
        </row>
        <row r="7068">
          <cell r="G7068" t="str">
            <v>Xã La Dêê</v>
          </cell>
          <cell r="I7068" t="str">
            <v>50313</v>
          </cell>
        </row>
        <row r="7069">
          <cell r="G7069" t="str">
            <v>Xã Đắc Pring</v>
          </cell>
          <cell r="I7069" t="str">
            <v>50313</v>
          </cell>
        </row>
        <row r="7070">
          <cell r="G7070" t="str">
            <v>Xã Đắc Pre</v>
          </cell>
          <cell r="I7070" t="str">
            <v>50313</v>
          </cell>
        </row>
        <row r="7071">
          <cell r="G7071" t="str">
            <v>Xã Chơ Chun</v>
          </cell>
          <cell r="I7071" t="str">
            <v>50313</v>
          </cell>
        </row>
        <row r="7072">
          <cell r="G7072" t="str">
            <v>Xã Đắc Tôi</v>
          </cell>
          <cell r="I7072" t="str">
            <v>50313</v>
          </cell>
        </row>
        <row r="7073">
          <cell r="G7073" t="str">
            <v>Xã Tà Pơơ</v>
          </cell>
          <cell r="I7073" t="str">
            <v>50313</v>
          </cell>
        </row>
        <row r="7074">
          <cell r="G7074" t="str">
            <v>Xã Bình Phục</v>
          </cell>
          <cell r="I7074" t="str">
            <v>50315</v>
          </cell>
        </row>
        <row r="7075">
          <cell r="G7075" t="str">
            <v>Xã Bình Hải</v>
          </cell>
          <cell r="I7075" t="str">
            <v>50315</v>
          </cell>
        </row>
        <row r="7076">
          <cell r="G7076" t="str">
            <v>Xã Bình Giang</v>
          </cell>
          <cell r="I7076" t="str">
            <v>50315</v>
          </cell>
        </row>
        <row r="7077">
          <cell r="G7077" t="str">
            <v>Xã Bình Đào</v>
          </cell>
          <cell r="I7077" t="str">
            <v>50315</v>
          </cell>
        </row>
        <row r="7078">
          <cell r="G7078" t="str">
            <v xml:space="preserve">Xã Bình Định   </v>
          </cell>
          <cell r="I7078" t="str">
            <v>50315</v>
          </cell>
        </row>
        <row r="7079">
          <cell r="G7079" t="str">
            <v>Xã Bình Tú</v>
          </cell>
          <cell r="I7079" t="str">
            <v>50315</v>
          </cell>
        </row>
        <row r="7080">
          <cell r="G7080" t="str">
            <v xml:space="preserve">Xã Bình An </v>
          </cell>
          <cell r="I7080" t="str">
            <v>50315</v>
          </cell>
        </row>
        <row r="7081">
          <cell r="G7081" t="str">
            <v>Thị trấn Hà Lam</v>
          </cell>
          <cell r="I7081" t="str">
            <v>50315</v>
          </cell>
        </row>
        <row r="7082">
          <cell r="G7082" t="str">
            <v xml:space="preserve">Xã Bình Dương    </v>
          </cell>
          <cell r="I7082" t="str">
            <v>50315</v>
          </cell>
        </row>
        <row r="7083">
          <cell r="G7083" t="str">
            <v xml:space="preserve">Xã Bình Nguyên </v>
          </cell>
          <cell r="I7083" t="str">
            <v>50315</v>
          </cell>
        </row>
        <row r="7084">
          <cell r="G7084" t="str">
            <v>Xã Bình Triều</v>
          </cell>
          <cell r="I7084" t="str">
            <v>50315</v>
          </cell>
        </row>
        <row r="7085">
          <cell r="G7085" t="str">
            <v xml:space="preserve">Xã Bình Minh      </v>
          </cell>
          <cell r="I7085" t="str">
            <v>50315</v>
          </cell>
        </row>
        <row r="7086">
          <cell r="G7086" t="str">
            <v>Xã Bình Lãnh</v>
          </cell>
          <cell r="I7086" t="str">
            <v>50315</v>
          </cell>
        </row>
        <row r="7087">
          <cell r="G7087" t="str">
            <v>Xã Bình Trị</v>
          </cell>
          <cell r="I7087" t="str">
            <v>50315</v>
          </cell>
        </row>
        <row r="7088">
          <cell r="G7088" t="str">
            <v>Xã Bình Quý</v>
          </cell>
          <cell r="I7088" t="str">
            <v>50315</v>
          </cell>
        </row>
        <row r="7089">
          <cell r="G7089" t="str">
            <v xml:space="preserve">Xã Bình Phú  </v>
          </cell>
          <cell r="I7089" t="str">
            <v>50315</v>
          </cell>
        </row>
        <row r="7090">
          <cell r="G7090" t="str">
            <v>Xã Bình Chánh</v>
          </cell>
          <cell r="I7090" t="str">
            <v>50315</v>
          </cell>
        </row>
        <row r="7091">
          <cell r="G7091" t="str">
            <v>Xã Bình Sa</v>
          </cell>
          <cell r="I7091" t="str">
            <v>50315</v>
          </cell>
        </row>
        <row r="7092">
          <cell r="G7092" t="str">
            <v>Xã Bình Quế</v>
          </cell>
          <cell r="I7092" t="str">
            <v>50315</v>
          </cell>
        </row>
        <row r="7093">
          <cell r="G7093" t="str">
            <v xml:space="preserve">Xã Bình Trung  </v>
          </cell>
          <cell r="I7093" t="str">
            <v>50315</v>
          </cell>
        </row>
        <row r="7094">
          <cell r="G7094" t="str">
            <v>Xã Bình Nam</v>
          </cell>
          <cell r="I7094" t="str">
            <v>50315</v>
          </cell>
        </row>
        <row r="7095">
          <cell r="G7095" t="str">
            <v>Xã Bình Định Bắc</v>
          </cell>
          <cell r="I7095" t="str">
            <v>50315</v>
          </cell>
        </row>
        <row r="7096">
          <cell r="G7096" t="str">
            <v>Xã Bình Định Nam</v>
          </cell>
          <cell r="I7096" t="str">
            <v>50315</v>
          </cell>
        </row>
        <row r="7097">
          <cell r="G7097" t="str">
            <v>Xã Quế Cường</v>
          </cell>
          <cell r="I7097" t="str">
            <v>50317</v>
          </cell>
        </row>
        <row r="7098">
          <cell r="G7098" t="str">
            <v>Xã Phú Thọ</v>
          </cell>
          <cell r="I7098" t="str">
            <v>50317</v>
          </cell>
        </row>
        <row r="7099">
          <cell r="G7099" t="str">
            <v>Xã Quế Long</v>
          </cell>
          <cell r="I7099" t="str">
            <v>50317</v>
          </cell>
        </row>
        <row r="7100">
          <cell r="G7100" t="str">
            <v>Xã Quế Minh</v>
          </cell>
          <cell r="I7100" t="str">
            <v>50317</v>
          </cell>
        </row>
        <row r="7101">
          <cell r="G7101" t="str">
            <v>Thị trấn Đông Phú</v>
          </cell>
          <cell r="I7101" t="str">
            <v>50317</v>
          </cell>
        </row>
        <row r="7102">
          <cell r="G7102" t="str">
            <v>Xã Quế Xuân 1</v>
          </cell>
          <cell r="I7102" t="str">
            <v>50317</v>
          </cell>
        </row>
        <row r="7103">
          <cell r="G7103" t="str">
            <v>Xã Quế Xuân 2</v>
          </cell>
          <cell r="I7103" t="str">
            <v>50317</v>
          </cell>
        </row>
        <row r="7104">
          <cell r="G7104" t="str">
            <v>Xã Quế Phú</v>
          </cell>
          <cell r="I7104" t="str">
            <v>50317</v>
          </cell>
        </row>
        <row r="7105">
          <cell r="G7105" t="str">
            <v>Xã Quế Hiệp</v>
          </cell>
          <cell r="I7105" t="str">
            <v>50317</v>
          </cell>
        </row>
        <row r="7106">
          <cell r="G7106" t="str">
            <v>Xã Quế Thuận</v>
          </cell>
          <cell r="I7106" t="str">
            <v>50317</v>
          </cell>
        </row>
        <row r="7107">
          <cell r="G7107" t="str">
            <v>Xã Quế Châu</v>
          </cell>
          <cell r="I7107" t="str">
            <v>50317</v>
          </cell>
        </row>
        <row r="7108">
          <cell r="G7108" t="str">
            <v>Xã Quế Phong</v>
          </cell>
          <cell r="I7108" t="str">
            <v>50317</v>
          </cell>
        </row>
        <row r="7109">
          <cell r="G7109" t="str">
            <v>Xã Quế An</v>
          </cell>
          <cell r="I7109" t="str">
            <v>50317</v>
          </cell>
        </row>
        <row r="7110">
          <cell r="G7110" t="str">
            <v>Xã Hương An</v>
          </cell>
          <cell r="I7110" t="str">
            <v>50317</v>
          </cell>
        </row>
        <row r="7111">
          <cell r="G7111" t="str">
            <v>Xã Quế Lộc</v>
          </cell>
          <cell r="I7111" t="str">
            <v>50318</v>
          </cell>
        </row>
        <row r="7112">
          <cell r="G7112" t="str">
            <v>Xã Sơn Viên</v>
          </cell>
          <cell r="I7112" t="str">
            <v>50318</v>
          </cell>
        </row>
        <row r="7113">
          <cell r="G7113" t="str">
            <v>Xã Quế Trung</v>
          </cell>
          <cell r="I7113" t="str">
            <v>50318</v>
          </cell>
        </row>
        <row r="7114">
          <cell r="G7114" t="str">
            <v>Xã Quế Ninh</v>
          </cell>
          <cell r="I7114" t="str">
            <v>50318</v>
          </cell>
        </row>
        <row r="7115">
          <cell r="G7115" t="str">
            <v>Xã Quế Phước</v>
          </cell>
          <cell r="I7115" t="str">
            <v>50318</v>
          </cell>
        </row>
        <row r="7116">
          <cell r="G7116" t="str">
            <v>Xã Phước Ninh</v>
          </cell>
          <cell r="I7116" t="str">
            <v>50318</v>
          </cell>
        </row>
        <row r="7117">
          <cell r="G7117" t="str">
            <v xml:space="preserve">Xã Quế Lâm </v>
          </cell>
          <cell r="I7117" t="str">
            <v>50318</v>
          </cell>
        </row>
        <row r="7118">
          <cell r="G7118" t="str">
            <v>Xã Bình Lâm</v>
          </cell>
          <cell r="I7118" t="str">
            <v>50319</v>
          </cell>
        </row>
        <row r="7119">
          <cell r="G7119" t="str">
            <v xml:space="preserve">Xã Hiệp Thuận </v>
          </cell>
          <cell r="I7119" t="str">
            <v>50319</v>
          </cell>
        </row>
        <row r="7120">
          <cell r="G7120" t="str">
            <v>Xã Phước Trà</v>
          </cell>
          <cell r="I7120" t="str">
            <v>50319</v>
          </cell>
        </row>
        <row r="7121">
          <cell r="G7121" t="str">
            <v>Xã Thăng Phước</v>
          </cell>
          <cell r="I7121" t="str">
            <v>50319</v>
          </cell>
        </row>
        <row r="7122">
          <cell r="G7122" t="str">
            <v>Thị trấn Tân An</v>
          </cell>
          <cell r="I7122" t="str">
            <v>50319</v>
          </cell>
        </row>
        <row r="7123">
          <cell r="G7123" t="str">
            <v xml:space="preserve">Xã Hiệp Hòa    </v>
          </cell>
          <cell r="I7123" t="str">
            <v>50319</v>
          </cell>
        </row>
        <row r="7124">
          <cell r="G7124" t="str">
            <v>Xã Quế Thọ</v>
          </cell>
          <cell r="I7124" t="str">
            <v>50319</v>
          </cell>
        </row>
        <row r="7125">
          <cell r="G7125" t="str">
            <v>Xã Sông Trà</v>
          </cell>
          <cell r="I7125" t="str">
            <v>50319</v>
          </cell>
        </row>
        <row r="7126">
          <cell r="G7126" t="str">
            <v>Xã Phước Gia</v>
          </cell>
          <cell r="I7126" t="str">
            <v>50319</v>
          </cell>
        </row>
        <row r="7127">
          <cell r="G7127" t="str">
            <v>Xã Quế Bình</v>
          </cell>
          <cell r="I7127" t="str">
            <v>50319</v>
          </cell>
        </row>
        <row r="7128">
          <cell r="G7128" t="str">
            <v>Xã Quế Lưu</v>
          </cell>
          <cell r="I7128" t="str">
            <v>50319</v>
          </cell>
        </row>
        <row r="7129">
          <cell r="G7129" t="str">
            <v xml:space="preserve">Xã Bình Sơn     </v>
          </cell>
          <cell r="I7129" t="str">
            <v>50319</v>
          </cell>
        </row>
        <row r="7130">
          <cell r="G7130" t="str">
            <v xml:space="preserve">Xã Tiên Hiệp </v>
          </cell>
          <cell r="I7130" t="str">
            <v>50321</v>
          </cell>
        </row>
        <row r="7131">
          <cell r="G7131" t="str">
            <v>Thị trấn Tiên Kỳ</v>
          </cell>
          <cell r="I7131" t="str">
            <v>50321</v>
          </cell>
        </row>
        <row r="7132">
          <cell r="G7132" t="str">
            <v>Xã Tiên Lãnh</v>
          </cell>
          <cell r="I7132" t="str">
            <v>50321</v>
          </cell>
        </row>
        <row r="7133">
          <cell r="G7133" t="str">
            <v>Xã Tiên Mỹ</v>
          </cell>
          <cell r="I7133" t="str">
            <v>50321</v>
          </cell>
        </row>
        <row r="7134">
          <cell r="G7134" t="str">
            <v>Xã Tiên Lộc</v>
          </cell>
          <cell r="I7134" t="str">
            <v>50321</v>
          </cell>
        </row>
        <row r="7135">
          <cell r="G7135" t="str">
            <v xml:space="preserve">Xã Tiên Sơn </v>
          </cell>
          <cell r="I7135" t="str">
            <v>50321</v>
          </cell>
        </row>
        <row r="7136">
          <cell r="G7136" t="str">
            <v>Xã Tiên Hà</v>
          </cell>
          <cell r="I7136" t="str">
            <v>50321</v>
          </cell>
        </row>
        <row r="7137">
          <cell r="G7137" t="str">
            <v>Xã Tiên Cẩm</v>
          </cell>
          <cell r="I7137" t="str">
            <v>50321</v>
          </cell>
        </row>
        <row r="7138">
          <cell r="G7138" t="str">
            <v>Xã Tiên Châu</v>
          </cell>
          <cell r="I7138" t="str">
            <v>50321</v>
          </cell>
        </row>
        <row r="7139">
          <cell r="G7139" t="str">
            <v>Xã Tiên Ngọc</v>
          </cell>
          <cell r="I7139" t="str">
            <v>50321</v>
          </cell>
        </row>
        <row r="7140">
          <cell r="G7140" t="str">
            <v>Xã Tiên Cảnh</v>
          </cell>
          <cell r="I7140" t="str">
            <v>50321</v>
          </cell>
        </row>
        <row r="7141">
          <cell r="G7141" t="str">
            <v xml:space="preserve">Xã Tiên Phong  </v>
          </cell>
          <cell r="I7141" t="str">
            <v>50321</v>
          </cell>
        </row>
        <row r="7142">
          <cell r="G7142" t="str">
            <v>Xã Tiên Thọ</v>
          </cell>
          <cell r="I7142" t="str">
            <v>50321</v>
          </cell>
        </row>
        <row r="7143">
          <cell r="G7143" t="str">
            <v>Xã Tiên An</v>
          </cell>
          <cell r="I7143" t="str">
            <v>50321</v>
          </cell>
        </row>
        <row r="7144">
          <cell r="G7144" t="str">
            <v>Xã Tiên Lập</v>
          </cell>
          <cell r="I7144" t="str">
            <v>50321</v>
          </cell>
        </row>
        <row r="7145">
          <cell r="G7145" t="str">
            <v>Xã Phước Đức</v>
          </cell>
          <cell r="I7145" t="str">
            <v>50323</v>
          </cell>
        </row>
        <row r="7146">
          <cell r="G7146" t="str">
            <v>Thị trấn Khâm Đức</v>
          </cell>
          <cell r="I7146" t="str">
            <v>50323</v>
          </cell>
        </row>
        <row r="7147">
          <cell r="G7147" t="str">
            <v>Xã Phước Năng</v>
          </cell>
          <cell r="I7147" t="str">
            <v>50323</v>
          </cell>
        </row>
        <row r="7148">
          <cell r="G7148" t="str">
            <v>Xã Phước Lộc</v>
          </cell>
          <cell r="I7148" t="str">
            <v>50323</v>
          </cell>
        </row>
        <row r="7149">
          <cell r="G7149" t="str">
            <v>Xã Phước Xuân</v>
          </cell>
          <cell r="I7149" t="str">
            <v>50323</v>
          </cell>
        </row>
        <row r="7150">
          <cell r="G7150" t="str">
            <v>Xã Phước Hiệp</v>
          </cell>
          <cell r="I7150" t="str">
            <v>50323</v>
          </cell>
        </row>
        <row r="7151">
          <cell r="G7151" t="str">
            <v>Xã Phước Mỹ</v>
          </cell>
          <cell r="I7151" t="str">
            <v>50323</v>
          </cell>
        </row>
        <row r="7152">
          <cell r="G7152" t="str">
            <v>Xã Phước Chánh</v>
          </cell>
          <cell r="I7152" t="str">
            <v>50323</v>
          </cell>
        </row>
        <row r="7153">
          <cell r="G7153" t="str">
            <v>Xã Phước Công</v>
          </cell>
          <cell r="I7153" t="str">
            <v>50323</v>
          </cell>
        </row>
        <row r="7154">
          <cell r="G7154" t="str">
            <v>Xã Phước Kim</v>
          </cell>
          <cell r="I7154" t="str">
            <v>50323</v>
          </cell>
        </row>
        <row r="7155">
          <cell r="G7155" t="str">
            <v>Xã Phước Thành</v>
          </cell>
          <cell r="I7155" t="str">
            <v>50323</v>
          </cell>
        </row>
        <row r="7156">
          <cell r="G7156" t="str">
            <v>Xã Phước Hòa</v>
          </cell>
          <cell r="I7156" t="str">
            <v>50323</v>
          </cell>
        </row>
        <row r="7157">
          <cell r="G7157" t="str">
            <v>Xã Tam Anh Nam</v>
          </cell>
          <cell r="I7157" t="str">
            <v>50325</v>
          </cell>
        </row>
        <row r="7158">
          <cell r="G7158" t="str">
            <v>Xã Tam Nghĩa</v>
          </cell>
          <cell r="I7158" t="str">
            <v>50325</v>
          </cell>
        </row>
        <row r="7159">
          <cell r="G7159" t="str">
            <v>Xã Tam Xuân I</v>
          </cell>
          <cell r="I7159" t="str">
            <v>50325</v>
          </cell>
        </row>
        <row r="7160">
          <cell r="G7160" t="str">
            <v>Xã Tam Xuân II</v>
          </cell>
          <cell r="I7160" t="str">
            <v>50325</v>
          </cell>
        </row>
        <row r="7161">
          <cell r="G7161" t="str">
            <v xml:space="preserve">Xã Tam Tiến </v>
          </cell>
          <cell r="I7161" t="str">
            <v>50325</v>
          </cell>
        </row>
        <row r="7162">
          <cell r="G7162" t="str">
            <v xml:space="preserve">Xã Tam Sơn   </v>
          </cell>
          <cell r="I7162" t="str">
            <v>50325</v>
          </cell>
        </row>
        <row r="7163">
          <cell r="G7163" t="str">
            <v>Xã Tam Thạnh</v>
          </cell>
          <cell r="I7163" t="str">
            <v>50325</v>
          </cell>
        </row>
        <row r="7164">
          <cell r="G7164" t="str">
            <v>Xã Tam Anh Bắc</v>
          </cell>
          <cell r="I7164" t="str">
            <v>50325</v>
          </cell>
        </row>
        <row r="7165">
          <cell r="G7165" t="str">
            <v>Xã Tam Hòa</v>
          </cell>
          <cell r="I7165" t="str">
            <v>50325</v>
          </cell>
        </row>
        <row r="7166">
          <cell r="G7166" t="str">
            <v xml:space="preserve">Xã Tam Hiệp   </v>
          </cell>
          <cell r="I7166" t="str">
            <v>50325</v>
          </cell>
        </row>
        <row r="7167">
          <cell r="G7167" t="str">
            <v>Xã Tam Hải</v>
          </cell>
          <cell r="I7167" t="str">
            <v>50325</v>
          </cell>
        </row>
        <row r="7168">
          <cell r="G7168" t="str">
            <v xml:space="preserve">Xã Tam Giang </v>
          </cell>
          <cell r="I7168" t="str">
            <v>50325</v>
          </cell>
        </row>
        <row r="7169">
          <cell r="G7169" t="str">
            <v xml:space="preserve">Xã Tam Quang  </v>
          </cell>
          <cell r="I7169" t="str">
            <v>50325</v>
          </cell>
        </row>
        <row r="7170">
          <cell r="G7170" t="str">
            <v>Xã Tam Mỹ Tây</v>
          </cell>
          <cell r="I7170" t="str">
            <v>50325</v>
          </cell>
        </row>
        <row r="7171">
          <cell r="G7171" t="str">
            <v>Xã Tam Mỹ Đông</v>
          </cell>
          <cell r="I7171" t="str">
            <v>50325</v>
          </cell>
        </row>
        <row r="7172">
          <cell r="G7172" t="str">
            <v>Xã Tam Trà</v>
          </cell>
          <cell r="I7172" t="str">
            <v>50325</v>
          </cell>
        </row>
        <row r="7173">
          <cell r="G7173" t="str">
            <v>Thị trấn Núi Thành</v>
          </cell>
          <cell r="I7173" t="str">
            <v>50325</v>
          </cell>
        </row>
        <row r="7174">
          <cell r="G7174" t="str">
            <v>Xã Trà Dương</v>
          </cell>
          <cell r="I7174" t="str">
            <v>50327</v>
          </cell>
        </row>
        <row r="7175">
          <cell r="G7175" t="str">
            <v>Xã Trà Nú</v>
          </cell>
          <cell r="I7175" t="str">
            <v>50327</v>
          </cell>
        </row>
        <row r="7176">
          <cell r="G7176" t="str">
            <v xml:space="preserve">Xã Trà Giang </v>
          </cell>
          <cell r="I7176" t="str">
            <v>50327</v>
          </cell>
        </row>
        <row r="7177">
          <cell r="G7177" t="str">
            <v>Xã Trà Giác</v>
          </cell>
          <cell r="I7177" t="str">
            <v>50327</v>
          </cell>
        </row>
        <row r="7178">
          <cell r="G7178" t="str">
            <v>Thị trấn Trà My</v>
          </cell>
          <cell r="I7178" t="str">
            <v>50327</v>
          </cell>
        </row>
        <row r="7179">
          <cell r="G7179" t="str">
            <v>Xã Trà Kót</v>
          </cell>
          <cell r="I7179" t="str">
            <v>50327</v>
          </cell>
        </row>
        <row r="7180">
          <cell r="G7180" t="str">
            <v>Xã Trà Đông</v>
          </cell>
          <cell r="I7180" t="str">
            <v>50327</v>
          </cell>
        </row>
        <row r="7181">
          <cell r="G7181" t="str">
            <v>Xã Trà Bui</v>
          </cell>
          <cell r="I7181" t="str">
            <v>50327</v>
          </cell>
        </row>
        <row r="7182">
          <cell r="G7182" t="str">
            <v>Xã Trà Đốc</v>
          </cell>
          <cell r="I7182" t="str">
            <v>50327</v>
          </cell>
        </row>
        <row r="7183">
          <cell r="G7183" t="str">
            <v>Xã Trà Tân</v>
          </cell>
          <cell r="I7183" t="str">
            <v>50327</v>
          </cell>
        </row>
        <row r="7184">
          <cell r="G7184" t="str">
            <v>Xã Trà Giáp</v>
          </cell>
          <cell r="I7184" t="str">
            <v>50327</v>
          </cell>
        </row>
        <row r="7185">
          <cell r="G7185" t="str">
            <v>Xã Trà Ka</v>
          </cell>
          <cell r="I7185" t="str">
            <v>50327</v>
          </cell>
        </row>
        <row r="7186">
          <cell r="G7186" t="str">
            <v>Xã Trà Sơn</v>
          </cell>
          <cell r="I7186" t="str">
            <v>50327</v>
          </cell>
        </row>
        <row r="7187">
          <cell r="G7187" t="str">
            <v>Xã Trà Cang</v>
          </cell>
          <cell r="I7187" t="str">
            <v>50329</v>
          </cell>
        </row>
        <row r="7188">
          <cell r="G7188" t="str">
            <v>Xã Trà Dơn</v>
          </cell>
          <cell r="I7188" t="str">
            <v>50329</v>
          </cell>
        </row>
        <row r="7189">
          <cell r="G7189" t="str">
            <v>Xã Trà Linh</v>
          </cell>
          <cell r="I7189" t="str">
            <v>50329</v>
          </cell>
        </row>
        <row r="7190">
          <cell r="G7190" t="str">
            <v>Xã Trà Leng</v>
          </cell>
          <cell r="I7190" t="str">
            <v>50329</v>
          </cell>
        </row>
        <row r="7191">
          <cell r="G7191" t="str">
            <v>Xã Trà Tập</v>
          </cell>
          <cell r="I7191" t="str">
            <v>50329</v>
          </cell>
        </row>
        <row r="7192">
          <cell r="G7192" t="str">
            <v>Xã Trà Mai</v>
          </cell>
          <cell r="I7192" t="str">
            <v>50329</v>
          </cell>
        </row>
        <row r="7193">
          <cell r="G7193" t="str">
            <v>Xã Trà Nam</v>
          </cell>
          <cell r="I7193" t="str">
            <v>50329</v>
          </cell>
        </row>
        <row r="7194">
          <cell r="G7194" t="str">
            <v>Xã Trà Don</v>
          </cell>
          <cell r="I7194" t="str">
            <v>50329</v>
          </cell>
        </row>
        <row r="7195">
          <cell r="G7195" t="str">
            <v>Xã Trà Vân</v>
          </cell>
          <cell r="I7195" t="str">
            <v>50329</v>
          </cell>
        </row>
        <row r="7196">
          <cell r="G7196" t="str">
            <v>Xã Trà Vinh</v>
          </cell>
          <cell r="I7196" t="str">
            <v>50329</v>
          </cell>
        </row>
        <row r="7197">
          <cell r="G7197" t="str">
            <v>Phường Nghĩa Chánh</v>
          </cell>
          <cell r="I7197" t="str">
            <v>50501</v>
          </cell>
        </row>
        <row r="7198">
          <cell r="G7198" t="str">
            <v>Phường Quảng Phú</v>
          </cell>
          <cell r="I7198" t="str">
            <v>50501</v>
          </cell>
        </row>
        <row r="7199">
          <cell r="G7199" t="str">
            <v>Phường Nghĩa Lộ</v>
          </cell>
          <cell r="I7199" t="str">
            <v>50501</v>
          </cell>
        </row>
        <row r="7200">
          <cell r="G7200" t="str">
            <v xml:space="preserve">Phường Lê Hồng Phong  </v>
          </cell>
          <cell r="I7200" t="str">
            <v>50501</v>
          </cell>
        </row>
        <row r="7201">
          <cell r="G7201" t="str">
            <v xml:space="preserve">Phường Trần Phú      </v>
          </cell>
          <cell r="I7201" t="str">
            <v>50501</v>
          </cell>
        </row>
        <row r="7202">
          <cell r="G7202" t="str">
            <v xml:space="preserve">Phường Trần Hưng Đạo      </v>
          </cell>
          <cell r="I7202" t="str">
            <v>50501</v>
          </cell>
        </row>
        <row r="7203">
          <cell r="G7203" t="str">
            <v>Phường Nguyễn Nghiêm</v>
          </cell>
          <cell r="I7203" t="str">
            <v>50501</v>
          </cell>
        </row>
        <row r="7204">
          <cell r="G7204" t="str">
            <v>Phường Chánh Lộ</v>
          </cell>
          <cell r="I7204" t="str">
            <v>50501</v>
          </cell>
        </row>
        <row r="7205">
          <cell r="G7205" t="str">
            <v xml:space="preserve">Xã Nghĩa Dũng </v>
          </cell>
          <cell r="I7205" t="str">
            <v>50501</v>
          </cell>
        </row>
        <row r="7206">
          <cell r="G7206" t="str">
            <v>Xã Nghĩa Dõng</v>
          </cell>
          <cell r="I7206" t="str">
            <v>50501</v>
          </cell>
        </row>
        <row r="7207">
          <cell r="G7207" t="str">
            <v>Phường Trương Quang Trọng</v>
          </cell>
          <cell r="I7207" t="str">
            <v>50501</v>
          </cell>
        </row>
        <row r="7208">
          <cell r="G7208" t="str">
            <v>Xã Tịnh ấn Tây</v>
          </cell>
          <cell r="I7208" t="str">
            <v>50501</v>
          </cell>
        </row>
        <row r="7209">
          <cell r="G7209" t="str">
            <v>Xã Tịnh ấn Đông</v>
          </cell>
          <cell r="I7209" t="str">
            <v>50501</v>
          </cell>
        </row>
        <row r="7210">
          <cell r="G7210" t="str">
            <v>Xã Tịnh An</v>
          </cell>
          <cell r="I7210" t="str">
            <v>50501</v>
          </cell>
        </row>
        <row r="7211">
          <cell r="G7211" t="str">
            <v>Xã Tịnh Long</v>
          </cell>
          <cell r="I7211" t="str">
            <v>50501</v>
          </cell>
        </row>
        <row r="7212">
          <cell r="G7212" t="str">
            <v>Xã Tịnh Châu</v>
          </cell>
          <cell r="I7212" t="str">
            <v>50501</v>
          </cell>
        </row>
        <row r="7213">
          <cell r="G7213" t="str">
            <v>Xã Tịnh Thiện</v>
          </cell>
          <cell r="I7213" t="str">
            <v>50501</v>
          </cell>
        </row>
        <row r="7214">
          <cell r="G7214" t="str">
            <v>Xã Tịnh Khê</v>
          </cell>
          <cell r="I7214" t="str">
            <v>50501</v>
          </cell>
        </row>
        <row r="7215">
          <cell r="G7215" t="str">
            <v>Xã Tịnh Hòa</v>
          </cell>
          <cell r="I7215" t="str">
            <v>50501</v>
          </cell>
        </row>
        <row r="7216">
          <cell r="G7216" t="str">
            <v>Xã Tịnh Kỳ</v>
          </cell>
          <cell r="I7216" t="str">
            <v>50501</v>
          </cell>
        </row>
        <row r="7217">
          <cell r="G7217" t="str">
            <v>Xã Nghĩa Hà</v>
          </cell>
          <cell r="I7217" t="str">
            <v>50501</v>
          </cell>
        </row>
        <row r="7218">
          <cell r="G7218" t="str">
            <v xml:space="preserve">Xã Nghĩa Phú  </v>
          </cell>
          <cell r="I7218" t="str">
            <v>50501</v>
          </cell>
        </row>
        <row r="7219">
          <cell r="G7219" t="str">
            <v xml:space="preserve">Xã Nghĩa An    </v>
          </cell>
          <cell r="I7219" t="str">
            <v>50501</v>
          </cell>
        </row>
        <row r="7220">
          <cell r="G7220" t="str">
            <v>Xã An Vĩnh</v>
          </cell>
          <cell r="I7220" t="str">
            <v>50503</v>
          </cell>
        </row>
        <row r="7221">
          <cell r="G7221" t="str">
            <v>Xã An Hải</v>
          </cell>
          <cell r="I7221" t="str">
            <v>50503</v>
          </cell>
        </row>
        <row r="7222">
          <cell r="G7222" t="str">
            <v xml:space="preserve">Xã An Bình     </v>
          </cell>
          <cell r="I7222" t="str">
            <v>50503</v>
          </cell>
        </row>
        <row r="7223">
          <cell r="G7223" t="str">
            <v xml:space="preserve">Xã Bình Trị </v>
          </cell>
          <cell r="I7223" t="str">
            <v>50505</v>
          </cell>
        </row>
        <row r="7224">
          <cell r="G7224" t="str">
            <v xml:space="preserve">Xã Bình Phú   </v>
          </cell>
          <cell r="I7224" t="str">
            <v>50505</v>
          </cell>
        </row>
        <row r="7225">
          <cell r="G7225" t="str">
            <v xml:space="preserve">Xã Bình Thuận  </v>
          </cell>
          <cell r="I7225" t="str">
            <v>50505</v>
          </cell>
        </row>
        <row r="7226">
          <cell r="G7226" t="str">
            <v xml:space="preserve">Xã Bình Nguyên  </v>
          </cell>
          <cell r="I7226" t="str">
            <v>50505</v>
          </cell>
        </row>
        <row r="7227">
          <cell r="G7227" t="str">
            <v xml:space="preserve">Xã Bình Hải </v>
          </cell>
          <cell r="I7227" t="str">
            <v>50505</v>
          </cell>
        </row>
        <row r="7228">
          <cell r="G7228" t="str">
            <v xml:space="preserve">Xã Bình Hòa </v>
          </cell>
          <cell r="I7228" t="str">
            <v>50505</v>
          </cell>
        </row>
        <row r="7229">
          <cell r="G7229" t="str">
            <v>Xã Bình Thanh Tây</v>
          </cell>
          <cell r="I7229" t="str">
            <v>50505</v>
          </cell>
        </row>
        <row r="7230">
          <cell r="G7230" t="str">
            <v>Xã Bình Mỹ</v>
          </cell>
          <cell r="I7230" t="str">
            <v>50505</v>
          </cell>
        </row>
        <row r="7231">
          <cell r="G7231" t="str">
            <v>Thị trấn Châu ổ</v>
          </cell>
          <cell r="I7231" t="str">
            <v>50505</v>
          </cell>
        </row>
        <row r="7232">
          <cell r="G7232" t="str">
            <v>Xã Bình Thạnh</v>
          </cell>
          <cell r="I7232" t="str">
            <v>50505</v>
          </cell>
        </row>
        <row r="7233">
          <cell r="G7233" t="str">
            <v>Xã Bình Đông</v>
          </cell>
          <cell r="I7233" t="str">
            <v>50505</v>
          </cell>
        </row>
        <row r="7234">
          <cell r="G7234" t="str">
            <v xml:space="preserve">Xã Bình Chánh </v>
          </cell>
          <cell r="I7234" t="str">
            <v>50505</v>
          </cell>
        </row>
        <row r="7235">
          <cell r="G7235" t="str">
            <v>Xã Bình Khương</v>
          </cell>
          <cell r="I7235" t="str">
            <v>50505</v>
          </cell>
        </row>
        <row r="7236">
          <cell r="G7236" t="str">
            <v xml:space="preserve">Xã Bình An  </v>
          </cell>
          <cell r="I7236" t="str">
            <v>50505</v>
          </cell>
        </row>
        <row r="7237">
          <cell r="G7237" t="str">
            <v xml:space="preserve">Xã Bình Dương     </v>
          </cell>
          <cell r="I7237" t="str">
            <v>50505</v>
          </cell>
        </row>
        <row r="7238">
          <cell r="G7238" t="str">
            <v>Xã Bình Phước</v>
          </cell>
          <cell r="I7238" t="str">
            <v>50505</v>
          </cell>
        </row>
        <row r="7239">
          <cell r="G7239" t="str">
            <v>Xã Bình Thới</v>
          </cell>
          <cell r="I7239" t="str">
            <v>50505</v>
          </cell>
        </row>
        <row r="7240">
          <cell r="G7240" t="str">
            <v xml:space="preserve">Xã Bình Trung   </v>
          </cell>
          <cell r="I7240" t="str">
            <v>50505</v>
          </cell>
        </row>
        <row r="7241">
          <cell r="G7241" t="str">
            <v xml:space="preserve">Xã Bình Minh       </v>
          </cell>
          <cell r="I7241" t="str">
            <v>50505</v>
          </cell>
        </row>
        <row r="7242">
          <cell r="G7242" t="str">
            <v xml:space="preserve">Xã Bình Long  </v>
          </cell>
          <cell r="I7242" t="str">
            <v>50505</v>
          </cell>
        </row>
        <row r="7243">
          <cell r="G7243" t="str">
            <v>Xã Bình Thanh Đông</v>
          </cell>
          <cell r="I7243" t="str">
            <v>50505</v>
          </cell>
        </row>
        <row r="7244">
          <cell r="G7244" t="str">
            <v>Xã Bình Chương</v>
          </cell>
          <cell r="I7244" t="str">
            <v>50505</v>
          </cell>
        </row>
        <row r="7245">
          <cell r="G7245" t="str">
            <v>Xã Bình Hiệp</v>
          </cell>
          <cell r="I7245" t="str">
            <v>50505</v>
          </cell>
        </row>
        <row r="7246">
          <cell r="G7246" t="str">
            <v>Xã Bình Tân</v>
          </cell>
          <cell r="I7246" t="str">
            <v>50505</v>
          </cell>
        </row>
        <row r="7247">
          <cell r="G7247" t="str">
            <v>Xã Bình Châu</v>
          </cell>
          <cell r="I7247" t="str">
            <v>50505</v>
          </cell>
        </row>
        <row r="7248">
          <cell r="G7248" t="str">
            <v>Xã Trà Bình</v>
          </cell>
          <cell r="I7248" t="str">
            <v>50507</v>
          </cell>
        </row>
        <row r="7249">
          <cell r="G7249" t="str">
            <v>Thị trấn Trà Xuân</v>
          </cell>
          <cell r="I7249" t="str">
            <v>50507</v>
          </cell>
        </row>
        <row r="7250">
          <cell r="G7250" t="str">
            <v>Xã Trà Phú</v>
          </cell>
          <cell r="I7250" t="str">
            <v>50507</v>
          </cell>
        </row>
        <row r="7251">
          <cell r="G7251" t="str">
            <v>Xã Trà Bùi</v>
          </cell>
          <cell r="I7251" t="str">
            <v>50507</v>
          </cell>
        </row>
        <row r="7252">
          <cell r="G7252" t="str">
            <v xml:space="preserve">Xã Trà Giang  </v>
          </cell>
          <cell r="I7252" t="str">
            <v>50507</v>
          </cell>
        </row>
        <row r="7253">
          <cell r="G7253" t="str">
            <v>Xã Trà Thủy</v>
          </cell>
          <cell r="I7253" t="str">
            <v>50507</v>
          </cell>
        </row>
        <row r="7254">
          <cell r="G7254" t="str">
            <v>Xã Trà Hiệp</v>
          </cell>
          <cell r="I7254" t="str">
            <v>50507</v>
          </cell>
        </row>
        <row r="7255">
          <cell r="G7255" t="str">
            <v>Xã Trà Lâm</v>
          </cell>
          <cell r="I7255" t="str">
            <v>50507</v>
          </cell>
        </row>
        <row r="7256">
          <cell r="G7256" t="str">
            <v xml:space="preserve">Xã Trà Tân </v>
          </cell>
          <cell r="I7256" t="str">
            <v>50507</v>
          </cell>
        </row>
        <row r="7257">
          <cell r="G7257" t="str">
            <v xml:space="preserve">Xã Trà Sơn </v>
          </cell>
          <cell r="I7257" t="str">
            <v>50507</v>
          </cell>
        </row>
        <row r="7258">
          <cell r="G7258" t="str">
            <v>Xã Trà Thọ</v>
          </cell>
          <cell r="I7258" t="str">
            <v>50508</v>
          </cell>
        </row>
        <row r="7259">
          <cell r="G7259" t="str">
            <v>Xã Trà Quân</v>
          </cell>
          <cell r="I7259" t="str">
            <v>50508</v>
          </cell>
        </row>
        <row r="7260">
          <cell r="G7260" t="str">
            <v>Xã Trà Xinh</v>
          </cell>
          <cell r="I7260" t="str">
            <v>50508</v>
          </cell>
        </row>
        <row r="7261">
          <cell r="G7261" t="str">
            <v>Xã Trà Thanh</v>
          </cell>
          <cell r="I7261" t="str">
            <v>50508</v>
          </cell>
        </row>
        <row r="7262">
          <cell r="G7262" t="str">
            <v>Xã Trà Khê</v>
          </cell>
          <cell r="I7262" t="str">
            <v>50508</v>
          </cell>
        </row>
        <row r="7263">
          <cell r="G7263" t="str">
            <v>Xã Trà Phong</v>
          </cell>
          <cell r="I7263" t="str">
            <v>50508</v>
          </cell>
        </row>
        <row r="7264">
          <cell r="G7264" t="str">
            <v>Xã Trà Lãnh</v>
          </cell>
          <cell r="I7264" t="str">
            <v>50508</v>
          </cell>
        </row>
        <row r="7265">
          <cell r="G7265" t="str">
            <v>Xã Trà Nham</v>
          </cell>
          <cell r="I7265" t="str">
            <v>50508</v>
          </cell>
        </row>
        <row r="7266">
          <cell r="G7266" t="str">
            <v>Xã Trà Trung</v>
          </cell>
          <cell r="I7266" t="str">
            <v>50508</v>
          </cell>
        </row>
        <row r="7267">
          <cell r="G7267" t="str">
            <v>Xã Tịnh Thọ</v>
          </cell>
          <cell r="I7267" t="str">
            <v>50509</v>
          </cell>
        </row>
        <row r="7268">
          <cell r="G7268" t="str">
            <v>Xã Tịnh Đông</v>
          </cell>
          <cell r="I7268" t="str">
            <v>50509</v>
          </cell>
        </row>
        <row r="7269">
          <cell r="G7269" t="str">
            <v>Xã Tịnh Hà</v>
          </cell>
          <cell r="I7269" t="str">
            <v>50509</v>
          </cell>
        </row>
        <row r="7270">
          <cell r="G7270" t="str">
            <v>Xã Tịnh Minh</v>
          </cell>
          <cell r="I7270" t="str">
            <v>50509</v>
          </cell>
        </row>
        <row r="7271">
          <cell r="G7271" t="str">
            <v>Xã Tịnh Trà</v>
          </cell>
          <cell r="I7271" t="str">
            <v>50509</v>
          </cell>
        </row>
        <row r="7272">
          <cell r="G7272" t="str">
            <v>Xã Tịnh Phong</v>
          </cell>
          <cell r="I7272" t="str">
            <v>50509</v>
          </cell>
        </row>
        <row r="7273">
          <cell r="G7273" t="str">
            <v>Xã Tịnh Hiệp</v>
          </cell>
          <cell r="I7273" t="str">
            <v>50509</v>
          </cell>
        </row>
        <row r="7274">
          <cell r="G7274" t="str">
            <v>Xã Tịnh Bình</v>
          </cell>
          <cell r="I7274" t="str">
            <v>50509</v>
          </cell>
        </row>
        <row r="7275">
          <cell r="G7275" t="str">
            <v>Xã Tịnh Bắc</v>
          </cell>
          <cell r="I7275" t="str">
            <v>50509</v>
          </cell>
        </row>
        <row r="7276">
          <cell r="G7276" t="str">
            <v>Xã Tịnh Sơn</v>
          </cell>
          <cell r="I7276" t="str">
            <v>50509</v>
          </cell>
        </row>
        <row r="7277">
          <cell r="G7277" t="str">
            <v>Xã Tịnh Giang</v>
          </cell>
          <cell r="I7277" t="str">
            <v>50509</v>
          </cell>
        </row>
        <row r="7278">
          <cell r="G7278" t="str">
            <v>Xã Sơn Mùa</v>
          </cell>
          <cell r="I7278" t="str">
            <v>50511</v>
          </cell>
        </row>
        <row r="7279">
          <cell r="G7279" t="str">
            <v xml:space="preserve">Xã Sơn Lập </v>
          </cell>
          <cell r="I7279" t="str">
            <v>50511</v>
          </cell>
        </row>
        <row r="7280">
          <cell r="G7280" t="str">
            <v>Xã Sơn Bua</v>
          </cell>
          <cell r="I7280" t="str">
            <v>50511</v>
          </cell>
        </row>
        <row r="7281">
          <cell r="G7281" t="str">
            <v xml:space="preserve">Xã Sơn Tân </v>
          </cell>
          <cell r="I7281" t="str">
            <v>50511</v>
          </cell>
        </row>
        <row r="7282">
          <cell r="G7282" t="str">
            <v>Xã Sơn Dung</v>
          </cell>
          <cell r="I7282" t="str">
            <v>50511</v>
          </cell>
        </row>
        <row r="7283">
          <cell r="G7283" t="str">
            <v>Xã Sơn Tinh</v>
          </cell>
          <cell r="I7283" t="str">
            <v>50511</v>
          </cell>
        </row>
        <row r="7284">
          <cell r="G7284" t="str">
            <v>Xã Sơn Liên</v>
          </cell>
          <cell r="I7284" t="str">
            <v>50511</v>
          </cell>
        </row>
        <row r="7285">
          <cell r="G7285" t="str">
            <v xml:space="preserve">Xã Sơn Long </v>
          </cell>
          <cell r="I7285" t="str">
            <v>50511</v>
          </cell>
        </row>
        <row r="7286">
          <cell r="G7286" t="str">
            <v>Xã Sơn Màu</v>
          </cell>
          <cell r="I7286" t="str">
            <v>50511</v>
          </cell>
        </row>
        <row r="7287">
          <cell r="G7287" t="str">
            <v>Xã Sơn Thượng</v>
          </cell>
          <cell r="I7287" t="str">
            <v>50513</v>
          </cell>
        </row>
        <row r="7288">
          <cell r="G7288" t="str">
            <v>Xã Sơn Nham</v>
          </cell>
          <cell r="I7288" t="str">
            <v>50513</v>
          </cell>
        </row>
        <row r="7289">
          <cell r="G7289" t="str">
            <v xml:space="preserve">Xã Sơn Trung </v>
          </cell>
          <cell r="I7289" t="str">
            <v>50513</v>
          </cell>
        </row>
        <row r="7290">
          <cell r="G7290" t="str">
            <v xml:space="preserve">Xã Sơn Thủy      </v>
          </cell>
          <cell r="I7290" t="str">
            <v>50513</v>
          </cell>
        </row>
        <row r="7291">
          <cell r="G7291" t="str">
            <v>Thị trấn Di Lăng</v>
          </cell>
          <cell r="I7291" t="str">
            <v>50513</v>
          </cell>
        </row>
        <row r="7292">
          <cell r="G7292" t="str">
            <v>Xã Sơn Hạ</v>
          </cell>
          <cell r="I7292" t="str">
            <v>50513</v>
          </cell>
        </row>
        <row r="7293">
          <cell r="G7293" t="str">
            <v xml:space="preserve">Xã Sơn Thành  </v>
          </cell>
          <cell r="I7293" t="str">
            <v>50513</v>
          </cell>
        </row>
        <row r="7294">
          <cell r="G7294" t="str">
            <v>Xã Sơn Bao</v>
          </cell>
          <cell r="I7294" t="str">
            <v>50513</v>
          </cell>
        </row>
        <row r="7295">
          <cell r="G7295" t="str">
            <v>Xã Sơn Linh</v>
          </cell>
          <cell r="I7295" t="str">
            <v>50513</v>
          </cell>
        </row>
        <row r="7296">
          <cell r="G7296" t="str">
            <v xml:space="preserve">Xã Sơn Giang </v>
          </cell>
          <cell r="I7296" t="str">
            <v>50513</v>
          </cell>
        </row>
        <row r="7297">
          <cell r="G7297" t="str">
            <v>Xã Sơn Cao</v>
          </cell>
          <cell r="I7297" t="str">
            <v>50513</v>
          </cell>
        </row>
        <row r="7298">
          <cell r="G7298" t="str">
            <v xml:space="preserve">Xã Sơn Hải   </v>
          </cell>
          <cell r="I7298" t="str">
            <v>50513</v>
          </cell>
        </row>
        <row r="7299">
          <cell r="G7299" t="str">
            <v>Xã Sơn Kỳ</v>
          </cell>
          <cell r="I7299" t="str">
            <v>50513</v>
          </cell>
        </row>
        <row r="7300">
          <cell r="G7300" t="str">
            <v>Xã Sơn Ba</v>
          </cell>
          <cell r="I7300" t="str">
            <v>50513</v>
          </cell>
        </row>
        <row r="7301">
          <cell r="G7301" t="str">
            <v>Thị trấn Sông Vệ</v>
          </cell>
          <cell r="I7301" t="str">
            <v>50515</v>
          </cell>
        </row>
        <row r="7302">
          <cell r="G7302" t="str">
            <v>Xã Nghĩa Điền</v>
          </cell>
          <cell r="I7302" t="str">
            <v>50515</v>
          </cell>
        </row>
        <row r="7303">
          <cell r="G7303" t="str">
            <v>Xã Nghĩa Thương</v>
          </cell>
          <cell r="I7303" t="str">
            <v>50515</v>
          </cell>
        </row>
        <row r="7304">
          <cell r="G7304" t="str">
            <v xml:space="preserve">Xã Nghĩa Mỹ </v>
          </cell>
          <cell r="I7304" t="str">
            <v>50515</v>
          </cell>
        </row>
        <row r="7305">
          <cell r="G7305" t="str">
            <v>Thị trấn La Hà</v>
          </cell>
          <cell r="I7305" t="str">
            <v>50515</v>
          </cell>
        </row>
        <row r="7306">
          <cell r="G7306" t="str">
            <v xml:space="preserve">Xã Nghĩa Lâm  </v>
          </cell>
          <cell r="I7306" t="str">
            <v>50515</v>
          </cell>
        </row>
        <row r="7307">
          <cell r="G7307" t="str">
            <v xml:space="preserve">Xã Nghĩa Thắng  </v>
          </cell>
          <cell r="I7307" t="str">
            <v>50515</v>
          </cell>
        </row>
        <row r="7308">
          <cell r="G7308" t="str">
            <v xml:space="preserve">Xã Nghĩa Thuận  </v>
          </cell>
          <cell r="I7308" t="str">
            <v>50515</v>
          </cell>
        </row>
        <row r="7309">
          <cell r="G7309" t="str">
            <v>Xã Nghĩa Kỳ</v>
          </cell>
          <cell r="I7309" t="str">
            <v>50515</v>
          </cell>
        </row>
        <row r="7310">
          <cell r="G7310" t="str">
            <v xml:space="preserve">Xã Nghĩa Sơn   </v>
          </cell>
          <cell r="I7310" t="str">
            <v>50515</v>
          </cell>
        </row>
        <row r="7311">
          <cell r="G7311" t="str">
            <v xml:space="preserve">Xã Nghĩa Thọ </v>
          </cell>
          <cell r="I7311" t="str">
            <v>50515</v>
          </cell>
        </row>
        <row r="7312">
          <cell r="G7312" t="str">
            <v xml:space="preserve">Xã Nghĩa Hòa  </v>
          </cell>
          <cell r="I7312" t="str">
            <v>50515</v>
          </cell>
        </row>
        <row r="7313">
          <cell r="G7313" t="str">
            <v xml:space="preserve">Xã Nghĩa Trung   </v>
          </cell>
          <cell r="I7313" t="str">
            <v>50515</v>
          </cell>
        </row>
        <row r="7314">
          <cell r="G7314" t="str">
            <v xml:space="preserve">Xã Nghĩa Hiệp </v>
          </cell>
          <cell r="I7314" t="str">
            <v>50515</v>
          </cell>
        </row>
        <row r="7315">
          <cell r="G7315" t="str">
            <v xml:space="preserve">Xã Nghĩa Phương </v>
          </cell>
          <cell r="I7315" t="str">
            <v>50515</v>
          </cell>
        </row>
        <row r="7316">
          <cell r="G7316" t="str">
            <v>Xã Hành Phước</v>
          </cell>
          <cell r="I7316" t="str">
            <v>50517</v>
          </cell>
        </row>
        <row r="7317">
          <cell r="G7317" t="str">
            <v>Xã Hành Thuận</v>
          </cell>
          <cell r="I7317" t="str">
            <v>50517</v>
          </cell>
        </row>
        <row r="7318">
          <cell r="G7318" t="str">
            <v>Xã Hành Minh</v>
          </cell>
          <cell r="I7318" t="str">
            <v>50517</v>
          </cell>
        </row>
        <row r="7319">
          <cell r="G7319" t="str">
            <v>Xã Hành Tín Tây</v>
          </cell>
          <cell r="I7319" t="str">
            <v>50517</v>
          </cell>
        </row>
        <row r="7320">
          <cell r="G7320" t="str">
            <v>Thị trấn Chợ Chùa</v>
          </cell>
          <cell r="I7320" t="str">
            <v>50517</v>
          </cell>
        </row>
        <row r="7321">
          <cell r="G7321" t="str">
            <v>Xã Hành Dũng</v>
          </cell>
          <cell r="I7321" t="str">
            <v>50517</v>
          </cell>
        </row>
        <row r="7322">
          <cell r="G7322" t="str">
            <v>Xã Hành Trung</v>
          </cell>
          <cell r="I7322" t="str">
            <v>50517</v>
          </cell>
        </row>
        <row r="7323">
          <cell r="G7323" t="str">
            <v>Xã Hành Nhân</v>
          </cell>
          <cell r="I7323" t="str">
            <v>50517</v>
          </cell>
        </row>
        <row r="7324">
          <cell r="G7324" t="str">
            <v>Xã Hành Đức</v>
          </cell>
          <cell r="I7324" t="str">
            <v>50517</v>
          </cell>
        </row>
        <row r="7325">
          <cell r="G7325" t="str">
            <v>Xã Hành Thiện</v>
          </cell>
          <cell r="I7325" t="str">
            <v>50517</v>
          </cell>
        </row>
        <row r="7326">
          <cell r="G7326" t="str">
            <v>Xã Hành Thịnh</v>
          </cell>
          <cell r="I7326" t="str">
            <v>50517</v>
          </cell>
        </row>
        <row r="7327">
          <cell r="G7327" t="str">
            <v>Xã Hành Tín Đông</v>
          </cell>
          <cell r="I7327" t="str">
            <v>50517</v>
          </cell>
        </row>
        <row r="7328">
          <cell r="G7328" t="str">
            <v xml:space="preserve">Xã Long Sơn   </v>
          </cell>
          <cell r="I7328" t="str">
            <v>50519</v>
          </cell>
        </row>
        <row r="7329">
          <cell r="G7329" t="str">
            <v>Xã Long Môn</v>
          </cell>
          <cell r="I7329" t="str">
            <v>50519</v>
          </cell>
        </row>
        <row r="7330">
          <cell r="G7330" t="str">
            <v>Xã Long Mai</v>
          </cell>
          <cell r="I7330" t="str">
            <v>50519</v>
          </cell>
        </row>
        <row r="7331">
          <cell r="G7331" t="str">
            <v xml:space="preserve">Xã Thanh An   </v>
          </cell>
          <cell r="I7331" t="str">
            <v>50519</v>
          </cell>
        </row>
        <row r="7332">
          <cell r="G7332" t="str">
            <v>Xã Long Hiệp</v>
          </cell>
          <cell r="I7332" t="str">
            <v>50519</v>
          </cell>
        </row>
        <row r="7333">
          <cell r="G7333" t="str">
            <v>Xã Đức Thạnh</v>
          </cell>
          <cell r="I7333" t="str">
            <v>50521</v>
          </cell>
        </row>
        <row r="7334">
          <cell r="G7334" t="str">
            <v xml:space="preserve">Xã Đức Thắng  </v>
          </cell>
          <cell r="I7334" t="str">
            <v>50521</v>
          </cell>
        </row>
        <row r="7335">
          <cell r="G7335" t="str">
            <v>Xã Đức Minh</v>
          </cell>
          <cell r="I7335" t="str">
            <v>50521</v>
          </cell>
        </row>
        <row r="7336">
          <cell r="G7336" t="str">
            <v>Xã Đức Phú</v>
          </cell>
          <cell r="I7336" t="str">
            <v>50521</v>
          </cell>
        </row>
        <row r="7337">
          <cell r="G7337" t="str">
            <v>Thị trấn Mộ Đức</v>
          </cell>
          <cell r="I7337" t="str">
            <v>50521</v>
          </cell>
        </row>
        <row r="7338">
          <cell r="G7338" t="str">
            <v>Xã Đức Lợi</v>
          </cell>
          <cell r="I7338" t="str">
            <v>50521</v>
          </cell>
        </row>
        <row r="7339">
          <cell r="G7339" t="str">
            <v>Xã Đức Nhuận</v>
          </cell>
          <cell r="I7339" t="str">
            <v>50521</v>
          </cell>
        </row>
        <row r="7340">
          <cell r="G7340" t="str">
            <v>Xã Đức Chánh</v>
          </cell>
          <cell r="I7340" t="str">
            <v>50521</v>
          </cell>
        </row>
        <row r="7341">
          <cell r="G7341" t="str">
            <v>Xã Đức Hiệp</v>
          </cell>
          <cell r="I7341" t="str">
            <v>50521</v>
          </cell>
        </row>
        <row r="7342">
          <cell r="G7342" t="str">
            <v xml:space="preserve">Xã Đức Hòa  </v>
          </cell>
          <cell r="I7342" t="str">
            <v>50521</v>
          </cell>
        </row>
        <row r="7343">
          <cell r="G7343" t="str">
            <v>Xã Đức Tân</v>
          </cell>
          <cell r="I7343" t="str">
            <v>50521</v>
          </cell>
        </row>
        <row r="7344">
          <cell r="G7344" t="str">
            <v>Xã Đức Phong</v>
          </cell>
          <cell r="I7344" t="str">
            <v>50521</v>
          </cell>
        </row>
        <row r="7345">
          <cell r="G7345" t="str">
            <v>Xã Đức Lân</v>
          </cell>
          <cell r="I7345" t="str">
            <v>50521</v>
          </cell>
        </row>
        <row r="7346">
          <cell r="G7346" t="str">
            <v>Xã Phổ Nhơn</v>
          </cell>
          <cell r="I7346" t="str">
            <v>50523</v>
          </cell>
        </row>
        <row r="7347">
          <cell r="G7347" t="str">
            <v>Xã Phổ An</v>
          </cell>
          <cell r="I7347" t="str">
            <v>50523</v>
          </cell>
        </row>
        <row r="7348">
          <cell r="G7348" t="str">
            <v>Xã Phổ Văn</v>
          </cell>
          <cell r="I7348" t="str">
            <v>50523</v>
          </cell>
        </row>
        <row r="7349">
          <cell r="G7349" t="str">
            <v>Xã Phổ Minh</v>
          </cell>
          <cell r="I7349" t="str">
            <v>50523</v>
          </cell>
        </row>
        <row r="7350">
          <cell r="G7350" t="str">
            <v>Xã Phổ Khánh</v>
          </cell>
          <cell r="I7350" t="str">
            <v>50523</v>
          </cell>
        </row>
        <row r="7351">
          <cell r="G7351" t="str">
            <v>Thị trấn Đức Phổ</v>
          </cell>
          <cell r="I7351" t="str">
            <v>50523</v>
          </cell>
        </row>
        <row r="7352">
          <cell r="G7352" t="str">
            <v>Xã Phổ Phong</v>
          </cell>
          <cell r="I7352" t="str">
            <v>50523</v>
          </cell>
        </row>
        <row r="7353">
          <cell r="G7353" t="str">
            <v>Xã Phổ Thuận</v>
          </cell>
          <cell r="I7353" t="str">
            <v>50523</v>
          </cell>
        </row>
        <row r="7354">
          <cell r="G7354" t="str">
            <v>Xã Phổ Quang</v>
          </cell>
          <cell r="I7354" t="str">
            <v>50523</v>
          </cell>
        </row>
        <row r="7355">
          <cell r="G7355" t="str">
            <v>Xã Phổ Ninh</v>
          </cell>
          <cell r="I7355" t="str">
            <v>50523</v>
          </cell>
        </row>
        <row r="7356">
          <cell r="G7356" t="str">
            <v>Xã Phổ Vinh</v>
          </cell>
          <cell r="I7356" t="str">
            <v>50523</v>
          </cell>
        </row>
        <row r="7357">
          <cell r="G7357" t="str">
            <v>Xã Phổ Hòa</v>
          </cell>
          <cell r="I7357" t="str">
            <v>50523</v>
          </cell>
        </row>
        <row r="7358">
          <cell r="G7358" t="str">
            <v>Xã Phổ Cường</v>
          </cell>
          <cell r="I7358" t="str">
            <v>50523</v>
          </cell>
        </row>
        <row r="7359">
          <cell r="G7359" t="str">
            <v>Xã Phổ Thạnh</v>
          </cell>
          <cell r="I7359" t="str">
            <v>50523</v>
          </cell>
        </row>
        <row r="7360">
          <cell r="G7360" t="str">
            <v>Xã Phổ Châu</v>
          </cell>
          <cell r="I7360" t="str">
            <v>50523</v>
          </cell>
        </row>
        <row r="7361">
          <cell r="G7361" t="str">
            <v>Xã Ba Thành</v>
          </cell>
          <cell r="I7361" t="str">
            <v>50525</v>
          </cell>
        </row>
        <row r="7362">
          <cell r="G7362" t="str">
            <v>Xã Ba Bích</v>
          </cell>
          <cell r="I7362" t="str">
            <v>50525</v>
          </cell>
        </row>
        <row r="7363">
          <cell r="G7363" t="str">
            <v>Xã Ba Điền</v>
          </cell>
          <cell r="I7363" t="str">
            <v>50525</v>
          </cell>
        </row>
        <row r="7364">
          <cell r="G7364" t="str">
            <v>Xã Ba Dinh</v>
          </cell>
          <cell r="I7364" t="str">
            <v>50525</v>
          </cell>
        </row>
        <row r="7365">
          <cell r="G7365" t="str">
            <v>Xã Ba Khâm</v>
          </cell>
          <cell r="I7365" t="str">
            <v>50525</v>
          </cell>
        </row>
        <row r="7366">
          <cell r="G7366" t="str">
            <v>Xã Ba Trang</v>
          </cell>
          <cell r="I7366" t="str">
            <v>50525</v>
          </cell>
        </row>
        <row r="7367">
          <cell r="G7367" t="str">
            <v>Xã Ba Lế</v>
          </cell>
          <cell r="I7367" t="str">
            <v>50525</v>
          </cell>
        </row>
        <row r="7368">
          <cell r="G7368" t="str">
            <v>Thị trấn Ba Tơ</v>
          </cell>
          <cell r="I7368" t="str">
            <v>50525</v>
          </cell>
        </row>
        <row r="7369">
          <cell r="G7369" t="str">
            <v>Xã Ba Vinh</v>
          </cell>
          <cell r="I7369" t="str">
            <v>50525</v>
          </cell>
        </row>
        <row r="7370">
          <cell r="G7370" t="str">
            <v>Xã Ba Động</v>
          </cell>
          <cell r="I7370" t="str">
            <v>50525</v>
          </cell>
        </row>
        <row r="7371">
          <cell r="G7371" t="str">
            <v>Xã Ba Liên</v>
          </cell>
          <cell r="I7371" t="str">
            <v>50525</v>
          </cell>
        </row>
        <row r="7372">
          <cell r="G7372" t="str">
            <v>Xã Ba Ngạc</v>
          </cell>
          <cell r="I7372" t="str">
            <v>50525</v>
          </cell>
        </row>
        <row r="7373">
          <cell r="G7373" t="str">
            <v>Xã Ba Cung</v>
          </cell>
          <cell r="I7373" t="str">
            <v>50525</v>
          </cell>
        </row>
        <row r="7374">
          <cell r="G7374" t="str">
            <v>Xã Ba Chùa</v>
          </cell>
          <cell r="I7374" t="str">
            <v>50525</v>
          </cell>
        </row>
        <row r="7375">
          <cell r="G7375" t="str">
            <v>Xã Ba Tiêu</v>
          </cell>
          <cell r="I7375" t="str">
            <v>50525</v>
          </cell>
        </row>
        <row r="7376">
          <cell r="G7376" t="str">
            <v>Xã Ba Tô</v>
          </cell>
          <cell r="I7376" t="str">
            <v>50525</v>
          </cell>
        </row>
        <row r="7377">
          <cell r="G7377" t="str">
            <v xml:space="preserve">Xã Ba Vì </v>
          </cell>
          <cell r="I7377" t="str">
            <v>50525</v>
          </cell>
        </row>
        <row r="7378">
          <cell r="G7378" t="str">
            <v>Xã Ba Nam</v>
          </cell>
          <cell r="I7378" t="str">
            <v>50525</v>
          </cell>
        </row>
        <row r="7379">
          <cell r="G7379" t="str">
            <v>Xã Ba Xa</v>
          </cell>
          <cell r="I7379" t="str">
            <v>50525</v>
          </cell>
        </row>
        <row r="7380">
          <cell r="G7380" t="str">
            <v>Xã Ba Giang</v>
          </cell>
          <cell r="I7380" t="str">
            <v>50525</v>
          </cell>
        </row>
        <row r="7381">
          <cell r="G7381" t="str">
            <v>Phường Nhơn Bình</v>
          </cell>
          <cell r="I7381" t="str">
            <v>50701</v>
          </cell>
        </row>
        <row r="7382">
          <cell r="G7382" t="str">
            <v xml:space="preserve">Phường Trần Phú       </v>
          </cell>
          <cell r="I7382" t="str">
            <v>50701</v>
          </cell>
        </row>
        <row r="7383">
          <cell r="G7383" t="str">
            <v>Phường Thị Nại</v>
          </cell>
          <cell r="I7383" t="str">
            <v>50701</v>
          </cell>
        </row>
        <row r="7384">
          <cell r="G7384" t="str">
            <v>Phường Lý Thường Kiệt</v>
          </cell>
          <cell r="I7384" t="str">
            <v>50701</v>
          </cell>
        </row>
        <row r="7385">
          <cell r="G7385" t="str">
            <v>Phường Ghềnh Ráng</v>
          </cell>
          <cell r="I7385" t="str">
            <v>50701</v>
          </cell>
        </row>
        <row r="7386">
          <cell r="G7386" t="str">
            <v>Phường Nhơn Phú</v>
          </cell>
          <cell r="I7386" t="str">
            <v>50701</v>
          </cell>
        </row>
        <row r="7387">
          <cell r="G7387" t="str">
            <v xml:space="preserve">Phường Đống Đa </v>
          </cell>
          <cell r="I7387" t="str">
            <v>50701</v>
          </cell>
        </row>
        <row r="7388">
          <cell r="G7388" t="str">
            <v>Phường Trần Quang Diệu</v>
          </cell>
          <cell r="I7388" t="str">
            <v>50701</v>
          </cell>
        </row>
        <row r="7389">
          <cell r="G7389" t="str">
            <v>Phường Hải Cảng</v>
          </cell>
          <cell r="I7389" t="str">
            <v>50701</v>
          </cell>
        </row>
        <row r="7390">
          <cell r="G7390" t="str">
            <v xml:space="preserve">Phường Quang Trung             </v>
          </cell>
          <cell r="I7390" t="str">
            <v>50701</v>
          </cell>
        </row>
        <row r="7391">
          <cell r="G7391" t="str">
            <v xml:space="preserve">Phường Lê Hồng Phong   </v>
          </cell>
          <cell r="I7391" t="str">
            <v>50701</v>
          </cell>
        </row>
        <row r="7392">
          <cell r="G7392" t="str">
            <v xml:space="preserve">Phường Trần Hưng Đạo       </v>
          </cell>
          <cell r="I7392" t="str">
            <v>50701</v>
          </cell>
        </row>
        <row r="7393">
          <cell r="G7393" t="str">
            <v>Phường Ngô Mây</v>
          </cell>
          <cell r="I7393" t="str">
            <v>50701</v>
          </cell>
        </row>
        <row r="7394">
          <cell r="G7394" t="str">
            <v xml:space="preserve">Phường Lê Lợi     </v>
          </cell>
          <cell r="I7394" t="str">
            <v>50701</v>
          </cell>
        </row>
        <row r="7395">
          <cell r="G7395" t="str">
            <v xml:space="preserve">Phường Bùi Thị Xuân </v>
          </cell>
          <cell r="I7395" t="str">
            <v>50701</v>
          </cell>
        </row>
        <row r="7396">
          <cell r="G7396" t="str">
            <v>Phường Nguyễn Văn Cừ</v>
          </cell>
          <cell r="I7396" t="str">
            <v>50701</v>
          </cell>
        </row>
        <row r="7397">
          <cell r="G7397" t="str">
            <v>Xã Nhơn Lý</v>
          </cell>
          <cell r="I7397" t="str">
            <v>50701</v>
          </cell>
        </row>
        <row r="7398">
          <cell r="G7398" t="str">
            <v>Xã Nhơn Hội</v>
          </cell>
          <cell r="I7398" t="str">
            <v>50701</v>
          </cell>
        </row>
        <row r="7399">
          <cell r="G7399" t="str">
            <v>Xã Nhơn Hải</v>
          </cell>
          <cell r="I7399" t="str">
            <v>50701</v>
          </cell>
        </row>
        <row r="7400">
          <cell r="G7400" t="str">
            <v>Xã Nhơn Châu</v>
          </cell>
          <cell r="I7400" t="str">
            <v>50701</v>
          </cell>
        </row>
        <row r="7401">
          <cell r="G7401" t="str">
            <v xml:space="preserve">Xã Phước Mỹ </v>
          </cell>
          <cell r="I7401" t="str">
            <v>50701</v>
          </cell>
        </row>
        <row r="7402">
          <cell r="G7402" t="str">
            <v>Xã An Tân</v>
          </cell>
          <cell r="I7402" t="str">
            <v>50703</v>
          </cell>
        </row>
        <row r="7403">
          <cell r="G7403" t="str">
            <v xml:space="preserve">Xã An Hưng </v>
          </cell>
          <cell r="I7403" t="str">
            <v>50703</v>
          </cell>
        </row>
        <row r="7404">
          <cell r="G7404" t="str">
            <v>Xã An Toàn</v>
          </cell>
          <cell r="I7404" t="str">
            <v>50703</v>
          </cell>
        </row>
        <row r="7405">
          <cell r="G7405" t="str">
            <v>Xã An Quang</v>
          </cell>
          <cell r="I7405" t="str">
            <v>50703</v>
          </cell>
        </row>
        <row r="7406">
          <cell r="G7406" t="str">
            <v>Xã An Trung</v>
          </cell>
          <cell r="I7406" t="str">
            <v>50703</v>
          </cell>
        </row>
        <row r="7407">
          <cell r="G7407" t="str">
            <v>Xã An Dũng</v>
          </cell>
          <cell r="I7407" t="str">
            <v>50703</v>
          </cell>
        </row>
        <row r="7408">
          <cell r="G7408" t="str">
            <v xml:space="preserve">Xã An Vinh </v>
          </cell>
          <cell r="I7408" t="str">
            <v>50703</v>
          </cell>
        </row>
        <row r="7409">
          <cell r="G7409" t="str">
            <v xml:space="preserve">Xã An Hòa    </v>
          </cell>
          <cell r="I7409" t="str">
            <v>50703</v>
          </cell>
        </row>
        <row r="7410">
          <cell r="G7410" t="str">
            <v>Xã An Nghĩa</v>
          </cell>
          <cell r="I7410" t="str">
            <v>50703</v>
          </cell>
        </row>
        <row r="7411">
          <cell r="G7411" t="str">
            <v xml:space="preserve">Thị trấn An Lão </v>
          </cell>
          <cell r="I7411" t="str">
            <v>50703</v>
          </cell>
        </row>
        <row r="7412">
          <cell r="G7412" t="str">
            <v>Xã Tam Quan Nam</v>
          </cell>
          <cell r="I7412" t="str">
            <v>50705</v>
          </cell>
        </row>
        <row r="7413">
          <cell r="G7413" t="str">
            <v>Xã Hòai Sơn</v>
          </cell>
          <cell r="I7413" t="str">
            <v>50705</v>
          </cell>
        </row>
        <row r="7414">
          <cell r="G7414" t="str">
            <v>Xã Tam Quan Bắc</v>
          </cell>
          <cell r="I7414" t="str">
            <v>50705</v>
          </cell>
        </row>
        <row r="7415">
          <cell r="G7415" t="str">
            <v>Xã Hòai Thanh</v>
          </cell>
          <cell r="I7415" t="str">
            <v>50705</v>
          </cell>
        </row>
        <row r="7416">
          <cell r="G7416" t="str">
            <v>Xã Hòai Mỹ</v>
          </cell>
          <cell r="I7416" t="str">
            <v>50705</v>
          </cell>
        </row>
        <row r="7417">
          <cell r="G7417" t="str">
            <v>Thị trấn Tam Quan</v>
          </cell>
          <cell r="I7417" t="str">
            <v>50705</v>
          </cell>
        </row>
        <row r="7418">
          <cell r="G7418" t="str">
            <v>Thị trấn Bồng Sơn</v>
          </cell>
          <cell r="I7418" t="str">
            <v>50705</v>
          </cell>
        </row>
        <row r="7419">
          <cell r="G7419" t="str">
            <v>Xã Hòai Châu Bắc</v>
          </cell>
          <cell r="I7419" t="str">
            <v>50705</v>
          </cell>
        </row>
        <row r="7420">
          <cell r="G7420" t="str">
            <v>Xã Hòai Châu</v>
          </cell>
          <cell r="I7420" t="str">
            <v>50705</v>
          </cell>
        </row>
        <row r="7421">
          <cell r="G7421" t="str">
            <v>Xã Hòai Phú</v>
          </cell>
          <cell r="I7421" t="str">
            <v>50705</v>
          </cell>
        </row>
        <row r="7422">
          <cell r="G7422" t="str">
            <v>Xã Hòai Hảo</v>
          </cell>
          <cell r="I7422" t="str">
            <v>50705</v>
          </cell>
        </row>
        <row r="7423">
          <cell r="G7423" t="str">
            <v>Xã Hòai Thanh Tây</v>
          </cell>
          <cell r="I7423" t="str">
            <v>50705</v>
          </cell>
        </row>
        <row r="7424">
          <cell r="G7424" t="str">
            <v>Xã Hòai Hương</v>
          </cell>
          <cell r="I7424" t="str">
            <v>50705</v>
          </cell>
        </row>
        <row r="7425">
          <cell r="G7425" t="str">
            <v>Xã Hòai Tân</v>
          </cell>
          <cell r="I7425" t="str">
            <v>50705</v>
          </cell>
        </row>
        <row r="7426">
          <cell r="G7426" t="str">
            <v>Xã Hòai Hải</v>
          </cell>
          <cell r="I7426" t="str">
            <v>50705</v>
          </cell>
        </row>
        <row r="7427">
          <cell r="G7427" t="str">
            <v>Xã Hòai Xuân</v>
          </cell>
          <cell r="I7427" t="str">
            <v>50705</v>
          </cell>
        </row>
        <row r="7428">
          <cell r="G7428" t="str">
            <v>Xã Hòai Đức</v>
          </cell>
          <cell r="I7428" t="str">
            <v>50705</v>
          </cell>
        </row>
        <row r="7429">
          <cell r="G7429" t="str">
            <v>Xã Ân Mỹ</v>
          </cell>
          <cell r="I7429" t="str">
            <v>50707</v>
          </cell>
        </row>
        <row r="7430">
          <cell r="G7430" t="str">
            <v>Xã Ân Hảo Tây</v>
          </cell>
          <cell r="I7430" t="str">
            <v>50707</v>
          </cell>
        </row>
        <row r="7431">
          <cell r="G7431" t="str">
            <v>Xã Ân Hảo Đông</v>
          </cell>
          <cell r="I7431" t="str">
            <v>50707</v>
          </cell>
        </row>
        <row r="7432">
          <cell r="G7432" t="str">
            <v>Xã Ân Tín</v>
          </cell>
          <cell r="I7432" t="str">
            <v>50707</v>
          </cell>
        </row>
        <row r="7433">
          <cell r="G7433" t="str">
            <v>Xã Ân Hữu</v>
          </cell>
          <cell r="I7433" t="str">
            <v>50707</v>
          </cell>
        </row>
        <row r="7434">
          <cell r="G7434" t="str">
            <v>Xã Ân Tường Đông</v>
          </cell>
          <cell r="I7434" t="str">
            <v>50707</v>
          </cell>
        </row>
        <row r="7435">
          <cell r="G7435" t="str">
            <v>Thị trấn Tăng Bạt Hổ</v>
          </cell>
          <cell r="I7435" t="str">
            <v>50707</v>
          </cell>
        </row>
        <row r="7436">
          <cell r="G7436" t="str">
            <v>Xã Ân Sơn</v>
          </cell>
          <cell r="I7436" t="str">
            <v>50707</v>
          </cell>
        </row>
        <row r="7437">
          <cell r="G7437" t="str">
            <v>Xã Đăk Mang</v>
          </cell>
          <cell r="I7437" t="str">
            <v>50707</v>
          </cell>
        </row>
        <row r="7438">
          <cell r="G7438" t="str">
            <v>Xã Ân Thạnh</v>
          </cell>
          <cell r="I7438" t="str">
            <v>50707</v>
          </cell>
        </row>
        <row r="7439">
          <cell r="G7439" t="str">
            <v>Xã Ân Phong</v>
          </cell>
          <cell r="I7439" t="str">
            <v>50707</v>
          </cell>
        </row>
        <row r="7440">
          <cell r="G7440" t="str">
            <v>Xã Ân Đức</v>
          </cell>
          <cell r="I7440" t="str">
            <v>50707</v>
          </cell>
        </row>
        <row r="7441">
          <cell r="G7441" t="str">
            <v>Xã Bok Tới</v>
          </cell>
          <cell r="I7441" t="str">
            <v>50707</v>
          </cell>
        </row>
        <row r="7442">
          <cell r="G7442" t="str">
            <v>Xã Ân Tường Tây</v>
          </cell>
          <cell r="I7442" t="str">
            <v>50707</v>
          </cell>
        </row>
        <row r="7443">
          <cell r="G7443" t="str">
            <v xml:space="preserve">Xã Ân Nghĩa </v>
          </cell>
          <cell r="I7443" t="str">
            <v>50707</v>
          </cell>
        </row>
        <row r="7444">
          <cell r="G7444" t="str">
            <v>Thị trấn Phù Mỹ</v>
          </cell>
          <cell r="I7444" t="str">
            <v>50709</v>
          </cell>
        </row>
        <row r="7445">
          <cell r="G7445" t="str">
            <v>Xã Mỹ Chánh</v>
          </cell>
          <cell r="I7445" t="str">
            <v>50709</v>
          </cell>
        </row>
        <row r="7446">
          <cell r="G7446" t="str">
            <v>Xã Mỹ Châu</v>
          </cell>
          <cell r="I7446" t="str">
            <v>50709</v>
          </cell>
        </row>
        <row r="7447">
          <cell r="G7447" t="str">
            <v>Xã Mỹ Lợi</v>
          </cell>
          <cell r="I7447" t="str">
            <v>50709</v>
          </cell>
        </row>
        <row r="7448">
          <cell r="G7448" t="str">
            <v xml:space="preserve">Xã Mỹ Thọ </v>
          </cell>
          <cell r="I7448" t="str">
            <v>50709</v>
          </cell>
        </row>
        <row r="7449">
          <cell r="G7449" t="str">
            <v>Xã Mỹ Quang</v>
          </cell>
          <cell r="I7449" t="str">
            <v>50709</v>
          </cell>
        </row>
        <row r="7450">
          <cell r="G7450" t="str">
            <v>Xã Mỹ Chánh Tây</v>
          </cell>
          <cell r="I7450" t="str">
            <v>50709</v>
          </cell>
        </row>
        <row r="7451">
          <cell r="G7451" t="str">
            <v>Thị trấn Bình Dương</v>
          </cell>
          <cell r="I7451" t="str">
            <v>50709</v>
          </cell>
        </row>
        <row r="7452">
          <cell r="G7452" t="str">
            <v xml:space="preserve">Xã Mỹ Đức </v>
          </cell>
          <cell r="I7452" t="str">
            <v>50709</v>
          </cell>
        </row>
        <row r="7453">
          <cell r="G7453" t="str">
            <v xml:space="preserve">Xã Mỹ Thắng </v>
          </cell>
          <cell r="I7453" t="str">
            <v>50709</v>
          </cell>
        </row>
        <row r="7454">
          <cell r="G7454" t="str">
            <v xml:space="preserve">Xã Mỹ Lộc   </v>
          </cell>
          <cell r="I7454" t="str">
            <v>50709</v>
          </cell>
        </row>
        <row r="7455">
          <cell r="G7455" t="str">
            <v xml:space="preserve">Xã Mỹ An </v>
          </cell>
          <cell r="I7455" t="str">
            <v>50709</v>
          </cell>
        </row>
        <row r="7456">
          <cell r="G7456" t="str">
            <v>Xã Mỹ Phong</v>
          </cell>
          <cell r="I7456" t="str">
            <v>50709</v>
          </cell>
        </row>
        <row r="7457">
          <cell r="G7457" t="str">
            <v>Xã Mỹ Trinh</v>
          </cell>
          <cell r="I7457" t="str">
            <v>50709</v>
          </cell>
        </row>
        <row r="7458">
          <cell r="G7458" t="str">
            <v xml:space="preserve">Xã Mỹ Hòa </v>
          </cell>
          <cell r="I7458" t="str">
            <v>50709</v>
          </cell>
        </row>
        <row r="7459">
          <cell r="G7459" t="str">
            <v xml:space="preserve">Xã Mỹ Thành    </v>
          </cell>
          <cell r="I7459" t="str">
            <v>50709</v>
          </cell>
        </row>
        <row r="7460">
          <cell r="G7460" t="str">
            <v>Xã Mỹ Hiệp</v>
          </cell>
          <cell r="I7460" t="str">
            <v>50709</v>
          </cell>
        </row>
        <row r="7461">
          <cell r="G7461" t="str">
            <v>Xã Mỹ Tài</v>
          </cell>
          <cell r="I7461" t="str">
            <v>50709</v>
          </cell>
        </row>
        <row r="7462">
          <cell r="G7462" t="str">
            <v>Xã Mỹ Cát</v>
          </cell>
          <cell r="I7462" t="str">
            <v>50709</v>
          </cell>
        </row>
        <row r="7463">
          <cell r="G7463" t="str">
            <v xml:space="preserve">Xã Vĩnh Thịnh  </v>
          </cell>
          <cell r="I7463" t="str">
            <v>50711</v>
          </cell>
        </row>
        <row r="7464">
          <cell r="G7464" t="str">
            <v>Xã Vĩnh Hiệp</v>
          </cell>
          <cell r="I7464" t="str">
            <v>50711</v>
          </cell>
        </row>
        <row r="7465">
          <cell r="G7465" t="str">
            <v xml:space="preserve">Xã Vĩnh Sơn   </v>
          </cell>
          <cell r="I7465" t="str">
            <v>50711</v>
          </cell>
        </row>
        <row r="7466">
          <cell r="G7466" t="str">
            <v xml:space="preserve">Xã Vĩnh Kim </v>
          </cell>
          <cell r="I7466" t="str">
            <v>50711</v>
          </cell>
        </row>
        <row r="7467">
          <cell r="G7467" t="str">
            <v xml:space="preserve">Xã Vĩnh Hòa   </v>
          </cell>
          <cell r="I7467" t="str">
            <v>50711</v>
          </cell>
        </row>
        <row r="7468">
          <cell r="G7468" t="str">
            <v xml:space="preserve">Xã Vĩnh Hảo </v>
          </cell>
          <cell r="I7468" t="str">
            <v>50711</v>
          </cell>
        </row>
        <row r="7469">
          <cell r="G7469" t="str">
            <v xml:space="preserve">Xã Vĩnh Quang   </v>
          </cell>
          <cell r="I7469" t="str">
            <v>50711</v>
          </cell>
        </row>
        <row r="7470">
          <cell r="G7470" t="str">
            <v>Thị trấn Vĩnh Thạnh</v>
          </cell>
          <cell r="I7470" t="str">
            <v>50711</v>
          </cell>
        </row>
        <row r="7471">
          <cell r="G7471" t="str">
            <v>Xã Vĩnh Thuận</v>
          </cell>
          <cell r="I7471" t="str">
            <v>50711</v>
          </cell>
        </row>
        <row r="7472">
          <cell r="G7472" t="str">
            <v>Xã Cát Trinh</v>
          </cell>
          <cell r="I7472" t="str">
            <v>50713</v>
          </cell>
        </row>
        <row r="7473">
          <cell r="G7473" t="str">
            <v>Xã Cát Minh</v>
          </cell>
          <cell r="I7473" t="str">
            <v>50713</v>
          </cell>
        </row>
        <row r="7474">
          <cell r="G7474" t="str">
            <v xml:space="preserve">Xã Cát Tân </v>
          </cell>
          <cell r="I7474" t="str">
            <v>50713</v>
          </cell>
        </row>
        <row r="7475">
          <cell r="G7475" t="str">
            <v>Xã Cát Hanh</v>
          </cell>
          <cell r="I7475" t="str">
            <v>50713</v>
          </cell>
        </row>
        <row r="7476">
          <cell r="G7476" t="str">
            <v>Xã Cát Thành</v>
          </cell>
          <cell r="I7476" t="str">
            <v>50713</v>
          </cell>
        </row>
        <row r="7477">
          <cell r="G7477" t="str">
            <v>Xã Cát Hải</v>
          </cell>
          <cell r="I7477" t="str">
            <v>50713</v>
          </cell>
        </row>
        <row r="7478">
          <cell r="G7478" t="str">
            <v>Xã Cát Hiệp</v>
          </cell>
          <cell r="I7478" t="str">
            <v>50713</v>
          </cell>
        </row>
        <row r="7479">
          <cell r="G7479" t="str">
            <v>Xã Cát Nhơn</v>
          </cell>
          <cell r="I7479" t="str">
            <v>50713</v>
          </cell>
        </row>
        <row r="7480">
          <cell r="G7480" t="str">
            <v>Xã Cát Hưng</v>
          </cell>
          <cell r="I7480" t="str">
            <v>50713</v>
          </cell>
        </row>
        <row r="7481">
          <cell r="G7481" t="str">
            <v>Xã Cát Tường</v>
          </cell>
          <cell r="I7481" t="str">
            <v>50713</v>
          </cell>
        </row>
        <row r="7482">
          <cell r="G7482" t="str">
            <v>Xã Cát Tiến</v>
          </cell>
          <cell r="I7482" t="str">
            <v>50713</v>
          </cell>
        </row>
        <row r="7483">
          <cell r="G7483" t="str">
            <v>Xã Cát Thắng</v>
          </cell>
          <cell r="I7483" t="str">
            <v>50713</v>
          </cell>
        </row>
        <row r="7484">
          <cell r="G7484" t="str">
            <v>Xã Cát Chánh</v>
          </cell>
          <cell r="I7484" t="str">
            <v>50713</v>
          </cell>
        </row>
        <row r="7485">
          <cell r="G7485" t="str">
            <v>Xã Cát Lâm</v>
          </cell>
          <cell r="I7485" t="str">
            <v>50713</v>
          </cell>
        </row>
        <row r="7486">
          <cell r="G7486" t="str">
            <v>Thị trấn Ngô Mây</v>
          </cell>
          <cell r="I7486" t="str">
            <v>50713</v>
          </cell>
        </row>
        <row r="7487">
          <cell r="G7487" t="str">
            <v>Xã Cát Sơn</v>
          </cell>
          <cell r="I7487" t="str">
            <v>50713</v>
          </cell>
        </row>
        <row r="7488">
          <cell r="G7488" t="str">
            <v>Xã Cát Khánh</v>
          </cell>
          <cell r="I7488" t="str">
            <v>50713</v>
          </cell>
        </row>
        <row r="7489">
          <cell r="G7489" t="str">
            <v>Xã Cát Tài</v>
          </cell>
          <cell r="I7489" t="str">
            <v>50713</v>
          </cell>
        </row>
        <row r="7490">
          <cell r="G7490" t="str">
            <v xml:space="preserve">Xã Vĩnh An  </v>
          </cell>
          <cell r="I7490" t="str">
            <v>50715</v>
          </cell>
        </row>
        <row r="7491">
          <cell r="G7491" t="str">
            <v>Thị trấn Phú Phong</v>
          </cell>
          <cell r="I7491" t="str">
            <v>50715</v>
          </cell>
        </row>
        <row r="7492">
          <cell r="G7492" t="str">
            <v xml:space="preserve">Xã Bình Thành  </v>
          </cell>
          <cell r="I7492" t="str">
            <v>50715</v>
          </cell>
        </row>
        <row r="7493">
          <cell r="G7493" t="str">
            <v>Xã Bình Tường</v>
          </cell>
          <cell r="I7493" t="str">
            <v>50715</v>
          </cell>
        </row>
        <row r="7494">
          <cell r="G7494" t="str">
            <v>Xã Bình Nghi</v>
          </cell>
          <cell r="I7494" t="str">
            <v>50715</v>
          </cell>
        </row>
        <row r="7495">
          <cell r="G7495" t="str">
            <v xml:space="preserve">Xã Bình Tân </v>
          </cell>
          <cell r="I7495" t="str">
            <v>50715</v>
          </cell>
        </row>
        <row r="7496">
          <cell r="G7496" t="str">
            <v>Xã Tây Thuận</v>
          </cell>
          <cell r="I7496" t="str">
            <v>50715</v>
          </cell>
        </row>
        <row r="7497">
          <cell r="G7497" t="str">
            <v xml:space="preserve">Xã Bình Thuận   </v>
          </cell>
          <cell r="I7497" t="str">
            <v>50715</v>
          </cell>
        </row>
        <row r="7498">
          <cell r="G7498" t="str">
            <v xml:space="preserve">Xã Tây Giang </v>
          </cell>
          <cell r="I7498" t="str">
            <v>50715</v>
          </cell>
        </row>
        <row r="7499">
          <cell r="G7499" t="str">
            <v xml:space="preserve">Xã Tây An </v>
          </cell>
          <cell r="I7499" t="str">
            <v>50715</v>
          </cell>
        </row>
        <row r="7500">
          <cell r="G7500" t="str">
            <v xml:space="preserve">Xã Bình Hòa  </v>
          </cell>
          <cell r="I7500" t="str">
            <v>50715</v>
          </cell>
        </row>
        <row r="7501">
          <cell r="G7501" t="str">
            <v>Xã Tây Bình</v>
          </cell>
          <cell r="I7501" t="str">
            <v>50715</v>
          </cell>
        </row>
        <row r="7502">
          <cell r="G7502" t="str">
            <v>Xã Tây Vinh</v>
          </cell>
          <cell r="I7502" t="str">
            <v>50715</v>
          </cell>
        </row>
        <row r="7503">
          <cell r="G7503" t="str">
            <v>Xã Tây Xuân</v>
          </cell>
          <cell r="I7503" t="str">
            <v>50715</v>
          </cell>
        </row>
        <row r="7504">
          <cell r="G7504" t="str">
            <v>Xã Tây Phú</v>
          </cell>
          <cell r="I7504" t="str">
            <v>50715</v>
          </cell>
        </row>
        <row r="7505">
          <cell r="G7505" t="str">
            <v>Phường Đập Đá</v>
          </cell>
          <cell r="I7505" t="str">
            <v>50717</v>
          </cell>
        </row>
        <row r="7506">
          <cell r="G7506" t="str">
            <v>Xã Nhơn Tân</v>
          </cell>
          <cell r="I7506" t="str">
            <v>50717</v>
          </cell>
        </row>
        <row r="7507">
          <cell r="G7507" t="str">
            <v>Phường Bình Định</v>
          </cell>
          <cell r="I7507" t="str">
            <v>50717</v>
          </cell>
        </row>
        <row r="7508">
          <cell r="G7508" t="str">
            <v>Xã Nhơn Hạnh</v>
          </cell>
          <cell r="I7508" t="str">
            <v>50717</v>
          </cell>
        </row>
        <row r="7509">
          <cell r="G7509" t="str">
            <v>Xã Nhơn Phúc</v>
          </cell>
          <cell r="I7509" t="str">
            <v>50717</v>
          </cell>
        </row>
        <row r="7510">
          <cell r="G7510" t="str">
            <v>Phường Nhơn Hòa</v>
          </cell>
          <cell r="I7510" t="str">
            <v>50717</v>
          </cell>
        </row>
        <row r="7511">
          <cell r="G7511" t="str">
            <v>Xã Nhơn Mỹ</v>
          </cell>
          <cell r="I7511" t="str">
            <v>50717</v>
          </cell>
        </row>
        <row r="7512">
          <cell r="G7512" t="str">
            <v>Phường Nhơn Thành</v>
          </cell>
          <cell r="I7512" t="str">
            <v>50717</v>
          </cell>
        </row>
        <row r="7513">
          <cell r="G7513" t="str">
            <v>Xã Nhơn Hậu</v>
          </cell>
          <cell r="I7513" t="str">
            <v>50717</v>
          </cell>
        </row>
        <row r="7514">
          <cell r="G7514" t="str">
            <v>Xã Nhơn Phong</v>
          </cell>
          <cell r="I7514" t="str">
            <v>50717</v>
          </cell>
        </row>
        <row r="7515">
          <cell r="G7515" t="str">
            <v>Xã Nhơn An</v>
          </cell>
          <cell r="I7515" t="str">
            <v>50717</v>
          </cell>
        </row>
        <row r="7516">
          <cell r="G7516" t="str">
            <v>Phường Nhơn Hưng</v>
          </cell>
          <cell r="I7516" t="str">
            <v>50717</v>
          </cell>
        </row>
        <row r="7517">
          <cell r="G7517" t="str">
            <v>Xã Nhơn Khánh</v>
          </cell>
          <cell r="I7517" t="str">
            <v>50717</v>
          </cell>
        </row>
        <row r="7518">
          <cell r="G7518" t="str">
            <v>Xã Nhơn Lộc</v>
          </cell>
          <cell r="I7518" t="str">
            <v>50717</v>
          </cell>
        </row>
        <row r="7519">
          <cell r="G7519" t="str">
            <v>Xã Nhơn Thọ</v>
          </cell>
          <cell r="I7519" t="str">
            <v>50717</v>
          </cell>
        </row>
        <row r="7520">
          <cell r="G7520" t="str">
            <v>Xã Phước Nghĩa</v>
          </cell>
          <cell r="I7520" t="str">
            <v>50719</v>
          </cell>
        </row>
        <row r="7521">
          <cell r="G7521" t="str">
            <v>Xã Phước Thuận</v>
          </cell>
          <cell r="I7521" t="str">
            <v>50719</v>
          </cell>
        </row>
        <row r="7522">
          <cell r="G7522" t="str">
            <v>Xã Phước Sơn</v>
          </cell>
          <cell r="I7522" t="str">
            <v>50719</v>
          </cell>
        </row>
        <row r="7523">
          <cell r="G7523" t="str">
            <v>Thị trấn Diêu Trì</v>
          </cell>
          <cell r="I7523" t="str">
            <v>50719</v>
          </cell>
        </row>
        <row r="7524">
          <cell r="G7524" t="str">
            <v>Thị trấn Tuy Phước</v>
          </cell>
          <cell r="I7524" t="str">
            <v>50719</v>
          </cell>
        </row>
        <row r="7525">
          <cell r="G7525" t="str">
            <v>Xã Phước Thắng</v>
          </cell>
          <cell r="I7525" t="str">
            <v>50719</v>
          </cell>
        </row>
        <row r="7526">
          <cell r="G7526" t="str">
            <v>Xã Phước Hưng</v>
          </cell>
          <cell r="I7526" t="str">
            <v>50719</v>
          </cell>
        </row>
        <row r="7527">
          <cell r="G7527" t="str">
            <v>Xã Phước Quang</v>
          </cell>
          <cell r="I7527" t="str">
            <v>50719</v>
          </cell>
        </row>
        <row r="7528">
          <cell r="G7528" t="str">
            <v xml:space="preserve">Xã Phước Hòa </v>
          </cell>
          <cell r="I7528" t="str">
            <v>50719</v>
          </cell>
        </row>
        <row r="7529">
          <cell r="G7529" t="str">
            <v xml:space="preserve">Xã Phước Hiệp </v>
          </cell>
          <cell r="I7529" t="str">
            <v>50719</v>
          </cell>
        </row>
        <row r="7530">
          <cell r="G7530" t="str">
            <v xml:space="preserve">Xã Phước Lộc </v>
          </cell>
          <cell r="I7530" t="str">
            <v>50719</v>
          </cell>
        </row>
        <row r="7531">
          <cell r="G7531" t="str">
            <v>Xã Phước An</v>
          </cell>
          <cell r="I7531" t="str">
            <v>50719</v>
          </cell>
        </row>
        <row r="7532">
          <cell r="G7532" t="str">
            <v xml:space="preserve">Xã Phước Thành </v>
          </cell>
          <cell r="I7532" t="str">
            <v>50719</v>
          </cell>
        </row>
        <row r="7533">
          <cell r="G7533" t="str">
            <v>Thị trấn Vân Canh</v>
          </cell>
          <cell r="I7533" t="str">
            <v>50721</v>
          </cell>
        </row>
        <row r="7534">
          <cell r="G7534" t="str">
            <v>Xã Canh Thuận</v>
          </cell>
          <cell r="I7534" t="str">
            <v>50721</v>
          </cell>
        </row>
        <row r="7535">
          <cell r="G7535" t="str">
            <v>Xã Canh Liên</v>
          </cell>
          <cell r="I7535" t="str">
            <v>50721</v>
          </cell>
        </row>
        <row r="7536">
          <cell r="G7536" t="str">
            <v>Xã Canh Hiệp</v>
          </cell>
          <cell r="I7536" t="str">
            <v>50721</v>
          </cell>
        </row>
        <row r="7537">
          <cell r="G7537" t="str">
            <v>Xã Canh Vinh</v>
          </cell>
          <cell r="I7537" t="str">
            <v>50721</v>
          </cell>
        </row>
        <row r="7538">
          <cell r="G7538" t="str">
            <v>Xã Canh Hiển</v>
          </cell>
          <cell r="I7538" t="str">
            <v>50721</v>
          </cell>
        </row>
        <row r="7539">
          <cell r="G7539" t="str">
            <v>Xã Canh Hòa</v>
          </cell>
          <cell r="I7539" t="str">
            <v>50721</v>
          </cell>
        </row>
        <row r="7540">
          <cell r="G7540" t="str">
            <v xml:space="preserve">Phường 5 </v>
          </cell>
          <cell r="I7540" t="str">
            <v>50901</v>
          </cell>
        </row>
        <row r="7541">
          <cell r="G7541" t="str">
            <v xml:space="preserve">Phường 2  </v>
          </cell>
          <cell r="I7541" t="str">
            <v>50901</v>
          </cell>
        </row>
        <row r="7542">
          <cell r="G7542" t="str">
            <v xml:space="preserve">Phường 4 </v>
          </cell>
          <cell r="I7542" t="str">
            <v>50901</v>
          </cell>
        </row>
        <row r="7543">
          <cell r="G7543" t="str">
            <v>Xã Hòa Kiến</v>
          </cell>
          <cell r="I7543" t="str">
            <v>50901</v>
          </cell>
        </row>
        <row r="7544">
          <cell r="G7544" t="str">
            <v xml:space="preserve">Phường 1  </v>
          </cell>
          <cell r="I7544" t="str">
            <v>50901</v>
          </cell>
        </row>
        <row r="7545">
          <cell r="G7545" t="str">
            <v>Phường 8</v>
          </cell>
          <cell r="I7545" t="str">
            <v>50901</v>
          </cell>
        </row>
        <row r="7546">
          <cell r="G7546" t="str">
            <v>Phường 9</v>
          </cell>
          <cell r="I7546" t="str">
            <v>50901</v>
          </cell>
        </row>
        <row r="7547">
          <cell r="G7547" t="str">
            <v xml:space="preserve">Phường 3  </v>
          </cell>
          <cell r="I7547" t="str">
            <v>50901</v>
          </cell>
        </row>
        <row r="7548">
          <cell r="G7548" t="str">
            <v>Phường 7</v>
          </cell>
          <cell r="I7548" t="str">
            <v>50901</v>
          </cell>
        </row>
        <row r="7549">
          <cell r="G7549" t="str">
            <v>Phường 6</v>
          </cell>
          <cell r="I7549" t="str">
            <v>50901</v>
          </cell>
        </row>
        <row r="7550">
          <cell r="G7550" t="str">
            <v>Xã Bình Kiến</v>
          </cell>
          <cell r="I7550" t="str">
            <v>50901</v>
          </cell>
        </row>
        <row r="7551">
          <cell r="G7551" t="str">
            <v>Xã Bình Ngọc</v>
          </cell>
          <cell r="I7551" t="str">
            <v>50901</v>
          </cell>
        </row>
        <row r="7552">
          <cell r="G7552" t="str">
            <v xml:space="preserve">Xã An Phú  </v>
          </cell>
          <cell r="I7552" t="str">
            <v>50901</v>
          </cell>
        </row>
        <row r="7553">
          <cell r="G7553" t="str">
            <v>Phường Phú Lâm</v>
          </cell>
          <cell r="I7553" t="str">
            <v>50901</v>
          </cell>
        </row>
        <row r="7554">
          <cell r="G7554" t="str">
            <v>Phường Phú Thạnh</v>
          </cell>
          <cell r="I7554" t="str">
            <v>50901</v>
          </cell>
        </row>
        <row r="7555">
          <cell r="G7555" t="str">
            <v>Phường Phú Đông</v>
          </cell>
          <cell r="I7555" t="str">
            <v>50901</v>
          </cell>
        </row>
        <row r="7556">
          <cell r="G7556" t="str">
            <v>Xã Xuân Quang 3</v>
          </cell>
          <cell r="I7556" t="str">
            <v>50903</v>
          </cell>
        </row>
        <row r="7557">
          <cell r="G7557" t="str">
            <v>Xã Xuân Lãnh</v>
          </cell>
          <cell r="I7557" t="str">
            <v>50903</v>
          </cell>
        </row>
        <row r="7558">
          <cell r="G7558" t="str">
            <v>Xã Xuân Quang 2</v>
          </cell>
          <cell r="I7558" t="str">
            <v>50903</v>
          </cell>
        </row>
        <row r="7559">
          <cell r="G7559" t="str">
            <v>Thị trấn La Hai</v>
          </cell>
          <cell r="I7559" t="str">
            <v>50903</v>
          </cell>
        </row>
        <row r="7560">
          <cell r="G7560" t="str">
            <v xml:space="preserve">Xã Đa Lộc  </v>
          </cell>
          <cell r="I7560" t="str">
            <v>50903</v>
          </cell>
        </row>
        <row r="7561">
          <cell r="G7561" t="str">
            <v>Xã Phú Mỡ</v>
          </cell>
          <cell r="I7561" t="str">
            <v>50903</v>
          </cell>
        </row>
        <row r="7562">
          <cell r="G7562" t="str">
            <v xml:space="preserve">Xã Xuân Long  </v>
          </cell>
          <cell r="I7562" t="str">
            <v>50903</v>
          </cell>
        </row>
        <row r="7563">
          <cell r="G7563" t="str">
            <v>Xã Xuân Quang 1</v>
          </cell>
          <cell r="I7563" t="str">
            <v>50903</v>
          </cell>
        </row>
        <row r="7564">
          <cell r="G7564" t="str">
            <v>Xã Xuân Sơn Bắc</v>
          </cell>
          <cell r="I7564" t="str">
            <v>50903</v>
          </cell>
        </row>
        <row r="7565">
          <cell r="G7565" t="str">
            <v>Xã Xuân Sơn Nam</v>
          </cell>
          <cell r="I7565" t="str">
            <v>50903</v>
          </cell>
        </row>
        <row r="7566">
          <cell r="G7566" t="str">
            <v>Xã Xuân Phước</v>
          </cell>
          <cell r="I7566" t="str">
            <v>50903</v>
          </cell>
        </row>
        <row r="7567">
          <cell r="G7567" t="str">
            <v xml:space="preserve">Xã Xuân Lâm   </v>
          </cell>
          <cell r="I7567" t="str">
            <v>50905</v>
          </cell>
        </row>
        <row r="7568">
          <cell r="G7568" t="str">
            <v xml:space="preserve">Xã Xuân Phương   </v>
          </cell>
          <cell r="I7568" t="str">
            <v>50905</v>
          </cell>
        </row>
        <row r="7569">
          <cell r="G7569" t="str">
            <v xml:space="preserve">Xã Xuân Hải </v>
          </cell>
          <cell r="I7569" t="str">
            <v>50905</v>
          </cell>
        </row>
        <row r="7570">
          <cell r="G7570" t="str">
            <v>Xã Xuân Cảnh</v>
          </cell>
          <cell r="I7570" t="str">
            <v>50905</v>
          </cell>
        </row>
        <row r="7571">
          <cell r="G7571" t="str">
            <v>Xã Xuân Thọ 2</v>
          </cell>
          <cell r="I7571" t="str">
            <v>50905</v>
          </cell>
        </row>
        <row r="7572">
          <cell r="G7572" t="str">
            <v xml:space="preserve">Xã Xuân Lộc      </v>
          </cell>
          <cell r="I7572" t="str">
            <v>50905</v>
          </cell>
        </row>
        <row r="7573">
          <cell r="G7573" t="str">
            <v xml:space="preserve">Xã Xuân Bình </v>
          </cell>
          <cell r="I7573" t="str">
            <v>50905</v>
          </cell>
        </row>
        <row r="7574">
          <cell r="G7574" t="str">
            <v xml:space="preserve">Xã Xuân Hòa        </v>
          </cell>
          <cell r="I7574" t="str">
            <v>50905</v>
          </cell>
        </row>
        <row r="7575">
          <cell r="G7575" t="str">
            <v xml:space="preserve">Xã Xuân Thịnh </v>
          </cell>
          <cell r="I7575" t="str">
            <v>50905</v>
          </cell>
        </row>
        <row r="7576">
          <cell r="G7576" t="str">
            <v>Xã Xuân Thọ 1</v>
          </cell>
          <cell r="I7576" t="str">
            <v>50905</v>
          </cell>
        </row>
        <row r="7577">
          <cell r="G7577" t="str">
            <v>Phường Xuân Yên</v>
          </cell>
          <cell r="I7577" t="str">
            <v>50905</v>
          </cell>
        </row>
        <row r="7578">
          <cell r="G7578" t="str">
            <v xml:space="preserve">Phường Xuân Phú </v>
          </cell>
          <cell r="I7578" t="str">
            <v>50905</v>
          </cell>
        </row>
        <row r="7579">
          <cell r="G7579" t="str">
            <v>Phường Xuân Thành</v>
          </cell>
          <cell r="I7579" t="str">
            <v>50905</v>
          </cell>
        </row>
        <row r="7580">
          <cell r="G7580" t="str">
            <v>Phường Xuân Đài</v>
          </cell>
          <cell r="I7580" t="str">
            <v>50905</v>
          </cell>
        </row>
        <row r="7581">
          <cell r="G7581" t="str">
            <v xml:space="preserve">Xã An Hòa     </v>
          </cell>
          <cell r="I7581" t="str">
            <v>50907</v>
          </cell>
        </row>
        <row r="7582">
          <cell r="G7582" t="str">
            <v>Thị trấn Chí Thạnh</v>
          </cell>
          <cell r="I7582" t="str">
            <v>50907</v>
          </cell>
        </row>
        <row r="7583">
          <cell r="G7583" t="str">
            <v>Xã An Định</v>
          </cell>
          <cell r="I7583" t="str">
            <v>50907</v>
          </cell>
        </row>
        <row r="7584">
          <cell r="G7584" t="str">
            <v>Xã An Xuân</v>
          </cell>
          <cell r="I7584" t="str">
            <v>50907</v>
          </cell>
        </row>
        <row r="7585">
          <cell r="G7585" t="str">
            <v xml:space="preserve">Xã An Hiệp </v>
          </cell>
          <cell r="I7585" t="str">
            <v>50907</v>
          </cell>
        </row>
        <row r="7586">
          <cell r="G7586" t="str">
            <v>Xã An Dân</v>
          </cell>
          <cell r="I7586" t="str">
            <v>50907</v>
          </cell>
        </row>
        <row r="7587">
          <cell r="G7587" t="str">
            <v>Xã An Ninh Tây</v>
          </cell>
          <cell r="I7587" t="str">
            <v>50907</v>
          </cell>
        </row>
        <row r="7588">
          <cell r="G7588" t="str">
            <v>Xã An Ninh Đông</v>
          </cell>
          <cell r="I7588" t="str">
            <v>50907</v>
          </cell>
        </row>
        <row r="7589">
          <cell r="G7589" t="str">
            <v>Xã An Thạch</v>
          </cell>
          <cell r="I7589" t="str">
            <v>50907</v>
          </cell>
        </row>
        <row r="7590">
          <cell r="G7590" t="str">
            <v>Xã An Nghiệp</v>
          </cell>
          <cell r="I7590" t="str">
            <v>50907</v>
          </cell>
        </row>
        <row r="7591">
          <cell r="G7591" t="str">
            <v xml:space="preserve">Xã An Hải </v>
          </cell>
          <cell r="I7591" t="str">
            <v>50907</v>
          </cell>
        </row>
        <row r="7592">
          <cell r="G7592" t="str">
            <v>Xã An Cư</v>
          </cell>
          <cell r="I7592" t="str">
            <v>50907</v>
          </cell>
        </row>
        <row r="7593">
          <cell r="G7593" t="str">
            <v>Xã An Lĩnh</v>
          </cell>
          <cell r="I7593" t="str">
            <v>50907</v>
          </cell>
        </row>
        <row r="7594">
          <cell r="G7594" t="str">
            <v xml:space="preserve">Xã An Mỹ   </v>
          </cell>
          <cell r="I7594" t="str">
            <v>50907</v>
          </cell>
        </row>
        <row r="7595">
          <cell r="G7595" t="str">
            <v>Xã An Chấn</v>
          </cell>
          <cell r="I7595" t="str">
            <v>50907</v>
          </cell>
        </row>
        <row r="7596">
          <cell r="G7596" t="str">
            <v xml:space="preserve">Xã An Thọ </v>
          </cell>
          <cell r="I7596" t="str">
            <v>50907</v>
          </cell>
        </row>
        <row r="7597">
          <cell r="G7597" t="str">
            <v>Xã Sơn Xuân</v>
          </cell>
          <cell r="I7597" t="str">
            <v>50909</v>
          </cell>
        </row>
        <row r="7598">
          <cell r="G7598" t="str">
            <v>Thị trấn Củng Sơn</v>
          </cell>
          <cell r="I7598" t="str">
            <v>50909</v>
          </cell>
        </row>
        <row r="7599">
          <cell r="G7599" t="str">
            <v>Xã Suối Trai</v>
          </cell>
          <cell r="I7599" t="str">
            <v>50909</v>
          </cell>
        </row>
        <row r="7600">
          <cell r="G7600" t="str">
            <v xml:space="preserve">Xã Sơn Long  </v>
          </cell>
          <cell r="I7600" t="str">
            <v>50909</v>
          </cell>
        </row>
        <row r="7601">
          <cell r="G7601" t="str">
            <v>Xã Cà Lúi</v>
          </cell>
          <cell r="I7601" t="str">
            <v>50909</v>
          </cell>
        </row>
        <row r="7602">
          <cell r="G7602" t="str">
            <v>Xã Sơn Phước</v>
          </cell>
          <cell r="I7602" t="str">
            <v>50909</v>
          </cell>
        </row>
        <row r="7603">
          <cell r="G7603" t="str">
            <v>Xã Sơn Nguyên</v>
          </cell>
          <cell r="I7603" t="str">
            <v>50909</v>
          </cell>
        </row>
        <row r="7604">
          <cell r="G7604" t="str">
            <v>Xã Eachà Rang</v>
          </cell>
          <cell r="I7604" t="str">
            <v>50909</v>
          </cell>
        </row>
        <row r="7605">
          <cell r="G7605" t="str">
            <v>Xã Krông Pa</v>
          </cell>
          <cell r="I7605" t="str">
            <v>50909</v>
          </cell>
        </row>
        <row r="7606">
          <cell r="G7606" t="str">
            <v>Xã Suối Bạc</v>
          </cell>
          <cell r="I7606" t="str">
            <v>50909</v>
          </cell>
        </row>
        <row r="7607">
          <cell r="G7607" t="str">
            <v xml:space="preserve">Xã Sơn Hà      </v>
          </cell>
          <cell r="I7607" t="str">
            <v>50909</v>
          </cell>
        </row>
        <row r="7608">
          <cell r="G7608" t="str">
            <v>Xã Sơn Định</v>
          </cell>
          <cell r="I7608" t="str">
            <v>50909</v>
          </cell>
        </row>
        <row r="7609">
          <cell r="G7609" t="str">
            <v>Xã Phước Tân</v>
          </cell>
          <cell r="I7609" t="str">
            <v>50909</v>
          </cell>
        </row>
        <row r="7610">
          <cell r="G7610" t="str">
            <v>Xã Sơn Hội</v>
          </cell>
          <cell r="I7610" t="str">
            <v>50909</v>
          </cell>
        </row>
        <row r="7611">
          <cell r="G7611" t="str">
            <v>Xã Hòa Tân Đông</v>
          </cell>
          <cell r="I7611" t="str">
            <v>50911</v>
          </cell>
        </row>
        <row r="7612">
          <cell r="G7612" t="str">
            <v>Xã Hòa Xuân Nam</v>
          </cell>
          <cell r="I7612" t="str">
            <v>50911</v>
          </cell>
        </row>
        <row r="7613">
          <cell r="G7613" t="str">
            <v>Xã Hòa Thành</v>
          </cell>
          <cell r="I7613" t="str">
            <v>50911</v>
          </cell>
        </row>
        <row r="7614">
          <cell r="G7614" t="str">
            <v>Xã Hòa Hiệp Bắc</v>
          </cell>
          <cell r="I7614" t="str">
            <v>50911</v>
          </cell>
        </row>
        <row r="7615">
          <cell r="G7615" t="str">
            <v>Thị trấn Hòa Vinh</v>
          </cell>
          <cell r="I7615" t="str">
            <v>50911</v>
          </cell>
        </row>
        <row r="7616">
          <cell r="G7616" t="str">
            <v>Thị trấn Hòa Hiệp Trung</v>
          </cell>
          <cell r="I7616" t="str">
            <v>50911</v>
          </cell>
        </row>
        <row r="7617">
          <cell r="G7617" t="str">
            <v>Xã Hòa Xuân Tây</v>
          </cell>
          <cell r="I7617" t="str">
            <v>50911</v>
          </cell>
        </row>
        <row r="7618">
          <cell r="G7618" t="str">
            <v>Xã Hòa Hiệp Nam</v>
          </cell>
          <cell r="I7618" t="str">
            <v>50911</v>
          </cell>
        </row>
        <row r="7619">
          <cell r="G7619" t="str">
            <v>Xã Hòa Xuân Đông</v>
          </cell>
          <cell r="I7619" t="str">
            <v>50911</v>
          </cell>
        </row>
        <row r="7620">
          <cell r="G7620" t="str">
            <v>Xã Hòa Tâm</v>
          </cell>
          <cell r="I7620" t="str">
            <v>50911</v>
          </cell>
        </row>
        <row r="7621">
          <cell r="G7621" t="str">
            <v xml:space="preserve"> Thị trấn Phú Thứ</v>
          </cell>
          <cell r="I7621" t="str">
            <v>50912</v>
          </cell>
        </row>
        <row r="7622">
          <cell r="G7622" t="str">
            <v xml:space="preserve">Xã Hòa Phú   </v>
          </cell>
          <cell r="I7622" t="str">
            <v>50912</v>
          </cell>
        </row>
        <row r="7623">
          <cell r="G7623" t="str">
            <v>Xã Hòa Mỹ Đông</v>
          </cell>
          <cell r="I7623" t="str">
            <v>50912</v>
          </cell>
        </row>
        <row r="7624">
          <cell r="G7624" t="str">
            <v>Xã Sơn Thành Tây</v>
          </cell>
          <cell r="I7624" t="str">
            <v>50912</v>
          </cell>
        </row>
        <row r="7625">
          <cell r="G7625" t="str">
            <v>Xã Sơn Thành Đông</v>
          </cell>
          <cell r="I7625" t="str">
            <v>50912</v>
          </cell>
        </row>
        <row r="7626">
          <cell r="G7626" t="str">
            <v>Xã Hòa Bình 1</v>
          </cell>
          <cell r="I7626" t="str">
            <v>50912</v>
          </cell>
        </row>
        <row r="7627">
          <cell r="G7627" t="str">
            <v xml:space="preserve">Xã Hòa Phong  </v>
          </cell>
          <cell r="I7627" t="str">
            <v>50912</v>
          </cell>
        </row>
        <row r="7628">
          <cell r="G7628" t="str">
            <v>Xã Hòa Tân Tây</v>
          </cell>
          <cell r="I7628" t="str">
            <v>50912</v>
          </cell>
        </row>
        <row r="7629">
          <cell r="G7629" t="str">
            <v>Xã Hòa Đồng</v>
          </cell>
          <cell r="I7629" t="str">
            <v>50912</v>
          </cell>
        </row>
        <row r="7630">
          <cell r="G7630" t="str">
            <v>Xã Hòa Mỹ Tây</v>
          </cell>
          <cell r="I7630" t="str">
            <v>50912</v>
          </cell>
        </row>
        <row r="7631">
          <cell r="G7631" t="str">
            <v>Xã Hòa Thịnh</v>
          </cell>
          <cell r="I7631" t="str">
            <v>50912</v>
          </cell>
        </row>
        <row r="7632">
          <cell r="G7632" t="str">
            <v xml:space="preserve">Xã Sơn Giang  </v>
          </cell>
          <cell r="I7632" t="str">
            <v>50913</v>
          </cell>
        </row>
        <row r="7633">
          <cell r="G7633" t="str">
            <v>Xã Ea Bá</v>
          </cell>
          <cell r="I7633" t="str">
            <v>50913</v>
          </cell>
        </row>
        <row r="7634">
          <cell r="G7634" t="str">
            <v>Xã EaBia</v>
          </cell>
          <cell r="I7634" t="str">
            <v>50913</v>
          </cell>
        </row>
        <row r="7635">
          <cell r="G7635" t="str">
            <v>Xã Ealy</v>
          </cell>
          <cell r="I7635" t="str">
            <v>50913</v>
          </cell>
        </row>
        <row r="7636">
          <cell r="G7636" t="str">
            <v>Thị trấn Hai Riêng</v>
          </cell>
          <cell r="I7636" t="str">
            <v>50913</v>
          </cell>
        </row>
        <row r="7637">
          <cell r="G7637" t="str">
            <v>Xã Ea Lâm</v>
          </cell>
          <cell r="I7637" t="str">
            <v>50913</v>
          </cell>
        </row>
        <row r="7638">
          <cell r="G7638" t="str">
            <v>Xã Đức Bình Tây</v>
          </cell>
          <cell r="I7638" t="str">
            <v>50913</v>
          </cell>
        </row>
        <row r="7639">
          <cell r="G7639" t="str">
            <v>Xã Đức Bình Đông</v>
          </cell>
          <cell r="I7639" t="str">
            <v>50913</v>
          </cell>
        </row>
        <row r="7640">
          <cell r="G7640" t="str">
            <v>Xã EaBar</v>
          </cell>
          <cell r="I7640" t="str">
            <v>50913</v>
          </cell>
        </row>
        <row r="7641">
          <cell r="G7641" t="str">
            <v>Xã EaTrol</v>
          </cell>
          <cell r="I7641" t="str">
            <v>50913</v>
          </cell>
        </row>
        <row r="7642">
          <cell r="G7642" t="str">
            <v>Xã Sông Hinh</v>
          </cell>
          <cell r="I7642" t="str">
            <v>50913</v>
          </cell>
        </row>
        <row r="7643">
          <cell r="G7643" t="str">
            <v xml:space="preserve">Xã Hòa An </v>
          </cell>
          <cell r="I7643" t="str">
            <v>50915</v>
          </cell>
        </row>
        <row r="7644">
          <cell r="G7644" t="str">
            <v>Xã Hòa Hội</v>
          </cell>
          <cell r="I7644" t="str">
            <v>50915</v>
          </cell>
        </row>
        <row r="7645">
          <cell r="G7645" t="str">
            <v>Xã Hòa Định Đông</v>
          </cell>
          <cell r="I7645" t="str">
            <v>50915</v>
          </cell>
        </row>
        <row r="7646">
          <cell r="G7646" t="str">
            <v>Xã Hòa Quang Bắc</v>
          </cell>
          <cell r="I7646" t="str">
            <v>50915</v>
          </cell>
        </row>
        <row r="7647">
          <cell r="G7647" t="str">
            <v>Xã Hòa Quang Nam</v>
          </cell>
          <cell r="I7647" t="str">
            <v>50915</v>
          </cell>
        </row>
        <row r="7648">
          <cell r="G7648" t="str">
            <v>Xã Hòa Trị</v>
          </cell>
          <cell r="I7648" t="str">
            <v>50915</v>
          </cell>
        </row>
        <row r="7649">
          <cell r="G7649" t="str">
            <v>Xã Hòa Định Tây</v>
          </cell>
          <cell r="I7649" t="str">
            <v>50915</v>
          </cell>
        </row>
        <row r="7650">
          <cell r="G7650" t="str">
            <v xml:space="preserve">Xã Hòa Thắng </v>
          </cell>
          <cell r="I7650" t="str">
            <v>50915</v>
          </cell>
        </row>
        <row r="7651">
          <cell r="G7651" t="str">
            <v>Thị trấn Phú Hòa</v>
          </cell>
          <cell r="I7651" t="str">
            <v>50915</v>
          </cell>
        </row>
        <row r="7652">
          <cell r="G7652" t="str">
            <v xml:space="preserve">Xã Vĩnh Hiệp </v>
          </cell>
          <cell r="I7652" t="str">
            <v>51101</v>
          </cell>
        </row>
        <row r="7653">
          <cell r="G7653" t="str">
            <v>Phường Phước Tân</v>
          </cell>
          <cell r="I7653" t="str">
            <v>51101</v>
          </cell>
        </row>
        <row r="7654">
          <cell r="G7654" t="str">
            <v>Phường Vĩnh Hòa</v>
          </cell>
          <cell r="I7654" t="str">
            <v>51101</v>
          </cell>
        </row>
        <row r="7655">
          <cell r="G7655" t="str">
            <v>Phường Ngọc Hiệp</v>
          </cell>
          <cell r="I7655" t="str">
            <v>51101</v>
          </cell>
        </row>
        <row r="7656">
          <cell r="G7656" t="str">
            <v>Phường Vạn Thạnh</v>
          </cell>
          <cell r="I7656" t="str">
            <v>51101</v>
          </cell>
        </row>
        <row r="7657">
          <cell r="G7657" t="str">
            <v>Phường Lộc Thọ</v>
          </cell>
          <cell r="I7657" t="str">
            <v>51101</v>
          </cell>
        </row>
        <row r="7658">
          <cell r="G7658" t="str">
            <v>Phường Vĩnh Nguyên</v>
          </cell>
          <cell r="I7658" t="str">
            <v>51101</v>
          </cell>
        </row>
        <row r="7659">
          <cell r="G7659" t="str">
            <v xml:space="preserve">Xã Vĩnh Ngọc </v>
          </cell>
          <cell r="I7659" t="str">
            <v>51101</v>
          </cell>
        </row>
        <row r="7660">
          <cell r="G7660" t="str">
            <v xml:space="preserve">Xã Vĩnh Thái </v>
          </cell>
          <cell r="I7660" t="str">
            <v>51101</v>
          </cell>
        </row>
        <row r="7661">
          <cell r="G7661" t="str">
            <v>Phường Vĩnh Hải</v>
          </cell>
          <cell r="I7661" t="str">
            <v>51101</v>
          </cell>
        </row>
        <row r="7662">
          <cell r="G7662" t="str">
            <v>Phường Vĩnh Phước</v>
          </cell>
          <cell r="I7662" t="str">
            <v>51101</v>
          </cell>
        </row>
        <row r="7663">
          <cell r="G7663" t="str">
            <v>Phường Vĩnh Thọ</v>
          </cell>
          <cell r="I7663" t="str">
            <v>51101</v>
          </cell>
        </row>
        <row r="7664">
          <cell r="G7664" t="str">
            <v>Phường Xương Huân</v>
          </cell>
          <cell r="I7664" t="str">
            <v>51101</v>
          </cell>
        </row>
        <row r="7665">
          <cell r="G7665" t="str">
            <v>Phường Vạn Thắng</v>
          </cell>
          <cell r="I7665" t="str">
            <v>51101</v>
          </cell>
        </row>
        <row r="7666">
          <cell r="G7666" t="str">
            <v>Phường Phương Sài</v>
          </cell>
          <cell r="I7666" t="str">
            <v>51101</v>
          </cell>
        </row>
        <row r="7667">
          <cell r="G7667" t="str">
            <v>Phường Phương Sơn</v>
          </cell>
          <cell r="I7667" t="str">
            <v>51101</v>
          </cell>
        </row>
        <row r="7668">
          <cell r="G7668" t="str">
            <v>Phường Phước Hải</v>
          </cell>
          <cell r="I7668" t="str">
            <v>51101</v>
          </cell>
        </row>
        <row r="7669">
          <cell r="G7669" t="str">
            <v>Phường Phước Tiến</v>
          </cell>
          <cell r="I7669" t="str">
            <v>51101</v>
          </cell>
        </row>
        <row r="7670">
          <cell r="G7670" t="str">
            <v xml:space="preserve">Phường Tân Lập </v>
          </cell>
          <cell r="I7670" t="str">
            <v>51101</v>
          </cell>
        </row>
        <row r="7671">
          <cell r="G7671" t="str">
            <v xml:space="preserve">Phường Phước Hòa </v>
          </cell>
          <cell r="I7671" t="str">
            <v>51101</v>
          </cell>
        </row>
        <row r="7672">
          <cell r="G7672" t="str">
            <v>Phường Phước Long</v>
          </cell>
          <cell r="I7672" t="str">
            <v>51101</v>
          </cell>
        </row>
        <row r="7673">
          <cell r="G7673" t="str">
            <v>Phường Vĩnh Trường</v>
          </cell>
          <cell r="I7673" t="str">
            <v>51101</v>
          </cell>
        </row>
        <row r="7674">
          <cell r="G7674" t="str">
            <v>Xã Vĩnh Lương</v>
          </cell>
          <cell r="I7674" t="str">
            <v>51101</v>
          </cell>
        </row>
        <row r="7675">
          <cell r="G7675" t="str">
            <v>Xã Vĩnh Phương</v>
          </cell>
          <cell r="I7675" t="str">
            <v>51101</v>
          </cell>
        </row>
        <row r="7676">
          <cell r="G7676" t="str">
            <v>Xã Vĩnh Thạnh</v>
          </cell>
          <cell r="I7676" t="str">
            <v>51101</v>
          </cell>
        </row>
        <row r="7677">
          <cell r="G7677" t="str">
            <v xml:space="preserve">Xã Vĩnh Trung  </v>
          </cell>
          <cell r="I7677" t="str">
            <v>51101</v>
          </cell>
        </row>
        <row r="7678">
          <cell r="G7678" t="str">
            <v>Xã Phước Đồng</v>
          </cell>
          <cell r="I7678" t="str">
            <v>51101</v>
          </cell>
        </row>
        <row r="7679">
          <cell r="G7679" t="str">
            <v>Xã Vạn Long</v>
          </cell>
          <cell r="I7679" t="str">
            <v>51103</v>
          </cell>
        </row>
        <row r="7680">
          <cell r="G7680" t="str">
            <v>Xã Vạn Hưng</v>
          </cell>
          <cell r="I7680" t="str">
            <v>51103</v>
          </cell>
        </row>
        <row r="7681">
          <cell r="G7681" t="str">
            <v xml:space="preserve">Xã Đại Lãnh </v>
          </cell>
          <cell r="I7681" t="str">
            <v>51103</v>
          </cell>
        </row>
        <row r="7682">
          <cell r="G7682" t="str">
            <v>Xã Vạn Phước</v>
          </cell>
          <cell r="I7682" t="str">
            <v>51103</v>
          </cell>
        </row>
        <row r="7683">
          <cell r="G7683" t="str">
            <v>Xã Vạn Bình</v>
          </cell>
          <cell r="I7683" t="str">
            <v>51103</v>
          </cell>
        </row>
        <row r="7684">
          <cell r="G7684" t="str">
            <v xml:space="preserve">Xã Vạn Thọ </v>
          </cell>
          <cell r="I7684" t="str">
            <v>51103</v>
          </cell>
        </row>
        <row r="7685">
          <cell r="G7685" t="str">
            <v>Xã Vạn Khánh</v>
          </cell>
          <cell r="I7685" t="str">
            <v>51103</v>
          </cell>
        </row>
        <row r="7686">
          <cell r="G7686" t="str">
            <v>Xã Vạn Phú</v>
          </cell>
          <cell r="I7686" t="str">
            <v>51103</v>
          </cell>
        </row>
        <row r="7687">
          <cell r="G7687" t="str">
            <v>Xã Vạn Lương</v>
          </cell>
          <cell r="I7687" t="str">
            <v>51103</v>
          </cell>
        </row>
        <row r="7688">
          <cell r="G7688" t="str">
            <v xml:space="preserve">Xã Vạn Thắng  </v>
          </cell>
          <cell r="I7688" t="str">
            <v>51103</v>
          </cell>
        </row>
        <row r="7689">
          <cell r="G7689" t="str">
            <v>Xã Vạn Thạnh</v>
          </cell>
          <cell r="I7689" t="str">
            <v>51103</v>
          </cell>
        </row>
        <row r="7690">
          <cell r="G7690" t="str">
            <v xml:space="preserve">Xã Xuân Sơn     </v>
          </cell>
          <cell r="I7690" t="str">
            <v>51103</v>
          </cell>
        </row>
        <row r="7691">
          <cell r="G7691" t="str">
            <v>Thị trấn Vạn Giã</v>
          </cell>
          <cell r="I7691" t="str">
            <v>51103</v>
          </cell>
        </row>
        <row r="7692">
          <cell r="G7692" t="str">
            <v>Phường Ninh Hiệp</v>
          </cell>
          <cell r="I7692" t="str">
            <v>51105</v>
          </cell>
        </row>
        <row r="7693">
          <cell r="G7693" t="str">
            <v>Phường Ninh Thủy</v>
          </cell>
          <cell r="I7693" t="str">
            <v>51105</v>
          </cell>
        </row>
        <row r="7694">
          <cell r="G7694" t="str">
            <v>Xã Ninh ích</v>
          </cell>
          <cell r="I7694" t="str">
            <v>51105</v>
          </cell>
        </row>
        <row r="7695">
          <cell r="G7695" t="str">
            <v>Xã Ninh Thượng</v>
          </cell>
          <cell r="I7695" t="str">
            <v>51105</v>
          </cell>
        </row>
        <row r="7696">
          <cell r="G7696" t="str">
            <v>Xã Ninh Trung</v>
          </cell>
          <cell r="I7696" t="str">
            <v>51105</v>
          </cell>
        </row>
        <row r="7697">
          <cell r="G7697" t="str">
            <v>Phường Ninh Diêm</v>
          </cell>
          <cell r="I7697" t="str">
            <v>51105</v>
          </cell>
        </row>
        <row r="7698">
          <cell r="G7698" t="str">
            <v>Xã Ninh Phụng</v>
          </cell>
          <cell r="I7698" t="str">
            <v>51105</v>
          </cell>
        </row>
        <row r="7699">
          <cell r="G7699" t="str">
            <v>Xã Ninh Tân</v>
          </cell>
          <cell r="I7699" t="str">
            <v>51105</v>
          </cell>
        </row>
        <row r="7700">
          <cell r="G7700" t="str">
            <v>Xã Ninh Hưng</v>
          </cell>
          <cell r="I7700" t="str">
            <v>51105</v>
          </cell>
        </row>
        <row r="7701">
          <cell r="G7701" t="str">
            <v xml:space="preserve">Xã Ninh Sơn </v>
          </cell>
          <cell r="I7701" t="str">
            <v>51105</v>
          </cell>
        </row>
        <row r="7702">
          <cell r="G7702" t="str">
            <v>Xã Ninh Tây</v>
          </cell>
          <cell r="I7702" t="str">
            <v>51105</v>
          </cell>
        </row>
        <row r="7703">
          <cell r="G7703" t="str">
            <v xml:space="preserve">Xã Ninh An </v>
          </cell>
          <cell r="I7703" t="str">
            <v>51105</v>
          </cell>
        </row>
        <row r="7704">
          <cell r="G7704" t="str">
            <v>Phường Ninh Hải</v>
          </cell>
          <cell r="I7704" t="str">
            <v>51105</v>
          </cell>
        </row>
        <row r="7705">
          <cell r="G7705" t="str">
            <v>Xã Ninh Thọ</v>
          </cell>
          <cell r="I7705" t="str">
            <v>51105</v>
          </cell>
        </row>
        <row r="7706">
          <cell r="G7706" t="str">
            <v>Xã Ninh Sim</v>
          </cell>
          <cell r="I7706" t="str">
            <v>51105</v>
          </cell>
        </row>
        <row r="7707">
          <cell r="G7707" t="str">
            <v xml:space="preserve">Xã Ninh Xuân </v>
          </cell>
          <cell r="I7707" t="str">
            <v>51105</v>
          </cell>
        </row>
        <row r="7708">
          <cell r="G7708" t="str">
            <v>Xã Ninh Thân</v>
          </cell>
          <cell r="I7708" t="str">
            <v>51105</v>
          </cell>
        </row>
        <row r="7709">
          <cell r="G7709" t="str">
            <v>Xã Ninh Đông</v>
          </cell>
          <cell r="I7709" t="str">
            <v>51105</v>
          </cell>
        </row>
        <row r="7710">
          <cell r="G7710" t="str">
            <v>Phường Ninh Đa</v>
          </cell>
          <cell r="I7710" t="str">
            <v>51105</v>
          </cell>
        </row>
        <row r="7711">
          <cell r="G7711" t="str">
            <v>Xã Ninh Bình</v>
          </cell>
          <cell r="I7711" t="str">
            <v>51105</v>
          </cell>
        </row>
        <row r="7712">
          <cell r="G7712" t="str">
            <v>Xã Ninh Phước</v>
          </cell>
          <cell r="I7712" t="str">
            <v>51105</v>
          </cell>
        </row>
        <row r="7713">
          <cell r="G7713" t="str">
            <v>Xã Ninh Phú</v>
          </cell>
          <cell r="I7713" t="str">
            <v>51105</v>
          </cell>
        </row>
        <row r="7714">
          <cell r="G7714" t="str">
            <v>Xã Ninh Quang</v>
          </cell>
          <cell r="I7714" t="str">
            <v>51105</v>
          </cell>
        </row>
        <row r="7715">
          <cell r="G7715" t="str">
            <v>Phường Ninh Giang</v>
          </cell>
          <cell r="I7715" t="str">
            <v>51105</v>
          </cell>
        </row>
        <row r="7716">
          <cell r="G7716" t="str">
            <v>Phường Ninh Hà</v>
          </cell>
          <cell r="I7716" t="str">
            <v>51105</v>
          </cell>
        </row>
        <row r="7717">
          <cell r="G7717" t="str">
            <v>Xã Ninh Lộc</v>
          </cell>
          <cell r="I7717" t="str">
            <v>51105</v>
          </cell>
        </row>
        <row r="7718">
          <cell r="G7718" t="str">
            <v xml:space="preserve">Xã Ninh Vân </v>
          </cell>
          <cell r="I7718" t="str">
            <v>51105</v>
          </cell>
        </row>
        <row r="7719">
          <cell r="G7719" t="str">
            <v>Xã Diên Phú</v>
          </cell>
          <cell r="I7719" t="str">
            <v>51107</v>
          </cell>
        </row>
        <row r="7720">
          <cell r="G7720" t="str">
            <v>Xã Suối Tiên</v>
          </cell>
          <cell r="I7720" t="str">
            <v>51107</v>
          </cell>
        </row>
        <row r="7721">
          <cell r="G7721" t="str">
            <v>Thị trấn Diên Khánh</v>
          </cell>
          <cell r="I7721" t="str">
            <v>51107</v>
          </cell>
        </row>
        <row r="7722">
          <cell r="G7722" t="str">
            <v>Xã Diên Sơn</v>
          </cell>
          <cell r="I7722" t="str">
            <v>51107</v>
          </cell>
        </row>
        <row r="7723">
          <cell r="G7723" t="str">
            <v>Xã Diên Phước</v>
          </cell>
          <cell r="I7723" t="str">
            <v>51107</v>
          </cell>
        </row>
        <row r="7724">
          <cell r="G7724" t="str">
            <v>Xã Diên Thạnh</v>
          </cell>
          <cell r="I7724" t="str">
            <v>51107</v>
          </cell>
        </row>
        <row r="7725">
          <cell r="G7725" t="str">
            <v>Xã Suối Hiệp</v>
          </cell>
          <cell r="I7725" t="str">
            <v>51107</v>
          </cell>
        </row>
        <row r="7726">
          <cell r="G7726" t="str">
            <v>Xã Diên Lâm</v>
          </cell>
          <cell r="I7726" t="str">
            <v>51107</v>
          </cell>
        </row>
        <row r="7727">
          <cell r="G7727" t="str">
            <v>Xã Diên Điền</v>
          </cell>
          <cell r="I7727" t="str">
            <v>51107</v>
          </cell>
        </row>
        <row r="7728">
          <cell r="G7728" t="str">
            <v>Xã Diên Xuân</v>
          </cell>
          <cell r="I7728" t="str">
            <v>51107</v>
          </cell>
        </row>
        <row r="7729">
          <cell r="G7729" t="str">
            <v>Xã Diên Đồng</v>
          </cell>
          <cell r="I7729" t="str">
            <v>51107</v>
          </cell>
        </row>
        <row r="7730">
          <cell r="G7730" t="str">
            <v>Xã Diên Thọ</v>
          </cell>
          <cell r="I7730" t="str">
            <v>51107</v>
          </cell>
        </row>
        <row r="7731">
          <cell r="G7731" t="str">
            <v>Xã Diên Lạc</v>
          </cell>
          <cell r="I7731" t="str">
            <v>51107</v>
          </cell>
        </row>
        <row r="7732">
          <cell r="G7732" t="str">
            <v>Xã Diên Tân</v>
          </cell>
          <cell r="I7732" t="str">
            <v>51107</v>
          </cell>
        </row>
        <row r="7733">
          <cell r="G7733" t="str">
            <v>Xã Diên Hòa</v>
          </cell>
          <cell r="I7733" t="str">
            <v>51107</v>
          </cell>
        </row>
        <row r="7734">
          <cell r="G7734" t="str">
            <v>Xã Diên Toàn</v>
          </cell>
          <cell r="I7734" t="str">
            <v>51107</v>
          </cell>
        </row>
        <row r="7735">
          <cell r="G7735" t="str">
            <v>Xã Diên An</v>
          </cell>
          <cell r="I7735" t="str">
            <v>51107</v>
          </cell>
        </row>
        <row r="7736">
          <cell r="G7736" t="str">
            <v>Xã Diên Bình</v>
          </cell>
          <cell r="I7736" t="str">
            <v>51107</v>
          </cell>
        </row>
        <row r="7737">
          <cell r="G7737" t="str">
            <v>Xã Diên Lộc</v>
          </cell>
          <cell r="I7737" t="str">
            <v>51107</v>
          </cell>
        </row>
        <row r="7738">
          <cell r="G7738" t="str">
            <v>Phường Cam Thuận</v>
          </cell>
          <cell r="I7738" t="str">
            <v>51109</v>
          </cell>
        </row>
        <row r="7739">
          <cell r="G7739" t="str">
            <v>Xã Cam Bình</v>
          </cell>
          <cell r="I7739" t="str">
            <v>51109</v>
          </cell>
        </row>
        <row r="7740">
          <cell r="G7740" t="str">
            <v>Phường Cam Nghĩa</v>
          </cell>
          <cell r="I7740" t="str">
            <v>51109</v>
          </cell>
        </row>
        <row r="7741">
          <cell r="G7741" t="str">
            <v>Phường Cam Phúc Bắc</v>
          </cell>
          <cell r="I7741" t="str">
            <v>51109</v>
          </cell>
        </row>
        <row r="7742">
          <cell r="G7742" t="str">
            <v>Phường Cam Phúc Nam</v>
          </cell>
          <cell r="I7742" t="str">
            <v>51109</v>
          </cell>
        </row>
        <row r="7743">
          <cell r="G7743" t="str">
            <v>Phường Cam Lộc</v>
          </cell>
          <cell r="I7743" t="str">
            <v>51109</v>
          </cell>
        </row>
        <row r="7744">
          <cell r="G7744" t="str">
            <v>Phường Cam Phú</v>
          </cell>
          <cell r="I7744" t="str">
            <v>51109</v>
          </cell>
        </row>
        <row r="7745">
          <cell r="G7745" t="str">
            <v>Phường Ba Ngòi</v>
          </cell>
          <cell r="I7745" t="str">
            <v>51109</v>
          </cell>
        </row>
        <row r="7746">
          <cell r="G7746" t="str">
            <v>Phường Cam Lợi</v>
          </cell>
          <cell r="I7746" t="str">
            <v>51109</v>
          </cell>
        </row>
        <row r="7747">
          <cell r="G7747" t="str">
            <v>Phường Cam Linh</v>
          </cell>
          <cell r="I7747" t="str">
            <v>51109</v>
          </cell>
        </row>
        <row r="7748">
          <cell r="G7748" t="str">
            <v>Xã Cam Thành Nam</v>
          </cell>
          <cell r="I7748" t="str">
            <v>51109</v>
          </cell>
        </row>
        <row r="7749">
          <cell r="G7749" t="str">
            <v>Xã Cam Phước Đông</v>
          </cell>
          <cell r="I7749" t="str">
            <v>51109</v>
          </cell>
        </row>
        <row r="7750">
          <cell r="G7750" t="str">
            <v>Xã Cam Thịnh Tây</v>
          </cell>
          <cell r="I7750" t="str">
            <v>51109</v>
          </cell>
        </row>
        <row r="7751">
          <cell r="G7751" t="str">
            <v>Xã Cam Thịnh Đông</v>
          </cell>
          <cell r="I7751" t="str">
            <v>51109</v>
          </cell>
        </row>
        <row r="7752">
          <cell r="G7752" t="str">
            <v>Xã Cam Lập</v>
          </cell>
          <cell r="I7752" t="str">
            <v>51109</v>
          </cell>
        </row>
        <row r="7753">
          <cell r="G7753" t="str">
            <v>Xã Cầu Bà</v>
          </cell>
          <cell r="I7753" t="str">
            <v>51111</v>
          </cell>
        </row>
        <row r="7754">
          <cell r="G7754" t="str">
            <v>Thị trấn Khánh Vĩnh</v>
          </cell>
          <cell r="I7754" t="str">
            <v>51111</v>
          </cell>
        </row>
        <row r="7755">
          <cell r="G7755" t="str">
            <v xml:space="preserve">Xã Khánh Thượng  </v>
          </cell>
          <cell r="I7755" t="str">
            <v>51111</v>
          </cell>
        </row>
        <row r="7756">
          <cell r="G7756" t="str">
            <v>Xã Liên Sang</v>
          </cell>
          <cell r="I7756" t="str">
            <v>51111</v>
          </cell>
        </row>
        <row r="7757">
          <cell r="G7757" t="str">
            <v>Xã Khánh Hiệp</v>
          </cell>
          <cell r="I7757" t="str">
            <v>51111</v>
          </cell>
        </row>
        <row r="7758">
          <cell r="G7758" t="str">
            <v>Xã Khánh Bình</v>
          </cell>
          <cell r="I7758" t="str">
            <v>51111</v>
          </cell>
        </row>
        <row r="7759">
          <cell r="G7759" t="str">
            <v xml:space="preserve">Xã Khánh Trung </v>
          </cell>
          <cell r="I7759" t="str">
            <v>51111</v>
          </cell>
        </row>
        <row r="7760">
          <cell r="G7760" t="str">
            <v>Xã Khánh Đông</v>
          </cell>
          <cell r="I7760" t="str">
            <v>51111</v>
          </cell>
        </row>
        <row r="7761">
          <cell r="G7761" t="str">
            <v>Xã Khánh Nam</v>
          </cell>
          <cell r="I7761" t="str">
            <v>51111</v>
          </cell>
        </row>
        <row r="7762">
          <cell r="G7762" t="str">
            <v>Xã Sông Cầu</v>
          </cell>
          <cell r="I7762" t="str">
            <v>51111</v>
          </cell>
        </row>
        <row r="7763">
          <cell r="G7763" t="str">
            <v>Xã Giang Ly</v>
          </cell>
          <cell r="I7763" t="str">
            <v>51111</v>
          </cell>
        </row>
        <row r="7764">
          <cell r="G7764" t="str">
            <v xml:space="preserve">Xã Khánh Thành  </v>
          </cell>
          <cell r="I7764" t="str">
            <v>51111</v>
          </cell>
        </row>
        <row r="7765">
          <cell r="G7765" t="str">
            <v xml:space="preserve">Xã Khánh Phú </v>
          </cell>
          <cell r="I7765" t="str">
            <v>51111</v>
          </cell>
        </row>
        <row r="7766">
          <cell r="G7766" t="str">
            <v>Xã Sơn Thái</v>
          </cell>
          <cell r="I7766" t="str">
            <v>51111</v>
          </cell>
        </row>
        <row r="7767">
          <cell r="G7767" t="str">
            <v>Thị trấn Tô Hạp</v>
          </cell>
          <cell r="I7767" t="str">
            <v>51113</v>
          </cell>
        </row>
        <row r="7768">
          <cell r="G7768" t="str">
            <v xml:space="preserve">Xã Sơn Bình  </v>
          </cell>
          <cell r="I7768" t="str">
            <v>51113</v>
          </cell>
        </row>
        <row r="7769">
          <cell r="G7769" t="str">
            <v xml:space="preserve">Xã Thành Sơn   </v>
          </cell>
          <cell r="I7769" t="str">
            <v>51113</v>
          </cell>
        </row>
        <row r="7770">
          <cell r="G7770" t="str">
            <v xml:space="preserve">Xã Sơn Lâm </v>
          </cell>
          <cell r="I7770" t="str">
            <v>51113</v>
          </cell>
        </row>
        <row r="7771">
          <cell r="G7771" t="str">
            <v>Xã Sơn Hiệp</v>
          </cell>
          <cell r="I7771" t="str">
            <v>51113</v>
          </cell>
        </row>
        <row r="7772">
          <cell r="G7772" t="str">
            <v xml:space="preserve">Xã Sơn Trung  </v>
          </cell>
          <cell r="I7772" t="str">
            <v>51113</v>
          </cell>
        </row>
        <row r="7773">
          <cell r="G7773" t="str">
            <v>Xã Ba Cụm Bắc</v>
          </cell>
          <cell r="I7773" t="str">
            <v>51113</v>
          </cell>
        </row>
        <row r="7774">
          <cell r="G7774" t="str">
            <v>Xã Ba Cụm Nam</v>
          </cell>
          <cell r="I7774" t="str">
            <v>51113</v>
          </cell>
        </row>
        <row r="7775">
          <cell r="G7775" t="str">
            <v>Thị trấn Trường Sa</v>
          </cell>
          <cell r="I7775" t="str">
            <v>51115</v>
          </cell>
        </row>
        <row r="7776">
          <cell r="G7776" t="str">
            <v>Xã Song Tử Tây</v>
          </cell>
          <cell r="I7776" t="str">
            <v>51115</v>
          </cell>
        </row>
        <row r="7777">
          <cell r="G7777" t="str">
            <v>Xã Sinh Tồn</v>
          </cell>
          <cell r="I7777" t="str">
            <v>51115</v>
          </cell>
        </row>
        <row r="7778">
          <cell r="G7778" t="str">
            <v>Thị trấn Cam Đức</v>
          </cell>
          <cell r="I7778" t="str">
            <v>51117</v>
          </cell>
        </row>
        <row r="7779">
          <cell r="G7779" t="str">
            <v>Xã Suối Cát</v>
          </cell>
          <cell r="I7779" t="str">
            <v>51117</v>
          </cell>
        </row>
        <row r="7780">
          <cell r="G7780" t="str">
            <v>Xã Suối Tân</v>
          </cell>
          <cell r="I7780" t="str">
            <v>51117</v>
          </cell>
        </row>
        <row r="7781">
          <cell r="G7781" t="str">
            <v>Xã Cam Tân</v>
          </cell>
          <cell r="I7781" t="str">
            <v>51117</v>
          </cell>
        </row>
        <row r="7782">
          <cell r="G7782" t="str">
            <v>Xã Cam Hòa</v>
          </cell>
          <cell r="I7782" t="str">
            <v>51117</v>
          </cell>
        </row>
        <row r="7783">
          <cell r="G7783" t="str">
            <v>Xã Cam Hải Đông</v>
          </cell>
          <cell r="I7783" t="str">
            <v>51117</v>
          </cell>
        </row>
        <row r="7784">
          <cell r="G7784" t="str">
            <v>Xã Cam Hải Tây</v>
          </cell>
          <cell r="I7784" t="str">
            <v>51117</v>
          </cell>
        </row>
        <row r="7785">
          <cell r="G7785" t="str">
            <v>Xã Cam Hiệp Bắc</v>
          </cell>
          <cell r="I7785" t="str">
            <v>51117</v>
          </cell>
        </row>
        <row r="7786">
          <cell r="G7786" t="str">
            <v>Xã Cam Hiệp Nam</v>
          </cell>
          <cell r="I7786" t="str">
            <v>51117</v>
          </cell>
        </row>
        <row r="7787">
          <cell r="G7787" t="str">
            <v>Xã Cam Thành Bắc</v>
          </cell>
          <cell r="I7787" t="str">
            <v>51117</v>
          </cell>
        </row>
        <row r="7788">
          <cell r="G7788" t="str">
            <v>Xã Cam An Bắc</v>
          </cell>
          <cell r="I7788" t="str">
            <v>51117</v>
          </cell>
        </row>
        <row r="7789">
          <cell r="G7789" t="str">
            <v>Xã Cam An Nam</v>
          </cell>
          <cell r="I7789" t="str">
            <v>51117</v>
          </cell>
        </row>
        <row r="7790">
          <cell r="G7790" t="str">
            <v>Xã Cam Phước Tây</v>
          </cell>
          <cell r="I7790" t="str">
            <v>51117</v>
          </cell>
        </row>
        <row r="7791">
          <cell r="G7791" t="str">
            <v xml:space="preserve">Xã Sơn Tân  </v>
          </cell>
          <cell r="I7791" t="str">
            <v>51117</v>
          </cell>
        </row>
        <row r="7792">
          <cell r="G7792" t="str">
            <v xml:space="preserve">Phường Lê Lợi      </v>
          </cell>
          <cell r="I7792" t="str">
            <v>60101</v>
          </cell>
        </row>
        <row r="7793">
          <cell r="G7793" t="str">
            <v xml:space="preserve">Xã Hòa Bình             </v>
          </cell>
          <cell r="I7793" t="str">
            <v>60101</v>
          </cell>
        </row>
        <row r="7794">
          <cell r="G7794" t="str">
            <v xml:space="preserve">Phường Quang Trung              </v>
          </cell>
          <cell r="I7794" t="str">
            <v>60101</v>
          </cell>
        </row>
        <row r="7795">
          <cell r="G7795" t="str">
            <v xml:space="preserve">Phường Thắng Lợi </v>
          </cell>
          <cell r="I7795" t="str">
            <v>60101</v>
          </cell>
        </row>
        <row r="7796">
          <cell r="G7796" t="str">
            <v xml:space="preserve">Phường Trần Hưng Đạo        </v>
          </cell>
          <cell r="I7796" t="str">
            <v>60101</v>
          </cell>
        </row>
        <row r="7797">
          <cell r="G7797" t="str">
            <v>Xã Đắk Blà</v>
          </cell>
          <cell r="I7797" t="str">
            <v>60101</v>
          </cell>
        </row>
        <row r="7798">
          <cell r="G7798" t="str">
            <v>Xã Đắk Rơ Wa</v>
          </cell>
          <cell r="I7798" t="str">
            <v>60101</v>
          </cell>
        </row>
        <row r="7799">
          <cell r="G7799" t="str">
            <v>Phường Duy Tân</v>
          </cell>
          <cell r="I7799" t="str">
            <v>60101</v>
          </cell>
        </row>
        <row r="7800">
          <cell r="G7800" t="str">
            <v xml:space="preserve">Phường Quyết Thắng  </v>
          </cell>
          <cell r="I7800" t="str">
            <v>60101</v>
          </cell>
        </row>
        <row r="7801">
          <cell r="G7801" t="str">
            <v>Phường Trường Chinh</v>
          </cell>
          <cell r="I7801" t="str">
            <v>60101</v>
          </cell>
        </row>
        <row r="7802">
          <cell r="G7802" t="str">
            <v xml:space="preserve">Phường Ngô Mây </v>
          </cell>
          <cell r="I7802" t="str">
            <v>60101</v>
          </cell>
        </row>
        <row r="7803">
          <cell r="G7803" t="str">
            <v xml:space="preserve">Phường Thống Nhất  </v>
          </cell>
          <cell r="I7803" t="str">
            <v>60101</v>
          </cell>
        </row>
        <row r="7804">
          <cell r="G7804" t="str">
            <v xml:space="preserve">Phường Nguyễn Trãi   </v>
          </cell>
          <cell r="I7804" t="str">
            <v>60101</v>
          </cell>
        </row>
        <row r="7805">
          <cell r="G7805" t="str">
            <v>Xã Đắk Cấm</v>
          </cell>
          <cell r="I7805" t="str">
            <v>60101</v>
          </cell>
        </row>
        <row r="7806">
          <cell r="G7806" t="str">
            <v>Xã Kroong</v>
          </cell>
          <cell r="I7806" t="str">
            <v>60101</v>
          </cell>
        </row>
        <row r="7807">
          <cell r="G7807" t="str">
            <v>Xã Ngọk Bay</v>
          </cell>
          <cell r="I7807" t="str">
            <v>60101</v>
          </cell>
        </row>
        <row r="7808">
          <cell r="G7808" t="str">
            <v xml:space="preserve">Xã Vinh Quang   </v>
          </cell>
          <cell r="I7808" t="str">
            <v>60101</v>
          </cell>
        </row>
        <row r="7809">
          <cell r="G7809" t="str">
            <v>Xã Ia Chim</v>
          </cell>
          <cell r="I7809" t="str">
            <v>60101</v>
          </cell>
        </row>
        <row r="7810">
          <cell r="G7810" t="str">
            <v xml:space="preserve">Xã Đoàn Kết     </v>
          </cell>
          <cell r="I7810" t="str">
            <v>60101</v>
          </cell>
        </row>
        <row r="7811">
          <cell r="G7811" t="str">
            <v>Xã Chư Hreng</v>
          </cell>
          <cell r="I7811" t="str">
            <v>60101</v>
          </cell>
        </row>
        <row r="7812">
          <cell r="G7812" t="str">
            <v>Xã Đăk Năng</v>
          </cell>
          <cell r="I7812" t="str">
            <v>60101</v>
          </cell>
        </row>
        <row r="7813">
          <cell r="G7813" t="str">
            <v>Xã Đắk Môn</v>
          </cell>
          <cell r="I7813" t="str">
            <v>60103</v>
          </cell>
        </row>
        <row r="7814">
          <cell r="G7814" t="str">
            <v>Xã Đắk Man</v>
          </cell>
          <cell r="I7814" t="str">
            <v>60103</v>
          </cell>
        </row>
        <row r="7815">
          <cell r="G7815" t="str">
            <v>Xã Đắk Choong</v>
          </cell>
          <cell r="I7815" t="str">
            <v>60103</v>
          </cell>
        </row>
        <row r="7816">
          <cell r="G7816" t="str">
            <v>Xã Đắk KRoong</v>
          </cell>
          <cell r="I7816" t="str">
            <v>60103</v>
          </cell>
        </row>
        <row r="7817">
          <cell r="G7817" t="str">
            <v>Thị trấn Đắk Glei</v>
          </cell>
          <cell r="I7817" t="str">
            <v>60103</v>
          </cell>
        </row>
        <row r="7818">
          <cell r="G7818" t="str">
            <v>Xã Đắk Plô</v>
          </cell>
          <cell r="I7818" t="str">
            <v>60103</v>
          </cell>
        </row>
        <row r="7819">
          <cell r="G7819" t="str">
            <v>Xã Đắk Nhoong</v>
          </cell>
          <cell r="I7819" t="str">
            <v>60103</v>
          </cell>
        </row>
        <row r="7820">
          <cell r="G7820" t="str">
            <v>Xã Đắk Pék</v>
          </cell>
          <cell r="I7820" t="str">
            <v>60103</v>
          </cell>
        </row>
        <row r="7821">
          <cell r="G7821" t="str">
            <v>Xã Xốp</v>
          </cell>
          <cell r="I7821" t="str">
            <v>60103</v>
          </cell>
        </row>
        <row r="7822">
          <cell r="G7822" t="str">
            <v>Xã Mường Hoong</v>
          </cell>
          <cell r="I7822" t="str">
            <v>60103</v>
          </cell>
        </row>
        <row r="7823">
          <cell r="G7823" t="str">
            <v xml:space="preserve">Xã Ngọc Linh </v>
          </cell>
          <cell r="I7823" t="str">
            <v>60103</v>
          </cell>
        </row>
        <row r="7824">
          <cell r="G7824" t="str">
            <v>Xã Đắk Long</v>
          </cell>
          <cell r="I7824" t="str">
            <v>60103</v>
          </cell>
        </row>
        <row r="7825">
          <cell r="G7825" t="str">
            <v>Xã Đắk Dục</v>
          </cell>
          <cell r="I7825" t="str">
            <v>60105</v>
          </cell>
        </row>
        <row r="7826">
          <cell r="G7826" t="str">
            <v>Xã Đắk Kan</v>
          </cell>
          <cell r="I7826" t="str">
            <v>60105</v>
          </cell>
        </row>
        <row r="7827">
          <cell r="G7827" t="str">
            <v>Thị trấn Plei Cần</v>
          </cell>
          <cell r="I7827" t="str">
            <v>60105</v>
          </cell>
        </row>
        <row r="7828">
          <cell r="G7828" t="str">
            <v>Xã Đắk Ang</v>
          </cell>
          <cell r="I7828" t="str">
            <v>60105</v>
          </cell>
        </row>
        <row r="7829">
          <cell r="G7829" t="str">
            <v>Xã Đắk Nông</v>
          </cell>
          <cell r="I7829" t="str">
            <v>60105</v>
          </cell>
        </row>
        <row r="7830">
          <cell r="G7830" t="str">
            <v>Xã Đắk Xú</v>
          </cell>
          <cell r="I7830" t="str">
            <v>60105</v>
          </cell>
        </row>
        <row r="7831">
          <cell r="G7831" t="str">
            <v>Xã Pờ Y</v>
          </cell>
          <cell r="I7831" t="str">
            <v>60105</v>
          </cell>
        </row>
        <row r="7832">
          <cell r="G7832" t="str">
            <v>Xã Sa Loong</v>
          </cell>
          <cell r="I7832" t="str">
            <v>60105</v>
          </cell>
        </row>
        <row r="7833">
          <cell r="G7833" t="str">
            <v>Xã Ngọk Tụ</v>
          </cell>
          <cell r="I7833" t="str">
            <v>60107</v>
          </cell>
        </row>
        <row r="7834">
          <cell r="G7834" t="str">
            <v>Xã Đắk Trăm</v>
          </cell>
          <cell r="I7834" t="str">
            <v>60107</v>
          </cell>
        </row>
        <row r="7835">
          <cell r="G7835" t="str">
            <v>Xã Văn Lem</v>
          </cell>
          <cell r="I7835" t="str">
            <v>60107</v>
          </cell>
        </row>
        <row r="7836">
          <cell r="G7836" t="str">
            <v>Xã Kon Đào</v>
          </cell>
          <cell r="I7836" t="str">
            <v>60107</v>
          </cell>
        </row>
        <row r="7837">
          <cell r="G7837" t="str">
            <v>Xã Tân Cảnh</v>
          </cell>
          <cell r="I7837" t="str">
            <v>60107</v>
          </cell>
        </row>
        <row r="7838">
          <cell r="G7838" t="str">
            <v xml:space="preserve">Xã Diên Bình </v>
          </cell>
          <cell r="I7838" t="str">
            <v>60107</v>
          </cell>
        </row>
        <row r="7839">
          <cell r="G7839" t="str">
            <v>Xã Pô Kô</v>
          </cell>
          <cell r="I7839" t="str">
            <v>60107</v>
          </cell>
        </row>
        <row r="7840">
          <cell r="G7840" t="str">
            <v>Xã Đắk Rơ Nga</v>
          </cell>
          <cell r="I7840" t="str">
            <v>60107</v>
          </cell>
        </row>
        <row r="7841">
          <cell r="G7841" t="str">
            <v>Thị trấn Đắk Tô</v>
          </cell>
          <cell r="I7841" t="str">
            <v>60107</v>
          </cell>
        </row>
        <row r="7842">
          <cell r="G7842" t="str">
            <v>Xã Đắk Tờ Re</v>
          </cell>
          <cell r="I7842" t="str">
            <v>60108</v>
          </cell>
        </row>
        <row r="7843">
          <cell r="G7843" t="str">
            <v>Xã Đắk Ruồng</v>
          </cell>
          <cell r="I7843" t="str">
            <v>60108</v>
          </cell>
        </row>
        <row r="7844">
          <cell r="G7844" t="str">
            <v>Thị trấn Đắk Rve</v>
          </cell>
          <cell r="I7844" t="str">
            <v>60108</v>
          </cell>
        </row>
        <row r="7845">
          <cell r="G7845" t="str">
            <v>Xã Đắk Kôi</v>
          </cell>
          <cell r="I7845" t="str">
            <v>60108</v>
          </cell>
        </row>
        <row r="7846">
          <cell r="G7846" t="str">
            <v>Xã Đắk Tơ Lung</v>
          </cell>
          <cell r="I7846" t="str">
            <v>60108</v>
          </cell>
        </row>
        <row r="7847">
          <cell r="G7847" t="str">
            <v>Xã Đắk Pne</v>
          </cell>
          <cell r="I7847" t="str">
            <v>60108</v>
          </cell>
        </row>
        <row r="7848">
          <cell r="G7848" t="str">
            <v xml:space="preserve">Xã Tân Lập                </v>
          </cell>
          <cell r="I7848" t="str">
            <v>60108</v>
          </cell>
        </row>
        <row r="7849">
          <cell r="G7849" t="str">
            <v>Xã Măng Buk</v>
          </cell>
          <cell r="I7849" t="str">
            <v>60109</v>
          </cell>
        </row>
        <row r="7850">
          <cell r="G7850" t="str">
            <v>Xã Đắk Ring</v>
          </cell>
          <cell r="I7850" t="str">
            <v>60109</v>
          </cell>
        </row>
        <row r="7851">
          <cell r="G7851" t="str">
            <v>Xã Pờ ê</v>
          </cell>
          <cell r="I7851" t="str">
            <v>60109</v>
          </cell>
        </row>
        <row r="7852">
          <cell r="G7852" t="str">
            <v>Xã Hiếu</v>
          </cell>
          <cell r="I7852" t="str">
            <v>60109</v>
          </cell>
        </row>
        <row r="7853">
          <cell r="G7853" t="str">
            <v>Xã Đắk Nên</v>
          </cell>
          <cell r="I7853" t="str">
            <v>60109</v>
          </cell>
        </row>
        <row r="7854">
          <cell r="G7854" t="str">
            <v>Xã Đắk Tăng</v>
          </cell>
          <cell r="I7854" t="str">
            <v>60109</v>
          </cell>
        </row>
        <row r="7855">
          <cell r="G7855" t="str">
            <v>Xã Ngok Tem</v>
          </cell>
          <cell r="I7855" t="str">
            <v>60109</v>
          </cell>
        </row>
        <row r="7856">
          <cell r="G7856" t="str">
            <v>Xã Măng Cành</v>
          </cell>
          <cell r="I7856" t="str">
            <v>60109</v>
          </cell>
        </row>
        <row r="7857">
          <cell r="G7857" t="str">
            <v xml:space="preserve">Xã Đắk Long </v>
          </cell>
          <cell r="I7857" t="str">
            <v>60109</v>
          </cell>
        </row>
        <row r="7858">
          <cell r="G7858" t="str">
            <v>Thị trấn Đắk Hà</v>
          </cell>
          <cell r="I7858" t="str">
            <v>60111</v>
          </cell>
        </row>
        <row r="7859">
          <cell r="G7859" t="str">
            <v>Xã Đắk Mar</v>
          </cell>
          <cell r="I7859" t="str">
            <v>60111</v>
          </cell>
        </row>
        <row r="7860">
          <cell r="G7860" t="str">
            <v>Xã Đắk La</v>
          </cell>
          <cell r="I7860" t="str">
            <v>60111</v>
          </cell>
        </row>
        <row r="7861">
          <cell r="G7861" t="str">
            <v>Xã Đắk PXi</v>
          </cell>
          <cell r="I7861" t="str">
            <v>60111</v>
          </cell>
        </row>
        <row r="7862">
          <cell r="G7862" t="str">
            <v>Xã Đắk HRing</v>
          </cell>
          <cell r="I7862" t="str">
            <v>60111</v>
          </cell>
        </row>
        <row r="7863">
          <cell r="G7863" t="str">
            <v>Xã Đắk Ui</v>
          </cell>
          <cell r="I7863" t="str">
            <v>60111</v>
          </cell>
        </row>
        <row r="7864">
          <cell r="G7864" t="str">
            <v>Xã Ngok Wang</v>
          </cell>
          <cell r="I7864" t="str">
            <v>60111</v>
          </cell>
        </row>
        <row r="7865">
          <cell r="G7865" t="str">
            <v>Xã Ngok Réo</v>
          </cell>
          <cell r="I7865" t="str">
            <v>60111</v>
          </cell>
        </row>
        <row r="7866">
          <cell r="G7866" t="str">
            <v>Xã Hà Mòn</v>
          </cell>
          <cell r="I7866" t="str">
            <v>60111</v>
          </cell>
        </row>
        <row r="7867">
          <cell r="G7867" t="str">
            <v>Xã Đăk Long</v>
          </cell>
          <cell r="I7867" t="str">
            <v>60111</v>
          </cell>
        </row>
        <row r="7868">
          <cell r="G7868" t="str">
            <v>Xã Đăk Ngọk</v>
          </cell>
          <cell r="I7868" t="str">
            <v>60111</v>
          </cell>
        </row>
        <row r="7869">
          <cell r="G7869" t="str">
            <v>Xã Rơ Kơi</v>
          </cell>
          <cell r="I7869" t="str">
            <v>60113</v>
          </cell>
        </row>
        <row r="7870">
          <cell r="G7870" t="str">
            <v>Xã Ya ly</v>
          </cell>
          <cell r="I7870" t="str">
            <v>60113</v>
          </cell>
        </row>
        <row r="7871">
          <cell r="G7871" t="str">
            <v>Xã Mô Rai</v>
          </cell>
          <cell r="I7871" t="str">
            <v>60113</v>
          </cell>
        </row>
        <row r="7872">
          <cell r="G7872" t="str">
            <v>Xã Sa Bình</v>
          </cell>
          <cell r="I7872" t="str">
            <v>60113</v>
          </cell>
        </row>
        <row r="7873">
          <cell r="G7873" t="str">
            <v>Thị trấn Sa Thầy</v>
          </cell>
          <cell r="I7873" t="str">
            <v>60113</v>
          </cell>
        </row>
        <row r="7874">
          <cell r="G7874" t="str">
            <v>Xã Sa Nhơn</v>
          </cell>
          <cell r="I7874" t="str">
            <v>60113</v>
          </cell>
        </row>
        <row r="7875">
          <cell r="G7875" t="str">
            <v>Xã Hơ Moong</v>
          </cell>
          <cell r="I7875" t="str">
            <v>60113</v>
          </cell>
        </row>
        <row r="7876">
          <cell r="G7876" t="str">
            <v>Xã Sa Sơn</v>
          </cell>
          <cell r="I7876" t="str">
            <v>60113</v>
          </cell>
        </row>
        <row r="7877">
          <cell r="G7877" t="str">
            <v>Xã Sa Nghĩa</v>
          </cell>
          <cell r="I7877" t="str">
            <v>60113</v>
          </cell>
        </row>
        <row r="7878">
          <cell r="G7878" t="str">
            <v>Xã Ya Xiêr</v>
          </cell>
          <cell r="I7878" t="str">
            <v>60113</v>
          </cell>
        </row>
        <row r="7879">
          <cell r="G7879" t="str">
            <v>Xã Ya Tăng</v>
          </cell>
          <cell r="I7879" t="str">
            <v>60113</v>
          </cell>
        </row>
        <row r="7880">
          <cell r="G7880" t="str">
            <v>Xã Ia Dom</v>
          </cell>
          <cell r="I7880" t="str">
            <v>60114</v>
          </cell>
        </row>
        <row r="7881">
          <cell r="G7881" t="str">
            <v>Xã Ia Dal</v>
          </cell>
          <cell r="I7881" t="str">
            <v>60114</v>
          </cell>
        </row>
        <row r="7882">
          <cell r="G7882" t="str">
            <v>Xã Ia Tơi</v>
          </cell>
          <cell r="I7882" t="str">
            <v>60114</v>
          </cell>
        </row>
        <row r="7883">
          <cell r="G7883" t="str">
            <v>Xã Đắk Tơ Kan</v>
          </cell>
          <cell r="I7883" t="str">
            <v>60115</v>
          </cell>
        </row>
        <row r="7884">
          <cell r="G7884" t="str">
            <v>Xã Ngọk Lây</v>
          </cell>
          <cell r="I7884" t="str">
            <v>60115</v>
          </cell>
        </row>
        <row r="7885">
          <cell r="G7885" t="str">
            <v>Xã Đắk Na</v>
          </cell>
          <cell r="I7885" t="str">
            <v>60115</v>
          </cell>
        </row>
        <row r="7886">
          <cell r="G7886" t="str">
            <v>Xã Măng Ri</v>
          </cell>
          <cell r="I7886" t="str">
            <v>60115</v>
          </cell>
        </row>
        <row r="7887">
          <cell r="G7887" t="str">
            <v>Xã Ngok Yêu</v>
          </cell>
          <cell r="I7887" t="str">
            <v>60115</v>
          </cell>
        </row>
        <row r="7888">
          <cell r="G7888" t="str">
            <v>Xã Đắk Sao</v>
          </cell>
          <cell r="I7888" t="str">
            <v>60115</v>
          </cell>
        </row>
        <row r="7889">
          <cell r="G7889" t="str">
            <v>Xã Đắk Rơ Ông</v>
          </cell>
          <cell r="I7889" t="str">
            <v>60115</v>
          </cell>
        </row>
        <row r="7890">
          <cell r="G7890" t="str">
            <v>Xã Tu Mơ Rông</v>
          </cell>
          <cell r="I7890" t="str">
            <v>60115</v>
          </cell>
        </row>
        <row r="7891">
          <cell r="G7891" t="str">
            <v>Xã Đắk Hà</v>
          </cell>
          <cell r="I7891" t="str">
            <v>60115</v>
          </cell>
        </row>
        <row r="7892">
          <cell r="G7892" t="str">
            <v>Xã Tê Xăng</v>
          </cell>
          <cell r="I7892" t="str">
            <v>60115</v>
          </cell>
        </row>
        <row r="7893">
          <cell r="G7893" t="str">
            <v>Xã Văn Xuôi</v>
          </cell>
          <cell r="I7893" t="str">
            <v>60115</v>
          </cell>
        </row>
        <row r="7894">
          <cell r="G7894" t="str">
            <v xml:space="preserve">Phường Tây Sơn </v>
          </cell>
          <cell r="I7894" t="str">
            <v>60301</v>
          </cell>
        </row>
        <row r="7895">
          <cell r="G7895" t="str">
            <v>Phường Yên Đỗ</v>
          </cell>
          <cell r="I7895" t="str">
            <v>60301</v>
          </cell>
        </row>
        <row r="7896">
          <cell r="G7896" t="str">
            <v>Phường Hội Phú</v>
          </cell>
          <cell r="I7896" t="str">
            <v>60301</v>
          </cell>
        </row>
        <row r="7897">
          <cell r="G7897" t="str">
            <v>Phường Trà Bá</v>
          </cell>
          <cell r="I7897" t="str">
            <v>60301</v>
          </cell>
        </row>
        <row r="7898">
          <cell r="G7898" t="str">
            <v xml:space="preserve">Xã Tân Sơn        </v>
          </cell>
          <cell r="I7898" t="str">
            <v>60301</v>
          </cell>
        </row>
        <row r="7899">
          <cell r="G7899" t="str">
            <v xml:space="preserve">Xã Diên Phú </v>
          </cell>
          <cell r="I7899" t="str">
            <v>60301</v>
          </cell>
        </row>
        <row r="7900">
          <cell r="G7900" t="str">
            <v>Phường Diên Hồng</v>
          </cell>
          <cell r="I7900" t="str">
            <v>60301</v>
          </cell>
        </row>
        <row r="7901">
          <cell r="G7901" t="str">
            <v>Phường Ia Kring</v>
          </cell>
          <cell r="I7901" t="str">
            <v>60301</v>
          </cell>
        </row>
        <row r="7902">
          <cell r="G7902" t="str">
            <v>Phường Hội Thương</v>
          </cell>
          <cell r="I7902" t="str">
            <v>60301</v>
          </cell>
        </row>
        <row r="7903">
          <cell r="G7903" t="str">
            <v>Phường Hoa Lư</v>
          </cell>
          <cell r="I7903" t="str">
            <v>60301</v>
          </cell>
        </row>
        <row r="7904">
          <cell r="G7904" t="str">
            <v xml:space="preserve">Phường Thống Nhất   </v>
          </cell>
          <cell r="I7904" t="str">
            <v>60301</v>
          </cell>
        </row>
        <row r="7905">
          <cell r="G7905" t="str">
            <v>Phường Yên Thế</v>
          </cell>
          <cell r="I7905" t="str">
            <v>60301</v>
          </cell>
        </row>
        <row r="7906">
          <cell r="G7906" t="str">
            <v>Xã Chư HDrông</v>
          </cell>
          <cell r="I7906" t="str">
            <v>60301</v>
          </cell>
        </row>
        <row r="7907">
          <cell r="G7907" t="str">
            <v>Xã Biển Hồ</v>
          </cell>
          <cell r="I7907" t="str">
            <v>60301</v>
          </cell>
        </row>
        <row r="7908">
          <cell r="G7908" t="str">
            <v>Xã Trà Đa</v>
          </cell>
          <cell r="I7908" t="str">
            <v>60301</v>
          </cell>
        </row>
        <row r="7909">
          <cell r="G7909" t="str">
            <v>Xã Chư á</v>
          </cell>
          <cell r="I7909" t="str">
            <v>60301</v>
          </cell>
        </row>
        <row r="7910">
          <cell r="G7910" t="str">
            <v xml:space="preserve">Xã An Phú   </v>
          </cell>
          <cell r="I7910" t="str">
            <v>60301</v>
          </cell>
        </row>
        <row r="7911">
          <cell r="G7911" t="str">
            <v>Xã Ia Kênh</v>
          </cell>
          <cell r="I7911" t="str">
            <v>60301</v>
          </cell>
        </row>
        <row r="7912">
          <cell r="G7912" t="str">
            <v>Xã Gào</v>
          </cell>
          <cell r="I7912" t="str">
            <v>60301</v>
          </cell>
        </row>
        <row r="7913">
          <cell r="G7913" t="str">
            <v xml:space="preserve">Phường Đống Đa  </v>
          </cell>
          <cell r="I7913" t="str">
            <v>60301</v>
          </cell>
        </row>
        <row r="7914">
          <cell r="G7914" t="str">
            <v xml:space="preserve">Phường Chi Lăng </v>
          </cell>
          <cell r="I7914" t="str">
            <v>60301</v>
          </cell>
        </row>
        <row r="7915">
          <cell r="G7915" t="str">
            <v xml:space="preserve">Phường Thắng Lợi  </v>
          </cell>
          <cell r="I7915" t="str">
            <v>60301</v>
          </cell>
        </row>
        <row r="7916">
          <cell r="G7916" t="str">
            <v>Phường Phù Đổng</v>
          </cell>
          <cell r="I7916" t="str">
            <v>60301</v>
          </cell>
        </row>
        <row r="7917">
          <cell r="G7917" t="str">
            <v>Xã KRong</v>
          </cell>
          <cell r="I7917" t="str">
            <v>60303</v>
          </cell>
        </row>
        <row r="7918">
          <cell r="G7918" t="str">
            <v>Xã Kon Pne</v>
          </cell>
          <cell r="I7918" t="str">
            <v>60303</v>
          </cell>
        </row>
        <row r="7919">
          <cell r="G7919" t="str">
            <v>Xã Sơ Pai</v>
          </cell>
          <cell r="I7919" t="str">
            <v>60303</v>
          </cell>
        </row>
        <row r="7920">
          <cell r="G7920" t="str">
            <v xml:space="preserve">Xã Nghĩa An     </v>
          </cell>
          <cell r="I7920" t="str">
            <v>60303</v>
          </cell>
        </row>
        <row r="7921">
          <cell r="G7921" t="str">
            <v>Xã Đăk HLơ</v>
          </cell>
          <cell r="I7921" t="str">
            <v>60303</v>
          </cell>
        </row>
        <row r="7922">
          <cell r="G7922" t="str">
            <v>Thị trấn KBang</v>
          </cell>
          <cell r="I7922" t="str">
            <v>60303</v>
          </cell>
        </row>
        <row r="7923">
          <cell r="G7923" t="str">
            <v>Xã Đăk Roong</v>
          </cell>
          <cell r="I7923" t="str">
            <v>60303</v>
          </cell>
        </row>
        <row r="7924">
          <cell r="G7924" t="str">
            <v>Xã Sơn Lang</v>
          </cell>
          <cell r="I7924" t="str">
            <v>60303</v>
          </cell>
        </row>
        <row r="7925">
          <cell r="G7925" t="str">
            <v>Xã Lơ Ku</v>
          </cell>
          <cell r="I7925" t="str">
            <v>60303</v>
          </cell>
        </row>
        <row r="7926">
          <cell r="G7926" t="str">
            <v>Xã Đông</v>
          </cell>
          <cell r="I7926" t="str">
            <v>60303</v>
          </cell>
        </row>
        <row r="7927">
          <cell r="G7927" t="str">
            <v>Xã Tơ Tung</v>
          </cell>
          <cell r="I7927" t="str">
            <v>60303</v>
          </cell>
        </row>
        <row r="7928">
          <cell r="G7928" t="str">
            <v>Xã Kông Lơng Khơng</v>
          </cell>
          <cell r="I7928" t="str">
            <v>60303</v>
          </cell>
        </row>
        <row r="7929">
          <cell r="G7929" t="str">
            <v>Xã Kông Pla</v>
          </cell>
          <cell r="I7929" t="str">
            <v>60303</v>
          </cell>
        </row>
        <row r="7930">
          <cell r="G7930" t="str">
            <v>Xã Đăk Smar</v>
          </cell>
          <cell r="I7930" t="str">
            <v>60303</v>
          </cell>
        </row>
        <row r="7931">
          <cell r="G7931" t="str">
            <v>Xã Kon Thụp</v>
          </cell>
          <cell r="I7931" t="str">
            <v>60305</v>
          </cell>
        </row>
        <row r="7932">
          <cell r="G7932" t="str">
            <v>Xã Lơ Pang</v>
          </cell>
          <cell r="I7932" t="str">
            <v>60305</v>
          </cell>
        </row>
        <row r="7933">
          <cell r="G7933" t="str">
            <v>Xã Đăk Trôi</v>
          </cell>
          <cell r="I7933" t="str">
            <v>60305</v>
          </cell>
        </row>
        <row r="7934">
          <cell r="G7934" t="str">
            <v>Xã Hà Ra</v>
          </cell>
          <cell r="I7934" t="str">
            <v>60305</v>
          </cell>
        </row>
        <row r="7935">
          <cell r="G7935" t="str">
            <v>Thị trấn Kon Dơng</v>
          </cell>
          <cell r="I7935" t="str">
            <v>60305</v>
          </cell>
        </row>
        <row r="7936">
          <cell r="G7936" t="str">
            <v>Xã Ayun</v>
          </cell>
          <cell r="I7936" t="str">
            <v>60305</v>
          </cell>
        </row>
        <row r="7937">
          <cell r="G7937" t="str">
            <v>Xã Đăk Yă</v>
          </cell>
          <cell r="I7937" t="str">
            <v>60305</v>
          </cell>
        </row>
        <row r="7938">
          <cell r="G7938" t="str">
            <v>Xã Đăk Djrăng</v>
          </cell>
          <cell r="I7938" t="str">
            <v>60305</v>
          </cell>
        </row>
        <row r="7939">
          <cell r="G7939" t="str">
            <v>Xã Đê Ar</v>
          </cell>
          <cell r="I7939" t="str">
            <v>60305</v>
          </cell>
        </row>
        <row r="7940">
          <cell r="G7940" t="str">
            <v>Xã Kon Chiêng</v>
          </cell>
          <cell r="I7940" t="str">
            <v>60305</v>
          </cell>
        </row>
        <row r="7941">
          <cell r="G7941" t="str">
            <v>Xã ĐăkTaLey</v>
          </cell>
          <cell r="I7941" t="str">
            <v>60305</v>
          </cell>
        </row>
        <row r="7942">
          <cell r="G7942" t="str">
            <v>Xã ĐăkJơTa</v>
          </cell>
          <cell r="I7942" t="str">
            <v>60305</v>
          </cell>
        </row>
        <row r="7943">
          <cell r="G7943" t="str">
            <v xml:space="preserve">Xã Hòa Phú    </v>
          </cell>
          <cell r="I7943" t="str">
            <v>60307</v>
          </cell>
        </row>
        <row r="7944">
          <cell r="G7944" t="str">
            <v>Xã Ia Phí</v>
          </cell>
          <cell r="I7944" t="str">
            <v>60307</v>
          </cell>
        </row>
        <row r="7945">
          <cell r="G7945" t="str">
            <v>Xã Đăk Tơ Ver</v>
          </cell>
          <cell r="I7945" t="str">
            <v>60307</v>
          </cell>
        </row>
        <row r="7946">
          <cell r="G7946" t="str">
            <v>Xã Ia Nhin</v>
          </cell>
          <cell r="I7946" t="str">
            <v>60307</v>
          </cell>
        </row>
        <row r="7947">
          <cell r="G7947" t="str">
            <v xml:space="preserve">Thị trấn Phú Hòa </v>
          </cell>
          <cell r="I7947" t="str">
            <v>60307</v>
          </cell>
        </row>
        <row r="7948">
          <cell r="G7948" t="str">
            <v>Xã Hà Tây</v>
          </cell>
          <cell r="I7948" t="str">
            <v>60307</v>
          </cell>
        </row>
        <row r="7949">
          <cell r="G7949" t="str">
            <v>Xã Ia Khươl</v>
          </cell>
          <cell r="I7949" t="str">
            <v>60307</v>
          </cell>
        </row>
        <row r="7950">
          <cell r="G7950" t="str">
            <v>Thị Trấn Ia Ly</v>
          </cell>
          <cell r="I7950" t="str">
            <v>60307</v>
          </cell>
        </row>
        <row r="7951">
          <cell r="G7951" t="str">
            <v>Xã Ia Mơ Nông</v>
          </cell>
          <cell r="I7951" t="str">
            <v>60307</v>
          </cell>
        </row>
        <row r="7952">
          <cell r="G7952" t="str">
            <v>Xã Chư Đăng Ya</v>
          </cell>
          <cell r="I7952" t="str">
            <v>60307</v>
          </cell>
        </row>
        <row r="7953">
          <cell r="G7953" t="str">
            <v>Xã Ia Ka</v>
          </cell>
          <cell r="I7953" t="str">
            <v>60307</v>
          </cell>
        </row>
        <row r="7954">
          <cell r="G7954" t="str">
            <v xml:space="preserve">Xã Nghĩa Hòa   </v>
          </cell>
          <cell r="I7954" t="str">
            <v>60307</v>
          </cell>
        </row>
        <row r="7955">
          <cell r="G7955" t="str">
            <v>Xã Chư Jôr</v>
          </cell>
          <cell r="I7955" t="str">
            <v>60307</v>
          </cell>
        </row>
        <row r="7956">
          <cell r="G7956" t="str">
            <v xml:space="preserve">Xã Nghĩa Hưng   </v>
          </cell>
          <cell r="I7956" t="str">
            <v>60307</v>
          </cell>
        </row>
        <row r="7957">
          <cell r="G7957" t="str">
            <v>Xã Ia Kreng</v>
          </cell>
          <cell r="I7957" t="str">
            <v>60307</v>
          </cell>
        </row>
        <row r="7958">
          <cell r="G7958" t="str">
            <v>Xã Ia KRai</v>
          </cell>
          <cell r="I7958" t="str">
            <v>60309</v>
          </cell>
        </row>
        <row r="7959">
          <cell r="G7959" t="str">
            <v>Thị trấn Ia Kha</v>
          </cell>
          <cell r="I7959" t="str">
            <v>60309</v>
          </cell>
        </row>
        <row r="7960">
          <cell r="G7960" t="str">
            <v>Xã Ia Tô</v>
          </cell>
          <cell r="I7960" t="str">
            <v>60309</v>
          </cell>
        </row>
        <row r="7961">
          <cell r="G7961" t="str">
            <v>Xã Ia Chia</v>
          </cell>
          <cell r="I7961" t="str">
            <v>60309</v>
          </cell>
        </row>
        <row r="7962">
          <cell r="G7962" t="str">
            <v>Xã Ia Sao</v>
          </cell>
          <cell r="I7962" t="str">
            <v>60309</v>
          </cell>
        </row>
        <row r="7963">
          <cell r="G7963" t="str">
            <v>Xã Ia Hrung</v>
          </cell>
          <cell r="I7963" t="str">
            <v>60309</v>
          </cell>
        </row>
        <row r="7964">
          <cell r="G7964" t="str">
            <v>Xã Ia Khai</v>
          </cell>
          <cell r="I7964" t="str">
            <v>60309</v>
          </cell>
        </row>
        <row r="7965">
          <cell r="G7965" t="str">
            <v>Xã Ia O</v>
          </cell>
          <cell r="I7965" t="str">
            <v>60309</v>
          </cell>
        </row>
        <row r="7966">
          <cell r="G7966" t="str">
            <v>Xã Ia Dêr</v>
          </cell>
          <cell r="I7966" t="str">
            <v>60309</v>
          </cell>
        </row>
        <row r="7967">
          <cell r="G7967" t="str">
            <v>Xã Ia Pếch</v>
          </cell>
          <cell r="I7967" t="str">
            <v>60309</v>
          </cell>
        </row>
        <row r="7968">
          <cell r="G7968" t="str">
            <v>Xã Ia Bă</v>
          </cell>
          <cell r="I7968" t="str">
            <v>60309</v>
          </cell>
        </row>
        <row r="7969">
          <cell r="G7969" t="str">
            <v>Xã Ia Yok</v>
          </cell>
          <cell r="I7969" t="str">
            <v>60309</v>
          </cell>
        </row>
        <row r="7970">
          <cell r="G7970" t="str">
            <v>Xã IaGrăng</v>
          </cell>
          <cell r="I7970" t="str">
            <v>60309</v>
          </cell>
        </row>
        <row r="7971">
          <cell r="G7971" t="str">
            <v>Phường An Bình</v>
          </cell>
          <cell r="I7971" t="str">
            <v>60311</v>
          </cell>
        </row>
        <row r="7972">
          <cell r="G7972" t="str">
            <v xml:space="preserve">Phường Tây Sơn  </v>
          </cell>
          <cell r="I7972" t="str">
            <v>60311</v>
          </cell>
        </row>
        <row r="7973">
          <cell r="G7973" t="str">
            <v>Xã Cửu An</v>
          </cell>
          <cell r="I7973" t="str">
            <v>60311</v>
          </cell>
        </row>
        <row r="7974">
          <cell r="G7974" t="str">
            <v xml:space="preserve">Phường An Phú </v>
          </cell>
          <cell r="I7974" t="str">
            <v>60311</v>
          </cell>
        </row>
        <row r="7975">
          <cell r="G7975" t="str">
            <v>Phường An Tân</v>
          </cell>
          <cell r="I7975" t="str">
            <v>60311</v>
          </cell>
        </row>
        <row r="7976">
          <cell r="G7976" t="str">
            <v>Xã Tú An</v>
          </cell>
          <cell r="I7976" t="str">
            <v>60311</v>
          </cell>
        </row>
        <row r="7977">
          <cell r="G7977" t="str">
            <v xml:space="preserve">Xã Song An </v>
          </cell>
          <cell r="I7977" t="str">
            <v>60311</v>
          </cell>
        </row>
        <row r="7978">
          <cell r="G7978" t="str">
            <v xml:space="preserve">Xã Thành An </v>
          </cell>
          <cell r="I7978" t="str">
            <v>60311</v>
          </cell>
        </row>
        <row r="7979">
          <cell r="G7979" t="str">
            <v xml:space="preserve">Xã Xuân An </v>
          </cell>
          <cell r="I7979" t="str">
            <v>60311</v>
          </cell>
        </row>
        <row r="7980">
          <cell r="G7980" t="str">
            <v>Phường An Phước</v>
          </cell>
          <cell r="I7980" t="str">
            <v>60311</v>
          </cell>
        </row>
        <row r="7981">
          <cell r="G7981" t="str">
            <v xml:space="preserve">Phường Ngô Mây  </v>
          </cell>
          <cell r="I7981" t="str">
            <v>60311</v>
          </cell>
        </row>
        <row r="7982">
          <cell r="G7982" t="str">
            <v>Xã Ya Ma</v>
          </cell>
          <cell r="I7982" t="str">
            <v>60313</v>
          </cell>
        </row>
        <row r="7983">
          <cell r="G7983" t="str">
            <v>Xã Kông Yang</v>
          </cell>
          <cell r="I7983" t="str">
            <v>60313</v>
          </cell>
        </row>
        <row r="7984">
          <cell r="G7984" t="str">
            <v>Xã Yang Trung</v>
          </cell>
          <cell r="I7984" t="str">
            <v>60313</v>
          </cell>
        </row>
        <row r="7985">
          <cell r="G7985" t="str">
            <v>Thị trấn Kông Chro</v>
          </cell>
          <cell r="I7985" t="str">
            <v>60313</v>
          </cell>
        </row>
        <row r="7986">
          <cell r="G7986" t="str">
            <v>Xã Chư Krêy</v>
          </cell>
          <cell r="I7986" t="str">
            <v>60313</v>
          </cell>
        </row>
        <row r="7987">
          <cell r="G7987" t="str">
            <v xml:space="preserve">Xã An Trung </v>
          </cell>
          <cell r="I7987" t="str">
            <v>60313</v>
          </cell>
        </row>
        <row r="7988">
          <cell r="G7988" t="str">
            <v>Xã Đăk Tơ Pang</v>
          </cell>
          <cell r="I7988" t="str">
            <v>60313</v>
          </cell>
        </row>
        <row r="7989">
          <cell r="G7989" t="str">
            <v>Xã SRó</v>
          </cell>
          <cell r="I7989" t="str">
            <v>60313</v>
          </cell>
        </row>
        <row r="7990">
          <cell r="G7990" t="str">
            <v>Xã Đăk Song</v>
          </cell>
          <cell r="I7990" t="str">
            <v>60313</v>
          </cell>
        </row>
        <row r="7991">
          <cell r="G7991" t="str">
            <v>Xã Chơ Long</v>
          </cell>
          <cell r="I7991" t="str">
            <v>60313</v>
          </cell>
        </row>
        <row r="7992">
          <cell r="G7992" t="str">
            <v>Xã Yang Nam</v>
          </cell>
          <cell r="I7992" t="str">
            <v>60313</v>
          </cell>
        </row>
        <row r="7993">
          <cell r="G7993" t="str">
            <v>Xã Đăk Pling</v>
          </cell>
          <cell r="I7993" t="str">
            <v>60313</v>
          </cell>
        </row>
        <row r="7994">
          <cell r="G7994" t="str">
            <v>Xã Đăk Kơ Ning</v>
          </cell>
          <cell r="I7994" t="str">
            <v>60313</v>
          </cell>
        </row>
        <row r="7995">
          <cell r="G7995" t="str">
            <v>Xã Đăk Pơ Pho</v>
          </cell>
          <cell r="I7995" t="str">
            <v>60313</v>
          </cell>
        </row>
        <row r="7996">
          <cell r="G7996" t="str">
            <v>Xã Ia Kriêng</v>
          </cell>
          <cell r="I7996" t="str">
            <v>60315</v>
          </cell>
        </row>
        <row r="7997">
          <cell r="G7997" t="str">
            <v>Thị trấn Chư Ty</v>
          </cell>
          <cell r="I7997" t="str">
            <v>60315</v>
          </cell>
        </row>
        <row r="7998">
          <cell r="G7998" t="str">
            <v>Xã Ia Kla</v>
          </cell>
          <cell r="I7998" t="str">
            <v>60315</v>
          </cell>
        </row>
        <row r="7999">
          <cell r="G7999" t="str">
            <v>Xã Ia Pnôn</v>
          </cell>
          <cell r="I7999" t="str">
            <v>60315</v>
          </cell>
        </row>
        <row r="8000">
          <cell r="G8000" t="str">
            <v>Xã Ia Dơk</v>
          </cell>
          <cell r="I8000" t="str">
            <v>60315</v>
          </cell>
        </row>
        <row r="8001">
          <cell r="G8001" t="str">
            <v>Xã Ia Krêl</v>
          </cell>
          <cell r="I8001" t="str">
            <v>60315</v>
          </cell>
        </row>
        <row r="8002">
          <cell r="G8002" t="str">
            <v>Xã Ia Din</v>
          </cell>
          <cell r="I8002" t="str">
            <v>60315</v>
          </cell>
        </row>
        <row r="8003">
          <cell r="G8003" t="str">
            <v xml:space="preserve">Xã Ia Dom </v>
          </cell>
          <cell r="I8003" t="str">
            <v>60315</v>
          </cell>
        </row>
        <row r="8004">
          <cell r="G8004" t="str">
            <v>Xã Ia Lang</v>
          </cell>
          <cell r="I8004" t="str">
            <v>60315</v>
          </cell>
        </row>
        <row r="8005">
          <cell r="G8005" t="str">
            <v>Xã Ia Nan</v>
          </cell>
          <cell r="I8005" t="str">
            <v>60315</v>
          </cell>
        </row>
        <row r="8006">
          <cell r="G8006" t="str">
            <v>Xã Ia Púch</v>
          </cell>
          <cell r="I8006" t="str">
            <v>60317</v>
          </cell>
        </row>
        <row r="8007">
          <cell r="G8007" t="str">
            <v>Xã Ia Drăng</v>
          </cell>
          <cell r="I8007" t="str">
            <v>60317</v>
          </cell>
        </row>
        <row r="8008">
          <cell r="G8008" t="str">
            <v>Xã Ia Băng</v>
          </cell>
          <cell r="I8008" t="str">
            <v>60317</v>
          </cell>
        </row>
        <row r="8009">
          <cell r="G8009" t="str">
            <v xml:space="preserve">Xã Ia O </v>
          </cell>
          <cell r="I8009" t="str">
            <v>60317</v>
          </cell>
        </row>
        <row r="8010">
          <cell r="G8010" t="str">
            <v>Xã Ia Pia</v>
          </cell>
          <cell r="I8010" t="str">
            <v>60317</v>
          </cell>
        </row>
        <row r="8011">
          <cell r="G8011" t="str">
            <v>Xã Ia Piơr</v>
          </cell>
          <cell r="I8011" t="str">
            <v>60317</v>
          </cell>
        </row>
        <row r="8012">
          <cell r="G8012" t="str">
            <v>Thị trấn Chư Prông</v>
          </cell>
          <cell r="I8012" t="str">
            <v>60317</v>
          </cell>
        </row>
        <row r="8013">
          <cell r="G8013" t="str">
            <v>Xã Bình Giáo</v>
          </cell>
          <cell r="I8013" t="str">
            <v>60317</v>
          </cell>
        </row>
        <row r="8014">
          <cell r="G8014" t="str">
            <v>Xã Thăng Hưng</v>
          </cell>
          <cell r="I8014" t="str">
            <v>60317</v>
          </cell>
        </row>
        <row r="8015">
          <cell r="G8015" t="str">
            <v>Xã Bàu Cạn</v>
          </cell>
          <cell r="I8015" t="str">
            <v>60317</v>
          </cell>
        </row>
        <row r="8016">
          <cell r="G8016" t="str">
            <v>Xã Ia Phìn</v>
          </cell>
          <cell r="I8016" t="str">
            <v>60317</v>
          </cell>
        </row>
        <row r="8017">
          <cell r="G8017" t="str">
            <v>Xã Ia Tôr</v>
          </cell>
          <cell r="I8017" t="str">
            <v>60317</v>
          </cell>
        </row>
        <row r="8018">
          <cell r="G8018" t="str">
            <v>Xã Ia Boòng</v>
          </cell>
          <cell r="I8018" t="str">
            <v>60317</v>
          </cell>
        </row>
        <row r="8019">
          <cell r="G8019" t="str">
            <v>Xã Ia Me</v>
          </cell>
          <cell r="I8019" t="str">
            <v>60317</v>
          </cell>
        </row>
        <row r="8020">
          <cell r="G8020" t="str">
            <v>Xã Ia Vê</v>
          </cell>
          <cell r="I8020" t="str">
            <v>60317</v>
          </cell>
        </row>
        <row r="8021">
          <cell r="G8021" t="str">
            <v>Xã Ia Ga</v>
          </cell>
          <cell r="I8021" t="str">
            <v>60317</v>
          </cell>
        </row>
        <row r="8022">
          <cell r="G8022" t="str">
            <v>Xã Ia Lâu</v>
          </cell>
          <cell r="I8022" t="str">
            <v>60317</v>
          </cell>
        </row>
        <row r="8023">
          <cell r="G8023" t="str">
            <v>Xã Ia Mơ</v>
          </cell>
          <cell r="I8023" t="str">
            <v>60317</v>
          </cell>
        </row>
        <row r="8024">
          <cell r="G8024" t="str">
            <v>Xã Ia Kly</v>
          </cell>
          <cell r="I8024" t="str">
            <v>60317</v>
          </cell>
        </row>
        <row r="8025">
          <cell r="G8025" t="str">
            <v>Xã Ia Bang</v>
          </cell>
          <cell r="I8025" t="str">
            <v>60317</v>
          </cell>
        </row>
        <row r="8026">
          <cell r="G8026" t="str">
            <v>Xã AL Bá</v>
          </cell>
          <cell r="I8026" t="str">
            <v>60319</v>
          </cell>
        </row>
        <row r="8027">
          <cell r="G8027" t="str">
            <v>Xã Bờ Ngoong</v>
          </cell>
          <cell r="I8027" t="str">
            <v>60319</v>
          </cell>
        </row>
        <row r="8028">
          <cell r="G8028" t="str">
            <v>Xã Ia HLốp</v>
          </cell>
          <cell r="I8028" t="str">
            <v>60319</v>
          </cell>
        </row>
        <row r="8029">
          <cell r="G8029" t="str">
            <v>Thị trấn Chư Sê</v>
          </cell>
          <cell r="I8029" t="str">
            <v>60319</v>
          </cell>
        </row>
        <row r="8030">
          <cell r="G8030" t="str">
            <v>Xã Ia Tiêm</v>
          </cell>
          <cell r="I8030" t="str">
            <v>60319</v>
          </cell>
        </row>
        <row r="8031">
          <cell r="G8031" t="str">
            <v>Xã Ia Glai</v>
          </cell>
          <cell r="I8031" t="str">
            <v>60319</v>
          </cell>
        </row>
        <row r="8032">
          <cell r="G8032" t="str">
            <v xml:space="preserve">Xã AYun </v>
          </cell>
          <cell r="I8032" t="str">
            <v>60319</v>
          </cell>
        </row>
        <row r="8033">
          <cell r="G8033" t="str">
            <v>Xã Ia Blang</v>
          </cell>
          <cell r="I8033" t="str">
            <v>60319</v>
          </cell>
        </row>
        <row r="8034">
          <cell r="G8034" t="str">
            <v>Xã Dun</v>
          </cell>
          <cell r="I8034" t="str">
            <v>60319</v>
          </cell>
        </row>
        <row r="8035">
          <cell r="G8035" t="str">
            <v>Xã H Bông</v>
          </cell>
          <cell r="I8035" t="str">
            <v>60319</v>
          </cell>
        </row>
        <row r="8036">
          <cell r="G8036" t="str">
            <v>Xã Ia Ko</v>
          </cell>
          <cell r="I8036" t="str">
            <v>60319</v>
          </cell>
        </row>
        <row r="8037">
          <cell r="G8037" t="str">
            <v>Xã Chư Pơng</v>
          </cell>
          <cell r="I8037" t="str">
            <v>60319</v>
          </cell>
        </row>
        <row r="8038">
          <cell r="G8038" t="str">
            <v>Xã Ia Pal</v>
          </cell>
          <cell r="I8038" t="str">
            <v>60319</v>
          </cell>
        </row>
        <row r="8039">
          <cell r="G8039" t="str">
            <v>Xã Kông HTok</v>
          </cell>
          <cell r="I8039" t="str">
            <v>60319</v>
          </cell>
        </row>
        <row r="8040">
          <cell r="G8040" t="str">
            <v>Xã Bar Măih</v>
          </cell>
          <cell r="I8040" t="str">
            <v>60319</v>
          </cell>
        </row>
        <row r="8041">
          <cell r="G8041" t="str">
            <v>Xã Ia KDăm</v>
          </cell>
          <cell r="I8041" t="str">
            <v>60320</v>
          </cell>
        </row>
        <row r="8042">
          <cell r="G8042" t="str">
            <v>Xã Chư Răng</v>
          </cell>
          <cell r="I8042" t="str">
            <v>60320</v>
          </cell>
        </row>
        <row r="8043">
          <cell r="G8043" t="str">
            <v>Xã Ia Tul</v>
          </cell>
          <cell r="I8043" t="str">
            <v>60320</v>
          </cell>
        </row>
        <row r="8044">
          <cell r="G8044" t="str">
            <v>Xã Ia Trok</v>
          </cell>
          <cell r="I8044" t="str">
            <v>60320</v>
          </cell>
        </row>
        <row r="8045">
          <cell r="G8045" t="str">
            <v>Xã Pờ Tó</v>
          </cell>
          <cell r="I8045" t="str">
            <v>60320</v>
          </cell>
        </row>
        <row r="8046">
          <cell r="G8046" t="str">
            <v xml:space="preserve">Xã Kim Tân  </v>
          </cell>
          <cell r="I8046" t="str">
            <v>60320</v>
          </cell>
        </row>
        <row r="8047">
          <cell r="G8047" t="str">
            <v>Xã Chư Mố</v>
          </cell>
          <cell r="I8047" t="str">
            <v>60320</v>
          </cell>
        </row>
        <row r="8048">
          <cell r="G8048" t="str">
            <v>Xã Ia Ma Rơn</v>
          </cell>
          <cell r="I8048" t="str">
            <v>60320</v>
          </cell>
        </row>
        <row r="8049">
          <cell r="G8049" t="str">
            <v>Xã Ia Broăi</v>
          </cell>
          <cell r="I8049" t="str">
            <v>60320</v>
          </cell>
        </row>
        <row r="8050">
          <cell r="G8050" t="str">
            <v>Trung tâm huyện IAPA</v>
          </cell>
          <cell r="I8050" t="str">
            <v>60320</v>
          </cell>
        </row>
        <row r="8051">
          <cell r="G8051" t="str">
            <v>Xã la Sao</v>
          </cell>
          <cell r="I8051" t="str">
            <v>60321</v>
          </cell>
        </row>
        <row r="8052">
          <cell r="G8052" t="str">
            <v>Xã Chư Băh</v>
          </cell>
          <cell r="I8052" t="str">
            <v>60321</v>
          </cell>
        </row>
        <row r="8053">
          <cell r="G8053" t="str">
            <v>Xã la RBol</v>
          </cell>
          <cell r="I8053" t="str">
            <v>60321</v>
          </cell>
        </row>
        <row r="8054">
          <cell r="G8054" t="str">
            <v>Xã Ia RTô</v>
          </cell>
          <cell r="I8054" t="str">
            <v>60321</v>
          </cell>
        </row>
        <row r="8055">
          <cell r="G8055" t="str">
            <v xml:space="preserve">Phường Đoàn Kết </v>
          </cell>
          <cell r="I8055" t="str">
            <v>60321</v>
          </cell>
        </row>
        <row r="8056">
          <cell r="G8056" t="str">
            <v>Phường Sông Bờ</v>
          </cell>
          <cell r="I8056" t="str">
            <v>60321</v>
          </cell>
        </row>
        <row r="8057">
          <cell r="G8057" t="str">
            <v>Phường Cheo Reo</v>
          </cell>
          <cell r="I8057" t="str">
            <v>60321</v>
          </cell>
        </row>
        <row r="8058">
          <cell r="G8058" t="str">
            <v>Phường Hòa Bình</v>
          </cell>
          <cell r="I8058" t="str">
            <v>60321</v>
          </cell>
        </row>
        <row r="8059">
          <cell r="G8059" t="str">
            <v>Xã Uar</v>
          </cell>
          <cell r="I8059" t="str">
            <v>60323</v>
          </cell>
        </row>
        <row r="8060">
          <cell r="G8060" t="str">
            <v>Xã Ia RSươm</v>
          </cell>
          <cell r="I8060" t="str">
            <v>60323</v>
          </cell>
        </row>
        <row r="8061">
          <cell r="G8061" t="str">
            <v>Xã Chư Drăng</v>
          </cell>
          <cell r="I8061" t="str">
            <v>60323</v>
          </cell>
        </row>
        <row r="8062">
          <cell r="G8062" t="str">
            <v>Xã Chư Ngọc</v>
          </cell>
          <cell r="I8062" t="str">
            <v>60323</v>
          </cell>
        </row>
        <row r="8063">
          <cell r="G8063" t="str">
            <v>Thị trấn Phú Túc</v>
          </cell>
          <cell r="I8063" t="str">
            <v>60323</v>
          </cell>
        </row>
        <row r="8064">
          <cell r="G8064" t="str">
            <v>Xã Ia RSai</v>
          </cell>
          <cell r="I8064" t="str">
            <v>60323</v>
          </cell>
        </row>
        <row r="8065">
          <cell r="G8065" t="str">
            <v>Xã Chư Gu</v>
          </cell>
          <cell r="I8065" t="str">
            <v>60323</v>
          </cell>
        </row>
        <row r="8066">
          <cell r="G8066" t="str">
            <v>Xã Đất Bằng</v>
          </cell>
          <cell r="I8066" t="str">
            <v>60323</v>
          </cell>
        </row>
        <row r="8067">
          <cell r="G8067" t="str">
            <v>Xã Ia Mláh</v>
          </cell>
          <cell r="I8067" t="str">
            <v>60323</v>
          </cell>
        </row>
        <row r="8068">
          <cell r="G8068" t="str">
            <v>Xã Phú Cần</v>
          </cell>
          <cell r="I8068" t="str">
            <v>60323</v>
          </cell>
        </row>
        <row r="8069">
          <cell r="G8069" t="str">
            <v>Xã Ia HDreh</v>
          </cell>
          <cell r="I8069" t="str">
            <v>60323</v>
          </cell>
        </row>
        <row r="8070">
          <cell r="G8070" t="str">
            <v>Xã Ia RMok</v>
          </cell>
          <cell r="I8070" t="str">
            <v>60323</v>
          </cell>
        </row>
        <row r="8071">
          <cell r="G8071" t="str">
            <v>Xã Chư RCăm</v>
          </cell>
          <cell r="I8071" t="str">
            <v>60323</v>
          </cell>
        </row>
        <row r="8072">
          <cell r="G8072" t="str">
            <v>Xã Krông Năng</v>
          </cell>
          <cell r="I8072" t="str">
            <v>60323</v>
          </cell>
        </row>
        <row r="8073">
          <cell r="G8073" t="str">
            <v>Xã Trang</v>
          </cell>
          <cell r="I8073" t="str">
            <v>60325</v>
          </cell>
        </row>
        <row r="8074">
          <cell r="G8074" t="str">
            <v>Xã Đăk Sơmei</v>
          </cell>
          <cell r="I8074" t="str">
            <v>60325</v>
          </cell>
        </row>
        <row r="8075">
          <cell r="G8075" t="str">
            <v>Xã Hải Yang</v>
          </cell>
          <cell r="I8075" t="str">
            <v>60325</v>
          </cell>
        </row>
        <row r="8076">
          <cell r="G8076" t="str">
            <v>Xã K- Dang</v>
          </cell>
          <cell r="I8076" t="str">
            <v>60325</v>
          </cell>
        </row>
        <row r="8077">
          <cell r="G8077" t="str">
            <v xml:space="preserve">Xã Tân Bình   </v>
          </cell>
          <cell r="I8077" t="str">
            <v>60325</v>
          </cell>
        </row>
        <row r="8078">
          <cell r="G8078" t="str">
            <v>Xã Glar</v>
          </cell>
          <cell r="I8078" t="str">
            <v>60325</v>
          </cell>
        </row>
        <row r="8079">
          <cell r="G8079" t="str">
            <v>Xã A Dơk</v>
          </cell>
          <cell r="I8079" t="str">
            <v>60325</v>
          </cell>
        </row>
        <row r="8080">
          <cell r="G8080" t="str">
            <v>Xã Ia Pết</v>
          </cell>
          <cell r="I8080" t="str">
            <v>60325</v>
          </cell>
        </row>
        <row r="8081">
          <cell r="G8081" t="str">
            <v xml:space="preserve">Xã Ia Băng </v>
          </cell>
          <cell r="I8081" t="str">
            <v>60325</v>
          </cell>
        </row>
        <row r="8082">
          <cell r="G8082" t="str">
            <v>Xã H- Neng</v>
          </cell>
          <cell r="I8082" t="str">
            <v>60325</v>
          </cell>
        </row>
        <row r="8083">
          <cell r="G8083" t="str">
            <v>Thị trấn Đăk Đoa</v>
          </cell>
          <cell r="I8083" t="str">
            <v>60325</v>
          </cell>
        </row>
        <row r="8084">
          <cell r="G8084" t="str">
            <v xml:space="preserve">Xã Hà Đông </v>
          </cell>
          <cell r="I8084" t="str">
            <v>60325</v>
          </cell>
        </row>
        <row r="8085">
          <cell r="G8085" t="str">
            <v>Xã Kon Gang</v>
          </cell>
          <cell r="I8085" t="str">
            <v>60325</v>
          </cell>
        </row>
        <row r="8086">
          <cell r="G8086" t="str">
            <v>Xã Hà Bầu</v>
          </cell>
          <cell r="I8086" t="str">
            <v>60325</v>
          </cell>
        </row>
        <row r="8087">
          <cell r="G8087" t="str">
            <v>Xã Nam Yang</v>
          </cell>
          <cell r="I8087" t="str">
            <v>60325</v>
          </cell>
        </row>
        <row r="8088">
          <cell r="G8088" t="str">
            <v>Xã Đak Krong</v>
          </cell>
          <cell r="I8088" t="str">
            <v>60325</v>
          </cell>
        </row>
        <row r="8089">
          <cell r="G8089" t="str">
            <v>Xã HNol</v>
          </cell>
          <cell r="I8089" t="str">
            <v>60325</v>
          </cell>
        </row>
        <row r="8090">
          <cell r="G8090" t="str">
            <v>Xã An Thành</v>
          </cell>
          <cell r="I8090" t="str">
            <v>60327</v>
          </cell>
        </row>
        <row r="8091">
          <cell r="G8091" t="str">
            <v xml:space="preserve">Xã Tân An     </v>
          </cell>
          <cell r="I8091" t="str">
            <v>60327</v>
          </cell>
        </row>
        <row r="8092">
          <cell r="G8092" t="str">
            <v>Xã Hà Tam</v>
          </cell>
          <cell r="I8092" t="str">
            <v>60327</v>
          </cell>
        </row>
        <row r="8093">
          <cell r="G8093" t="str">
            <v>Thị Trấn Đak Pơ</v>
          </cell>
          <cell r="I8093" t="str">
            <v>60327</v>
          </cell>
        </row>
        <row r="8094">
          <cell r="G8094" t="str">
            <v>Xã Yang Bắc</v>
          </cell>
          <cell r="I8094" t="str">
            <v>60327</v>
          </cell>
        </row>
        <row r="8095">
          <cell r="G8095" t="str">
            <v>Xã Cư An</v>
          </cell>
          <cell r="I8095" t="str">
            <v>60327</v>
          </cell>
        </row>
        <row r="8096">
          <cell r="G8096" t="str">
            <v xml:space="preserve">Xã Phú An </v>
          </cell>
          <cell r="I8096" t="str">
            <v>60327</v>
          </cell>
        </row>
        <row r="8097">
          <cell r="G8097" t="str">
            <v>Xã Ya Hội</v>
          </cell>
          <cell r="I8097" t="str">
            <v>60327</v>
          </cell>
        </row>
        <row r="8098">
          <cell r="G8098" t="str">
            <v>Thị Trấn Phú Thiện</v>
          </cell>
          <cell r="I8098" t="str">
            <v>60329</v>
          </cell>
        </row>
        <row r="8099">
          <cell r="G8099" t="str">
            <v>Xã Ia Ke</v>
          </cell>
          <cell r="I8099" t="str">
            <v>60329</v>
          </cell>
        </row>
        <row r="8100">
          <cell r="G8100" t="str">
            <v>Xã Chư A Thai</v>
          </cell>
          <cell r="I8100" t="str">
            <v>60329</v>
          </cell>
        </row>
        <row r="8101">
          <cell r="G8101" t="str">
            <v>Xã Ia Piar</v>
          </cell>
          <cell r="I8101" t="str">
            <v>60329</v>
          </cell>
        </row>
        <row r="8102">
          <cell r="G8102" t="str">
            <v>Xã Ia Peng</v>
          </cell>
          <cell r="I8102" t="str">
            <v>60329</v>
          </cell>
        </row>
        <row r="8103">
          <cell r="G8103" t="str">
            <v>Xã Ia Hiao</v>
          </cell>
          <cell r="I8103" t="str">
            <v>60329</v>
          </cell>
        </row>
        <row r="8104">
          <cell r="G8104" t="str">
            <v>Xã Ia Yeng</v>
          </cell>
          <cell r="I8104" t="str">
            <v>60329</v>
          </cell>
        </row>
        <row r="8105">
          <cell r="G8105" t="str">
            <v>Xã Ia Sol</v>
          </cell>
          <cell r="I8105" t="str">
            <v>60329</v>
          </cell>
        </row>
        <row r="8106">
          <cell r="G8106" t="str">
            <v>Xã Ayun Hạ</v>
          </cell>
          <cell r="I8106" t="str">
            <v>60329</v>
          </cell>
        </row>
        <row r="8107">
          <cell r="G8107" t="str">
            <v>Xã Chrô PơNan</v>
          </cell>
          <cell r="I8107" t="str">
            <v>60329</v>
          </cell>
        </row>
        <row r="8108">
          <cell r="G8108" t="str">
            <v>Xã Ia Le</v>
          </cell>
          <cell r="I8108" t="str">
            <v>60331</v>
          </cell>
        </row>
        <row r="8109">
          <cell r="G8109" t="str">
            <v>Xã Ia Blứ</v>
          </cell>
          <cell r="I8109" t="str">
            <v>60331</v>
          </cell>
        </row>
        <row r="8110">
          <cell r="G8110" t="str">
            <v>Xã Ia Phang</v>
          </cell>
          <cell r="I8110" t="str">
            <v>60331</v>
          </cell>
        </row>
        <row r="8111">
          <cell r="G8111" t="str">
            <v>Xã Chư Don</v>
          </cell>
          <cell r="I8111" t="str">
            <v>60331</v>
          </cell>
        </row>
        <row r="8112">
          <cell r="G8112" t="str">
            <v>Xã Ia Dreng</v>
          </cell>
          <cell r="I8112" t="str">
            <v>60331</v>
          </cell>
        </row>
        <row r="8113">
          <cell r="G8113" t="str">
            <v>Xã Ia Hla</v>
          </cell>
          <cell r="I8113" t="str">
            <v>60331</v>
          </cell>
        </row>
        <row r="8114">
          <cell r="G8114" t="str">
            <v>Xã Ia Hrú</v>
          </cell>
          <cell r="I8114" t="str">
            <v>60331</v>
          </cell>
        </row>
        <row r="8115">
          <cell r="G8115" t="str">
            <v>Xã Ia Rong</v>
          </cell>
          <cell r="I8115" t="str">
            <v>60331</v>
          </cell>
        </row>
        <row r="8116">
          <cell r="G8116" t="str">
            <v>Thị trấn Nhơn Hòa</v>
          </cell>
          <cell r="I8116" t="str">
            <v>60331</v>
          </cell>
        </row>
        <row r="8117">
          <cell r="G8117" t="str">
            <v>Phường Tân Tiến</v>
          </cell>
          <cell r="I8117" t="str">
            <v>60501</v>
          </cell>
        </row>
        <row r="8118">
          <cell r="G8118" t="str">
            <v xml:space="preserve">Phường Tân An   </v>
          </cell>
          <cell r="I8118" t="str">
            <v>60501</v>
          </cell>
        </row>
        <row r="8119">
          <cell r="G8119" t="str">
            <v>Phường Tân Lợi</v>
          </cell>
          <cell r="I8119" t="str">
            <v>60501</v>
          </cell>
        </row>
        <row r="8120">
          <cell r="G8120" t="str">
            <v>Phường Tự An</v>
          </cell>
          <cell r="I8120" t="str">
            <v>60501</v>
          </cell>
        </row>
        <row r="8121">
          <cell r="G8121" t="str">
            <v>Xã Cư êBur</v>
          </cell>
          <cell r="I8121" t="str">
            <v>60501</v>
          </cell>
        </row>
        <row r="8122">
          <cell r="G8122" t="str">
            <v xml:space="preserve">Xã Hòa Phú     </v>
          </cell>
          <cell r="I8122" t="str">
            <v>60501</v>
          </cell>
        </row>
        <row r="8123">
          <cell r="G8123" t="str">
            <v xml:space="preserve">Phường Tân Lập  </v>
          </cell>
          <cell r="I8123" t="str">
            <v>60501</v>
          </cell>
        </row>
        <row r="8124">
          <cell r="G8124" t="str">
            <v xml:space="preserve">Phường Tân Hòa </v>
          </cell>
          <cell r="I8124" t="str">
            <v>60501</v>
          </cell>
        </row>
        <row r="8125">
          <cell r="G8125" t="str">
            <v xml:space="preserve">Phường Thống Nhất    </v>
          </cell>
          <cell r="I8125" t="str">
            <v>60501</v>
          </cell>
        </row>
        <row r="8126">
          <cell r="G8126" t="str">
            <v>Phường Thành Nhất</v>
          </cell>
          <cell r="I8126" t="str">
            <v>60501</v>
          </cell>
        </row>
        <row r="8127">
          <cell r="G8127" t="str">
            <v xml:space="preserve">Phường Thắng Lợi   </v>
          </cell>
          <cell r="I8127" t="str">
            <v>60501</v>
          </cell>
        </row>
        <row r="8128">
          <cell r="G8128" t="str">
            <v xml:space="preserve">Phường Thành Công </v>
          </cell>
          <cell r="I8128" t="str">
            <v>60501</v>
          </cell>
        </row>
        <row r="8129">
          <cell r="G8129" t="str">
            <v xml:space="preserve">Phường Tân Thành   </v>
          </cell>
          <cell r="I8129" t="str">
            <v>60501</v>
          </cell>
        </row>
        <row r="8130">
          <cell r="G8130" t="str">
            <v>Phường Ea Tam</v>
          </cell>
          <cell r="I8130" t="str">
            <v>60501</v>
          </cell>
        </row>
        <row r="8131">
          <cell r="G8131" t="str">
            <v>Phường Khánh Xuân</v>
          </cell>
          <cell r="I8131" t="str">
            <v>60501</v>
          </cell>
        </row>
        <row r="8132">
          <cell r="G8132" t="str">
            <v>Xã Hòa Thuận</v>
          </cell>
          <cell r="I8132" t="str">
            <v>60501</v>
          </cell>
        </row>
        <row r="8133">
          <cell r="G8133" t="str">
            <v>Xã Ea Tu</v>
          </cell>
          <cell r="I8133" t="str">
            <v>60501</v>
          </cell>
        </row>
        <row r="8134">
          <cell r="G8134" t="str">
            <v xml:space="preserve">Xã Hòa Thắng  </v>
          </cell>
          <cell r="I8134" t="str">
            <v>60501</v>
          </cell>
        </row>
        <row r="8135">
          <cell r="G8135" t="str">
            <v>Xã Ea Kao</v>
          </cell>
          <cell r="I8135" t="str">
            <v>60501</v>
          </cell>
        </row>
        <row r="8136">
          <cell r="G8136" t="str">
            <v>Xã Hòa Khánh</v>
          </cell>
          <cell r="I8136" t="str">
            <v>60501</v>
          </cell>
        </row>
        <row r="8137">
          <cell r="G8137" t="str">
            <v>Xã Hòa Xuân</v>
          </cell>
          <cell r="I8137" t="str">
            <v>60501</v>
          </cell>
        </row>
        <row r="8138">
          <cell r="G8138" t="str">
            <v>Thị trấn Ea Drăng</v>
          </cell>
          <cell r="I8138" t="str">
            <v>60503</v>
          </cell>
        </row>
        <row r="8139">
          <cell r="G8139" t="str">
            <v>Xã Ea H-leo</v>
          </cell>
          <cell r="I8139" t="str">
            <v>60503</v>
          </cell>
        </row>
        <row r="8140">
          <cell r="G8140" t="str">
            <v>Xã Cư Mốt</v>
          </cell>
          <cell r="I8140" t="str">
            <v>60503</v>
          </cell>
        </row>
        <row r="8141">
          <cell r="G8141" t="str">
            <v>Xã Dlê Yang</v>
          </cell>
          <cell r="I8141" t="str">
            <v>60503</v>
          </cell>
        </row>
        <row r="8142">
          <cell r="G8142" t="str">
            <v>Xã Ea Sol</v>
          </cell>
          <cell r="I8142" t="str">
            <v>60503</v>
          </cell>
        </row>
        <row r="8143">
          <cell r="G8143" t="str">
            <v>Xã Ea Ral</v>
          </cell>
          <cell r="I8143" t="str">
            <v>60503</v>
          </cell>
        </row>
        <row r="8144">
          <cell r="G8144" t="str">
            <v>Xã Ea Wy</v>
          </cell>
          <cell r="I8144" t="str">
            <v>60503</v>
          </cell>
        </row>
        <row r="8145">
          <cell r="G8145" t="str">
            <v>Xã Ea Hiao</v>
          </cell>
          <cell r="I8145" t="str">
            <v>60503</v>
          </cell>
        </row>
        <row r="8146">
          <cell r="G8146" t="str">
            <v>Xã Ea Khal</v>
          </cell>
          <cell r="I8146" t="str">
            <v>60503</v>
          </cell>
        </row>
        <row r="8147">
          <cell r="G8147" t="str">
            <v>Xã Ea Nam</v>
          </cell>
          <cell r="I8147" t="str">
            <v>60503</v>
          </cell>
        </row>
        <row r="8148">
          <cell r="G8148" t="str">
            <v>Xã Ea Tir</v>
          </cell>
          <cell r="I8148" t="str">
            <v>60503</v>
          </cell>
        </row>
        <row r="8149">
          <cell r="G8149" t="str">
            <v>Xã Cư Amung</v>
          </cell>
          <cell r="I8149" t="str">
            <v>60503</v>
          </cell>
        </row>
        <row r="8150">
          <cell r="G8150" t="str">
            <v>Xã Cư KBang</v>
          </cell>
          <cell r="I8150" t="str">
            <v>60505</v>
          </cell>
        </row>
        <row r="8151">
          <cell r="G8151" t="str">
            <v>Xã Ea Rốk</v>
          </cell>
          <cell r="I8151" t="str">
            <v>60505</v>
          </cell>
        </row>
        <row r="8152">
          <cell r="G8152" t="str">
            <v>Xã Ea Bung</v>
          </cell>
          <cell r="I8152" t="str">
            <v>60505</v>
          </cell>
        </row>
        <row r="8153">
          <cell r="G8153" t="str">
            <v>Thị trấn Ea Súp</v>
          </cell>
          <cell r="I8153" t="str">
            <v>60505</v>
          </cell>
        </row>
        <row r="8154">
          <cell r="G8154" t="str">
            <v>Xã Ia Lốp</v>
          </cell>
          <cell r="I8154" t="str">
            <v>60505</v>
          </cell>
        </row>
        <row r="8155">
          <cell r="G8155" t="str">
            <v>Xã Ya Tờ Mốt</v>
          </cell>
          <cell r="I8155" t="str">
            <v>60505</v>
          </cell>
        </row>
        <row r="8156">
          <cell r="G8156" t="str">
            <v>Xã Ea Lê</v>
          </cell>
          <cell r="I8156" t="str">
            <v>60505</v>
          </cell>
        </row>
        <row r="8157">
          <cell r="G8157" t="str">
            <v>Xã Cư M-Lan</v>
          </cell>
          <cell r="I8157" t="str">
            <v>60505</v>
          </cell>
        </row>
        <row r="8158">
          <cell r="G8158" t="str">
            <v>Xã Ia Jlơi</v>
          </cell>
          <cell r="I8158" t="str">
            <v>60505</v>
          </cell>
        </row>
        <row r="8159">
          <cell r="G8159" t="str">
            <v>Xã Ia Rvê</v>
          </cell>
          <cell r="I8159" t="str">
            <v>60505</v>
          </cell>
        </row>
        <row r="8160">
          <cell r="G8160" t="str">
            <v>Thị trấn Krông Năng</v>
          </cell>
          <cell r="I8160" t="str">
            <v>60507</v>
          </cell>
        </row>
        <row r="8161">
          <cell r="G8161" t="str">
            <v>Xã Cư Klông</v>
          </cell>
          <cell r="I8161" t="str">
            <v>60507</v>
          </cell>
        </row>
        <row r="8162">
          <cell r="G8162" t="str">
            <v>Xã ĐLiê Ya</v>
          </cell>
          <cell r="I8162" t="str">
            <v>60507</v>
          </cell>
        </row>
        <row r="8163">
          <cell r="G8163" t="str">
            <v xml:space="preserve">Xã Tam Giang  </v>
          </cell>
          <cell r="I8163" t="str">
            <v>60507</v>
          </cell>
        </row>
        <row r="8164">
          <cell r="G8164" t="str">
            <v>Xã Ea Hồ</v>
          </cell>
          <cell r="I8164" t="str">
            <v>60507</v>
          </cell>
        </row>
        <row r="8165">
          <cell r="G8165" t="str">
            <v xml:space="preserve">Xã Phú Xuân    </v>
          </cell>
          <cell r="I8165" t="str">
            <v>60507</v>
          </cell>
        </row>
        <row r="8166">
          <cell r="G8166" t="str">
            <v>Xã Ea Tân</v>
          </cell>
          <cell r="I8166" t="str">
            <v>60507</v>
          </cell>
        </row>
        <row r="8167">
          <cell r="G8167" t="str">
            <v xml:space="preserve">Xã Phú Lộc    </v>
          </cell>
          <cell r="I8167" t="str">
            <v>60507</v>
          </cell>
        </row>
        <row r="8168">
          <cell r="G8168" t="str">
            <v>Xã Ea Tóh</v>
          </cell>
          <cell r="I8168" t="str">
            <v>60507</v>
          </cell>
        </row>
        <row r="8169">
          <cell r="G8169" t="str">
            <v>Xã Ea Tam</v>
          </cell>
          <cell r="I8169" t="str">
            <v>60507</v>
          </cell>
        </row>
        <row r="8170">
          <cell r="G8170" t="str">
            <v>Xã Ea Púk</v>
          </cell>
          <cell r="I8170" t="str">
            <v>60507</v>
          </cell>
        </row>
        <row r="8171">
          <cell r="G8171" t="str">
            <v>Xã Ea Đah</v>
          </cell>
          <cell r="I8171" t="str">
            <v>60507</v>
          </cell>
        </row>
        <row r="8172">
          <cell r="G8172" t="str">
            <v xml:space="preserve">Phường Đoàn Kết  </v>
          </cell>
          <cell r="I8172" t="str">
            <v>60509</v>
          </cell>
        </row>
        <row r="8173">
          <cell r="G8173" t="str">
            <v xml:space="preserve">Phường Thống Nhất     </v>
          </cell>
          <cell r="I8173" t="str">
            <v>60509</v>
          </cell>
        </row>
        <row r="8174">
          <cell r="G8174" t="str">
            <v>Xã Ea Blang</v>
          </cell>
          <cell r="I8174" t="str">
            <v>60509</v>
          </cell>
        </row>
        <row r="8175">
          <cell r="G8175" t="str">
            <v>Xã Ea Drông</v>
          </cell>
          <cell r="I8175" t="str">
            <v>60509</v>
          </cell>
        </row>
        <row r="8176">
          <cell r="G8176" t="str">
            <v>Xã Ea Siên</v>
          </cell>
          <cell r="I8176" t="str">
            <v>60509</v>
          </cell>
        </row>
        <row r="8177">
          <cell r="G8177" t="str">
            <v xml:space="preserve">Xã Bình Thuận    </v>
          </cell>
          <cell r="I8177" t="str">
            <v>60509</v>
          </cell>
        </row>
        <row r="8178">
          <cell r="G8178" t="str">
            <v>Xã Cư Bao</v>
          </cell>
          <cell r="I8178" t="str">
            <v>60509</v>
          </cell>
        </row>
        <row r="8179">
          <cell r="G8179" t="str">
            <v>Phường Bình Tân</v>
          </cell>
          <cell r="I8179" t="str">
            <v>60509</v>
          </cell>
        </row>
        <row r="8180">
          <cell r="G8180" t="str">
            <v>Phường Đạt Hiếu</v>
          </cell>
          <cell r="I8180" t="str">
            <v>60509</v>
          </cell>
        </row>
        <row r="8181">
          <cell r="G8181" t="str">
            <v>Phường An Lạc</v>
          </cell>
          <cell r="I8181" t="str">
            <v>60509</v>
          </cell>
        </row>
        <row r="8182">
          <cell r="G8182" t="str">
            <v xml:space="preserve">Phường An Bình </v>
          </cell>
          <cell r="I8182" t="str">
            <v>60509</v>
          </cell>
        </row>
        <row r="8183">
          <cell r="G8183" t="str">
            <v>Phường Thiện An</v>
          </cell>
          <cell r="I8183" t="str">
            <v>60509</v>
          </cell>
        </row>
        <row r="8184">
          <cell r="G8184" t="str">
            <v>Xã Ea Wer</v>
          </cell>
          <cell r="I8184" t="str">
            <v>60511</v>
          </cell>
        </row>
        <row r="8185">
          <cell r="G8185" t="str">
            <v>Xã Ea Bar</v>
          </cell>
          <cell r="I8185" t="str">
            <v>60511</v>
          </cell>
        </row>
        <row r="8186">
          <cell r="G8186" t="str">
            <v>Xã Krông Na</v>
          </cell>
          <cell r="I8186" t="str">
            <v>60511</v>
          </cell>
        </row>
        <row r="8187">
          <cell r="G8187" t="str">
            <v>Xã Ea Huar</v>
          </cell>
          <cell r="I8187" t="str">
            <v>60511</v>
          </cell>
        </row>
        <row r="8188">
          <cell r="G8188" t="str">
            <v xml:space="preserve">Xã Tân Hòa     </v>
          </cell>
          <cell r="I8188" t="str">
            <v>60511</v>
          </cell>
        </row>
        <row r="8189">
          <cell r="G8189" t="str">
            <v>Xã Cuôr KNia</v>
          </cell>
          <cell r="I8189" t="str">
            <v>60511</v>
          </cell>
        </row>
        <row r="8190">
          <cell r="G8190" t="str">
            <v>Xã Ea Nuôl</v>
          </cell>
          <cell r="I8190" t="str">
            <v>60511</v>
          </cell>
        </row>
        <row r="8191">
          <cell r="G8191" t="str">
            <v>Thị trấn Quảng Phú</v>
          </cell>
          <cell r="I8191" t="str">
            <v>60513</v>
          </cell>
        </row>
        <row r="8192">
          <cell r="G8192" t="str">
            <v xml:space="preserve">Xã Quảng Tiến </v>
          </cell>
          <cell r="I8192" t="str">
            <v>60513</v>
          </cell>
        </row>
        <row r="8193">
          <cell r="G8193" t="str">
            <v>Xã Ea H-Đinh</v>
          </cell>
          <cell r="I8193" t="str">
            <v>60513</v>
          </cell>
        </row>
        <row r="8194">
          <cell r="G8194" t="str">
            <v>Xã Quảng Hiệp</v>
          </cell>
          <cell r="I8194" t="str">
            <v>60513</v>
          </cell>
        </row>
        <row r="8195">
          <cell r="G8195" t="str">
            <v>Xã Cư Suê</v>
          </cell>
          <cell r="I8195" t="str">
            <v>60513</v>
          </cell>
        </row>
        <row r="8196">
          <cell r="G8196" t="str">
            <v>Thị trấn Ea Pốk</v>
          </cell>
          <cell r="I8196" t="str">
            <v>60513</v>
          </cell>
        </row>
        <row r="8197">
          <cell r="G8197" t="str">
            <v>Xã Ea Kiết</v>
          </cell>
          <cell r="I8197" t="str">
            <v>60513</v>
          </cell>
        </row>
        <row r="8198">
          <cell r="G8198" t="str">
            <v>Xã Ea Tar</v>
          </cell>
          <cell r="I8198" t="str">
            <v>60513</v>
          </cell>
        </row>
        <row r="8199">
          <cell r="G8199" t="str">
            <v>Xã Cư Dliê M-nông</v>
          </cell>
          <cell r="I8199" t="str">
            <v>60513</v>
          </cell>
        </row>
        <row r="8200">
          <cell r="G8200" t="str">
            <v>Xã Ea Tul</v>
          </cell>
          <cell r="I8200" t="str">
            <v>60513</v>
          </cell>
        </row>
        <row r="8201">
          <cell r="G8201" t="str">
            <v>Xã Ea KPam</v>
          </cell>
          <cell r="I8201" t="str">
            <v>60513</v>
          </cell>
        </row>
        <row r="8202">
          <cell r="G8202" t="str">
            <v>Xã Ea M-DRóh</v>
          </cell>
          <cell r="I8202" t="str">
            <v>60513</v>
          </cell>
        </row>
        <row r="8203">
          <cell r="G8203" t="str">
            <v>Xã Cư M-gar</v>
          </cell>
          <cell r="I8203" t="str">
            <v>60513</v>
          </cell>
        </row>
        <row r="8204">
          <cell r="G8204" t="str">
            <v>Xã Ea D-Rơng</v>
          </cell>
          <cell r="I8204" t="str">
            <v>60513</v>
          </cell>
        </row>
        <row r="8205">
          <cell r="G8205" t="str">
            <v>Xã Ea M-nang</v>
          </cell>
          <cell r="I8205" t="str">
            <v>60513</v>
          </cell>
        </row>
        <row r="8206">
          <cell r="G8206" t="str">
            <v>Xã Cuor Đăng</v>
          </cell>
          <cell r="I8206" t="str">
            <v>60513</v>
          </cell>
        </row>
        <row r="8207">
          <cell r="G8207" t="str">
            <v>Xã Eakuêh</v>
          </cell>
          <cell r="I8207" t="str">
            <v>60513</v>
          </cell>
        </row>
        <row r="8208">
          <cell r="G8208" t="str">
            <v>Xã Ea Păn</v>
          </cell>
          <cell r="I8208" t="str">
            <v>60515</v>
          </cell>
        </row>
        <row r="8209">
          <cell r="G8209" t="str">
            <v>Xã Ea Tih</v>
          </cell>
          <cell r="I8209" t="str">
            <v>60515</v>
          </cell>
        </row>
        <row r="8210">
          <cell r="G8210" t="str">
            <v>Xã Cư Ni</v>
          </cell>
          <cell r="I8210" t="str">
            <v>60515</v>
          </cell>
        </row>
        <row r="8211">
          <cell r="G8211" t="str">
            <v>Xã Cư Jang</v>
          </cell>
          <cell r="I8211" t="str">
            <v>60515</v>
          </cell>
        </row>
        <row r="8212">
          <cell r="G8212" t="str">
            <v>Thị trấn Ea Kar</v>
          </cell>
          <cell r="I8212" t="str">
            <v>60515</v>
          </cell>
        </row>
        <row r="8213">
          <cell r="G8213" t="str">
            <v>Thị trấn Ea Knốp</v>
          </cell>
          <cell r="I8213" t="str">
            <v>60515</v>
          </cell>
        </row>
        <row r="8214">
          <cell r="G8214" t="str">
            <v>Xã Ea Sô</v>
          </cell>
          <cell r="I8214" t="str">
            <v>60515</v>
          </cell>
        </row>
        <row r="8215">
          <cell r="G8215" t="str">
            <v xml:space="preserve">Xã Xuân Phú     </v>
          </cell>
          <cell r="I8215" t="str">
            <v>60515</v>
          </cell>
        </row>
        <row r="8216">
          <cell r="G8216" t="str">
            <v>Xã Cư Huê</v>
          </cell>
          <cell r="I8216" t="str">
            <v>60515</v>
          </cell>
        </row>
        <row r="8217">
          <cell r="G8217" t="str">
            <v>Xã Ea Đar</v>
          </cell>
          <cell r="I8217" t="str">
            <v>60515</v>
          </cell>
        </row>
        <row r="8218">
          <cell r="G8218" t="str">
            <v>Xã Ea Kmút</v>
          </cell>
          <cell r="I8218" t="str">
            <v>60515</v>
          </cell>
        </row>
        <row r="8219">
          <cell r="G8219" t="str">
            <v>Xã Ea ô</v>
          </cell>
          <cell r="I8219" t="str">
            <v>60515</v>
          </cell>
        </row>
        <row r="8220">
          <cell r="G8220" t="str">
            <v>Xã Cư Bông</v>
          </cell>
          <cell r="I8220" t="str">
            <v>60515</v>
          </cell>
        </row>
        <row r="8221">
          <cell r="G8221" t="str">
            <v>Xã Cu ELang</v>
          </cell>
          <cell r="I8221" t="str">
            <v>60515</v>
          </cell>
        </row>
        <row r="8222">
          <cell r="G8222" t="str">
            <v>Xã Cu Prong</v>
          </cell>
          <cell r="I8222" t="str">
            <v>60515</v>
          </cell>
        </row>
        <row r="8223">
          <cell r="G8223" t="str">
            <v>Xã EaSar</v>
          </cell>
          <cell r="I8223" t="str">
            <v>60515</v>
          </cell>
        </row>
        <row r="8224">
          <cell r="G8224" t="str">
            <v>Xã Ea Riêng</v>
          </cell>
          <cell r="I8224" t="str">
            <v>60517</v>
          </cell>
        </row>
        <row r="8225">
          <cell r="G8225" t="str">
            <v>Xã Ea Pil</v>
          </cell>
          <cell r="I8225" t="str">
            <v>60517</v>
          </cell>
        </row>
        <row r="8226">
          <cell r="G8226" t="str">
            <v>Xã Ea M- Doal</v>
          </cell>
          <cell r="I8226" t="str">
            <v>60517</v>
          </cell>
        </row>
        <row r="8227">
          <cell r="G8227" t="str">
            <v>Xã KRông á</v>
          </cell>
          <cell r="I8227" t="str">
            <v>60517</v>
          </cell>
        </row>
        <row r="8228">
          <cell r="G8228" t="str">
            <v>Thị trấn M-Đrắk</v>
          </cell>
          <cell r="I8228" t="str">
            <v>60517</v>
          </cell>
        </row>
        <row r="8229">
          <cell r="G8229" t="str">
            <v>Xã Cư Prao</v>
          </cell>
          <cell r="I8229" t="str">
            <v>60517</v>
          </cell>
        </row>
        <row r="8230">
          <cell r="G8230" t="str">
            <v>Xã Ea Lai</v>
          </cell>
          <cell r="I8230" t="str">
            <v>60517</v>
          </cell>
        </row>
        <row r="8231">
          <cell r="G8231" t="str">
            <v>Xã Ea H-MLay</v>
          </cell>
          <cell r="I8231" t="str">
            <v>60517</v>
          </cell>
        </row>
        <row r="8232">
          <cell r="G8232" t="str">
            <v>Xã Krông Jing</v>
          </cell>
          <cell r="I8232" t="str">
            <v>60517</v>
          </cell>
        </row>
        <row r="8233">
          <cell r="G8233" t="str">
            <v>Xã Cư M-ta</v>
          </cell>
          <cell r="I8233" t="str">
            <v>60517</v>
          </cell>
        </row>
        <row r="8234">
          <cell r="G8234" t="str">
            <v>Xã Cư K Róa</v>
          </cell>
          <cell r="I8234" t="str">
            <v>60517</v>
          </cell>
        </row>
        <row r="8235">
          <cell r="G8235" t="str">
            <v>Xã Ea Trang</v>
          </cell>
          <cell r="I8235" t="str">
            <v>60517</v>
          </cell>
        </row>
        <row r="8236">
          <cell r="G8236" t="str">
            <v>Xã Cư Sang</v>
          </cell>
          <cell r="I8236" t="str">
            <v>60517</v>
          </cell>
        </row>
        <row r="8237">
          <cell r="G8237" t="str">
            <v>Xã Ea KNuec</v>
          </cell>
          <cell r="I8237" t="str">
            <v>60519</v>
          </cell>
        </row>
        <row r="8238">
          <cell r="G8238" t="str">
            <v>Thị trấn Phước An</v>
          </cell>
          <cell r="I8238" t="str">
            <v>60519</v>
          </cell>
        </row>
        <row r="8239">
          <cell r="G8239" t="str">
            <v>Xã Ea Phê</v>
          </cell>
          <cell r="I8239" t="str">
            <v>60519</v>
          </cell>
        </row>
        <row r="8240">
          <cell r="G8240" t="str">
            <v>Xã Ea Kuăng</v>
          </cell>
          <cell r="I8240" t="str">
            <v>60519</v>
          </cell>
        </row>
        <row r="8241">
          <cell r="G8241" t="str">
            <v xml:space="preserve">Xã Tân Tiến            </v>
          </cell>
          <cell r="I8241" t="str">
            <v>60519</v>
          </cell>
        </row>
        <row r="8242">
          <cell r="G8242" t="str">
            <v>Xã KRông Búk</v>
          </cell>
          <cell r="I8242" t="str">
            <v>60519</v>
          </cell>
        </row>
        <row r="8243">
          <cell r="G8243" t="str">
            <v>Xã Ea Kly</v>
          </cell>
          <cell r="I8243" t="str">
            <v>60519</v>
          </cell>
        </row>
        <row r="8244">
          <cell r="G8244" t="str">
            <v>Xã Ea Kênh</v>
          </cell>
          <cell r="I8244" t="str">
            <v>60519</v>
          </cell>
        </row>
        <row r="8245">
          <cell r="G8245" t="str">
            <v>Xã Ea Yông</v>
          </cell>
          <cell r="I8245" t="str">
            <v>60519</v>
          </cell>
        </row>
        <row r="8246">
          <cell r="G8246" t="str">
            <v xml:space="preserve">Xã Hòa An  </v>
          </cell>
          <cell r="I8246" t="str">
            <v>60519</v>
          </cell>
        </row>
        <row r="8247">
          <cell r="G8247" t="str">
            <v>Xã Hòa Đông</v>
          </cell>
          <cell r="I8247" t="str">
            <v>60519</v>
          </cell>
        </row>
        <row r="8248">
          <cell r="G8248" t="str">
            <v>Xã Ea Hiu</v>
          </cell>
          <cell r="I8248" t="str">
            <v>60519</v>
          </cell>
        </row>
        <row r="8249">
          <cell r="G8249" t="str">
            <v xml:space="preserve">Xã Hòa Tiến   </v>
          </cell>
          <cell r="I8249" t="str">
            <v>60519</v>
          </cell>
        </row>
        <row r="8250">
          <cell r="G8250" t="str">
            <v>Xã Vụ Bổn</v>
          </cell>
          <cell r="I8250" t="str">
            <v>60519</v>
          </cell>
        </row>
        <row r="8251">
          <cell r="G8251" t="str">
            <v>Xã Ea Uy</v>
          </cell>
          <cell r="I8251" t="str">
            <v>60519</v>
          </cell>
        </row>
        <row r="8252">
          <cell r="G8252" t="str">
            <v>Xã Ea Yiêng</v>
          </cell>
          <cell r="I8252" t="str">
            <v>60519</v>
          </cell>
        </row>
        <row r="8253">
          <cell r="G8253" t="str">
            <v>Xã Cư ê Wi</v>
          </cell>
          <cell r="I8253" t="str">
            <v>60523</v>
          </cell>
        </row>
        <row r="8254">
          <cell r="G8254" t="str">
            <v>Xã Dur KMăl</v>
          </cell>
          <cell r="I8254" t="str">
            <v>60523</v>
          </cell>
        </row>
        <row r="8255">
          <cell r="G8255" t="str">
            <v>Thị trấn Buôn Trấp</v>
          </cell>
          <cell r="I8255" t="str">
            <v>60523</v>
          </cell>
        </row>
        <row r="8256">
          <cell r="G8256" t="str">
            <v>Xã Ea Hu</v>
          </cell>
          <cell r="I8256" t="str">
            <v>60523</v>
          </cell>
        </row>
        <row r="8257">
          <cell r="G8257" t="str">
            <v>Xã Hòa Hiệp</v>
          </cell>
          <cell r="I8257" t="str">
            <v>60523</v>
          </cell>
        </row>
        <row r="8258">
          <cell r="G8258" t="str">
            <v xml:space="preserve">Xã Bình Hòa   </v>
          </cell>
          <cell r="I8258" t="str">
            <v>60523</v>
          </cell>
        </row>
        <row r="8259">
          <cell r="G8259" t="str">
            <v>Xã Ea Ktur</v>
          </cell>
          <cell r="I8259" t="str">
            <v>60523</v>
          </cell>
        </row>
        <row r="8260">
          <cell r="G8260" t="str">
            <v>Xã Ea Tiêu</v>
          </cell>
          <cell r="I8260" t="str">
            <v>60523</v>
          </cell>
        </row>
        <row r="8261">
          <cell r="G8261" t="str">
            <v>Xã Ea BHốk</v>
          </cell>
          <cell r="I8261" t="str">
            <v>60523</v>
          </cell>
        </row>
        <row r="8262">
          <cell r="G8262" t="str">
            <v>Xã Dray Sáp</v>
          </cell>
          <cell r="I8262" t="str">
            <v>60523</v>
          </cell>
        </row>
        <row r="8263">
          <cell r="G8263" t="str">
            <v>Xã Ea Na</v>
          </cell>
          <cell r="I8263" t="str">
            <v>60523</v>
          </cell>
        </row>
        <row r="8264">
          <cell r="G8264" t="str">
            <v>Xã Ea Bông</v>
          </cell>
          <cell r="I8264" t="str">
            <v>60523</v>
          </cell>
        </row>
        <row r="8265">
          <cell r="G8265" t="str">
            <v>Xã Băng A Drênh</v>
          </cell>
          <cell r="I8265" t="str">
            <v>60523</v>
          </cell>
        </row>
        <row r="8266">
          <cell r="G8266" t="str">
            <v xml:space="preserve">Xã Quảng Điền </v>
          </cell>
          <cell r="I8266" t="str">
            <v>60523</v>
          </cell>
        </row>
        <row r="8267">
          <cell r="G8267" t="str">
            <v>Xã Yang Reh</v>
          </cell>
          <cell r="I8267" t="str">
            <v>60525</v>
          </cell>
        </row>
        <row r="8268">
          <cell r="G8268" t="str">
            <v>Xã Cư KTy</v>
          </cell>
          <cell r="I8268" t="str">
            <v>60525</v>
          </cell>
        </row>
        <row r="8269">
          <cell r="G8269" t="str">
            <v>Xã Hòa Lễ</v>
          </cell>
          <cell r="I8269" t="str">
            <v>60525</v>
          </cell>
        </row>
        <row r="8270">
          <cell r="G8270" t="str">
            <v>Xã Khuê Ngọc Điền</v>
          </cell>
          <cell r="I8270" t="str">
            <v>60525</v>
          </cell>
        </row>
        <row r="8271">
          <cell r="G8271" t="str">
            <v>Thị trấn Krông Kmar</v>
          </cell>
          <cell r="I8271" t="str">
            <v>60525</v>
          </cell>
        </row>
        <row r="8272">
          <cell r="G8272" t="str">
            <v>Xã Dang Kang</v>
          </cell>
          <cell r="I8272" t="str">
            <v>60525</v>
          </cell>
        </row>
        <row r="8273">
          <cell r="G8273" t="str">
            <v xml:space="preserve">Xã Hòa Thành </v>
          </cell>
          <cell r="I8273" t="str">
            <v>60525</v>
          </cell>
        </row>
        <row r="8274">
          <cell r="G8274" t="str">
            <v>Xã Hòa Tân</v>
          </cell>
          <cell r="I8274" t="str">
            <v>60525</v>
          </cell>
        </row>
        <row r="8275">
          <cell r="G8275" t="str">
            <v xml:space="preserve">Xã Hòa Phong   </v>
          </cell>
          <cell r="I8275" t="str">
            <v>60525</v>
          </cell>
        </row>
        <row r="8276">
          <cell r="G8276" t="str">
            <v>Xã Ea Trul</v>
          </cell>
          <cell r="I8276" t="str">
            <v>60525</v>
          </cell>
        </row>
        <row r="8277">
          <cell r="G8277" t="str">
            <v>Xã Cư Pui</v>
          </cell>
          <cell r="I8277" t="str">
            <v>60525</v>
          </cell>
        </row>
        <row r="8278">
          <cell r="G8278" t="str">
            <v xml:space="preserve">Xã Hòa Sơn     </v>
          </cell>
          <cell r="I8278" t="str">
            <v>60525</v>
          </cell>
        </row>
        <row r="8279">
          <cell r="G8279" t="str">
            <v>Xã Cư Drăm</v>
          </cell>
          <cell r="I8279" t="str">
            <v>60525</v>
          </cell>
        </row>
        <row r="8280">
          <cell r="G8280" t="str">
            <v>Xã Yang Mao</v>
          </cell>
          <cell r="I8280" t="str">
            <v>60525</v>
          </cell>
        </row>
        <row r="8281">
          <cell r="G8281" t="str">
            <v>Xã Nam Ka</v>
          </cell>
          <cell r="I8281" t="str">
            <v>60531</v>
          </cell>
        </row>
        <row r="8282">
          <cell r="G8282" t="str">
            <v>Xã Bông Krang</v>
          </cell>
          <cell r="I8282" t="str">
            <v>60531</v>
          </cell>
        </row>
        <row r="8283">
          <cell r="G8283" t="str">
            <v>Xã Đắk Phơi</v>
          </cell>
          <cell r="I8283" t="str">
            <v>60531</v>
          </cell>
        </row>
        <row r="8284">
          <cell r="G8284" t="str">
            <v>Xã Ea R-Bin</v>
          </cell>
          <cell r="I8284" t="str">
            <v>60531</v>
          </cell>
        </row>
        <row r="8285">
          <cell r="G8285" t="str">
            <v>Thị trấn Liên Sơn</v>
          </cell>
          <cell r="I8285" t="str">
            <v>60531</v>
          </cell>
        </row>
        <row r="8286">
          <cell r="G8286" t="str">
            <v>Xã Yang Tao</v>
          </cell>
          <cell r="I8286" t="str">
            <v>60531</v>
          </cell>
        </row>
        <row r="8287">
          <cell r="G8287" t="str">
            <v>Xã Đắk Liêng</v>
          </cell>
          <cell r="I8287" t="str">
            <v>60531</v>
          </cell>
        </row>
        <row r="8288">
          <cell r="G8288" t="str">
            <v>Xã Buôn Triết</v>
          </cell>
          <cell r="I8288" t="str">
            <v>60531</v>
          </cell>
        </row>
        <row r="8289">
          <cell r="G8289" t="str">
            <v>Xã Buôn Tría</v>
          </cell>
          <cell r="I8289" t="str">
            <v>60531</v>
          </cell>
        </row>
        <row r="8290">
          <cell r="G8290" t="str">
            <v>Xã Đắk Nuê</v>
          </cell>
          <cell r="I8290" t="str">
            <v>60531</v>
          </cell>
        </row>
        <row r="8291">
          <cell r="G8291" t="str">
            <v>Xã Krông Nô</v>
          </cell>
          <cell r="I8291" t="str">
            <v>60531</v>
          </cell>
        </row>
        <row r="8292">
          <cell r="G8292" t="str">
            <v xml:space="preserve">Xã Hòa Hiệp </v>
          </cell>
          <cell r="I8292" t="str">
            <v>60537</v>
          </cell>
        </row>
        <row r="8293">
          <cell r="G8293" t="str">
            <v>Xã Dray Bhăng</v>
          </cell>
          <cell r="I8293" t="str">
            <v>60537</v>
          </cell>
        </row>
        <row r="8294">
          <cell r="G8294" t="str">
            <v>Xã Ea Bhốc</v>
          </cell>
          <cell r="I8294" t="str">
            <v>60537</v>
          </cell>
        </row>
        <row r="8295">
          <cell r="G8295" t="str">
            <v xml:space="preserve">Xã Ea Hu </v>
          </cell>
          <cell r="I8295" t="str">
            <v>60537</v>
          </cell>
        </row>
        <row r="8296">
          <cell r="G8296" t="str">
            <v xml:space="preserve">Xã Ea Tiêu </v>
          </cell>
          <cell r="I8296" t="str">
            <v>60537</v>
          </cell>
        </row>
        <row r="8297">
          <cell r="G8297" t="str">
            <v xml:space="preserve">Xã Ea Ktur </v>
          </cell>
          <cell r="I8297" t="str">
            <v>60537</v>
          </cell>
        </row>
        <row r="8298">
          <cell r="G8298" t="str">
            <v>Xã Ea Ning</v>
          </cell>
          <cell r="I8298" t="str">
            <v>60537</v>
          </cell>
        </row>
        <row r="8299">
          <cell r="G8299" t="str">
            <v>Xã Cư Êwi</v>
          </cell>
          <cell r="I8299" t="str">
            <v>60537</v>
          </cell>
        </row>
        <row r="8300">
          <cell r="G8300" t="str">
            <v>Xã Cư Né</v>
          </cell>
          <cell r="I8300" t="str">
            <v>60539</v>
          </cell>
        </row>
        <row r="8301">
          <cell r="G8301" t="str">
            <v>Xã Cư Pơng</v>
          </cell>
          <cell r="I8301" t="str">
            <v>60539</v>
          </cell>
        </row>
        <row r="8302">
          <cell r="G8302" t="str">
            <v>Xã Ea Sin</v>
          </cell>
          <cell r="I8302" t="str">
            <v>60539</v>
          </cell>
        </row>
        <row r="8303">
          <cell r="G8303" t="str">
            <v>Xã Cư Kpô</v>
          </cell>
          <cell r="I8303" t="str">
            <v>60539</v>
          </cell>
        </row>
        <row r="8304">
          <cell r="G8304" t="str">
            <v>Xã Ea Ngai</v>
          </cell>
          <cell r="I8304" t="str">
            <v>60539</v>
          </cell>
        </row>
        <row r="8305">
          <cell r="G8305" t="str">
            <v>Xã Pơng Đrang</v>
          </cell>
          <cell r="I8305" t="str">
            <v>60539</v>
          </cell>
        </row>
        <row r="8306">
          <cell r="G8306" t="str">
            <v xml:space="preserve">Xã Tân Lập                 </v>
          </cell>
          <cell r="I8306" t="str">
            <v>60539</v>
          </cell>
        </row>
        <row r="8307">
          <cell r="G8307" t="str">
            <v>Thị trấn Ea T-Ling</v>
          </cell>
          <cell r="I8307" t="str">
            <v>60603</v>
          </cell>
        </row>
        <row r="8308">
          <cell r="G8308" t="str">
            <v>Xã Ea Pô</v>
          </cell>
          <cell r="I8308" t="str">
            <v>60603</v>
          </cell>
        </row>
        <row r="8309">
          <cell r="G8309" t="str">
            <v>Xã Cư Knia</v>
          </cell>
          <cell r="I8309" t="str">
            <v>60603</v>
          </cell>
        </row>
        <row r="8310">
          <cell r="G8310" t="str">
            <v>Xã Đắk Wil</v>
          </cell>
          <cell r="I8310" t="str">
            <v>60603</v>
          </cell>
        </row>
        <row r="8311">
          <cell r="G8311" t="str">
            <v>Xã Nam Dong</v>
          </cell>
          <cell r="I8311" t="str">
            <v>60603</v>
          </cell>
        </row>
        <row r="8312">
          <cell r="G8312" t="str">
            <v>Xã Đắk DRông</v>
          </cell>
          <cell r="I8312" t="str">
            <v>60603</v>
          </cell>
        </row>
        <row r="8313">
          <cell r="G8313" t="str">
            <v>Xã Tâm Thắng</v>
          </cell>
          <cell r="I8313" t="str">
            <v>60603</v>
          </cell>
        </row>
        <row r="8314">
          <cell r="G8314" t="str">
            <v>Xã Trúc Sơn</v>
          </cell>
          <cell r="I8314" t="str">
            <v>60603</v>
          </cell>
        </row>
        <row r="8315">
          <cell r="G8315" t="str">
            <v>Xã Nam Đà</v>
          </cell>
          <cell r="I8315" t="str">
            <v>60605</v>
          </cell>
        </row>
        <row r="8316">
          <cell r="G8316" t="str">
            <v>Xã Đức Xuyên</v>
          </cell>
          <cell r="I8316" t="str">
            <v>60605</v>
          </cell>
        </row>
        <row r="8317">
          <cell r="G8317" t="str">
            <v>Thị trấn Đắk Mâm</v>
          </cell>
          <cell r="I8317" t="str">
            <v>60605</v>
          </cell>
        </row>
        <row r="8318">
          <cell r="G8318" t="str">
            <v>Xã Đắk Sôr</v>
          </cell>
          <cell r="I8318" t="str">
            <v>60605</v>
          </cell>
        </row>
        <row r="8319">
          <cell r="G8319" t="str">
            <v>Xã Buôn Choah</v>
          </cell>
          <cell r="I8319" t="str">
            <v>60605</v>
          </cell>
        </row>
        <row r="8320">
          <cell r="G8320" t="str">
            <v xml:space="preserve">Xã Tân Thành            </v>
          </cell>
          <cell r="I8320" t="str">
            <v>60605</v>
          </cell>
        </row>
        <row r="8321">
          <cell r="G8321" t="str">
            <v>Xã Đắk Drô</v>
          </cell>
          <cell r="I8321" t="str">
            <v>60605</v>
          </cell>
        </row>
        <row r="8322">
          <cell r="G8322" t="str">
            <v>Xã Nâm Nung</v>
          </cell>
          <cell r="I8322" t="str">
            <v>60605</v>
          </cell>
        </row>
        <row r="8323">
          <cell r="G8323" t="str">
            <v>Xã Đắk Nang</v>
          </cell>
          <cell r="I8323" t="str">
            <v>60605</v>
          </cell>
        </row>
        <row r="8324">
          <cell r="G8324" t="str">
            <v xml:space="preserve">Xã Quảng Phú     </v>
          </cell>
          <cell r="I8324" t="str">
            <v>60605</v>
          </cell>
        </row>
        <row r="8325">
          <cell r="G8325" t="str">
            <v>Xã Nâm   Đir</v>
          </cell>
          <cell r="I8325" t="str">
            <v>60605</v>
          </cell>
        </row>
        <row r="8326">
          <cell r="G8326" t="str">
            <v xml:space="preserve">Xã Nam Xuân  </v>
          </cell>
          <cell r="I8326" t="str">
            <v>60605</v>
          </cell>
        </row>
        <row r="8327">
          <cell r="G8327" t="str">
            <v>Xã Đắk Gằn</v>
          </cell>
          <cell r="I8327" t="str">
            <v>60607</v>
          </cell>
        </row>
        <row r="8328">
          <cell r="G8328" t="str">
            <v>Xã Thuận An</v>
          </cell>
          <cell r="I8328" t="str">
            <v>60607</v>
          </cell>
        </row>
        <row r="8329">
          <cell r="G8329" t="str">
            <v>Xã Đắk Lao</v>
          </cell>
          <cell r="I8329" t="str">
            <v>60607</v>
          </cell>
        </row>
        <row r="8330">
          <cell r="G8330" t="str">
            <v>Xã Đắk R-La</v>
          </cell>
          <cell r="I8330" t="str">
            <v>60607</v>
          </cell>
        </row>
        <row r="8331">
          <cell r="G8331" t="str">
            <v>Xã Đức Mạnh</v>
          </cell>
          <cell r="I8331" t="str">
            <v>60607</v>
          </cell>
        </row>
        <row r="8332">
          <cell r="G8332" t="str">
            <v>Xã Đắk N Drót</v>
          </cell>
          <cell r="I8332" t="str">
            <v>60607</v>
          </cell>
        </row>
        <row r="8333">
          <cell r="G8333" t="str">
            <v>Xã Đắk Sắk</v>
          </cell>
          <cell r="I8333" t="str">
            <v>60607</v>
          </cell>
        </row>
        <row r="8334">
          <cell r="G8334" t="str">
            <v xml:space="preserve">Xã Đức Minh </v>
          </cell>
          <cell r="I8334" t="str">
            <v>60607</v>
          </cell>
        </row>
        <row r="8335">
          <cell r="G8335" t="str">
            <v>Thị trấn Đắk Mil</v>
          </cell>
          <cell r="I8335" t="str">
            <v>60607</v>
          </cell>
        </row>
        <row r="8336">
          <cell r="G8336" t="str">
            <v xml:space="preserve">Xã Long Sơn    </v>
          </cell>
          <cell r="I8336" t="str">
            <v>60607</v>
          </cell>
        </row>
        <row r="8337">
          <cell r="G8337" t="str">
            <v>Xã Đắk Môl</v>
          </cell>
          <cell r="I8337" t="str">
            <v>60609</v>
          </cell>
        </row>
        <row r="8338">
          <cell r="G8338" t="str">
            <v>Xã Thuận Hạnh</v>
          </cell>
          <cell r="I8338" t="str">
            <v>60609</v>
          </cell>
        </row>
        <row r="8339">
          <cell r="G8339" t="str">
            <v xml:space="preserve">Xã Nam Bình </v>
          </cell>
          <cell r="I8339" t="str">
            <v>60609</v>
          </cell>
        </row>
        <row r="8340">
          <cell r="G8340" t="str">
            <v>Xã Đắk N Dung</v>
          </cell>
          <cell r="I8340" t="str">
            <v>60609</v>
          </cell>
        </row>
        <row r="8341">
          <cell r="G8341" t="str">
            <v>Xã Nâm N Jang</v>
          </cell>
          <cell r="I8341" t="str">
            <v>60609</v>
          </cell>
        </row>
        <row r="8342">
          <cell r="G8342" t="str">
            <v xml:space="preserve">Xã Trường Xuân </v>
          </cell>
          <cell r="I8342" t="str">
            <v>60609</v>
          </cell>
        </row>
        <row r="8343">
          <cell r="G8343" t="str">
            <v>Xã Thuận Hà</v>
          </cell>
          <cell r="I8343" t="str">
            <v>60609</v>
          </cell>
        </row>
        <row r="8344">
          <cell r="G8344" t="str">
            <v>Thị trấn Đức An</v>
          </cell>
          <cell r="I8344" t="str">
            <v>60609</v>
          </cell>
        </row>
        <row r="8345">
          <cell r="G8345" t="str">
            <v>Xã Đăk Hòa</v>
          </cell>
          <cell r="I8345" t="str">
            <v>60609</v>
          </cell>
        </row>
        <row r="8346">
          <cell r="G8346" t="str">
            <v>Xã Quảng Tín</v>
          </cell>
          <cell r="I8346" t="str">
            <v>60611</v>
          </cell>
        </row>
        <row r="8347">
          <cell r="G8347" t="str">
            <v>Xã Quảng Trực</v>
          </cell>
          <cell r="I8347" t="str">
            <v>60611</v>
          </cell>
        </row>
        <row r="8348">
          <cell r="G8348" t="str">
            <v xml:space="preserve">Xã Quảng Tân   </v>
          </cell>
          <cell r="I8348" t="str">
            <v>60611</v>
          </cell>
        </row>
        <row r="8349">
          <cell r="G8349" t="str">
            <v>Xã Đắk Sin</v>
          </cell>
          <cell r="I8349" t="str">
            <v>60611</v>
          </cell>
        </row>
        <row r="8350">
          <cell r="G8350" t="str">
            <v>Thị trấn Kiến Đức</v>
          </cell>
          <cell r="I8350" t="str">
            <v>60611</v>
          </cell>
        </row>
        <row r="8351">
          <cell r="G8351" t="str">
            <v>Xã Hưng Bình</v>
          </cell>
          <cell r="I8351" t="str">
            <v>60611</v>
          </cell>
        </row>
        <row r="8352">
          <cell r="G8352" t="str">
            <v xml:space="preserve">Xã Nghĩa Thắng   </v>
          </cell>
          <cell r="I8352" t="str">
            <v>60611</v>
          </cell>
        </row>
        <row r="8353">
          <cell r="G8353" t="str">
            <v>Xã Đắk Wer</v>
          </cell>
          <cell r="I8353" t="str">
            <v>60611</v>
          </cell>
        </row>
        <row r="8354">
          <cell r="G8354" t="str">
            <v>Xã Nhân Cơ</v>
          </cell>
          <cell r="I8354" t="str">
            <v>60611</v>
          </cell>
        </row>
        <row r="8355">
          <cell r="G8355" t="str">
            <v>Xã Kiến Thành</v>
          </cell>
          <cell r="I8355" t="str">
            <v>60611</v>
          </cell>
        </row>
        <row r="8356">
          <cell r="G8356" t="str">
            <v>Xã Đạo Nghĩa</v>
          </cell>
          <cell r="I8356" t="str">
            <v>60611</v>
          </cell>
        </row>
        <row r="8357">
          <cell r="G8357" t="str">
            <v>Xã Đắk Ru</v>
          </cell>
          <cell r="I8357" t="str">
            <v>60611</v>
          </cell>
        </row>
        <row r="8358">
          <cell r="G8358" t="str">
            <v xml:space="preserve">Xã Nhân Đạo  </v>
          </cell>
          <cell r="I8358" t="str">
            <v>60611</v>
          </cell>
        </row>
        <row r="8359">
          <cell r="G8359" t="str">
            <v xml:space="preserve">Xã Quảng Thành  </v>
          </cell>
          <cell r="I8359" t="str">
            <v>60613</v>
          </cell>
        </row>
        <row r="8360">
          <cell r="G8360" t="str">
            <v>Phường Nghĩa Thành</v>
          </cell>
          <cell r="I8360" t="str">
            <v>60613</v>
          </cell>
        </row>
        <row r="8361">
          <cell r="G8361" t="str">
            <v>Phường Nghĩa Đức</v>
          </cell>
          <cell r="I8361" t="str">
            <v>60613</v>
          </cell>
        </row>
        <row r="8362">
          <cell r="G8362" t="str">
            <v>Phường Nghĩa Phú</v>
          </cell>
          <cell r="I8362" t="str">
            <v>60613</v>
          </cell>
        </row>
        <row r="8363">
          <cell r="G8363" t="str">
            <v xml:space="preserve">Phường Nghĩa Tân </v>
          </cell>
          <cell r="I8363" t="str">
            <v>60613</v>
          </cell>
        </row>
        <row r="8364">
          <cell r="G8364" t="str">
            <v>Phường Nghĩa Trung</v>
          </cell>
          <cell r="I8364" t="str">
            <v>60613</v>
          </cell>
        </row>
        <row r="8365">
          <cell r="G8365" t="str">
            <v>Xã Đăk R Moan</v>
          </cell>
          <cell r="I8365" t="str">
            <v>60613</v>
          </cell>
        </row>
        <row r="8366">
          <cell r="G8366" t="str">
            <v>Xã Đắk Nia</v>
          </cell>
          <cell r="I8366" t="str">
            <v>60613</v>
          </cell>
        </row>
        <row r="8367">
          <cell r="G8367" t="str">
            <v xml:space="preserve">Xã Quảng Sơn  </v>
          </cell>
          <cell r="I8367" t="str">
            <v>60615</v>
          </cell>
        </row>
        <row r="8368">
          <cell r="G8368" t="str">
            <v>Xã Đắk Plao</v>
          </cell>
          <cell r="I8368" t="str">
            <v>60615</v>
          </cell>
        </row>
        <row r="8369">
          <cell r="G8369" t="str">
            <v>Xã Đắk Ha</v>
          </cell>
          <cell r="I8369" t="str">
            <v>60615</v>
          </cell>
        </row>
        <row r="8370">
          <cell r="G8370" t="str">
            <v>Xã Đắk R Măng</v>
          </cell>
          <cell r="I8370" t="str">
            <v>60615</v>
          </cell>
        </row>
        <row r="8371">
          <cell r="G8371" t="str">
            <v xml:space="preserve">Xã Quảng Khê  </v>
          </cell>
          <cell r="I8371" t="str">
            <v>60615</v>
          </cell>
        </row>
        <row r="8372">
          <cell r="G8372" t="str">
            <v>Xã Đắk Som</v>
          </cell>
          <cell r="I8372" t="str">
            <v>60615</v>
          </cell>
        </row>
        <row r="8373">
          <cell r="G8373" t="str">
            <v xml:space="preserve">Xã Quảng Hòa  </v>
          </cell>
          <cell r="I8373" t="str">
            <v>60615</v>
          </cell>
        </row>
        <row r="8374">
          <cell r="G8374" t="str">
            <v xml:space="preserve">Xã Quảng Tân    </v>
          </cell>
          <cell r="I8374" t="str">
            <v>60617</v>
          </cell>
        </row>
        <row r="8375">
          <cell r="G8375" t="str">
            <v>Xã Đắk Búk So</v>
          </cell>
          <cell r="I8375" t="str">
            <v>60617</v>
          </cell>
        </row>
        <row r="8376">
          <cell r="G8376" t="str">
            <v>Xã Đắk R-Tíh</v>
          </cell>
          <cell r="I8376" t="str">
            <v>60617</v>
          </cell>
        </row>
        <row r="8377">
          <cell r="G8377" t="str">
            <v xml:space="preserve">Xã Quảng Trực </v>
          </cell>
          <cell r="I8377" t="str">
            <v>60617</v>
          </cell>
        </row>
        <row r="8378">
          <cell r="G8378" t="str">
            <v>Xã Đăk Ngo</v>
          </cell>
          <cell r="I8378" t="str">
            <v>60617</v>
          </cell>
        </row>
        <row r="8379">
          <cell r="G8379" t="str">
            <v xml:space="preserve">Xã Quảng Tâm </v>
          </cell>
          <cell r="I8379" t="str">
            <v>60617</v>
          </cell>
        </row>
        <row r="8380">
          <cell r="G8380" t="str">
            <v>Phường Tân Định</v>
          </cell>
          <cell r="I8380" t="str">
            <v>70101</v>
          </cell>
        </row>
        <row r="8381">
          <cell r="G8381" t="str">
            <v>Phường Đa Kao</v>
          </cell>
          <cell r="I8381" t="str">
            <v>70101</v>
          </cell>
        </row>
        <row r="8382">
          <cell r="G8382" t="str">
            <v>Phường Bến Nghé</v>
          </cell>
          <cell r="I8382" t="str">
            <v>70101</v>
          </cell>
        </row>
        <row r="8383">
          <cell r="G8383" t="str">
            <v>Phường Bến Thành</v>
          </cell>
          <cell r="I8383" t="str">
            <v>70101</v>
          </cell>
        </row>
        <row r="8384">
          <cell r="G8384" t="str">
            <v>Phường Nguyễn Thái Bình</v>
          </cell>
          <cell r="I8384" t="str">
            <v>70101</v>
          </cell>
        </row>
        <row r="8385">
          <cell r="G8385" t="str">
            <v xml:space="preserve">Phường Phạm Ngũ Lão </v>
          </cell>
          <cell r="I8385" t="str">
            <v>70101</v>
          </cell>
        </row>
        <row r="8386">
          <cell r="G8386" t="str">
            <v>Phường Cô Giang</v>
          </cell>
          <cell r="I8386" t="str">
            <v>70101</v>
          </cell>
        </row>
        <row r="8387">
          <cell r="G8387" t="str">
            <v>Phường Cầu Ông Lãnh</v>
          </cell>
          <cell r="I8387" t="str">
            <v>70101</v>
          </cell>
        </row>
        <row r="8388">
          <cell r="G8388" t="str">
            <v>Phường Nguyễn Cư Trinh</v>
          </cell>
          <cell r="I8388" t="str">
            <v>70101</v>
          </cell>
        </row>
        <row r="8389">
          <cell r="G8389" t="str">
            <v>Phường Cầu Kho</v>
          </cell>
          <cell r="I8389" t="str">
            <v>70101</v>
          </cell>
        </row>
        <row r="8390">
          <cell r="G8390" t="str">
            <v xml:space="preserve">Phường An Phú  </v>
          </cell>
          <cell r="I8390" t="str">
            <v>70103</v>
          </cell>
        </row>
        <row r="8391">
          <cell r="G8391" t="str">
            <v>Phường Thảo Điền</v>
          </cell>
          <cell r="I8391" t="str">
            <v>70103</v>
          </cell>
        </row>
        <row r="8392">
          <cell r="G8392" t="str">
            <v>Phường An Khánh</v>
          </cell>
          <cell r="I8392" t="str">
            <v>70103</v>
          </cell>
        </row>
        <row r="8393">
          <cell r="G8393" t="str">
            <v>Phường Bình Khánh</v>
          </cell>
          <cell r="I8393" t="str">
            <v>70103</v>
          </cell>
        </row>
        <row r="8394">
          <cell r="G8394" t="str">
            <v>Phường Bình An</v>
          </cell>
          <cell r="I8394" t="str">
            <v>70103</v>
          </cell>
        </row>
        <row r="8395">
          <cell r="G8395" t="str">
            <v>Phường Thủ Thiêm</v>
          </cell>
          <cell r="I8395" t="str">
            <v>70103</v>
          </cell>
        </row>
        <row r="8396">
          <cell r="G8396" t="str">
            <v>Phường An Lợi Đông</v>
          </cell>
          <cell r="I8396" t="str">
            <v>70103</v>
          </cell>
        </row>
        <row r="8397">
          <cell r="G8397" t="str">
            <v>Phường Bình Trưng Tây</v>
          </cell>
          <cell r="I8397" t="str">
            <v>70103</v>
          </cell>
        </row>
        <row r="8398">
          <cell r="G8398" t="str">
            <v>Phường Bình Trưng Đông</v>
          </cell>
          <cell r="I8398" t="str">
            <v>70103</v>
          </cell>
        </row>
        <row r="8399">
          <cell r="G8399" t="str">
            <v>Phường Cát Lái</v>
          </cell>
          <cell r="I8399" t="str">
            <v>70103</v>
          </cell>
        </row>
        <row r="8400">
          <cell r="G8400" t="str">
            <v>Phường Thạnh Mỹ Lợi</v>
          </cell>
          <cell r="I8400" t="str">
            <v>70103</v>
          </cell>
        </row>
        <row r="8401">
          <cell r="G8401" t="str">
            <v>Phường 01</v>
          </cell>
          <cell r="I8401" t="str">
            <v>70105</v>
          </cell>
        </row>
        <row r="8402">
          <cell r="G8402" t="str">
            <v>Phường 02</v>
          </cell>
          <cell r="I8402" t="str">
            <v>70105</v>
          </cell>
        </row>
        <row r="8403">
          <cell r="G8403" t="str">
            <v>Phường 03</v>
          </cell>
          <cell r="I8403" t="str">
            <v>70105</v>
          </cell>
        </row>
        <row r="8404">
          <cell r="G8404" t="str">
            <v>Phường 04</v>
          </cell>
          <cell r="I8404" t="str">
            <v>70105</v>
          </cell>
        </row>
        <row r="8405">
          <cell r="G8405" t="str">
            <v>Phuờng 05</v>
          </cell>
          <cell r="I8405" t="str">
            <v>70105</v>
          </cell>
        </row>
        <row r="8406">
          <cell r="G8406" t="str">
            <v>Phường 06</v>
          </cell>
          <cell r="I8406" t="str">
            <v>70105</v>
          </cell>
        </row>
        <row r="8407">
          <cell r="G8407" t="str">
            <v>Phường 07</v>
          </cell>
          <cell r="I8407" t="str">
            <v>70105</v>
          </cell>
        </row>
        <row r="8408">
          <cell r="G8408" t="str">
            <v>Phường 08</v>
          </cell>
          <cell r="I8408" t="str">
            <v>70105</v>
          </cell>
        </row>
        <row r="8409">
          <cell r="G8409" t="str">
            <v>Phường 09</v>
          </cell>
          <cell r="I8409" t="str">
            <v>70105</v>
          </cell>
        </row>
        <row r="8410">
          <cell r="G8410" t="str">
            <v>Phường 10</v>
          </cell>
          <cell r="I8410" t="str">
            <v>70105</v>
          </cell>
        </row>
        <row r="8411">
          <cell r="G8411" t="str">
            <v>Phường 11</v>
          </cell>
          <cell r="I8411" t="str">
            <v>70105</v>
          </cell>
        </row>
        <row r="8412">
          <cell r="G8412" t="str">
            <v>Phường 12</v>
          </cell>
          <cell r="I8412" t="str">
            <v>70105</v>
          </cell>
        </row>
        <row r="8413">
          <cell r="G8413" t="str">
            <v>Phường 13</v>
          </cell>
          <cell r="I8413" t="str">
            <v>70105</v>
          </cell>
        </row>
        <row r="8414">
          <cell r="G8414" t="str">
            <v>Phường 14</v>
          </cell>
          <cell r="I8414" t="str">
            <v>70105</v>
          </cell>
        </row>
        <row r="8415">
          <cell r="G8415" t="str">
            <v xml:space="preserve">phường 01 </v>
          </cell>
          <cell r="I8415" t="str">
            <v>70107</v>
          </cell>
        </row>
        <row r="8416">
          <cell r="G8416" t="str">
            <v xml:space="preserve">Phường 02 </v>
          </cell>
          <cell r="I8416" t="str">
            <v>70107</v>
          </cell>
        </row>
        <row r="8417">
          <cell r="G8417" t="str">
            <v xml:space="preserve">phường 03 </v>
          </cell>
          <cell r="I8417" t="str">
            <v>70107</v>
          </cell>
        </row>
        <row r="8418">
          <cell r="G8418" t="str">
            <v xml:space="preserve">phường 04 </v>
          </cell>
          <cell r="I8418" t="str">
            <v>70107</v>
          </cell>
        </row>
        <row r="8419">
          <cell r="G8419" t="str">
            <v>phường 05</v>
          </cell>
          <cell r="I8419" t="str">
            <v>70107</v>
          </cell>
        </row>
        <row r="8420">
          <cell r="G8420" t="str">
            <v xml:space="preserve">phường 06 </v>
          </cell>
          <cell r="I8420" t="str">
            <v>70107</v>
          </cell>
        </row>
        <row r="8421">
          <cell r="G8421" t="str">
            <v xml:space="preserve">phường 08 </v>
          </cell>
          <cell r="I8421" t="str">
            <v>70107</v>
          </cell>
        </row>
        <row r="8422">
          <cell r="G8422" t="str">
            <v xml:space="preserve">phường 09 </v>
          </cell>
          <cell r="I8422" t="str">
            <v>70107</v>
          </cell>
        </row>
        <row r="8423">
          <cell r="G8423" t="str">
            <v xml:space="preserve">phường 10 </v>
          </cell>
          <cell r="I8423" t="str">
            <v>70107</v>
          </cell>
        </row>
        <row r="8424">
          <cell r="G8424" t="str">
            <v xml:space="preserve">phường 12 </v>
          </cell>
          <cell r="I8424" t="str">
            <v>70107</v>
          </cell>
        </row>
        <row r="8425">
          <cell r="G8425" t="str">
            <v xml:space="preserve">phường 13 </v>
          </cell>
          <cell r="I8425" t="str">
            <v>70107</v>
          </cell>
        </row>
        <row r="8426">
          <cell r="G8426" t="str">
            <v xml:space="preserve">Phường 14 </v>
          </cell>
          <cell r="I8426" t="str">
            <v>70107</v>
          </cell>
        </row>
        <row r="8427">
          <cell r="G8427" t="str">
            <v>phường 15</v>
          </cell>
          <cell r="I8427" t="str">
            <v>70107</v>
          </cell>
        </row>
        <row r="8428">
          <cell r="G8428" t="str">
            <v>Phường 16</v>
          </cell>
          <cell r="I8428" t="str">
            <v>70107</v>
          </cell>
        </row>
        <row r="8429">
          <cell r="G8429" t="str">
            <v>phường 18</v>
          </cell>
          <cell r="I8429" t="str">
            <v>70107</v>
          </cell>
        </row>
        <row r="8430">
          <cell r="G8430" t="str">
            <v xml:space="preserve">Phường 01  </v>
          </cell>
          <cell r="I8430" t="str">
            <v>70109</v>
          </cell>
        </row>
        <row r="8431">
          <cell r="G8431" t="str">
            <v xml:space="preserve">Phường 02  </v>
          </cell>
          <cell r="I8431" t="str">
            <v>70109</v>
          </cell>
        </row>
        <row r="8432">
          <cell r="G8432" t="str">
            <v xml:space="preserve">Phường 03  </v>
          </cell>
          <cell r="I8432" t="str">
            <v>70109</v>
          </cell>
        </row>
        <row r="8433">
          <cell r="G8433" t="str">
            <v xml:space="preserve">Phường 04  </v>
          </cell>
          <cell r="I8433" t="str">
            <v>70109</v>
          </cell>
        </row>
        <row r="8434">
          <cell r="G8434" t="str">
            <v xml:space="preserve">Phường 05 </v>
          </cell>
          <cell r="I8434" t="str">
            <v>70109</v>
          </cell>
        </row>
        <row r="8435">
          <cell r="G8435" t="str">
            <v xml:space="preserve">Phường 06  </v>
          </cell>
          <cell r="I8435" t="str">
            <v>70109</v>
          </cell>
        </row>
        <row r="8436">
          <cell r="G8436" t="str">
            <v xml:space="preserve">Phường 07 </v>
          </cell>
          <cell r="I8436" t="str">
            <v>70109</v>
          </cell>
        </row>
        <row r="8437">
          <cell r="G8437" t="str">
            <v xml:space="preserve">Phường 08  </v>
          </cell>
          <cell r="I8437" t="str">
            <v>70109</v>
          </cell>
        </row>
        <row r="8438">
          <cell r="G8438" t="str">
            <v xml:space="preserve">Phường 09  </v>
          </cell>
          <cell r="I8438" t="str">
            <v>70109</v>
          </cell>
        </row>
        <row r="8439">
          <cell r="G8439" t="str">
            <v xml:space="preserve">Phường 10  </v>
          </cell>
          <cell r="I8439" t="str">
            <v>70109</v>
          </cell>
        </row>
        <row r="8440">
          <cell r="G8440" t="str">
            <v xml:space="preserve">Phường 11 </v>
          </cell>
          <cell r="I8440" t="str">
            <v>70109</v>
          </cell>
        </row>
        <row r="8441">
          <cell r="G8441" t="str">
            <v xml:space="preserve">Phường 12  </v>
          </cell>
          <cell r="I8441" t="str">
            <v>70109</v>
          </cell>
        </row>
        <row r="8442">
          <cell r="G8442" t="str">
            <v xml:space="preserve">Phường 13  </v>
          </cell>
          <cell r="I8442" t="str">
            <v>70109</v>
          </cell>
        </row>
        <row r="8443">
          <cell r="G8443" t="str">
            <v xml:space="preserve">Phường 14  </v>
          </cell>
          <cell r="I8443" t="str">
            <v>70109</v>
          </cell>
        </row>
        <row r="8444">
          <cell r="G8444" t="str">
            <v xml:space="preserve">Phường 15 </v>
          </cell>
          <cell r="I8444" t="str">
            <v>70109</v>
          </cell>
        </row>
        <row r="8445">
          <cell r="G8445" t="str">
            <v xml:space="preserve">Phường 01   </v>
          </cell>
          <cell r="I8445" t="str">
            <v>70111</v>
          </cell>
        </row>
        <row r="8446">
          <cell r="G8446" t="str">
            <v xml:space="preserve">Phường 02   </v>
          </cell>
          <cell r="I8446" t="str">
            <v>70111</v>
          </cell>
        </row>
        <row r="8447">
          <cell r="G8447" t="str">
            <v xml:space="preserve">Phường 03   </v>
          </cell>
          <cell r="I8447" t="str">
            <v>70111</v>
          </cell>
        </row>
        <row r="8448">
          <cell r="G8448" t="str">
            <v xml:space="preserve">Phường 04   </v>
          </cell>
          <cell r="I8448" t="str">
            <v>70111</v>
          </cell>
        </row>
        <row r="8449">
          <cell r="G8449" t="str">
            <v xml:space="preserve">Phường 05  </v>
          </cell>
          <cell r="I8449" t="str">
            <v>70111</v>
          </cell>
        </row>
        <row r="8450">
          <cell r="G8450" t="str">
            <v xml:space="preserve">Phường 06   </v>
          </cell>
          <cell r="I8450" t="str">
            <v>70111</v>
          </cell>
        </row>
        <row r="8451">
          <cell r="G8451" t="str">
            <v xml:space="preserve">Phường 07  </v>
          </cell>
          <cell r="I8451" t="str">
            <v>70111</v>
          </cell>
        </row>
        <row r="8452">
          <cell r="G8452" t="str">
            <v xml:space="preserve">Phường 08   </v>
          </cell>
          <cell r="I8452" t="str">
            <v>70111</v>
          </cell>
        </row>
        <row r="8453">
          <cell r="G8453" t="str">
            <v xml:space="preserve">Phường 09   </v>
          </cell>
          <cell r="I8453" t="str">
            <v>70111</v>
          </cell>
        </row>
        <row r="8454">
          <cell r="G8454" t="str">
            <v xml:space="preserve">Phường 10   </v>
          </cell>
          <cell r="I8454" t="str">
            <v>70111</v>
          </cell>
        </row>
        <row r="8455">
          <cell r="G8455" t="str">
            <v xml:space="preserve">Phường 11  </v>
          </cell>
          <cell r="I8455" t="str">
            <v>70111</v>
          </cell>
        </row>
        <row r="8456">
          <cell r="G8456" t="str">
            <v xml:space="preserve">Phường 12   </v>
          </cell>
          <cell r="I8456" t="str">
            <v>70111</v>
          </cell>
        </row>
        <row r="8457">
          <cell r="G8457" t="str">
            <v xml:space="preserve">Phường 13   </v>
          </cell>
          <cell r="I8457" t="str">
            <v>70111</v>
          </cell>
        </row>
        <row r="8458">
          <cell r="G8458" t="str">
            <v xml:space="preserve">Phường 14   </v>
          </cell>
          <cell r="I8458" t="str">
            <v>70111</v>
          </cell>
        </row>
        <row r="8459">
          <cell r="G8459" t="str">
            <v>Phường Phú Mỹ</v>
          </cell>
          <cell r="I8459" t="str">
            <v>70113</v>
          </cell>
        </row>
        <row r="8460">
          <cell r="G8460" t="str">
            <v xml:space="preserve">Phường Phú Thuận </v>
          </cell>
          <cell r="I8460" t="str">
            <v>70113</v>
          </cell>
        </row>
        <row r="8461">
          <cell r="G8461" t="str">
            <v>Phường Tân Phú</v>
          </cell>
          <cell r="I8461" t="str">
            <v>70113</v>
          </cell>
        </row>
        <row r="8462">
          <cell r="G8462" t="str">
            <v>Phường Tân Thuận Đông</v>
          </cell>
          <cell r="I8462" t="str">
            <v>70113</v>
          </cell>
        </row>
        <row r="8463">
          <cell r="G8463" t="str">
            <v xml:space="preserve">Phường Bình Thuận </v>
          </cell>
          <cell r="I8463" t="str">
            <v>70113</v>
          </cell>
        </row>
        <row r="8464">
          <cell r="G8464" t="str">
            <v>Phường Tân Thuận Tây</v>
          </cell>
          <cell r="I8464" t="str">
            <v>70113</v>
          </cell>
        </row>
        <row r="8465">
          <cell r="G8465" t="str">
            <v>Phường Tân Kiểng</v>
          </cell>
          <cell r="I8465" t="str">
            <v>70113</v>
          </cell>
        </row>
        <row r="8466">
          <cell r="G8466" t="str">
            <v>Phường Tân Quy</v>
          </cell>
          <cell r="I8466" t="str">
            <v>70113</v>
          </cell>
        </row>
        <row r="8467">
          <cell r="G8467" t="str">
            <v>Phường Tân Hưng</v>
          </cell>
          <cell r="I8467" t="str">
            <v>70113</v>
          </cell>
        </row>
        <row r="8468">
          <cell r="G8468" t="str">
            <v xml:space="preserve">Phường Tân Phong </v>
          </cell>
          <cell r="I8468" t="str">
            <v>70113</v>
          </cell>
        </row>
        <row r="8469">
          <cell r="G8469" t="str">
            <v xml:space="preserve">Phường 1   </v>
          </cell>
          <cell r="I8469" t="str">
            <v>70115</v>
          </cell>
        </row>
        <row r="8470">
          <cell r="G8470" t="str">
            <v xml:space="preserve">Phường 2   </v>
          </cell>
          <cell r="I8470" t="str">
            <v>70115</v>
          </cell>
        </row>
        <row r="8471">
          <cell r="G8471" t="str">
            <v xml:space="preserve">Phường 3   </v>
          </cell>
          <cell r="I8471" t="str">
            <v>70115</v>
          </cell>
        </row>
        <row r="8472">
          <cell r="G8472" t="str">
            <v xml:space="preserve">Phường 4  </v>
          </cell>
          <cell r="I8472" t="str">
            <v>70115</v>
          </cell>
        </row>
        <row r="8473">
          <cell r="G8473" t="str">
            <v xml:space="preserve">Phường 5  </v>
          </cell>
          <cell r="I8473" t="str">
            <v>70115</v>
          </cell>
        </row>
        <row r="8474">
          <cell r="G8474" t="str">
            <v xml:space="preserve">Phường 6 </v>
          </cell>
          <cell r="I8474" t="str">
            <v>70115</v>
          </cell>
        </row>
        <row r="8475">
          <cell r="G8475" t="str">
            <v xml:space="preserve">Phường 7 </v>
          </cell>
          <cell r="I8475" t="str">
            <v>70115</v>
          </cell>
        </row>
        <row r="8476">
          <cell r="G8476" t="str">
            <v xml:space="preserve">Phường 8 </v>
          </cell>
          <cell r="I8476" t="str">
            <v>70115</v>
          </cell>
        </row>
        <row r="8477">
          <cell r="G8477" t="str">
            <v xml:space="preserve">Phường 9 </v>
          </cell>
          <cell r="I8477" t="str">
            <v>70115</v>
          </cell>
        </row>
        <row r="8478">
          <cell r="G8478" t="str">
            <v xml:space="preserve">Phường 10    </v>
          </cell>
          <cell r="I8478" t="str">
            <v>70115</v>
          </cell>
        </row>
        <row r="8479">
          <cell r="G8479" t="str">
            <v xml:space="preserve">Phường 11   </v>
          </cell>
          <cell r="I8479" t="str">
            <v>70115</v>
          </cell>
        </row>
        <row r="8480">
          <cell r="G8480" t="str">
            <v xml:space="preserve">Phường 12    </v>
          </cell>
          <cell r="I8480" t="str">
            <v>70115</v>
          </cell>
        </row>
        <row r="8481">
          <cell r="G8481" t="str">
            <v xml:space="preserve">Phường 13    </v>
          </cell>
          <cell r="I8481" t="str">
            <v>70115</v>
          </cell>
        </row>
        <row r="8482">
          <cell r="G8482" t="str">
            <v xml:space="preserve">Phường 14    </v>
          </cell>
          <cell r="I8482" t="str">
            <v>70115</v>
          </cell>
        </row>
        <row r="8483">
          <cell r="G8483" t="str">
            <v xml:space="preserve">Phường 15  </v>
          </cell>
          <cell r="I8483" t="str">
            <v>70115</v>
          </cell>
        </row>
        <row r="8484">
          <cell r="G8484" t="str">
            <v xml:space="preserve">Phường 16 </v>
          </cell>
          <cell r="I8484" t="str">
            <v>70115</v>
          </cell>
        </row>
        <row r="8485">
          <cell r="G8485" t="str">
            <v>Phường Phước Long A</v>
          </cell>
          <cell r="I8485" t="str">
            <v>70117</v>
          </cell>
        </row>
        <row r="8486">
          <cell r="G8486" t="str">
            <v>Phường Phước Long B</v>
          </cell>
          <cell r="I8486" t="str">
            <v>70117</v>
          </cell>
        </row>
        <row r="8487">
          <cell r="G8487" t="str">
            <v>Phường Tăng Nhơn Phú A</v>
          </cell>
          <cell r="I8487" t="str">
            <v>70117</v>
          </cell>
        </row>
        <row r="8488">
          <cell r="G8488" t="str">
            <v>Phường Tăng Nhơn Phú B</v>
          </cell>
          <cell r="I8488" t="str">
            <v>70117</v>
          </cell>
        </row>
        <row r="8489">
          <cell r="G8489" t="str">
            <v>Phường Long Trường</v>
          </cell>
          <cell r="I8489" t="str">
            <v>70117</v>
          </cell>
        </row>
        <row r="8490">
          <cell r="G8490" t="str">
            <v>Phường Trường Thạnh</v>
          </cell>
          <cell r="I8490" t="str">
            <v>70117</v>
          </cell>
        </row>
        <row r="8491">
          <cell r="G8491" t="str">
            <v>Phường Phước Bình</v>
          </cell>
          <cell r="I8491" t="str">
            <v>70117</v>
          </cell>
        </row>
        <row r="8492">
          <cell r="G8492" t="str">
            <v xml:space="preserve">Phường Tân Phú </v>
          </cell>
          <cell r="I8492" t="str">
            <v>70117</v>
          </cell>
        </row>
        <row r="8493">
          <cell r="G8493" t="str">
            <v>Phường Hiệp Phú</v>
          </cell>
          <cell r="I8493" t="str">
            <v>70117</v>
          </cell>
        </row>
        <row r="8494">
          <cell r="G8494" t="str">
            <v>Phường Long Thạnh Mỹ</v>
          </cell>
          <cell r="I8494" t="str">
            <v>70117</v>
          </cell>
        </row>
        <row r="8495">
          <cell r="G8495" t="str">
            <v>Phường Long Bình</v>
          </cell>
          <cell r="I8495" t="str">
            <v>70117</v>
          </cell>
        </row>
        <row r="8496">
          <cell r="G8496" t="str">
            <v>Phường Long Phước</v>
          </cell>
          <cell r="I8496" t="str">
            <v>70117</v>
          </cell>
        </row>
        <row r="8497">
          <cell r="G8497" t="str">
            <v>Phường Phú Hữu</v>
          </cell>
          <cell r="I8497" t="str">
            <v>70117</v>
          </cell>
        </row>
        <row r="8498">
          <cell r="G8498" t="str">
            <v xml:space="preserve">Phường 01    </v>
          </cell>
          <cell r="I8498" t="str">
            <v>70119</v>
          </cell>
        </row>
        <row r="8499">
          <cell r="G8499" t="str">
            <v xml:space="preserve">Phường 02    </v>
          </cell>
          <cell r="I8499" t="str">
            <v>70119</v>
          </cell>
        </row>
        <row r="8500">
          <cell r="G8500" t="str">
            <v xml:space="preserve">Phường 03    </v>
          </cell>
          <cell r="I8500" t="str">
            <v>70119</v>
          </cell>
        </row>
        <row r="8501">
          <cell r="G8501" t="str">
            <v xml:space="preserve">Phường 04    </v>
          </cell>
          <cell r="I8501" t="str">
            <v>70119</v>
          </cell>
        </row>
        <row r="8502">
          <cell r="G8502" t="str">
            <v xml:space="preserve"> Phường 05</v>
          </cell>
          <cell r="I8502" t="str">
            <v>70119</v>
          </cell>
        </row>
        <row r="8503">
          <cell r="G8503" t="str">
            <v xml:space="preserve">Phường 06    </v>
          </cell>
          <cell r="I8503" t="str">
            <v>70119</v>
          </cell>
        </row>
        <row r="8504">
          <cell r="G8504" t="str">
            <v xml:space="preserve">Phường 07   </v>
          </cell>
          <cell r="I8504" t="str">
            <v>70119</v>
          </cell>
        </row>
        <row r="8505">
          <cell r="G8505" t="str">
            <v xml:space="preserve">Phường 08    </v>
          </cell>
          <cell r="I8505" t="str">
            <v>70119</v>
          </cell>
        </row>
        <row r="8506">
          <cell r="G8506" t="str">
            <v xml:space="preserve">Phường 09    </v>
          </cell>
          <cell r="I8506" t="str">
            <v>70119</v>
          </cell>
        </row>
        <row r="8507">
          <cell r="G8507" t="str">
            <v xml:space="preserve">Phường 10     </v>
          </cell>
          <cell r="I8507" t="str">
            <v>70119</v>
          </cell>
        </row>
        <row r="8508">
          <cell r="G8508" t="str">
            <v xml:space="preserve">Phường 11    </v>
          </cell>
          <cell r="I8508" t="str">
            <v>70119</v>
          </cell>
        </row>
        <row r="8509">
          <cell r="G8509" t="str">
            <v xml:space="preserve">Phường 12     </v>
          </cell>
          <cell r="I8509" t="str">
            <v>70119</v>
          </cell>
        </row>
        <row r="8510">
          <cell r="G8510" t="str">
            <v xml:space="preserve">Phường 13     </v>
          </cell>
          <cell r="I8510" t="str">
            <v>70119</v>
          </cell>
        </row>
        <row r="8511">
          <cell r="G8511" t="str">
            <v xml:space="preserve">Phường 14     </v>
          </cell>
          <cell r="I8511" t="str">
            <v>70119</v>
          </cell>
        </row>
        <row r="8512">
          <cell r="G8512" t="str">
            <v xml:space="preserve">Phường 15   </v>
          </cell>
          <cell r="I8512" t="str">
            <v>70119</v>
          </cell>
        </row>
        <row r="8513">
          <cell r="G8513" t="str">
            <v xml:space="preserve">Phường 1    </v>
          </cell>
          <cell r="I8513" t="str">
            <v>70121</v>
          </cell>
        </row>
        <row r="8514">
          <cell r="G8514" t="str">
            <v xml:space="preserve">Phường 2    </v>
          </cell>
          <cell r="I8514" t="str">
            <v>70121</v>
          </cell>
        </row>
        <row r="8515">
          <cell r="G8515" t="str">
            <v xml:space="preserve">Phường 3    </v>
          </cell>
          <cell r="I8515" t="str">
            <v>70121</v>
          </cell>
        </row>
        <row r="8516">
          <cell r="G8516" t="str">
            <v xml:space="preserve">Phường 4   </v>
          </cell>
          <cell r="I8516" t="str">
            <v>70121</v>
          </cell>
        </row>
        <row r="8517">
          <cell r="G8517" t="str">
            <v xml:space="preserve">Phường 5   </v>
          </cell>
          <cell r="I8517" t="str">
            <v>70121</v>
          </cell>
        </row>
        <row r="8518">
          <cell r="G8518" t="str">
            <v xml:space="preserve">Phường 6  </v>
          </cell>
          <cell r="I8518" t="str">
            <v>70121</v>
          </cell>
        </row>
        <row r="8519">
          <cell r="G8519" t="str">
            <v xml:space="preserve">Phường 7  </v>
          </cell>
          <cell r="I8519" t="str">
            <v>70121</v>
          </cell>
        </row>
        <row r="8520">
          <cell r="G8520" t="str">
            <v xml:space="preserve">Phường 8  </v>
          </cell>
          <cell r="I8520" t="str">
            <v>70121</v>
          </cell>
        </row>
        <row r="8521">
          <cell r="G8521" t="str">
            <v xml:space="preserve">Phường 9  </v>
          </cell>
          <cell r="I8521" t="str">
            <v>70121</v>
          </cell>
        </row>
        <row r="8522">
          <cell r="G8522" t="str">
            <v xml:space="preserve">Phường 10      </v>
          </cell>
          <cell r="I8522" t="str">
            <v>70121</v>
          </cell>
        </row>
        <row r="8523">
          <cell r="G8523" t="str">
            <v xml:space="preserve">Phường 11     </v>
          </cell>
          <cell r="I8523" t="str">
            <v>70121</v>
          </cell>
        </row>
        <row r="8524">
          <cell r="G8524" t="str">
            <v xml:space="preserve">Phường 12      </v>
          </cell>
          <cell r="I8524" t="str">
            <v>70121</v>
          </cell>
        </row>
        <row r="8525">
          <cell r="G8525" t="str">
            <v xml:space="preserve">Phường 13      </v>
          </cell>
          <cell r="I8525" t="str">
            <v>70121</v>
          </cell>
        </row>
        <row r="8526">
          <cell r="G8526" t="str">
            <v xml:space="preserve">Phường 14      </v>
          </cell>
          <cell r="I8526" t="str">
            <v>70121</v>
          </cell>
        </row>
        <row r="8527">
          <cell r="G8527" t="str">
            <v xml:space="preserve">Phường 15    </v>
          </cell>
          <cell r="I8527" t="str">
            <v>70121</v>
          </cell>
        </row>
        <row r="8528">
          <cell r="G8528" t="str">
            <v xml:space="preserve">Phường 16  </v>
          </cell>
          <cell r="I8528" t="str">
            <v>70121</v>
          </cell>
        </row>
        <row r="8529">
          <cell r="G8529" t="str">
            <v>phường Tân Thới Nhất</v>
          </cell>
          <cell r="I8529" t="str">
            <v>70123</v>
          </cell>
        </row>
        <row r="8530">
          <cell r="G8530" t="str">
            <v>phường Đông Hưng Thuận</v>
          </cell>
          <cell r="I8530" t="str">
            <v>70123</v>
          </cell>
        </row>
        <row r="8531">
          <cell r="G8531" t="str">
            <v>phường An Phú Đông</v>
          </cell>
          <cell r="I8531" t="str">
            <v>70123</v>
          </cell>
        </row>
        <row r="8532">
          <cell r="G8532" t="str">
            <v>phường Trung Mỹ Tây</v>
          </cell>
          <cell r="I8532" t="str">
            <v>70123</v>
          </cell>
        </row>
        <row r="8533">
          <cell r="G8533" t="str">
            <v>phường Tân Chánh Hiệp</v>
          </cell>
          <cell r="I8533" t="str">
            <v>70123</v>
          </cell>
        </row>
        <row r="8534">
          <cell r="G8534" t="str">
            <v>phường Thạnh Lộc</v>
          </cell>
          <cell r="I8534" t="str">
            <v>70123</v>
          </cell>
        </row>
        <row r="8535">
          <cell r="G8535" t="str">
            <v>phường Thạnh Xuân</v>
          </cell>
          <cell r="I8535" t="str">
            <v>70123</v>
          </cell>
        </row>
        <row r="8536">
          <cell r="G8536" t="str">
            <v>phường Hiệp Thành</v>
          </cell>
          <cell r="I8536" t="str">
            <v>70123</v>
          </cell>
        </row>
        <row r="8537">
          <cell r="G8537" t="str">
            <v>phường Thới An</v>
          </cell>
          <cell r="I8537" t="str">
            <v>70123</v>
          </cell>
        </row>
        <row r="8538">
          <cell r="G8538" t="str">
            <v>phường Tân Thới Hiệp</v>
          </cell>
          <cell r="I8538" t="str">
            <v>70123</v>
          </cell>
        </row>
        <row r="8539">
          <cell r="G8539" t="str">
            <v>Phường Tân Hưng Thuận</v>
          </cell>
          <cell r="I8539" t="str">
            <v>70123</v>
          </cell>
        </row>
        <row r="8540">
          <cell r="G8540" t="str">
            <v xml:space="preserve">Phường 1     </v>
          </cell>
          <cell r="I8540" t="str">
            <v>70125</v>
          </cell>
        </row>
        <row r="8541">
          <cell r="G8541" t="str">
            <v xml:space="preserve">Phường 3     </v>
          </cell>
          <cell r="I8541" t="str">
            <v>70125</v>
          </cell>
        </row>
        <row r="8542">
          <cell r="G8542" t="str">
            <v xml:space="preserve">Phường 4    </v>
          </cell>
          <cell r="I8542" t="str">
            <v>70125</v>
          </cell>
        </row>
        <row r="8543">
          <cell r="G8543" t="str">
            <v xml:space="preserve">Phường 5    </v>
          </cell>
          <cell r="I8543" t="str">
            <v>70125</v>
          </cell>
        </row>
        <row r="8544">
          <cell r="G8544" t="str">
            <v xml:space="preserve">Phường 7   </v>
          </cell>
          <cell r="I8544" t="str">
            <v>70125</v>
          </cell>
        </row>
        <row r="8545">
          <cell r="G8545" t="str">
            <v xml:space="preserve">Phường 10       </v>
          </cell>
          <cell r="I8545" t="str">
            <v>70125</v>
          </cell>
        </row>
        <row r="8546">
          <cell r="G8546" t="str">
            <v xml:space="preserve">Phường 11      </v>
          </cell>
          <cell r="I8546" t="str">
            <v>70125</v>
          </cell>
        </row>
        <row r="8547">
          <cell r="G8547" t="str">
            <v xml:space="preserve">Phường 12       </v>
          </cell>
          <cell r="I8547" t="str">
            <v>70125</v>
          </cell>
        </row>
        <row r="8548">
          <cell r="G8548" t="str">
            <v xml:space="preserve">Phường 13       </v>
          </cell>
          <cell r="I8548" t="str">
            <v>70125</v>
          </cell>
        </row>
        <row r="8549">
          <cell r="G8549" t="str">
            <v xml:space="preserve">Phường 15     </v>
          </cell>
          <cell r="I8549" t="str">
            <v>70125</v>
          </cell>
        </row>
        <row r="8550">
          <cell r="G8550" t="str">
            <v xml:space="preserve">Phường 16   </v>
          </cell>
          <cell r="I8550" t="str">
            <v>70125</v>
          </cell>
        </row>
        <row r="8551">
          <cell r="G8551" t="str">
            <v>Phường 17</v>
          </cell>
          <cell r="I8551" t="str">
            <v>70125</v>
          </cell>
        </row>
        <row r="8552">
          <cell r="G8552" t="str">
            <v xml:space="preserve">Phường 14       </v>
          </cell>
          <cell r="I8552" t="str">
            <v>70125</v>
          </cell>
        </row>
        <row r="8553">
          <cell r="G8553" t="str">
            <v xml:space="preserve">Phường 8   </v>
          </cell>
          <cell r="I8553" t="str">
            <v>70125</v>
          </cell>
        </row>
        <row r="8554">
          <cell r="G8554" t="str">
            <v xml:space="preserve">Phường 9   </v>
          </cell>
          <cell r="I8554" t="str">
            <v>70125</v>
          </cell>
        </row>
        <row r="8555">
          <cell r="G8555" t="str">
            <v xml:space="preserve">Phường 6   </v>
          </cell>
          <cell r="I8555" t="str">
            <v>70125</v>
          </cell>
        </row>
        <row r="8556">
          <cell r="G8556" t="str">
            <v xml:space="preserve">Phường 1      </v>
          </cell>
          <cell r="I8556" t="str">
            <v>70127</v>
          </cell>
        </row>
        <row r="8557">
          <cell r="G8557" t="str">
            <v xml:space="preserve">Phường 2     </v>
          </cell>
          <cell r="I8557" t="str">
            <v>70127</v>
          </cell>
        </row>
        <row r="8558">
          <cell r="G8558" t="str">
            <v xml:space="preserve">Phường 3      </v>
          </cell>
          <cell r="I8558" t="str">
            <v>70127</v>
          </cell>
        </row>
        <row r="8559">
          <cell r="G8559" t="str">
            <v xml:space="preserve">Phường 4     </v>
          </cell>
          <cell r="I8559" t="str">
            <v>70127</v>
          </cell>
        </row>
        <row r="8560">
          <cell r="G8560" t="str">
            <v xml:space="preserve">Phường 5     </v>
          </cell>
          <cell r="I8560" t="str">
            <v>70127</v>
          </cell>
        </row>
        <row r="8561">
          <cell r="G8561" t="str">
            <v xml:space="preserve">Phường 6    </v>
          </cell>
          <cell r="I8561" t="str">
            <v>70127</v>
          </cell>
        </row>
        <row r="8562">
          <cell r="G8562" t="str">
            <v xml:space="preserve">Phường 7    </v>
          </cell>
          <cell r="I8562" t="str">
            <v>70127</v>
          </cell>
        </row>
        <row r="8563">
          <cell r="G8563" t="str">
            <v xml:space="preserve">Phường 8    </v>
          </cell>
          <cell r="I8563" t="str">
            <v>70127</v>
          </cell>
        </row>
        <row r="8564">
          <cell r="G8564" t="str">
            <v xml:space="preserve">Phường 9    </v>
          </cell>
          <cell r="I8564" t="str">
            <v>70127</v>
          </cell>
        </row>
        <row r="8565">
          <cell r="G8565" t="str">
            <v xml:space="preserve">Phường 10        </v>
          </cell>
          <cell r="I8565" t="str">
            <v>70127</v>
          </cell>
        </row>
        <row r="8566">
          <cell r="G8566" t="str">
            <v xml:space="preserve">Phường 11       </v>
          </cell>
          <cell r="I8566" t="str">
            <v>70127</v>
          </cell>
        </row>
        <row r="8567">
          <cell r="G8567" t="str">
            <v xml:space="preserve">Phường 12        </v>
          </cell>
          <cell r="I8567" t="str">
            <v>70127</v>
          </cell>
        </row>
        <row r="8568">
          <cell r="G8568" t="str">
            <v xml:space="preserve">Phường 13        </v>
          </cell>
          <cell r="I8568" t="str">
            <v>70127</v>
          </cell>
        </row>
        <row r="8569">
          <cell r="G8569" t="str">
            <v xml:space="preserve">Phường 14        </v>
          </cell>
          <cell r="I8569" t="str">
            <v>70127</v>
          </cell>
        </row>
        <row r="8570">
          <cell r="G8570" t="str">
            <v xml:space="preserve">Phường 15      </v>
          </cell>
          <cell r="I8570" t="str">
            <v>70127</v>
          </cell>
        </row>
        <row r="8571">
          <cell r="G8571" t="str">
            <v>Phường Tân Sơn Nhì</v>
          </cell>
          <cell r="I8571" t="str">
            <v>70128</v>
          </cell>
        </row>
        <row r="8572">
          <cell r="G8572" t="str">
            <v>Phường Tây Thạnh</v>
          </cell>
          <cell r="I8572" t="str">
            <v>70128</v>
          </cell>
        </row>
        <row r="8573">
          <cell r="G8573" t="str">
            <v>Phường Sơn Kỳ</v>
          </cell>
          <cell r="I8573" t="str">
            <v>70128</v>
          </cell>
        </row>
        <row r="8574">
          <cell r="G8574" t="str">
            <v>Phường Tân Quý</v>
          </cell>
          <cell r="I8574" t="str">
            <v>70128</v>
          </cell>
        </row>
        <row r="8575">
          <cell r="G8575" t="str">
            <v xml:space="preserve">Phường Tân Thành    </v>
          </cell>
          <cell r="I8575" t="str">
            <v>70128</v>
          </cell>
        </row>
        <row r="8576">
          <cell r="G8576" t="str">
            <v>Phường Phú Thọ Hòa</v>
          </cell>
          <cell r="I8576" t="str">
            <v>70128</v>
          </cell>
        </row>
        <row r="8577">
          <cell r="G8577" t="str">
            <v xml:space="preserve">Phường Phú Thạnh </v>
          </cell>
          <cell r="I8577" t="str">
            <v>70128</v>
          </cell>
        </row>
        <row r="8578">
          <cell r="G8578" t="str">
            <v>Phường Phú Trung</v>
          </cell>
          <cell r="I8578" t="str">
            <v>70128</v>
          </cell>
        </row>
        <row r="8579">
          <cell r="G8579" t="str">
            <v>Phường Hòa Thạnh</v>
          </cell>
          <cell r="I8579" t="str">
            <v>70128</v>
          </cell>
        </row>
        <row r="8580">
          <cell r="G8580" t="str">
            <v>Phường Hiệp Tân</v>
          </cell>
          <cell r="I8580" t="str">
            <v>70128</v>
          </cell>
        </row>
        <row r="8581">
          <cell r="G8581" t="str">
            <v>Phường Tân Thới Hòa</v>
          </cell>
          <cell r="I8581" t="str">
            <v>70128</v>
          </cell>
        </row>
        <row r="8582">
          <cell r="G8582" t="str">
            <v xml:space="preserve">Phường 1       </v>
          </cell>
          <cell r="I8582" t="str">
            <v>70129</v>
          </cell>
        </row>
        <row r="8583">
          <cell r="G8583" t="str">
            <v xml:space="preserve">Phường 2      </v>
          </cell>
          <cell r="I8583" t="str">
            <v>70129</v>
          </cell>
        </row>
        <row r="8584">
          <cell r="G8584" t="str">
            <v xml:space="preserve">Phường 3       </v>
          </cell>
          <cell r="I8584" t="str">
            <v>70129</v>
          </cell>
        </row>
        <row r="8585">
          <cell r="G8585" t="str">
            <v xml:space="preserve">Phường 5      </v>
          </cell>
          <cell r="I8585" t="str">
            <v>70129</v>
          </cell>
        </row>
        <row r="8586">
          <cell r="G8586" t="str">
            <v xml:space="preserve">Phường 6     </v>
          </cell>
          <cell r="I8586" t="str">
            <v>70129</v>
          </cell>
        </row>
        <row r="8587">
          <cell r="G8587" t="str">
            <v xml:space="preserve">Phường 7     </v>
          </cell>
          <cell r="I8587" t="str">
            <v>70129</v>
          </cell>
        </row>
        <row r="8588">
          <cell r="G8588" t="str">
            <v xml:space="preserve">Phường 11        </v>
          </cell>
          <cell r="I8588" t="str">
            <v>70129</v>
          </cell>
        </row>
        <row r="8589">
          <cell r="G8589" t="str">
            <v xml:space="preserve">Phường 12         </v>
          </cell>
          <cell r="I8589" t="str">
            <v>70129</v>
          </cell>
        </row>
        <row r="8590">
          <cell r="G8590" t="str">
            <v xml:space="preserve">Phường 13         </v>
          </cell>
          <cell r="I8590" t="str">
            <v>70129</v>
          </cell>
        </row>
        <row r="8591">
          <cell r="G8591" t="str">
            <v xml:space="preserve">Phường 14         </v>
          </cell>
          <cell r="I8591" t="str">
            <v>70129</v>
          </cell>
        </row>
        <row r="8592">
          <cell r="G8592" t="str">
            <v xml:space="preserve">Phường 15       </v>
          </cell>
          <cell r="I8592" t="str">
            <v>70129</v>
          </cell>
        </row>
        <row r="8593">
          <cell r="G8593" t="str">
            <v xml:space="preserve">Phường 17 </v>
          </cell>
          <cell r="I8593" t="str">
            <v>70129</v>
          </cell>
        </row>
        <row r="8594">
          <cell r="G8594" t="str">
            <v>Phường 19</v>
          </cell>
          <cell r="I8594" t="str">
            <v>70129</v>
          </cell>
        </row>
        <row r="8595">
          <cell r="G8595" t="str">
            <v>Phường 21</v>
          </cell>
          <cell r="I8595" t="str">
            <v>70129</v>
          </cell>
        </row>
        <row r="8596">
          <cell r="G8596" t="str">
            <v>Phường 22</v>
          </cell>
          <cell r="I8596" t="str">
            <v>70129</v>
          </cell>
        </row>
        <row r="8597">
          <cell r="G8597" t="str">
            <v>Phường 24</v>
          </cell>
          <cell r="I8597" t="str">
            <v>70129</v>
          </cell>
        </row>
        <row r="8598">
          <cell r="G8598" t="str">
            <v>Phường 25</v>
          </cell>
          <cell r="I8598" t="str">
            <v>70129</v>
          </cell>
        </row>
        <row r="8599">
          <cell r="G8599" t="str">
            <v>Phường 26</v>
          </cell>
          <cell r="I8599" t="str">
            <v>70129</v>
          </cell>
        </row>
        <row r="8600">
          <cell r="G8600" t="str">
            <v>Phường 27</v>
          </cell>
          <cell r="I8600" t="str">
            <v>70129</v>
          </cell>
        </row>
        <row r="8601">
          <cell r="G8601" t="str">
            <v>Phường 28</v>
          </cell>
          <cell r="I8601" t="str">
            <v>70129</v>
          </cell>
        </row>
        <row r="8602">
          <cell r="G8602" t="str">
            <v xml:space="preserve">Phường 09     </v>
          </cell>
          <cell r="I8602" t="str">
            <v>70131</v>
          </cell>
        </row>
        <row r="8603">
          <cell r="G8603" t="str">
            <v xml:space="preserve">Phường 03     </v>
          </cell>
          <cell r="I8603" t="str">
            <v>70131</v>
          </cell>
        </row>
        <row r="8604">
          <cell r="G8604" t="str">
            <v xml:space="preserve">Phường 15        </v>
          </cell>
          <cell r="I8604" t="str">
            <v>70131</v>
          </cell>
        </row>
        <row r="8605">
          <cell r="G8605" t="str">
            <v xml:space="preserve">Phường 17  </v>
          </cell>
          <cell r="I8605" t="str">
            <v>70131</v>
          </cell>
        </row>
        <row r="8606">
          <cell r="G8606" t="str">
            <v xml:space="preserve">Phường 13          </v>
          </cell>
          <cell r="I8606" t="str">
            <v>70131</v>
          </cell>
        </row>
        <row r="8607">
          <cell r="G8607" t="str">
            <v xml:space="preserve">Phường 12          </v>
          </cell>
          <cell r="I8607" t="str">
            <v>70131</v>
          </cell>
        </row>
        <row r="8608">
          <cell r="G8608" t="str">
            <v xml:space="preserve">Phường 04     </v>
          </cell>
          <cell r="I8608" t="str">
            <v>70131</v>
          </cell>
        </row>
        <row r="8609">
          <cell r="G8609" t="str">
            <v xml:space="preserve">Phường 05   </v>
          </cell>
          <cell r="I8609" t="str">
            <v>70131</v>
          </cell>
        </row>
        <row r="8610">
          <cell r="G8610" t="str">
            <v xml:space="preserve">Phường 07    </v>
          </cell>
          <cell r="I8610" t="str">
            <v>70131</v>
          </cell>
        </row>
        <row r="8611">
          <cell r="G8611" t="str">
            <v xml:space="preserve">Phường 01     </v>
          </cell>
          <cell r="I8611" t="str">
            <v>70131</v>
          </cell>
        </row>
        <row r="8612">
          <cell r="G8612" t="str">
            <v xml:space="preserve">Phường 02     </v>
          </cell>
          <cell r="I8612" t="str">
            <v>70131</v>
          </cell>
        </row>
        <row r="8613">
          <cell r="G8613" t="str">
            <v xml:space="preserve">Phường 08     </v>
          </cell>
          <cell r="I8613" t="str">
            <v>70131</v>
          </cell>
        </row>
        <row r="8614">
          <cell r="G8614" t="str">
            <v xml:space="preserve">Phường 10         </v>
          </cell>
          <cell r="I8614" t="str">
            <v>70131</v>
          </cell>
        </row>
        <row r="8615">
          <cell r="G8615" t="str">
            <v xml:space="preserve">Phường 11         </v>
          </cell>
          <cell r="I8615" t="str">
            <v>70131</v>
          </cell>
        </row>
        <row r="8616">
          <cell r="G8616" t="str">
            <v xml:space="preserve">Phường 14          </v>
          </cell>
          <cell r="I8616" t="str">
            <v>70131</v>
          </cell>
        </row>
        <row r="8617">
          <cell r="G8617" t="str">
            <v>Phường Linh Đông</v>
          </cell>
          <cell r="I8617" t="str">
            <v>70133</v>
          </cell>
        </row>
        <row r="8618">
          <cell r="G8618" t="str">
            <v>Phường Hiệp Bình Chánh</v>
          </cell>
          <cell r="I8618" t="str">
            <v>70133</v>
          </cell>
        </row>
        <row r="8619">
          <cell r="G8619" t="str">
            <v>Phường Hiệp Bình Phước</v>
          </cell>
          <cell r="I8619" t="str">
            <v>70133</v>
          </cell>
        </row>
        <row r="8620">
          <cell r="G8620" t="str">
            <v>Phường Tam Phú</v>
          </cell>
          <cell r="I8620" t="str">
            <v>70133</v>
          </cell>
        </row>
        <row r="8621">
          <cell r="G8621" t="str">
            <v>Phường Linh Xuân</v>
          </cell>
          <cell r="I8621" t="str">
            <v>70133</v>
          </cell>
        </row>
        <row r="8622">
          <cell r="G8622" t="str">
            <v>Phường Linh Chiểu</v>
          </cell>
          <cell r="I8622" t="str">
            <v>70133</v>
          </cell>
        </row>
        <row r="8623">
          <cell r="G8623" t="str">
            <v>Phường Trường Thọ</v>
          </cell>
          <cell r="I8623" t="str">
            <v>70133</v>
          </cell>
        </row>
        <row r="8624">
          <cell r="G8624" t="str">
            <v>Phường Bình Chiểu</v>
          </cell>
          <cell r="I8624" t="str">
            <v>70133</v>
          </cell>
        </row>
        <row r="8625">
          <cell r="G8625" t="str">
            <v>Phường Linh Tây</v>
          </cell>
          <cell r="I8625" t="str">
            <v>70133</v>
          </cell>
        </row>
        <row r="8626">
          <cell r="G8626" t="str">
            <v>Phường Bình Thọ</v>
          </cell>
          <cell r="I8626" t="str">
            <v>70133</v>
          </cell>
        </row>
        <row r="8627">
          <cell r="G8627" t="str">
            <v>Phường Tam Bình</v>
          </cell>
          <cell r="I8627" t="str">
            <v>70133</v>
          </cell>
        </row>
        <row r="8628">
          <cell r="G8628" t="str">
            <v>Phường Linh Trung</v>
          </cell>
          <cell r="I8628" t="str">
            <v>70133</v>
          </cell>
        </row>
        <row r="8629">
          <cell r="G8629" t="str">
            <v>Phường Bình Hưng Hòa</v>
          </cell>
          <cell r="I8629" t="str">
            <v>70134</v>
          </cell>
        </row>
        <row r="8630">
          <cell r="G8630" t="str">
            <v>Phường Bình Hưng Hòa A</v>
          </cell>
          <cell r="I8630" t="str">
            <v>70134</v>
          </cell>
        </row>
        <row r="8631">
          <cell r="G8631" t="str">
            <v>Phường Bình Hưng Hòa B</v>
          </cell>
          <cell r="I8631" t="str">
            <v>70134</v>
          </cell>
        </row>
        <row r="8632">
          <cell r="G8632" t="str">
            <v>Phường Bình Trị Đông</v>
          </cell>
          <cell r="I8632" t="str">
            <v>70134</v>
          </cell>
        </row>
        <row r="8633">
          <cell r="G8633" t="str">
            <v>Phường Bình Trị Đông A</v>
          </cell>
          <cell r="I8633" t="str">
            <v>70134</v>
          </cell>
        </row>
        <row r="8634">
          <cell r="G8634" t="str">
            <v>Phường Bình Trị Đông B</v>
          </cell>
          <cell r="I8634" t="str">
            <v>70134</v>
          </cell>
        </row>
        <row r="8635">
          <cell r="G8635" t="str">
            <v>Phường Tân Tạo</v>
          </cell>
          <cell r="I8635" t="str">
            <v>70134</v>
          </cell>
        </row>
        <row r="8636">
          <cell r="G8636" t="str">
            <v>Phường Tân Tạo A</v>
          </cell>
          <cell r="I8636" t="str">
            <v>70134</v>
          </cell>
        </row>
        <row r="8637">
          <cell r="G8637" t="str">
            <v xml:space="preserve">Phường An Lạc </v>
          </cell>
          <cell r="I8637" t="str">
            <v>70134</v>
          </cell>
        </row>
        <row r="8638">
          <cell r="G8638" t="str">
            <v>Phường An Lạc A</v>
          </cell>
          <cell r="I8638" t="str">
            <v>70134</v>
          </cell>
        </row>
        <row r="8639">
          <cell r="G8639" t="str">
            <v>Thị Trấn Củ Chi</v>
          </cell>
          <cell r="I8639" t="str">
            <v>70135</v>
          </cell>
        </row>
        <row r="8640">
          <cell r="G8640" t="str">
            <v>Xã Phú Hòa Đông</v>
          </cell>
          <cell r="I8640" t="str">
            <v>70135</v>
          </cell>
        </row>
        <row r="8641">
          <cell r="G8641" t="str">
            <v>Xã Tân Thạnh Đông</v>
          </cell>
          <cell r="I8641" t="str">
            <v>70135</v>
          </cell>
        </row>
        <row r="8642">
          <cell r="G8642" t="str">
            <v>Xã Tân Thạnh Tây</v>
          </cell>
          <cell r="I8642" t="str">
            <v>70135</v>
          </cell>
        </row>
        <row r="8643">
          <cell r="G8643" t="str">
            <v xml:space="preserve">Xã Trung An </v>
          </cell>
          <cell r="I8643" t="str">
            <v>70135</v>
          </cell>
        </row>
        <row r="8644">
          <cell r="G8644" t="str">
            <v>Xã Phước Vĩnh An</v>
          </cell>
          <cell r="I8644" t="str">
            <v>70135</v>
          </cell>
        </row>
        <row r="8645">
          <cell r="G8645" t="str">
            <v xml:space="preserve">Xã Hòa Phú      </v>
          </cell>
          <cell r="I8645" t="str">
            <v>70135</v>
          </cell>
        </row>
        <row r="8646">
          <cell r="G8646" t="str">
            <v>Xã Tân An Hội</v>
          </cell>
          <cell r="I8646" t="str">
            <v>70135</v>
          </cell>
        </row>
        <row r="8647">
          <cell r="G8647" t="str">
            <v>Xã Tân Thông Hội</v>
          </cell>
          <cell r="I8647" t="str">
            <v>70135</v>
          </cell>
        </row>
        <row r="8648">
          <cell r="G8648" t="str">
            <v>Xã Tân Phú Trung</v>
          </cell>
          <cell r="I8648" t="str">
            <v>70135</v>
          </cell>
        </row>
        <row r="8649">
          <cell r="G8649" t="str">
            <v>Xã Thái Mỹ</v>
          </cell>
          <cell r="I8649" t="str">
            <v>70135</v>
          </cell>
        </row>
        <row r="8650">
          <cell r="G8650" t="str">
            <v>Xã Phước Thạnh</v>
          </cell>
          <cell r="I8650" t="str">
            <v>70135</v>
          </cell>
        </row>
        <row r="8651">
          <cell r="G8651" t="str">
            <v>Xã An Nhơn Tây</v>
          </cell>
          <cell r="I8651" t="str">
            <v>70135</v>
          </cell>
        </row>
        <row r="8652">
          <cell r="G8652" t="str">
            <v>Xã Trung Lập Thượng</v>
          </cell>
          <cell r="I8652" t="str">
            <v>70135</v>
          </cell>
        </row>
        <row r="8653">
          <cell r="G8653" t="str">
            <v>Xã Phú Mỹ Hưng</v>
          </cell>
          <cell r="I8653" t="str">
            <v>70135</v>
          </cell>
        </row>
        <row r="8654">
          <cell r="G8654" t="str">
            <v xml:space="preserve">Xã An Phú    </v>
          </cell>
          <cell r="I8654" t="str">
            <v>70135</v>
          </cell>
        </row>
        <row r="8655">
          <cell r="G8655" t="str">
            <v>Xã Nhuận Đức</v>
          </cell>
          <cell r="I8655" t="str">
            <v>70135</v>
          </cell>
        </row>
        <row r="8656">
          <cell r="G8656" t="str">
            <v>Xã Phạm Văn Cội</v>
          </cell>
          <cell r="I8656" t="str">
            <v>70135</v>
          </cell>
        </row>
        <row r="8657">
          <cell r="G8657" t="str">
            <v xml:space="preserve">Xã Bình Mỹ </v>
          </cell>
          <cell r="I8657" t="str">
            <v>70135</v>
          </cell>
        </row>
        <row r="8658">
          <cell r="G8658" t="str">
            <v xml:space="preserve">Xã Phước Hiệp  </v>
          </cell>
          <cell r="I8658" t="str">
            <v>70135</v>
          </cell>
        </row>
        <row r="8659">
          <cell r="G8659" t="str">
            <v>Xã Trung Lập Hạ</v>
          </cell>
          <cell r="I8659" t="str">
            <v>70135</v>
          </cell>
        </row>
        <row r="8660">
          <cell r="G8660" t="str">
            <v>Thị Trấn Hóc Môn</v>
          </cell>
          <cell r="I8660" t="str">
            <v>70137</v>
          </cell>
        </row>
        <row r="8661">
          <cell r="G8661" t="str">
            <v>Xã Tân Thới Nhì</v>
          </cell>
          <cell r="I8661" t="str">
            <v>70137</v>
          </cell>
        </row>
        <row r="8662">
          <cell r="G8662" t="str">
            <v xml:space="preserve">Xã Tân Hiệp  </v>
          </cell>
          <cell r="I8662" t="str">
            <v>70137</v>
          </cell>
        </row>
        <row r="8663">
          <cell r="G8663" t="str">
            <v>Xã Thới Tam Thôn</v>
          </cell>
          <cell r="I8663" t="str">
            <v>70137</v>
          </cell>
        </row>
        <row r="8664">
          <cell r="G8664" t="str">
            <v>Xã Đông Thạnh</v>
          </cell>
          <cell r="I8664" t="str">
            <v>70137</v>
          </cell>
        </row>
        <row r="8665">
          <cell r="G8665" t="str">
            <v>Xã Nhị Bình</v>
          </cell>
          <cell r="I8665" t="str">
            <v>70137</v>
          </cell>
        </row>
        <row r="8666">
          <cell r="G8666" t="str">
            <v>Xã Xuân Thới Sơn</v>
          </cell>
          <cell r="I8666" t="str">
            <v>70137</v>
          </cell>
        </row>
        <row r="8667">
          <cell r="G8667" t="str">
            <v xml:space="preserve">Xã Tân Xuân  </v>
          </cell>
          <cell r="I8667" t="str">
            <v>70137</v>
          </cell>
        </row>
        <row r="8668">
          <cell r="G8668" t="str">
            <v>Xã Xuân Thới Thượng</v>
          </cell>
          <cell r="I8668" t="str">
            <v>70137</v>
          </cell>
        </row>
        <row r="8669">
          <cell r="G8669" t="str">
            <v>Xã Bà Điểm</v>
          </cell>
          <cell r="I8669" t="str">
            <v>70137</v>
          </cell>
        </row>
        <row r="8670">
          <cell r="G8670" t="str">
            <v>Xã Trung Chánh</v>
          </cell>
          <cell r="I8670" t="str">
            <v>70137</v>
          </cell>
        </row>
        <row r="8671">
          <cell r="G8671" t="str">
            <v>Xã Xuân T Đông</v>
          </cell>
          <cell r="I8671" t="str">
            <v>70137</v>
          </cell>
        </row>
        <row r="8672">
          <cell r="G8672" t="str">
            <v>Xã Bình Hưng</v>
          </cell>
          <cell r="I8672" t="str">
            <v>70139</v>
          </cell>
        </row>
        <row r="8673">
          <cell r="G8673" t="str">
            <v xml:space="preserve">Xã Phong Phú  </v>
          </cell>
          <cell r="I8673" t="str">
            <v>70139</v>
          </cell>
        </row>
        <row r="8674">
          <cell r="G8674" t="str">
            <v>Xã Đa Phước</v>
          </cell>
          <cell r="I8674" t="str">
            <v>70139</v>
          </cell>
        </row>
        <row r="8675">
          <cell r="G8675" t="str">
            <v>Xã Qui Đức</v>
          </cell>
          <cell r="I8675" t="str">
            <v>70139</v>
          </cell>
        </row>
        <row r="8676">
          <cell r="G8676" t="str">
            <v xml:space="preserve">Xã Hưng Long    </v>
          </cell>
          <cell r="I8676" t="str">
            <v>70139</v>
          </cell>
        </row>
        <row r="8677">
          <cell r="G8677" t="str">
            <v>Xã Tân Quý Tây</v>
          </cell>
          <cell r="I8677" t="str">
            <v>70139</v>
          </cell>
        </row>
        <row r="8678">
          <cell r="G8678" t="str">
            <v xml:space="preserve">Xã Bình Chánh  </v>
          </cell>
          <cell r="I8678" t="str">
            <v>70139</v>
          </cell>
        </row>
        <row r="8679">
          <cell r="G8679" t="str">
            <v>Xã Vĩnh Lộc A</v>
          </cell>
          <cell r="I8679" t="str">
            <v>70139</v>
          </cell>
        </row>
        <row r="8680">
          <cell r="G8680" t="str">
            <v>Xã Vĩnh Lộc B</v>
          </cell>
          <cell r="I8680" t="str">
            <v>70139</v>
          </cell>
        </row>
        <row r="8681">
          <cell r="G8681" t="str">
            <v>Xã Phạm Văn Hai</v>
          </cell>
          <cell r="I8681" t="str">
            <v>70139</v>
          </cell>
        </row>
        <row r="8682">
          <cell r="G8682" t="str">
            <v>Xã Lê Minh Xuân</v>
          </cell>
          <cell r="I8682" t="str">
            <v>70139</v>
          </cell>
        </row>
        <row r="8683">
          <cell r="G8683" t="str">
            <v>Xã Bình Lợi</v>
          </cell>
          <cell r="I8683" t="str">
            <v>70139</v>
          </cell>
        </row>
        <row r="8684">
          <cell r="G8684" t="str">
            <v>Xã Tân Nhựt</v>
          </cell>
          <cell r="I8684" t="str">
            <v>70139</v>
          </cell>
        </row>
        <row r="8685">
          <cell r="G8685" t="str">
            <v>Thị Trấn Tân Túc</v>
          </cell>
          <cell r="I8685" t="str">
            <v>70139</v>
          </cell>
        </row>
        <row r="8686">
          <cell r="G8686" t="str">
            <v>Xã Tân Kiên</v>
          </cell>
          <cell r="I8686" t="str">
            <v>70139</v>
          </cell>
        </row>
        <row r="8687">
          <cell r="G8687" t="str">
            <v>Xã An Phú Tây</v>
          </cell>
          <cell r="I8687" t="str">
            <v>70139</v>
          </cell>
        </row>
        <row r="8688">
          <cell r="G8688" t="str">
            <v>Thị Trấn Nhà Bè</v>
          </cell>
          <cell r="I8688" t="str">
            <v>70141</v>
          </cell>
        </row>
        <row r="8689">
          <cell r="G8689" t="str">
            <v xml:space="preserve">Xã Phú Xuân     </v>
          </cell>
          <cell r="I8689" t="str">
            <v>70141</v>
          </cell>
        </row>
        <row r="8690">
          <cell r="G8690" t="str">
            <v>Xã Phước Kiển</v>
          </cell>
          <cell r="I8690" t="str">
            <v>70141</v>
          </cell>
        </row>
        <row r="8691">
          <cell r="G8691" t="str">
            <v xml:space="preserve">Xã Phước Lộc  </v>
          </cell>
          <cell r="I8691" t="str">
            <v>70141</v>
          </cell>
        </row>
        <row r="8692">
          <cell r="G8692" t="str">
            <v>Xã Nhơn Đức</v>
          </cell>
          <cell r="I8692" t="str">
            <v>70141</v>
          </cell>
        </row>
        <row r="8693">
          <cell r="G8693" t="str">
            <v>Xã Long Thới</v>
          </cell>
          <cell r="I8693" t="str">
            <v>70141</v>
          </cell>
        </row>
        <row r="8694">
          <cell r="G8694" t="str">
            <v>Xã Hiệp Phước</v>
          </cell>
          <cell r="I8694" t="str">
            <v>70141</v>
          </cell>
        </row>
        <row r="8695">
          <cell r="G8695" t="str">
            <v>Thị Trấn Cần Thạnh</v>
          </cell>
          <cell r="I8695" t="str">
            <v>70143</v>
          </cell>
        </row>
        <row r="8696">
          <cell r="G8696" t="str">
            <v>Xã Long Hòa</v>
          </cell>
          <cell r="I8696" t="str">
            <v>70143</v>
          </cell>
        </row>
        <row r="8697">
          <cell r="G8697" t="str">
            <v>Xã Thạnh An</v>
          </cell>
          <cell r="I8697" t="str">
            <v>70143</v>
          </cell>
        </row>
        <row r="8698">
          <cell r="G8698" t="str">
            <v>Xã Tam Thôn Hiệp</v>
          </cell>
          <cell r="I8698" t="str">
            <v>70143</v>
          </cell>
        </row>
        <row r="8699">
          <cell r="G8699" t="str">
            <v>Xã Bình Khánh</v>
          </cell>
          <cell r="I8699" t="str">
            <v>70143</v>
          </cell>
        </row>
        <row r="8700">
          <cell r="G8700" t="str">
            <v>Xã An Thới Đông</v>
          </cell>
          <cell r="I8700" t="str">
            <v>70143</v>
          </cell>
        </row>
        <row r="8701">
          <cell r="G8701" t="str">
            <v>Xã Lý Nhơn</v>
          </cell>
          <cell r="I8701" t="str">
            <v>70143</v>
          </cell>
        </row>
        <row r="8702">
          <cell r="G8702" t="str">
            <v xml:space="preserve">Phường 2       </v>
          </cell>
          <cell r="I8702" t="str">
            <v>70301</v>
          </cell>
        </row>
        <row r="8703">
          <cell r="G8703" t="str">
            <v xml:space="preserve">Phường 6      </v>
          </cell>
          <cell r="I8703" t="str">
            <v>70301</v>
          </cell>
        </row>
        <row r="8704">
          <cell r="G8704" t="str">
            <v xml:space="preserve">Phường 11          </v>
          </cell>
          <cell r="I8704" t="str">
            <v>70301</v>
          </cell>
        </row>
        <row r="8705">
          <cell r="G8705" t="str">
            <v>Xã Tà Nung</v>
          </cell>
          <cell r="I8705" t="str">
            <v>70301</v>
          </cell>
        </row>
        <row r="8706">
          <cell r="G8706" t="str">
            <v xml:space="preserve">Phường 9     </v>
          </cell>
          <cell r="I8706" t="str">
            <v>70301</v>
          </cell>
        </row>
        <row r="8707">
          <cell r="G8707" t="str">
            <v xml:space="preserve">Phường 7      </v>
          </cell>
          <cell r="I8707" t="str">
            <v>70301</v>
          </cell>
        </row>
        <row r="8708">
          <cell r="G8708" t="str">
            <v xml:space="preserve">Phường 8     </v>
          </cell>
          <cell r="I8708" t="str">
            <v>70301</v>
          </cell>
        </row>
        <row r="8709">
          <cell r="G8709" t="str">
            <v xml:space="preserve">Phường 12           </v>
          </cell>
          <cell r="I8709" t="str">
            <v>70301</v>
          </cell>
        </row>
        <row r="8710">
          <cell r="G8710" t="str">
            <v xml:space="preserve">Phường 1        </v>
          </cell>
          <cell r="I8710" t="str">
            <v>70301</v>
          </cell>
        </row>
        <row r="8711">
          <cell r="G8711" t="str">
            <v xml:space="preserve">Phường 5       </v>
          </cell>
          <cell r="I8711" t="str">
            <v>70301</v>
          </cell>
        </row>
        <row r="8712">
          <cell r="G8712" t="str">
            <v xml:space="preserve">Phường 4      </v>
          </cell>
          <cell r="I8712" t="str">
            <v>70301</v>
          </cell>
        </row>
        <row r="8713">
          <cell r="G8713" t="str">
            <v xml:space="preserve">Phường 10          </v>
          </cell>
          <cell r="I8713" t="str">
            <v>70301</v>
          </cell>
        </row>
        <row r="8714">
          <cell r="G8714" t="str">
            <v xml:space="preserve">Phường 3        </v>
          </cell>
          <cell r="I8714" t="str">
            <v>70301</v>
          </cell>
        </row>
        <row r="8715">
          <cell r="G8715" t="str">
            <v xml:space="preserve">Xã Xuân Thọ  </v>
          </cell>
          <cell r="I8715" t="str">
            <v>70301</v>
          </cell>
        </row>
        <row r="8716">
          <cell r="G8716" t="str">
            <v xml:space="preserve">Xã Xuân Trường   </v>
          </cell>
          <cell r="I8716" t="str">
            <v>70301</v>
          </cell>
        </row>
        <row r="8717">
          <cell r="G8717" t="str">
            <v>Xã Trạm Hành</v>
          </cell>
          <cell r="I8717" t="str">
            <v>70301</v>
          </cell>
        </row>
        <row r="8718">
          <cell r="G8718" t="str">
            <v>Phường Lộc Phát</v>
          </cell>
          <cell r="I8718" t="str">
            <v>70303</v>
          </cell>
        </row>
        <row r="8719">
          <cell r="G8719" t="str">
            <v xml:space="preserve">Phường 2        </v>
          </cell>
          <cell r="I8719" t="str">
            <v>70303</v>
          </cell>
        </row>
        <row r="8720">
          <cell r="G8720" t="str">
            <v>Xã Đạm Bri</v>
          </cell>
          <cell r="I8720" t="str">
            <v>70303</v>
          </cell>
        </row>
        <row r="8721">
          <cell r="G8721" t="str">
            <v>Xã Lộc Châu</v>
          </cell>
          <cell r="I8721" t="str">
            <v>70303</v>
          </cell>
        </row>
        <row r="8722">
          <cell r="G8722" t="str">
            <v>Phường Lộc Tiến</v>
          </cell>
          <cell r="I8722" t="str">
            <v>70303</v>
          </cell>
        </row>
        <row r="8723">
          <cell r="G8723" t="str">
            <v xml:space="preserve">Phường 1         </v>
          </cell>
          <cell r="I8723" t="str">
            <v>70303</v>
          </cell>
        </row>
        <row r="8724">
          <cell r="G8724" t="str">
            <v>Phường B-lao</v>
          </cell>
          <cell r="I8724" t="str">
            <v>70303</v>
          </cell>
        </row>
        <row r="8725">
          <cell r="G8725" t="str">
            <v>Phường Lộc Sơn</v>
          </cell>
          <cell r="I8725" t="str">
            <v>70303</v>
          </cell>
        </row>
        <row r="8726">
          <cell r="G8726" t="str">
            <v>Xã Lộc Thanh</v>
          </cell>
          <cell r="I8726" t="str">
            <v>70303</v>
          </cell>
        </row>
        <row r="8727">
          <cell r="G8727" t="str">
            <v>Xã Lộc Nga</v>
          </cell>
          <cell r="I8727" t="str">
            <v>70303</v>
          </cell>
        </row>
        <row r="8728">
          <cell r="G8728" t="str">
            <v>Xã Đại Lào</v>
          </cell>
          <cell r="I8728" t="str">
            <v>70303</v>
          </cell>
        </row>
        <row r="8729">
          <cell r="G8729" t="str">
            <v>Xã Đạ Chais</v>
          </cell>
          <cell r="I8729" t="str">
            <v>70305</v>
          </cell>
        </row>
        <row r="8730">
          <cell r="G8730" t="str">
            <v>Xã Lát</v>
          </cell>
          <cell r="I8730" t="str">
            <v>70305</v>
          </cell>
        </row>
        <row r="8731">
          <cell r="G8731" t="str">
            <v>Thị trấn Lạc Dương</v>
          </cell>
          <cell r="I8731" t="str">
            <v>70305</v>
          </cell>
        </row>
        <row r="8732">
          <cell r="G8732" t="str">
            <v>Xã Đạ Nhim</v>
          </cell>
          <cell r="I8732" t="str">
            <v>70305</v>
          </cell>
        </row>
        <row r="8733">
          <cell r="G8733" t="str">
            <v>Xã Đưng KNớ</v>
          </cell>
          <cell r="I8733" t="str">
            <v>70305</v>
          </cell>
        </row>
        <row r="8734">
          <cell r="G8734" t="str">
            <v>Xã Đạ Sar</v>
          </cell>
          <cell r="I8734" t="str">
            <v>70305</v>
          </cell>
        </row>
        <row r="8735">
          <cell r="G8735" t="str">
            <v>Xã Đạ Ròn</v>
          </cell>
          <cell r="I8735" t="str">
            <v>70307</v>
          </cell>
        </row>
        <row r="8736">
          <cell r="G8736" t="str">
            <v xml:space="preserve">Thị trấn Thạnh Mỹ </v>
          </cell>
          <cell r="I8736" t="str">
            <v>70307</v>
          </cell>
        </row>
        <row r="8737">
          <cell r="G8737" t="str">
            <v>Xã Ka Đô</v>
          </cell>
          <cell r="I8737" t="str">
            <v>70307</v>
          </cell>
        </row>
        <row r="8738">
          <cell r="G8738" t="str">
            <v>Xã Pró</v>
          </cell>
          <cell r="I8738" t="str">
            <v>70307</v>
          </cell>
        </row>
        <row r="8739">
          <cell r="G8739" t="str">
            <v>Thị trấn D-Ran</v>
          </cell>
          <cell r="I8739" t="str">
            <v>70307</v>
          </cell>
        </row>
        <row r="8740">
          <cell r="G8740" t="str">
            <v>Xã Lạc Xuân</v>
          </cell>
          <cell r="I8740" t="str">
            <v>70307</v>
          </cell>
        </row>
        <row r="8741">
          <cell r="G8741" t="str">
            <v>Xã Lạc Lâm</v>
          </cell>
          <cell r="I8741" t="str">
            <v>70307</v>
          </cell>
        </row>
        <row r="8742">
          <cell r="G8742" t="str">
            <v>Xã Quảng Lập</v>
          </cell>
          <cell r="I8742" t="str">
            <v>70307</v>
          </cell>
        </row>
        <row r="8743">
          <cell r="G8743" t="str">
            <v>Xã Ka Đơn</v>
          </cell>
          <cell r="I8743" t="str">
            <v>70307</v>
          </cell>
        </row>
        <row r="8744">
          <cell r="G8744" t="str">
            <v>Xã Tu Tra</v>
          </cell>
          <cell r="I8744" t="str">
            <v>70307</v>
          </cell>
        </row>
        <row r="8745">
          <cell r="G8745" t="str">
            <v>Xã N-Thol Hạ</v>
          </cell>
          <cell r="I8745" t="str">
            <v>70309</v>
          </cell>
        </row>
        <row r="8746">
          <cell r="G8746" t="str">
            <v xml:space="preserve">Xã Liên Hiệp   </v>
          </cell>
          <cell r="I8746" t="str">
            <v>70309</v>
          </cell>
        </row>
        <row r="8747">
          <cell r="G8747" t="str">
            <v>Xã Hiệp Thạnh</v>
          </cell>
          <cell r="I8747" t="str">
            <v>70309</v>
          </cell>
        </row>
        <row r="8748">
          <cell r="G8748" t="str">
            <v xml:space="preserve">Xã Bình Thạnh </v>
          </cell>
          <cell r="I8748" t="str">
            <v>70309</v>
          </cell>
        </row>
        <row r="8749">
          <cell r="G8749" t="str">
            <v xml:space="preserve">Xã Tân Hội </v>
          </cell>
          <cell r="I8749" t="str">
            <v>70309</v>
          </cell>
        </row>
        <row r="8750">
          <cell r="G8750" t="str">
            <v xml:space="preserve">Xã Tân Thành             </v>
          </cell>
          <cell r="I8750" t="str">
            <v>70309</v>
          </cell>
        </row>
        <row r="8751">
          <cell r="G8751" t="str">
            <v>Xã Phú Hội</v>
          </cell>
          <cell r="I8751" t="str">
            <v>70309</v>
          </cell>
        </row>
        <row r="8752">
          <cell r="G8752" t="str">
            <v>Xã Ninh Gia</v>
          </cell>
          <cell r="I8752" t="str">
            <v>70309</v>
          </cell>
        </row>
        <row r="8753">
          <cell r="G8753" t="str">
            <v>Xã Tà Năng</v>
          </cell>
          <cell r="I8753" t="str">
            <v>70309</v>
          </cell>
        </row>
        <row r="8754">
          <cell r="G8754" t="str">
            <v>Xã Tà Hine</v>
          </cell>
          <cell r="I8754" t="str">
            <v>70309</v>
          </cell>
        </row>
        <row r="8755">
          <cell r="G8755" t="str">
            <v>Xã Đà Loan</v>
          </cell>
          <cell r="I8755" t="str">
            <v>70309</v>
          </cell>
        </row>
        <row r="8756">
          <cell r="G8756" t="str">
            <v>Xã Ninh Loan</v>
          </cell>
          <cell r="I8756" t="str">
            <v>70309</v>
          </cell>
        </row>
        <row r="8757">
          <cell r="G8757" t="str">
            <v>Thị trấn Liên Nghĩa</v>
          </cell>
          <cell r="I8757" t="str">
            <v>70309</v>
          </cell>
        </row>
        <row r="8758">
          <cell r="G8758" t="str">
            <v xml:space="preserve">Xã Hiệp An </v>
          </cell>
          <cell r="I8758" t="str">
            <v>70309</v>
          </cell>
        </row>
        <row r="8759">
          <cell r="G8759" t="str">
            <v>Xã Đa Quyn</v>
          </cell>
          <cell r="I8759" t="str">
            <v>70309</v>
          </cell>
        </row>
        <row r="8760">
          <cell r="G8760" t="str">
            <v xml:space="preserve">Xã Đông Thanh </v>
          </cell>
          <cell r="I8760" t="str">
            <v>70311</v>
          </cell>
        </row>
        <row r="8761">
          <cell r="G8761" t="str">
            <v xml:space="preserve">Xã Phú Sơn      </v>
          </cell>
          <cell r="I8761" t="str">
            <v>70311</v>
          </cell>
        </row>
        <row r="8762">
          <cell r="G8762" t="str">
            <v>Xã Đạ Đờn</v>
          </cell>
          <cell r="I8762" t="str">
            <v>70311</v>
          </cell>
        </row>
        <row r="8763">
          <cell r="G8763" t="str">
            <v xml:space="preserve">Xã Tân Thanh  </v>
          </cell>
          <cell r="I8763" t="str">
            <v>70311</v>
          </cell>
        </row>
        <row r="8764">
          <cell r="G8764" t="str">
            <v xml:space="preserve">Xã Liên Hà  </v>
          </cell>
          <cell r="I8764" t="str">
            <v>70311</v>
          </cell>
        </row>
        <row r="8765">
          <cell r="G8765" t="str">
            <v>Thị trấn Nam Ban</v>
          </cell>
          <cell r="I8765" t="str">
            <v>70311</v>
          </cell>
        </row>
        <row r="8766">
          <cell r="G8766" t="str">
            <v>Thị trấn Đinh Văn</v>
          </cell>
          <cell r="I8766" t="str">
            <v>70311</v>
          </cell>
        </row>
        <row r="8767">
          <cell r="G8767" t="str">
            <v>Xã Phi Tô</v>
          </cell>
          <cell r="I8767" t="str">
            <v>70311</v>
          </cell>
        </row>
        <row r="8768">
          <cell r="G8768" t="str">
            <v xml:space="preserve">Xã Mê Linh  </v>
          </cell>
          <cell r="I8768" t="str">
            <v>70311</v>
          </cell>
        </row>
        <row r="8769">
          <cell r="G8769" t="str">
            <v xml:space="preserve">Xã Phúc Thọ </v>
          </cell>
          <cell r="I8769" t="str">
            <v>70311</v>
          </cell>
        </row>
        <row r="8770">
          <cell r="G8770" t="str">
            <v xml:space="preserve">Xã Gia Lâm </v>
          </cell>
          <cell r="I8770" t="str">
            <v>70311</v>
          </cell>
        </row>
        <row r="8771">
          <cell r="G8771" t="str">
            <v xml:space="preserve">Xã Tân Văn </v>
          </cell>
          <cell r="I8771" t="str">
            <v>70311</v>
          </cell>
        </row>
        <row r="8772">
          <cell r="G8772" t="str">
            <v xml:space="preserve">Xã Hòai Đức </v>
          </cell>
          <cell r="I8772" t="str">
            <v>70311</v>
          </cell>
        </row>
        <row r="8773">
          <cell r="G8773" t="str">
            <v>Xã Tân Hà</v>
          </cell>
          <cell r="I8773" t="str">
            <v>70311</v>
          </cell>
        </row>
        <row r="8774">
          <cell r="G8774" t="str">
            <v xml:space="preserve">Xã Đan Phượng </v>
          </cell>
          <cell r="I8774" t="str">
            <v>70311</v>
          </cell>
        </row>
        <row r="8775">
          <cell r="G8775" t="str">
            <v xml:space="preserve">Xã Nam Hà </v>
          </cell>
          <cell r="I8775" t="str">
            <v>70311</v>
          </cell>
        </row>
        <row r="8776">
          <cell r="G8776" t="str">
            <v>Xã Lộc Phú</v>
          </cell>
          <cell r="I8776" t="str">
            <v>70313</v>
          </cell>
        </row>
        <row r="8777">
          <cell r="G8777" t="str">
            <v>Thị trấn Lộc Thắng</v>
          </cell>
          <cell r="I8777" t="str">
            <v>70313</v>
          </cell>
        </row>
        <row r="8778">
          <cell r="G8778" t="str">
            <v>Xã Lộc Bắc</v>
          </cell>
          <cell r="I8778" t="str">
            <v>70313</v>
          </cell>
        </row>
        <row r="8779">
          <cell r="G8779" t="str">
            <v xml:space="preserve">Xã Lộc Tân </v>
          </cell>
          <cell r="I8779" t="str">
            <v>70313</v>
          </cell>
        </row>
        <row r="8780">
          <cell r="G8780" t="str">
            <v>Xã Lộc Thành</v>
          </cell>
          <cell r="I8780" t="str">
            <v>70313</v>
          </cell>
        </row>
        <row r="8781">
          <cell r="G8781" t="str">
            <v>Xã Lộc Bảo</v>
          </cell>
          <cell r="I8781" t="str">
            <v>70313</v>
          </cell>
        </row>
        <row r="8782">
          <cell r="G8782" t="str">
            <v>Xã Lộc Lâm</v>
          </cell>
          <cell r="I8782" t="str">
            <v>70313</v>
          </cell>
        </row>
        <row r="8783">
          <cell r="G8783" t="str">
            <v>Xã B- Lá</v>
          </cell>
          <cell r="I8783" t="str">
            <v>70313</v>
          </cell>
        </row>
        <row r="8784">
          <cell r="G8784" t="str">
            <v>Xã Lộc Ngãi</v>
          </cell>
          <cell r="I8784" t="str">
            <v>70313</v>
          </cell>
        </row>
        <row r="8785">
          <cell r="G8785" t="str">
            <v>Xã Lộc Quảng</v>
          </cell>
          <cell r="I8785" t="str">
            <v>70313</v>
          </cell>
        </row>
        <row r="8786">
          <cell r="G8786" t="str">
            <v>Xã Lộc Đức</v>
          </cell>
          <cell r="I8786" t="str">
            <v>70313</v>
          </cell>
        </row>
        <row r="8787">
          <cell r="G8787" t="str">
            <v xml:space="preserve">Xã Lộc An  </v>
          </cell>
          <cell r="I8787" t="str">
            <v>70313</v>
          </cell>
        </row>
        <row r="8788">
          <cell r="G8788" t="str">
            <v>Xã Tân Lạc</v>
          </cell>
          <cell r="I8788" t="str">
            <v>70313</v>
          </cell>
        </row>
        <row r="8789">
          <cell r="G8789" t="str">
            <v>Xã Lộc Nam</v>
          </cell>
          <cell r="I8789" t="str">
            <v>70313</v>
          </cell>
        </row>
        <row r="8790">
          <cell r="G8790" t="str">
            <v>Thị trấn Di Linh</v>
          </cell>
          <cell r="I8790" t="str">
            <v>70315</v>
          </cell>
        </row>
        <row r="8791">
          <cell r="G8791" t="str">
            <v>Xã Đinh Trang Hòa</v>
          </cell>
          <cell r="I8791" t="str">
            <v>70315</v>
          </cell>
        </row>
        <row r="8792">
          <cell r="G8792" t="str">
            <v>Xã Đinh Trang Thượng</v>
          </cell>
          <cell r="I8792" t="str">
            <v>70315</v>
          </cell>
        </row>
        <row r="8793">
          <cell r="G8793" t="str">
            <v>Xã Đinh Lạc</v>
          </cell>
          <cell r="I8793" t="str">
            <v>70315</v>
          </cell>
        </row>
        <row r="8794">
          <cell r="G8794" t="str">
            <v>Xã Gung Ré</v>
          </cell>
          <cell r="I8794" t="str">
            <v>70315</v>
          </cell>
        </row>
        <row r="8795">
          <cell r="G8795" t="str">
            <v xml:space="preserve">Xã Hòa Nam </v>
          </cell>
          <cell r="I8795" t="str">
            <v>70315</v>
          </cell>
        </row>
        <row r="8796">
          <cell r="G8796" t="str">
            <v xml:space="preserve">Xã Tân Thượng </v>
          </cell>
          <cell r="I8796" t="str">
            <v>70315</v>
          </cell>
        </row>
        <row r="8797">
          <cell r="G8797" t="str">
            <v xml:space="preserve">Xã Tân Châu </v>
          </cell>
          <cell r="I8797" t="str">
            <v>70315</v>
          </cell>
        </row>
        <row r="8798">
          <cell r="G8798" t="str">
            <v>Xã Tân Nghĩa</v>
          </cell>
          <cell r="I8798" t="str">
            <v>70315</v>
          </cell>
        </row>
        <row r="8799">
          <cell r="G8799" t="str">
            <v>Xã Gia Hiệp</v>
          </cell>
          <cell r="I8799" t="str">
            <v>70315</v>
          </cell>
        </row>
        <row r="8800">
          <cell r="G8800" t="str">
            <v>Xã Tam Bố</v>
          </cell>
          <cell r="I8800" t="str">
            <v>70315</v>
          </cell>
        </row>
        <row r="8801">
          <cell r="G8801" t="str">
            <v>Xã Liên Đầm</v>
          </cell>
          <cell r="I8801" t="str">
            <v>70315</v>
          </cell>
        </row>
        <row r="8802">
          <cell r="G8802" t="str">
            <v>Xã Bảo Thuận</v>
          </cell>
          <cell r="I8802" t="str">
            <v>70315</v>
          </cell>
        </row>
        <row r="8803">
          <cell r="G8803" t="str">
            <v xml:space="preserve">Xã Hòa Ninh </v>
          </cell>
          <cell r="I8803" t="str">
            <v>70315</v>
          </cell>
        </row>
        <row r="8804">
          <cell r="G8804" t="str">
            <v>Xã Hòa Trung</v>
          </cell>
          <cell r="I8804" t="str">
            <v>70315</v>
          </cell>
        </row>
        <row r="8805">
          <cell r="G8805" t="str">
            <v xml:space="preserve">Xã Hòa Bắc </v>
          </cell>
          <cell r="I8805" t="str">
            <v>70315</v>
          </cell>
        </row>
        <row r="8806">
          <cell r="G8806" t="str">
            <v>Xã Sơn Điền</v>
          </cell>
          <cell r="I8806" t="str">
            <v>70315</v>
          </cell>
        </row>
        <row r="8807">
          <cell r="G8807" t="str">
            <v>Xã Gia Bắc</v>
          </cell>
          <cell r="I8807" t="str">
            <v>70315</v>
          </cell>
        </row>
        <row r="8808">
          <cell r="G8808" t="str">
            <v>Xã Tân Lâm</v>
          </cell>
          <cell r="I8808" t="str">
            <v>70315</v>
          </cell>
        </row>
        <row r="8809">
          <cell r="G8809" t="str">
            <v>Thị trấn Ma Đa Guôi</v>
          </cell>
          <cell r="I8809" t="str">
            <v>70317</v>
          </cell>
        </row>
        <row r="8810">
          <cell r="G8810" t="str">
            <v>Xã Đạ M-ri</v>
          </cell>
          <cell r="I8810" t="str">
            <v>70317</v>
          </cell>
        </row>
        <row r="8811">
          <cell r="G8811" t="str">
            <v>Xã Đạ Ploa</v>
          </cell>
          <cell r="I8811" t="str">
            <v>70317</v>
          </cell>
        </row>
        <row r="8812">
          <cell r="G8812" t="str">
            <v xml:space="preserve">Xã Phước Lộc   </v>
          </cell>
          <cell r="I8812" t="str">
            <v>70317</v>
          </cell>
        </row>
        <row r="8813">
          <cell r="G8813" t="str">
            <v>Thị trấn Đạ M-ri</v>
          </cell>
          <cell r="I8813" t="str">
            <v>70317</v>
          </cell>
        </row>
        <row r="8814">
          <cell r="G8814" t="str">
            <v xml:space="preserve">Xã Hà Lâm </v>
          </cell>
          <cell r="I8814" t="str">
            <v>70317</v>
          </cell>
        </row>
        <row r="8815">
          <cell r="G8815" t="str">
            <v>Xã Đạ Tồn</v>
          </cell>
          <cell r="I8815" t="str">
            <v>70317</v>
          </cell>
        </row>
        <row r="8816">
          <cell r="G8816" t="str">
            <v>Xã Đạ Oai</v>
          </cell>
          <cell r="I8816" t="str">
            <v>70317</v>
          </cell>
        </row>
        <row r="8817">
          <cell r="G8817" t="str">
            <v>Xã Ma Đa Guôi</v>
          </cell>
          <cell r="I8817" t="str">
            <v>70317</v>
          </cell>
        </row>
        <row r="8818">
          <cell r="G8818" t="str">
            <v xml:space="preserve">Xã Đoàn Kết      </v>
          </cell>
          <cell r="I8818" t="str">
            <v>70317</v>
          </cell>
        </row>
        <row r="8819">
          <cell r="G8819" t="str">
            <v>Xã Đạ Lây</v>
          </cell>
          <cell r="I8819" t="str">
            <v>70319</v>
          </cell>
        </row>
        <row r="8820">
          <cell r="G8820" t="str">
            <v xml:space="preserve">Xã Mỹ Đức  </v>
          </cell>
          <cell r="I8820" t="str">
            <v>70319</v>
          </cell>
        </row>
        <row r="8821">
          <cell r="G8821" t="str">
            <v>Xã Triệu Hải</v>
          </cell>
          <cell r="I8821" t="str">
            <v>70319</v>
          </cell>
        </row>
        <row r="8822">
          <cell r="G8822" t="str">
            <v>Thị trấn Đạ Tẻh</v>
          </cell>
          <cell r="I8822" t="str">
            <v>70319</v>
          </cell>
        </row>
        <row r="8823">
          <cell r="G8823" t="str">
            <v>Xã An Nhơn</v>
          </cell>
          <cell r="I8823" t="str">
            <v>70319</v>
          </cell>
        </row>
        <row r="8824">
          <cell r="G8824" t="str">
            <v>Xã Quốc Oai</v>
          </cell>
          <cell r="I8824" t="str">
            <v>70319</v>
          </cell>
        </row>
        <row r="8825">
          <cell r="G8825" t="str">
            <v>Xã Quảng Trị</v>
          </cell>
          <cell r="I8825" t="str">
            <v>70319</v>
          </cell>
        </row>
        <row r="8826">
          <cell r="G8826" t="str">
            <v xml:space="preserve">Xã Hương Lâm   </v>
          </cell>
          <cell r="I8826" t="str">
            <v>70319</v>
          </cell>
        </row>
        <row r="8827">
          <cell r="G8827" t="str">
            <v xml:space="preserve">Xã Hà Đông  </v>
          </cell>
          <cell r="I8827" t="str">
            <v>70319</v>
          </cell>
        </row>
        <row r="8828">
          <cell r="G8828" t="str">
            <v>Xã Đạ Kho</v>
          </cell>
          <cell r="I8828" t="str">
            <v>70319</v>
          </cell>
        </row>
        <row r="8829">
          <cell r="G8829" t="str">
            <v>Xã Đạ Pal</v>
          </cell>
          <cell r="I8829" t="str">
            <v>70319</v>
          </cell>
        </row>
        <row r="8830">
          <cell r="G8830" t="str">
            <v>Xã Tư Nghĩa</v>
          </cell>
          <cell r="I8830" t="str">
            <v>70321</v>
          </cell>
        </row>
        <row r="8831">
          <cell r="G8831" t="str">
            <v>Thị trấn Cát Tiên</v>
          </cell>
          <cell r="I8831" t="str">
            <v>70321</v>
          </cell>
        </row>
        <row r="8832">
          <cell r="G8832" t="str">
            <v>Xã Mỹ Lâm</v>
          </cell>
          <cell r="I8832" t="str">
            <v>70321</v>
          </cell>
        </row>
        <row r="8833">
          <cell r="G8833" t="str">
            <v>Xã Đức Phổ</v>
          </cell>
          <cell r="I8833" t="str">
            <v>70321</v>
          </cell>
        </row>
        <row r="8834">
          <cell r="G8834" t="str">
            <v>Xã Tiên Hoàng</v>
          </cell>
          <cell r="I8834" t="str">
            <v>70321</v>
          </cell>
        </row>
        <row r="8835">
          <cell r="G8835" t="str">
            <v>Xã Phước Cát 2</v>
          </cell>
          <cell r="I8835" t="str">
            <v>70321</v>
          </cell>
        </row>
        <row r="8836">
          <cell r="G8836" t="str">
            <v>Xã Gia Viễn</v>
          </cell>
          <cell r="I8836" t="str">
            <v>70321</v>
          </cell>
        </row>
        <row r="8837">
          <cell r="G8837" t="str">
            <v>Xã Nam Ninh</v>
          </cell>
          <cell r="I8837" t="str">
            <v>70321</v>
          </cell>
        </row>
        <row r="8838">
          <cell r="G8838" t="str">
            <v>Xã Phước Cát 1</v>
          </cell>
          <cell r="I8838" t="str">
            <v>70321</v>
          </cell>
        </row>
        <row r="8839">
          <cell r="G8839" t="str">
            <v>Xã Quảng Ngãi</v>
          </cell>
          <cell r="I8839" t="str">
            <v>70321</v>
          </cell>
        </row>
        <row r="8840">
          <cell r="G8840" t="str">
            <v>Xã Đồng Nai Thượng</v>
          </cell>
          <cell r="I8840" t="str">
            <v>70321</v>
          </cell>
        </row>
        <row r="8841">
          <cell r="G8841" t="str">
            <v>Xã Đạ Long</v>
          </cell>
          <cell r="I8841" t="str">
            <v>70323</v>
          </cell>
        </row>
        <row r="8842">
          <cell r="G8842" t="str">
            <v>Xã Rô Men</v>
          </cell>
          <cell r="I8842" t="str">
            <v>70323</v>
          </cell>
        </row>
        <row r="8843">
          <cell r="G8843" t="str">
            <v>Xã Đạ Tông</v>
          </cell>
          <cell r="I8843" t="str">
            <v>70323</v>
          </cell>
        </row>
        <row r="8844">
          <cell r="G8844" t="str">
            <v>Xã Đạ M Rong</v>
          </cell>
          <cell r="I8844" t="str">
            <v>70323</v>
          </cell>
        </row>
        <row r="8845">
          <cell r="G8845" t="str">
            <v>Xã Liêng Srônh</v>
          </cell>
          <cell r="I8845" t="str">
            <v>70323</v>
          </cell>
        </row>
        <row r="8846">
          <cell r="G8846" t="str">
            <v>Xã Đạ RSal</v>
          </cell>
          <cell r="I8846" t="str">
            <v>70323</v>
          </cell>
        </row>
        <row r="8847">
          <cell r="G8847" t="str">
            <v>Xã Phi Liêng</v>
          </cell>
          <cell r="I8847" t="str">
            <v>70323</v>
          </cell>
        </row>
        <row r="8848">
          <cell r="G8848" t="str">
            <v>Xã Đạ K Nàng</v>
          </cell>
          <cell r="I8848" t="str">
            <v>70323</v>
          </cell>
        </row>
        <row r="8849">
          <cell r="G8849" t="str">
            <v>Xã Thành Hải</v>
          </cell>
          <cell r="I8849" t="str">
            <v>70501</v>
          </cell>
        </row>
        <row r="8850">
          <cell r="G8850" t="str">
            <v>Phường Bảo An</v>
          </cell>
          <cell r="I8850" t="str">
            <v>70501</v>
          </cell>
        </row>
        <row r="8851">
          <cell r="G8851" t="str">
            <v>Phường Tấn Tài</v>
          </cell>
          <cell r="I8851" t="str">
            <v>70501</v>
          </cell>
        </row>
        <row r="8852">
          <cell r="G8852" t="str">
            <v xml:space="preserve">Phường Đông Hải  </v>
          </cell>
          <cell r="I8852" t="str">
            <v>70501</v>
          </cell>
        </row>
        <row r="8853">
          <cell r="G8853" t="str">
            <v>Phường Đô Vinh</v>
          </cell>
          <cell r="I8853" t="str">
            <v>70501</v>
          </cell>
        </row>
        <row r="8854">
          <cell r="G8854" t="str">
            <v xml:space="preserve">Phường Phước Mỹ </v>
          </cell>
          <cell r="I8854" t="str">
            <v>70501</v>
          </cell>
        </row>
        <row r="8855">
          <cell r="G8855" t="str">
            <v>Phường Phủ Hà</v>
          </cell>
          <cell r="I8855" t="str">
            <v>70501</v>
          </cell>
        </row>
        <row r="8856">
          <cell r="G8856" t="str">
            <v xml:space="preserve">Phường Thanh Sơn </v>
          </cell>
          <cell r="I8856" t="str">
            <v>70501</v>
          </cell>
        </row>
        <row r="8857">
          <cell r="G8857" t="str">
            <v>Phường Mỹ Hương</v>
          </cell>
          <cell r="I8857" t="str">
            <v>70501</v>
          </cell>
        </row>
        <row r="8858">
          <cell r="G8858" t="str">
            <v>Phường Kinh Dinh</v>
          </cell>
          <cell r="I8858" t="str">
            <v>70501</v>
          </cell>
        </row>
        <row r="8859">
          <cell r="G8859" t="str">
            <v>Phường Đạo Long</v>
          </cell>
          <cell r="I8859" t="str">
            <v>70501</v>
          </cell>
        </row>
        <row r="8860">
          <cell r="G8860" t="str">
            <v>Phường Đài Sơn</v>
          </cell>
          <cell r="I8860" t="str">
            <v>70501</v>
          </cell>
        </row>
        <row r="8861">
          <cell r="G8861" t="str">
            <v>Phường Mỹ Đông</v>
          </cell>
          <cell r="I8861" t="str">
            <v>70501</v>
          </cell>
        </row>
        <row r="8862">
          <cell r="G8862" t="str">
            <v>Phường Văn Hải</v>
          </cell>
          <cell r="I8862" t="str">
            <v>70501</v>
          </cell>
        </row>
        <row r="8863">
          <cell r="G8863" t="str">
            <v>Phường Mỹ Hải</v>
          </cell>
          <cell r="I8863" t="str">
            <v>70501</v>
          </cell>
        </row>
        <row r="8864">
          <cell r="G8864" t="str">
            <v>Phường Mỹ Bình</v>
          </cell>
          <cell r="I8864" t="str">
            <v>70501</v>
          </cell>
        </row>
        <row r="8865">
          <cell r="G8865" t="str">
            <v xml:space="preserve">Xã Hòa Sơn      </v>
          </cell>
          <cell r="I8865" t="str">
            <v>70503</v>
          </cell>
        </row>
        <row r="8866">
          <cell r="G8866" t="str">
            <v>Thị trấn Tân Sơn</v>
          </cell>
          <cell r="I8866" t="str">
            <v>70503</v>
          </cell>
        </row>
        <row r="8867">
          <cell r="G8867" t="str">
            <v xml:space="preserve">Xã Lâm Sơn  </v>
          </cell>
          <cell r="I8867" t="str">
            <v>70503</v>
          </cell>
        </row>
        <row r="8868">
          <cell r="G8868" t="str">
            <v xml:space="preserve">Xã Lương Sơn    </v>
          </cell>
          <cell r="I8868" t="str">
            <v>70503</v>
          </cell>
        </row>
        <row r="8869">
          <cell r="G8869" t="str">
            <v xml:space="preserve">Xã Quảng Sơn   </v>
          </cell>
          <cell r="I8869" t="str">
            <v>70503</v>
          </cell>
        </row>
        <row r="8870">
          <cell r="G8870" t="str">
            <v xml:space="preserve">Xã Mỹ Sơn </v>
          </cell>
          <cell r="I8870" t="str">
            <v>70503</v>
          </cell>
        </row>
        <row r="8871">
          <cell r="G8871" t="str">
            <v>Xã Ma Nới</v>
          </cell>
          <cell r="I8871" t="str">
            <v>70503</v>
          </cell>
        </row>
        <row r="8872">
          <cell r="G8872" t="str">
            <v>Xã Nhơn Sơn</v>
          </cell>
          <cell r="I8872" t="str">
            <v>70503</v>
          </cell>
        </row>
        <row r="8873">
          <cell r="G8873" t="str">
            <v>Xã Tân Hải</v>
          </cell>
          <cell r="I8873" t="str">
            <v>70505</v>
          </cell>
        </row>
        <row r="8874">
          <cell r="G8874" t="str">
            <v>Xã Hộ Hải</v>
          </cell>
          <cell r="I8874" t="str">
            <v>70505</v>
          </cell>
        </row>
        <row r="8875">
          <cell r="G8875" t="str">
            <v>Thị trấn Khánh Hải</v>
          </cell>
          <cell r="I8875" t="str">
            <v>70505</v>
          </cell>
        </row>
        <row r="8876">
          <cell r="G8876" t="str">
            <v>Xã Vĩnh Hải</v>
          </cell>
          <cell r="I8876" t="str">
            <v>70505</v>
          </cell>
        </row>
        <row r="8877">
          <cell r="G8877" t="str">
            <v>Xã Phương Hải</v>
          </cell>
          <cell r="I8877" t="str">
            <v>70505</v>
          </cell>
        </row>
        <row r="8878">
          <cell r="G8878" t="str">
            <v xml:space="preserve">Xã Xuân Hải  </v>
          </cell>
          <cell r="I8878" t="str">
            <v>70505</v>
          </cell>
        </row>
        <row r="8879">
          <cell r="G8879" t="str">
            <v>Xã Tri Hải</v>
          </cell>
          <cell r="I8879" t="str">
            <v>70505</v>
          </cell>
        </row>
        <row r="8880">
          <cell r="G8880" t="str">
            <v xml:space="preserve">Xã Nhơn Hải </v>
          </cell>
          <cell r="I8880" t="str">
            <v>70505</v>
          </cell>
        </row>
        <row r="8881">
          <cell r="G8881" t="str">
            <v xml:space="preserve">Xã Thanh Hải   </v>
          </cell>
          <cell r="I8881" t="str">
            <v>70505</v>
          </cell>
        </row>
        <row r="8882">
          <cell r="G8882" t="str">
            <v xml:space="preserve">Xã An Hải  </v>
          </cell>
          <cell r="I8882" t="str">
            <v>70507</v>
          </cell>
        </row>
        <row r="8883">
          <cell r="G8883" t="str">
            <v>Xã Phước Vinh</v>
          </cell>
          <cell r="I8883" t="str">
            <v>70507</v>
          </cell>
        </row>
        <row r="8884">
          <cell r="G8884" t="str">
            <v xml:space="preserve">Xã Phước Thuận </v>
          </cell>
          <cell r="I8884" t="str">
            <v>70507</v>
          </cell>
        </row>
        <row r="8885">
          <cell r="G8885" t="str">
            <v>Xã Phước Hải</v>
          </cell>
          <cell r="I8885" t="str">
            <v>70507</v>
          </cell>
        </row>
        <row r="8886">
          <cell r="G8886" t="str">
            <v>Xã Phước Minh</v>
          </cell>
          <cell r="I8886" t="str">
            <v>70507</v>
          </cell>
        </row>
        <row r="8887">
          <cell r="G8887" t="str">
            <v>Thị trấn Phước Dân</v>
          </cell>
          <cell r="I8887" t="str">
            <v>70507</v>
          </cell>
        </row>
        <row r="8888">
          <cell r="G8888" t="str">
            <v xml:space="preserve">Xã Phước Sơn </v>
          </cell>
          <cell r="I8888" t="str">
            <v>70507</v>
          </cell>
        </row>
        <row r="8889">
          <cell r="G8889" t="str">
            <v>Xã Phước Thái</v>
          </cell>
          <cell r="I8889" t="str">
            <v>70507</v>
          </cell>
        </row>
        <row r="8890">
          <cell r="G8890" t="str">
            <v>Xã Phước Hậu</v>
          </cell>
          <cell r="I8890" t="str">
            <v>70507</v>
          </cell>
        </row>
        <row r="8891">
          <cell r="G8891" t="str">
            <v>Xã Phước Hà</v>
          </cell>
          <cell r="I8891" t="str">
            <v>70507</v>
          </cell>
        </row>
        <row r="8892">
          <cell r="G8892" t="str">
            <v>Xã Phước Hữu</v>
          </cell>
          <cell r="I8892" t="str">
            <v>70507</v>
          </cell>
        </row>
        <row r="8893">
          <cell r="G8893" t="str">
            <v>Xã Phước Nam</v>
          </cell>
          <cell r="I8893" t="str">
            <v>70507</v>
          </cell>
        </row>
        <row r="8894">
          <cell r="G8894" t="str">
            <v>Xã Nhị Hà</v>
          </cell>
          <cell r="I8894" t="str">
            <v>70507</v>
          </cell>
        </row>
        <row r="8895">
          <cell r="G8895" t="str">
            <v>Xã Phước Dinh</v>
          </cell>
          <cell r="I8895" t="str">
            <v>70507</v>
          </cell>
        </row>
        <row r="8896">
          <cell r="G8896" t="str">
            <v>Xã Phước Diêm</v>
          </cell>
          <cell r="I8896" t="str">
            <v>70507</v>
          </cell>
        </row>
        <row r="8897">
          <cell r="G8897" t="str">
            <v>Xã Phước Bình</v>
          </cell>
          <cell r="I8897" t="str">
            <v>70509</v>
          </cell>
        </row>
        <row r="8898">
          <cell r="G8898" t="str">
            <v xml:space="preserve">Xã Phước Thắng </v>
          </cell>
          <cell r="I8898" t="str">
            <v>70509</v>
          </cell>
        </row>
        <row r="8899">
          <cell r="G8899" t="str">
            <v>Xã Phước Trung</v>
          </cell>
          <cell r="I8899" t="str">
            <v>70509</v>
          </cell>
        </row>
        <row r="8900">
          <cell r="G8900" t="str">
            <v xml:space="preserve">Xã Phước Hòa  </v>
          </cell>
          <cell r="I8900" t="str">
            <v>70509</v>
          </cell>
        </row>
        <row r="8901">
          <cell r="G8901" t="str">
            <v xml:space="preserve">Xã Phước Tân </v>
          </cell>
          <cell r="I8901" t="str">
            <v>70509</v>
          </cell>
        </row>
        <row r="8902">
          <cell r="G8902" t="str">
            <v>Xã Phước Tiến</v>
          </cell>
          <cell r="I8902" t="str">
            <v>70509</v>
          </cell>
        </row>
        <row r="8903">
          <cell r="G8903" t="str">
            <v xml:space="preserve">Xã Phước Thành  </v>
          </cell>
          <cell r="I8903" t="str">
            <v>70509</v>
          </cell>
        </row>
        <row r="8904">
          <cell r="G8904" t="str">
            <v>Xã Phước Đại</v>
          </cell>
          <cell r="I8904" t="str">
            <v>70509</v>
          </cell>
        </row>
        <row r="8905">
          <cell r="G8905" t="str">
            <v>Xã Phước Chính</v>
          </cell>
          <cell r="I8905" t="str">
            <v>70509</v>
          </cell>
        </row>
        <row r="8906">
          <cell r="G8906" t="str">
            <v>Xã Lợi Hải</v>
          </cell>
          <cell r="I8906" t="str">
            <v>70511</v>
          </cell>
        </row>
        <row r="8907">
          <cell r="G8907" t="str">
            <v>Xã Công Hải</v>
          </cell>
          <cell r="I8907" t="str">
            <v>70511</v>
          </cell>
        </row>
        <row r="8908">
          <cell r="G8908" t="str">
            <v>Xã Phước Chiến</v>
          </cell>
          <cell r="I8908" t="str">
            <v>70511</v>
          </cell>
        </row>
        <row r="8909">
          <cell r="G8909" t="str">
            <v>Xã Phước Kháng</v>
          </cell>
          <cell r="I8909" t="str">
            <v>70511</v>
          </cell>
        </row>
        <row r="8910">
          <cell r="G8910" t="str">
            <v xml:space="preserve">Xã Bắc Sơn            </v>
          </cell>
          <cell r="I8910" t="str">
            <v>70511</v>
          </cell>
        </row>
        <row r="8911">
          <cell r="G8911" t="str">
            <v xml:space="preserve">Xã Bắc Phong  </v>
          </cell>
          <cell r="I8911" t="str">
            <v>70511</v>
          </cell>
        </row>
        <row r="8912">
          <cell r="G8912" t="str">
            <v>Xã Cà Ná</v>
          </cell>
          <cell r="I8912" t="str">
            <v>70513</v>
          </cell>
        </row>
        <row r="8913">
          <cell r="G8913" t="str">
            <v xml:space="preserve">Xã Phước Diêm </v>
          </cell>
          <cell r="I8913" t="str">
            <v>70513</v>
          </cell>
        </row>
        <row r="8914">
          <cell r="G8914" t="str">
            <v xml:space="preserve">Xã Phước Ninh </v>
          </cell>
          <cell r="I8914" t="str">
            <v>70513</v>
          </cell>
        </row>
        <row r="8915">
          <cell r="G8915" t="str">
            <v xml:space="preserve">Xã Phước Nam </v>
          </cell>
          <cell r="I8915" t="str">
            <v>70513</v>
          </cell>
        </row>
        <row r="8916">
          <cell r="G8916" t="str">
            <v xml:space="preserve">Xã Phước Minh </v>
          </cell>
          <cell r="I8916" t="str">
            <v>70513</v>
          </cell>
        </row>
        <row r="8917">
          <cell r="G8917" t="str">
            <v xml:space="preserve">Xã Phước Dinh </v>
          </cell>
          <cell r="I8917" t="str">
            <v>70513</v>
          </cell>
        </row>
        <row r="8918">
          <cell r="G8918" t="str">
            <v xml:space="preserve">Xã Nhị Hà </v>
          </cell>
          <cell r="I8918" t="str">
            <v>70513</v>
          </cell>
        </row>
        <row r="8919">
          <cell r="G8919" t="str">
            <v xml:space="preserve">Xã Phước Hà </v>
          </cell>
          <cell r="I8919" t="str">
            <v>70513</v>
          </cell>
        </row>
        <row r="8920">
          <cell r="G8920" t="str">
            <v>Xã Tân Phước</v>
          </cell>
          <cell r="I8920" t="str">
            <v>70701</v>
          </cell>
        </row>
        <row r="8921">
          <cell r="G8921" t="str">
            <v xml:space="preserve">Xã Đồng Tâm      </v>
          </cell>
          <cell r="I8921" t="str">
            <v>70701</v>
          </cell>
        </row>
        <row r="8922">
          <cell r="G8922" t="str">
            <v xml:space="preserve">Xã Tân Lập                  </v>
          </cell>
          <cell r="I8922" t="str">
            <v>70701</v>
          </cell>
        </row>
        <row r="8923">
          <cell r="G8923" t="str">
            <v xml:space="preserve">Xã Tân Tiến             </v>
          </cell>
          <cell r="I8923" t="str">
            <v>70701</v>
          </cell>
        </row>
        <row r="8924">
          <cell r="G8924" t="str">
            <v>Thị trấn Tân Phú</v>
          </cell>
          <cell r="I8924" t="str">
            <v>70701</v>
          </cell>
        </row>
        <row r="8925">
          <cell r="G8925" t="str">
            <v>Xã Thuận Lợi</v>
          </cell>
          <cell r="I8925" t="str">
            <v>70701</v>
          </cell>
        </row>
        <row r="8926">
          <cell r="G8926" t="str">
            <v xml:space="preserve">Xã Tân Hưng      </v>
          </cell>
          <cell r="I8926" t="str">
            <v>70701</v>
          </cell>
        </row>
        <row r="8927">
          <cell r="G8927" t="str">
            <v xml:space="preserve">Xã Tân lợi </v>
          </cell>
          <cell r="I8927" t="str">
            <v>70701</v>
          </cell>
        </row>
        <row r="8928">
          <cell r="G8928" t="str">
            <v xml:space="preserve">Xã Tân Hòa      </v>
          </cell>
          <cell r="I8928" t="str">
            <v>70701</v>
          </cell>
        </row>
        <row r="8929">
          <cell r="G8929" t="str">
            <v>Xã Thuận Phú</v>
          </cell>
          <cell r="I8929" t="str">
            <v>70701</v>
          </cell>
        </row>
        <row r="8930">
          <cell r="G8930" t="str">
            <v xml:space="preserve">Xã Đồng Tiến         </v>
          </cell>
          <cell r="I8930" t="str">
            <v>70701</v>
          </cell>
        </row>
        <row r="8931">
          <cell r="G8931" t="str">
            <v xml:space="preserve">Phường Phước Bình </v>
          </cell>
          <cell r="I8931" t="str">
            <v>70703</v>
          </cell>
        </row>
        <row r="8932">
          <cell r="G8932" t="str">
            <v>Phường Thác Mơ</v>
          </cell>
          <cell r="I8932" t="str">
            <v>70703</v>
          </cell>
        </row>
        <row r="8933">
          <cell r="G8933" t="str">
            <v>Phường Sơn Giang</v>
          </cell>
          <cell r="I8933" t="str">
            <v>70703</v>
          </cell>
        </row>
        <row r="8934">
          <cell r="G8934" t="str">
            <v>Xã Phước Tín</v>
          </cell>
          <cell r="I8934" t="str">
            <v>70703</v>
          </cell>
        </row>
        <row r="8935">
          <cell r="G8935" t="str">
            <v>Phường Long Thuỷ</v>
          </cell>
          <cell r="I8935" t="str">
            <v>70703</v>
          </cell>
        </row>
        <row r="8936">
          <cell r="G8936" t="str">
            <v xml:space="preserve">Phường Long Phước </v>
          </cell>
          <cell r="I8936" t="str">
            <v>70703</v>
          </cell>
        </row>
        <row r="8937">
          <cell r="G8937" t="str">
            <v>Xã Long Giang</v>
          </cell>
          <cell r="I8937" t="str">
            <v>70703</v>
          </cell>
        </row>
        <row r="8938">
          <cell r="G8938" t="str">
            <v xml:space="preserve">Xã Lộc Điền </v>
          </cell>
          <cell r="I8938" t="str">
            <v>70705</v>
          </cell>
        </row>
        <row r="8939">
          <cell r="G8939" t="str">
            <v>Xã Lộc Tấn</v>
          </cell>
          <cell r="I8939" t="str">
            <v>70705</v>
          </cell>
        </row>
        <row r="8940">
          <cell r="G8940" t="str">
            <v>Xã Lộc Hiệp</v>
          </cell>
          <cell r="I8940" t="str">
            <v>70705</v>
          </cell>
        </row>
        <row r="8941">
          <cell r="G8941" t="str">
            <v>Xã Lộc Thiện</v>
          </cell>
          <cell r="I8941" t="str">
            <v>70705</v>
          </cell>
        </row>
        <row r="8942">
          <cell r="G8942" t="str">
            <v>Xã Lộc Thuận</v>
          </cell>
          <cell r="I8942" t="str">
            <v>70705</v>
          </cell>
        </row>
        <row r="8943">
          <cell r="G8943" t="str">
            <v>Xã Lộc Quang</v>
          </cell>
          <cell r="I8943" t="str">
            <v>70705</v>
          </cell>
        </row>
        <row r="8944">
          <cell r="G8944" t="str">
            <v xml:space="preserve">Xã Lộc Thành </v>
          </cell>
          <cell r="I8944" t="str">
            <v>70705</v>
          </cell>
        </row>
        <row r="8945">
          <cell r="G8945" t="str">
            <v>Xã Lộc Thái</v>
          </cell>
          <cell r="I8945" t="str">
            <v>70705</v>
          </cell>
        </row>
        <row r="8946">
          <cell r="G8946" t="str">
            <v>Xã Lộc Hưng</v>
          </cell>
          <cell r="I8946" t="str">
            <v>70705</v>
          </cell>
        </row>
        <row r="8947">
          <cell r="G8947" t="str">
            <v>Xã Lộc Khánh</v>
          </cell>
          <cell r="I8947" t="str">
            <v>70705</v>
          </cell>
        </row>
        <row r="8948">
          <cell r="G8948" t="str">
            <v>Thị trấn Lộc Ninh</v>
          </cell>
          <cell r="I8948" t="str">
            <v>70705</v>
          </cell>
        </row>
        <row r="8949">
          <cell r="G8949" t="str">
            <v xml:space="preserve">Xã Lộc Hòa  </v>
          </cell>
          <cell r="I8949" t="str">
            <v>70705</v>
          </cell>
        </row>
        <row r="8950">
          <cell r="G8950" t="str">
            <v xml:space="preserve">Xã Lộc An   </v>
          </cell>
          <cell r="I8950" t="str">
            <v>70705</v>
          </cell>
        </row>
        <row r="8951">
          <cell r="G8951" t="str">
            <v xml:space="preserve">Xã Lộc Thịnh </v>
          </cell>
          <cell r="I8951" t="str">
            <v>70705</v>
          </cell>
        </row>
        <row r="8952">
          <cell r="G8952" t="str">
            <v>Xã Lộc Thạnh</v>
          </cell>
          <cell r="I8952" t="str">
            <v>70705</v>
          </cell>
        </row>
        <row r="8953">
          <cell r="G8953" t="str">
            <v xml:space="preserve">Xã Lộc Phú </v>
          </cell>
          <cell r="I8953" t="str">
            <v>70705</v>
          </cell>
        </row>
        <row r="8954">
          <cell r="G8954" t="str">
            <v>Xã Hưng Phước</v>
          </cell>
          <cell r="I8954" t="str">
            <v>70706</v>
          </cell>
        </row>
        <row r="8955">
          <cell r="G8955" t="str">
            <v xml:space="preserve">Xã Tân Tiến              </v>
          </cell>
          <cell r="I8955" t="str">
            <v>70706</v>
          </cell>
        </row>
        <row r="8956">
          <cell r="G8956" t="str">
            <v>Xã Thiện Hưng</v>
          </cell>
          <cell r="I8956" t="str">
            <v>70706</v>
          </cell>
        </row>
        <row r="8957">
          <cell r="G8957" t="str">
            <v xml:space="preserve">Xã Thanh Hòa  </v>
          </cell>
          <cell r="I8957" t="str">
            <v>70706</v>
          </cell>
        </row>
        <row r="8958">
          <cell r="G8958" t="str">
            <v xml:space="preserve">Xã Tân Thành              </v>
          </cell>
          <cell r="I8958" t="str">
            <v>70706</v>
          </cell>
        </row>
        <row r="8959">
          <cell r="G8959" t="str">
            <v>Xã Phước Thiện</v>
          </cell>
          <cell r="I8959" t="str">
            <v>70706</v>
          </cell>
        </row>
        <row r="8960">
          <cell r="G8960" t="str">
            <v>TT Thanh Bình</v>
          </cell>
          <cell r="I8960" t="str">
            <v>70706</v>
          </cell>
        </row>
        <row r="8961">
          <cell r="G8961" t="str">
            <v xml:space="preserve">Xã Minh Hưng </v>
          </cell>
          <cell r="I8961" t="str">
            <v>70707</v>
          </cell>
        </row>
        <row r="8962">
          <cell r="G8962" t="str">
            <v>Xã Bom Bo</v>
          </cell>
          <cell r="I8962" t="str">
            <v>70707</v>
          </cell>
        </row>
        <row r="8963">
          <cell r="G8963" t="str">
            <v>Xã Đồng Nai</v>
          </cell>
          <cell r="I8963" t="str">
            <v>70707</v>
          </cell>
        </row>
        <row r="8964">
          <cell r="G8964" t="str">
            <v>Xã Đăng Hà</v>
          </cell>
          <cell r="I8964" t="str">
            <v>70707</v>
          </cell>
        </row>
        <row r="8965">
          <cell r="G8965" t="str">
            <v>Thị trấn Đức Phong</v>
          </cell>
          <cell r="I8965" t="str">
            <v>70707</v>
          </cell>
        </row>
        <row r="8966">
          <cell r="G8966" t="str">
            <v>Xã Đắk Nhau</v>
          </cell>
          <cell r="I8966" t="str">
            <v>70707</v>
          </cell>
        </row>
        <row r="8967">
          <cell r="G8967" t="str">
            <v>Xã Đường 10</v>
          </cell>
          <cell r="I8967" t="str">
            <v>70707</v>
          </cell>
        </row>
        <row r="8968">
          <cell r="G8968" t="str">
            <v xml:space="preserve">Xã Thọ Sơn  </v>
          </cell>
          <cell r="I8968" t="str">
            <v>70707</v>
          </cell>
        </row>
        <row r="8969">
          <cell r="G8969" t="str">
            <v xml:space="preserve">Xã Đoàn Kết       </v>
          </cell>
          <cell r="I8969" t="str">
            <v>70707</v>
          </cell>
        </row>
        <row r="8970">
          <cell r="G8970" t="str">
            <v>Xã Đức Liễu</v>
          </cell>
          <cell r="I8970" t="str">
            <v>70707</v>
          </cell>
        </row>
        <row r="8971">
          <cell r="G8971" t="str">
            <v xml:space="preserve">Xã Thống Nhất     </v>
          </cell>
          <cell r="I8971" t="str">
            <v>70707</v>
          </cell>
        </row>
        <row r="8972">
          <cell r="G8972" t="str">
            <v xml:space="preserve">Xã Nghĩa Trung    </v>
          </cell>
          <cell r="I8972" t="str">
            <v>70707</v>
          </cell>
        </row>
        <row r="8973">
          <cell r="G8973" t="str">
            <v xml:space="preserve">Xã Phước Sơn  </v>
          </cell>
          <cell r="I8973" t="str">
            <v>70707</v>
          </cell>
        </row>
        <row r="8974">
          <cell r="G8974" t="str">
            <v xml:space="preserve">Xã Phú Sơn       </v>
          </cell>
          <cell r="I8974" t="str">
            <v>70707</v>
          </cell>
        </row>
        <row r="8975">
          <cell r="G8975" t="str">
            <v xml:space="preserve">Xã Bình Minh        </v>
          </cell>
          <cell r="I8975" t="str">
            <v>70707</v>
          </cell>
        </row>
        <row r="8976">
          <cell r="G8976" t="str">
            <v xml:space="preserve">Xã Nghĩa Bình   </v>
          </cell>
          <cell r="I8976" t="str">
            <v>70707</v>
          </cell>
        </row>
        <row r="8977">
          <cell r="G8977" t="str">
            <v xml:space="preserve">Xã Thanh Phú </v>
          </cell>
          <cell r="I8977" t="str">
            <v>70709</v>
          </cell>
        </row>
        <row r="8978">
          <cell r="G8978" t="str">
            <v xml:space="preserve">Xã Thanh Lương    </v>
          </cell>
          <cell r="I8978" t="str">
            <v>70709</v>
          </cell>
        </row>
        <row r="8979">
          <cell r="G8979" t="str">
            <v>Phường An Lộc</v>
          </cell>
          <cell r="I8979" t="str">
            <v>70709</v>
          </cell>
        </row>
        <row r="8980">
          <cell r="G8980" t="str">
            <v>Phường Hưng Chiến</v>
          </cell>
          <cell r="I8980" t="str">
            <v>70709</v>
          </cell>
        </row>
        <row r="8981">
          <cell r="G8981" t="str">
            <v xml:space="preserve">Phường Phú Thịnh </v>
          </cell>
          <cell r="I8981" t="str">
            <v>70709</v>
          </cell>
        </row>
        <row r="8982">
          <cell r="G8982" t="str">
            <v>Phường Phú Đức</v>
          </cell>
          <cell r="I8982" t="str">
            <v>70709</v>
          </cell>
        </row>
        <row r="8983">
          <cell r="G8983" t="str">
            <v xml:space="preserve">Xã Minh Long </v>
          </cell>
          <cell r="I8983" t="str">
            <v>70710</v>
          </cell>
        </row>
        <row r="8984">
          <cell r="G8984" t="str">
            <v xml:space="preserve">Xã Quang Minh      </v>
          </cell>
          <cell r="I8984" t="str">
            <v>70710</v>
          </cell>
        </row>
        <row r="8985">
          <cell r="G8985" t="str">
            <v>Xã Nha Bích</v>
          </cell>
          <cell r="I8985" t="str">
            <v>70710</v>
          </cell>
        </row>
        <row r="8986">
          <cell r="G8986" t="str">
            <v>Thị trấn Chơn Thành</v>
          </cell>
          <cell r="I8986" t="str">
            <v>70710</v>
          </cell>
        </row>
        <row r="8987">
          <cell r="G8987" t="str">
            <v xml:space="preserve">Xã Minh Lập </v>
          </cell>
          <cell r="I8987" t="str">
            <v>70710</v>
          </cell>
        </row>
        <row r="8988">
          <cell r="G8988" t="str">
            <v xml:space="preserve">Xã Minh Hưng  </v>
          </cell>
          <cell r="I8988" t="str">
            <v>70710</v>
          </cell>
        </row>
        <row r="8989">
          <cell r="G8989" t="str">
            <v xml:space="preserve">Xã Minh Thành </v>
          </cell>
          <cell r="I8989" t="str">
            <v>70710</v>
          </cell>
        </row>
        <row r="8990">
          <cell r="G8990" t="str">
            <v>Xã Minh Thắng</v>
          </cell>
          <cell r="I8990" t="str">
            <v>70710</v>
          </cell>
        </row>
        <row r="8991">
          <cell r="G8991" t="str">
            <v xml:space="preserve">Xã Thành Tâm </v>
          </cell>
          <cell r="I8991" t="str">
            <v>70710</v>
          </cell>
        </row>
        <row r="8992">
          <cell r="G8992" t="str">
            <v xml:space="preserve">Phường Tân Phú  </v>
          </cell>
          <cell r="I8992" t="str">
            <v>70711</v>
          </cell>
        </row>
        <row r="8993">
          <cell r="G8993" t="str">
            <v xml:space="preserve">Xã Tân Thành               </v>
          </cell>
          <cell r="I8993" t="str">
            <v>70711</v>
          </cell>
        </row>
        <row r="8994">
          <cell r="G8994" t="str">
            <v>Phường Tân Đồng</v>
          </cell>
          <cell r="I8994" t="str">
            <v>70711</v>
          </cell>
        </row>
        <row r="8995">
          <cell r="G8995" t="str">
            <v xml:space="preserve">Phường Tân Bình  </v>
          </cell>
          <cell r="I8995" t="str">
            <v>70711</v>
          </cell>
        </row>
        <row r="8996">
          <cell r="G8996" t="str">
            <v>Phường Tân Xuân</v>
          </cell>
          <cell r="I8996" t="str">
            <v>70711</v>
          </cell>
        </row>
        <row r="8997">
          <cell r="G8997" t="str">
            <v xml:space="preserve">Xã Tiến Thành </v>
          </cell>
          <cell r="I8997" t="str">
            <v>70711</v>
          </cell>
        </row>
        <row r="8998">
          <cell r="G8998" t="str">
            <v>Xã Tiến Hưng</v>
          </cell>
          <cell r="I8998" t="str">
            <v>70711</v>
          </cell>
        </row>
        <row r="8999">
          <cell r="G8999" t="str">
            <v>Phường Tân Thiện</v>
          </cell>
          <cell r="I8999" t="str">
            <v>70711</v>
          </cell>
        </row>
        <row r="9000">
          <cell r="G9000" t="str">
            <v xml:space="preserve">Xã Tân Hưng       </v>
          </cell>
          <cell r="I9000" t="str">
            <v>70713</v>
          </cell>
        </row>
        <row r="9001">
          <cell r="G9001" t="str">
            <v>Xã Tân Khai</v>
          </cell>
          <cell r="I9001" t="str">
            <v>70713</v>
          </cell>
        </row>
        <row r="9002">
          <cell r="G9002" t="str">
            <v xml:space="preserve">Xã Thanh An    </v>
          </cell>
          <cell r="I9002" t="str">
            <v>70713</v>
          </cell>
        </row>
        <row r="9003">
          <cell r="G9003" t="str">
            <v>Xã An Khương</v>
          </cell>
          <cell r="I9003" t="str">
            <v>70713</v>
          </cell>
        </row>
        <row r="9004">
          <cell r="G9004" t="str">
            <v xml:space="preserve">Xã An Phú     </v>
          </cell>
          <cell r="I9004" t="str">
            <v>70713</v>
          </cell>
        </row>
        <row r="9005">
          <cell r="G9005" t="str">
            <v xml:space="preserve">Xã Tân Lợi  </v>
          </cell>
          <cell r="I9005" t="str">
            <v>70713</v>
          </cell>
        </row>
        <row r="9006">
          <cell r="G9006" t="str">
            <v xml:space="preserve">Xã Minh Đức     </v>
          </cell>
          <cell r="I9006" t="str">
            <v>70713</v>
          </cell>
        </row>
        <row r="9007">
          <cell r="G9007" t="str">
            <v xml:space="preserve">Xã Phước An </v>
          </cell>
          <cell r="I9007" t="str">
            <v>70713</v>
          </cell>
        </row>
        <row r="9008">
          <cell r="G9008" t="str">
            <v xml:space="preserve">Xã Thanh Bình    </v>
          </cell>
          <cell r="I9008" t="str">
            <v>70713</v>
          </cell>
        </row>
        <row r="9009">
          <cell r="G9009" t="str">
            <v>Xã Đồng Nơ</v>
          </cell>
          <cell r="I9009" t="str">
            <v>70713</v>
          </cell>
        </row>
        <row r="9010">
          <cell r="G9010" t="str">
            <v xml:space="preserve">Xã Minh Tâm </v>
          </cell>
          <cell r="I9010" t="str">
            <v>70713</v>
          </cell>
        </row>
        <row r="9011">
          <cell r="G9011" t="str">
            <v xml:space="preserve">Xã Tân Hiệp   </v>
          </cell>
          <cell r="I9011" t="str">
            <v>70713</v>
          </cell>
        </row>
        <row r="9012">
          <cell r="G9012" t="str">
            <v>Xã Tân Quan</v>
          </cell>
          <cell r="I9012" t="str">
            <v>70713</v>
          </cell>
        </row>
        <row r="9013">
          <cell r="G9013" t="str">
            <v>Xã Đăk Ơ</v>
          </cell>
          <cell r="I9013" t="str">
            <v>70715</v>
          </cell>
        </row>
        <row r="9014">
          <cell r="G9014" t="str">
            <v>Xã Bình Thắng</v>
          </cell>
          <cell r="I9014" t="str">
            <v>70715</v>
          </cell>
        </row>
        <row r="9015">
          <cell r="G9015" t="str">
            <v>Xã Bù Gia Mập</v>
          </cell>
          <cell r="I9015" t="str">
            <v>70715</v>
          </cell>
        </row>
        <row r="9016">
          <cell r="G9016" t="str">
            <v xml:space="preserve">Xã Đức Hạnh </v>
          </cell>
          <cell r="I9016" t="str">
            <v>70715</v>
          </cell>
        </row>
        <row r="9017">
          <cell r="G9017" t="str">
            <v>Xã Đa Kia</v>
          </cell>
          <cell r="I9017" t="str">
            <v>70715</v>
          </cell>
        </row>
        <row r="9018">
          <cell r="G9018" t="str">
            <v xml:space="preserve">Xã Phú Nghĩa </v>
          </cell>
          <cell r="I9018" t="str">
            <v>70715</v>
          </cell>
        </row>
        <row r="9019">
          <cell r="G9019" t="str">
            <v xml:space="preserve">Xã Phước Minh  </v>
          </cell>
          <cell r="I9019" t="str">
            <v>70715</v>
          </cell>
        </row>
        <row r="9020">
          <cell r="G9020" t="str">
            <v>Xã Phú Văn</v>
          </cell>
          <cell r="I9020" t="str">
            <v>70715</v>
          </cell>
        </row>
        <row r="9021">
          <cell r="G9021" t="str">
            <v xml:space="preserve">Xã Bình Tân  </v>
          </cell>
          <cell r="I9021" t="str">
            <v>70716</v>
          </cell>
        </row>
        <row r="9022">
          <cell r="G9022" t="str">
            <v xml:space="preserve">Xã Bình Sơn      </v>
          </cell>
          <cell r="I9022" t="str">
            <v>70716</v>
          </cell>
        </row>
        <row r="9023">
          <cell r="G9023" t="str">
            <v>Xã Bù Nho</v>
          </cell>
          <cell r="I9023" t="str">
            <v>70716</v>
          </cell>
        </row>
        <row r="9024">
          <cell r="G9024" t="str">
            <v>Xã Long Bình</v>
          </cell>
          <cell r="I9024" t="str">
            <v>70716</v>
          </cell>
        </row>
        <row r="9025">
          <cell r="G9025" t="str">
            <v>Xã Long Hà</v>
          </cell>
          <cell r="I9025" t="str">
            <v>70716</v>
          </cell>
        </row>
        <row r="9026">
          <cell r="G9026" t="str">
            <v xml:space="preserve">Xã Long Hưng </v>
          </cell>
          <cell r="I9026" t="str">
            <v>70716</v>
          </cell>
        </row>
        <row r="9027">
          <cell r="G9027" t="str">
            <v>Xã Long Tân</v>
          </cell>
          <cell r="I9027" t="str">
            <v>70716</v>
          </cell>
        </row>
        <row r="9028">
          <cell r="G9028" t="str">
            <v xml:space="preserve">Xã Phước Tân  </v>
          </cell>
          <cell r="I9028" t="str">
            <v>70716</v>
          </cell>
        </row>
        <row r="9029">
          <cell r="G9029" t="str">
            <v>Xã Phú Trung</v>
          </cell>
          <cell r="I9029" t="str">
            <v>70716</v>
          </cell>
        </row>
        <row r="9030">
          <cell r="G9030" t="str">
            <v>Xã Phú Riềng</v>
          </cell>
          <cell r="I9030" t="str">
            <v>70716</v>
          </cell>
        </row>
        <row r="9031">
          <cell r="G9031" t="str">
            <v xml:space="preserve">Phường 3         </v>
          </cell>
          <cell r="I9031" t="str">
            <v>70901</v>
          </cell>
        </row>
        <row r="9032">
          <cell r="G9032" t="str">
            <v>Xã Thạnh Tân</v>
          </cell>
          <cell r="I9032" t="str">
            <v>70901</v>
          </cell>
        </row>
        <row r="9033">
          <cell r="G9033" t="str">
            <v>Phường Ninh Thạnh</v>
          </cell>
          <cell r="I9033" t="str">
            <v>70901</v>
          </cell>
        </row>
        <row r="9034">
          <cell r="G9034" t="str">
            <v xml:space="preserve">Phường 1          </v>
          </cell>
          <cell r="I9034" t="str">
            <v>70901</v>
          </cell>
        </row>
        <row r="9035">
          <cell r="G9035" t="str">
            <v xml:space="preserve">Phường 4       </v>
          </cell>
          <cell r="I9035" t="str">
            <v>70901</v>
          </cell>
        </row>
        <row r="9036">
          <cell r="G9036" t="str">
            <v>Phường Hiệp Ninh</v>
          </cell>
          <cell r="I9036" t="str">
            <v>70901</v>
          </cell>
        </row>
        <row r="9037">
          <cell r="G9037" t="str">
            <v xml:space="preserve">Phường 2         </v>
          </cell>
          <cell r="I9037" t="str">
            <v>70901</v>
          </cell>
        </row>
        <row r="9038">
          <cell r="G9038" t="str">
            <v xml:space="preserve">Xã Tân Bình    </v>
          </cell>
          <cell r="I9038" t="str">
            <v>70901</v>
          </cell>
        </row>
        <row r="9039">
          <cell r="G9039" t="str">
            <v xml:space="preserve">Xã Bình Minh         </v>
          </cell>
          <cell r="I9039" t="str">
            <v>70901</v>
          </cell>
        </row>
        <row r="9040">
          <cell r="G9040" t="str">
            <v xml:space="preserve">Phường Ninh Sơn </v>
          </cell>
          <cell r="I9040" t="str">
            <v>70901</v>
          </cell>
        </row>
        <row r="9041">
          <cell r="G9041" t="str">
            <v>Xã Thạnh Bắc</v>
          </cell>
          <cell r="I9041" t="str">
            <v>70903</v>
          </cell>
        </row>
        <row r="9042">
          <cell r="G9042" t="str">
            <v xml:space="preserve">Xã Tân Bình     </v>
          </cell>
          <cell r="I9042" t="str">
            <v>70903</v>
          </cell>
        </row>
        <row r="9043">
          <cell r="G9043" t="str">
            <v xml:space="preserve">Xã Tân Phong      </v>
          </cell>
          <cell r="I9043" t="str">
            <v>70903</v>
          </cell>
        </row>
        <row r="9044">
          <cell r="G9044" t="str">
            <v>Thị trấn Tân Biên</v>
          </cell>
          <cell r="I9044" t="str">
            <v>70903</v>
          </cell>
        </row>
        <row r="9045">
          <cell r="G9045" t="str">
            <v xml:space="preserve">Xã Tân Lập                   </v>
          </cell>
          <cell r="I9045" t="str">
            <v>70903</v>
          </cell>
        </row>
        <row r="9046">
          <cell r="G9046" t="str">
            <v>Xã Thạnh Bình</v>
          </cell>
          <cell r="I9046" t="str">
            <v>70903</v>
          </cell>
        </row>
        <row r="9047">
          <cell r="G9047" t="str">
            <v>Xã Thạnh Tây</v>
          </cell>
          <cell r="I9047" t="str">
            <v>70903</v>
          </cell>
        </row>
        <row r="9048">
          <cell r="G9048" t="str">
            <v xml:space="preserve">Xã Hòa Hiệp  </v>
          </cell>
          <cell r="I9048" t="str">
            <v>70903</v>
          </cell>
        </row>
        <row r="9049">
          <cell r="G9049" t="str">
            <v>Xã Mỏ Công</v>
          </cell>
          <cell r="I9049" t="str">
            <v>70903</v>
          </cell>
        </row>
        <row r="9050">
          <cell r="G9050" t="str">
            <v>Xã Trà Vong</v>
          </cell>
          <cell r="I9050" t="str">
            <v>70903</v>
          </cell>
        </row>
        <row r="9051">
          <cell r="G9051" t="str">
            <v xml:space="preserve">Xã Tân Hòa       </v>
          </cell>
          <cell r="I9051" t="str">
            <v>70905</v>
          </cell>
        </row>
        <row r="9052">
          <cell r="G9052" t="str">
            <v xml:space="preserve">Xã Tân Hà </v>
          </cell>
          <cell r="I9052" t="str">
            <v>70905</v>
          </cell>
        </row>
        <row r="9053">
          <cell r="G9053" t="str">
            <v>Xã Suối Ngô</v>
          </cell>
          <cell r="I9053" t="str">
            <v>70905</v>
          </cell>
        </row>
        <row r="9054">
          <cell r="G9054" t="str">
            <v>Xã Thạnh Đông</v>
          </cell>
          <cell r="I9054" t="str">
            <v>70905</v>
          </cell>
        </row>
        <row r="9055">
          <cell r="G9055" t="str">
            <v>Thị trấn Tân Châu</v>
          </cell>
          <cell r="I9055" t="str">
            <v>70905</v>
          </cell>
        </row>
        <row r="9056">
          <cell r="G9056" t="str">
            <v>Xã Tân Đông</v>
          </cell>
          <cell r="I9056" t="str">
            <v>70905</v>
          </cell>
        </row>
        <row r="9057">
          <cell r="G9057" t="str">
            <v xml:space="preserve">Xã Tân Hội  </v>
          </cell>
          <cell r="I9057" t="str">
            <v>70905</v>
          </cell>
        </row>
        <row r="9058">
          <cell r="G9058" t="str">
            <v>Xã Suối Dây</v>
          </cell>
          <cell r="I9058" t="str">
            <v>70905</v>
          </cell>
        </row>
        <row r="9059">
          <cell r="G9059" t="str">
            <v xml:space="preserve">Xã Tân Hiệp    </v>
          </cell>
          <cell r="I9059" t="str">
            <v>70905</v>
          </cell>
        </row>
        <row r="9060">
          <cell r="G9060" t="str">
            <v xml:space="preserve">Xã Tân Thành                </v>
          </cell>
          <cell r="I9060" t="str">
            <v>70905</v>
          </cell>
        </row>
        <row r="9061">
          <cell r="G9061" t="str">
            <v xml:space="preserve">Xã Tân Phú    </v>
          </cell>
          <cell r="I9061" t="str">
            <v>70905</v>
          </cell>
        </row>
        <row r="9062">
          <cell r="G9062" t="str">
            <v xml:space="preserve">Xã Tân Hưng        </v>
          </cell>
          <cell r="I9062" t="str">
            <v>70905</v>
          </cell>
        </row>
        <row r="9063">
          <cell r="G9063" t="str">
            <v>Xã Bàu Năng</v>
          </cell>
          <cell r="I9063" t="str">
            <v>70907</v>
          </cell>
        </row>
        <row r="9064">
          <cell r="G9064" t="str">
            <v>Xã Suối Đá</v>
          </cell>
          <cell r="I9064" t="str">
            <v>70907</v>
          </cell>
        </row>
        <row r="9065">
          <cell r="G9065" t="str">
            <v xml:space="preserve">Xã Phước Minh   </v>
          </cell>
          <cell r="I9065" t="str">
            <v>70907</v>
          </cell>
        </row>
        <row r="9066">
          <cell r="G9066" t="str">
            <v>Xã Bến Củi</v>
          </cell>
          <cell r="I9066" t="str">
            <v>70907</v>
          </cell>
        </row>
        <row r="9067">
          <cell r="G9067" t="str">
            <v>TT. Dương Minh Châu</v>
          </cell>
          <cell r="I9067" t="str">
            <v>70907</v>
          </cell>
        </row>
        <row r="9068">
          <cell r="G9068" t="str">
            <v>Xã Phan</v>
          </cell>
          <cell r="I9068" t="str">
            <v>70907</v>
          </cell>
        </row>
        <row r="9069">
          <cell r="G9069" t="str">
            <v xml:space="preserve">Xã Phước Ninh  </v>
          </cell>
          <cell r="I9069" t="str">
            <v>70907</v>
          </cell>
        </row>
        <row r="9070">
          <cell r="G9070" t="str">
            <v>Xã Chà Là</v>
          </cell>
          <cell r="I9070" t="str">
            <v>70907</v>
          </cell>
        </row>
        <row r="9071">
          <cell r="G9071" t="str">
            <v>Xã Cầu Khởi</v>
          </cell>
          <cell r="I9071" t="str">
            <v>70907</v>
          </cell>
        </row>
        <row r="9072">
          <cell r="G9072" t="str">
            <v xml:space="preserve">Xã Lộc Ninh </v>
          </cell>
          <cell r="I9072" t="str">
            <v>70907</v>
          </cell>
        </row>
        <row r="9073">
          <cell r="G9073" t="str">
            <v>Xã Truông Mít</v>
          </cell>
          <cell r="I9073" t="str">
            <v>70907</v>
          </cell>
        </row>
        <row r="9074">
          <cell r="G9074" t="str">
            <v>Xã Đồng Khởi</v>
          </cell>
          <cell r="I9074" t="str">
            <v>70909</v>
          </cell>
        </row>
        <row r="9075">
          <cell r="G9075" t="str">
            <v xml:space="preserve">Xã Thành Long  </v>
          </cell>
          <cell r="I9075" t="str">
            <v>70909</v>
          </cell>
        </row>
        <row r="9076">
          <cell r="G9076" t="str">
            <v>Xã Ninh Điền</v>
          </cell>
          <cell r="I9076" t="str">
            <v>70909</v>
          </cell>
        </row>
        <row r="9077">
          <cell r="G9077" t="str">
            <v xml:space="preserve">Xã Phước Vinh </v>
          </cell>
          <cell r="I9077" t="str">
            <v>70909</v>
          </cell>
        </row>
        <row r="9078">
          <cell r="G9078" t="str">
            <v xml:space="preserve">Xã Thái Bình  </v>
          </cell>
          <cell r="I9078" t="str">
            <v>70909</v>
          </cell>
        </row>
        <row r="9079">
          <cell r="G9079" t="str">
            <v>Xã An Cơ</v>
          </cell>
          <cell r="I9079" t="str">
            <v>70909</v>
          </cell>
        </row>
        <row r="9080">
          <cell r="G9080" t="str">
            <v>Xã Biên Giới</v>
          </cell>
          <cell r="I9080" t="str">
            <v>70909</v>
          </cell>
        </row>
        <row r="9081">
          <cell r="G9081" t="str">
            <v>Xã Hòa Thạnh</v>
          </cell>
          <cell r="I9081" t="str">
            <v>70909</v>
          </cell>
        </row>
        <row r="9082">
          <cell r="G9082" t="str">
            <v>Xã Trí Bình</v>
          </cell>
          <cell r="I9082" t="str">
            <v>70909</v>
          </cell>
        </row>
        <row r="9083">
          <cell r="G9083" t="str">
            <v xml:space="preserve">Xã Hòa Hội </v>
          </cell>
          <cell r="I9083" t="str">
            <v>70909</v>
          </cell>
        </row>
        <row r="9084">
          <cell r="G9084" t="str">
            <v xml:space="preserve">Xã An Bình      </v>
          </cell>
          <cell r="I9084" t="str">
            <v>70909</v>
          </cell>
        </row>
        <row r="9085">
          <cell r="G9085" t="str">
            <v>Xã Thanh Điền</v>
          </cell>
          <cell r="I9085" t="str">
            <v>70909</v>
          </cell>
        </row>
        <row r="9086">
          <cell r="G9086" t="str">
            <v>Xã Long Vĩnh</v>
          </cell>
          <cell r="I9086" t="str">
            <v>70909</v>
          </cell>
        </row>
        <row r="9087">
          <cell r="G9087" t="str">
            <v>Xã Hảo Đước</v>
          </cell>
          <cell r="I9087" t="str">
            <v>70909</v>
          </cell>
        </row>
        <row r="9088">
          <cell r="G9088" t="str">
            <v>Thị trấn Châu Thành</v>
          </cell>
          <cell r="I9088" t="str">
            <v>70909</v>
          </cell>
        </row>
        <row r="9089">
          <cell r="G9089" t="str">
            <v>Xã Long Thành Bắc</v>
          </cell>
          <cell r="I9089" t="str">
            <v>70911</v>
          </cell>
        </row>
        <row r="9090">
          <cell r="G9090" t="str">
            <v>Xã Trường Tây</v>
          </cell>
          <cell r="I9090" t="str">
            <v>70911</v>
          </cell>
        </row>
        <row r="9091">
          <cell r="G9091" t="str">
            <v>Thị trấn Hòa Thành</v>
          </cell>
          <cell r="I9091" t="str">
            <v>70911</v>
          </cell>
        </row>
        <row r="9092">
          <cell r="G9092" t="str">
            <v>Xã Hiệp Tân</v>
          </cell>
          <cell r="I9092" t="str">
            <v>70911</v>
          </cell>
        </row>
        <row r="9093">
          <cell r="G9093" t="str">
            <v>Xã Trường Hòa</v>
          </cell>
          <cell r="I9093" t="str">
            <v>70911</v>
          </cell>
        </row>
        <row r="9094">
          <cell r="G9094" t="str">
            <v>Xã Trường Đông</v>
          </cell>
          <cell r="I9094" t="str">
            <v>70911</v>
          </cell>
        </row>
        <row r="9095">
          <cell r="G9095" t="str">
            <v>Xã Long Thành Trung</v>
          </cell>
          <cell r="I9095" t="str">
            <v>70911</v>
          </cell>
        </row>
        <row r="9096">
          <cell r="G9096" t="str">
            <v>Xã Long Thành Nam</v>
          </cell>
          <cell r="I9096" t="str">
            <v>70911</v>
          </cell>
        </row>
        <row r="9097">
          <cell r="G9097" t="str">
            <v>Xã Tiên Thuận</v>
          </cell>
          <cell r="I9097" t="str">
            <v>70913</v>
          </cell>
        </row>
        <row r="9098">
          <cell r="G9098" t="str">
            <v>Xã Long Phước</v>
          </cell>
          <cell r="I9098" t="str">
            <v>70913</v>
          </cell>
        </row>
        <row r="9099">
          <cell r="G9099" t="str">
            <v>Xã Lợi Thuận</v>
          </cell>
          <cell r="I9099" t="str">
            <v>70913</v>
          </cell>
        </row>
        <row r="9100">
          <cell r="G9100" t="str">
            <v>Thị trấn Bến Cầu</v>
          </cell>
          <cell r="I9100" t="str">
            <v>70913</v>
          </cell>
        </row>
        <row r="9101">
          <cell r="G9101" t="str">
            <v>Xã Long Chữ</v>
          </cell>
          <cell r="I9101" t="str">
            <v>70913</v>
          </cell>
        </row>
        <row r="9102">
          <cell r="G9102" t="str">
            <v xml:space="preserve">Xã Long Giang </v>
          </cell>
          <cell r="I9102" t="str">
            <v>70913</v>
          </cell>
        </row>
        <row r="9103">
          <cell r="G9103" t="str">
            <v xml:space="preserve">Xã Long Khánh </v>
          </cell>
          <cell r="I9103" t="str">
            <v>70913</v>
          </cell>
        </row>
        <row r="9104">
          <cell r="G9104" t="str">
            <v>Xã Long Thuận</v>
          </cell>
          <cell r="I9104" t="str">
            <v>70913</v>
          </cell>
        </row>
        <row r="9105">
          <cell r="G9105" t="str">
            <v>Xã An Thạnh</v>
          </cell>
          <cell r="I9105" t="str">
            <v>70913</v>
          </cell>
        </row>
        <row r="9106">
          <cell r="G9106" t="str">
            <v>Xã Thạnh Đức</v>
          </cell>
          <cell r="I9106" t="str">
            <v>70915</v>
          </cell>
        </row>
        <row r="9107">
          <cell r="G9107" t="str">
            <v xml:space="preserve">Xã Cẩm Giang </v>
          </cell>
          <cell r="I9107" t="str">
            <v>70915</v>
          </cell>
        </row>
        <row r="9108">
          <cell r="G9108" t="str">
            <v>Xã Phước Đông</v>
          </cell>
          <cell r="I9108" t="str">
            <v>70915</v>
          </cell>
        </row>
        <row r="9109">
          <cell r="G9109" t="str">
            <v>Thị trấn Gò Dầu</v>
          </cell>
          <cell r="I9109" t="str">
            <v>70915</v>
          </cell>
        </row>
        <row r="9110">
          <cell r="G9110" t="str">
            <v xml:space="preserve">Xã Hiệp Thạnh </v>
          </cell>
          <cell r="I9110" t="str">
            <v>70915</v>
          </cell>
        </row>
        <row r="9111">
          <cell r="G9111" t="str">
            <v>Xã Bàu Đồn</v>
          </cell>
          <cell r="I9111" t="str">
            <v>70915</v>
          </cell>
        </row>
        <row r="9112">
          <cell r="G9112" t="str">
            <v xml:space="preserve">Xã Phước Thạnh </v>
          </cell>
          <cell r="I9112" t="str">
            <v>70915</v>
          </cell>
        </row>
        <row r="9113">
          <cell r="G9113" t="str">
            <v>Xã Phước Trạch</v>
          </cell>
          <cell r="I9113" t="str">
            <v>70915</v>
          </cell>
        </row>
        <row r="9114">
          <cell r="G9114" t="str">
            <v>Xã Thanh Phước</v>
          </cell>
          <cell r="I9114" t="str">
            <v>70915</v>
          </cell>
        </row>
        <row r="9115">
          <cell r="G9115" t="str">
            <v xml:space="preserve">Xã Bình Thạnh  </v>
          </cell>
          <cell r="I9115" t="str">
            <v>70917</v>
          </cell>
        </row>
        <row r="9116">
          <cell r="G9116" t="str">
            <v>Xã Đôn Thuận</v>
          </cell>
          <cell r="I9116" t="str">
            <v>70917</v>
          </cell>
        </row>
        <row r="9117">
          <cell r="G9117" t="str">
            <v>Xã Gia Bình</v>
          </cell>
          <cell r="I9117" t="str">
            <v>70917</v>
          </cell>
        </row>
        <row r="9118">
          <cell r="G9118" t="str">
            <v xml:space="preserve">Xã An Hòa      </v>
          </cell>
          <cell r="I9118" t="str">
            <v>70917</v>
          </cell>
        </row>
        <row r="9119">
          <cell r="G9119" t="str">
            <v>Thị trấn Trảng Bàng</v>
          </cell>
          <cell r="I9119" t="str">
            <v>70917</v>
          </cell>
        </row>
        <row r="9120">
          <cell r="G9120" t="str">
            <v>Xã Hưng Thuận</v>
          </cell>
          <cell r="I9120" t="str">
            <v>70917</v>
          </cell>
        </row>
        <row r="9121">
          <cell r="G9121" t="str">
            <v xml:space="preserve">Xã Lộc Hưng </v>
          </cell>
          <cell r="I9121" t="str">
            <v>70917</v>
          </cell>
        </row>
        <row r="9122">
          <cell r="G9122" t="str">
            <v xml:space="preserve">Xã Gia Lộc </v>
          </cell>
          <cell r="I9122" t="str">
            <v>70917</v>
          </cell>
        </row>
        <row r="9123">
          <cell r="G9123" t="str">
            <v>Xã Phước Lưu</v>
          </cell>
          <cell r="I9123" t="str">
            <v>70917</v>
          </cell>
        </row>
        <row r="9124">
          <cell r="G9124" t="str">
            <v>Xã An Tịnh</v>
          </cell>
          <cell r="I9124" t="str">
            <v>70917</v>
          </cell>
        </row>
        <row r="9125">
          <cell r="G9125" t="str">
            <v>Xã Phước Chỉ</v>
          </cell>
          <cell r="I9125" t="str">
            <v>70917</v>
          </cell>
        </row>
        <row r="9126">
          <cell r="G9126" t="str">
            <v xml:space="preserve">Phường Hiệp Thành </v>
          </cell>
          <cell r="I9126" t="str">
            <v>71101</v>
          </cell>
        </row>
        <row r="9127">
          <cell r="G9127" t="str">
            <v>Phường Chánh Mỹ</v>
          </cell>
          <cell r="I9127" t="str">
            <v>71101</v>
          </cell>
        </row>
        <row r="9128">
          <cell r="G9128" t="str">
            <v xml:space="preserve">Phường Phú Mỹ </v>
          </cell>
          <cell r="I9128" t="str">
            <v>71101</v>
          </cell>
        </row>
        <row r="9129">
          <cell r="G9129" t="str">
            <v xml:space="preserve">Phường Phú Hòa </v>
          </cell>
          <cell r="I9129" t="str">
            <v>71101</v>
          </cell>
        </row>
        <row r="9130">
          <cell r="G9130" t="str">
            <v>Phường Phú Lợi</v>
          </cell>
          <cell r="I9130" t="str">
            <v>71101</v>
          </cell>
        </row>
        <row r="9131">
          <cell r="G9131" t="str">
            <v>Phường Phú Cường</v>
          </cell>
          <cell r="I9131" t="str">
            <v>71101</v>
          </cell>
        </row>
        <row r="9132">
          <cell r="G9132" t="str">
            <v>Phường Phú Thọ</v>
          </cell>
          <cell r="I9132" t="str">
            <v>71101</v>
          </cell>
        </row>
        <row r="9133">
          <cell r="G9133" t="str">
            <v>Phường Chánh Nghĩa</v>
          </cell>
          <cell r="I9133" t="str">
            <v>71101</v>
          </cell>
        </row>
        <row r="9134">
          <cell r="G9134" t="str">
            <v>Phường Định Hòa</v>
          </cell>
          <cell r="I9134" t="str">
            <v>71101</v>
          </cell>
        </row>
        <row r="9135">
          <cell r="G9135" t="str">
            <v>Phuờng Tân An</v>
          </cell>
          <cell r="I9135" t="str">
            <v>71101</v>
          </cell>
        </row>
        <row r="9136">
          <cell r="G9136" t="str">
            <v>Phường Hiệp An</v>
          </cell>
          <cell r="I9136" t="str">
            <v>71101</v>
          </cell>
        </row>
        <row r="9137">
          <cell r="G9137" t="str">
            <v>Phường Tương Bình Hiệp</v>
          </cell>
          <cell r="I9137" t="str">
            <v>71101</v>
          </cell>
        </row>
        <row r="9138">
          <cell r="G9138" t="str">
            <v>Phường Hòa Phú</v>
          </cell>
          <cell r="I9138" t="str">
            <v>71101</v>
          </cell>
        </row>
        <row r="9139">
          <cell r="G9139" t="str">
            <v>Phường Phú Tân</v>
          </cell>
          <cell r="I9139" t="str">
            <v>71101</v>
          </cell>
        </row>
        <row r="9140">
          <cell r="G9140" t="str">
            <v>Phường Thới Hòa</v>
          </cell>
          <cell r="I9140" t="str">
            <v>71103</v>
          </cell>
        </row>
        <row r="9141">
          <cell r="G9141" t="str">
            <v xml:space="preserve">Xã Phú An  </v>
          </cell>
          <cell r="I9141" t="str">
            <v>71103</v>
          </cell>
        </row>
        <row r="9142">
          <cell r="G9142" t="str">
            <v>Phường Mỹ Phước</v>
          </cell>
          <cell r="I9142" t="str">
            <v>71103</v>
          </cell>
        </row>
        <row r="9143">
          <cell r="G9143" t="str">
            <v>Phường Chánh Phú Hòa</v>
          </cell>
          <cell r="I9143" t="str">
            <v>71103</v>
          </cell>
        </row>
        <row r="9144">
          <cell r="G9144" t="str">
            <v>Xã An Điền</v>
          </cell>
          <cell r="I9144" t="str">
            <v>71103</v>
          </cell>
        </row>
        <row r="9145">
          <cell r="G9145" t="str">
            <v>Xã An Tây</v>
          </cell>
          <cell r="I9145" t="str">
            <v>71103</v>
          </cell>
        </row>
        <row r="9146">
          <cell r="G9146" t="str">
            <v>Phường Hòa Lợi</v>
          </cell>
          <cell r="I9146" t="str">
            <v>71103</v>
          </cell>
        </row>
        <row r="9147">
          <cell r="G9147" t="str">
            <v xml:space="preserve">Phường Tân Định </v>
          </cell>
          <cell r="I9147" t="str">
            <v>71103</v>
          </cell>
        </row>
        <row r="9148">
          <cell r="G9148" t="str">
            <v>Phường Tân Phước Khánh</v>
          </cell>
          <cell r="I9148" t="str">
            <v>71105</v>
          </cell>
        </row>
        <row r="9149">
          <cell r="G9149" t="str">
            <v>Xã Phú Chánh</v>
          </cell>
          <cell r="I9149" t="str">
            <v>71105</v>
          </cell>
        </row>
        <row r="9150">
          <cell r="G9150" t="str">
            <v>Phường Thạnh Phước</v>
          </cell>
          <cell r="I9150" t="str">
            <v>71105</v>
          </cell>
        </row>
        <row r="9151">
          <cell r="G9151" t="str">
            <v xml:space="preserve">Xã Vĩnh Tân  </v>
          </cell>
          <cell r="I9151" t="str">
            <v>71105</v>
          </cell>
        </row>
        <row r="9152">
          <cell r="G9152" t="str">
            <v>Xã Hội Nghĩa</v>
          </cell>
          <cell r="I9152" t="str">
            <v>71105</v>
          </cell>
        </row>
        <row r="9153">
          <cell r="G9153" t="str">
            <v>Phường Khánh Bình</v>
          </cell>
          <cell r="I9153" t="str">
            <v>71105</v>
          </cell>
        </row>
        <row r="9154">
          <cell r="G9154" t="str">
            <v xml:space="preserve">Xã Bạch Đằng    </v>
          </cell>
          <cell r="I9154" t="str">
            <v>71105</v>
          </cell>
        </row>
        <row r="9155">
          <cell r="G9155" t="str">
            <v>Xã Tân Vĩnh Hiệp</v>
          </cell>
          <cell r="I9155" t="str">
            <v>71105</v>
          </cell>
        </row>
        <row r="9156">
          <cell r="G9156" t="str">
            <v>Thị trấn Thái Hòa</v>
          </cell>
          <cell r="I9156" t="str">
            <v>71105</v>
          </cell>
        </row>
        <row r="9157">
          <cell r="G9157" t="str">
            <v>Phường Uyên Hưng</v>
          </cell>
          <cell r="I9157" t="str">
            <v>71105</v>
          </cell>
        </row>
        <row r="9158">
          <cell r="G9158" t="str">
            <v>Xã Thạnh Hội</v>
          </cell>
          <cell r="I9158" t="str">
            <v>71105</v>
          </cell>
        </row>
        <row r="9159">
          <cell r="G9159" t="str">
            <v>Phường Tân Hiệp</v>
          </cell>
          <cell r="I9159" t="str">
            <v>71105</v>
          </cell>
        </row>
        <row r="9160">
          <cell r="G9160" t="str">
            <v>Phường An Thạnh</v>
          </cell>
          <cell r="I9160" t="str">
            <v>71107</v>
          </cell>
        </row>
        <row r="9161">
          <cell r="G9161" t="str">
            <v>Phường Hưng Định</v>
          </cell>
          <cell r="I9161" t="str">
            <v>71107</v>
          </cell>
        </row>
        <row r="9162">
          <cell r="G9162" t="str">
            <v>Phường Vĩnh Phú</v>
          </cell>
          <cell r="I9162" t="str">
            <v>71107</v>
          </cell>
        </row>
        <row r="9163">
          <cell r="G9163" t="str">
            <v>Phường Lái Thiêu</v>
          </cell>
          <cell r="I9163" t="str">
            <v>71107</v>
          </cell>
        </row>
        <row r="9164">
          <cell r="G9164" t="str">
            <v>Phường Bình Chuẩn</v>
          </cell>
          <cell r="I9164" t="str">
            <v>71107</v>
          </cell>
        </row>
        <row r="9165">
          <cell r="G9165" t="str">
            <v>Phường Thuận Giao</v>
          </cell>
          <cell r="I9165" t="str">
            <v>71107</v>
          </cell>
        </row>
        <row r="9166">
          <cell r="G9166" t="str">
            <v xml:space="preserve">Phường An Phú   </v>
          </cell>
          <cell r="I9166" t="str">
            <v>71107</v>
          </cell>
        </row>
        <row r="9167">
          <cell r="G9167" t="str">
            <v xml:space="preserve">Xã An Sơn  </v>
          </cell>
          <cell r="I9167" t="str">
            <v>71107</v>
          </cell>
        </row>
        <row r="9168">
          <cell r="G9168" t="str">
            <v>Phường Bình Nhâm</v>
          </cell>
          <cell r="I9168" t="str">
            <v>71107</v>
          </cell>
        </row>
        <row r="9169">
          <cell r="G9169" t="str">
            <v>Phường Bình Hòa</v>
          </cell>
          <cell r="I9169" t="str">
            <v>71107</v>
          </cell>
        </row>
        <row r="9170">
          <cell r="G9170" t="str">
            <v xml:space="preserve">Phường An Bình  </v>
          </cell>
          <cell r="I9170" t="str">
            <v>71109</v>
          </cell>
        </row>
        <row r="9171">
          <cell r="G9171" t="str">
            <v>Phường Tân Đông Hiệp</v>
          </cell>
          <cell r="I9171" t="str">
            <v>71109</v>
          </cell>
        </row>
        <row r="9172">
          <cell r="G9172" t="str">
            <v>Phường Dĩ An</v>
          </cell>
          <cell r="I9172" t="str">
            <v>71109</v>
          </cell>
        </row>
        <row r="9173">
          <cell r="G9173" t="str">
            <v xml:space="preserve">Phường Tân Bình   </v>
          </cell>
          <cell r="I9173" t="str">
            <v>71109</v>
          </cell>
        </row>
        <row r="9174">
          <cell r="G9174" t="str">
            <v xml:space="preserve">Phường Bình An </v>
          </cell>
          <cell r="I9174" t="str">
            <v>71109</v>
          </cell>
        </row>
        <row r="9175">
          <cell r="G9175" t="str">
            <v>Phường Bình Thắng</v>
          </cell>
          <cell r="I9175" t="str">
            <v>71109</v>
          </cell>
        </row>
        <row r="9176">
          <cell r="G9176" t="str">
            <v>Phường Đông Hòa</v>
          </cell>
          <cell r="I9176" t="str">
            <v>71109</v>
          </cell>
        </row>
        <row r="9177">
          <cell r="G9177" t="str">
            <v>Xã An Linh</v>
          </cell>
          <cell r="I9177" t="str">
            <v>71111</v>
          </cell>
        </row>
        <row r="9178">
          <cell r="G9178" t="str">
            <v>Xã An Long</v>
          </cell>
          <cell r="I9178" t="str">
            <v>71111</v>
          </cell>
        </row>
        <row r="9179">
          <cell r="G9179" t="str">
            <v xml:space="preserve">Xã Tân Long    </v>
          </cell>
          <cell r="I9179" t="str">
            <v>71111</v>
          </cell>
        </row>
        <row r="9180">
          <cell r="G9180" t="str">
            <v>Thị trấn Phước Vĩnh</v>
          </cell>
          <cell r="I9180" t="str">
            <v>71111</v>
          </cell>
        </row>
        <row r="9181">
          <cell r="G9181" t="str">
            <v>Xã Phước Sang</v>
          </cell>
          <cell r="I9181" t="str">
            <v>71111</v>
          </cell>
        </row>
        <row r="9182">
          <cell r="G9182" t="str">
            <v xml:space="preserve">Xã An Bình       </v>
          </cell>
          <cell r="I9182" t="str">
            <v>71111</v>
          </cell>
        </row>
        <row r="9183">
          <cell r="G9183" t="str">
            <v xml:space="preserve">Xã Tân Hiệp     </v>
          </cell>
          <cell r="I9183" t="str">
            <v>71111</v>
          </cell>
        </row>
        <row r="9184">
          <cell r="G9184" t="str">
            <v>Xã Tam Lập</v>
          </cell>
          <cell r="I9184" t="str">
            <v>71111</v>
          </cell>
        </row>
        <row r="9185">
          <cell r="G9185" t="str">
            <v xml:space="preserve">Xã Vĩnh Hòa    </v>
          </cell>
          <cell r="I9185" t="str">
            <v>71111</v>
          </cell>
        </row>
        <row r="9186">
          <cell r="G9186" t="str">
            <v xml:space="preserve">Xã Phước Hòa   </v>
          </cell>
          <cell r="I9186" t="str">
            <v>71111</v>
          </cell>
        </row>
        <row r="9187">
          <cell r="G9187" t="str">
            <v xml:space="preserve">Xã An Thái  </v>
          </cell>
          <cell r="I9187" t="str">
            <v>71111</v>
          </cell>
        </row>
        <row r="9188">
          <cell r="G9188" t="str">
            <v>Xã Minh Thạnh</v>
          </cell>
          <cell r="I9188" t="str">
            <v>71113</v>
          </cell>
        </row>
        <row r="9189">
          <cell r="G9189" t="str">
            <v xml:space="preserve">Xã Minh Tân            </v>
          </cell>
          <cell r="I9189" t="str">
            <v>71113</v>
          </cell>
        </row>
        <row r="9190">
          <cell r="G9190" t="str">
            <v>Xã Định Hiệp</v>
          </cell>
          <cell r="I9190" t="str">
            <v>71113</v>
          </cell>
        </row>
        <row r="9191">
          <cell r="G9191" t="str">
            <v>Xã Thanh Tuyền</v>
          </cell>
          <cell r="I9191" t="str">
            <v>71113</v>
          </cell>
        </row>
        <row r="9192">
          <cell r="G9192" t="str">
            <v>Thị trấn Dầu Tiếng</v>
          </cell>
          <cell r="I9192" t="str">
            <v>71113</v>
          </cell>
        </row>
        <row r="9193">
          <cell r="G9193" t="str">
            <v xml:space="preserve">Xã Minh Hòa    </v>
          </cell>
          <cell r="I9193" t="str">
            <v>71113</v>
          </cell>
        </row>
        <row r="9194">
          <cell r="G9194" t="str">
            <v>Xã Định An</v>
          </cell>
          <cell r="I9194" t="str">
            <v>71113</v>
          </cell>
        </row>
        <row r="9195">
          <cell r="G9195" t="str">
            <v xml:space="preserve">Xã Long Hòa </v>
          </cell>
          <cell r="I9195" t="str">
            <v>71113</v>
          </cell>
        </row>
        <row r="9196">
          <cell r="G9196" t="str">
            <v xml:space="preserve">Xã Định Thành </v>
          </cell>
          <cell r="I9196" t="str">
            <v>71113</v>
          </cell>
        </row>
        <row r="9197">
          <cell r="G9197" t="str">
            <v xml:space="preserve">Xã An Lập </v>
          </cell>
          <cell r="I9197" t="str">
            <v>71113</v>
          </cell>
        </row>
        <row r="9198">
          <cell r="G9198" t="str">
            <v xml:space="preserve">Xã Long Tân </v>
          </cell>
          <cell r="I9198" t="str">
            <v>71113</v>
          </cell>
        </row>
        <row r="9199">
          <cell r="G9199" t="str">
            <v xml:space="preserve">Xã Thanh An     </v>
          </cell>
          <cell r="I9199" t="str">
            <v>71113</v>
          </cell>
        </row>
        <row r="9200">
          <cell r="G9200" t="str">
            <v>Thị trấn Bàu Bàng</v>
          </cell>
          <cell r="I9200" t="str">
            <v>71115</v>
          </cell>
        </row>
        <row r="9201">
          <cell r="G9201" t="str">
            <v>Xã Long Nguyên</v>
          </cell>
          <cell r="I9201" t="str">
            <v>71115</v>
          </cell>
        </row>
        <row r="9202">
          <cell r="G9202" t="str">
            <v>Xã Lai Hưng</v>
          </cell>
          <cell r="I9202" t="str">
            <v>71115</v>
          </cell>
        </row>
        <row r="9203">
          <cell r="G9203" t="str">
            <v>Xã Trừ Văn Thố</v>
          </cell>
          <cell r="I9203" t="str">
            <v>71115</v>
          </cell>
        </row>
        <row r="9204">
          <cell r="G9204" t="str">
            <v>Xã Cây Trường II</v>
          </cell>
          <cell r="I9204" t="str">
            <v>71115</v>
          </cell>
        </row>
        <row r="9205">
          <cell r="G9205" t="str">
            <v xml:space="preserve">Xã Tân Hưng         </v>
          </cell>
          <cell r="I9205" t="str">
            <v>71115</v>
          </cell>
        </row>
        <row r="9206">
          <cell r="G9206" t="str">
            <v xml:space="preserve">Xã Hưng Hòa </v>
          </cell>
          <cell r="I9206" t="str">
            <v>71115</v>
          </cell>
        </row>
        <row r="9207">
          <cell r="G9207" t="str">
            <v>Xã Lai Uyên</v>
          </cell>
          <cell r="I9207" t="str">
            <v>71115</v>
          </cell>
        </row>
        <row r="9208">
          <cell r="G9208" t="str">
            <v>Thị trấn Tân Lợi</v>
          </cell>
          <cell r="I9208" t="str">
            <v>71117</v>
          </cell>
        </row>
        <row r="9209">
          <cell r="G9209" t="str">
            <v xml:space="preserve">Xã Tân Bình      </v>
          </cell>
          <cell r="I9209" t="str">
            <v>71117</v>
          </cell>
        </row>
        <row r="9210">
          <cell r="G9210" t="str">
            <v xml:space="preserve">Xã Bình Mỹ  </v>
          </cell>
          <cell r="I9210" t="str">
            <v>71117</v>
          </cell>
        </row>
        <row r="9211">
          <cell r="G9211" t="str">
            <v xml:space="preserve">Xã Tân Lập                    </v>
          </cell>
          <cell r="I9211" t="str">
            <v>71117</v>
          </cell>
        </row>
        <row r="9212">
          <cell r="G9212" t="str">
            <v>Xã Tân Định</v>
          </cell>
          <cell r="I9212" t="str">
            <v>71117</v>
          </cell>
        </row>
        <row r="9213">
          <cell r="G9213" t="str">
            <v>Xã Lạc An</v>
          </cell>
          <cell r="I9213" t="str">
            <v>71117</v>
          </cell>
        </row>
        <row r="9214">
          <cell r="G9214" t="str">
            <v>Xã Hiếu Liêm</v>
          </cell>
          <cell r="I9214" t="str">
            <v>71117</v>
          </cell>
        </row>
        <row r="9215">
          <cell r="G9215" t="str">
            <v>Xã Đất Cuốc</v>
          </cell>
          <cell r="I9215" t="str">
            <v>71117</v>
          </cell>
        </row>
        <row r="9216">
          <cell r="G9216" t="str">
            <v>Xã Thường Tân</v>
          </cell>
          <cell r="I9216" t="str">
            <v>71117</v>
          </cell>
        </row>
        <row r="9217">
          <cell r="G9217" t="str">
            <v xml:space="preserve">Xã Tân Mỹ    </v>
          </cell>
          <cell r="I9217" t="str">
            <v>71117</v>
          </cell>
        </row>
        <row r="9218">
          <cell r="G9218" t="str">
            <v xml:space="preserve">Xã Tân Thành                 </v>
          </cell>
          <cell r="I9218" t="str">
            <v>71117</v>
          </cell>
        </row>
        <row r="9219">
          <cell r="G9219" t="str">
            <v xml:space="preserve">Phường Long Bình </v>
          </cell>
          <cell r="I9219" t="str">
            <v>71301</v>
          </cell>
        </row>
        <row r="9220">
          <cell r="G9220" t="str">
            <v>Phường Tân Vạn</v>
          </cell>
          <cell r="I9220" t="str">
            <v>71301</v>
          </cell>
        </row>
        <row r="9221">
          <cell r="G9221" t="str">
            <v xml:space="preserve">Phường Tân Phong  </v>
          </cell>
          <cell r="I9221" t="str">
            <v>71301</v>
          </cell>
        </row>
        <row r="9222">
          <cell r="G9222" t="str">
            <v>Phường Bửu Long</v>
          </cell>
          <cell r="I9222" t="str">
            <v>71301</v>
          </cell>
        </row>
        <row r="9223">
          <cell r="G9223" t="str">
            <v xml:space="preserve">Phường Quang Vinh </v>
          </cell>
          <cell r="I9223" t="str">
            <v>71301</v>
          </cell>
        </row>
        <row r="9224">
          <cell r="G9224" t="str">
            <v xml:space="preserve">Phường Hòa Bình </v>
          </cell>
          <cell r="I9224" t="str">
            <v>71301</v>
          </cell>
        </row>
        <row r="9225">
          <cell r="G9225" t="str">
            <v xml:space="preserve">Phường An Bình   </v>
          </cell>
          <cell r="I9225" t="str">
            <v>71301</v>
          </cell>
        </row>
        <row r="9226">
          <cell r="G9226" t="str">
            <v>Xã Tân Hạnh</v>
          </cell>
          <cell r="I9226" t="str">
            <v>71301</v>
          </cell>
        </row>
        <row r="9227">
          <cell r="G9227" t="str">
            <v>Phường Trảng Dài</v>
          </cell>
          <cell r="I9227" t="str">
            <v>71301</v>
          </cell>
        </row>
        <row r="9228">
          <cell r="G9228" t="str">
            <v>Phường Tân Biên</v>
          </cell>
          <cell r="I9228" t="str">
            <v>71301</v>
          </cell>
        </row>
        <row r="9229">
          <cell r="G9229" t="str">
            <v>Phường Hố Nai</v>
          </cell>
          <cell r="I9229" t="str">
            <v>71301</v>
          </cell>
        </row>
        <row r="9230">
          <cell r="G9230" t="str">
            <v xml:space="preserve">Phường Tân Hòa  </v>
          </cell>
          <cell r="I9230" t="str">
            <v>71301</v>
          </cell>
        </row>
        <row r="9231">
          <cell r="G9231" t="str">
            <v xml:space="preserve">Phường Tân Hiệp </v>
          </cell>
          <cell r="I9231" t="str">
            <v>71301</v>
          </cell>
        </row>
        <row r="9232">
          <cell r="G9232" t="str">
            <v xml:space="preserve">Phường Tân Tiến </v>
          </cell>
          <cell r="I9232" t="str">
            <v>71301</v>
          </cell>
        </row>
        <row r="9233">
          <cell r="G9233" t="str">
            <v>Phường Tam Hiệp</v>
          </cell>
          <cell r="I9233" t="str">
            <v>71301</v>
          </cell>
        </row>
        <row r="9234">
          <cell r="G9234" t="str">
            <v xml:space="preserve">Phường Tân Mai </v>
          </cell>
          <cell r="I9234" t="str">
            <v>71301</v>
          </cell>
        </row>
        <row r="9235">
          <cell r="G9235" t="str">
            <v xml:space="preserve">Phường Thống Nhất      </v>
          </cell>
          <cell r="I9235" t="str">
            <v>71301</v>
          </cell>
        </row>
        <row r="9236">
          <cell r="G9236" t="str">
            <v>Phường Trung Dũng</v>
          </cell>
          <cell r="I9236" t="str">
            <v>71301</v>
          </cell>
        </row>
        <row r="9237">
          <cell r="G9237" t="str">
            <v>Phường Tam Hòa</v>
          </cell>
          <cell r="I9237" t="str">
            <v>71301</v>
          </cell>
        </row>
        <row r="9238">
          <cell r="G9238" t="str">
            <v xml:space="preserve">Phường Quyết Thắng   </v>
          </cell>
          <cell r="I9238" t="str">
            <v>71301</v>
          </cell>
        </row>
        <row r="9239">
          <cell r="G9239" t="str">
            <v xml:space="preserve">Phường Thanh Bình    </v>
          </cell>
          <cell r="I9239" t="str">
            <v>71301</v>
          </cell>
        </row>
        <row r="9240">
          <cell r="G9240" t="str">
            <v>Phường Bình Đa</v>
          </cell>
          <cell r="I9240" t="str">
            <v>71301</v>
          </cell>
        </row>
        <row r="9241">
          <cell r="G9241" t="str">
            <v>Phường Bửu Hòa</v>
          </cell>
          <cell r="I9241" t="str">
            <v>71301</v>
          </cell>
        </row>
        <row r="9242">
          <cell r="G9242" t="str">
            <v>Phường Long Bình Tân</v>
          </cell>
          <cell r="I9242" t="str">
            <v>71301</v>
          </cell>
        </row>
        <row r="9243">
          <cell r="G9243" t="str">
            <v xml:space="preserve">Xã Hiệp Hòa     </v>
          </cell>
          <cell r="I9243" t="str">
            <v>71301</v>
          </cell>
        </row>
        <row r="9244">
          <cell r="G9244" t="str">
            <v>Xã Hóa An</v>
          </cell>
          <cell r="I9244" t="str">
            <v>71301</v>
          </cell>
        </row>
        <row r="9245">
          <cell r="G9245" t="str">
            <v xml:space="preserve">Xã An Hòa       </v>
          </cell>
          <cell r="I9245" t="str">
            <v>71301</v>
          </cell>
        </row>
        <row r="9246">
          <cell r="G9246" t="str">
            <v xml:space="preserve">Xã Long Hưng  </v>
          </cell>
          <cell r="I9246" t="str">
            <v>71301</v>
          </cell>
        </row>
        <row r="9247">
          <cell r="G9247" t="str">
            <v xml:space="preserve">Xã Phước Tân   </v>
          </cell>
          <cell r="I9247" t="str">
            <v>71301</v>
          </cell>
        </row>
        <row r="9248">
          <cell r="G9248" t="str">
            <v>Xã  Tam Phước</v>
          </cell>
          <cell r="I9248" t="str">
            <v>71301</v>
          </cell>
        </row>
        <row r="9249">
          <cell r="G9249" t="str">
            <v>Xã Suối Tre</v>
          </cell>
          <cell r="I9249" t="str">
            <v>71302</v>
          </cell>
        </row>
        <row r="9250">
          <cell r="G9250" t="str">
            <v>Phường Xuân Thanh</v>
          </cell>
          <cell r="I9250" t="str">
            <v>71302</v>
          </cell>
        </row>
        <row r="9251">
          <cell r="G9251" t="str">
            <v xml:space="preserve">Xã Bình Lộc </v>
          </cell>
          <cell r="I9251" t="str">
            <v>71302</v>
          </cell>
        </row>
        <row r="9252">
          <cell r="G9252" t="str">
            <v xml:space="preserve">Xã Xuân Lập  </v>
          </cell>
          <cell r="I9252" t="str">
            <v>71302</v>
          </cell>
        </row>
        <row r="9253">
          <cell r="G9253" t="str">
            <v>Xã Hàng Gòn</v>
          </cell>
          <cell r="I9253" t="str">
            <v>71302</v>
          </cell>
        </row>
        <row r="9254">
          <cell r="G9254" t="str">
            <v>Phường Xuân Trung</v>
          </cell>
          <cell r="I9254" t="str">
            <v>71302</v>
          </cell>
        </row>
        <row r="9255">
          <cell r="G9255" t="str">
            <v>Phường Xuân Bình</v>
          </cell>
          <cell r="I9255" t="str">
            <v>71302</v>
          </cell>
        </row>
        <row r="9256">
          <cell r="G9256" t="str">
            <v>Phường Xuân An</v>
          </cell>
          <cell r="I9256" t="str">
            <v>71302</v>
          </cell>
        </row>
        <row r="9257">
          <cell r="G9257" t="str">
            <v xml:space="preserve">Phường Xuân Hòa </v>
          </cell>
          <cell r="I9257" t="str">
            <v>71302</v>
          </cell>
        </row>
        <row r="9258">
          <cell r="G9258" t="str">
            <v xml:space="preserve">Phường Phú Bình </v>
          </cell>
          <cell r="I9258" t="str">
            <v>71302</v>
          </cell>
        </row>
        <row r="9259">
          <cell r="G9259" t="str">
            <v>Xã Bảo Quang</v>
          </cell>
          <cell r="I9259" t="str">
            <v>71302</v>
          </cell>
        </row>
        <row r="9260">
          <cell r="G9260" t="str">
            <v>Xã Bảo Vinh</v>
          </cell>
          <cell r="I9260" t="str">
            <v>71302</v>
          </cell>
        </row>
        <row r="9261">
          <cell r="G9261" t="str">
            <v>Xã Bàu Sen</v>
          </cell>
          <cell r="I9261" t="str">
            <v>71302</v>
          </cell>
        </row>
        <row r="9262">
          <cell r="G9262" t="str">
            <v>Xã Bàu Trâm</v>
          </cell>
          <cell r="I9262" t="str">
            <v>71302</v>
          </cell>
        </row>
        <row r="9263">
          <cell r="G9263" t="str">
            <v xml:space="preserve">Xã Xuân Tân   </v>
          </cell>
          <cell r="I9263" t="str">
            <v>71302</v>
          </cell>
        </row>
        <row r="9264">
          <cell r="G9264" t="str">
            <v>Xã Tà Lài</v>
          </cell>
          <cell r="I9264" t="str">
            <v>71303</v>
          </cell>
        </row>
        <row r="9265">
          <cell r="G9265" t="str">
            <v>Xã Trà Cổ</v>
          </cell>
          <cell r="I9265" t="str">
            <v>71303</v>
          </cell>
        </row>
        <row r="9266">
          <cell r="G9266" t="str">
            <v xml:space="preserve">Xã Phú An   </v>
          </cell>
          <cell r="I9266" t="str">
            <v>71303</v>
          </cell>
        </row>
        <row r="9267">
          <cell r="G9267" t="str">
            <v>Xã Phú Lập</v>
          </cell>
          <cell r="I9267" t="str">
            <v>71303</v>
          </cell>
        </row>
        <row r="9268">
          <cell r="G9268" t="str">
            <v xml:space="preserve">Xã Phú Trung </v>
          </cell>
          <cell r="I9268" t="str">
            <v>71303</v>
          </cell>
        </row>
        <row r="9269">
          <cell r="G9269" t="str">
            <v xml:space="preserve">Xã Phú Bình </v>
          </cell>
          <cell r="I9269" t="str">
            <v>71303</v>
          </cell>
        </row>
        <row r="9270">
          <cell r="G9270" t="str">
            <v xml:space="preserve">Thị trấn Tân Phú </v>
          </cell>
          <cell r="I9270" t="str">
            <v>71303</v>
          </cell>
        </row>
        <row r="9271">
          <cell r="G9271" t="str">
            <v>Xã Dak Lua</v>
          </cell>
          <cell r="I9271" t="str">
            <v>71303</v>
          </cell>
        </row>
        <row r="9272">
          <cell r="G9272" t="str">
            <v>Xã Nam Cát Tiên</v>
          </cell>
          <cell r="I9272" t="str">
            <v>71303</v>
          </cell>
        </row>
        <row r="9273">
          <cell r="G9273" t="str">
            <v>Xã Núi Tượng</v>
          </cell>
          <cell r="I9273" t="str">
            <v>71303</v>
          </cell>
        </row>
        <row r="9274">
          <cell r="G9274" t="str">
            <v xml:space="preserve">Xã Phú Sơn        </v>
          </cell>
          <cell r="I9274" t="str">
            <v>71303</v>
          </cell>
        </row>
        <row r="9275">
          <cell r="G9275" t="str">
            <v xml:space="preserve">Xã Phú Thịnh     </v>
          </cell>
          <cell r="I9275" t="str">
            <v>71303</v>
          </cell>
        </row>
        <row r="9276">
          <cell r="G9276" t="str">
            <v xml:space="preserve">Xã Thanh Sơn        </v>
          </cell>
          <cell r="I9276" t="str">
            <v>71303</v>
          </cell>
        </row>
        <row r="9277">
          <cell r="G9277" t="str">
            <v xml:space="preserve">Xã Phú Xuân      </v>
          </cell>
          <cell r="I9277" t="str">
            <v>71303</v>
          </cell>
        </row>
        <row r="9278">
          <cell r="G9278" t="str">
            <v xml:space="preserve">Xã Phú Lộc     </v>
          </cell>
          <cell r="I9278" t="str">
            <v>71303</v>
          </cell>
        </row>
        <row r="9279">
          <cell r="G9279" t="str">
            <v xml:space="preserve">Xã Phú Lâm   </v>
          </cell>
          <cell r="I9279" t="str">
            <v>71303</v>
          </cell>
        </row>
        <row r="9280">
          <cell r="G9280" t="str">
            <v xml:space="preserve">Xã Phú Thanh  </v>
          </cell>
          <cell r="I9280" t="str">
            <v>71303</v>
          </cell>
        </row>
        <row r="9281">
          <cell r="G9281" t="str">
            <v xml:space="preserve">Xã Phú Điền </v>
          </cell>
          <cell r="I9281" t="str">
            <v>71303</v>
          </cell>
        </row>
        <row r="9282">
          <cell r="G9282" t="str">
            <v>Xã Phú Ngọc</v>
          </cell>
          <cell r="I9282" t="str">
            <v>71305</v>
          </cell>
        </row>
        <row r="9283">
          <cell r="G9283" t="str">
            <v>Xã Ngọc Định</v>
          </cell>
          <cell r="I9283" t="str">
            <v>71305</v>
          </cell>
        </row>
        <row r="9284">
          <cell r="G9284" t="str">
            <v xml:space="preserve">Xã Phú Cường     </v>
          </cell>
          <cell r="I9284" t="str">
            <v>71305</v>
          </cell>
        </row>
        <row r="9285">
          <cell r="G9285" t="str">
            <v>Thị trấn Định Quán</v>
          </cell>
          <cell r="I9285" t="str">
            <v>71305</v>
          </cell>
        </row>
        <row r="9286">
          <cell r="G9286" t="str">
            <v xml:space="preserve">Xã Thanh Sơn         </v>
          </cell>
          <cell r="I9286" t="str">
            <v>71305</v>
          </cell>
        </row>
        <row r="9287">
          <cell r="G9287" t="str">
            <v>Xã Phú Tân</v>
          </cell>
          <cell r="I9287" t="str">
            <v>71305</v>
          </cell>
        </row>
        <row r="9288">
          <cell r="G9288" t="str">
            <v xml:space="preserve">Xã Phú Vinh  </v>
          </cell>
          <cell r="I9288" t="str">
            <v>71305</v>
          </cell>
        </row>
        <row r="9289">
          <cell r="G9289" t="str">
            <v>Xã Phú Lợi</v>
          </cell>
          <cell r="I9289" t="str">
            <v>71305</v>
          </cell>
        </row>
        <row r="9290">
          <cell r="G9290" t="str">
            <v xml:space="preserve">Xã Phú Hòa </v>
          </cell>
          <cell r="I9290" t="str">
            <v>71305</v>
          </cell>
        </row>
        <row r="9291">
          <cell r="G9291" t="str">
            <v>Xã La Ngà</v>
          </cell>
          <cell r="I9291" t="str">
            <v>71305</v>
          </cell>
        </row>
        <row r="9292">
          <cell r="G9292" t="str">
            <v>Xã Gia Canh</v>
          </cell>
          <cell r="I9292" t="str">
            <v>71305</v>
          </cell>
        </row>
        <row r="9293">
          <cell r="G9293" t="str">
            <v>Xã Túc Trưng</v>
          </cell>
          <cell r="I9293" t="str">
            <v>71305</v>
          </cell>
        </row>
        <row r="9294">
          <cell r="G9294" t="str">
            <v xml:space="preserve">Xã Phú Túc </v>
          </cell>
          <cell r="I9294" t="str">
            <v>71305</v>
          </cell>
        </row>
        <row r="9295">
          <cell r="G9295" t="str">
            <v>Xã Suối Nho</v>
          </cell>
          <cell r="I9295" t="str">
            <v>71305</v>
          </cell>
        </row>
        <row r="9296">
          <cell r="G9296" t="str">
            <v xml:space="preserve">Xã Hiếu Liêm </v>
          </cell>
          <cell r="I9296" t="str">
            <v>71307</v>
          </cell>
        </row>
        <row r="9297">
          <cell r="G9297" t="str">
            <v>Thị trấn Vĩnh An</v>
          </cell>
          <cell r="I9297" t="str">
            <v>71307</v>
          </cell>
        </row>
        <row r="9298">
          <cell r="G9298" t="str">
            <v xml:space="preserve">Xã Vĩnh Tân   </v>
          </cell>
          <cell r="I9298" t="str">
            <v>71307</v>
          </cell>
        </row>
        <row r="9299">
          <cell r="G9299" t="str">
            <v>Xã Thiện Tân</v>
          </cell>
          <cell r="I9299" t="str">
            <v>71307</v>
          </cell>
        </row>
        <row r="9300">
          <cell r="G9300" t="str">
            <v xml:space="preserve">Xã Tân Bình       </v>
          </cell>
          <cell r="I9300" t="str">
            <v>71307</v>
          </cell>
        </row>
        <row r="9301">
          <cell r="G9301" t="str">
            <v xml:space="preserve">Xã Bình Hòa    </v>
          </cell>
          <cell r="I9301" t="str">
            <v>71307</v>
          </cell>
        </row>
        <row r="9302">
          <cell r="G9302" t="str">
            <v>Xã Mã Đà</v>
          </cell>
          <cell r="I9302" t="str">
            <v>71307</v>
          </cell>
        </row>
        <row r="9303">
          <cell r="G9303" t="str">
            <v>Xã Thạnh Phú</v>
          </cell>
          <cell r="I9303" t="str">
            <v>71307</v>
          </cell>
        </row>
        <row r="9304">
          <cell r="G9304" t="str">
            <v>Xã Phú Lý</v>
          </cell>
          <cell r="I9304" t="str">
            <v>71307</v>
          </cell>
        </row>
        <row r="9305">
          <cell r="G9305" t="str">
            <v>Xã Trị An</v>
          </cell>
          <cell r="I9305" t="str">
            <v>71307</v>
          </cell>
        </row>
        <row r="9306">
          <cell r="G9306" t="str">
            <v xml:space="preserve">Xã Tân An      </v>
          </cell>
          <cell r="I9306" t="str">
            <v>71307</v>
          </cell>
        </row>
        <row r="9307">
          <cell r="G9307" t="str">
            <v xml:space="preserve">Xã Bình Lợi </v>
          </cell>
          <cell r="I9307" t="str">
            <v>71307</v>
          </cell>
        </row>
        <row r="9308">
          <cell r="G9308" t="str">
            <v xml:space="preserve">Xã Bắc Sơn             </v>
          </cell>
          <cell r="I9308" t="str">
            <v>71308</v>
          </cell>
        </row>
        <row r="9309">
          <cell r="G9309" t="str">
            <v>Thị trấn Trảng Bom</v>
          </cell>
          <cell r="I9309" t="str">
            <v>71308</v>
          </cell>
        </row>
        <row r="9310">
          <cell r="G9310" t="str">
            <v>Xã Sông Trầu</v>
          </cell>
          <cell r="I9310" t="str">
            <v>71308</v>
          </cell>
        </row>
        <row r="9311">
          <cell r="G9311" t="str">
            <v>Xã Tây Hòa</v>
          </cell>
          <cell r="I9311" t="str">
            <v>71308</v>
          </cell>
        </row>
        <row r="9312">
          <cell r="G9312" t="str">
            <v xml:space="preserve">Xã Hưng Thịnh    </v>
          </cell>
          <cell r="I9312" t="str">
            <v>71308</v>
          </cell>
        </row>
        <row r="9313">
          <cell r="G9313" t="str">
            <v xml:space="preserve">Xã Thanh Bình     </v>
          </cell>
          <cell r="I9313" t="str">
            <v>71308</v>
          </cell>
        </row>
        <row r="9314">
          <cell r="G9314" t="str">
            <v>Xã Cây Gáo</v>
          </cell>
          <cell r="I9314" t="str">
            <v>71308</v>
          </cell>
        </row>
        <row r="9315">
          <cell r="G9315" t="str">
            <v>Xã Bàu Hàm</v>
          </cell>
          <cell r="I9315" t="str">
            <v>71308</v>
          </cell>
        </row>
        <row r="9316">
          <cell r="G9316" t="str">
            <v>Xã Sông Thao</v>
          </cell>
          <cell r="I9316" t="str">
            <v>71308</v>
          </cell>
        </row>
        <row r="9317">
          <cell r="G9317" t="str">
            <v xml:space="preserve">Xã Đông Hòa  </v>
          </cell>
          <cell r="I9317" t="str">
            <v>71308</v>
          </cell>
        </row>
        <row r="9318">
          <cell r="G9318" t="str">
            <v>Xã Hố Nai 3</v>
          </cell>
          <cell r="I9318" t="str">
            <v>71308</v>
          </cell>
        </row>
        <row r="9319">
          <cell r="G9319" t="str">
            <v xml:space="preserve">Xã Bình Minh          </v>
          </cell>
          <cell r="I9319" t="str">
            <v>71308</v>
          </cell>
        </row>
        <row r="9320">
          <cell r="G9320" t="str">
            <v xml:space="preserve">Xã Trung Hòa     </v>
          </cell>
          <cell r="I9320" t="str">
            <v>71308</v>
          </cell>
        </row>
        <row r="9321">
          <cell r="G9321" t="str">
            <v>Xã Đồi 61</v>
          </cell>
          <cell r="I9321" t="str">
            <v>71308</v>
          </cell>
        </row>
        <row r="9322">
          <cell r="G9322" t="str">
            <v xml:space="preserve">Xã Quảng Tiến  </v>
          </cell>
          <cell r="I9322" t="str">
            <v>71308</v>
          </cell>
        </row>
        <row r="9323">
          <cell r="G9323" t="str">
            <v>Xã Giang Điền</v>
          </cell>
          <cell r="I9323" t="str">
            <v>71308</v>
          </cell>
        </row>
        <row r="9324">
          <cell r="G9324" t="str">
            <v>Xã An Viễn</v>
          </cell>
          <cell r="I9324" t="str">
            <v>71308</v>
          </cell>
        </row>
        <row r="9325">
          <cell r="G9325" t="str">
            <v>Xã Gia Tân 2</v>
          </cell>
          <cell r="I9325" t="str">
            <v>71309</v>
          </cell>
        </row>
        <row r="9326">
          <cell r="G9326" t="str">
            <v>Xã Gia Tân 1</v>
          </cell>
          <cell r="I9326" t="str">
            <v>71309</v>
          </cell>
        </row>
        <row r="9327">
          <cell r="G9327" t="str">
            <v xml:space="preserve">Xã Quang Trung           </v>
          </cell>
          <cell r="I9327" t="str">
            <v>71309</v>
          </cell>
        </row>
        <row r="9328">
          <cell r="G9328" t="str">
            <v xml:space="preserve">Xã Xuân Thiện </v>
          </cell>
          <cell r="I9328" t="str">
            <v>71309</v>
          </cell>
        </row>
        <row r="9329">
          <cell r="G9329" t="str">
            <v>Xã Gia Tân 3</v>
          </cell>
          <cell r="I9329" t="str">
            <v>71309</v>
          </cell>
        </row>
        <row r="9330">
          <cell r="G9330" t="str">
            <v>Xã Gia Kiệm</v>
          </cell>
          <cell r="I9330" t="str">
            <v>71309</v>
          </cell>
        </row>
        <row r="9331">
          <cell r="G9331" t="str">
            <v>Xã Bàu Hàm 2</v>
          </cell>
          <cell r="I9331" t="str">
            <v>71309</v>
          </cell>
        </row>
        <row r="9332">
          <cell r="G9332" t="str">
            <v xml:space="preserve">Xã Hưng Lộc  </v>
          </cell>
          <cell r="I9332" t="str">
            <v>71309</v>
          </cell>
        </row>
        <row r="9333">
          <cell r="G9333" t="str">
            <v>Xã Lộ 25</v>
          </cell>
          <cell r="I9333" t="str">
            <v>71309</v>
          </cell>
        </row>
        <row r="9334">
          <cell r="G9334" t="str">
            <v>Xã Xuân Thạnh</v>
          </cell>
          <cell r="I9334" t="str">
            <v>71309</v>
          </cell>
        </row>
        <row r="9335">
          <cell r="G9335" t="str">
            <v>Xã Xuân Đường</v>
          </cell>
          <cell r="I9335" t="str">
            <v>71311</v>
          </cell>
        </row>
        <row r="9336">
          <cell r="G9336" t="str">
            <v xml:space="preserve">Xã Nhân Nghĩa  </v>
          </cell>
          <cell r="I9336" t="str">
            <v>71311</v>
          </cell>
        </row>
        <row r="9337">
          <cell r="G9337" t="str">
            <v>Xã Thừa Đức</v>
          </cell>
          <cell r="I9337" t="str">
            <v>71311</v>
          </cell>
        </row>
        <row r="9338">
          <cell r="G9338" t="str">
            <v>Xã Xuân Đông</v>
          </cell>
          <cell r="I9338" t="str">
            <v>71311</v>
          </cell>
        </row>
        <row r="9339">
          <cell r="G9339" t="str">
            <v>Xã Sông Nhạn</v>
          </cell>
          <cell r="I9339" t="str">
            <v>71311</v>
          </cell>
        </row>
        <row r="9340">
          <cell r="G9340" t="str">
            <v>Xã Xuân Quế</v>
          </cell>
          <cell r="I9340" t="str">
            <v>71311</v>
          </cell>
        </row>
        <row r="9341">
          <cell r="G9341" t="str">
            <v>Xã Long Giao</v>
          </cell>
          <cell r="I9341" t="str">
            <v>71311</v>
          </cell>
        </row>
        <row r="9342">
          <cell r="G9342" t="str">
            <v xml:space="preserve">Xã Xuân Mỹ </v>
          </cell>
          <cell r="I9342" t="str">
            <v>71311</v>
          </cell>
        </row>
        <row r="9343">
          <cell r="G9343" t="str">
            <v>Xã Bảo Bình</v>
          </cell>
          <cell r="I9343" t="str">
            <v>71311</v>
          </cell>
        </row>
        <row r="9344">
          <cell r="G9344" t="str">
            <v>Xã Xuân Bảo</v>
          </cell>
          <cell r="I9344" t="str">
            <v>71311</v>
          </cell>
        </row>
        <row r="9345">
          <cell r="G9345" t="str">
            <v>Xã Xuân Tây</v>
          </cell>
          <cell r="I9345" t="str">
            <v>71311</v>
          </cell>
        </row>
        <row r="9346">
          <cell r="G9346" t="str">
            <v>Xã Sông Ray</v>
          </cell>
          <cell r="I9346" t="str">
            <v>71311</v>
          </cell>
        </row>
        <row r="9347">
          <cell r="G9347" t="str">
            <v>Xã Lâm San</v>
          </cell>
          <cell r="I9347" t="str">
            <v>71311</v>
          </cell>
        </row>
        <row r="9348">
          <cell r="G9348" t="str">
            <v>Xã Xuân Tâm</v>
          </cell>
          <cell r="I9348" t="str">
            <v>71313</v>
          </cell>
        </row>
        <row r="9349">
          <cell r="G9349" t="str">
            <v xml:space="preserve">Xã Xuân Bắc </v>
          </cell>
          <cell r="I9349" t="str">
            <v>71313</v>
          </cell>
        </row>
        <row r="9350">
          <cell r="G9350" t="str">
            <v xml:space="preserve">Xã Xuân Trường    </v>
          </cell>
          <cell r="I9350" t="str">
            <v>71313</v>
          </cell>
        </row>
        <row r="9351">
          <cell r="G9351" t="str">
            <v xml:space="preserve">Xã Suối Cát </v>
          </cell>
          <cell r="I9351" t="str">
            <v>71313</v>
          </cell>
        </row>
        <row r="9352">
          <cell r="G9352" t="str">
            <v>Xã Bảo Hòa</v>
          </cell>
          <cell r="I9352" t="str">
            <v>71313</v>
          </cell>
        </row>
        <row r="9353">
          <cell r="G9353" t="str">
            <v>Thị trấn Gia Ray</v>
          </cell>
          <cell r="I9353" t="str">
            <v>71313</v>
          </cell>
        </row>
        <row r="9354">
          <cell r="G9354" t="str">
            <v>Xã Suối Cao</v>
          </cell>
          <cell r="I9354" t="str">
            <v>71313</v>
          </cell>
        </row>
        <row r="9355">
          <cell r="G9355" t="str">
            <v xml:space="preserve">Xã Xuân Thành    </v>
          </cell>
          <cell r="I9355" t="str">
            <v>71313</v>
          </cell>
        </row>
        <row r="9356">
          <cell r="G9356" t="str">
            <v xml:space="preserve">Xã Xuân Thọ   </v>
          </cell>
          <cell r="I9356" t="str">
            <v>71313</v>
          </cell>
        </row>
        <row r="9357">
          <cell r="G9357" t="str">
            <v xml:space="preserve">Xã Xuân Hòa         </v>
          </cell>
          <cell r="I9357" t="str">
            <v>71313</v>
          </cell>
        </row>
        <row r="9358">
          <cell r="G9358" t="str">
            <v xml:space="preserve">Xã Xuân Hưng </v>
          </cell>
          <cell r="I9358" t="str">
            <v>71313</v>
          </cell>
        </row>
        <row r="9359">
          <cell r="G9359" t="str">
            <v>Xã Xuân Hiệp</v>
          </cell>
          <cell r="I9359" t="str">
            <v>71313</v>
          </cell>
        </row>
        <row r="9360">
          <cell r="G9360" t="str">
            <v xml:space="preserve">Xã Xuân Phú      </v>
          </cell>
          <cell r="I9360" t="str">
            <v>71313</v>
          </cell>
        </row>
        <row r="9361">
          <cell r="G9361" t="str">
            <v>Xã Xuân Định</v>
          </cell>
          <cell r="I9361" t="str">
            <v>71313</v>
          </cell>
        </row>
        <row r="9362">
          <cell r="G9362" t="str">
            <v>Xã Lang Minh</v>
          </cell>
          <cell r="I9362" t="str">
            <v>71313</v>
          </cell>
        </row>
        <row r="9363">
          <cell r="G9363" t="str">
            <v xml:space="preserve">Xã Long Phước </v>
          </cell>
          <cell r="I9363" t="str">
            <v>71315</v>
          </cell>
        </row>
        <row r="9364">
          <cell r="G9364" t="str">
            <v>Xã An Phước</v>
          </cell>
          <cell r="I9364" t="str">
            <v>71315</v>
          </cell>
        </row>
        <row r="9365">
          <cell r="G9365" t="str">
            <v xml:space="preserve">Xã Bình Sơn       </v>
          </cell>
          <cell r="I9365" t="str">
            <v>71315</v>
          </cell>
        </row>
        <row r="9366">
          <cell r="G9366" t="str">
            <v>Xã Long An</v>
          </cell>
          <cell r="I9366" t="str">
            <v>71315</v>
          </cell>
        </row>
        <row r="9367">
          <cell r="G9367" t="str">
            <v xml:space="preserve">Xã Phước Bình </v>
          </cell>
          <cell r="I9367" t="str">
            <v>71315</v>
          </cell>
        </row>
        <row r="9368">
          <cell r="G9368" t="str">
            <v>Thị trấn Long Thành</v>
          </cell>
          <cell r="I9368" t="str">
            <v>71315</v>
          </cell>
        </row>
        <row r="9369">
          <cell r="G9369" t="str">
            <v xml:space="preserve">Xã Bình An   </v>
          </cell>
          <cell r="I9369" t="str">
            <v>71315</v>
          </cell>
        </row>
        <row r="9370">
          <cell r="G9370" t="str">
            <v>Xã Long Đức</v>
          </cell>
          <cell r="I9370" t="str">
            <v>71315</v>
          </cell>
        </row>
        <row r="9371">
          <cell r="G9371" t="str">
            <v xml:space="preserve">Xã Lộc An    </v>
          </cell>
          <cell r="I9371" t="str">
            <v>71315</v>
          </cell>
        </row>
        <row r="9372">
          <cell r="G9372" t="str">
            <v xml:space="preserve">Xã Tam An </v>
          </cell>
          <cell r="I9372" t="str">
            <v>71315</v>
          </cell>
        </row>
        <row r="9373">
          <cell r="G9373" t="str">
            <v>Xã Cẩm Đường</v>
          </cell>
          <cell r="I9373" t="str">
            <v>71315</v>
          </cell>
        </row>
        <row r="9374">
          <cell r="G9374" t="str">
            <v>Xã Suối Trầu</v>
          </cell>
          <cell r="I9374" t="str">
            <v>71315</v>
          </cell>
        </row>
        <row r="9375">
          <cell r="G9375" t="str">
            <v xml:space="preserve">Xã Bàu Cạn </v>
          </cell>
          <cell r="I9375" t="str">
            <v>71315</v>
          </cell>
        </row>
        <row r="9376">
          <cell r="G9376" t="str">
            <v xml:space="preserve">Xã Tân Hiệp      </v>
          </cell>
          <cell r="I9376" t="str">
            <v>71315</v>
          </cell>
        </row>
        <row r="9377">
          <cell r="G9377" t="str">
            <v xml:space="preserve">Xã Phước Thái </v>
          </cell>
          <cell r="I9377" t="str">
            <v>71315</v>
          </cell>
        </row>
        <row r="9378">
          <cell r="G9378" t="str">
            <v xml:space="preserve">Xã Phú Hội </v>
          </cell>
          <cell r="I9378" t="str">
            <v>71317</v>
          </cell>
        </row>
        <row r="9379">
          <cell r="G9379" t="str">
            <v>Xã Đại Phước</v>
          </cell>
          <cell r="I9379" t="str">
            <v>71317</v>
          </cell>
        </row>
        <row r="9380">
          <cell r="G9380" t="str">
            <v>Xã Phú Thạnh</v>
          </cell>
          <cell r="I9380" t="str">
            <v>71317</v>
          </cell>
        </row>
        <row r="9381">
          <cell r="G9381" t="str">
            <v>Xã Phước Khánh</v>
          </cell>
          <cell r="I9381" t="str">
            <v>71317</v>
          </cell>
        </row>
        <row r="9382">
          <cell r="G9382" t="str">
            <v>Xã Phước Thiền</v>
          </cell>
          <cell r="I9382" t="str">
            <v>71317</v>
          </cell>
        </row>
        <row r="9383">
          <cell r="G9383" t="str">
            <v xml:space="preserve">Xã Long Tân  </v>
          </cell>
          <cell r="I9383" t="str">
            <v>71317</v>
          </cell>
        </row>
        <row r="9384">
          <cell r="G9384" t="str">
            <v xml:space="preserve">Xã Hiệp Phước </v>
          </cell>
          <cell r="I9384" t="str">
            <v>71317</v>
          </cell>
        </row>
        <row r="9385">
          <cell r="G9385" t="str">
            <v>Xã Phú Hữu</v>
          </cell>
          <cell r="I9385" t="str">
            <v>71317</v>
          </cell>
        </row>
        <row r="9386">
          <cell r="G9386" t="str">
            <v xml:space="preserve">Xã Phú Đông </v>
          </cell>
          <cell r="I9386" t="str">
            <v>71317</v>
          </cell>
        </row>
        <row r="9387">
          <cell r="G9387" t="str">
            <v>Xã Long Thọ</v>
          </cell>
          <cell r="I9387" t="str">
            <v>71317</v>
          </cell>
        </row>
        <row r="9388">
          <cell r="G9388" t="str">
            <v>Xã Vĩnh Thanh</v>
          </cell>
          <cell r="I9388" t="str">
            <v>71317</v>
          </cell>
        </row>
        <row r="9389">
          <cell r="G9389" t="str">
            <v xml:space="preserve">Xã Phước An  </v>
          </cell>
          <cell r="I9389" t="str">
            <v>71317</v>
          </cell>
        </row>
        <row r="9390">
          <cell r="G9390" t="str">
            <v>Phường Phú Tài</v>
          </cell>
          <cell r="I9390" t="str">
            <v>71501</v>
          </cell>
        </row>
        <row r="9391">
          <cell r="G9391" t="str">
            <v xml:space="preserve">Xã Tiến Thành  </v>
          </cell>
          <cell r="I9391" t="str">
            <v>71501</v>
          </cell>
        </row>
        <row r="9392">
          <cell r="G9392" t="str">
            <v>Phường Phú Hài</v>
          </cell>
          <cell r="I9392" t="str">
            <v>71501</v>
          </cell>
        </row>
        <row r="9393">
          <cell r="G9393" t="str">
            <v xml:space="preserve">Phường Xuân An </v>
          </cell>
          <cell r="I9393" t="str">
            <v>71501</v>
          </cell>
        </row>
        <row r="9394">
          <cell r="G9394" t="str">
            <v>Phường Lạc Đạo</v>
          </cell>
          <cell r="I9394" t="str">
            <v>71501</v>
          </cell>
        </row>
        <row r="9395">
          <cell r="G9395" t="str">
            <v>Xã Thiện Nghiệp</v>
          </cell>
          <cell r="I9395" t="str">
            <v>71501</v>
          </cell>
        </row>
        <row r="9396">
          <cell r="G9396" t="str">
            <v>Phường Mũi Né</v>
          </cell>
          <cell r="I9396" t="str">
            <v>71501</v>
          </cell>
        </row>
        <row r="9397">
          <cell r="G9397" t="str">
            <v>Phường Hàm Tiến</v>
          </cell>
          <cell r="I9397" t="str">
            <v>71501</v>
          </cell>
        </row>
        <row r="9398">
          <cell r="G9398" t="str">
            <v>Phường Phú Thủy</v>
          </cell>
          <cell r="I9398" t="str">
            <v>71501</v>
          </cell>
        </row>
        <row r="9399">
          <cell r="G9399" t="str">
            <v>Phường Phú Trinh</v>
          </cell>
          <cell r="I9399" t="str">
            <v>71501</v>
          </cell>
        </row>
        <row r="9400">
          <cell r="G9400" t="str">
            <v>Phường Thanh Hải</v>
          </cell>
          <cell r="I9400" t="str">
            <v>71501</v>
          </cell>
        </row>
        <row r="9401">
          <cell r="G9401" t="str">
            <v>Phường Bình Hưng</v>
          </cell>
          <cell r="I9401" t="str">
            <v>71501</v>
          </cell>
        </row>
        <row r="9402">
          <cell r="G9402" t="str">
            <v>Phường Đức Nghĩa</v>
          </cell>
          <cell r="I9402" t="str">
            <v>71501</v>
          </cell>
        </row>
        <row r="9403">
          <cell r="G9403" t="str">
            <v xml:space="preserve">Phường Đức Thắng </v>
          </cell>
          <cell r="I9403" t="str">
            <v>71501</v>
          </cell>
        </row>
        <row r="9404">
          <cell r="G9404" t="str">
            <v>Phường Hưng Long</v>
          </cell>
          <cell r="I9404" t="str">
            <v>71501</v>
          </cell>
        </row>
        <row r="9405">
          <cell r="G9405" t="str">
            <v>Phường Đức Long</v>
          </cell>
          <cell r="I9405" t="str">
            <v>71501</v>
          </cell>
        </row>
        <row r="9406">
          <cell r="G9406" t="str">
            <v>Xã Phong Nẫm</v>
          </cell>
          <cell r="I9406" t="str">
            <v>71501</v>
          </cell>
        </row>
        <row r="9407">
          <cell r="G9407" t="str">
            <v>Xã Tiến Lợi</v>
          </cell>
          <cell r="I9407" t="str">
            <v>71501</v>
          </cell>
        </row>
        <row r="9408">
          <cell r="G9408" t="str">
            <v xml:space="preserve">Xã Phong Phú   </v>
          </cell>
          <cell r="I9408" t="str">
            <v>71503</v>
          </cell>
        </row>
        <row r="9409">
          <cell r="G9409" t="str">
            <v>Thị trấn Phan Rí Cửa</v>
          </cell>
          <cell r="I9409" t="str">
            <v>71503</v>
          </cell>
        </row>
        <row r="9410">
          <cell r="G9410" t="str">
            <v xml:space="preserve">Xã Phú Lạc  </v>
          </cell>
          <cell r="I9410" t="str">
            <v>71503</v>
          </cell>
        </row>
        <row r="9411">
          <cell r="G9411" t="str">
            <v>Xã Chí Công</v>
          </cell>
          <cell r="I9411" t="str">
            <v>71503</v>
          </cell>
        </row>
        <row r="9412">
          <cell r="G9412" t="str">
            <v>Thị trấn Liên Hương</v>
          </cell>
          <cell r="I9412" t="str">
            <v>71503</v>
          </cell>
        </row>
        <row r="9413">
          <cell r="G9413" t="str">
            <v>Xã Phan Dũng</v>
          </cell>
          <cell r="I9413" t="str">
            <v>71503</v>
          </cell>
        </row>
        <row r="9414">
          <cell r="G9414" t="str">
            <v xml:space="preserve">Xã Vĩnh Hảo  </v>
          </cell>
          <cell r="I9414" t="str">
            <v>71503</v>
          </cell>
        </row>
        <row r="9415">
          <cell r="G9415" t="str">
            <v xml:space="preserve">Xã Vĩnh Tân    </v>
          </cell>
          <cell r="I9415" t="str">
            <v>71503</v>
          </cell>
        </row>
        <row r="9416">
          <cell r="G9416" t="str">
            <v>Xã Phước Thể</v>
          </cell>
          <cell r="I9416" t="str">
            <v>71503</v>
          </cell>
        </row>
        <row r="9417">
          <cell r="G9417" t="str">
            <v>Xã Hòa Minh</v>
          </cell>
          <cell r="I9417" t="str">
            <v>71503</v>
          </cell>
        </row>
        <row r="9418">
          <cell r="G9418" t="str">
            <v xml:space="preserve">Xã Bình Thạnh   </v>
          </cell>
          <cell r="I9418" t="str">
            <v>71503</v>
          </cell>
        </row>
        <row r="9419">
          <cell r="G9419" t="str">
            <v xml:space="preserve">Xã Hòa Phú       </v>
          </cell>
          <cell r="I9419" t="str">
            <v>71503</v>
          </cell>
        </row>
        <row r="9420">
          <cell r="G9420" t="str">
            <v xml:space="preserve">Xã Bình An    </v>
          </cell>
          <cell r="I9420" t="str">
            <v>71505</v>
          </cell>
        </row>
        <row r="9421">
          <cell r="G9421" t="str">
            <v>Xã Phan Rí Thành</v>
          </cell>
          <cell r="I9421" t="str">
            <v>71505</v>
          </cell>
        </row>
        <row r="9422">
          <cell r="G9422" t="str">
            <v>Xã Phan Sơn</v>
          </cell>
          <cell r="I9422" t="str">
            <v>71505</v>
          </cell>
        </row>
        <row r="9423">
          <cell r="G9423" t="str">
            <v xml:space="preserve">Xã Hải Ninh   </v>
          </cell>
          <cell r="I9423" t="str">
            <v>71505</v>
          </cell>
        </row>
        <row r="9424">
          <cell r="G9424" t="str">
            <v xml:space="preserve">Thị trấn Lương Sơn </v>
          </cell>
          <cell r="I9424" t="str">
            <v>71505</v>
          </cell>
        </row>
        <row r="9425">
          <cell r="G9425" t="str">
            <v>Xã Phan Hiệp</v>
          </cell>
          <cell r="I9425" t="str">
            <v>71505</v>
          </cell>
        </row>
        <row r="9426">
          <cell r="G9426" t="str">
            <v xml:space="preserve">Xã Hồng Phong        </v>
          </cell>
          <cell r="I9426" t="str">
            <v>71505</v>
          </cell>
        </row>
        <row r="9427">
          <cell r="G9427" t="str">
            <v>Thị trấn Chợ Lầu</v>
          </cell>
          <cell r="I9427" t="str">
            <v>71505</v>
          </cell>
        </row>
        <row r="9428">
          <cell r="G9428" t="str">
            <v>Xã Phan Lâm</v>
          </cell>
          <cell r="I9428" t="str">
            <v>71505</v>
          </cell>
        </row>
        <row r="9429">
          <cell r="G9429" t="str">
            <v>Xã Phan Điền</v>
          </cell>
          <cell r="I9429" t="str">
            <v>71505</v>
          </cell>
        </row>
        <row r="9430">
          <cell r="G9430" t="str">
            <v>Xã Sông Lũy</v>
          </cell>
          <cell r="I9430" t="str">
            <v>71505</v>
          </cell>
        </row>
        <row r="9431">
          <cell r="G9431" t="str">
            <v>Xã Phan Tiến</v>
          </cell>
          <cell r="I9431" t="str">
            <v>71505</v>
          </cell>
        </row>
        <row r="9432">
          <cell r="G9432" t="str">
            <v>Xã Sông Bình</v>
          </cell>
          <cell r="I9432" t="str">
            <v>71505</v>
          </cell>
        </row>
        <row r="9433">
          <cell r="G9433" t="str">
            <v>Xã Phan Hòa</v>
          </cell>
          <cell r="I9433" t="str">
            <v>71505</v>
          </cell>
        </row>
        <row r="9434">
          <cell r="G9434" t="str">
            <v xml:space="preserve">Xã Phan Thanh   </v>
          </cell>
          <cell r="I9434" t="str">
            <v>71505</v>
          </cell>
        </row>
        <row r="9435">
          <cell r="G9435" t="str">
            <v xml:space="preserve">Xã Hồng Thái         </v>
          </cell>
          <cell r="I9435" t="str">
            <v>71505</v>
          </cell>
        </row>
        <row r="9436">
          <cell r="G9436" t="str">
            <v xml:space="preserve">Xã Bình Tân   </v>
          </cell>
          <cell r="I9436" t="str">
            <v>71505</v>
          </cell>
        </row>
        <row r="9437">
          <cell r="G9437" t="str">
            <v xml:space="preserve">Xã Hòa Thắng   </v>
          </cell>
          <cell r="I9437" t="str">
            <v>71505</v>
          </cell>
        </row>
        <row r="9438">
          <cell r="G9438" t="str">
            <v>Xã Hàm Thắng</v>
          </cell>
          <cell r="I9438" t="str">
            <v>71507</v>
          </cell>
        </row>
        <row r="9439">
          <cell r="G9439" t="str">
            <v xml:space="preserve">Xã Đông Tiến  </v>
          </cell>
          <cell r="I9439" t="str">
            <v>71507</v>
          </cell>
        </row>
        <row r="9440">
          <cell r="G9440" t="str">
            <v>Xã Hồng Liêm</v>
          </cell>
          <cell r="I9440" t="str">
            <v>71507</v>
          </cell>
        </row>
        <row r="9441">
          <cell r="G9441" t="str">
            <v>Xã Thuận Minh</v>
          </cell>
          <cell r="I9441" t="str">
            <v>71507</v>
          </cell>
        </row>
        <row r="9442">
          <cell r="G9442" t="str">
            <v xml:space="preserve">Xã Hồng Sơn  </v>
          </cell>
          <cell r="I9442" t="str">
            <v>71507</v>
          </cell>
        </row>
        <row r="9443">
          <cell r="G9443" t="str">
            <v>Xã Hàm Trí</v>
          </cell>
          <cell r="I9443" t="str">
            <v>71507</v>
          </cell>
        </row>
        <row r="9444">
          <cell r="G9444" t="str">
            <v>Xã Hàm Đức</v>
          </cell>
          <cell r="I9444" t="str">
            <v>71507</v>
          </cell>
        </row>
        <row r="9445">
          <cell r="G9445" t="str">
            <v>Xã Hàm Liêm</v>
          </cell>
          <cell r="I9445" t="str">
            <v>71507</v>
          </cell>
        </row>
        <row r="9446">
          <cell r="G9446" t="str">
            <v>Xã Hàm Chính</v>
          </cell>
          <cell r="I9446" t="str">
            <v>71507</v>
          </cell>
        </row>
        <row r="9447">
          <cell r="G9447" t="str">
            <v>Xã Hàm Hiệp</v>
          </cell>
          <cell r="I9447" t="str">
            <v>71507</v>
          </cell>
        </row>
        <row r="9448">
          <cell r="G9448" t="str">
            <v>Xã Đa Mi</v>
          </cell>
          <cell r="I9448" t="str">
            <v>71507</v>
          </cell>
        </row>
        <row r="9449">
          <cell r="G9449" t="str">
            <v>Thị trấn Ma Lâm</v>
          </cell>
          <cell r="I9449" t="str">
            <v>71507</v>
          </cell>
        </row>
        <row r="9450">
          <cell r="G9450" t="str">
            <v>Thị trấn Phú Long</v>
          </cell>
          <cell r="I9450" t="str">
            <v>71507</v>
          </cell>
        </row>
        <row r="9451">
          <cell r="G9451" t="str">
            <v>Xã La Dạ</v>
          </cell>
          <cell r="I9451" t="str">
            <v>71507</v>
          </cell>
        </row>
        <row r="9452">
          <cell r="G9452" t="str">
            <v xml:space="preserve">Xã Thuận Hòa </v>
          </cell>
          <cell r="I9452" t="str">
            <v>71507</v>
          </cell>
        </row>
        <row r="9453">
          <cell r="G9453" t="str">
            <v xml:space="preserve">Xã Đông Giang </v>
          </cell>
          <cell r="I9453" t="str">
            <v>71507</v>
          </cell>
        </row>
        <row r="9454">
          <cell r="G9454" t="str">
            <v>Xã Hàm Phú</v>
          </cell>
          <cell r="I9454" t="str">
            <v>71507</v>
          </cell>
        </row>
        <row r="9455">
          <cell r="G9455" t="str">
            <v>Xã Hàm Minh</v>
          </cell>
          <cell r="I9455" t="str">
            <v>71509</v>
          </cell>
        </row>
        <row r="9456">
          <cell r="G9456" t="str">
            <v>Xã Hàm Cần</v>
          </cell>
          <cell r="I9456" t="str">
            <v>71509</v>
          </cell>
        </row>
        <row r="9457">
          <cell r="G9457" t="str">
            <v>Xã Hàm Cường</v>
          </cell>
          <cell r="I9457" t="str">
            <v>71509</v>
          </cell>
        </row>
        <row r="9458">
          <cell r="G9458" t="str">
            <v>Xã Thuận Quí</v>
          </cell>
          <cell r="I9458" t="str">
            <v>71509</v>
          </cell>
        </row>
        <row r="9459">
          <cell r="G9459" t="str">
            <v>Thị trấn Thuận Nam</v>
          </cell>
          <cell r="I9459" t="str">
            <v>71509</v>
          </cell>
        </row>
        <row r="9460">
          <cell r="G9460" t="str">
            <v>Xã Mỹ Thạnh</v>
          </cell>
          <cell r="I9460" t="str">
            <v>71509</v>
          </cell>
        </row>
        <row r="9461">
          <cell r="G9461" t="str">
            <v>Xã Mương Mán</v>
          </cell>
          <cell r="I9461" t="str">
            <v>71509</v>
          </cell>
        </row>
        <row r="9462">
          <cell r="G9462" t="str">
            <v>Xã Hàm Thạnh</v>
          </cell>
          <cell r="I9462" t="str">
            <v>71509</v>
          </cell>
        </row>
        <row r="9463">
          <cell r="G9463" t="str">
            <v>Xã Hàm Kiệm</v>
          </cell>
          <cell r="I9463" t="str">
            <v>71509</v>
          </cell>
        </row>
        <row r="9464">
          <cell r="G9464" t="str">
            <v>Xã Hàm Mỹ</v>
          </cell>
          <cell r="I9464" t="str">
            <v>71509</v>
          </cell>
        </row>
        <row r="9465">
          <cell r="G9465" t="str">
            <v xml:space="preserve">Xã Tân Lập                     </v>
          </cell>
          <cell r="I9465" t="str">
            <v>71509</v>
          </cell>
        </row>
        <row r="9466">
          <cell r="G9466" t="str">
            <v>Xã Tân Thuận</v>
          </cell>
          <cell r="I9466" t="str">
            <v>71509</v>
          </cell>
        </row>
        <row r="9467">
          <cell r="G9467" t="str">
            <v xml:space="preserve">Xã Tân Thành                  </v>
          </cell>
          <cell r="I9467" t="str">
            <v>71509</v>
          </cell>
        </row>
        <row r="9468">
          <cell r="G9468" t="str">
            <v xml:space="preserve">Xã Đức Phú </v>
          </cell>
          <cell r="I9468" t="str">
            <v>71511</v>
          </cell>
        </row>
        <row r="9469">
          <cell r="G9469" t="str">
            <v>Xã Bắc Ruộng</v>
          </cell>
          <cell r="I9469" t="str">
            <v>71511</v>
          </cell>
        </row>
        <row r="9470">
          <cell r="G9470" t="str">
            <v>Xã Huy Khiêm</v>
          </cell>
          <cell r="I9470" t="str">
            <v>71511</v>
          </cell>
        </row>
        <row r="9471">
          <cell r="G9471" t="str">
            <v>Xã Gia An</v>
          </cell>
          <cell r="I9471" t="str">
            <v>71511</v>
          </cell>
        </row>
        <row r="9472">
          <cell r="G9472" t="str">
            <v xml:space="preserve">Xã Đức Thuận </v>
          </cell>
          <cell r="I9472" t="str">
            <v>71511</v>
          </cell>
        </row>
        <row r="9473">
          <cell r="G9473" t="str">
            <v>Thị trấn Lạc Tánh</v>
          </cell>
          <cell r="I9473" t="str">
            <v>71511</v>
          </cell>
        </row>
        <row r="9474">
          <cell r="G9474" t="str">
            <v>Xã Măng Tố</v>
          </cell>
          <cell r="I9474" t="str">
            <v>71511</v>
          </cell>
        </row>
        <row r="9475">
          <cell r="G9475" t="str">
            <v>Xã Nghị Đức</v>
          </cell>
          <cell r="I9475" t="str">
            <v>71511</v>
          </cell>
        </row>
        <row r="9476">
          <cell r="G9476" t="str">
            <v>Xã La Ngâu</v>
          </cell>
          <cell r="I9476" t="str">
            <v>71511</v>
          </cell>
        </row>
        <row r="9477">
          <cell r="G9477" t="str">
            <v xml:space="preserve">Xã Đức Tân </v>
          </cell>
          <cell r="I9477" t="str">
            <v>71511</v>
          </cell>
        </row>
        <row r="9478">
          <cell r="G9478" t="str">
            <v>Xã Đồng Kho</v>
          </cell>
          <cell r="I9478" t="str">
            <v>71511</v>
          </cell>
        </row>
        <row r="9479">
          <cell r="G9479" t="str">
            <v>Xã Đức Bình</v>
          </cell>
          <cell r="I9479" t="str">
            <v>71511</v>
          </cell>
        </row>
        <row r="9480">
          <cell r="G9480" t="str">
            <v>Xã Gia Huynh</v>
          </cell>
          <cell r="I9480" t="str">
            <v>71511</v>
          </cell>
        </row>
        <row r="9481">
          <cell r="G9481" t="str">
            <v>Xã Suối Kiết</v>
          </cell>
          <cell r="I9481" t="str">
            <v>71511</v>
          </cell>
        </row>
        <row r="9482">
          <cell r="G9482" t="str">
            <v xml:space="preserve">Xã Tân Tiến               </v>
          </cell>
          <cell r="I9482" t="str">
            <v>71513</v>
          </cell>
        </row>
        <row r="9483">
          <cell r="G9483" t="str">
            <v>Phường Phước Hội</v>
          </cell>
          <cell r="I9483" t="str">
            <v>71513</v>
          </cell>
        </row>
        <row r="9484">
          <cell r="G9484" t="str">
            <v>Phường Phước Lộc</v>
          </cell>
          <cell r="I9484" t="str">
            <v>71513</v>
          </cell>
        </row>
        <row r="9485">
          <cell r="G9485" t="str">
            <v xml:space="preserve">Phường Tân Thiện </v>
          </cell>
          <cell r="I9485" t="str">
            <v>71513</v>
          </cell>
        </row>
        <row r="9486">
          <cell r="G9486" t="str">
            <v xml:space="preserve">Phường Tân An    </v>
          </cell>
          <cell r="I9486" t="str">
            <v>71513</v>
          </cell>
        </row>
        <row r="9487">
          <cell r="G9487" t="str">
            <v xml:space="preserve">Phường Bình Tân </v>
          </cell>
          <cell r="I9487" t="str">
            <v>71513</v>
          </cell>
        </row>
        <row r="9488">
          <cell r="G9488" t="str">
            <v xml:space="preserve">Xã Tân Hải </v>
          </cell>
          <cell r="I9488" t="str">
            <v>71513</v>
          </cell>
        </row>
        <row r="9489">
          <cell r="G9489" t="str">
            <v xml:space="preserve">Xã Tân Bình        </v>
          </cell>
          <cell r="I9489" t="str">
            <v>71513</v>
          </cell>
        </row>
        <row r="9490">
          <cell r="G9490" t="str">
            <v xml:space="preserve">Xã Tân Phước </v>
          </cell>
          <cell r="I9490" t="str">
            <v>71513</v>
          </cell>
        </row>
        <row r="9491">
          <cell r="G9491" t="str">
            <v xml:space="preserve">Xã Tân Phúc   </v>
          </cell>
          <cell r="I9491" t="str">
            <v>71514</v>
          </cell>
        </row>
        <row r="9492">
          <cell r="G9492" t="str">
            <v xml:space="preserve">Xã Tân Đức  </v>
          </cell>
          <cell r="I9492" t="str">
            <v>71514</v>
          </cell>
        </row>
        <row r="9493">
          <cell r="G9493" t="str">
            <v xml:space="preserve">Xã Sơn Mỹ </v>
          </cell>
          <cell r="I9493" t="str">
            <v>71514</v>
          </cell>
        </row>
        <row r="9494">
          <cell r="G9494" t="str">
            <v>Thị trấn Tân Minh</v>
          </cell>
          <cell r="I9494" t="str">
            <v>71514</v>
          </cell>
        </row>
        <row r="9495">
          <cell r="G9495" t="str">
            <v>Thị Trấn Tân Nghĩa</v>
          </cell>
          <cell r="I9495" t="str">
            <v>71514</v>
          </cell>
        </row>
        <row r="9496">
          <cell r="G9496" t="str">
            <v>Xã Sông Phan</v>
          </cell>
          <cell r="I9496" t="str">
            <v>71514</v>
          </cell>
        </row>
        <row r="9497">
          <cell r="G9497" t="str">
            <v xml:space="preserve">Xã Tân Thắng </v>
          </cell>
          <cell r="I9497" t="str">
            <v>71514</v>
          </cell>
        </row>
        <row r="9498">
          <cell r="G9498" t="str">
            <v xml:space="preserve">Xã Tân Hà  </v>
          </cell>
          <cell r="I9498" t="str">
            <v>71514</v>
          </cell>
        </row>
        <row r="9499">
          <cell r="G9499" t="str">
            <v xml:space="preserve">Xã Tân Xuân   </v>
          </cell>
          <cell r="I9499" t="str">
            <v>71514</v>
          </cell>
        </row>
        <row r="9500">
          <cell r="G9500" t="str">
            <v>Xã Thắng Hải</v>
          </cell>
          <cell r="I9500" t="str">
            <v>71514</v>
          </cell>
        </row>
        <row r="9501">
          <cell r="G9501" t="str">
            <v xml:space="preserve">Xã Nam Chính  </v>
          </cell>
          <cell r="I9501" t="str">
            <v>71515</v>
          </cell>
        </row>
        <row r="9502">
          <cell r="G9502" t="str">
            <v>Xã Đa Kai</v>
          </cell>
          <cell r="I9502" t="str">
            <v>71515</v>
          </cell>
        </row>
        <row r="9503">
          <cell r="G9503" t="str">
            <v xml:space="preserve">Xã Đức Chính  </v>
          </cell>
          <cell r="I9503" t="str">
            <v>71515</v>
          </cell>
        </row>
        <row r="9504">
          <cell r="G9504" t="str">
            <v xml:space="preserve">Xã Tân Hà   </v>
          </cell>
          <cell r="I9504" t="str">
            <v>71515</v>
          </cell>
        </row>
        <row r="9505">
          <cell r="G9505" t="str">
            <v>Thị trấn Võ Xu</v>
          </cell>
          <cell r="I9505" t="str">
            <v>71515</v>
          </cell>
        </row>
        <row r="9506">
          <cell r="G9506" t="str">
            <v>Thị trấn Đức Tài</v>
          </cell>
          <cell r="I9506" t="str">
            <v>71515</v>
          </cell>
        </row>
        <row r="9507">
          <cell r="G9507" t="str">
            <v>Xã Sùng Nhơn</v>
          </cell>
          <cell r="I9507" t="str">
            <v>71515</v>
          </cell>
        </row>
        <row r="9508">
          <cell r="G9508" t="str">
            <v>Xã Mê Pu</v>
          </cell>
          <cell r="I9508" t="str">
            <v>71515</v>
          </cell>
        </row>
        <row r="9509">
          <cell r="G9509" t="str">
            <v xml:space="preserve">Xã Đức Hạnh  </v>
          </cell>
          <cell r="I9509" t="str">
            <v>71515</v>
          </cell>
        </row>
        <row r="9510">
          <cell r="G9510" t="str">
            <v>Xã Đức Tín</v>
          </cell>
          <cell r="I9510" t="str">
            <v>71515</v>
          </cell>
        </row>
        <row r="9511">
          <cell r="G9511" t="str">
            <v xml:space="preserve">Xã Vũ Hòa </v>
          </cell>
          <cell r="I9511" t="str">
            <v>71515</v>
          </cell>
        </row>
        <row r="9512">
          <cell r="G9512" t="str">
            <v xml:space="preserve">Xã Đông Hà  </v>
          </cell>
          <cell r="I9512" t="str">
            <v>71515</v>
          </cell>
        </row>
        <row r="9513">
          <cell r="G9513" t="str">
            <v xml:space="preserve">Xã Trà Tân  </v>
          </cell>
          <cell r="I9513" t="str">
            <v>71515</v>
          </cell>
        </row>
        <row r="9514">
          <cell r="G9514" t="str">
            <v xml:space="preserve">Xã Tam Thanh    </v>
          </cell>
          <cell r="I9514" t="str">
            <v>71517</v>
          </cell>
        </row>
        <row r="9515">
          <cell r="G9515" t="str">
            <v>Xã Ngũ Phụng</v>
          </cell>
          <cell r="I9515" t="str">
            <v>71517</v>
          </cell>
        </row>
        <row r="9516">
          <cell r="G9516" t="str">
            <v>Xã Long Hải</v>
          </cell>
          <cell r="I9516" t="str">
            <v>71517</v>
          </cell>
        </row>
        <row r="9517">
          <cell r="G9517" t="str">
            <v xml:space="preserve">Phường 1           </v>
          </cell>
          <cell r="I9517" t="str">
            <v>71701</v>
          </cell>
        </row>
        <row r="9518">
          <cell r="G9518" t="str">
            <v>Phường Nguyễn An Ninh</v>
          </cell>
          <cell r="I9518" t="str">
            <v>71701</v>
          </cell>
        </row>
        <row r="9519">
          <cell r="G9519" t="str">
            <v xml:space="preserve">Phường 10           </v>
          </cell>
          <cell r="I9519" t="str">
            <v>71701</v>
          </cell>
        </row>
        <row r="9520">
          <cell r="G9520" t="str">
            <v xml:space="preserve">Xã Long Sơn     </v>
          </cell>
          <cell r="I9520" t="str">
            <v>71701</v>
          </cell>
        </row>
        <row r="9521">
          <cell r="G9521" t="str">
            <v>Phường Thắng Tam</v>
          </cell>
          <cell r="I9521" t="str">
            <v>71701</v>
          </cell>
        </row>
        <row r="9522">
          <cell r="G9522" t="str">
            <v xml:space="preserve">Phường 2          </v>
          </cell>
          <cell r="I9522" t="str">
            <v>71701</v>
          </cell>
        </row>
        <row r="9523">
          <cell r="G9523" t="str">
            <v xml:space="preserve">Phường 3          </v>
          </cell>
          <cell r="I9523" t="str">
            <v>71701</v>
          </cell>
        </row>
        <row r="9524">
          <cell r="G9524" t="str">
            <v xml:space="preserve">Phường 4        </v>
          </cell>
          <cell r="I9524" t="str">
            <v>71701</v>
          </cell>
        </row>
        <row r="9525">
          <cell r="G9525" t="str">
            <v xml:space="preserve">Phường 5        </v>
          </cell>
          <cell r="I9525" t="str">
            <v>71701</v>
          </cell>
        </row>
        <row r="9526">
          <cell r="G9526" t="str">
            <v>Phường Thắng Nhì</v>
          </cell>
          <cell r="I9526" t="str">
            <v>71701</v>
          </cell>
        </row>
        <row r="9527">
          <cell r="G9527" t="str">
            <v xml:space="preserve">Phường 7       </v>
          </cell>
          <cell r="I9527" t="str">
            <v>71701</v>
          </cell>
        </row>
        <row r="9528">
          <cell r="G9528" t="str">
            <v xml:space="preserve">Phường 8      </v>
          </cell>
          <cell r="I9528" t="str">
            <v>71701</v>
          </cell>
        </row>
        <row r="9529">
          <cell r="G9529" t="str">
            <v xml:space="preserve">Phường 9      </v>
          </cell>
          <cell r="I9529" t="str">
            <v>71701</v>
          </cell>
        </row>
        <row r="9530">
          <cell r="G9530" t="str">
            <v>Phường Thắng Nhất</v>
          </cell>
          <cell r="I9530" t="str">
            <v>71701</v>
          </cell>
        </row>
        <row r="9531">
          <cell r="G9531" t="str">
            <v>Phường Rạch Dừa</v>
          </cell>
          <cell r="I9531" t="str">
            <v>71701</v>
          </cell>
        </row>
        <row r="9532">
          <cell r="G9532" t="str">
            <v xml:space="preserve">Phường 11           </v>
          </cell>
          <cell r="I9532" t="str">
            <v>71701</v>
          </cell>
        </row>
        <row r="9533">
          <cell r="G9533" t="str">
            <v xml:space="preserve">Phường 12            </v>
          </cell>
          <cell r="I9533" t="str">
            <v>71701</v>
          </cell>
        </row>
        <row r="9534">
          <cell r="G9534" t="str">
            <v>Phường Phước Hiệp</v>
          </cell>
          <cell r="I9534" t="str">
            <v>71703</v>
          </cell>
        </row>
        <row r="9535">
          <cell r="G9535" t="str">
            <v>Phường Long Toàn</v>
          </cell>
          <cell r="I9535" t="str">
            <v>71703</v>
          </cell>
        </row>
        <row r="9536">
          <cell r="G9536" t="str">
            <v>Phường Phước Hưng</v>
          </cell>
          <cell r="I9536" t="str">
            <v>71703</v>
          </cell>
        </row>
        <row r="9537">
          <cell r="G9537" t="str">
            <v>Phường Phước Nguyên</v>
          </cell>
          <cell r="I9537" t="str">
            <v>71703</v>
          </cell>
        </row>
        <row r="9538">
          <cell r="G9538" t="str">
            <v>Phường Long Tâm</v>
          </cell>
          <cell r="I9538" t="str">
            <v>71703</v>
          </cell>
        </row>
        <row r="9539">
          <cell r="G9539" t="str">
            <v>Phường Phước Trung</v>
          </cell>
          <cell r="I9539" t="str">
            <v>71703</v>
          </cell>
        </row>
        <row r="9540">
          <cell r="G9540" t="str">
            <v>Phường Long Hương</v>
          </cell>
          <cell r="I9540" t="str">
            <v>71703</v>
          </cell>
        </row>
        <row r="9541">
          <cell r="G9541" t="str">
            <v>Phường Kim Dinh</v>
          </cell>
          <cell r="I9541" t="str">
            <v>71703</v>
          </cell>
        </row>
        <row r="9542">
          <cell r="G9542" t="str">
            <v xml:space="preserve">Xã Tân Hưng          </v>
          </cell>
          <cell r="I9542" t="str">
            <v>71703</v>
          </cell>
        </row>
        <row r="9543">
          <cell r="G9543" t="str">
            <v xml:space="preserve">Xã Long Phước  </v>
          </cell>
          <cell r="I9543" t="str">
            <v>71703</v>
          </cell>
        </row>
        <row r="9544">
          <cell r="G9544" t="str">
            <v xml:space="preserve">Xã Hòa Long </v>
          </cell>
          <cell r="I9544" t="str">
            <v>71703</v>
          </cell>
        </row>
        <row r="9545">
          <cell r="G9545" t="str">
            <v>Xã Bàu Chinh</v>
          </cell>
          <cell r="I9545" t="str">
            <v>71705</v>
          </cell>
        </row>
        <row r="9546">
          <cell r="G9546" t="str">
            <v xml:space="preserve">Xã Bình Trung    </v>
          </cell>
          <cell r="I9546" t="str">
            <v>71705</v>
          </cell>
        </row>
        <row r="9547">
          <cell r="G9547" t="str">
            <v>Thị trấn Ngãi Giao</v>
          </cell>
          <cell r="I9547" t="str">
            <v>71705</v>
          </cell>
        </row>
        <row r="9548">
          <cell r="G9548" t="str">
            <v xml:space="preserve">Xã Sơn Bình   </v>
          </cell>
          <cell r="I9548" t="str">
            <v>71705</v>
          </cell>
        </row>
        <row r="9549">
          <cell r="G9549" t="str">
            <v>Xã Láng Lớn</v>
          </cell>
          <cell r="I9549" t="str">
            <v>71705</v>
          </cell>
        </row>
        <row r="9550">
          <cell r="G9550" t="str">
            <v>Xã Đá Bạc</v>
          </cell>
          <cell r="I9550" t="str">
            <v>71705</v>
          </cell>
        </row>
        <row r="9551">
          <cell r="G9551" t="str">
            <v>Xã Bình Ba</v>
          </cell>
          <cell r="I9551" t="str">
            <v>71705</v>
          </cell>
        </row>
        <row r="9552">
          <cell r="G9552" t="str">
            <v>Xã Suối Nghệ</v>
          </cell>
          <cell r="I9552" t="str">
            <v>71705</v>
          </cell>
        </row>
        <row r="9553">
          <cell r="G9553" t="str">
            <v xml:space="preserve">Xã Xuân Sơn      </v>
          </cell>
          <cell r="I9553" t="str">
            <v>71705</v>
          </cell>
        </row>
        <row r="9554">
          <cell r="G9554" t="str">
            <v>Xã Bình Giã</v>
          </cell>
          <cell r="I9554" t="str">
            <v>71705</v>
          </cell>
        </row>
        <row r="9555">
          <cell r="G9555" t="str">
            <v>Xã Xà Bang</v>
          </cell>
          <cell r="I9555" t="str">
            <v>71705</v>
          </cell>
        </row>
        <row r="9556">
          <cell r="G9556" t="str">
            <v>Xã Cù Bị</v>
          </cell>
          <cell r="I9556" t="str">
            <v>71705</v>
          </cell>
        </row>
        <row r="9557">
          <cell r="G9557" t="str">
            <v xml:space="preserve">Xã Quảng Thành   </v>
          </cell>
          <cell r="I9557" t="str">
            <v>71705</v>
          </cell>
        </row>
        <row r="9558">
          <cell r="G9558" t="str">
            <v xml:space="preserve">Xã Kim Long </v>
          </cell>
          <cell r="I9558" t="str">
            <v>71705</v>
          </cell>
        </row>
        <row r="9559">
          <cell r="G9559" t="str">
            <v>Xã Suối Rao</v>
          </cell>
          <cell r="I9559" t="str">
            <v>71705</v>
          </cell>
        </row>
        <row r="9560">
          <cell r="G9560" t="str">
            <v xml:space="preserve">Xã Nghĩa Thành </v>
          </cell>
          <cell r="I9560" t="str">
            <v>71705</v>
          </cell>
        </row>
        <row r="9561">
          <cell r="G9561" t="str">
            <v>Xã Xuyên Mộc</v>
          </cell>
          <cell r="I9561" t="str">
            <v>71707</v>
          </cell>
        </row>
        <row r="9562">
          <cell r="G9562" t="str">
            <v xml:space="preserve">Xã Phước Tân    </v>
          </cell>
          <cell r="I9562" t="str">
            <v>71707</v>
          </cell>
        </row>
        <row r="9563">
          <cell r="G9563" t="str">
            <v xml:space="preserve">Xã Hòa Bình              </v>
          </cell>
          <cell r="I9563" t="str">
            <v>71707</v>
          </cell>
        </row>
        <row r="9564">
          <cell r="G9564" t="str">
            <v>Xã Bưng Riềng</v>
          </cell>
          <cell r="I9564" t="str">
            <v>71707</v>
          </cell>
        </row>
        <row r="9565">
          <cell r="G9565" t="str">
            <v>Thị trấn Phước Bửu</v>
          </cell>
          <cell r="I9565" t="str">
            <v>71707</v>
          </cell>
        </row>
        <row r="9566">
          <cell r="G9566" t="str">
            <v xml:space="preserve">Xã Phước Thuận  </v>
          </cell>
          <cell r="I9566" t="str">
            <v>71707</v>
          </cell>
        </row>
        <row r="9567">
          <cell r="G9567" t="str">
            <v>Xã Bông Trang</v>
          </cell>
          <cell r="I9567" t="str">
            <v>71707</v>
          </cell>
        </row>
        <row r="9568">
          <cell r="G9568" t="str">
            <v xml:space="preserve">Xã Tân Lâm </v>
          </cell>
          <cell r="I9568" t="str">
            <v>71707</v>
          </cell>
        </row>
        <row r="9569">
          <cell r="G9569" t="str">
            <v>Xã Bàu Lâm</v>
          </cell>
          <cell r="I9569" t="str">
            <v>71707</v>
          </cell>
        </row>
        <row r="9570">
          <cell r="G9570" t="str">
            <v>Xã Hòa Hưng</v>
          </cell>
          <cell r="I9570" t="str">
            <v>71707</v>
          </cell>
        </row>
        <row r="9571">
          <cell r="G9571" t="str">
            <v xml:space="preserve">Xã Hòa Hiệp   </v>
          </cell>
          <cell r="I9571" t="str">
            <v>71707</v>
          </cell>
        </row>
        <row r="9572">
          <cell r="G9572" t="str">
            <v xml:space="preserve">Xã Hòa Hội  </v>
          </cell>
          <cell r="I9572" t="str">
            <v>71707</v>
          </cell>
        </row>
        <row r="9573">
          <cell r="G9573" t="str">
            <v xml:space="preserve">Xã Bình Châu </v>
          </cell>
          <cell r="I9573" t="str">
            <v>71707</v>
          </cell>
        </row>
        <row r="9574">
          <cell r="G9574" t="str">
            <v>Thị trấn Phú Mỹ</v>
          </cell>
          <cell r="I9574" t="str">
            <v>71709</v>
          </cell>
        </row>
        <row r="9575">
          <cell r="G9575" t="str">
            <v>Xã Sông Xoài</v>
          </cell>
          <cell r="I9575" t="str">
            <v>71709</v>
          </cell>
        </row>
        <row r="9576">
          <cell r="G9576" t="str">
            <v xml:space="preserve">Xã Tân Hải  </v>
          </cell>
          <cell r="I9576" t="str">
            <v>71709</v>
          </cell>
        </row>
        <row r="9577">
          <cell r="G9577" t="str">
            <v xml:space="preserve">Xã Tân Hòa        </v>
          </cell>
          <cell r="I9577" t="str">
            <v>71709</v>
          </cell>
        </row>
        <row r="9578">
          <cell r="G9578" t="str">
            <v xml:space="preserve">Xã Phước Hòa    </v>
          </cell>
          <cell r="I9578" t="str">
            <v>71709</v>
          </cell>
        </row>
        <row r="9579">
          <cell r="G9579" t="str">
            <v xml:space="preserve">Xã Tân Phước  </v>
          </cell>
          <cell r="I9579" t="str">
            <v>71709</v>
          </cell>
        </row>
        <row r="9580">
          <cell r="G9580" t="str">
            <v>Xã Mỹ Xuân</v>
          </cell>
          <cell r="I9580" t="str">
            <v>71709</v>
          </cell>
        </row>
        <row r="9581">
          <cell r="G9581" t="str">
            <v>Xã Hắc Dịch</v>
          </cell>
          <cell r="I9581" t="str">
            <v>71709</v>
          </cell>
        </row>
        <row r="9582">
          <cell r="G9582" t="str">
            <v>Xã Châu Pha</v>
          </cell>
          <cell r="I9582" t="str">
            <v>71709</v>
          </cell>
        </row>
        <row r="9583">
          <cell r="G9583" t="str">
            <v>Xã Tóc Tiên</v>
          </cell>
          <cell r="I9583" t="str">
            <v>71709</v>
          </cell>
        </row>
        <row r="9584">
          <cell r="G9584" t="str">
            <v>Thị trấn Long Hải</v>
          </cell>
          <cell r="I9584" t="str">
            <v>71711</v>
          </cell>
        </row>
        <row r="9585">
          <cell r="G9585" t="str">
            <v>Xã An Ngãi</v>
          </cell>
          <cell r="I9585" t="str">
            <v>71711</v>
          </cell>
        </row>
        <row r="9586">
          <cell r="G9586" t="str">
            <v>Xã Phước Tỉnh</v>
          </cell>
          <cell r="I9586" t="str">
            <v>71711</v>
          </cell>
        </row>
        <row r="9587">
          <cell r="G9587" t="str">
            <v>Thị trấn Long Điền</v>
          </cell>
          <cell r="I9587" t="str">
            <v>71711</v>
          </cell>
        </row>
        <row r="9588">
          <cell r="G9588" t="str">
            <v xml:space="preserve">Xã Tam Phước </v>
          </cell>
          <cell r="I9588" t="str">
            <v>71711</v>
          </cell>
        </row>
        <row r="9589">
          <cell r="G9589" t="str">
            <v>Xã An Nhứt</v>
          </cell>
          <cell r="I9589" t="str">
            <v>71711</v>
          </cell>
        </row>
        <row r="9590">
          <cell r="G9590" t="str">
            <v xml:space="preserve">Xã Phước Hưng </v>
          </cell>
          <cell r="I9590" t="str">
            <v>71711</v>
          </cell>
        </row>
        <row r="9591">
          <cell r="G9591" t="str">
            <v>Xã Long Mỹ</v>
          </cell>
          <cell r="I9591" t="str">
            <v>71712</v>
          </cell>
        </row>
        <row r="9592">
          <cell r="G9592" t="str">
            <v>Xã Láng Dài</v>
          </cell>
          <cell r="I9592" t="str">
            <v>71712</v>
          </cell>
        </row>
        <row r="9593">
          <cell r="G9593" t="str">
            <v>Thị trấn Đất Đỏ</v>
          </cell>
          <cell r="I9593" t="str">
            <v>71712</v>
          </cell>
        </row>
        <row r="9594">
          <cell r="G9594" t="str">
            <v>Xã Phước Long Thọ</v>
          </cell>
          <cell r="I9594" t="str">
            <v>71712</v>
          </cell>
        </row>
        <row r="9595">
          <cell r="G9595" t="str">
            <v>Xã Phước Hội</v>
          </cell>
          <cell r="I9595" t="str">
            <v>71712</v>
          </cell>
        </row>
        <row r="9596">
          <cell r="G9596" t="str">
            <v>Thị Trấn Phước Hải</v>
          </cell>
          <cell r="I9596" t="str">
            <v>71712</v>
          </cell>
        </row>
        <row r="9597">
          <cell r="G9597" t="str">
            <v xml:space="preserve">Xã Long Tân   </v>
          </cell>
          <cell r="I9597" t="str">
            <v>71712</v>
          </cell>
        </row>
        <row r="9598">
          <cell r="G9598" t="str">
            <v xml:space="preserve">Xã Lộc An     </v>
          </cell>
          <cell r="I9598" t="str">
            <v>71712</v>
          </cell>
        </row>
        <row r="9599">
          <cell r="G9599" t="str">
            <v>Thị trấn Côn Đảo</v>
          </cell>
          <cell r="I9599" t="str">
            <v>71713</v>
          </cell>
        </row>
        <row r="9600">
          <cell r="G9600" t="str">
            <v>Xã Hướng Thọ Phú</v>
          </cell>
          <cell r="I9600" t="str">
            <v>80101</v>
          </cell>
        </row>
        <row r="9601">
          <cell r="G9601" t="str">
            <v xml:space="preserve">Phường 3           </v>
          </cell>
          <cell r="I9601" t="str">
            <v>80101</v>
          </cell>
        </row>
        <row r="9602">
          <cell r="G9602" t="str">
            <v>Xã Nhơn Thạnh Trung</v>
          </cell>
          <cell r="I9602" t="str">
            <v>80101</v>
          </cell>
        </row>
        <row r="9603">
          <cell r="G9603" t="str">
            <v xml:space="preserve">Phường 5         </v>
          </cell>
          <cell r="I9603" t="str">
            <v>80101</v>
          </cell>
        </row>
        <row r="9604">
          <cell r="G9604" t="str">
            <v>Xã An Vĩnh Ngãi</v>
          </cell>
          <cell r="I9604" t="str">
            <v>80101</v>
          </cell>
        </row>
        <row r="9605">
          <cell r="G9605" t="str">
            <v xml:space="preserve">Phường 2           </v>
          </cell>
          <cell r="I9605" t="str">
            <v>80101</v>
          </cell>
        </row>
        <row r="9606">
          <cell r="G9606" t="str">
            <v xml:space="preserve">Phường 4         </v>
          </cell>
          <cell r="I9606" t="str">
            <v>80101</v>
          </cell>
        </row>
        <row r="9607">
          <cell r="G9607" t="str">
            <v xml:space="preserve">Phường 1            </v>
          </cell>
          <cell r="I9607" t="str">
            <v>80101</v>
          </cell>
        </row>
        <row r="9608">
          <cell r="G9608" t="str">
            <v xml:space="preserve">Phường 7        </v>
          </cell>
          <cell r="I9608" t="str">
            <v>80101</v>
          </cell>
        </row>
        <row r="9609">
          <cell r="G9609" t="str">
            <v xml:space="preserve">Phường 6        </v>
          </cell>
          <cell r="I9609" t="str">
            <v>80101</v>
          </cell>
        </row>
        <row r="9610">
          <cell r="G9610" t="str">
            <v>Xã Lợi Bình Nhơn</v>
          </cell>
          <cell r="I9610" t="str">
            <v>80101</v>
          </cell>
        </row>
        <row r="9611">
          <cell r="G9611" t="str">
            <v>Xã Bình Tâm</v>
          </cell>
          <cell r="I9611" t="str">
            <v>80101</v>
          </cell>
        </row>
        <row r="9612">
          <cell r="G9612" t="str">
            <v>Phường Khánh Hậu</v>
          </cell>
          <cell r="I9612" t="str">
            <v>80101</v>
          </cell>
        </row>
        <row r="9613">
          <cell r="G9613" t="str">
            <v>Phường Tân Khánh</v>
          </cell>
          <cell r="I9613" t="str">
            <v>80101</v>
          </cell>
        </row>
        <row r="9614">
          <cell r="G9614" t="str">
            <v xml:space="preserve">Xã Vĩnh Thạnh </v>
          </cell>
          <cell r="I9614" t="str">
            <v>80103</v>
          </cell>
        </row>
        <row r="9615">
          <cell r="G9615" t="str">
            <v>Thị trấn Tân Hưng</v>
          </cell>
          <cell r="I9615" t="str">
            <v>80103</v>
          </cell>
        </row>
        <row r="9616">
          <cell r="G9616" t="str">
            <v>Xã Hưng Hà</v>
          </cell>
          <cell r="I9616" t="str">
            <v>80103</v>
          </cell>
        </row>
        <row r="9617">
          <cell r="G9617" t="str">
            <v>Xã Hưng Điền B</v>
          </cell>
          <cell r="I9617" t="str">
            <v>80103</v>
          </cell>
        </row>
        <row r="9618">
          <cell r="G9618" t="str">
            <v>Xã Hưng Điền</v>
          </cell>
          <cell r="I9618" t="str">
            <v>80103</v>
          </cell>
        </row>
        <row r="9619">
          <cell r="G9619" t="str">
            <v>Xã Thạnh Hưng</v>
          </cell>
          <cell r="I9619" t="str">
            <v>80103</v>
          </cell>
        </row>
        <row r="9620">
          <cell r="G9620" t="str">
            <v>Xã Hưng Thạnh</v>
          </cell>
          <cell r="I9620" t="str">
            <v>80103</v>
          </cell>
        </row>
        <row r="9621">
          <cell r="G9621" t="str">
            <v>Xã Vĩnh Châu B</v>
          </cell>
          <cell r="I9621" t="str">
            <v>80103</v>
          </cell>
        </row>
        <row r="9622">
          <cell r="G9622" t="str">
            <v xml:space="preserve">Xã Vĩnh Lợi </v>
          </cell>
          <cell r="I9622" t="str">
            <v>80103</v>
          </cell>
        </row>
        <row r="9623">
          <cell r="G9623" t="str">
            <v>Xã Vĩnh Đại</v>
          </cell>
          <cell r="I9623" t="str">
            <v>80103</v>
          </cell>
        </row>
        <row r="9624">
          <cell r="G9624" t="str">
            <v>Xã Vĩnh Châu A</v>
          </cell>
          <cell r="I9624" t="str">
            <v>80103</v>
          </cell>
        </row>
        <row r="9625">
          <cell r="G9625" t="str">
            <v>Xã Vĩnh Bửu</v>
          </cell>
          <cell r="I9625" t="str">
            <v>80103</v>
          </cell>
        </row>
        <row r="9626">
          <cell r="G9626" t="str">
            <v>Xã Vĩnh Trị</v>
          </cell>
          <cell r="I9626" t="str">
            <v>80105</v>
          </cell>
        </row>
        <row r="9627">
          <cell r="G9627" t="str">
            <v>Thị trấn Vĩnh Hưng</v>
          </cell>
          <cell r="I9627" t="str">
            <v>80105</v>
          </cell>
        </row>
        <row r="9628">
          <cell r="G9628" t="str">
            <v>Xã Thái Bình Trung</v>
          </cell>
          <cell r="I9628" t="str">
            <v>80105</v>
          </cell>
        </row>
        <row r="9629">
          <cell r="G9629" t="str">
            <v>Xã Hưng Điền A</v>
          </cell>
          <cell r="I9629" t="str">
            <v>80105</v>
          </cell>
        </row>
        <row r="9630">
          <cell r="G9630" t="str">
            <v>Xã Khánh Hưng</v>
          </cell>
          <cell r="I9630" t="str">
            <v>80105</v>
          </cell>
        </row>
        <row r="9631">
          <cell r="G9631" t="str">
            <v>Xã Thái Trị</v>
          </cell>
          <cell r="I9631" t="str">
            <v>80105</v>
          </cell>
        </row>
        <row r="9632">
          <cell r="G9632" t="str">
            <v>Xã Vĩnh Bình</v>
          </cell>
          <cell r="I9632" t="str">
            <v>80105</v>
          </cell>
        </row>
        <row r="9633">
          <cell r="G9633" t="str">
            <v xml:space="preserve">Xã Vĩnh Thuận </v>
          </cell>
          <cell r="I9633" t="str">
            <v>80105</v>
          </cell>
        </row>
        <row r="9634">
          <cell r="G9634" t="str">
            <v>Xã Tuyên Bình</v>
          </cell>
          <cell r="I9634" t="str">
            <v>80105</v>
          </cell>
        </row>
        <row r="9635">
          <cell r="G9635" t="str">
            <v>Xã Tuyên Bình Tây</v>
          </cell>
          <cell r="I9635" t="str">
            <v>80105</v>
          </cell>
        </row>
        <row r="9636">
          <cell r="G9636" t="str">
            <v>Xã Bình Hòa Đông</v>
          </cell>
          <cell r="I9636" t="str">
            <v>80107</v>
          </cell>
        </row>
        <row r="9637">
          <cell r="G9637" t="str">
            <v xml:space="preserve">Xã Tân Thành                   </v>
          </cell>
          <cell r="I9637" t="str">
            <v>80107</v>
          </cell>
        </row>
        <row r="9638">
          <cell r="G9638" t="str">
            <v>Xã Bình Hòa Tây</v>
          </cell>
          <cell r="I9638" t="str">
            <v>80107</v>
          </cell>
        </row>
        <row r="9639">
          <cell r="G9639" t="str">
            <v xml:space="preserve">Xã Bình Thạnh    </v>
          </cell>
          <cell r="I9639" t="str">
            <v>80107</v>
          </cell>
        </row>
        <row r="9640">
          <cell r="G9640" t="str">
            <v>Xã Bình Hòa Trung</v>
          </cell>
          <cell r="I9640" t="str">
            <v>80107</v>
          </cell>
        </row>
        <row r="9641">
          <cell r="G9641" t="str">
            <v>Xã Bình Phong Thạnh</v>
          </cell>
          <cell r="I9641" t="str">
            <v>80107</v>
          </cell>
        </row>
        <row r="9642">
          <cell r="G9642" t="str">
            <v xml:space="preserve">Xã Tân Lập                      </v>
          </cell>
          <cell r="I9642" t="str">
            <v>80107</v>
          </cell>
        </row>
        <row r="9643">
          <cell r="G9643" t="str">
            <v>Xã Nhơn Hòa</v>
          </cell>
          <cell r="I9643" t="str">
            <v>80109</v>
          </cell>
        </row>
        <row r="9644">
          <cell r="G9644" t="str">
            <v>Xã Nhơn Hòa Lập</v>
          </cell>
          <cell r="I9644" t="str">
            <v>80109</v>
          </cell>
        </row>
        <row r="9645">
          <cell r="G9645" t="str">
            <v xml:space="preserve">Xã Tân Thành                    </v>
          </cell>
          <cell r="I9645" t="str">
            <v>80109</v>
          </cell>
        </row>
        <row r="9646">
          <cell r="G9646" t="str">
            <v xml:space="preserve">Xã Tân Hòa         </v>
          </cell>
          <cell r="I9646" t="str">
            <v>80109</v>
          </cell>
        </row>
        <row r="9647">
          <cell r="G9647" t="str">
            <v>Thị trấn Tân Thạnh</v>
          </cell>
          <cell r="I9647" t="str">
            <v>80109</v>
          </cell>
        </row>
        <row r="9648">
          <cell r="G9648" t="str">
            <v>Xã Bắc Hòa</v>
          </cell>
          <cell r="I9648" t="str">
            <v>80109</v>
          </cell>
        </row>
        <row r="9649">
          <cell r="G9649" t="str">
            <v>Xã Hậu Thạnh Tây</v>
          </cell>
          <cell r="I9649" t="str">
            <v>80109</v>
          </cell>
        </row>
        <row r="9650">
          <cell r="G9650" t="str">
            <v xml:space="preserve">Xã Tân Lập                       </v>
          </cell>
          <cell r="I9650" t="str">
            <v>80109</v>
          </cell>
        </row>
        <row r="9651">
          <cell r="G9651" t="str">
            <v>Xã Hậu Thạnh Đông</v>
          </cell>
          <cell r="I9651" t="str">
            <v>80109</v>
          </cell>
        </row>
        <row r="9652">
          <cell r="G9652" t="str">
            <v>Xã Kiến Bình</v>
          </cell>
          <cell r="I9652" t="str">
            <v>80109</v>
          </cell>
        </row>
        <row r="9653">
          <cell r="G9653" t="str">
            <v xml:space="preserve">Xã Tân Bình         </v>
          </cell>
          <cell r="I9653" t="str">
            <v>80109</v>
          </cell>
        </row>
        <row r="9654">
          <cell r="G9654" t="str">
            <v xml:space="preserve">Xã Tân Ninh  </v>
          </cell>
          <cell r="I9654" t="str">
            <v>80109</v>
          </cell>
        </row>
        <row r="9655">
          <cell r="G9655" t="str">
            <v>Xã Nhơn Ninh</v>
          </cell>
          <cell r="I9655" t="str">
            <v>80109</v>
          </cell>
        </row>
        <row r="9656">
          <cell r="G9656" t="str">
            <v xml:space="preserve">Xã Thạnh Phú </v>
          </cell>
          <cell r="I9656" t="str">
            <v>80111</v>
          </cell>
        </row>
        <row r="9657">
          <cell r="G9657" t="str">
            <v>Xã Thạnh Phước</v>
          </cell>
          <cell r="I9657" t="str">
            <v>80111</v>
          </cell>
        </row>
        <row r="9658">
          <cell r="G9658" t="str">
            <v>Xã Thủy Tây</v>
          </cell>
          <cell r="I9658" t="str">
            <v>80111</v>
          </cell>
        </row>
        <row r="9659">
          <cell r="G9659" t="str">
            <v>Thị trấn Thạnh Hóa</v>
          </cell>
          <cell r="I9659" t="str">
            <v>80111</v>
          </cell>
        </row>
        <row r="9660">
          <cell r="G9660" t="str">
            <v xml:space="preserve">Xã Tân Hiệp       </v>
          </cell>
          <cell r="I9660" t="str">
            <v>80111</v>
          </cell>
        </row>
        <row r="9661">
          <cell r="G9661" t="str">
            <v>Xã Thuận Bình</v>
          </cell>
          <cell r="I9661" t="str">
            <v>80111</v>
          </cell>
        </row>
        <row r="9662">
          <cell r="G9662" t="str">
            <v>Xã Thuận Nghĩa Hòa</v>
          </cell>
          <cell r="I9662" t="str">
            <v>80111</v>
          </cell>
        </row>
        <row r="9663">
          <cell r="G9663" t="str">
            <v>Xã Thủy Đông</v>
          </cell>
          <cell r="I9663" t="str">
            <v>80111</v>
          </cell>
        </row>
        <row r="9664">
          <cell r="G9664" t="str">
            <v>Xã Tân Tây</v>
          </cell>
          <cell r="I9664" t="str">
            <v>80111</v>
          </cell>
        </row>
        <row r="9665">
          <cell r="G9665" t="str">
            <v xml:space="preserve">Xã Tân Đông </v>
          </cell>
          <cell r="I9665" t="str">
            <v>80111</v>
          </cell>
        </row>
        <row r="9666">
          <cell r="G9666" t="str">
            <v xml:space="preserve">Xã Thạnh An </v>
          </cell>
          <cell r="I9666" t="str">
            <v>80111</v>
          </cell>
        </row>
        <row r="9667">
          <cell r="G9667" t="str">
            <v>Xã Mỹ Thạnh Tây</v>
          </cell>
          <cell r="I9667" t="str">
            <v>80113</v>
          </cell>
        </row>
        <row r="9668">
          <cell r="G9668" t="str">
            <v>Thị trấn Đông Thành</v>
          </cell>
          <cell r="I9668" t="str">
            <v>80113</v>
          </cell>
        </row>
        <row r="9669">
          <cell r="G9669" t="str">
            <v>Xã Mỹ Thạnh Đông</v>
          </cell>
          <cell r="I9669" t="str">
            <v>80113</v>
          </cell>
        </row>
        <row r="9670">
          <cell r="G9670" t="str">
            <v>Xã Bình Hòa Nam</v>
          </cell>
          <cell r="I9670" t="str">
            <v>80113</v>
          </cell>
        </row>
        <row r="9671">
          <cell r="G9671" t="str">
            <v>Xã Mỹ Quý Đông</v>
          </cell>
          <cell r="I9671" t="str">
            <v>80113</v>
          </cell>
        </row>
        <row r="9672">
          <cell r="G9672" t="str">
            <v>Xã Mỹ Thạnh Bắc</v>
          </cell>
          <cell r="I9672" t="str">
            <v>80113</v>
          </cell>
        </row>
        <row r="9673">
          <cell r="G9673" t="str">
            <v>Xã Mỹ Quý Tây</v>
          </cell>
          <cell r="I9673" t="str">
            <v>80113</v>
          </cell>
        </row>
        <row r="9674">
          <cell r="G9674" t="str">
            <v xml:space="preserve">Xã Bình Thành   </v>
          </cell>
          <cell r="I9674" t="str">
            <v>80113</v>
          </cell>
        </row>
        <row r="9675">
          <cell r="G9675" t="str">
            <v>Xã Bình Hòa Bắc</v>
          </cell>
          <cell r="I9675" t="str">
            <v>80113</v>
          </cell>
        </row>
        <row r="9676">
          <cell r="G9676" t="str">
            <v>Xã Bình Hòa Hưng</v>
          </cell>
          <cell r="I9676" t="str">
            <v>80113</v>
          </cell>
        </row>
        <row r="9677">
          <cell r="G9677" t="str">
            <v>Xã Mỹ Bình</v>
          </cell>
          <cell r="I9677" t="str">
            <v>80113</v>
          </cell>
        </row>
        <row r="9678">
          <cell r="G9678" t="str">
            <v xml:space="preserve">Xã Tân Mỹ     </v>
          </cell>
          <cell r="I9678" t="str">
            <v>80115</v>
          </cell>
        </row>
        <row r="9679">
          <cell r="G9679" t="str">
            <v>Xã Đức Hòa Hạ</v>
          </cell>
          <cell r="I9679" t="str">
            <v>80115</v>
          </cell>
        </row>
        <row r="9680">
          <cell r="G9680" t="str">
            <v>Thị trấn Đức Hòa</v>
          </cell>
          <cell r="I9680" t="str">
            <v>80115</v>
          </cell>
        </row>
        <row r="9681">
          <cell r="G9681" t="str">
            <v xml:space="preserve">Xã Hiệp Hòa      </v>
          </cell>
          <cell r="I9681" t="str">
            <v>80115</v>
          </cell>
        </row>
        <row r="9682">
          <cell r="G9682" t="str">
            <v>Xã Mỹ Hạnh Bắc</v>
          </cell>
          <cell r="I9682" t="str">
            <v>80115</v>
          </cell>
        </row>
        <row r="9683">
          <cell r="G9683" t="str">
            <v>Xã Mỹ Hạnh Nam</v>
          </cell>
          <cell r="I9683" t="str">
            <v>80115</v>
          </cell>
        </row>
        <row r="9684">
          <cell r="G9684" t="str">
            <v>Xã Hựu Thạnh</v>
          </cell>
          <cell r="I9684" t="str">
            <v>80115</v>
          </cell>
        </row>
        <row r="9685">
          <cell r="G9685" t="str">
            <v>Thị trấn Hậu Nghĩa</v>
          </cell>
          <cell r="I9685" t="str">
            <v>80115</v>
          </cell>
        </row>
        <row r="9686">
          <cell r="G9686" t="str">
            <v>Thị trấn Hiệp Hòa</v>
          </cell>
          <cell r="I9686" t="str">
            <v>80115</v>
          </cell>
        </row>
        <row r="9687">
          <cell r="G9687" t="str">
            <v>Xã Lộc Giang</v>
          </cell>
          <cell r="I9687" t="str">
            <v>80115</v>
          </cell>
        </row>
        <row r="9688">
          <cell r="G9688" t="str">
            <v xml:space="preserve">Xã An Ninh Đông </v>
          </cell>
          <cell r="I9688" t="str">
            <v>80115</v>
          </cell>
        </row>
        <row r="9689">
          <cell r="G9689" t="str">
            <v xml:space="preserve">Xã An Ninh Tây </v>
          </cell>
          <cell r="I9689" t="str">
            <v>80115</v>
          </cell>
        </row>
        <row r="9690">
          <cell r="G9690" t="str">
            <v>Xã Đức Lập Thượng</v>
          </cell>
          <cell r="I9690" t="str">
            <v>80115</v>
          </cell>
        </row>
        <row r="9691">
          <cell r="G9691" t="str">
            <v>Xã Đức Lập Hạ</v>
          </cell>
          <cell r="I9691" t="str">
            <v>80115</v>
          </cell>
        </row>
        <row r="9692">
          <cell r="G9692" t="str">
            <v xml:space="preserve">Xã Tân Phú     </v>
          </cell>
          <cell r="I9692" t="str">
            <v>80115</v>
          </cell>
        </row>
        <row r="9693">
          <cell r="G9693" t="str">
            <v>Xã Đức Hòa Thượng</v>
          </cell>
          <cell r="I9693" t="str">
            <v>80115</v>
          </cell>
        </row>
        <row r="9694">
          <cell r="G9694" t="str">
            <v>Xã Hòa Khánh Tây</v>
          </cell>
          <cell r="I9694" t="str">
            <v>80115</v>
          </cell>
        </row>
        <row r="9695">
          <cell r="G9695" t="str">
            <v>Xã Hòa Khánh Đông</v>
          </cell>
          <cell r="I9695" t="str">
            <v>80115</v>
          </cell>
        </row>
        <row r="9696">
          <cell r="G9696" t="str">
            <v>Xã Hòa Khánh Nam</v>
          </cell>
          <cell r="I9696" t="str">
            <v>80115</v>
          </cell>
        </row>
        <row r="9697">
          <cell r="G9697" t="str">
            <v>Xã Đức Hòa Đông</v>
          </cell>
          <cell r="I9697" t="str">
            <v>80115</v>
          </cell>
        </row>
        <row r="9698">
          <cell r="G9698" t="str">
            <v xml:space="preserve">Xã Thanh Phú  </v>
          </cell>
          <cell r="I9698" t="str">
            <v>80117</v>
          </cell>
        </row>
        <row r="9699">
          <cell r="G9699" t="str">
            <v>Xã Thạnh Hòa</v>
          </cell>
          <cell r="I9699" t="str">
            <v>80117</v>
          </cell>
        </row>
        <row r="9700">
          <cell r="G9700" t="str">
            <v xml:space="preserve">Xã An Thạnh </v>
          </cell>
          <cell r="I9700" t="str">
            <v>80117</v>
          </cell>
        </row>
        <row r="9701">
          <cell r="G9701" t="str">
            <v xml:space="preserve">Xã Long Hiệp </v>
          </cell>
          <cell r="I9701" t="str">
            <v>80117</v>
          </cell>
        </row>
        <row r="9702">
          <cell r="G9702" t="str">
            <v>Thị trấn Bến Lức</v>
          </cell>
          <cell r="I9702" t="str">
            <v>80117</v>
          </cell>
        </row>
        <row r="9703">
          <cell r="G9703" t="str">
            <v>Xã Thạnh Lợi</v>
          </cell>
          <cell r="I9703" t="str">
            <v>80117</v>
          </cell>
        </row>
        <row r="9704">
          <cell r="G9704" t="str">
            <v>Xã Lương Bình</v>
          </cell>
          <cell r="I9704" t="str">
            <v>80117</v>
          </cell>
        </row>
        <row r="9705">
          <cell r="G9705" t="str">
            <v>Xã Lương Hòa</v>
          </cell>
          <cell r="I9705" t="str">
            <v>80117</v>
          </cell>
        </row>
        <row r="9706">
          <cell r="G9706" t="str">
            <v xml:space="preserve">Xã Tân Hòa          </v>
          </cell>
          <cell r="I9706" t="str">
            <v>80117</v>
          </cell>
        </row>
        <row r="9707">
          <cell r="G9707" t="str">
            <v>Xã Tân Bửu</v>
          </cell>
          <cell r="I9707" t="str">
            <v>80117</v>
          </cell>
        </row>
        <row r="9708">
          <cell r="G9708" t="str">
            <v>Xã Bình Đức</v>
          </cell>
          <cell r="I9708" t="str">
            <v>80117</v>
          </cell>
        </row>
        <row r="9709">
          <cell r="G9709" t="str">
            <v xml:space="preserve">Xã Mỹ Yên </v>
          </cell>
          <cell r="I9709" t="str">
            <v>80117</v>
          </cell>
        </row>
        <row r="9710">
          <cell r="G9710" t="str">
            <v xml:space="preserve">Xã Thạnh Đức </v>
          </cell>
          <cell r="I9710" t="str">
            <v>80117</v>
          </cell>
        </row>
        <row r="9711">
          <cell r="G9711" t="str">
            <v>Xã Phước Lợi</v>
          </cell>
          <cell r="I9711" t="str">
            <v>80117</v>
          </cell>
        </row>
        <row r="9712">
          <cell r="G9712" t="str">
            <v>Xã Nhựt Chánh</v>
          </cell>
          <cell r="I9712" t="str">
            <v>80117</v>
          </cell>
        </row>
        <row r="9713">
          <cell r="G9713" t="str">
            <v xml:space="preserve">Xã Mỹ Thạnh </v>
          </cell>
          <cell r="I9713" t="str">
            <v>80119</v>
          </cell>
        </row>
        <row r="9714">
          <cell r="G9714" t="str">
            <v xml:space="preserve">Xã Tân Lập                        </v>
          </cell>
          <cell r="I9714" t="str">
            <v>80119</v>
          </cell>
        </row>
        <row r="9715">
          <cell r="G9715" t="str">
            <v>Thị trấn Thủ Thừa</v>
          </cell>
          <cell r="I9715" t="str">
            <v>80119</v>
          </cell>
        </row>
        <row r="9716">
          <cell r="G9716" t="str">
            <v xml:space="preserve">Xã Tân Thành                     </v>
          </cell>
          <cell r="I9716" t="str">
            <v>80119</v>
          </cell>
        </row>
        <row r="9717">
          <cell r="G9717" t="str">
            <v xml:space="preserve">Xã Long Thuận </v>
          </cell>
          <cell r="I9717" t="str">
            <v>80119</v>
          </cell>
        </row>
        <row r="9718">
          <cell r="G9718" t="str">
            <v>Xã Mỹ Lạc</v>
          </cell>
          <cell r="I9718" t="str">
            <v>80119</v>
          </cell>
        </row>
        <row r="9719">
          <cell r="G9719" t="str">
            <v xml:space="preserve">Xã Bình An     </v>
          </cell>
          <cell r="I9719" t="str">
            <v>80119</v>
          </cell>
        </row>
        <row r="9720">
          <cell r="G9720" t="str">
            <v>Xã Nhị Thành</v>
          </cell>
          <cell r="I9720" t="str">
            <v>80119</v>
          </cell>
        </row>
        <row r="9721">
          <cell r="G9721" t="str">
            <v xml:space="preserve">Xã Mỹ An  </v>
          </cell>
          <cell r="I9721" t="str">
            <v>80119</v>
          </cell>
        </row>
        <row r="9722">
          <cell r="G9722" t="str">
            <v xml:space="preserve">Xã Bình Thạnh     </v>
          </cell>
          <cell r="I9722" t="str">
            <v>80119</v>
          </cell>
        </row>
        <row r="9723">
          <cell r="G9723" t="str">
            <v>Xã Mỹ Phú</v>
          </cell>
          <cell r="I9723" t="str">
            <v>80119</v>
          </cell>
        </row>
        <row r="9724">
          <cell r="G9724" t="str">
            <v xml:space="preserve">Xã Long Thành </v>
          </cell>
          <cell r="I9724" t="str">
            <v>80119</v>
          </cell>
        </row>
        <row r="9725">
          <cell r="G9725" t="str">
            <v>Xã Long Thạnh</v>
          </cell>
          <cell r="I9725" t="str">
            <v>80119</v>
          </cell>
        </row>
        <row r="9726">
          <cell r="G9726" t="str">
            <v>Xã Phước Tân Hưng</v>
          </cell>
          <cell r="I9726" t="str">
            <v>80121</v>
          </cell>
        </row>
        <row r="9727">
          <cell r="G9727" t="str">
            <v>Thị trấn Tầm Vu</v>
          </cell>
          <cell r="I9727" t="str">
            <v>80121</v>
          </cell>
        </row>
        <row r="9728">
          <cell r="G9728" t="str">
            <v>Xã Vĩnh Công</v>
          </cell>
          <cell r="I9728" t="str">
            <v>80121</v>
          </cell>
        </row>
        <row r="9729">
          <cell r="G9729" t="str">
            <v>Xã Thanh Phú Long</v>
          </cell>
          <cell r="I9729" t="str">
            <v>80121</v>
          </cell>
        </row>
        <row r="9730">
          <cell r="G9730" t="str">
            <v>Xã Bình Quới</v>
          </cell>
          <cell r="I9730" t="str">
            <v>80121</v>
          </cell>
        </row>
        <row r="9731">
          <cell r="G9731" t="str">
            <v xml:space="preserve">Xã Hòa Phú        </v>
          </cell>
          <cell r="I9731" t="str">
            <v>80121</v>
          </cell>
        </row>
        <row r="9732">
          <cell r="G9732" t="str">
            <v>Xã Phú Ngãi Trị</v>
          </cell>
          <cell r="I9732" t="str">
            <v>80121</v>
          </cell>
        </row>
        <row r="9733">
          <cell r="G9733" t="str">
            <v>Xã Thuận Mỹ</v>
          </cell>
          <cell r="I9733" t="str">
            <v>80121</v>
          </cell>
        </row>
        <row r="9734">
          <cell r="G9734" t="str">
            <v xml:space="preserve">Xã Hiệp Thạnh  </v>
          </cell>
          <cell r="I9734" t="str">
            <v>80121</v>
          </cell>
        </row>
        <row r="9735">
          <cell r="G9735" t="str">
            <v>Xã Dương Xuân Hội</v>
          </cell>
          <cell r="I9735" t="str">
            <v>80121</v>
          </cell>
        </row>
        <row r="9736">
          <cell r="G9736" t="str">
            <v>Xã An Lục Long</v>
          </cell>
          <cell r="I9736" t="str">
            <v>80121</v>
          </cell>
        </row>
        <row r="9737">
          <cell r="G9737" t="str">
            <v>Xã Long Trì</v>
          </cell>
          <cell r="I9737" t="str">
            <v>80121</v>
          </cell>
        </row>
        <row r="9738">
          <cell r="G9738" t="str">
            <v>Xã Thanh Vĩnh Đông</v>
          </cell>
          <cell r="I9738" t="str">
            <v>80121</v>
          </cell>
        </row>
        <row r="9739">
          <cell r="G9739" t="str">
            <v>Xã An Nhựt Tân</v>
          </cell>
          <cell r="I9739" t="str">
            <v>80123</v>
          </cell>
        </row>
        <row r="9740">
          <cell r="G9740" t="str">
            <v>Xã Quê Mỹ Thạnh</v>
          </cell>
          <cell r="I9740" t="str">
            <v>80123</v>
          </cell>
        </row>
        <row r="9741">
          <cell r="G9741" t="str">
            <v xml:space="preserve">Xã Bình Lãng  </v>
          </cell>
          <cell r="I9741" t="str">
            <v>80123</v>
          </cell>
        </row>
        <row r="9742">
          <cell r="G9742" t="str">
            <v>Thị trấn Tân Trụ</v>
          </cell>
          <cell r="I9742" t="str">
            <v>80123</v>
          </cell>
        </row>
        <row r="9743">
          <cell r="G9743" t="str">
            <v xml:space="preserve">Xã Mỹ Bình </v>
          </cell>
          <cell r="I9743" t="str">
            <v>80123</v>
          </cell>
        </row>
        <row r="9744">
          <cell r="G9744" t="str">
            <v>Xã Lạc Tấn</v>
          </cell>
          <cell r="I9744" t="str">
            <v>80123</v>
          </cell>
        </row>
        <row r="9745">
          <cell r="G9745" t="str">
            <v>Xã Bình Trinh Đông</v>
          </cell>
          <cell r="I9745" t="str">
            <v>80123</v>
          </cell>
        </row>
        <row r="9746">
          <cell r="G9746" t="str">
            <v>Xã Tân Phước Tây</v>
          </cell>
          <cell r="I9746" t="str">
            <v>80123</v>
          </cell>
        </row>
        <row r="9747">
          <cell r="G9747" t="str">
            <v>Xã Bình Tịnh</v>
          </cell>
          <cell r="I9747" t="str">
            <v>80123</v>
          </cell>
        </row>
        <row r="9748">
          <cell r="G9748" t="str">
            <v xml:space="preserve">Xã Đức Tân  </v>
          </cell>
          <cell r="I9748" t="str">
            <v>80123</v>
          </cell>
        </row>
        <row r="9749">
          <cell r="G9749" t="str">
            <v>Xã Nhựt Ninh</v>
          </cell>
          <cell r="I9749" t="str">
            <v>80123</v>
          </cell>
        </row>
        <row r="9750">
          <cell r="G9750" t="str">
            <v>Xã Phước Vân</v>
          </cell>
          <cell r="I9750" t="str">
            <v>80125</v>
          </cell>
        </row>
        <row r="9751">
          <cell r="G9751" t="str">
            <v>Xã Tân Chánh</v>
          </cell>
          <cell r="I9751" t="str">
            <v>80125</v>
          </cell>
        </row>
        <row r="9752">
          <cell r="G9752" t="str">
            <v>Thị trấn Cần Đước</v>
          </cell>
          <cell r="I9752" t="str">
            <v>80125</v>
          </cell>
        </row>
        <row r="9753">
          <cell r="G9753" t="str">
            <v xml:space="preserve">Xã Long Hòa  </v>
          </cell>
          <cell r="I9753" t="str">
            <v>80125</v>
          </cell>
        </row>
        <row r="9754">
          <cell r="G9754" t="str">
            <v>Xã Mỹ Lệ</v>
          </cell>
          <cell r="I9754" t="str">
            <v>80125</v>
          </cell>
        </row>
        <row r="9755">
          <cell r="G9755" t="str">
            <v>Xã Long Hựu Đông</v>
          </cell>
          <cell r="I9755" t="str">
            <v>80125</v>
          </cell>
        </row>
        <row r="9756">
          <cell r="G9756" t="str">
            <v>Xã Long Trạch</v>
          </cell>
          <cell r="I9756" t="str">
            <v>80125</v>
          </cell>
        </row>
        <row r="9757">
          <cell r="G9757" t="str">
            <v>Xã Long Khê</v>
          </cell>
          <cell r="I9757" t="str">
            <v>80125</v>
          </cell>
        </row>
        <row r="9758">
          <cell r="G9758" t="str">
            <v>Xã Long Định</v>
          </cell>
          <cell r="I9758" t="str">
            <v>80125</v>
          </cell>
        </row>
        <row r="9759">
          <cell r="G9759" t="str">
            <v>Xã Long Cang</v>
          </cell>
          <cell r="I9759" t="str">
            <v>80125</v>
          </cell>
        </row>
        <row r="9760">
          <cell r="G9760" t="str">
            <v xml:space="preserve">Xã Long Sơn      </v>
          </cell>
          <cell r="I9760" t="str">
            <v>80125</v>
          </cell>
        </row>
        <row r="9761">
          <cell r="G9761" t="str">
            <v xml:space="preserve">Xã Tân Trạch </v>
          </cell>
          <cell r="I9761" t="str">
            <v>80125</v>
          </cell>
        </row>
        <row r="9762">
          <cell r="G9762" t="str">
            <v>Xã Tân Lân</v>
          </cell>
          <cell r="I9762" t="str">
            <v>80125</v>
          </cell>
        </row>
        <row r="9763">
          <cell r="G9763" t="str">
            <v>Xã Phước Tuy</v>
          </cell>
          <cell r="I9763" t="str">
            <v>80125</v>
          </cell>
        </row>
        <row r="9764">
          <cell r="G9764" t="str">
            <v>Xã Tân ân</v>
          </cell>
          <cell r="I9764" t="str">
            <v>80125</v>
          </cell>
        </row>
        <row r="9765">
          <cell r="G9765" t="str">
            <v xml:space="preserve">Xã Phước Đông </v>
          </cell>
          <cell r="I9765" t="str">
            <v>80125</v>
          </cell>
        </row>
        <row r="9766">
          <cell r="G9766" t="str">
            <v>Xã Long Hựu Tây</v>
          </cell>
          <cell r="I9766" t="str">
            <v>80125</v>
          </cell>
        </row>
        <row r="9767">
          <cell r="G9767" t="str">
            <v>Xã Phước Vĩnh Tây</v>
          </cell>
          <cell r="I9767" t="str">
            <v>80127</v>
          </cell>
        </row>
        <row r="9768">
          <cell r="G9768" t="str">
            <v>Thị trấn Cần Giuộc</v>
          </cell>
          <cell r="I9768" t="str">
            <v>80127</v>
          </cell>
        </row>
        <row r="9769">
          <cell r="G9769" t="str">
            <v xml:space="preserve">Xã Tân Kim </v>
          </cell>
          <cell r="I9769" t="str">
            <v>80127</v>
          </cell>
        </row>
        <row r="9770">
          <cell r="G9770" t="str">
            <v>Xã Phước Lâm</v>
          </cell>
          <cell r="I9770" t="str">
            <v>80127</v>
          </cell>
        </row>
        <row r="9771">
          <cell r="G9771" t="str">
            <v>Xã Phước Vĩnh Đông</v>
          </cell>
          <cell r="I9771" t="str">
            <v>80127</v>
          </cell>
        </row>
        <row r="9772">
          <cell r="G9772" t="str">
            <v>Xã Phước Lý</v>
          </cell>
          <cell r="I9772" t="str">
            <v>80127</v>
          </cell>
        </row>
        <row r="9773">
          <cell r="G9773" t="str">
            <v>Xã Long Thượng</v>
          </cell>
          <cell r="I9773" t="str">
            <v>80127</v>
          </cell>
        </row>
        <row r="9774">
          <cell r="G9774" t="str">
            <v>Xã Long Hậu</v>
          </cell>
          <cell r="I9774" t="str">
            <v>80127</v>
          </cell>
        </row>
        <row r="9775">
          <cell r="G9775" t="str">
            <v>Xã Phứơc Hậu</v>
          </cell>
          <cell r="I9775" t="str">
            <v>80127</v>
          </cell>
        </row>
        <row r="9776">
          <cell r="G9776" t="str">
            <v xml:space="preserve">Xã Mỹ Lộc    </v>
          </cell>
          <cell r="I9776" t="str">
            <v>80127</v>
          </cell>
        </row>
        <row r="9777">
          <cell r="G9777" t="str">
            <v>Xã Phước Lại</v>
          </cell>
          <cell r="I9777" t="str">
            <v>80127</v>
          </cell>
        </row>
        <row r="9778">
          <cell r="G9778" t="str">
            <v>Xã Trường Bình</v>
          </cell>
          <cell r="I9778" t="str">
            <v>80127</v>
          </cell>
        </row>
        <row r="9779">
          <cell r="G9779" t="str">
            <v xml:space="preserve">Xã Thuận Thành </v>
          </cell>
          <cell r="I9779" t="str">
            <v>80127</v>
          </cell>
        </row>
        <row r="9780">
          <cell r="G9780" t="str">
            <v xml:space="preserve">Xã Long An </v>
          </cell>
          <cell r="I9780" t="str">
            <v>80127</v>
          </cell>
        </row>
        <row r="9781">
          <cell r="G9781" t="str">
            <v>Xã Long Phụng</v>
          </cell>
          <cell r="I9781" t="str">
            <v>80127</v>
          </cell>
        </row>
        <row r="9782">
          <cell r="G9782" t="str">
            <v xml:space="preserve">Xã Đông Thạnh </v>
          </cell>
          <cell r="I9782" t="str">
            <v>80127</v>
          </cell>
        </row>
        <row r="9783">
          <cell r="G9783" t="str">
            <v>Xã Tân Tập</v>
          </cell>
          <cell r="I9783" t="str">
            <v>80127</v>
          </cell>
        </row>
        <row r="9784">
          <cell r="G9784" t="str">
            <v xml:space="preserve">Phường 1             </v>
          </cell>
          <cell r="I9784" t="str">
            <v>80129</v>
          </cell>
        </row>
        <row r="9785">
          <cell r="G9785" t="str">
            <v xml:space="preserve">Phường 2            </v>
          </cell>
          <cell r="I9785" t="str">
            <v>80129</v>
          </cell>
        </row>
        <row r="9786">
          <cell r="G9786" t="str">
            <v xml:space="preserve">Phường 3            </v>
          </cell>
          <cell r="I9786" t="str">
            <v>80129</v>
          </cell>
        </row>
        <row r="9787">
          <cell r="G9787" t="str">
            <v>Xã Tuyên Thạnh</v>
          </cell>
          <cell r="I9787" t="str">
            <v>80129</v>
          </cell>
        </row>
        <row r="9788">
          <cell r="G9788" t="str">
            <v xml:space="preserve">Xã Thạnh Hưng </v>
          </cell>
          <cell r="I9788" t="str">
            <v>80129</v>
          </cell>
        </row>
        <row r="9789">
          <cell r="G9789" t="str">
            <v xml:space="preserve">Xã Bình Hiệp </v>
          </cell>
          <cell r="I9789" t="str">
            <v>80129</v>
          </cell>
        </row>
        <row r="9790">
          <cell r="G9790" t="str">
            <v xml:space="preserve">Xã Bình Tân    </v>
          </cell>
          <cell r="I9790" t="str">
            <v>80129</v>
          </cell>
        </row>
        <row r="9791">
          <cell r="G9791" t="str">
            <v>Xã Thạnh Trị</v>
          </cell>
          <cell r="I9791" t="str">
            <v>80129</v>
          </cell>
        </row>
        <row r="9792">
          <cell r="G9792" t="str">
            <v xml:space="preserve">Phường 6         </v>
          </cell>
          <cell r="I9792" t="str">
            <v>80301</v>
          </cell>
        </row>
        <row r="9793">
          <cell r="G9793" t="str">
            <v xml:space="preserve">Phường 1              </v>
          </cell>
          <cell r="I9793" t="str">
            <v>80301</v>
          </cell>
        </row>
        <row r="9794">
          <cell r="G9794" t="str">
            <v xml:space="preserve">Phường 3             </v>
          </cell>
          <cell r="I9794" t="str">
            <v>80301</v>
          </cell>
        </row>
        <row r="9795">
          <cell r="G9795" t="str">
            <v>Xã Mỹ Trà</v>
          </cell>
          <cell r="I9795" t="str">
            <v>80301</v>
          </cell>
        </row>
        <row r="9796">
          <cell r="G9796" t="str">
            <v>Xã Tân Thuận Đông</v>
          </cell>
          <cell r="I9796" t="str">
            <v>80301</v>
          </cell>
        </row>
        <row r="9797">
          <cell r="G9797" t="str">
            <v xml:space="preserve">Phường 11            </v>
          </cell>
          <cell r="I9797" t="str">
            <v>80301</v>
          </cell>
        </row>
        <row r="9798">
          <cell r="G9798" t="str">
            <v xml:space="preserve">Phường 2             </v>
          </cell>
          <cell r="I9798" t="str">
            <v>80301</v>
          </cell>
        </row>
        <row r="9799">
          <cell r="G9799" t="str">
            <v xml:space="preserve">Phường 4          </v>
          </cell>
          <cell r="I9799" t="str">
            <v>80301</v>
          </cell>
        </row>
        <row r="9800">
          <cell r="G9800" t="str">
            <v>Xã Mỹ Ngãi</v>
          </cell>
          <cell r="I9800" t="str">
            <v>80301</v>
          </cell>
        </row>
        <row r="9801">
          <cell r="G9801" t="str">
            <v xml:space="preserve">Xã Mỹ Tân  </v>
          </cell>
          <cell r="I9801" t="str">
            <v>80301</v>
          </cell>
        </row>
        <row r="9802">
          <cell r="G9802" t="str">
            <v>Xã Tân Thuận Tây</v>
          </cell>
          <cell r="I9802" t="str">
            <v>80301</v>
          </cell>
        </row>
        <row r="9803">
          <cell r="G9803" t="str">
            <v xml:space="preserve">Xã Hòa An   </v>
          </cell>
          <cell r="I9803" t="str">
            <v>80301</v>
          </cell>
        </row>
        <row r="9804">
          <cell r="G9804" t="str">
            <v>Xã Tịnh Thới</v>
          </cell>
          <cell r="I9804" t="str">
            <v>80301</v>
          </cell>
        </row>
        <row r="9805">
          <cell r="G9805" t="str">
            <v>Phường Mỹ Phú</v>
          </cell>
          <cell r="I9805" t="str">
            <v>80301</v>
          </cell>
        </row>
        <row r="9806">
          <cell r="G9806" t="str">
            <v xml:space="preserve">Phường Hòa Thuận  </v>
          </cell>
          <cell r="I9806" t="str">
            <v>80301</v>
          </cell>
        </row>
        <row r="9807">
          <cell r="G9807" t="str">
            <v>Phường Tân Quy Đông</v>
          </cell>
          <cell r="I9807" t="str">
            <v>80303</v>
          </cell>
        </row>
        <row r="9808">
          <cell r="G9808" t="str">
            <v xml:space="preserve">Phường 4           </v>
          </cell>
          <cell r="I9808" t="str">
            <v>80303</v>
          </cell>
        </row>
        <row r="9809">
          <cell r="G9809" t="str">
            <v>Xã Tân Khánh Đông</v>
          </cell>
          <cell r="I9809" t="str">
            <v>80303</v>
          </cell>
        </row>
        <row r="9810">
          <cell r="G9810" t="str">
            <v>Xã Tân Quy Tây</v>
          </cell>
          <cell r="I9810" t="str">
            <v>80303</v>
          </cell>
        </row>
        <row r="9811">
          <cell r="G9811" t="str">
            <v>Xã Tân Phú Đông</v>
          </cell>
          <cell r="I9811" t="str">
            <v>80303</v>
          </cell>
        </row>
        <row r="9812">
          <cell r="G9812" t="str">
            <v xml:space="preserve">Phường 2              </v>
          </cell>
          <cell r="I9812" t="str">
            <v>80303</v>
          </cell>
        </row>
        <row r="9813">
          <cell r="G9813" t="str">
            <v xml:space="preserve">Phường 3              </v>
          </cell>
          <cell r="I9813" t="str">
            <v>80303</v>
          </cell>
        </row>
        <row r="9814">
          <cell r="G9814" t="str">
            <v xml:space="preserve">Phường 1               </v>
          </cell>
          <cell r="I9814" t="str">
            <v>80303</v>
          </cell>
        </row>
        <row r="9815">
          <cell r="G9815" t="str">
            <v xml:space="preserve">Phường An Hòa </v>
          </cell>
          <cell r="I9815" t="str">
            <v>80303</v>
          </cell>
        </row>
        <row r="9816">
          <cell r="G9816" t="str">
            <v>Xã Tân Công Chí</v>
          </cell>
          <cell r="I9816" t="str">
            <v>80305</v>
          </cell>
        </row>
        <row r="9817">
          <cell r="G9817" t="str">
            <v xml:space="preserve">Xã An Phước </v>
          </cell>
          <cell r="I9817" t="str">
            <v>80305</v>
          </cell>
        </row>
        <row r="9818">
          <cell r="G9818" t="str">
            <v>Thị trấn Sa Rài</v>
          </cell>
          <cell r="I9818" t="str">
            <v>80305</v>
          </cell>
        </row>
        <row r="9819">
          <cell r="G9819" t="str">
            <v>Xã Tân Hộ Cơ</v>
          </cell>
          <cell r="I9819" t="str">
            <v>80305</v>
          </cell>
        </row>
        <row r="9820">
          <cell r="G9820" t="str">
            <v>Xã Thông Bình</v>
          </cell>
          <cell r="I9820" t="str">
            <v>80305</v>
          </cell>
        </row>
        <row r="9821">
          <cell r="G9821" t="str">
            <v xml:space="preserve">Xã Bình Phú    </v>
          </cell>
          <cell r="I9821" t="str">
            <v>80305</v>
          </cell>
        </row>
        <row r="9822">
          <cell r="G9822" t="str">
            <v>Xã Tân Thành A</v>
          </cell>
          <cell r="I9822" t="str">
            <v>80305</v>
          </cell>
        </row>
        <row r="9823">
          <cell r="G9823" t="str">
            <v>Xã Tân Thành B</v>
          </cell>
          <cell r="I9823" t="str">
            <v>80305</v>
          </cell>
        </row>
        <row r="9824">
          <cell r="G9824" t="str">
            <v xml:space="preserve">Xã Tân Phước   </v>
          </cell>
          <cell r="I9824" t="str">
            <v>80305</v>
          </cell>
        </row>
        <row r="9825">
          <cell r="G9825" t="str">
            <v>Xã Thường Thới Hậu A</v>
          </cell>
          <cell r="I9825" t="str">
            <v>80307</v>
          </cell>
        </row>
        <row r="9826">
          <cell r="G9826" t="str">
            <v>Xã Thường Lạc</v>
          </cell>
          <cell r="I9826" t="str">
            <v>80307</v>
          </cell>
        </row>
        <row r="9827">
          <cell r="G9827" t="str">
            <v>Xã Thường Phước 1</v>
          </cell>
          <cell r="I9827" t="str">
            <v>80307</v>
          </cell>
        </row>
        <row r="9828">
          <cell r="G9828" t="str">
            <v>Xã Thường Thới Hậu B</v>
          </cell>
          <cell r="I9828" t="str">
            <v>80307</v>
          </cell>
        </row>
        <row r="9829">
          <cell r="G9829" t="str">
            <v>Xã Thường Thới Tiền</v>
          </cell>
          <cell r="I9829" t="str">
            <v>80307</v>
          </cell>
        </row>
        <row r="9830">
          <cell r="G9830" t="str">
            <v>Xã Thường Phước 2</v>
          </cell>
          <cell r="I9830" t="str">
            <v>80307</v>
          </cell>
        </row>
        <row r="9831">
          <cell r="G9831" t="str">
            <v>Xã Long Khánh A</v>
          </cell>
          <cell r="I9831" t="str">
            <v>80307</v>
          </cell>
        </row>
        <row r="9832">
          <cell r="G9832" t="str">
            <v>Xã Long Khánh B</v>
          </cell>
          <cell r="I9832" t="str">
            <v>80307</v>
          </cell>
        </row>
        <row r="9833">
          <cell r="G9833" t="str">
            <v xml:space="preserve">Xã Long Thuận  </v>
          </cell>
          <cell r="I9833" t="str">
            <v>80307</v>
          </cell>
        </row>
        <row r="9834">
          <cell r="G9834" t="str">
            <v>Xã Phú Thuận B</v>
          </cell>
          <cell r="I9834" t="str">
            <v>80307</v>
          </cell>
        </row>
        <row r="9835">
          <cell r="G9835" t="str">
            <v>Xã Phú Thuận A</v>
          </cell>
          <cell r="I9835" t="str">
            <v>80307</v>
          </cell>
        </row>
        <row r="9836">
          <cell r="G9836" t="str">
            <v xml:space="preserve">Xã An Long </v>
          </cell>
          <cell r="I9836" t="str">
            <v>80309</v>
          </cell>
        </row>
        <row r="9837">
          <cell r="G9837" t="str">
            <v>Thị trấn Tràm Chim</v>
          </cell>
          <cell r="I9837" t="str">
            <v>80309</v>
          </cell>
        </row>
        <row r="9838">
          <cell r="G9838" t="str">
            <v>Xã Phú Thành B</v>
          </cell>
          <cell r="I9838" t="str">
            <v>80309</v>
          </cell>
        </row>
        <row r="9839">
          <cell r="G9839" t="str">
            <v>Xã Phú Ninh</v>
          </cell>
          <cell r="I9839" t="str">
            <v>80309</v>
          </cell>
        </row>
        <row r="9840">
          <cell r="G9840" t="str">
            <v xml:space="preserve">Xã Hòa Bình               </v>
          </cell>
          <cell r="I9840" t="str">
            <v>80309</v>
          </cell>
        </row>
        <row r="9841">
          <cell r="G9841" t="str">
            <v>Xã Tân Công Sính</v>
          </cell>
          <cell r="I9841" t="str">
            <v>80309</v>
          </cell>
        </row>
        <row r="9842">
          <cell r="G9842" t="str">
            <v>Xã Phú Hiệp</v>
          </cell>
          <cell r="I9842" t="str">
            <v>80309</v>
          </cell>
        </row>
        <row r="9843">
          <cell r="G9843" t="str">
            <v>Xã Phú Đức</v>
          </cell>
          <cell r="I9843" t="str">
            <v>80309</v>
          </cell>
        </row>
        <row r="9844">
          <cell r="G9844" t="str">
            <v xml:space="preserve">Xã An Hòa        </v>
          </cell>
          <cell r="I9844" t="str">
            <v>80309</v>
          </cell>
        </row>
        <row r="9845">
          <cell r="G9845" t="str">
            <v xml:space="preserve">Xã Phú Cường      </v>
          </cell>
          <cell r="I9845" t="str">
            <v>80309</v>
          </cell>
        </row>
        <row r="9846">
          <cell r="G9846" t="str">
            <v xml:space="preserve">Xã Phú Thọ </v>
          </cell>
          <cell r="I9846" t="str">
            <v>80309</v>
          </cell>
        </row>
        <row r="9847">
          <cell r="G9847" t="str">
            <v>Xã Phú Thành A</v>
          </cell>
          <cell r="I9847" t="str">
            <v>80309</v>
          </cell>
        </row>
        <row r="9848">
          <cell r="G9848" t="str">
            <v xml:space="preserve">Xã Bình Thành    </v>
          </cell>
          <cell r="I9848" t="str">
            <v>80311</v>
          </cell>
        </row>
        <row r="9849">
          <cell r="G9849" t="str">
            <v>Xã Tân Quới</v>
          </cell>
          <cell r="I9849" t="str">
            <v>80311</v>
          </cell>
        </row>
        <row r="9850">
          <cell r="G9850" t="str">
            <v xml:space="preserve">Xã Tân Mỹ      </v>
          </cell>
          <cell r="I9850" t="str">
            <v>80311</v>
          </cell>
        </row>
        <row r="9851">
          <cell r="G9851" t="str">
            <v xml:space="preserve">Xã Tân Bình          </v>
          </cell>
          <cell r="I9851" t="str">
            <v>80311</v>
          </cell>
        </row>
        <row r="9852">
          <cell r="G9852" t="str">
            <v xml:space="preserve">Xã Tân Long     </v>
          </cell>
          <cell r="I9852" t="str">
            <v>80311</v>
          </cell>
        </row>
        <row r="9853">
          <cell r="G9853" t="str">
            <v>Thị trấn Thanh Bình</v>
          </cell>
          <cell r="I9853" t="str">
            <v>80311</v>
          </cell>
        </row>
        <row r="9854">
          <cell r="G9854" t="str">
            <v xml:space="preserve">Xã Tân Hòa           </v>
          </cell>
          <cell r="I9854" t="str">
            <v>80311</v>
          </cell>
        </row>
        <row r="9855">
          <cell r="G9855" t="str">
            <v>Xã An Phong</v>
          </cell>
          <cell r="I9855" t="str">
            <v>80311</v>
          </cell>
        </row>
        <row r="9856">
          <cell r="G9856" t="str">
            <v xml:space="preserve">Xã Phú Lợi </v>
          </cell>
          <cell r="I9856" t="str">
            <v>80311</v>
          </cell>
        </row>
        <row r="9857">
          <cell r="G9857" t="str">
            <v>Xã Bình Tấn</v>
          </cell>
          <cell r="I9857" t="str">
            <v>80311</v>
          </cell>
        </row>
        <row r="9858">
          <cell r="G9858" t="str">
            <v>Xã Tân Huề</v>
          </cell>
          <cell r="I9858" t="str">
            <v>80311</v>
          </cell>
        </row>
        <row r="9859">
          <cell r="G9859" t="str">
            <v>Xã Tân Thạnh</v>
          </cell>
          <cell r="I9859" t="str">
            <v>80311</v>
          </cell>
        </row>
        <row r="9860">
          <cell r="G9860" t="str">
            <v xml:space="preserve">Xã Tân Phú      </v>
          </cell>
          <cell r="I9860" t="str">
            <v>80311</v>
          </cell>
        </row>
        <row r="9861">
          <cell r="G9861" t="str">
            <v>Xã Mỹ Quý</v>
          </cell>
          <cell r="I9861" t="str">
            <v>80313</v>
          </cell>
        </row>
        <row r="9862">
          <cell r="G9862" t="str">
            <v xml:space="preserve">Xã Mỹ Hòa  </v>
          </cell>
          <cell r="I9862" t="str">
            <v>80313</v>
          </cell>
        </row>
        <row r="9863">
          <cell r="G9863" t="str">
            <v xml:space="preserve">Xã Mỹ An   </v>
          </cell>
          <cell r="I9863" t="str">
            <v>80313</v>
          </cell>
        </row>
        <row r="9864">
          <cell r="G9864" t="str">
            <v xml:space="preserve">Xã Thanh Mỹ  </v>
          </cell>
          <cell r="I9864" t="str">
            <v>80313</v>
          </cell>
        </row>
        <row r="9865">
          <cell r="G9865" t="str">
            <v xml:space="preserve">Xã Thạnh Lợi </v>
          </cell>
          <cell r="I9865" t="str">
            <v>80313</v>
          </cell>
        </row>
        <row r="9866">
          <cell r="G9866" t="str">
            <v>Thị trấn Mỹ An</v>
          </cell>
          <cell r="I9866" t="str">
            <v>80313</v>
          </cell>
        </row>
        <row r="9867">
          <cell r="G9867" t="str">
            <v xml:space="preserve">Xã Hưng Thạnh </v>
          </cell>
          <cell r="I9867" t="str">
            <v>80313</v>
          </cell>
        </row>
        <row r="9868">
          <cell r="G9868" t="str">
            <v xml:space="preserve">Xã Trường Xuân  </v>
          </cell>
          <cell r="I9868" t="str">
            <v>80313</v>
          </cell>
        </row>
        <row r="9869">
          <cell r="G9869" t="str">
            <v>Xã Tân Kiều</v>
          </cell>
          <cell r="I9869" t="str">
            <v>80313</v>
          </cell>
        </row>
        <row r="9870">
          <cell r="G9870" t="str">
            <v>Xã Mỹ Đông</v>
          </cell>
          <cell r="I9870" t="str">
            <v>80313</v>
          </cell>
        </row>
        <row r="9871">
          <cell r="G9871" t="str">
            <v>Xã Đốc Binh Kiều</v>
          </cell>
          <cell r="I9871" t="str">
            <v>80313</v>
          </cell>
        </row>
        <row r="9872">
          <cell r="G9872" t="str">
            <v xml:space="preserve">Xã Phú Điền  </v>
          </cell>
          <cell r="I9872" t="str">
            <v>80313</v>
          </cell>
        </row>
        <row r="9873">
          <cell r="G9873" t="str">
            <v>Xã Láng Biển</v>
          </cell>
          <cell r="I9873" t="str">
            <v>80313</v>
          </cell>
        </row>
        <row r="9874">
          <cell r="G9874" t="str">
            <v xml:space="preserve">Xã Tân Nghĩa </v>
          </cell>
          <cell r="I9874" t="str">
            <v>80315</v>
          </cell>
        </row>
        <row r="9875">
          <cell r="G9875" t="str">
            <v xml:space="preserve">Xã Bình Thạnh      </v>
          </cell>
          <cell r="I9875" t="str">
            <v>80315</v>
          </cell>
        </row>
        <row r="9876">
          <cell r="G9876" t="str">
            <v>Xã Ba Sao</v>
          </cell>
          <cell r="I9876" t="str">
            <v>80315</v>
          </cell>
        </row>
        <row r="9877">
          <cell r="G9877" t="str">
            <v>Xã Nhị Mỹ</v>
          </cell>
          <cell r="I9877" t="str">
            <v>80315</v>
          </cell>
        </row>
        <row r="9878">
          <cell r="G9878" t="str">
            <v xml:space="preserve">Xã An Bình        </v>
          </cell>
          <cell r="I9878" t="str">
            <v>80315</v>
          </cell>
        </row>
        <row r="9879">
          <cell r="G9879" t="str">
            <v>Xã Bình Hàng Trung</v>
          </cell>
          <cell r="I9879" t="str">
            <v>80315</v>
          </cell>
        </row>
        <row r="9880">
          <cell r="G9880" t="str">
            <v>Thị trấn Mỹ Thọ</v>
          </cell>
          <cell r="I9880" t="str">
            <v>80315</v>
          </cell>
        </row>
        <row r="9881">
          <cell r="G9881" t="str">
            <v>Xã Gáo Giồng</v>
          </cell>
          <cell r="I9881" t="str">
            <v>80315</v>
          </cell>
        </row>
        <row r="9882">
          <cell r="G9882" t="str">
            <v xml:space="preserve">Xã Phương Thịnh </v>
          </cell>
          <cell r="I9882" t="str">
            <v>80315</v>
          </cell>
        </row>
        <row r="9883">
          <cell r="G9883" t="str">
            <v xml:space="preserve">Xã Phong Mỹ </v>
          </cell>
          <cell r="I9883" t="str">
            <v>80315</v>
          </cell>
        </row>
        <row r="9884">
          <cell r="G9884" t="str">
            <v>Xã Phương Trà</v>
          </cell>
          <cell r="I9884" t="str">
            <v>80315</v>
          </cell>
        </row>
        <row r="9885">
          <cell r="G9885" t="str">
            <v xml:space="preserve">Xã Mỹ Thọ  </v>
          </cell>
          <cell r="I9885" t="str">
            <v>80315</v>
          </cell>
        </row>
        <row r="9886">
          <cell r="G9886" t="str">
            <v>Xã Tân Hội Trung</v>
          </cell>
          <cell r="I9886" t="str">
            <v>80315</v>
          </cell>
        </row>
        <row r="9887">
          <cell r="G9887" t="str">
            <v>Xã Mỹ Hội</v>
          </cell>
          <cell r="I9887" t="str">
            <v>80315</v>
          </cell>
        </row>
        <row r="9888">
          <cell r="G9888" t="str">
            <v xml:space="preserve">Xã Mỹ Hiệp </v>
          </cell>
          <cell r="I9888" t="str">
            <v>80315</v>
          </cell>
        </row>
        <row r="9889">
          <cell r="G9889" t="str">
            <v>Xã Mỹ Long</v>
          </cell>
          <cell r="I9889" t="str">
            <v>80315</v>
          </cell>
        </row>
        <row r="9890">
          <cell r="G9890" t="str">
            <v>Xã Mỹ Xương</v>
          </cell>
          <cell r="I9890" t="str">
            <v>80315</v>
          </cell>
        </row>
        <row r="9891">
          <cell r="G9891" t="str">
            <v>Xã Bình Hàng Tây</v>
          </cell>
          <cell r="I9891" t="str">
            <v>80315</v>
          </cell>
        </row>
        <row r="9892">
          <cell r="G9892" t="str">
            <v>Xã Định Yên</v>
          </cell>
          <cell r="I9892" t="str">
            <v>80317</v>
          </cell>
        </row>
        <row r="9893">
          <cell r="G9893" t="str">
            <v>Xã Mỹ An Hưng B</v>
          </cell>
          <cell r="I9893" t="str">
            <v>80317</v>
          </cell>
        </row>
        <row r="9894">
          <cell r="G9894" t="str">
            <v>Xã Long Hưng B</v>
          </cell>
          <cell r="I9894" t="str">
            <v>80317</v>
          </cell>
        </row>
        <row r="9895">
          <cell r="G9895" t="str">
            <v>Xã Bình Thạnh Trung</v>
          </cell>
          <cell r="I9895" t="str">
            <v>80317</v>
          </cell>
        </row>
        <row r="9896">
          <cell r="G9896" t="str">
            <v>Thị trấn Lấp Vò</v>
          </cell>
          <cell r="I9896" t="str">
            <v>80317</v>
          </cell>
        </row>
        <row r="9897">
          <cell r="G9897" t="str">
            <v>Xã Mỹ An Hưng A</v>
          </cell>
          <cell r="I9897" t="str">
            <v>80317</v>
          </cell>
        </row>
        <row r="9898">
          <cell r="G9898" t="str">
            <v xml:space="preserve">Xã Tân Mỹ       </v>
          </cell>
          <cell r="I9898" t="str">
            <v>80317</v>
          </cell>
        </row>
        <row r="9899">
          <cell r="G9899" t="str">
            <v>Xã Tân Khánh Trung</v>
          </cell>
          <cell r="I9899" t="str">
            <v>80317</v>
          </cell>
        </row>
        <row r="9900">
          <cell r="G9900" t="str">
            <v>Xã Long Hưng A</v>
          </cell>
          <cell r="I9900" t="str">
            <v>80317</v>
          </cell>
        </row>
        <row r="9901">
          <cell r="G9901" t="str">
            <v xml:space="preserve">Xã Vĩnh Thạnh  </v>
          </cell>
          <cell r="I9901" t="str">
            <v>80317</v>
          </cell>
        </row>
        <row r="9902">
          <cell r="G9902" t="str">
            <v xml:space="preserve">Xã Bình Thành     </v>
          </cell>
          <cell r="I9902" t="str">
            <v>80317</v>
          </cell>
        </row>
        <row r="9903">
          <cell r="G9903" t="str">
            <v xml:space="preserve">Xã Định An </v>
          </cell>
          <cell r="I9903" t="str">
            <v>80317</v>
          </cell>
        </row>
        <row r="9904">
          <cell r="G9904" t="str">
            <v>Xã Hội An Đông</v>
          </cell>
          <cell r="I9904" t="str">
            <v>80317</v>
          </cell>
        </row>
        <row r="9905">
          <cell r="G9905" t="str">
            <v xml:space="preserve">Xã Phong Hòa </v>
          </cell>
          <cell r="I9905" t="str">
            <v>80319</v>
          </cell>
        </row>
        <row r="9906">
          <cell r="G9906" t="str">
            <v xml:space="preserve">Xã Định Hòa </v>
          </cell>
          <cell r="I9906" t="str">
            <v>80319</v>
          </cell>
        </row>
        <row r="9907">
          <cell r="G9907" t="str">
            <v xml:space="preserve">Xã Tân Hòa            </v>
          </cell>
          <cell r="I9907" t="str">
            <v>80319</v>
          </cell>
        </row>
        <row r="9908">
          <cell r="G9908" t="str">
            <v xml:space="preserve">Xã Long Hậu </v>
          </cell>
          <cell r="I9908" t="str">
            <v>80319</v>
          </cell>
        </row>
        <row r="9909">
          <cell r="G9909" t="str">
            <v>Xã Long Thắng</v>
          </cell>
          <cell r="I9909" t="str">
            <v>80319</v>
          </cell>
        </row>
        <row r="9910">
          <cell r="G9910" t="str">
            <v>Thị trấn Lai Vung</v>
          </cell>
          <cell r="I9910" t="str">
            <v>80319</v>
          </cell>
        </row>
        <row r="9911">
          <cell r="G9911" t="str">
            <v xml:space="preserve">Xã Tân Dương   </v>
          </cell>
          <cell r="I9911" t="str">
            <v>80319</v>
          </cell>
        </row>
        <row r="9912">
          <cell r="G9912" t="str">
            <v xml:space="preserve">Xã Hòa Thành  </v>
          </cell>
          <cell r="I9912" t="str">
            <v>80319</v>
          </cell>
        </row>
        <row r="9913">
          <cell r="G9913" t="str">
            <v xml:space="preserve">Xã Tân Phước    </v>
          </cell>
          <cell r="I9913" t="str">
            <v>80319</v>
          </cell>
        </row>
        <row r="9914">
          <cell r="G9914" t="str">
            <v xml:space="preserve">Xã Hòa Long  </v>
          </cell>
          <cell r="I9914" t="str">
            <v>80319</v>
          </cell>
        </row>
        <row r="9915">
          <cell r="G9915" t="str">
            <v xml:space="preserve">Xã Tân Thành                      </v>
          </cell>
          <cell r="I9915" t="str">
            <v>80319</v>
          </cell>
        </row>
        <row r="9916">
          <cell r="G9916" t="str">
            <v>Xã Vĩnh Thới</v>
          </cell>
          <cell r="I9916" t="str">
            <v>80319</v>
          </cell>
        </row>
        <row r="9917">
          <cell r="G9917" t="str">
            <v>Xã Phú Hựu</v>
          </cell>
          <cell r="I9917" t="str">
            <v>80321</v>
          </cell>
        </row>
        <row r="9918">
          <cell r="G9918" t="str">
            <v xml:space="preserve">Xã An Khánh  </v>
          </cell>
          <cell r="I9918" t="str">
            <v>80321</v>
          </cell>
        </row>
        <row r="9919">
          <cell r="G9919" t="str">
            <v>Thị trấn Cái Tàu Hạ</v>
          </cell>
          <cell r="I9919" t="str">
            <v>80321</v>
          </cell>
        </row>
        <row r="9920">
          <cell r="G9920" t="str">
            <v xml:space="preserve">Xã An Hiệp  </v>
          </cell>
          <cell r="I9920" t="str">
            <v>80321</v>
          </cell>
        </row>
        <row r="9921">
          <cell r="G9921" t="str">
            <v xml:space="preserve">Xã An Nhơn </v>
          </cell>
          <cell r="I9921" t="str">
            <v>80321</v>
          </cell>
        </row>
        <row r="9922">
          <cell r="G9922" t="str">
            <v>Xã Tân Nhuận Đông</v>
          </cell>
          <cell r="I9922" t="str">
            <v>80321</v>
          </cell>
        </row>
        <row r="9923">
          <cell r="G9923" t="str">
            <v xml:space="preserve">Xã Tân Bình           </v>
          </cell>
          <cell r="I9923" t="str">
            <v>80321</v>
          </cell>
        </row>
        <row r="9924">
          <cell r="G9924" t="str">
            <v xml:space="preserve">Xã Tân Phú Trung </v>
          </cell>
          <cell r="I9924" t="str">
            <v>80321</v>
          </cell>
        </row>
        <row r="9925">
          <cell r="G9925" t="str">
            <v xml:space="preserve">Xã Phú Long </v>
          </cell>
          <cell r="I9925" t="str">
            <v>80321</v>
          </cell>
        </row>
        <row r="9926">
          <cell r="G9926" t="str">
            <v>Xã An Phú Thuận</v>
          </cell>
          <cell r="I9926" t="str">
            <v>80321</v>
          </cell>
        </row>
        <row r="9927">
          <cell r="G9927" t="str">
            <v xml:space="preserve">Xã Tân Phú       </v>
          </cell>
          <cell r="I9927" t="str">
            <v>80321</v>
          </cell>
        </row>
        <row r="9928">
          <cell r="G9928" t="str">
            <v xml:space="preserve">Xã Hòa Tân </v>
          </cell>
          <cell r="I9928" t="str">
            <v>80321</v>
          </cell>
        </row>
        <row r="9929">
          <cell r="G9929" t="str">
            <v xml:space="preserve">Phường An Thạnh </v>
          </cell>
          <cell r="I9929" t="str">
            <v>80323</v>
          </cell>
        </row>
        <row r="9930">
          <cell r="G9930" t="str">
            <v xml:space="preserve">Phường An Lạc  </v>
          </cell>
          <cell r="I9930" t="str">
            <v>80323</v>
          </cell>
        </row>
        <row r="9931">
          <cell r="G9931" t="str">
            <v xml:space="preserve">Phường An Lộc </v>
          </cell>
          <cell r="I9931" t="str">
            <v>80323</v>
          </cell>
        </row>
        <row r="9932">
          <cell r="G9932" t="str">
            <v>Xã An Bình A</v>
          </cell>
          <cell r="I9932" t="str">
            <v>80323</v>
          </cell>
        </row>
        <row r="9933">
          <cell r="G9933" t="str">
            <v>Xã An Bình B</v>
          </cell>
          <cell r="I9933" t="str">
            <v>80323</v>
          </cell>
        </row>
        <row r="9934">
          <cell r="G9934" t="str">
            <v xml:space="preserve">Xã Bình Thạnh       </v>
          </cell>
          <cell r="I9934" t="str">
            <v>80323</v>
          </cell>
        </row>
        <row r="9935">
          <cell r="G9935" t="str">
            <v xml:space="preserve">Xã Tân Hội   </v>
          </cell>
          <cell r="I9935" t="str">
            <v>80323</v>
          </cell>
        </row>
        <row r="9936">
          <cell r="G9936" t="str">
            <v>Phường Mỹ Thạnh</v>
          </cell>
          <cell r="I9936" t="str">
            <v>80501</v>
          </cell>
        </row>
        <row r="9937">
          <cell r="G9937" t="str">
            <v xml:space="preserve">Phường Mỹ Bình </v>
          </cell>
          <cell r="I9937" t="str">
            <v>80501</v>
          </cell>
        </row>
        <row r="9938">
          <cell r="G9938" t="str">
            <v xml:space="preserve">Phường Bình Khánh </v>
          </cell>
          <cell r="I9938" t="str">
            <v>80501</v>
          </cell>
        </row>
        <row r="9939">
          <cell r="G9939" t="str">
            <v>Phường Mỹ Hòa</v>
          </cell>
          <cell r="I9939" t="str">
            <v>80501</v>
          </cell>
        </row>
        <row r="9940">
          <cell r="G9940" t="str">
            <v>Phường Mỹ Long</v>
          </cell>
          <cell r="I9940" t="str">
            <v>80501</v>
          </cell>
        </row>
        <row r="9941">
          <cell r="G9941" t="str">
            <v>Phường Mỹ Xuyên</v>
          </cell>
          <cell r="I9941" t="str">
            <v>80501</v>
          </cell>
        </row>
        <row r="9942">
          <cell r="G9942" t="str">
            <v>Phường Bình Đức</v>
          </cell>
          <cell r="I9942" t="str">
            <v>80501</v>
          </cell>
        </row>
        <row r="9943">
          <cell r="G9943" t="str">
            <v xml:space="preserve">Phường Mỹ Phước </v>
          </cell>
          <cell r="I9943" t="str">
            <v>80501</v>
          </cell>
        </row>
        <row r="9944">
          <cell r="G9944" t="str">
            <v>Phường Mỹ Quý</v>
          </cell>
          <cell r="I9944" t="str">
            <v>80501</v>
          </cell>
        </row>
        <row r="9945">
          <cell r="G9945" t="str">
            <v>Phường Mỹ Thới</v>
          </cell>
          <cell r="I9945" t="str">
            <v>80501</v>
          </cell>
        </row>
        <row r="9946">
          <cell r="G9946" t="str">
            <v>Xã Mỹ Khánh</v>
          </cell>
          <cell r="I9946" t="str">
            <v>80501</v>
          </cell>
        </row>
        <row r="9947">
          <cell r="G9947" t="str">
            <v>Xã Mỹ Hòa Hưng</v>
          </cell>
          <cell r="I9947" t="str">
            <v>80501</v>
          </cell>
        </row>
        <row r="9948">
          <cell r="G9948" t="str">
            <v>Phường Đông Xuyên</v>
          </cell>
          <cell r="I9948" t="str">
            <v>80501</v>
          </cell>
        </row>
        <row r="9949">
          <cell r="G9949" t="str">
            <v>Phường Châu Phú A</v>
          </cell>
          <cell r="I9949" t="str">
            <v>80503</v>
          </cell>
        </row>
        <row r="9950">
          <cell r="G9950" t="str">
            <v>Xã Vĩnh Tế</v>
          </cell>
          <cell r="I9950" t="str">
            <v>80503</v>
          </cell>
        </row>
        <row r="9951">
          <cell r="G9951" t="str">
            <v>Phường Châu Phú B</v>
          </cell>
          <cell r="I9951" t="str">
            <v>80503</v>
          </cell>
        </row>
        <row r="9952">
          <cell r="G9952" t="str">
            <v>Phường Vĩnh Mỹ</v>
          </cell>
          <cell r="I9952" t="str">
            <v>80503</v>
          </cell>
        </row>
        <row r="9953">
          <cell r="G9953" t="str">
            <v>Phường Núi Sam</v>
          </cell>
          <cell r="I9953" t="str">
            <v>80503</v>
          </cell>
        </row>
        <row r="9954">
          <cell r="G9954" t="str">
            <v>Phường Vĩnh Ngươn</v>
          </cell>
          <cell r="I9954" t="str">
            <v>80503</v>
          </cell>
        </row>
        <row r="9955">
          <cell r="G9955" t="str">
            <v>Xã Vĩnh Châu</v>
          </cell>
          <cell r="I9955" t="str">
            <v>80503</v>
          </cell>
        </row>
        <row r="9956">
          <cell r="G9956" t="str">
            <v>Xã Quốc Thái</v>
          </cell>
          <cell r="I9956" t="str">
            <v>80505</v>
          </cell>
        </row>
        <row r="9957">
          <cell r="G9957" t="str">
            <v xml:space="preserve">Xã Khánh Bình </v>
          </cell>
          <cell r="I9957" t="str">
            <v>80505</v>
          </cell>
        </row>
        <row r="9958">
          <cell r="G9958" t="str">
            <v xml:space="preserve">Xã Phú Hội  </v>
          </cell>
          <cell r="I9958" t="str">
            <v>80505</v>
          </cell>
        </row>
        <row r="9959">
          <cell r="G9959" t="str">
            <v xml:space="preserve">Xã Vĩnh Trường </v>
          </cell>
          <cell r="I9959" t="str">
            <v>80505</v>
          </cell>
        </row>
        <row r="9960">
          <cell r="G9960" t="str">
            <v>Thị trấn An Phú</v>
          </cell>
          <cell r="I9960" t="str">
            <v>80505</v>
          </cell>
        </row>
        <row r="9961">
          <cell r="G9961" t="str">
            <v xml:space="preserve">Xã Khánh An </v>
          </cell>
          <cell r="I9961" t="str">
            <v>80505</v>
          </cell>
        </row>
        <row r="9962">
          <cell r="G9962" t="str">
            <v xml:space="preserve">Xã Nhơn Hội </v>
          </cell>
          <cell r="I9962" t="str">
            <v>80505</v>
          </cell>
        </row>
        <row r="9963">
          <cell r="G9963" t="str">
            <v xml:space="preserve">Xã Phú Hữu </v>
          </cell>
          <cell r="I9963" t="str">
            <v>80505</v>
          </cell>
        </row>
        <row r="9964">
          <cell r="G9964" t="str">
            <v xml:space="preserve">Xã Phước Hưng  </v>
          </cell>
          <cell r="I9964" t="str">
            <v>80505</v>
          </cell>
        </row>
        <row r="9965">
          <cell r="G9965" t="str">
            <v xml:space="preserve">Xã Vĩnh Lộc </v>
          </cell>
          <cell r="I9965" t="str">
            <v>80505</v>
          </cell>
        </row>
        <row r="9966">
          <cell r="G9966" t="str">
            <v>Xã Vĩnh Hậu</v>
          </cell>
          <cell r="I9966" t="str">
            <v>80505</v>
          </cell>
        </row>
        <row r="9967">
          <cell r="G9967" t="str">
            <v>Xã Vĩnh Hội Đông</v>
          </cell>
          <cell r="I9967" t="str">
            <v>80505</v>
          </cell>
        </row>
        <row r="9968">
          <cell r="G9968" t="str">
            <v xml:space="preserve">Xã Đa Phước </v>
          </cell>
          <cell r="I9968" t="str">
            <v>80505</v>
          </cell>
        </row>
        <row r="9969">
          <cell r="G9969" t="str">
            <v>Thị trấn Long Bình</v>
          </cell>
          <cell r="I9969" t="str">
            <v>80505</v>
          </cell>
        </row>
        <row r="9970">
          <cell r="G9970" t="str">
            <v>Xã Vĩnh Xương</v>
          </cell>
          <cell r="I9970" t="str">
            <v>80507</v>
          </cell>
        </row>
        <row r="9971">
          <cell r="G9971" t="str">
            <v xml:space="preserve">Xã Phú Lộc      </v>
          </cell>
          <cell r="I9971" t="str">
            <v>80507</v>
          </cell>
        </row>
        <row r="9972">
          <cell r="G9972" t="str">
            <v xml:space="preserve">Xã Long An  </v>
          </cell>
          <cell r="I9972" t="str">
            <v>80507</v>
          </cell>
        </row>
        <row r="9973">
          <cell r="G9973" t="str">
            <v>Xã Lê Chánh</v>
          </cell>
          <cell r="I9973" t="str">
            <v>80507</v>
          </cell>
        </row>
        <row r="9974">
          <cell r="G9974" t="str">
            <v xml:space="preserve">Xã Vĩnh Hòa     </v>
          </cell>
          <cell r="I9974" t="str">
            <v>80507</v>
          </cell>
        </row>
        <row r="9975">
          <cell r="G9975" t="str">
            <v xml:space="preserve">Xã Tân An       </v>
          </cell>
          <cell r="I9975" t="str">
            <v>80507</v>
          </cell>
        </row>
        <row r="9976">
          <cell r="G9976" t="str">
            <v>Phường Long Phú</v>
          </cell>
          <cell r="I9976" t="str">
            <v>80507</v>
          </cell>
        </row>
        <row r="9977">
          <cell r="G9977" t="str">
            <v xml:space="preserve">Xã Châu Phong  </v>
          </cell>
          <cell r="I9977" t="str">
            <v>80507</v>
          </cell>
        </row>
        <row r="9978">
          <cell r="G9978" t="str">
            <v>Xã Phú Vĩnh</v>
          </cell>
          <cell r="I9978" t="str">
            <v>80507</v>
          </cell>
        </row>
        <row r="9979">
          <cell r="G9979" t="str">
            <v xml:space="preserve">Xã Tân Thạnh </v>
          </cell>
          <cell r="I9979" t="str">
            <v>80507</v>
          </cell>
        </row>
        <row r="9980">
          <cell r="G9980" t="str">
            <v>Phường Long Châu</v>
          </cell>
          <cell r="I9980" t="str">
            <v>80507</v>
          </cell>
        </row>
        <row r="9981">
          <cell r="G9981" t="str">
            <v>Phường Long Hưng</v>
          </cell>
          <cell r="I9981" t="str">
            <v>80507</v>
          </cell>
        </row>
        <row r="9982">
          <cell r="G9982" t="str">
            <v>Phường Long Thạnh</v>
          </cell>
          <cell r="I9982" t="str">
            <v>80507</v>
          </cell>
        </row>
        <row r="9983">
          <cell r="G9983" t="str">
            <v>Phương Long Sơn</v>
          </cell>
          <cell r="I9983" t="str">
            <v>80507</v>
          </cell>
        </row>
        <row r="9984">
          <cell r="G9984" t="str">
            <v xml:space="preserve">Xã Phú Long  </v>
          </cell>
          <cell r="I9984" t="str">
            <v>80509</v>
          </cell>
        </row>
        <row r="9985">
          <cell r="G9985" t="str">
            <v>Xã Bình Thạnh Đông</v>
          </cell>
          <cell r="I9985" t="str">
            <v>80509</v>
          </cell>
        </row>
        <row r="9986">
          <cell r="G9986" t="str">
            <v xml:space="preserve">Xã Long Hòa   </v>
          </cell>
          <cell r="I9986" t="str">
            <v>80509</v>
          </cell>
        </row>
        <row r="9987">
          <cell r="G9987" t="str">
            <v xml:space="preserve">Xã Phú Hiệp </v>
          </cell>
          <cell r="I9987" t="str">
            <v>80509</v>
          </cell>
        </row>
        <row r="9988">
          <cell r="G9988" t="str">
            <v xml:space="preserve">Xã Phú An    </v>
          </cell>
          <cell r="I9988" t="str">
            <v>80509</v>
          </cell>
        </row>
        <row r="9989">
          <cell r="G9989" t="str">
            <v xml:space="preserve">Xã Phú Thọ  </v>
          </cell>
          <cell r="I9989" t="str">
            <v>80509</v>
          </cell>
        </row>
        <row r="9990">
          <cell r="G9990" t="str">
            <v xml:space="preserve">Xã Tân Trung </v>
          </cell>
          <cell r="I9990" t="str">
            <v>80509</v>
          </cell>
        </row>
        <row r="9991">
          <cell r="G9991" t="str">
            <v xml:space="preserve">Thị trấn Phú Mỹ </v>
          </cell>
          <cell r="I9991" t="str">
            <v>80509</v>
          </cell>
        </row>
        <row r="9992">
          <cell r="G9992" t="str">
            <v>Thị trấn Chợ Vàm</v>
          </cell>
          <cell r="I9992" t="str">
            <v>80509</v>
          </cell>
        </row>
        <row r="9993">
          <cell r="G9993" t="str">
            <v xml:space="preserve">Xã Long Sơn       </v>
          </cell>
          <cell r="I9993" t="str">
            <v>80509</v>
          </cell>
        </row>
        <row r="9994">
          <cell r="G9994" t="str">
            <v xml:space="preserve">Xã Phú Lâm    </v>
          </cell>
          <cell r="I9994" t="str">
            <v>80509</v>
          </cell>
        </row>
        <row r="9995">
          <cell r="G9995" t="str">
            <v xml:space="preserve">Xã Phú Thạnh </v>
          </cell>
          <cell r="I9995" t="str">
            <v>80509</v>
          </cell>
        </row>
        <row r="9996">
          <cell r="G9996" t="str">
            <v xml:space="preserve">Xã Hòa Lạc </v>
          </cell>
          <cell r="I9996" t="str">
            <v>80509</v>
          </cell>
        </row>
        <row r="9997">
          <cell r="G9997" t="str">
            <v xml:space="preserve">Xã Phú Thành  </v>
          </cell>
          <cell r="I9997" t="str">
            <v>80509</v>
          </cell>
        </row>
        <row r="9998">
          <cell r="G9998" t="str">
            <v xml:space="preserve">Xã Phú Xuân       </v>
          </cell>
          <cell r="I9998" t="str">
            <v>80509</v>
          </cell>
        </row>
        <row r="9999">
          <cell r="G9999" t="str">
            <v>Xã Hiệp Xương</v>
          </cell>
          <cell r="I9999" t="str">
            <v>80509</v>
          </cell>
        </row>
        <row r="10000">
          <cell r="G10000" t="str">
            <v xml:space="preserve">Xã Phú Bình  </v>
          </cell>
          <cell r="I10000" t="str">
            <v>80509</v>
          </cell>
        </row>
        <row r="10001">
          <cell r="G10001" t="str">
            <v>Xã Phú Hưng</v>
          </cell>
          <cell r="I10001" t="str">
            <v>80509</v>
          </cell>
        </row>
        <row r="10002">
          <cell r="G10002" t="str">
            <v xml:space="preserve">Xã Tân Hòa             </v>
          </cell>
          <cell r="I10002" t="str">
            <v>80509</v>
          </cell>
        </row>
        <row r="10003">
          <cell r="G10003" t="str">
            <v>Xã Đào Hữu Cảnh</v>
          </cell>
          <cell r="I10003" t="str">
            <v>80511</v>
          </cell>
        </row>
        <row r="10004">
          <cell r="G10004" t="str">
            <v xml:space="preserve">Xã Mỹ Phú </v>
          </cell>
          <cell r="I10004" t="str">
            <v>80511</v>
          </cell>
        </row>
        <row r="10005">
          <cell r="G10005" t="str">
            <v>Xã Thạnh Mỹ Tây</v>
          </cell>
          <cell r="I10005" t="str">
            <v>80511</v>
          </cell>
        </row>
        <row r="10006">
          <cell r="G10006" t="str">
            <v xml:space="preserve">Xã Bình Phú     </v>
          </cell>
          <cell r="I10006" t="str">
            <v>80511</v>
          </cell>
        </row>
        <row r="10007">
          <cell r="G10007" t="str">
            <v>Thị trấn Cái Dầu</v>
          </cell>
          <cell r="I10007" t="str">
            <v>80511</v>
          </cell>
        </row>
        <row r="10008">
          <cell r="G10008" t="str">
            <v xml:space="preserve">Xã Khánh Hòa  </v>
          </cell>
          <cell r="I10008" t="str">
            <v>80511</v>
          </cell>
        </row>
        <row r="10009">
          <cell r="G10009" t="str">
            <v xml:space="preserve">Xã Mỹ Đức   </v>
          </cell>
          <cell r="I10009" t="str">
            <v>80511</v>
          </cell>
        </row>
        <row r="10010">
          <cell r="G10010" t="str">
            <v>Xã ô Long Vỹ</v>
          </cell>
          <cell r="I10010" t="str">
            <v>80511</v>
          </cell>
        </row>
        <row r="10011">
          <cell r="G10011" t="str">
            <v>Xã Vĩnh Thạnh Trung</v>
          </cell>
          <cell r="I10011" t="str">
            <v>80511</v>
          </cell>
        </row>
        <row r="10012">
          <cell r="G10012" t="str">
            <v xml:space="preserve">Xã Bình Long   </v>
          </cell>
          <cell r="I10012" t="str">
            <v>80511</v>
          </cell>
        </row>
        <row r="10013">
          <cell r="G10013" t="str">
            <v xml:space="preserve">Xã Bình Mỹ   </v>
          </cell>
          <cell r="I10013" t="str">
            <v>80511</v>
          </cell>
        </row>
        <row r="10014">
          <cell r="G10014" t="str">
            <v>Xã Bình Thủy</v>
          </cell>
          <cell r="I10014" t="str">
            <v>80511</v>
          </cell>
        </row>
        <row r="10015">
          <cell r="G10015" t="str">
            <v xml:space="preserve">Xã Bình Chánh   </v>
          </cell>
          <cell r="I10015" t="str">
            <v>80511</v>
          </cell>
        </row>
        <row r="10016">
          <cell r="G10016" t="str">
            <v>Xã Núi Voi</v>
          </cell>
          <cell r="I10016" t="str">
            <v>80513</v>
          </cell>
        </row>
        <row r="10017">
          <cell r="G10017" t="str">
            <v>Xã Thới Sơn</v>
          </cell>
          <cell r="I10017" t="str">
            <v>80513</v>
          </cell>
        </row>
        <row r="10018">
          <cell r="G10018" t="str">
            <v xml:space="preserve">Xã An Nông </v>
          </cell>
          <cell r="I10018" t="str">
            <v>80513</v>
          </cell>
        </row>
        <row r="10019">
          <cell r="G10019" t="str">
            <v>Xã An Hảo</v>
          </cell>
          <cell r="I10019" t="str">
            <v>80513</v>
          </cell>
        </row>
        <row r="10020">
          <cell r="G10020" t="str">
            <v xml:space="preserve">Xã Tân Lập                         </v>
          </cell>
          <cell r="I10020" t="str">
            <v>80513</v>
          </cell>
        </row>
        <row r="10021">
          <cell r="G10021" t="str">
            <v xml:space="preserve">Xã Tân Lợi   </v>
          </cell>
          <cell r="I10021" t="str">
            <v>80513</v>
          </cell>
        </row>
        <row r="10022">
          <cell r="G10022" t="str">
            <v>Thị trấn Nhà Bàng</v>
          </cell>
          <cell r="I10022" t="str">
            <v>80513</v>
          </cell>
        </row>
        <row r="10023">
          <cell r="G10023" t="str">
            <v xml:space="preserve">Thị trấn Chi Lăng </v>
          </cell>
          <cell r="I10023" t="str">
            <v>80513</v>
          </cell>
        </row>
        <row r="10024">
          <cell r="G10024" t="str">
            <v>Xã Nhơn Hưng</v>
          </cell>
          <cell r="I10024" t="str">
            <v>80513</v>
          </cell>
        </row>
        <row r="10025">
          <cell r="G10025" t="str">
            <v xml:space="preserve">Xã An Phú      </v>
          </cell>
          <cell r="I10025" t="str">
            <v>80513</v>
          </cell>
        </row>
        <row r="10026">
          <cell r="G10026" t="str">
            <v>Thị trấn Tịnh Biên</v>
          </cell>
          <cell r="I10026" t="str">
            <v>80513</v>
          </cell>
        </row>
        <row r="10027">
          <cell r="G10027" t="str">
            <v>Xã Văn Giáo</v>
          </cell>
          <cell r="I10027" t="str">
            <v>80513</v>
          </cell>
        </row>
        <row r="10028">
          <cell r="G10028" t="str">
            <v xml:space="preserve">Xã An Cư </v>
          </cell>
          <cell r="I10028" t="str">
            <v>80513</v>
          </cell>
        </row>
        <row r="10029">
          <cell r="G10029" t="str">
            <v xml:space="preserve">Xã Vĩnh Trung   </v>
          </cell>
          <cell r="I10029" t="str">
            <v>80513</v>
          </cell>
        </row>
        <row r="10030">
          <cell r="G10030" t="str">
            <v>Xã Vĩnh Phước</v>
          </cell>
          <cell r="I10030" t="str">
            <v>80515</v>
          </cell>
        </row>
        <row r="10031">
          <cell r="G10031" t="str">
            <v>Xã Châu Lăng</v>
          </cell>
          <cell r="I10031" t="str">
            <v>80515</v>
          </cell>
        </row>
        <row r="10032">
          <cell r="G10032" t="str">
            <v>Xã Núi Tô</v>
          </cell>
          <cell r="I10032" t="str">
            <v>80515</v>
          </cell>
        </row>
        <row r="10033">
          <cell r="G10033" t="str">
            <v>Xã ô Lâm</v>
          </cell>
          <cell r="I10033" t="str">
            <v>80515</v>
          </cell>
        </row>
        <row r="10034">
          <cell r="G10034" t="str">
            <v>Thị trấn Tri Tôn</v>
          </cell>
          <cell r="I10034" t="str">
            <v>80515</v>
          </cell>
        </row>
        <row r="10035">
          <cell r="G10035" t="str">
            <v>Thị trấn Ba Chúc</v>
          </cell>
          <cell r="I10035" t="str">
            <v>80515</v>
          </cell>
        </row>
        <row r="10036">
          <cell r="G10036" t="str">
            <v>Xã Lạc Quới</v>
          </cell>
          <cell r="I10036" t="str">
            <v>80515</v>
          </cell>
        </row>
        <row r="10037">
          <cell r="G10037" t="str">
            <v>Xã Lê Trì</v>
          </cell>
          <cell r="I10037" t="str">
            <v>80515</v>
          </cell>
        </row>
        <row r="10038">
          <cell r="G10038" t="str">
            <v>Xã Vĩnh Gia</v>
          </cell>
          <cell r="I10038" t="str">
            <v>80515</v>
          </cell>
        </row>
        <row r="10039">
          <cell r="G10039" t="str">
            <v>Xã Lương Phi</v>
          </cell>
          <cell r="I10039" t="str">
            <v>80515</v>
          </cell>
        </row>
        <row r="10040">
          <cell r="G10040" t="str">
            <v>Xã Lương An Trà</v>
          </cell>
          <cell r="I10040" t="str">
            <v>80515</v>
          </cell>
        </row>
        <row r="10041">
          <cell r="G10041" t="str">
            <v>Xã Tà Đảnh</v>
          </cell>
          <cell r="I10041" t="str">
            <v>80515</v>
          </cell>
        </row>
        <row r="10042">
          <cell r="G10042" t="str">
            <v>Xã An Tức</v>
          </cell>
          <cell r="I10042" t="str">
            <v>80515</v>
          </cell>
        </row>
        <row r="10043">
          <cell r="G10043" t="str">
            <v>Xã Cô Tô</v>
          </cell>
          <cell r="I10043" t="str">
            <v>80515</v>
          </cell>
        </row>
        <row r="10044">
          <cell r="G10044" t="str">
            <v>Xã Tân Tuyến</v>
          </cell>
          <cell r="I10044" t="str">
            <v>80515</v>
          </cell>
        </row>
        <row r="10045">
          <cell r="G10045" t="str">
            <v>Xã Kiến An</v>
          </cell>
          <cell r="I10045" t="str">
            <v>80517</v>
          </cell>
        </row>
        <row r="10046">
          <cell r="G10046" t="str">
            <v>Xã An Thạnh Trung</v>
          </cell>
          <cell r="I10046" t="str">
            <v>80517</v>
          </cell>
        </row>
        <row r="10047">
          <cell r="G10047" t="str">
            <v>Xã Mỹ Hội Đông</v>
          </cell>
          <cell r="I10047" t="str">
            <v>80517</v>
          </cell>
        </row>
        <row r="10048">
          <cell r="G10048" t="str">
            <v xml:space="preserve">Xã Kiến Thành </v>
          </cell>
          <cell r="I10048" t="str">
            <v>80517</v>
          </cell>
        </row>
        <row r="10049">
          <cell r="G10049" t="str">
            <v xml:space="preserve">Xã Long Giang  </v>
          </cell>
          <cell r="I10049" t="str">
            <v>80517</v>
          </cell>
        </row>
        <row r="10050">
          <cell r="G10050" t="str">
            <v>Xã Hội An</v>
          </cell>
          <cell r="I10050" t="str">
            <v>80517</v>
          </cell>
        </row>
        <row r="10051">
          <cell r="G10051" t="str">
            <v xml:space="preserve">Thị trấn Chợ Mới </v>
          </cell>
          <cell r="I10051" t="str">
            <v>80517</v>
          </cell>
        </row>
        <row r="10052">
          <cell r="G10052" t="str">
            <v>Thị trấn Mỹ Luông</v>
          </cell>
          <cell r="I10052" t="str">
            <v>80517</v>
          </cell>
        </row>
        <row r="10053">
          <cell r="G10053" t="str">
            <v>Xã Long Điền A</v>
          </cell>
          <cell r="I10053" t="str">
            <v>80517</v>
          </cell>
        </row>
        <row r="10054">
          <cell r="G10054" t="str">
            <v>Xã Tấn Mỹ</v>
          </cell>
          <cell r="I10054" t="str">
            <v>80517</v>
          </cell>
        </row>
        <row r="10055">
          <cell r="G10055" t="str">
            <v>Xã Long Điền B</v>
          </cell>
          <cell r="I10055" t="str">
            <v>80517</v>
          </cell>
        </row>
        <row r="10056">
          <cell r="G10056" t="str">
            <v xml:space="preserve">Xã Mỹ Hiệp  </v>
          </cell>
          <cell r="I10056" t="str">
            <v>80517</v>
          </cell>
        </row>
        <row r="10057">
          <cell r="G10057" t="str">
            <v xml:space="preserve">Xã Mỹ An    </v>
          </cell>
          <cell r="I10057" t="str">
            <v>80517</v>
          </cell>
        </row>
        <row r="10058">
          <cell r="G10058" t="str">
            <v xml:space="preserve">Xã Nhơn Mỹ </v>
          </cell>
          <cell r="I10058" t="str">
            <v>80517</v>
          </cell>
        </row>
        <row r="10059">
          <cell r="G10059" t="str">
            <v>Xã Long Kiến</v>
          </cell>
          <cell r="I10059" t="str">
            <v>80517</v>
          </cell>
        </row>
        <row r="10060">
          <cell r="G10060" t="str">
            <v>Xã Bình Phước Xuân</v>
          </cell>
          <cell r="I10060" t="str">
            <v>80517</v>
          </cell>
        </row>
        <row r="10061">
          <cell r="G10061" t="str">
            <v xml:space="preserve">Xã Hòa Bình                </v>
          </cell>
          <cell r="I10061" t="str">
            <v>80517</v>
          </cell>
        </row>
        <row r="10062">
          <cell r="G10062" t="str">
            <v xml:space="preserve">Xã Hòa An    </v>
          </cell>
          <cell r="I10062" t="str">
            <v>80517</v>
          </cell>
        </row>
        <row r="10063">
          <cell r="G10063" t="str">
            <v>Xã Vĩnh Nhuận</v>
          </cell>
          <cell r="I10063" t="str">
            <v>80519</v>
          </cell>
        </row>
        <row r="10064">
          <cell r="G10064" t="str">
            <v xml:space="preserve">Xã An Hòa         </v>
          </cell>
          <cell r="I10064" t="str">
            <v>80519</v>
          </cell>
        </row>
        <row r="10065">
          <cell r="G10065" t="str">
            <v xml:space="preserve">Xã Bình Thạnh        </v>
          </cell>
          <cell r="I10065" t="str">
            <v>80519</v>
          </cell>
        </row>
        <row r="10066">
          <cell r="G10066" t="str">
            <v>Xã Hòa Bình Thạnh</v>
          </cell>
          <cell r="I10066" t="str">
            <v>80519</v>
          </cell>
        </row>
        <row r="10067">
          <cell r="G10067" t="str">
            <v xml:space="preserve">Thị trấn An Châu </v>
          </cell>
          <cell r="I10067" t="str">
            <v>80519</v>
          </cell>
        </row>
        <row r="10068">
          <cell r="G10068" t="str">
            <v>Xã Cần Đăng</v>
          </cell>
          <cell r="I10068" t="str">
            <v>80519</v>
          </cell>
        </row>
        <row r="10069">
          <cell r="G10069" t="str">
            <v>Xã Vĩnh Hanh</v>
          </cell>
          <cell r="I10069" t="str">
            <v>80519</v>
          </cell>
        </row>
        <row r="10070">
          <cell r="G10070" t="str">
            <v xml:space="preserve">Xã Vĩnh Bình </v>
          </cell>
          <cell r="I10070" t="str">
            <v>80519</v>
          </cell>
        </row>
        <row r="10071">
          <cell r="G10071" t="str">
            <v xml:space="preserve">Xã Bình Hòa     </v>
          </cell>
          <cell r="I10071" t="str">
            <v>80519</v>
          </cell>
        </row>
        <row r="10072">
          <cell r="G10072" t="str">
            <v xml:space="preserve">Xã Vĩnh An   </v>
          </cell>
          <cell r="I10072" t="str">
            <v>80519</v>
          </cell>
        </row>
        <row r="10073">
          <cell r="G10073" t="str">
            <v xml:space="preserve">Xã Vĩnh Lợi  </v>
          </cell>
          <cell r="I10073" t="str">
            <v>80519</v>
          </cell>
        </row>
        <row r="10074">
          <cell r="G10074" t="str">
            <v xml:space="preserve">Xã Tân Phú        </v>
          </cell>
          <cell r="I10074" t="str">
            <v>80519</v>
          </cell>
        </row>
        <row r="10075">
          <cell r="G10075" t="str">
            <v xml:space="preserve">Xã Vĩnh Thành   </v>
          </cell>
          <cell r="I10075" t="str">
            <v>80519</v>
          </cell>
        </row>
        <row r="10076">
          <cell r="G10076" t="str">
            <v>Xã Định Mỹ</v>
          </cell>
          <cell r="I10076" t="str">
            <v>80521</v>
          </cell>
        </row>
        <row r="10077">
          <cell r="G10077" t="str">
            <v>Thị trấn Núi Sập</v>
          </cell>
          <cell r="I10077" t="str">
            <v>80521</v>
          </cell>
        </row>
        <row r="10078">
          <cell r="G10078" t="str">
            <v>Xã Vĩnh Trạch</v>
          </cell>
          <cell r="I10078" t="str">
            <v>80521</v>
          </cell>
        </row>
        <row r="10079">
          <cell r="G10079" t="str">
            <v xml:space="preserve">Xã Định Thành  </v>
          </cell>
          <cell r="I10079" t="str">
            <v>80521</v>
          </cell>
        </row>
        <row r="10080">
          <cell r="G10080" t="str">
            <v>Xã Thoại Giang</v>
          </cell>
          <cell r="I10080" t="str">
            <v>80521</v>
          </cell>
        </row>
        <row r="10081">
          <cell r="G10081" t="str">
            <v xml:space="preserve">Thị trấn Phú Hòa  </v>
          </cell>
          <cell r="I10081" t="str">
            <v>80521</v>
          </cell>
        </row>
        <row r="10082">
          <cell r="G10082" t="str">
            <v>Thị trấn óc Eo</v>
          </cell>
          <cell r="I10082" t="str">
            <v>80521</v>
          </cell>
        </row>
        <row r="10083">
          <cell r="G10083" t="str">
            <v xml:space="preserve">Xã Tây Phú </v>
          </cell>
          <cell r="I10083" t="str">
            <v>80521</v>
          </cell>
        </row>
        <row r="10084">
          <cell r="G10084" t="str">
            <v xml:space="preserve">Xã Vĩnh Phú </v>
          </cell>
          <cell r="I10084" t="str">
            <v>80521</v>
          </cell>
        </row>
        <row r="10085">
          <cell r="G10085" t="str">
            <v xml:space="preserve">Xã Phú Thuận </v>
          </cell>
          <cell r="I10085" t="str">
            <v>80521</v>
          </cell>
        </row>
        <row r="10086">
          <cell r="G10086" t="str">
            <v>Xã Vĩnh Chánh</v>
          </cell>
          <cell r="I10086" t="str">
            <v>80521</v>
          </cell>
        </row>
        <row r="10087">
          <cell r="G10087" t="str">
            <v>Xã Mỹ Phú Đông</v>
          </cell>
          <cell r="I10087" t="str">
            <v>80521</v>
          </cell>
        </row>
        <row r="10088">
          <cell r="G10088" t="str">
            <v>Xã Vọng Đông</v>
          </cell>
          <cell r="I10088" t="str">
            <v>80521</v>
          </cell>
        </row>
        <row r="10089">
          <cell r="G10089" t="str">
            <v>Xã Vĩnh Khánh</v>
          </cell>
          <cell r="I10089" t="str">
            <v>80521</v>
          </cell>
        </row>
        <row r="10090">
          <cell r="G10090" t="str">
            <v xml:space="preserve">Xã Bình Thành      </v>
          </cell>
          <cell r="I10090" t="str">
            <v>80521</v>
          </cell>
        </row>
        <row r="10091">
          <cell r="G10091" t="str">
            <v>Xã Vọng Thê</v>
          </cell>
          <cell r="I10091" t="str">
            <v>80521</v>
          </cell>
        </row>
        <row r="10092">
          <cell r="G10092" t="str">
            <v xml:space="preserve">Xã An Bình         </v>
          </cell>
          <cell r="I10092" t="str">
            <v>80521</v>
          </cell>
        </row>
        <row r="10093">
          <cell r="G10093" t="str">
            <v xml:space="preserve">Xã Mỹ Phong </v>
          </cell>
          <cell r="I10093" t="str">
            <v>80701</v>
          </cell>
        </row>
        <row r="10094">
          <cell r="G10094" t="str">
            <v xml:space="preserve">Phường 3               </v>
          </cell>
          <cell r="I10094" t="str">
            <v>80701</v>
          </cell>
        </row>
        <row r="10095">
          <cell r="G10095" t="str">
            <v xml:space="preserve">Phường 8       </v>
          </cell>
          <cell r="I10095" t="str">
            <v>80701</v>
          </cell>
        </row>
        <row r="10096">
          <cell r="G10096" t="str">
            <v xml:space="preserve">Phường Tân Long </v>
          </cell>
          <cell r="I10096" t="str">
            <v>80701</v>
          </cell>
        </row>
        <row r="10097">
          <cell r="G10097" t="str">
            <v>Xã Tân Mỹ Chánh</v>
          </cell>
          <cell r="I10097" t="str">
            <v>80701</v>
          </cell>
        </row>
        <row r="10098">
          <cell r="G10098" t="str">
            <v xml:space="preserve">Phường 5          </v>
          </cell>
          <cell r="I10098" t="str">
            <v>80701</v>
          </cell>
        </row>
        <row r="10099">
          <cell r="G10099" t="str">
            <v xml:space="preserve">Phường 4            </v>
          </cell>
          <cell r="I10099" t="str">
            <v>80701</v>
          </cell>
        </row>
        <row r="10100">
          <cell r="G10100" t="str">
            <v xml:space="preserve">Phường 7         </v>
          </cell>
          <cell r="I10100" t="str">
            <v>80701</v>
          </cell>
        </row>
        <row r="10101">
          <cell r="G10101" t="str">
            <v xml:space="preserve">Phường 1                </v>
          </cell>
          <cell r="I10101" t="str">
            <v>80701</v>
          </cell>
        </row>
        <row r="10102">
          <cell r="G10102" t="str">
            <v xml:space="preserve">Phường 2               </v>
          </cell>
          <cell r="I10102" t="str">
            <v>80701</v>
          </cell>
        </row>
        <row r="10103">
          <cell r="G10103" t="str">
            <v xml:space="preserve">Phường 6          </v>
          </cell>
          <cell r="I10103" t="str">
            <v>80701</v>
          </cell>
        </row>
        <row r="10104">
          <cell r="G10104" t="str">
            <v xml:space="preserve">Phường 9       </v>
          </cell>
          <cell r="I10104" t="str">
            <v>80701</v>
          </cell>
        </row>
        <row r="10105">
          <cell r="G10105" t="str">
            <v xml:space="preserve">Phường 10            </v>
          </cell>
          <cell r="I10105" t="str">
            <v>80701</v>
          </cell>
        </row>
        <row r="10106">
          <cell r="G10106" t="str">
            <v>Xã Đạo Thạnh</v>
          </cell>
          <cell r="I10106" t="str">
            <v>80701</v>
          </cell>
        </row>
        <row r="10107">
          <cell r="G10107" t="str">
            <v xml:space="preserve">Xã Trung An  </v>
          </cell>
          <cell r="I10107" t="str">
            <v>80701</v>
          </cell>
        </row>
        <row r="10108">
          <cell r="G10108" t="str">
            <v xml:space="preserve">Xã Phước Thạnh  </v>
          </cell>
          <cell r="I10108" t="str">
            <v>80701</v>
          </cell>
        </row>
        <row r="10109">
          <cell r="G10109" t="str">
            <v xml:space="preserve">Xã Thới Sơn </v>
          </cell>
          <cell r="I10109" t="str">
            <v>80701</v>
          </cell>
        </row>
        <row r="10110">
          <cell r="G10110" t="str">
            <v xml:space="preserve">Phường 1                 </v>
          </cell>
          <cell r="I10110" t="str">
            <v>80703</v>
          </cell>
        </row>
        <row r="10111">
          <cell r="G10111" t="str">
            <v>Xã Long Chánh</v>
          </cell>
          <cell r="I10111" t="str">
            <v>80703</v>
          </cell>
        </row>
        <row r="10112">
          <cell r="G10112" t="str">
            <v xml:space="preserve">Phường 3                </v>
          </cell>
          <cell r="I10112" t="str">
            <v>80703</v>
          </cell>
        </row>
        <row r="10113">
          <cell r="G10113" t="str">
            <v xml:space="preserve">Phường 2                </v>
          </cell>
          <cell r="I10113" t="str">
            <v>80703</v>
          </cell>
        </row>
        <row r="10114">
          <cell r="G10114" t="str">
            <v xml:space="preserve">Phường 4             </v>
          </cell>
          <cell r="I10114" t="str">
            <v>80703</v>
          </cell>
        </row>
        <row r="10115">
          <cell r="G10115" t="str">
            <v xml:space="preserve">Phường 5           </v>
          </cell>
          <cell r="I10115" t="str">
            <v>80703</v>
          </cell>
        </row>
        <row r="10116">
          <cell r="G10116" t="str">
            <v xml:space="preserve">Xã Long Hưng   </v>
          </cell>
          <cell r="I10116" t="str">
            <v>80703</v>
          </cell>
        </row>
        <row r="10117">
          <cell r="G10117" t="str">
            <v xml:space="preserve">Xã Long Thuận   </v>
          </cell>
          <cell r="I10117" t="str">
            <v>80703</v>
          </cell>
        </row>
        <row r="10118">
          <cell r="G10118" t="str">
            <v xml:space="preserve">Xã Long Hòa    </v>
          </cell>
          <cell r="I10118" t="str">
            <v>80703</v>
          </cell>
        </row>
        <row r="10119">
          <cell r="G10119" t="str">
            <v xml:space="preserve">Xã Bình Đông </v>
          </cell>
          <cell r="I10119" t="str">
            <v>80703</v>
          </cell>
        </row>
        <row r="10120">
          <cell r="G10120" t="str">
            <v>Xã Bình Xuân</v>
          </cell>
          <cell r="I10120" t="str">
            <v>80703</v>
          </cell>
        </row>
        <row r="10121">
          <cell r="G10121" t="str">
            <v xml:space="preserve">Xã Tân Trung  </v>
          </cell>
          <cell r="I10121" t="str">
            <v>80703</v>
          </cell>
        </row>
        <row r="10122">
          <cell r="G10122" t="str">
            <v>Xã Tân Lập 1</v>
          </cell>
          <cell r="I10122" t="str">
            <v>80705</v>
          </cell>
        </row>
        <row r="10123">
          <cell r="G10123" t="str">
            <v>Xã Tân Hòa Đông</v>
          </cell>
          <cell r="I10123" t="str">
            <v>80705</v>
          </cell>
        </row>
        <row r="10124">
          <cell r="G10124" t="str">
            <v>Xã Mỹ Phước</v>
          </cell>
          <cell r="I10124" t="str">
            <v>80705</v>
          </cell>
        </row>
        <row r="10125">
          <cell r="G10125" t="str">
            <v xml:space="preserve">Xã Thạnh Tân </v>
          </cell>
          <cell r="I10125" t="str">
            <v>80705</v>
          </cell>
        </row>
        <row r="10126">
          <cell r="G10126" t="str">
            <v>Xã Tân Hòa Thành</v>
          </cell>
          <cell r="I10126" t="str">
            <v>80705</v>
          </cell>
        </row>
        <row r="10127">
          <cell r="G10127" t="str">
            <v>Xã Tân Hòa Tây</v>
          </cell>
          <cell r="I10127" t="str">
            <v>80705</v>
          </cell>
        </row>
        <row r="10128">
          <cell r="G10128" t="str">
            <v>Xã Tân Lập 2</v>
          </cell>
          <cell r="I10128" t="str">
            <v>80705</v>
          </cell>
        </row>
        <row r="10129">
          <cell r="G10129" t="str">
            <v>Xã Phước Lập</v>
          </cell>
          <cell r="I10129" t="str">
            <v>80705</v>
          </cell>
        </row>
        <row r="10130">
          <cell r="G10130" t="str">
            <v>Thị trấn Mỹ Phước</v>
          </cell>
          <cell r="I10130" t="str">
            <v>80705</v>
          </cell>
        </row>
        <row r="10131">
          <cell r="G10131" t="str">
            <v>Xã Thạnh Mỹ</v>
          </cell>
          <cell r="I10131" t="str">
            <v>80705</v>
          </cell>
        </row>
        <row r="10132">
          <cell r="G10132" t="str">
            <v xml:space="preserve">Xã Thạnh Hòa </v>
          </cell>
          <cell r="I10132" t="str">
            <v>80705</v>
          </cell>
        </row>
        <row r="10133">
          <cell r="G10133" t="str">
            <v xml:space="preserve">Xã Phú Mỹ   </v>
          </cell>
          <cell r="I10133" t="str">
            <v>80705</v>
          </cell>
        </row>
        <row r="10134">
          <cell r="G10134" t="str">
            <v xml:space="preserve">Xã Hưng Thạnh  </v>
          </cell>
          <cell r="I10134" t="str">
            <v>80705</v>
          </cell>
        </row>
        <row r="10135">
          <cell r="G10135" t="str">
            <v xml:space="preserve">Xã Tân Hương      </v>
          </cell>
          <cell r="I10135" t="str">
            <v>80707</v>
          </cell>
        </row>
        <row r="10136">
          <cell r="G10136" t="str">
            <v xml:space="preserve">Xã Long An   </v>
          </cell>
          <cell r="I10136" t="str">
            <v>80707</v>
          </cell>
        </row>
        <row r="10137">
          <cell r="G10137" t="str">
            <v>Xã Tân Hội Đông</v>
          </cell>
          <cell r="I10137" t="str">
            <v>80707</v>
          </cell>
        </row>
        <row r="10138">
          <cell r="G10138" t="str">
            <v xml:space="preserve">Xã Tam Hiệp    </v>
          </cell>
          <cell r="I10138" t="str">
            <v>80707</v>
          </cell>
        </row>
        <row r="10139">
          <cell r="G10139" t="str">
            <v xml:space="preserve">Xã Đông Hòa   </v>
          </cell>
          <cell r="I10139" t="str">
            <v>80707</v>
          </cell>
        </row>
        <row r="10140">
          <cell r="G10140" t="str">
            <v xml:space="preserve">Xã Long Hưng    </v>
          </cell>
          <cell r="I10140" t="str">
            <v>80707</v>
          </cell>
        </row>
        <row r="10141">
          <cell r="G10141" t="str">
            <v>Xã Bàn Long</v>
          </cell>
          <cell r="I10141" t="str">
            <v>80707</v>
          </cell>
        </row>
        <row r="10142">
          <cell r="G10142" t="str">
            <v>Xã Song Thuận</v>
          </cell>
          <cell r="I10142" t="str">
            <v>80707</v>
          </cell>
        </row>
        <row r="10143">
          <cell r="G10143" t="str">
            <v>Thị trấn Tân Hiệp</v>
          </cell>
          <cell r="I10143" t="str">
            <v>80707</v>
          </cell>
        </row>
        <row r="10144">
          <cell r="G10144" t="str">
            <v>Xã Tân Lý Đông</v>
          </cell>
          <cell r="I10144" t="str">
            <v>80707</v>
          </cell>
        </row>
        <row r="10145">
          <cell r="G10145" t="str">
            <v>Xã Tân Lý Tây</v>
          </cell>
          <cell r="I10145" t="str">
            <v>80707</v>
          </cell>
        </row>
        <row r="10146">
          <cell r="G10146" t="str">
            <v>Xã Thân Cửu Nghĩa</v>
          </cell>
          <cell r="I10146" t="str">
            <v>80707</v>
          </cell>
        </row>
        <row r="10147">
          <cell r="G10147" t="str">
            <v>Xã Điềm Hy</v>
          </cell>
          <cell r="I10147" t="str">
            <v>80707</v>
          </cell>
        </row>
        <row r="10148">
          <cell r="G10148" t="str">
            <v xml:space="preserve">Xã Nhị Bình </v>
          </cell>
          <cell r="I10148" t="str">
            <v>80707</v>
          </cell>
        </row>
        <row r="10149">
          <cell r="G10149" t="str">
            <v>Xã Dưỡng Điềm</v>
          </cell>
          <cell r="I10149" t="str">
            <v>80707</v>
          </cell>
        </row>
        <row r="10150">
          <cell r="G10150" t="str">
            <v xml:space="preserve">Xã Long Định </v>
          </cell>
          <cell r="I10150" t="str">
            <v>80707</v>
          </cell>
        </row>
        <row r="10151">
          <cell r="G10151" t="str">
            <v>Xã Hữu Đạo</v>
          </cell>
          <cell r="I10151" t="str">
            <v>80707</v>
          </cell>
        </row>
        <row r="10152">
          <cell r="G10152" t="str">
            <v>Xã Bình Trưng</v>
          </cell>
          <cell r="I10152" t="str">
            <v>80707</v>
          </cell>
        </row>
        <row r="10153">
          <cell r="G10153" t="str">
            <v>Xã Phước Thạnh - Chuyến sang TP Mỹ Tho từ ngày 01/09/2009</v>
          </cell>
          <cell r="I10153" t="str">
            <v>80707</v>
          </cell>
        </row>
        <row r="10154">
          <cell r="G10154" t="str">
            <v xml:space="preserve">Xã Thạnh Phú  </v>
          </cell>
          <cell r="I10154" t="str">
            <v>80707</v>
          </cell>
        </row>
        <row r="10155">
          <cell r="G10155" t="str">
            <v xml:space="preserve">Xã Vĩnh Kim  </v>
          </cell>
          <cell r="I10155" t="str">
            <v>80707</v>
          </cell>
        </row>
        <row r="10156">
          <cell r="G10156" t="str">
            <v xml:space="preserve">Xã Bình Đức </v>
          </cell>
          <cell r="I10156" t="str">
            <v>80707</v>
          </cell>
        </row>
        <row r="10157">
          <cell r="G10157" t="str">
            <v xml:space="preserve">Xã Kim Sơn       </v>
          </cell>
          <cell r="I10157" t="str">
            <v>80707</v>
          </cell>
        </row>
        <row r="10158">
          <cell r="G10158" t="str">
            <v xml:space="preserve">Xã Phú Phong </v>
          </cell>
          <cell r="I10158" t="str">
            <v>80707</v>
          </cell>
        </row>
        <row r="10159">
          <cell r="G10159" t="str">
            <v>Xã Thới Sơn - Chuyến sang TP Mỹ Tho từ ngày 01/09/2009</v>
          </cell>
          <cell r="I10159" t="str">
            <v>80707</v>
          </cell>
        </row>
        <row r="10160">
          <cell r="G10160" t="str">
            <v xml:space="preserve">Xã Phú An     </v>
          </cell>
          <cell r="I10160" t="str">
            <v>80709</v>
          </cell>
        </row>
        <row r="10161">
          <cell r="G10161" t="str">
            <v>Xã Thạnh Lộc</v>
          </cell>
          <cell r="I10161" t="str">
            <v>80709</v>
          </cell>
        </row>
        <row r="10162">
          <cell r="G10162" t="str">
            <v xml:space="preserve">Xã Phú Nhuận   </v>
          </cell>
          <cell r="I10162" t="str">
            <v>80709</v>
          </cell>
        </row>
        <row r="10163">
          <cell r="G10163" t="str">
            <v>Xã Hiệp Đức</v>
          </cell>
          <cell r="I10163" t="str">
            <v>80709</v>
          </cell>
        </row>
        <row r="10164">
          <cell r="G10164" t="str">
            <v xml:space="preserve">Xã Tân Phong       </v>
          </cell>
          <cell r="I10164" t="str">
            <v>80709</v>
          </cell>
        </row>
        <row r="10165">
          <cell r="G10165" t="str">
            <v>Xã Mỹ Thành Bắc</v>
          </cell>
          <cell r="I10165" t="str">
            <v>80709</v>
          </cell>
        </row>
        <row r="10166">
          <cell r="G10166" t="str">
            <v xml:space="preserve">Xã Phú Cường       </v>
          </cell>
          <cell r="I10166" t="str">
            <v>80709</v>
          </cell>
        </row>
        <row r="10167">
          <cell r="G10167" t="str">
            <v>Xã Mỹ Thành Nam</v>
          </cell>
          <cell r="I10167" t="str">
            <v>80709</v>
          </cell>
        </row>
        <row r="10168">
          <cell r="G10168" t="str">
            <v xml:space="preserve">Xã Bình Phú      </v>
          </cell>
          <cell r="I10168" t="str">
            <v>80709</v>
          </cell>
        </row>
        <row r="10169">
          <cell r="G10169" t="str">
            <v xml:space="preserve">Xã Cẩm Sơn    </v>
          </cell>
          <cell r="I10169" t="str">
            <v>80709</v>
          </cell>
        </row>
        <row r="10170">
          <cell r="G10170" t="str">
            <v xml:space="preserve">Xã Mỹ Long </v>
          </cell>
          <cell r="I10170" t="str">
            <v>80709</v>
          </cell>
        </row>
        <row r="10171">
          <cell r="G10171" t="str">
            <v>Xã Long Tiên</v>
          </cell>
          <cell r="I10171" t="str">
            <v>80709</v>
          </cell>
        </row>
        <row r="10172">
          <cell r="G10172" t="str">
            <v>Xã Long Trung</v>
          </cell>
          <cell r="I10172" t="str">
            <v>80709</v>
          </cell>
        </row>
        <row r="10173">
          <cell r="G10173" t="str">
            <v>Xã Hội Xuân</v>
          </cell>
          <cell r="I10173" t="str">
            <v>80709</v>
          </cell>
        </row>
        <row r="10174">
          <cell r="G10174" t="str">
            <v>Xã Tam Bình</v>
          </cell>
          <cell r="I10174" t="str">
            <v>80709</v>
          </cell>
        </row>
        <row r="10175">
          <cell r="G10175" t="str">
            <v xml:space="preserve">Xã Ngũ Hiệp </v>
          </cell>
          <cell r="I10175" t="str">
            <v>80709</v>
          </cell>
        </row>
        <row r="10176">
          <cell r="G10176" t="str">
            <v>Thị trấn Chợ Gạo</v>
          </cell>
          <cell r="I10176" t="str">
            <v>80711</v>
          </cell>
        </row>
        <row r="10177">
          <cell r="G10177" t="str">
            <v>Xã Long Bình Điền</v>
          </cell>
          <cell r="I10177" t="str">
            <v>80711</v>
          </cell>
        </row>
        <row r="10178">
          <cell r="G10178" t="str">
            <v xml:space="preserve">Xã Trung Hòa      </v>
          </cell>
          <cell r="I10178" t="str">
            <v>80711</v>
          </cell>
        </row>
        <row r="10179">
          <cell r="G10179" t="str">
            <v>Xã Phú Kiết</v>
          </cell>
          <cell r="I10179" t="str">
            <v>80711</v>
          </cell>
        </row>
        <row r="10180">
          <cell r="G10180" t="str">
            <v>Xã Quơn Long</v>
          </cell>
          <cell r="I10180" t="str">
            <v>80711</v>
          </cell>
        </row>
        <row r="10181">
          <cell r="G10181" t="str">
            <v>Xã Song Bình</v>
          </cell>
          <cell r="I10181" t="str">
            <v>80711</v>
          </cell>
        </row>
        <row r="10182">
          <cell r="G10182" t="str">
            <v xml:space="preserve">Xã Xuân Đông </v>
          </cell>
          <cell r="I10182" t="str">
            <v>80711</v>
          </cell>
        </row>
        <row r="10183">
          <cell r="G10183" t="str">
            <v>Xã Hòa Tịnh</v>
          </cell>
          <cell r="I10183" t="str">
            <v>80711</v>
          </cell>
        </row>
        <row r="10184">
          <cell r="G10184" t="str">
            <v>Xã Mỹ Tịnh An</v>
          </cell>
          <cell r="I10184" t="str">
            <v>80711</v>
          </cell>
        </row>
        <row r="10185">
          <cell r="G10185" t="str">
            <v>Xã Tân Bình Thạnh</v>
          </cell>
          <cell r="I10185" t="str">
            <v>80711</v>
          </cell>
        </row>
        <row r="10186">
          <cell r="G10186" t="str">
            <v>Xã Lương Hòa Lạc</v>
          </cell>
          <cell r="I10186" t="str">
            <v>80711</v>
          </cell>
        </row>
        <row r="10187">
          <cell r="G10187" t="str">
            <v xml:space="preserve">Xã Thanh Bình      </v>
          </cell>
          <cell r="I10187" t="str">
            <v>80711</v>
          </cell>
        </row>
        <row r="10188">
          <cell r="G10188" t="str">
            <v>Xã Bình Phục Nhứt</v>
          </cell>
          <cell r="I10188" t="str">
            <v>80711</v>
          </cell>
        </row>
        <row r="10189">
          <cell r="G10189" t="str">
            <v>Xã Đăng Hưng Phước</v>
          </cell>
          <cell r="I10189" t="str">
            <v>80711</v>
          </cell>
        </row>
        <row r="10190">
          <cell r="G10190" t="str">
            <v>Xã Tân Thuận Bình</v>
          </cell>
          <cell r="I10190" t="str">
            <v>80711</v>
          </cell>
        </row>
        <row r="10191">
          <cell r="G10191" t="str">
            <v>Xã Bình Phan</v>
          </cell>
          <cell r="I10191" t="str">
            <v>80711</v>
          </cell>
        </row>
        <row r="10192">
          <cell r="G10192" t="str">
            <v>Xã An Thạnh Thủy</v>
          </cell>
          <cell r="I10192" t="str">
            <v>80711</v>
          </cell>
        </row>
        <row r="10193">
          <cell r="G10193" t="str">
            <v>Xã Hòa Định</v>
          </cell>
          <cell r="I10193" t="str">
            <v>80711</v>
          </cell>
        </row>
        <row r="10194">
          <cell r="G10194" t="str">
            <v>Xã Bình Ninh</v>
          </cell>
          <cell r="I10194" t="str">
            <v>80711</v>
          </cell>
        </row>
        <row r="10195">
          <cell r="G10195" t="str">
            <v>Xã Đông Hòa Hiệp</v>
          </cell>
          <cell r="I10195" t="str">
            <v>80713</v>
          </cell>
        </row>
        <row r="10196">
          <cell r="G10196" t="str">
            <v xml:space="preserve">Xã Mỹ Tân   </v>
          </cell>
          <cell r="I10196" t="str">
            <v>80713</v>
          </cell>
        </row>
        <row r="10197">
          <cell r="G10197" t="str">
            <v>Xã Mỹ Lợi B</v>
          </cell>
          <cell r="I10197" t="str">
            <v>80713</v>
          </cell>
        </row>
        <row r="10198">
          <cell r="G10198" t="str">
            <v xml:space="preserve">Xã Hậu Thành </v>
          </cell>
          <cell r="I10198" t="str">
            <v>80713</v>
          </cell>
        </row>
        <row r="10199">
          <cell r="G10199" t="str">
            <v>Xã Mỹ Đức Đông</v>
          </cell>
          <cell r="I10199" t="str">
            <v>80713</v>
          </cell>
        </row>
        <row r="10200">
          <cell r="G10200" t="str">
            <v xml:space="preserve">Xã Tân Hưng           </v>
          </cell>
          <cell r="I10200" t="str">
            <v>80713</v>
          </cell>
        </row>
        <row r="10201">
          <cell r="G10201" t="str">
            <v>Xã An Hữu</v>
          </cell>
          <cell r="I10201" t="str">
            <v>80713</v>
          </cell>
        </row>
        <row r="10202">
          <cell r="G10202" t="str">
            <v>Thị trấn Cái Bè</v>
          </cell>
          <cell r="I10202" t="str">
            <v>80713</v>
          </cell>
        </row>
        <row r="10203">
          <cell r="G10203" t="str">
            <v>Xã Hậu Mỹ Bắc B</v>
          </cell>
          <cell r="I10203" t="str">
            <v>80713</v>
          </cell>
        </row>
        <row r="10204">
          <cell r="G10204" t="str">
            <v>Xã Hậu Mỹ Bắc A</v>
          </cell>
          <cell r="I10204" t="str">
            <v>80713</v>
          </cell>
        </row>
        <row r="10205">
          <cell r="G10205" t="str">
            <v xml:space="preserve">Xã Mỹ Trung </v>
          </cell>
          <cell r="I10205" t="str">
            <v>80713</v>
          </cell>
        </row>
        <row r="10206">
          <cell r="G10206" t="str">
            <v>Xã Hậu Mỹ Trinh</v>
          </cell>
          <cell r="I10206" t="str">
            <v>80713</v>
          </cell>
        </row>
        <row r="10207">
          <cell r="G10207" t="str">
            <v>Xã Hậu Mỹ Phú</v>
          </cell>
          <cell r="I10207" t="str">
            <v>80713</v>
          </cell>
        </row>
        <row r="10208">
          <cell r="G10208" t="str">
            <v>Xã Thiện Trung</v>
          </cell>
          <cell r="I10208" t="str">
            <v>80713</v>
          </cell>
        </row>
        <row r="10209">
          <cell r="G10209" t="str">
            <v xml:space="preserve">Xã Mỹ Hội </v>
          </cell>
          <cell r="I10209" t="str">
            <v>80713</v>
          </cell>
        </row>
        <row r="10210">
          <cell r="G10210" t="str">
            <v xml:space="preserve">Xã An Cư  </v>
          </cell>
          <cell r="I10210" t="str">
            <v>80713</v>
          </cell>
        </row>
        <row r="10211">
          <cell r="G10211" t="str">
            <v>Xã Mỹ Lợi A</v>
          </cell>
          <cell r="I10211" t="str">
            <v>80713</v>
          </cell>
        </row>
        <row r="10212">
          <cell r="G10212" t="str">
            <v xml:space="preserve">Xã Hòa Khánh </v>
          </cell>
          <cell r="I10212" t="str">
            <v>80713</v>
          </cell>
        </row>
        <row r="10213">
          <cell r="G10213" t="str">
            <v>Xã Thiện Trí</v>
          </cell>
          <cell r="I10213" t="str">
            <v>80713</v>
          </cell>
        </row>
        <row r="10214">
          <cell r="G10214" t="str">
            <v>Xã Mỹ Đức Tây</v>
          </cell>
          <cell r="I10214" t="str">
            <v>80713</v>
          </cell>
        </row>
        <row r="10215">
          <cell r="G10215" t="str">
            <v>Xã An Thái Đông</v>
          </cell>
          <cell r="I10215" t="str">
            <v>80713</v>
          </cell>
        </row>
        <row r="10216">
          <cell r="G10216" t="str">
            <v xml:space="preserve">Xã Mỹ Lương  </v>
          </cell>
          <cell r="I10216" t="str">
            <v>80713</v>
          </cell>
        </row>
        <row r="10217">
          <cell r="G10217" t="str">
            <v xml:space="preserve">Xã Tân Thanh   </v>
          </cell>
          <cell r="I10217" t="str">
            <v>80713</v>
          </cell>
        </row>
        <row r="10218">
          <cell r="G10218" t="str">
            <v>Xã An Thái Trung</v>
          </cell>
          <cell r="I10218" t="str">
            <v>80713</v>
          </cell>
        </row>
        <row r="10219">
          <cell r="G10219" t="str">
            <v xml:space="preserve">Xã Hòa Hưng </v>
          </cell>
          <cell r="I10219" t="str">
            <v>80713</v>
          </cell>
        </row>
        <row r="10220">
          <cell r="G10220" t="str">
            <v xml:space="preserve">Xã Long Vĩnh </v>
          </cell>
          <cell r="I10220" t="str">
            <v>80715</v>
          </cell>
        </row>
        <row r="10221">
          <cell r="G10221" t="str">
            <v>Xã Bình Nhì</v>
          </cell>
          <cell r="I10221" t="str">
            <v>80715</v>
          </cell>
        </row>
        <row r="10222">
          <cell r="G10222" t="str">
            <v xml:space="preserve">Xã Đồng Sơn    </v>
          </cell>
          <cell r="I10222" t="str">
            <v>80715</v>
          </cell>
        </row>
        <row r="10223">
          <cell r="G10223" t="str">
            <v>Xã Thạnh Nhựt</v>
          </cell>
          <cell r="I10223" t="str">
            <v>80715</v>
          </cell>
        </row>
        <row r="10224">
          <cell r="G10224" t="str">
            <v xml:space="preserve">Xã Bình Tân     </v>
          </cell>
          <cell r="I10224" t="str">
            <v>80715</v>
          </cell>
        </row>
        <row r="10225">
          <cell r="G10225" t="str">
            <v>Xã Vĩnh Hựu</v>
          </cell>
          <cell r="I10225" t="str">
            <v>80715</v>
          </cell>
        </row>
        <row r="10226">
          <cell r="G10226" t="str">
            <v xml:space="preserve">Xã Long Bình </v>
          </cell>
          <cell r="I10226" t="str">
            <v>80715</v>
          </cell>
        </row>
        <row r="10227">
          <cell r="G10227" t="str">
            <v>Thị trấn Vĩnh Bình</v>
          </cell>
          <cell r="I10227" t="str">
            <v>80715</v>
          </cell>
        </row>
        <row r="10228">
          <cell r="G10228" t="str">
            <v xml:space="preserve">Xã Bình Phú       </v>
          </cell>
          <cell r="I10228" t="str">
            <v>80715</v>
          </cell>
        </row>
        <row r="10229">
          <cell r="G10229" t="str">
            <v>Xã Đồng Thạnh</v>
          </cell>
          <cell r="I10229" t="str">
            <v>80715</v>
          </cell>
        </row>
        <row r="10230">
          <cell r="G10230" t="str">
            <v xml:space="preserve">Xã Thành Công    </v>
          </cell>
          <cell r="I10230" t="str">
            <v>80715</v>
          </cell>
        </row>
        <row r="10231">
          <cell r="G10231" t="str">
            <v>Xã Yên Luông</v>
          </cell>
          <cell r="I10231" t="str">
            <v>80715</v>
          </cell>
        </row>
        <row r="10232">
          <cell r="G10232" t="str">
            <v xml:space="preserve">Xã Thạnh Trị </v>
          </cell>
          <cell r="I10232" t="str">
            <v>80715</v>
          </cell>
        </row>
        <row r="10233">
          <cell r="G10233" t="str">
            <v>Xã Tăng Hòa</v>
          </cell>
          <cell r="I10233" t="str">
            <v>80717</v>
          </cell>
        </row>
        <row r="10234">
          <cell r="G10234" t="str">
            <v>Xã Bình Nghị</v>
          </cell>
          <cell r="I10234" t="str">
            <v>80717</v>
          </cell>
        </row>
        <row r="10235">
          <cell r="G10235" t="str">
            <v xml:space="preserve">Xã Tân Phước     </v>
          </cell>
          <cell r="I10235" t="str">
            <v>80717</v>
          </cell>
        </row>
        <row r="10236">
          <cell r="G10236" t="str">
            <v xml:space="preserve">Xã Tân Tây </v>
          </cell>
          <cell r="I10236" t="str">
            <v>80717</v>
          </cell>
        </row>
        <row r="10237">
          <cell r="G10237" t="str">
            <v xml:space="preserve">Xã Tân Đông  </v>
          </cell>
          <cell r="I10237" t="str">
            <v>80717</v>
          </cell>
        </row>
        <row r="10238">
          <cell r="G10238" t="str">
            <v xml:space="preserve">Xã Phước Trung </v>
          </cell>
          <cell r="I10238" t="str">
            <v>80717</v>
          </cell>
        </row>
        <row r="10239">
          <cell r="G10239" t="str">
            <v>Thị trấn Tân Hòa</v>
          </cell>
          <cell r="I10239" t="str">
            <v>80717</v>
          </cell>
        </row>
        <row r="10240">
          <cell r="G10240" t="str">
            <v>Xã Gia Thuận</v>
          </cell>
          <cell r="I10240" t="str">
            <v>80717</v>
          </cell>
        </row>
        <row r="10241">
          <cell r="G10241" t="str">
            <v>Thị trấn Vàm Láng</v>
          </cell>
          <cell r="I10241" t="str">
            <v>80717</v>
          </cell>
        </row>
        <row r="10242">
          <cell r="G10242" t="str">
            <v>Xã Kiểng Phước</v>
          </cell>
          <cell r="I10242" t="str">
            <v>80717</v>
          </cell>
        </row>
        <row r="10243">
          <cell r="G10243" t="str">
            <v>Xã Bình ân</v>
          </cell>
          <cell r="I10243" t="str">
            <v>80717</v>
          </cell>
        </row>
        <row r="10244">
          <cell r="G10244" t="str">
            <v>Xã Tân Điền</v>
          </cell>
          <cell r="I10244" t="str">
            <v>80717</v>
          </cell>
        </row>
        <row r="10245">
          <cell r="G10245" t="str">
            <v xml:space="preserve">Xã Tân Thành                       </v>
          </cell>
          <cell r="I10245" t="str">
            <v>80717</v>
          </cell>
        </row>
        <row r="10246">
          <cell r="G10246" t="str">
            <v xml:space="preserve">Xã Phú Đông  </v>
          </cell>
          <cell r="I10246" t="str">
            <v>80719</v>
          </cell>
        </row>
        <row r="10247">
          <cell r="G10247" t="str">
            <v xml:space="preserve">Xã Phú Thạnh  </v>
          </cell>
          <cell r="I10247" t="str">
            <v>80719</v>
          </cell>
        </row>
        <row r="10248">
          <cell r="G10248" t="str">
            <v xml:space="preserve">Xã Tân Phú         </v>
          </cell>
          <cell r="I10248" t="str">
            <v>80719</v>
          </cell>
        </row>
        <row r="10249">
          <cell r="G10249" t="str">
            <v xml:space="preserve">Xã Phú Tân </v>
          </cell>
          <cell r="I10249" t="str">
            <v>80719</v>
          </cell>
        </row>
        <row r="10250">
          <cell r="G10250" t="str">
            <v xml:space="preserve">Xã Tân Thạnh  </v>
          </cell>
          <cell r="I10250" t="str">
            <v>80719</v>
          </cell>
        </row>
        <row r="10251">
          <cell r="G10251" t="str">
            <v>Xã Tân Thới</v>
          </cell>
          <cell r="I10251" t="str">
            <v>80719</v>
          </cell>
        </row>
        <row r="10252">
          <cell r="G10252" t="str">
            <v xml:space="preserve">Phường 1                  </v>
          </cell>
          <cell r="I10252" t="str">
            <v>80721</v>
          </cell>
        </row>
        <row r="10253">
          <cell r="G10253" t="str">
            <v xml:space="preserve">Phường 2                 </v>
          </cell>
          <cell r="I10253" t="str">
            <v>80721</v>
          </cell>
        </row>
        <row r="10254">
          <cell r="G10254" t="str">
            <v xml:space="preserve">Phường 3                 </v>
          </cell>
          <cell r="I10254" t="str">
            <v>80721</v>
          </cell>
        </row>
        <row r="10255">
          <cell r="G10255" t="str">
            <v xml:space="preserve">Phường 4              </v>
          </cell>
          <cell r="I10255" t="str">
            <v>80721</v>
          </cell>
        </row>
        <row r="10256">
          <cell r="G10256" t="str">
            <v xml:space="preserve">Phường 5            </v>
          </cell>
          <cell r="I10256" t="str">
            <v>80721</v>
          </cell>
        </row>
        <row r="10257">
          <cell r="G10257" t="str">
            <v>Phường Nhị Mỹ</v>
          </cell>
          <cell r="I10257" t="str">
            <v>80721</v>
          </cell>
        </row>
        <row r="10258">
          <cell r="G10258" t="str">
            <v xml:space="preserve">Xã Tân Bình            </v>
          </cell>
          <cell r="I10258" t="str">
            <v>80721</v>
          </cell>
        </row>
        <row r="10259">
          <cell r="G10259" t="str">
            <v>Xã Mỹ Phước Tây</v>
          </cell>
          <cell r="I10259" t="str">
            <v>80721</v>
          </cell>
        </row>
        <row r="10260">
          <cell r="G10260" t="str">
            <v>Xã Mỹ Hạnh Đông</v>
          </cell>
          <cell r="I10260" t="str">
            <v>80721</v>
          </cell>
        </row>
        <row r="10261">
          <cell r="G10261" t="str">
            <v>Xã Mỹ Hạnh Trung</v>
          </cell>
          <cell r="I10261" t="str">
            <v>80721</v>
          </cell>
        </row>
        <row r="10262">
          <cell r="G10262" t="str">
            <v xml:space="preserve">Xã Tân Phú          </v>
          </cell>
          <cell r="I10262" t="str">
            <v>80721</v>
          </cell>
        </row>
        <row r="10263">
          <cell r="G10263" t="str">
            <v xml:space="preserve">Xã Tân Hội    </v>
          </cell>
          <cell r="I10263" t="str">
            <v>80721</v>
          </cell>
        </row>
        <row r="10264">
          <cell r="G10264" t="str">
            <v>Xã Nhị Quý</v>
          </cell>
          <cell r="I10264" t="str">
            <v>80721</v>
          </cell>
        </row>
        <row r="10265">
          <cell r="G10265" t="str">
            <v xml:space="preserve">Xã Thanh Hòa   </v>
          </cell>
          <cell r="I10265" t="str">
            <v>80721</v>
          </cell>
        </row>
        <row r="10266">
          <cell r="G10266" t="str">
            <v>Xã Phú Quý</v>
          </cell>
          <cell r="I10266" t="str">
            <v>80721</v>
          </cell>
        </row>
        <row r="10267">
          <cell r="G10267" t="str">
            <v xml:space="preserve">Xã Long Khánh  </v>
          </cell>
          <cell r="I10267" t="str">
            <v>80721</v>
          </cell>
        </row>
        <row r="10268">
          <cell r="G10268" t="str">
            <v>Xã Trường An</v>
          </cell>
          <cell r="I10268" t="str">
            <v>80901</v>
          </cell>
        </row>
        <row r="10269">
          <cell r="G10269" t="str">
            <v xml:space="preserve">Phường 5             </v>
          </cell>
          <cell r="I10269" t="str">
            <v>80901</v>
          </cell>
        </row>
        <row r="10270">
          <cell r="G10270" t="str">
            <v xml:space="preserve">Phường 4               </v>
          </cell>
          <cell r="I10270" t="str">
            <v>80901</v>
          </cell>
        </row>
        <row r="10271">
          <cell r="G10271" t="str">
            <v xml:space="preserve">Xã Tân Hòa              </v>
          </cell>
          <cell r="I10271" t="str">
            <v>80901</v>
          </cell>
        </row>
        <row r="10272">
          <cell r="G10272" t="str">
            <v xml:space="preserve">Phường 9        </v>
          </cell>
          <cell r="I10272" t="str">
            <v>80901</v>
          </cell>
        </row>
        <row r="10273">
          <cell r="G10273" t="str">
            <v xml:space="preserve">Phường 1                   </v>
          </cell>
          <cell r="I10273" t="str">
            <v>80901</v>
          </cell>
        </row>
        <row r="10274">
          <cell r="G10274" t="str">
            <v xml:space="preserve">Phường 2                  </v>
          </cell>
          <cell r="I10274" t="str">
            <v>80901</v>
          </cell>
        </row>
        <row r="10275">
          <cell r="G10275" t="str">
            <v xml:space="preserve">Phường 3                  </v>
          </cell>
          <cell r="I10275" t="str">
            <v>80901</v>
          </cell>
        </row>
        <row r="10276">
          <cell r="G10276" t="str">
            <v xml:space="preserve">Phường 8        </v>
          </cell>
          <cell r="I10276" t="str">
            <v>80901</v>
          </cell>
        </row>
        <row r="10277">
          <cell r="G10277" t="str">
            <v>Xã Tân Ngãi</v>
          </cell>
          <cell r="I10277" t="str">
            <v>80901</v>
          </cell>
        </row>
        <row r="10278">
          <cell r="G10278" t="str">
            <v xml:space="preserve">Xã Tân Hội     </v>
          </cell>
          <cell r="I10278" t="str">
            <v>80901</v>
          </cell>
        </row>
        <row r="10279">
          <cell r="G10279" t="str">
            <v xml:space="preserve">Xã Long An    </v>
          </cell>
          <cell r="I10279" t="str">
            <v>80903</v>
          </cell>
        </row>
        <row r="10280">
          <cell r="G10280" t="str">
            <v>Xã Phú Quới</v>
          </cell>
          <cell r="I10280" t="str">
            <v>80903</v>
          </cell>
        </row>
        <row r="10281">
          <cell r="G10281" t="str">
            <v>Thị trấn Long Hồ</v>
          </cell>
          <cell r="I10281" t="str">
            <v>80903</v>
          </cell>
        </row>
        <row r="10282">
          <cell r="G10282" t="str">
            <v xml:space="preserve">Xã Thanh Đức  </v>
          </cell>
          <cell r="I10282" t="str">
            <v>80903</v>
          </cell>
        </row>
        <row r="10283">
          <cell r="G10283" t="str">
            <v xml:space="preserve">Xã Phú Đức </v>
          </cell>
          <cell r="I10283" t="str">
            <v>80903</v>
          </cell>
        </row>
        <row r="10284">
          <cell r="G10284" t="str">
            <v>Xã Thạnh Quới</v>
          </cell>
          <cell r="I10284" t="str">
            <v>80903</v>
          </cell>
        </row>
        <row r="10285">
          <cell r="G10285" t="str">
            <v xml:space="preserve">Xã Hòa Phú         </v>
          </cell>
          <cell r="I10285" t="str">
            <v>80903</v>
          </cell>
        </row>
        <row r="10286">
          <cell r="G10286" t="str">
            <v xml:space="preserve">Xã Đồng Phú  </v>
          </cell>
          <cell r="I10286" t="str">
            <v>80903</v>
          </cell>
        </row>
        <row r="10287">
          <cell r="G10287" t="str">
            <v>Xã Bình Hòa Phước</v>
          </cell>
          <cell r="I10287" t="str">
            <v>80903</v>
          </cell>
        </row>
        <row r="10288">
          <cell r="G10288" t="str">
            <v xml:space="preserve">Xã Hòa Ninh  </v>
          </cell>
          <cell r="I10288" t="str">
            <v>80903</v>
          </cell>
        </row>
        <row r="10289">
          <cell r="G10289" t="str">
            <v xml:space="preserve">Xã An Bình          </v>
          </cell>
          <cell r="I10289" t="str">
            <v>80903</v>
          </cell>
        </row>
        <row r="10290">
          <cell r="G10290" t="str">
            <v xml:space="preserve">Xã Tân Hạnh </v>
          </cell>
          <cell r="I10290" t="str">
            <v>80903</v>
          </cell>
        </row>
        <row r="10291">
          <cell r="G10291" t="str">
            <v xml:space="preserve">Xã Phước Hậu </v>
          </cell>
          <cell r="I10291" t="str">
            <v>80903</v>
          </cell>
        </row>
        <row r="10292">
          <cell r="G10292" t="str">
            <v xml:space="preserve">Xã Long Phước   </v>
          </cell>
          <cell r="I10292" t="str">
            <v>80903</v>
          </cell>
        </row>
        <row r="10293">
          <cell r="G10293" t="str">
            <v xml:space="preserve">Xã Lộc Hòa   </v>
          </cell>
          <cell r="I10293" t="str">
            <v>80903</v>
          </cell>
        </row>
        <row r="10294">
          <cell r="G10294" t="str">
            <v xml:space="preserve">Xã Mỹ Phước </v>
          </cell>
          <cell r="I10294" t="str">
            <v>80905</v>
          </cell>
        </row>
        <row r="10295">
          <cell r="G10295" t="str">
            <v xml:space="preserve">Xã Bình Phước </v>
          </cell>
          <cell r="I10295" t="str">
            <v>80905</v>
          </cell>
        </row>
        <row r="10296">
          <cell r="G10296" t="str">
            <v>Xã Tân Long Hội</v>
          </cell>
          <cell r="I10296" t="str">
            <v>80905</v>
          </cell>
        </row>
        <row r="10297">
          <cell r="G10297" t="str">
            <v>Thị trấn Cái Nhum</v>
          </cell>
          <cell r="I10297" t="str">
            <v>80905</v>
          </cell>
        </row>
        <row r="10298">
          <cell r="G10298" t="str">
            <v xml:space="preserve">Xã Mỹ An     </v>
          </cell>
          <cell r="I10298" t="str">
            <v>80905</v>
          </cell>
        </row>
        <row r="10299">
          <cell r="G10299" t="str">
            <v xml:space="preserve">Xã An Phước  </v>
          </cell>
          <cell r="I10299" t="str">
            <v>80905</v>
          </cell>
        </row>
        <row r="10300">
          <cell r="G10300" t="str">
            <v>Xã Nhơn Phú</v>
          </cell>
          <cell r="I10300" t="str">
            <v>80905</v>
          </cell>
        </row>
        <row r="10301">
          <cell r="G10301" t="str">
            <v xml:space="preserve">Xã Long Mỹ </v>
          </cell>
          <cell r="I10301" t="str">
            <v>80905</v>
          </cell>
        </row>
        <row r="10302">
          <cell r="G10302" t="str">
            <v xml:space="preserve">Xã Hòa Tịnh </v>
          </cell>
          <cell r="I10302" t="str">
            <v>80905</v>
          </cell>
        </row>
        <row r="10303">
          <cell r="G10303" t="str">
            <v>Xã Chánh Hội</v>
          </cell>
          <cell r="I10303" t="str">
            <v>80905</v>
          </cell>
        </row>
        <row r="10304">
          <cell r="G10304" t="str">
            <v>Xã Chánh An</v>
          </cell>
          <cell r="I10304" t="str">
            <v>80905</v>
          </cell>
        </row>
        <row r="10305">
          <cell r="G10305" t="str">
            <v xml:space="preserve">Xã Tân An Hội </v>
          </cell>
          <cell r="I10305" t="str">
            <v>80905</v>
          </cell>
        </row>
        <row r="10306">
          <cell r="G10306" t="str">
            <v xml:space="preserve">Xã Tân Long      </v>
          </cell>
          <cell r="I10306" t="str">
            <v>80905</v>
          </cell>
        </row>
        <row r="10307">
          <cell r="G10307" t="str">
            <v>Phường Cái Vồn</v>
          </cell>
          <cell r="I10307" t="str">
            <v>80907</v>
          </cell>
        </row>
        <row r="10308">
          <cell r="G10308" t="str">
            <v xml:space="preserve">Xã Đông Thạnh  </v>
          </cell>
          <cell r="I10308" t="str">
            <v>80907</v>
          </cell>
        </row>
        <row r="10309">
          <cell r="G10309" t="str">
            <v xml:space="preserve">Xã Thuận An </v>
          </cell>
          <cell r="I10309" t="str">
            <v>80907</v>
          </cell>
        </row>
        <row r="10310">
          <cell r="G10310" t="str">
            <v>Xã Đông Bình</v>
          </cell>
          <cell r="I10310" t="str">
            <v>80907</v>
          </cell>
        </row>
        <row r="10311">
          <cell r="G10311" t="str">
            <v xml:space="preserve">Xã Mỹ Hòa   </v>
          </cell>
          <cell r="I10311" t="str">
            <v>80907</v>
          </cell>
        </row>
        <row r="10312">
          <cell r="G10312" t="str">
            <v xml:space="preserve">Xã Đông Thành  </v>
          </cell>
          <cell r="I10312" t="str">
            <v>80907</v>
          </cell>
        </row>
        <row r="10313">
          <cell r="G10313" t="str">
            <v>Phường Đông Thuận</v>
          </cell>
          <cell r="I10313" t="str">
            <v>80907</v>
          </cell>
        </row>
        <row r="10314">
          <cell r="G10314" t="str">
            <v>Phường Thành Phước</v>
          </cell>
          <cell r="I10314" t="str">
            <v>80907</v>
          </cell>
        </row>
        <row r="10315">
          <cell r="G10315" t="str">
            <v>Xã Tân Lược</v>
          </cell>
          <cell r="I10315" t="str">
            <v>80908</v>
          </cell>
        </row>
        <row r="10316">
          <cell r="G10316" t="str">
            <v>Xã Tân An Thạnh</v>
          </cell>
          <cell r="I10316" t="str">
            <v>80908</v>
          </cell>
        </row>
        <row r="10317">
          <cell r="G10317" t="str">
            <v xml:space="preserve">Xã Tân Hưng            </v>
          </cell>
          <cell r="I10317" t="str">
            <v>80908</v>
          </cell>
        </row>
        <row r="10318">
          <cell r="G10318" t="str">
            <v xml:space="preserve">Xã Tân Quới </v>
          </cell>
          <cell r="I10318" t="str">
            <v>80908</v>
          </cell>
        </row>
        <row r="10319">
          <cell r="G10319" t="str">
            <v xml:space="preserve">Xã Tân Bình             </v>
          </cell>
          <cell r="I10319" t="str">
            <v>80908</v>
          </cell>
        </row>
        <row r="10320">
          <cell r="G10320" t="str">
            <v xml:space="preserve">Xã Tân Thành                        </v>
          </cell>
          <cell r="I10320" t="str">
            <v>80908</v>
          </cell>
        </row>
        <row r="10321">
          <cell r="G10321" t="str">
            <v xml:space="preserve">Xã Thành Lợi </v>
          </cell>
          <cell r="I10321" t="str">
            <v>80908</v>
          </cell>
        </row>
        <row r="10322">
          <cell r="G10322" t="str">
            <v>Xã Thành Đông</v>
          </cell>
          <cell r="I10322" t="str">
            <v>80908</v>
          </cell>
        </row>
        <row r="10323">
          <cell r="G10323" t="str">
            <v>Xã Thành Trung</v>
          </cell>
          <cell r="I10323" t="str">
            <v>80908</v>
          </cell>
        </row>
        <row r="10324">
          <cell r="G10324" t="str">
            <v xml:space="preserve">Xã Mỹ Thuận  </v>
          </cell>
          <cell r="I10324" t="str">
            <v>80908</v>
          </cell>
        </row>
        <row r="10325">
          <cell r="G10325" t="str">
            <v>Xã Nguyễn Văn Thảnh</v>
          </cell>
          <cell r="I10325" t="str">
            <v>80908</v>
          </cell>
        </row>
        <row r="10326">
          <cell r="G10326" t="str">
            <v xml:space="preserve">Xã Hòa Thạnh </v>
          </cell>
          <cell r="I10326" t="str">
            <v>80909</v>
          </cell>
        </row>
        <row r="10327">
          <cell r="G10327" t="str">
            <v xml:space="preserve">Xã Bình Ninh </v>
          </cell>
          <cell r="I10327" t="str">
            <v>80909</v>
          </cell>
        </row>
        <row r="10328">
          <cell r="G10328" t="str">
            <v>Thị trấn Tam Bình</v>
          </cell>
          <cell r="I10328" t="str">
            <v>80909</v>
          </cell>
        </row>
        <row r="10329">
          <cell r="G10329" t="str">
            <v xml:space="preserve">Xã Hòa Lộc </v>
          </cell>
          <cell r="I10329" t="str">
            <v>80909</v>
          </cell>
        </row>
        <row r="10330">
          <cell r="G10330" t="str">
            <v xml:space="preserve">Xã Hòa Hiệp    </v>
          </cell>
          <cell r="I10330" t="str">
            <v>80909</v>
          </cell>
        </row>
        <row r="10331">
          <cell r="G10331" t="str">
            <v>Xã Mỹ Thạnh Trung</v>
          </cell>
          <cell r="I10331" t="str">
            <v>80909</v>
          </cell>
        </row>
        <row r="10332">
          <cell r="G10332" t="str">
            <v xml:space="preserve">Xã Tân Lộc </v>
          </cell>
          <cell r="I10332" t="str">
            <v>80909</v>
          </cell>
        </row>
        <row r="10333">
          <cell r="G10333" t="str">
            <v xml:space="preserve">Xã Phú Thịnh      </v>
          </cell>
          <cell r="I10333" t="str">
            <v>80909</v>
          </cell>
        </row>
        <row r="10334">
          <cell r="G10334" t="str">
            <v>Xã Hậu Lộc</v>
          </cell>
          <cell r="I10334" t="str">
            <v>80909</v>
          </cell>
        </row>
        <row r="10335">
          <cell r="G10335" t="str">
            <v xml:space="preserve">Xã Phú Lộc       </v>
          </cell>
          <cell r="I10335" t="str">
            <v>80909</v>
          </cell>
        </row>
        <row r="10336">
          <cell r="G10336" t="str">
            <v>Xã Song Phú</v>
          </cell>
          <cell r="I10336" t="str">
            <v>80909</v>
          </cell>
        </row>
        <row r="10337">
          <cell r="G10337" t="str">
            <v xml:space="preserve">Xã Mỹ Lộc     </v>
          </cell>
          <cell r="I10337" t="str">
            <v>80909</v>
          </cell>
        </row>
        <row r="10338">
          <cell r="G10338" t="str">
            <v xml:space="preserve">Xã Tân Phú           </v>
          </cell>
          <cell r="I10338" t="str">
            <v>80909</v>
          </cell>
        </row>
        <row r="10339">
          <cell r="G10339" t="str">
            <v>Xã Long Phú</v>
          </cell>
          <cell r="I10339" t="str">
            <v>80909</v>
          </cell>
        </row>
        <row r="10340">
          <cell r="G10340" t="str">
            <v>Xã Tường Lộc</v>
          </cell>
          <cell r="I10340" t="str">
            <v>80909</v>
          </cell>
        </row>
        <row r="10341">
          <cell r="G10341" t="str">
            <v>Xã Loan Mỹ</v>
          </cell>
          <cell r="I10341" t="str">
            <v>80909</v>
          </cell>
        </row>
        <row r="10342">
          <cell r="G10342" t="str">
            <v>Xã Ngãi Tứ</v>
          </cell>
          <cell r="I10342" t="str">
            <v>80909</v>
          </cell>
        </row>
        <row r="10343">
          <cell r="G10343" t="str">
            <v xml:space="preserve">Xã Tân Mỹ        </v>
          </cell>
          <cell r="I10343" t="str">
            <v>80911</v>
          </cell>
        </row>
        <row r="10344">
          <cell r="G10344" t="str">
            <v>Thị trấn Trà ôn</v>
          </cell>
          <cell r="I10344" t="str">
            <v>80911</v>
          </cell>
        </row>
        <row r="10345">
          <cell r="G10345" t="str">
            <v>Xã Thới Hòa</v>
          </cell>
          <cell r="I10345" t="str">
            <v>80911</v>
          </cell>
        </row>
        <row r="10346">
          <cell r="G10346" t="str">
            <v>Xã Vĩnh Xuân</v>
          </cell>
          <cell r="I10346" t="str">
            <v>80911</v>
          </cell>
        </row>
        <row r="10347">
          <cell r="G10347" t="str">
            <v>Xã Lục Sỹ Thành</v>
          </cell>
          <cell r="I10347" t="str">
            <v>80911</v>
          </cell>
        </row>
        <row r="10348">
          <cell r="G10348" t="str">
            <v xml:space="preserve">Xã Xuân Hiệp </v>
          </cell>
          <cell r="I10348" t="str">
            <v>80911</v>
          </cell>
        </row>
        <row r="10349">
          <cell r="G10349" t="str">
            <v>Xã Nhơn Bình</v>
          </cell>
          <cell r="I10349" t="str">
            <v>80911</v>
          </cell>
        </row>
        <row r="10350">
          <cell r="G10350" t="str">
            <v xml:space="preserve">Xã Hòa Bình                 </v>
          </cell>
          <cell r="I10350" t="str">
            <v>80911</v>
          </cell>
        </row>
        <row r="10351">
          <cell r="G10351" t="str">
            <v>Xã Trà Côn</v>
          </cell>
          <cell r="I10351" t="str">
            <v>80911</v>
          </cell>
        </row>
        <row r="10352">
          <cell r="G10352" t="str">
            <v>Xã Hựu Thành</v>
          </cell>
          <cell r="I10352" t="str">
            <v>80911</v>
          </cell>
        </row>
        <row r="10353">
          <cell r="G10353" t="str">
            <v>Xã Thuận Thới</v>
          </cell>
          <cell r="I10353" t="str">
            <v>80911</v>
          </cell>
        </row>
        <row r="10354">
          <cell r="G10354" t="str">
            <v xml:space="preserve">Xã Phú Thành   </v>
          </cell>
          <cell r="I10354" t="str">
            <v>80911</v>
          </cell>
        </row>
        <row r="10355">
          <cell r="G10355" t="str">
            <v>Xã Thiện Mỹ</v>
          </cell>
          <cell r="I10355" t="str">
            <v>80911</v>
          </cell>
        </row>
        <row r="10356">
          <cell r="G10356" t="str">
            <v>Xã Tích Thiện</v>
          </cell>
          <cell r="I10356" t="str">
            <v>80911</v>
          </cell>
        </row>
        <row r="10357">
          <cell r="G10357" t="str">
            <v>Thị trấn Vũng Liêm</v>
          </cell>
          <cell r="I10357" t="str">
            <v>80913</v>
          </cell>
        </row>
        <row r="10358">
          <cell r="G10358" t="str">
            <v>Xã Trung Ngãi</v>
          </cell>
          <cell r="I10358" t="str">
            <v>80913</v>
          </cell>
        </row>
        <row r="10359">
          <cell r="G10359" t="str">
            <v xml:space="preserve">Xã Trung Chánh </v>
          </cell>
          <cell r="I10359" t="str">
            <v>80913</v>
          </cell>
        </row>
        <row r="10360">
          <cell r="G10360" t="str">
            <v>Xã Trung Hiệp</v>
          </cell>
          <cell r="I10360" t="str">
            <v>80913</v>
          </cell>
        </row>
        <row r="10361">
          <cell r="G10361" t="str">
            <v>Xã Trung Hiếu</v>
          </cell>
          <cell r="I10361" t="str">
            <v>80913</v>
          </cell>
        </row>
        <row r="10362">
          <cell r="G10362" t="str">
            <v xml:space="preserve">Xã Trung An   </v>
          </cell>
          <cell r="I10362" t="str">
            <v>80913</v>
          </cell>
        </row>
        <row r="10363">
          <cell r="G10363" t="str">
            <v>Xã Tân Quới Trung</v>
          </cell>
          <cell r="I10363" t="str">
            <v>80913</v>
          </cell>
        </row>
        <row r="10364">
          <cell r="G10364" t="str">
            <v>Xã Quới Thiện</v>
          </cell>
          <cell r="I10364" t="str">
            <v>80913</v>
          </cell>
        </row>
        <row r="10365">
          <cell r="G10365" t="str">
            <v>Xã Quới An</v>
          </cell>
          <cell r="I10365" t="str">
            <v>80913</v>
          </cell>
        </row>
        <row r="10366">
          <cell r="G10366" t="str">
            <v>Xã Tân An Luông</v>
          </cell>
          <cell r="I10366" t="str">
            <v>80913</v>
          </cell>
        </row>
        <row r="10367">
          <cell r="G10367" t="str">
            <v xml:space="preserve">Xã Thanh Bình       </v>
          </cell>
          <cell r="I10367" t="str">
            <v>80913</v>
          </cell>
        </row>
        <row r="10368">
          <cell r="G10368" t="str">
            <v>Xã Trung Thành Tây</v>
          </cell>
          <cell r="I10368" t="str">
            <v>80913</v>
          </cell>
        </row>
        <row r="10369">
          <cell r="G10369" t="str">
            <v>Xã Hiếu Phụng</v>
          </cell>
          <cell r="I10369" t="str">
            <v>80913</v>
          </cell>
        </row>
        <row r="10370">
          <cell r="G10370" t="str">
            <v>Xã Trung Thành Đông</v>
          </cell>
          <cell r="I10370" t="str">
            <v>80913</v>
          </cell>
        </row>
        <row r="10371">
          <cell r="G10371" t="str">
            <v xml:space="preserve">Xã Trung Thành        </v>
          </cell>
          <cell r="I10371" t="str">
            <v>80913</v>
          </cell>
        </row>
        <row r="10372">
          <cell r="G10372" t="str">
            <v>Xã Hiếu Thuận</v>
          </cell>
          <cell r="I10372" t="str">
            <v>80913</v>
          </cell>
        </row>
        <row r="10373">
          <cell r="G10373" t="str">
            <v xml:space="preserve">Xã Trung Nghĩa   </v>
          </cell>
          <cell r="I10373" t="str">
            <v>80913</v>
          </cell>
        </row>
        <row r="10374">
          <cell r="G10374" t="str">
            <v>Xã Hiếu Nhơn</v>
          </cell>
          <cell r="I10374" t="str">
            <v>80913</v>
          </cell>
        </row>
        <row r="10375">
          <cell r="G10375" t="str">
            <v>Xã Hiếu Thành</v>
          </cell>
          <cell r="I10375" t="str">
            <v>80913</v>
          </cell>
        </row>
        <row r="10376">
          <cell r="G10376" t="str">
            <v>Xã Hiếu Nghĩa</v>
          </cell>
          <cell r="I10376" t="str">
            <v>80913</v>
          </cell>
        </row>
        <row r="10377">
          <cell r="G10377" t="str">
            <v xml:space="preserve">Xã Phú Hưng </v>
          </cell>
          <cell r="I10377" t="str">
            <v>81101</v>
          </cell>
        </row>
        <row r="10378">
          <cell r="G10378" t="str">
            <v xml:space="preserve">Phường 8         </v>
          </cell>
          <cell r="I10378" t="str">
            <v>81101</v>
          </cell>
        </row>
        <row r="10379">
          <cell r="G10379" t="str">
            <v xml:space="preserve">Phường 1                    </v>
          </cell>
          <cell r="I10379" t="str">
            <v>81101</v>
          </cell>
        </row>
        <row r="10380">
          <cell r="G10380" t="str">
            <v xml:space="preserve">Phường 7          </v>
          </cell>
          <cell r="I10380" t="str">
            <v>81101</v>
          </cell>
        </row>
        <row r="10381">
          <cell r="G10381" t="str">
            <v>Xã Mỹ Thạnh An</v>
          </cell>
          <cell r="I10381" t="str">
            <v>81101</v>
          </cell>
        </row>
        <row r="10382">
          <cell r="G10382" t="str">
            <v>Phường Phú Khương</v>
          </cell>
          <cell r="I10382" t="str">
            <v>81101</v>
          </cell>
        </row>
        <row r="10383">
          <cell r="G10383" t="str">
            <v xml:space="preserve">Phường 6           </v>
          </cell>
          <cell r="I10383" t="str">
            <v>81101</v>
          </cell>
        </row>
        <row r="10384">
          <cell r="G10384" t="str">
            <v xml:space="preserve">Phường 4                </v>
          </cell>
          <cell r="I10384" t="str">
            <v>81101</v>
          </cell>
        </row>
        <row r="10385">
          <cell r="G10385" t="str">
            <v xml:space="preserve">Phường 5              </v>
          </cell>
          <cell r="I10385" t="str">
            <v>81101</v>
          </cell>
        </row>
        <row r="10386">
          <cell r="G10386" t="str">
            <v xml:space="preserve">Phường 3                   </v>
          </cell>
          <cell r="I10386" t="str">
            <v>81101</v>
          </cell>
        </row>
        <row r="10387">
          <cell r="G10387" t="str">
            <v xml:space="preserve">Phường 2                   </v>
          </cell>
          <cell r="I10387" t="str">
            <v>81101</v>
          </cell>
        </row>
        <row r="10388">
          <cell r="G10388" t="str">
            <v xml:space="preserve">Xã Sơn Đông  </v>
          </cell>
          <cell r="I10388" t="str">
            <v>81101</v>
          </cell>
        </row>
        <row r="10389">
          <cell r="G10389" t="str">
            <v xml:space="preserve">Xã Bình Phú        </v>
          </cell>
          <cell r="I10389" t="str">
            <v>81101</v>
          </cell>
        </row>
        <row r="10390">
          <cell r="G10390" t="str">
            <v>Xã Nhơn Thạnh</v>
          </cell>
          <cell r="I10390" t="str">
            <v>81101</v>
          </cell>
        </row>
        <row r="10391">
          <cell r="G10391" t="str">
            <v xml:space="preserve">Xã Phú Nhuận    </v>
          </cell>
          <cell r="I10391" t="str">
            <v>81101</v>
          </cell>
        </row>
        <row r="10392">
          <cell r="G10392" t="str">
            <v xml:space="preserve">Phường Phú Tân </v>
          </cell>
          <cell r="I10392" t="str">
            <v>81101</v>
          </cell>
        </row>
        <row r="10393">
          <cell r="G10393" t="str">
            <v xml:space="preserve">Xã Mỹ Thành     </v>
          </cell>
          <cell r="I10393" t="str">
            <v>81101</v>
          </cell>
        </row>
        <row r="10394">
          <cell r="G10394" t="str">
            <v xml:space="preserve">Xã Phú Đức  </v>
          </cell>
          <cell r="I10394" t="str">
            <v>81103</v>
          </cell>
        </row>
        <row r="10395">
          <cell r="G10395" t="str">
            <v xml:space="preserve">Xã An Hiệp   </v>
          </cell>
          <cell r="I10395" t="str">
            <v>81103</v>
          </cell>
        </row>
        <row r="10396">
          <cell r="G10396" t="str">
            <v>Xã Tân Thạch</v>
          </cell>
          <cell r="I10396" t="str">
            <v>81103</v>
          </cell>
        </row>
        <row r="10397">
          <cell r="G10397" t="str">
            <v>Xã Giao Hòa</v>
          </cell>
          <cell r="I10397" t="str">
            <v>81103</v>
          </cell>
        </row>
        <row r="10398">
          <cell r="G10398" t="str">
            <v xml:space="preserve">Xã An Phước   </v>
          </cell>
          <cell r="I10398" t="str">
            <v>81103</v>
          </cell>
        </row>
        <row r="10399">
          <cell r="G10399" t="str">
            <v xml:space="preserve">Xã Tân Phú            </v>
          </cell>
          <cell r="I10399" t="str">
            <v>81103</v>
          </cell>
        </row>
        <row r="10400">
          <cell r="G10400" t="str">
            <v>Xã Tiên Long</v>
          </cell>
          <cell r="I10400" t="str">
            <v>81103</v>
          </cell>
        </row>
        <row r="10401">
          <cell r="G10401" t="str">
            <v xml:space="preserve">Xã Sơn Hòa </v>
          </cell>
          <cell r="I10401" t="str">
            <v>81103</v>
          </cell>
        </row>
        <row r="10402">
          <cell r="G10402" t="str">
            <v xml:space="preserve">Thị trấn Châu Thành </v>
          </cell>
          <cell r="I10402" t="str">
            <v>81103</v>
          </cell>
        </row>
        <row r="10403">
          <cell r="G10403" t="str">
            <v>Xã Qưới Sơn</v>
          </cell>
          <cell r="I10403" t="str">
            <v>81103</v>
          </cell>
        </row>
        <row r="10404">
          <cell r="G10404" t="str">
            <v xml:space="preserve">Xã An Khánh   </v>
          </cell>
          <cell r="I10404" t="str">
            <v>81103</v>
          </cell>
        </row>
        <row r="10405">
          <cell r="G10405" t="str">
            <v xml:space="preserve">Xã Giao Long </v>
          </cell>
          <cell r="I10405" t="str">
            <v>81103</v>
          </cell>
        </row>
        <row r="10406">
          <cell r="G10406" t="str">
            <v xml:space="preserve">Xã Phú Túc  </v>
          </cell>
          <cell r="I10406" t="str">
            <v>81103</v>
          </cell>
        </row>
        <row r="10407">
          <cell r="G10407" t="str">
            <v>Xã Phú An Hòa</v>
          </cell>
          <cell r="I10407" t="str">
            <v>81103</v>
          </cell>
        </row>
        <row r="10408">
          <cell r="G10408" t="str">
            <v xml:space="preserve">Xã Tam Phước  </v>
          </cell>
          <cell r="I10408" t="str">
            <v>81103</v>
          </cell>
        </row>
        <row r="10409">
          <cell r="G10409" t="str">
            <v>Xã Thành Triệu</v>
          </cell>
          <cell r="I10409" t="str">
            <v>81103</v>
          </cell>
        </row>
        <row r="10410">
          <cell r="G10410" t="str">
            <v>Xã Tường Đa</v>
          </cell>
          <cell r="I10410" t="str">
            <v>81103</v>
          </cell>
        </row>
        <row r="10411">
          <cell r="G10411" t="str">
            <v>Xã Quới Thành</v>
          </cell>
          <cell r="I10411" t="str">
            <v>81103</v>
          </cell>
        </row>
        <row r="10412">
          <cell r="G10412" t="str">
            <v xml:space="preserve">Xã Phước Thạnh   </v>
          </cell>
          <cell r="I10412" t="str">
            <v>81103</v>
          </cell>
        </row>
        <row r="10413">
          <cell r="G10413" t="str">
            <v>Xã An Hóa</v>
          </cell>
          <cell r="I10413" t="str">
            <v>81103</v>
          </cell>
        </row>
        <row r="10414">
          <cell r="G10414" t="str">
            <v>Xã Hữu Định</v>
          </cell>
          <cell r="I10414" t="str">
            <v>81103</v>
          </cell>
        </row>
        <row r="10415">
          <cell r="G10415" t="str">
            <v>Xã Tiên Thủy</v>
          </cell>
          <cell r="I10415" t="str">
            <v>81103</v>
          </cell>
        </row>
        <row r="10416">
          <cell r="G10416" t="str">
            <v>Xã Tân Thiềng</v>
          </cell>
          <cell r="I10416" t="str">
            <v>81105</v>
          </cell>
        </row>
        <row r="10417">
          <cell r="G10417" t="str">
            <v>Xã Phú Phụng</v>
          </cell>
          <cell r="I10417" t="str">
            <v>81105</v>
          </cell>
        </row>
        <row r="10418">
          <cell r="G10418" t="str">
            <v xml:space="preserve">Xã Long Thới </v>
          </cell>
          <cell r="I10418" t="str">
            <v>81105</v>
          </cell>
        </row>
        <row r="10419">
          <cell r="G10419" t="str">
            <v xml:space="preserve">Xã Vĩnh Hòa      </v>
          </cell>
          <cell r="I10419" t="str">
            <v>81105</v>
          </cell>
        </row>
        <row r="10420">
          <cell r="G10420" t="str">
            <v>Thị trấn Chợ Lách</v>
          </cell>
          <cell r="I10420" t="str">
            <v>81105</v>
          </cell>
        </row>
        <row r="10421">
          <cell r="G10421" t="str">
            <v xml:space="preserve">Xã Sơn Định </v>
          </cell>
          <cell r="I10421" t="str">
            <v>81105</v>
          </cell>
        </row>
        <row r="10422">
          <cell r="G10422" t="str">
            <v xml:space="preserve">Xã Vĩnh Bình  </v>
          </cell>
          <cell r="I10422" t="str">
            <v>81105</v>
          </cell>
        </row>
        <row r="10423">
          <cell r="G10423" t="str">
            <v>Xã Hòa Nghĩa</v>
          </cell>
          <cell r="I10423" t="str">
            <v>81105</v>
          </cell>
        </row>
        <row r="10424">
          <cell r="G10424" t="str">
            <v xml:space="preserve">Xã Phú Sơn         </v>
          </cell>
          <cell r="I10424" t="str">
            <v>81105</v>
          </cell>
        </row>
        <row r="10425">
          <cell r="G10425" t="str">
            <v xml:space="preserve">Xã Vĩnh Thành    </v>
          </cell>
          <cell r="I10425" t="str">
            <v>81105</v>
          </cell>
        </row>
        <row r="10426">
          <cell r="G10426" t="str">
            <v>Xã Hưng Khánh Trung B</v>
          </cell>
          <cell r="I10426" t="str">
            <v>81105</v>
          </cell>
        </row>
        <row r="10427">
          <cell r="G10427" t="str">
            <v>Xã An Thới</v>
          </cell>
          <cell r="I10427" t="str">
            <v>81107</v>
          </cell>
        </row>
        <row r="10428">
          <cell r="G10428" t="str">
            <v>Xã Bình Khánh Đông</v>
          </cell>
          <cell r="I10428" t="str">
            <v>81107</v>
          </cell>
        </row>
        <row r="10429">
          <cell r="G10429" t="str">
            <v>Xã Thành Thới B</v>
          </cell>
          <cell r="I10429" t="str">
            <v>81107</v>
          </cell>
        </row>
        <row r="10430">
          <cell r="G10430" t="str">
            <v xml:space="preserve">Xã Minh Đức      </v>
          </cell>
          <cell r="I10430" t="str">
            <v>81107</v>
          </cell>
        </row>
        <row r="10431">
          <cell r="G10431" t="str">
            <v>Thị trấn Mỏ Cày</v>
          </cell>
          <cell r="I10431" t="str">
            <v>81107</v>
          </cell>
        </row>
        <row r="10432">
          <cell r="G10432" t="str">
            <v>Xã Định Thủy</v>
          </cell>
          <cell r="I10432" t="str">
            <v>81107</v>
          </cell>
        </row>
        <row r="10433">
          <cell r="G10433" t="str">
            <v>Xã Đa Phước Hội</v>
          </cell>
          <cell r="I10433" t="str">
            <v>81107</v>
          </cell>
        </row>
        <row r="10434">
          <cell r="G10434" t="str">
            <v xml:space="preserve">Xã Phước Hiệp   </v>
          </cell>
          <cell r="I10434" t="str">
            <v>81107</v>
          </cell>
        </row>
        <row r="10435">
          <cell r="G10435" t="str">
            <v xml:space="preserve">Xã An Thạnh  </v>
          </cell>
          <cell r="I10435" t="str">
            <v>81107</v>
          </cell>
        </row>
        <row r="10436">
          <cell r="G10436" t="str">
            <v>Xã Bình Khánh Tây</v>
          </cell>
          <cell r="I10436" t="str">
            <v>81107</v>
          </cell>
        </row>
        <row r="10437">
          <cell r="G10437" t="str">
            <v xml:space="preserve">Xã An Định </v>
          </cell>
          <cell r="I10437" t="str">
            <v>81107</v>
          </cell>
        </row>
        <row r="10438">
          <cell r="G10438" t="str">
            <v xml:space="preserve">Xã Tân Trung   </v>
          </cell>
          <cell r="I10438" t="str">
            <v>81107</v>
          </cell>
        </row>
        <row r="10439">
          <cell r="G10439" t="str">
            <v>Xã Thành Thới A</v>
          </cell>
          <cell r="I10439" t="str">
            <v>81107</v>
          </cell>
        </row>
        <row r="10440">
          <cell r="G10440" t="str">
            <v>Xã Ngãi Đăng</v>
          </cell>
          <cell r="I10440" t="str">
            <v>81107</v>
          </cell>
        </row>
        <row r="10441">
          <cell r="G10441" t="str">
            <v xml:space="preserve">Xã Cẩm Sơn     </v>
          </cell>
          <cell r="I10441" t="str">
            <v>81107</v>
          </cell>
        </row>
        <row r="10442">
          <cell r="G10442" t="str">
            <v>Xã Hương Mỹ</v>
          </cell>
          <cell r="I10442" t="str">
            <v>81107</v>
          </cell>
        </row>
        <row r="10443">
          <cell r="G10443" t="str">
            <v xml:space="preserve">Xã Tân Hội      </v>
          </cell>
          <cell r="I10443" t="str">
            <v>81107</v>
          </cell>
        </row>
        <row r="10444">
          <cell r="G10444" t="str">
            <v xml:space="preserve">Xã Thanh Tân   </v>
          </cell>
          <cell r="I10444" t="str">
            <v>81108</v>
          </cell>
        </row>
        <row r="10445">
          <cell r="G10445" t="str">
            <v>Xã Thạnh Ngãi</v>
          </cell>
          <cell r="I10445" t="str">
            <v>81108</v>
          </cell>
        </row>
        <row r="10446">
          <cell r="G10446" t="str">
            <v>Xã Tân Phú Tây</v>
          </cell>
          <cell r="I10446" t="str">
            <v>81108</v>
          </cell>
        </row>
        <row r="10447">
          <cell r="G10447" t="str">
            <v>Xã Tân Thành Bình</v>
          </cell>
          <cell r="I10447" t="str">
            <v>81108</v>
          </cell>
        </row>
        <row r="10448">
          <cell r="G10448" t="str">
            <v xml:space="preserve">Xã Thành An  </v>
          </cell>
          <cell r="I10448" t="str">
            <v>81108</v>
          </cell>
        </row>
        <row r="10449">
          <cell r="G10449" t="str">
            <v>Xã Phước Mỹ Trung</v>
          </cell>
          <cell r="I10449" t="str">
            <v>81108</v>
          </cell>
        </row>
        <row r="10450">
          <cell r="G10450" t="str">
            <v>Xã Tân Thanh Tây</v>
          </cell>
          <cell r="I10450" t="str">
            <v>81108</v>
          </cell>
        </row>
        <row r="10451">
          <cell r="G10451" t="str">
            <v xml:space="preserve">Xã Tân Bình              </v>
          </cell>
          <cell r="I10451" t="str">
            <v>81108</v>
          </cell>
        </row>
        <row r="10452">
          <cell r="G10452" t="str">
            <v>Xã Nhuận Phú Tân</v>
          </cell>
          <cell r="I10452" t="str">
            <v>81108</v>
          </cell>
        </row>
        <row r="10453">
          <cell r="G10453" t="str">
            <v xml:space="preserve">Xã Hòa Lộc  </v>
          </cell>
          <cell r="I10453" t="str">
            <v>81108</v>
          </cell>
        </row>
        <row r="10454">
          <cell r="G10454" t="str">
            <v>Xã Khánh Thạnh Tân</v>
          </cell>
          <cell r="I10454" t="str">
            <v>81108</v>
          </cell>
        </row>
        <row r="10455">
          <cell r="G10455" t="str">
            <v>Xã Hưng Khánh Trung A</v>
          </cell>
          <cell r="I10455" t="str">
            <v>81108</v>
          </cell>
        </row>
        <row r="10456">
          <cell r="G10456" t="str">
            <v xml:space="preserve">Xã Phú Mỹ    </v>
          </cell>
          <cell r="I10456" t="str">
            <v>81108</v>
          </cell>
        </row>
        <row r="10457">
          <cell r="G10457" t="str">
            <v xml:space="preserve">Xã Lương Phú </v>
          </cell>
          <cell r="I10457" t="str">
            <v>81109</v>
          </cell>
        </row>
        <row r="10458">
          <cell r="G10458" t="str">
            <v>Xã Tân Lợi Thạnh</v>
          </cell>
          <cell r="I10458" t="str">
            <v>81109</v>
          </cell>
        </row>
        <row r="10459">
          <cell r="G10459" t="str">
            <v xml:space="preserve">Xã Bình Hòa      </v>
          </cell>
          <cell r="I10459" t="str">
            <v>81109</v>
          </cell>
        </row>
        <row r="10460">
          <cell r="G10460" t="str">
            <v>Xã Tân Hào</v>
          </cell>
          <cell r="I10460" t="str">
            <v>81109</v>
          </cell>
        </row>
        <row r="10461">
          <cell r="G10461" t="str">
            <v>Xã Thạnh Phú Đông</v>
          </cell>
          <cell r="I10461" t="str">
            <v>81109</v>
          </cell>
        </row>
        <row r="10462">
          <cell r="G10462" t="str">
            <v xml:space="preserve">Xã Phong Nẫm </v>
          </cell>
          <cell r="I10462" t="str">
            <v>81109</v>
          </cell>
        </row>
        <row r="10463">
          <cell r="G10463" t="str">
            <v xml:space="preserve">Xã Phong Mỹ  </v>
          </cell>
          <cell r="I10463" t="str">
            <v>81109</v>
          </cell>
        </row>
        <row r="10464">
          <cell r="G10464" t="str">
            <v xml:space="preserve">Xã Mỹ Thạnh  </v>
          </cell>
          <cell r="I10464" t="str">
            <v>81109</v>
          </cell>
        </row>
        <row r="10465">
          <cell r="G10465" t="str">
            <v>Xã Châu Hòa</v>
          </cell>
          <cell r="I10465" t="str">
            <v>81109</v>
          </cell>
        </row>
        <row r="10466">
          <cell r="G10466" t="str">
            <v xml:space="preserve">Xã Lương Hòa </v>
          </cell>
          <cell r="I10466" t="str">
            <v>81109</v>
          </cell>
        </row>
        <row r="10467">
          <cell r="G10467" t="str">
            <v>Xã Lương Quới</v>
          </cell>
          <cell r="I10467" t="str">
            <v>81109</v>
          </cell>
        </row>
        <row r="10468">
          <cell r="G10468" t="str">
            <v xml:space="preserve">Xã Châu Bình </v>
          </cell>
          <cell r="I10468" t="str">
            <v>81109</v>
          </cell>
        </row>
        <row r="10469">
          <cell r="G10469" t="str">
            <v>Xã Thuận Điền</v>
          </cell>
          <cell r="I10469" t="str">
            <v>81109</v>
          </cell>
        </row>
        <row r="10470">
          <cell r="G10470" t="str">
            <v xml:space="preserve">Xã Sơn Phú   </v>
          </cell>
          <cell r="I10470" t="str">
            <v>81109</v>
          </cell>
        </row>
        <row r="10471">
          <cell r="G10471" t="str">
            <v>Xã Phước Long</v>
          </cell>
          <cell r="I10471" t="str">
            <v>81109</v>
          </cell>
        </row>
        <row r="10472">
          <cell r="G10472" t="str">
            <v>Xã Hưng Phong</v>
          </cell>
          <cell r="I10472" t="str">
            <v>81109</v>
          </cell>
        </row>
        <row r="10473">
          <cell r="G10473" t="str">
            <v xml:space="preserve">Xã Long Mỹ  </v>
          </cell>
          <cell r="I10473" t="str">
            <v>81109</v>
          </cell>
        </row>
        <row r="10474">
          <cell r="G10474" t="str">
            <v xml:space="preserve">Xã Bình Thành       </v>
          </cell>
          <cell r="I10474" t="str">
            <v>81109</v>
          </cell>
        </row>
        <row r="10475">
          <cell r="G10475" t="str">
            <v xml:space="preserve">Xã Tân Thanh    </v>
          </cell>
          <cell r="I10475" t="str">
            <v>81109</v>
          </cell>
        </row>
        <row r="10476">
          <cell r="G10476" t="str">
            <v>Xã Hưng Nhượng</v>
          </cell>
          <cell r="I10476" t="str">
            <v>81109</v>
          </cell>
        </row>
        <row r="10477">
          <cell r="G10477" t="str">
            <v>Xã Hưng Lễ</v>
          </cell>
          <cell r="I10477" t="str">
            <v>81109</v>
          </cell>
        </row>
        <row r="10478">
          <cell r="G10478" t="str">
            <v>Thị trấn Giồng Trôm</v>
          </cell>
          <cell r="I10478" t="str">
            <v>81109</v>
          </cell>
        </row>
        <row r="10479">
          <cell r="G10479" t="str">
            <v xml:space="preserve">Xã Lộc Thuận </v>
          </cell>
          <cell r="I10479" t="str">
            <v>81111</v>
          </cell>
        </row>
        <row r="10480">
          <cell r="G10480" t="str">
            <v>Xã Vang Quới Tây</v>
          </cell>
          <cell r="I10480" t="str">
            <v>81111</v>
          </cell>
        </row>
        <row r="10481">
          <cell r="G10481" t="str">
            <v xml:space="preserve">Xã Định Trung </v>
          </cell>
          <cell r="I10481" t="str">
            <v>81111</v>
          </cell>
        </row>
        <row r="10482">
          <cell r="G10482" t="str">
            <v xml:space="preserve">Xã Bình Thắng </v>
          </cell>
          <cell r="I10482" t="str">
            <v>81111</v>
          </cell>
        </row>
        <row r="10483">
          <cell r="G10483" t="str">
            <v xml:space="preserve">Xã Thạnh Phước </v>
          </cell>
          <cell r="I10483" t="str">
            <v>81111</v>
          </cell>
        </row>
        <row r="10484">
          <cell r="G10484" t="str">
            <v xml:space="preserve">Xã Tam Hiệp     </v>
          </cell>
          <cell r="I10484" t="str">
            <v>81111</v>
          </cell>
        </row>
        <row r="10485">
          <cell r="G10485" t="str">
            <v>Thị trấn Bình Đại</v>
          </cell>
          <cell r="I10485" t="str">
            <v>81111</v>
          </cell>
        </row>
        <row r="10486">
          <cell r="G10486" t="str">
            <v xml:space="preserve">Xã Long Định  </v>
          </cell>
          <cell r="I10486" t="str">
            <v>81111</v>
          </cell>
        </row>
        <row r="10487">
          <cell r="G10487" t="str">
            <v xml:space="preserve">Xã Long Hòa     </v>
          </cell>
          <cell r="I10487" t="str">
            <v>81111</v>
          </cell>
        </row>
        <row r="10488">
          <cell r="G10488" t="str">
            <v xml:space="preserve">Xã Phú Thuận  </v>
          </cell>
          <cell r="I10488" t="str">
            <v>81111</v>
          </cell>
        </row>
        <row r="10489">
          <cell r="G10489" t="str">
            <v>Xã Vang Quới Đông</v>
          </cell>
          <cell r="I10489" t="str">
            <v>81111</v>
          </cell>
        </row>
        <row r="10490">
          <cell r="G10490" t="str">
            <v>Xã Châu Hưng</v>
          </cell>
          <cell r="I10490" t="str">
            <v>81111</v>
          </cell>
        </row>
        <row r="10491">
          <cell r="G10491" t="str">
            <v>Xã Phú Vang</v>
          </cell>
          <cell r="I10491" t="str">
            <v>81111</v>
          </cell>
        </row>
        <row r="10492">
          <cell r="G10492" t="str">
            <v>Xã Thới Lai</v>
          </cell>
          <cell r="I10492" t="str">
            <v>81111</v>
          </cell>
        </row>
        <row r="10493">
          <cell r="G10493" t="str">
            <v xml:space="preserve">Xã Bình Thới </v>
          </cell>
          <cell r="I10493" t="str">
            <v>81111</v>
          </cell>
        </row>
        <row r="10494">
          <cell r="G10494" t="str">
            <v xml:space="preserve">Xã Phú Long   </v>
          </cell>
          <cell r="I10494" t="str">
            <v>81111</v>
          </cell>
        </row>
        <row r="10495">
          <cell r="G10495" t="str">
            <v xml:space="preserve">Xã Thạnh Trị  </v>
          </cell>
          <cell r="I10495" t="str">
            <v>81111</v>
          </cell>
        </row>
        <row r="10496">
          <cell r="G10496" t="str">
            <v>Xã Đại Hòa Lộc</v>
          </cell>
          <cell r="I10496" t="str">
            <v>81111</v>
          </cell>
        </row>
        <row r="10497">
          <cell r="G10497" t="str">
            <v xml:space="preserve">Xã Thừa Đức </v>
          </cell>
          <cell r="I10497" t="str">
            <v>81111</v>
          </cell>
        </row>
        <row r="10498">
          <cell r="G10498" t="str">
            <v>Xã Thới Thuận</v>
          </cell>
          <cell r="I10498" t="str">
            <v>81111</v>
          </cell>
        </row>
        <row r="10499">
          <cell r="G10499" t="str">
            <v xml:space="preserve">Xã Tân Mỹ         </v>
          </cell>
          <cell r="I10499" t="str">
            <v>81113</v>
          </cell>
        </row>
        <row r="10500">
          <cell r="G10500" t="str">
            <v>Xã Phú Lễ</v>
          </cell>
          <cell r="I10500" t="str">
            <v>81113</v>
          </cell>
        </row>
        <row r="10501">
          <cell r="G10501" t="str">
            <v xml:space="preserve">Xã An Thủy </v>
          </cell>
          <cell r="I10501" t="str">
            <v>81113</v>
          </cell>
        </row>
        <row r="10502">
          <cell r="G10502" t="str">
            <v xml:space="preserve">Xã Mỹ Hòa    </v>
          </cell>
          <cell r="I10502" t="str">
            <v>81113</v>
          </cell>
        </row>
        <row r="10503">
          <cell r="G10503" t="str">
            <v>Xã An Phú Trung</v>
          </cell>
          <cell r="I10503" t="str">
            <v>81113</v>
          </cell>
        </row>
        <row r="10504">
          <cell r="G10504" t="str">
            <v>Xã Phú Ngãi</v>
          </cell>
          <cell r="I10504" t="str">
            <v>81113</v>
          </cell>
        </row>
        <row r="10505">
          <cell r="G10505" t="str">
            <v xml:space="preserve">Xã Bảo Thuận </v>
          </cell>
          <cell r="I10505" t="str">
            <v>81113</v>
          </cell>
        </row>
        <row r="10506">
          <cell r="G10506" t="str">
            <v xml:space="preserve">Xã Vĩnh Hòa       </v>
          </cell>
          <cell r="I10506" t="str">
            <v>81113</v>
          </cell>
        </row>
        <row r="10507">
          <cell r="G10507" t="str">
            <v>Xã An Hòa Tây</v>
          </cell>
          <cell r="I10507" t="str">
            <v>81113</v>
          </cell>
        </row>
        <row r="10508">
          <cell r="G10508" t="str">
            <v>Thị trấn Ba Tri</v>
          </cell>
          <cell r="I10508" t="str">
            <v>81113</v>
          </cell>
        </row>
        <row r="10509">
          <cell r="G10509" t="str">
            <v xml:space="preserve">Xã Tân Xuân    </v>
          </cell>
          <cell r="I10509" t="str">
            <v>81113</v>
          </cell>
        </row>
        <row r="10510">
          <cell r="G10510" t="str">
            <v xml:space="preserve">Xã Mỹ Chánh </v>
          </cell>
          <cell r="I10510" t="str">
            <v>81113</v>
          </cell>
        </row>
        <row r="10511">
          <cell r="G10511" t="str">
            <v>Xã Bảo Thạnh</v>
          </cell>
          <cell r="I10511" t="str">
            <v>81113</v>
          </cell>
        </row>
        <row r="10512">
          <cell r="G10512" t="str">
            <v xml:space="preserve">Xã Mỹ Thạnh   </v>
          </cell>
          <cell r="I10512" t="str">
            <v>81113</v>
          </cell>
        </row>
        <row r="10513">
          <cell r="G10513" t="str">
            <v>Xã Mỹ Nhơn</v>
          </cell>
          <cell r="I10513" t="str">
            <v>81113</v>
          </cell>
        </row>
        <row r="10514">
          <cell r="G10514" t="str">
            <v xml:space="preserve">Xã Phước Tuy </v>
          </cell>
          <cell r="I10514" t="str">
            <v>81113</v>
          </cell>
        </row>
        <row r="10515">
          <cell r="G10515" t="str">
            <v>Xã An Ngãi Trung</v>
          </cell>
          <cell r="I10515" t="str">
            <v>81113</v>
          </cell>
        </row>
        <row r="10516">
          <cell r="G10516" t="str">
            <v>Xã An Bình Tây</v>
          </cell>
          <cell r="I10516" t="str">
            <v>81113</v>
          </cell>
        </row>
        <row r="10517">
          <cell r="G10517" t="str">
            <v xml:space="preserve">Xã Tân Hưng             </v>
          </cell>
          <cell r="I10517" t="str">
            <v>81113</v>
          </cell>
        </row>
        <row r="10518">
          <cell r="G10518" t="str">
            <v>Xã An Ngãi Tây</v>
          </cell>
          <cell r="I10518" t="str">
            <v>81113</v>
          </cell>
        </row>
        <row r="10519">
          <cell r="G10519" t="str">
            <v xml:space="preserve">Xã An Hiệp    </v>
          </cell>
          <cell r="I10519" t="str">
            <v>81113</v>
          </cell>
        </row>
        <row r="10520">
          <cell r="G10520" t="str">
            <v xml:space="preserve">Xã Tân Thủy </v>
          </cell>
          <cell r="I10520" t="str">
            <v>81113</v>
          </cell>
        </row>
        <row r="10521">
          <cell r="G10521" t="str">
            <v xml:space="preserve">Xã Vĩnh An    </v>
          </cell>
          <cell r="I10521" t="str">
            <v>81113</v>
          </cell>
        </row>
        <row r="10522">
          <cell r="G10522" t="str">
            <v xml:space="preserve">Xã An Đức </v>
          </cell>
          <cell r="I10522" t="str">
            <v>81113</v>
          </cell>
        </row>
        <row r="10523">
          <cell r="G10523" t="str">
            <v>Xã An Thuận</v>
          </cell>
          <cell r="I10523" t="str">
            <v>81115</v>
          </cell>
        </row>
        <row r="10524">
          <cell r="G10524" t="str">
            <v>Xã Đại Điền</v>
          </cell>
          <cell r="I10524" t="str">
            <v>81115</v>
          </cell>
        </row>
        <row r="10525">
          <cell r="G10525" t="str">
            <v xml:space="preserve">Xã An Thạnh   </v>
          </cell>
          <cell r="I10525" t="str">
            <v>81115</v>
          </cell>
        </row>
        <row r="10526">
          <cell r="G10526" t="str">
            <v xml:space="preserve">Xã Bình Thạnh         </v>
          </cell>
          <cell r="I10526" t="str">
            <v>81115</v>
          </cell>
        </row>
        <row r="10527">
          <cell r="G10527" t="str">
            <v xml:space="preserve">Xã An Nhơn  </v>
          </cell>
          <cell r="I10527" t="str">
            <v>81115</v>
          </cell>
        </row>
        <row r="10528">
          <cell r="G10528" t="str">
            <v>Thị trấn Thạnh Phú</v>
          </cell>
          <cell r="I10528" t="str">
            <v>81115</v>
          </cell>
        </row>
        <row r="10529">
          <cell r="G10529" t="str">
            <v>Xã Phú Khánh</v>
          </cell>
          <cell r="I10529" t="str">
            <v>81115</v>
          </cell>
        </row>
        <row r="10530">
          <cell r="G10530" t="str">
            <v>Xã Quới Điền</v>
          </cell>
          <cell r="I10530" t="str">
            <v>81115</v>
          </cell>
        </row>
        <row r="10531">
          <cell r="G10531" t="str">
            <v xml:space="preserve">Xã Tân Phong        </v>
          </cell>
          <cell r="I10531" t="str">
            <v>81115</v>
          </cell>
        </row>
        <row r="10532">
          <cell r="G10532" t="str">
            <v xml:space="preserve">Xã Mỹ Hưng   </v>
          </cell>
          <cell r="I10532" t="str">
            <v>81115</v>
          </cell>
        </row>
        <row r="10533">
          <cell r="G10533" t="str">
            <v>Xã Thới Thạnh</v>
          </cell>
          <cell r="I10533" t="str">
            <v>81115</v>
          </cell>
        </row>
        <row r="10534">
          <cell r="G10534" t="str">
            <v>Xã Hòa Lợi</v>
          </cell>
          <cell r="I10534" t="str">
            <v>81115</v>
          </cell>
        </row>
        <row r="10535">
          <cell r="G10535" t="str">
            <v xml:space="preserve">Xã An Điền </v>
          </cell>
          <cell r="I10535" t="str">
            <v>81115</v>
          </cell>
        </row>
        <row r="10536">
          <cell r="G10536" t="str">
            <v>Xã An Quy</v>
          </cell>
          <cell r="I10536" t="str">
            <v>81115</v>
          </cell>
        </row>
        <row r="10537">
          <cell r="G10537" t="str">
            <v>Xã Thạnh Hải</v>
          </cell>
          <cell r="I10537" t="str">
            <v>81115</v>
          </cell>
        </row>
        <row r="10538">
          <cell r="G10538" t="str">
            <v>Xã Giao Thạnh</v>
          </cell>
          <cell r="I10538" t="str">
            <v>81115</v>
          </cell>
        </row>
        <row r="10539">
          <cell r="G10539" t="str">
            <v>Xã Thạnh Phong</v>
          </cell>
          <cell r="I10539" t="str">
            <v>81115</v>
          </cell>
        </row>
        <row r="10540">
          <cell r="G10540" t="str">
            <v xml:space="preserve">Xã Mỹ An      </v>
          </cell>
          <cell r="I10540" t="str">
            <v>81115</v>
          </cell>
        </row>
        <row r="10541">
          <cell r="G10541" t="str">
            <v>Phường Vĩnh Lạc</v>
          </cell>
          <cell r="I10541" t="str">
            <v>81301</v>
          </cell>
        </row>
        <row r="10542">
          <cell r="G10542" t="str">
            <v>Phường Vĩnh Quang</v>
          </cell>
          <cell r="I10542" t="str">
            <v>81301</v>
          </cell>
        </row>
        <row r="10543">
          <cell r="G10543" t="str">
            <v xml:space="preserve">Phường An Bình    </v>
          </cell>
          <cell r="I10543" t="str">
            <v>81301</v>
          </cell>
        </row>
        <row r="10544">
          <cell r="G10544" t="str">
            <v>Xã Phi Thông</v>
          </cell>
          <cell r="I10544" t="str">
            <v>81301</v>
          </cell>
        </row>
        <row r="10545">
          <cell r="G10545" t="str">
            <v>Phường Vĩnh Thanh Vân</v>
          </cell>
          <cell r="I10545" t="str">
            <v>81301</v>
          </cell>
        </row>
        <row r="10546">
          <cell r="G10546" t="str">
            <v>Phường Vĩnh Thanh</v>
          </cell>
          <cell r="I10546" t="str">
            <v>81301</v>
          </cell>
        </row>
        <row r="10547">
          <cell r="G10547" t="str">
            <v>Phường Vĩnh Hiệp</v>
          </cell>
          <cell r="I10547" t="str">
            <v>81301</v>
          </cell>
        </row>
        <row r="10548">
          <cell r="G10548" t="str">
            <v>Phường Vĩnh Bảo</v>
          </cell>
          <cell r="I10548" t="str">
            <v>81301</v>
          </cell>
        </row>
        <row r="10549">
          <cell r="G10549" t="str">
            <v xml:space="preserve">Phường An Hòa  </v>
          </cell>
          <cell r="I10549" t="str">
            <v>81301</v>
          </cell>
        </row>
        <row r="10550">
          <cell r="G10550" t="str">
            <v>Phường Rạch Sỏi</v>
          </cell>
          <cell r="I10550" t="str">
            <v>81301</v>
          </cell>
        </row>
        <row r="10551">
          <cell r="G10551" t="str">
            <v>Phường Vĩnh Lợi</v>
          </cell>
          <cell r="I10551" t="str">
            <v>81301</v>
          </cell>
        </row>
        <row r="10552">
          <cell r="G10552" t="str">
            <v>Phường Vĩnh Thông</v>
          </cell>
          <cell r="I10552" t="str">
            <v>81301</v>
          </cell>
        </row>
        <row r="10553">
          <cell r="G10553" t="str">
            <v xml:space="preserve">Xã Bình An      </v>
          </cell>
          <cell r="I10553" t="str">
            <v>81303</v>
          </cell>
        </row>
        <row r="10554">
          <cell r="G10554" t="str">
            <v>Xã Kiên Bình</v>
          </cell>
          <cell r="I10554" t="str">
            <v>81303</v>
          </cell>
        </row>
        <row r="10555">
          <cell r="G10555" t="str">
            <v>Xã Hòa Điền</v>
          </cell>
          <cell r="I10555" t="str">
            <v>81303</v>
          </cell>
        </row>
        <row r="10556">
          <cell r="G10556" t="str">
            <v xml:space="preserve">Xã Sơn Hải    </v>
          </cell>
          <cell r="I10556" t="str">
            <v>81303</v>
          </cell>
        </row>
        <row r="10557">
          <cell r="G10557" t="str">
            <v>Thị trấn Kiên Lương</v>
          </cell>
          <cell r="I10557" t="str">
            <v>81303</v>
          </cell>
        </row>
        <row r="10558">
          <cell r="G10558" t="str">
            <v xml:space="preserve">Xã Vĩnh Phú  </v>
          </cell>
          <cell r="I10558" t="str">
            <v>81303</v>
          </cell>
        </row>
        <row r="10559">
          <cell r="G10559" t="str">
            <v>Xã Vĩnh Điều</v>
          </cell>
          <cell r="I10559" t="str">
            <v>81303</v>
          </cell>
        </row>
        <row r="10560">
          <cell r="G10560" t="str">
            <v>Xã Tân Khánh Hòa</v>
          </cell>
          <cell r="I10560" t="str">
            <v>81303</v>
          </cell>
        </row>
        <row r="10561">
          <cell r="G10561" t="str">
            <v xml:space="preserve">Xã Phú Lợi  </v>
          </cell>
          <cell r="I10561" t="str">
            <v>81303</v>
          </cell>
        </row>
        <row r="10562">
          <cell r="G10562" t="str">
            <v xml:space="preserve">Xã Phú Mỹ     </v>
          </cell>
          <cell r="I10562" t="str">
            <v>81303</v>
          </cell>
        </row>
        <row r="10563">
          <cell r="G10563" t="str">
            <v xml:space="preserve">Xã Dương Hòa </v>
          </cell>
          <cell r="I10563" t="str">
            <v>81303</v>
          </cell>
        </row>
        <row r="10564">
          <cell r="G10564" t="str">
            <v>Xã Hòn Nghệ</v>
          </cell>
          <cell r="I10564" t="str">
            <v>81303</v>
          </cell>
        </row>
        <row r="10565">
          <cell r="G10565" t="str">
            <v xml:space="preserve">Xã Bình Trị  </v>
          </cell>
          <cell r="I10565" t="str">
            <v>81303</v>
          </cell>
        </row>
        <row r="10566">
          <cell r="G10566" t="str">
            <v xml:space="preserve">Xã Phú Lợi   </v>
          </cell>
          <cell r="I10566" t="str">
            <v>81304</v>
          </cell>
        </row>
        <row r="10567">
          <cell r="G10567" t="str">
            <v xml:space="preserve">Xã Phú Mỹ      </v>
          </cell>
          <cell r="I10567" t="str">
            <v>81304</v>
          </cell>
        </row>
        <row r="10568">
          <cell r="G10568" t="str">
            <v xml:space="preserve">Xã Tân Khánh Hòa </v>
          </cell>
          <cell r="I10568" t="str">
            <v>81304</v>
          </cell>
        </row>
        <row r="10569">
          <cell r="G10569" t="str">
            <v xml:space="preserve">Xã Vĩnh Điều </v>
          </cell>
          <cell r="I10569" t="str">
            <v>81304</v>
          </cell>
        </row>
        <row r="10570">
          <cell r="G10570" t="str">
            <v xml:space="preserve">Xã Vĩnh Phú   </v>
          </cell>
          <cell r="I10570" t="str">
            <v>81304</v>
          </cell>
        </row>
        <row r="10571">
          <cell r="G10571" t="str">
            <v>Xã Lình Huỳnh</v>
          </cell>
          <cell r="I10571" t="str">
            <v>81305</v>
          </cell>
        </row>
        <row r="10572">
          <cell r="G10572" t="str">
            <v xml:space="preserve">Xã Bình Sơn        </v>
          </cell>
          <cell r="I10572" t="str">
            <v>81305</v>
          </cell>
        </row>
        <row r="10573">
          <cell r="G10573" t="str">
            <v xml:space="preserve">Xã Bình Giang </v>
          </cell>
          <cell r="I10573" t="str">
            <v>81305</v>
          </cell>
        </row>
        <row r="10574">
          <cell r="G10574" t="str">
            <v xml:space="preserve">Xã Mỹ Thái </v>
          </cell>
          <cell r="I10574" t="str">
            <v>81305</v>
          </cell>
        </row>
        <row r="10575">
          <cell r="G10575" t="str">
            <v>Xã Nam Thái Sơn</v>
          </cell>
          <cell r="I10575" t="str">
            <v>81305</v>
          </cell>
        </row>
        <row r="10576">
          <cell r="G10576" t="str">
            <v>Xã Mỹ Hiệp Sơn</v>
          </cell>
          <cell r="I10576" t="str">
            <v>81305</v>
          </cell>
        </row>
        <row r="10577">
          <cell r="G10577" t="str">
            <v>Xã Sơn Kiên</v>
          </cell>
          <cell r="I10577" t="str">
            <v>81305</v>
          </cell>
        </row>
        <row r="10578">
          <cell r="G10578" t="str">
            <v xml:space="preserve">Xã Mỹ Thuận   </v>
          </cell>
          <cell r="I10578" t="str">
            <v>81305</v>
          </cell>
        </row>
        <row r="10579">
          <cell r="G10579" t="str">
            <v>Xã Thổ Sơn</v>
          </cell>
          <cell r="I10579" t="str">
            <v>81305</v>
          </cell>
        </row>
        <row r="10580">
          <cell r="G10580" t="str">
            <v xml:space="preserve">Xã Mỹ Lâm </v>
          </cell>
          <cell r="I10580" t="str">
            <v>81305</v>
          </cell>
        </row>
        <row r="10581">
          <cell r="G10581" t="str">
            <v xml:space="preserve">Xã Mỹ Phước  </v>
          </cell>
          <cell r="I10581" t="str">
            <v>81305</v>
          </cell>
        </row>
        <row r="10582">
          <cell r="G10582" t="str">
            <v xml:space="preserve">Thị trấn Sóc Sơn </v>
          </cell>
          <cell r="I10582" t="str">
            <v>81305</v>
          </cell>
        </row>
        <row r="10583">
          <cell r="G10583" t="str">
            <v>Thị trấn Hòn Đất</v>
          </cell>
          <cell r="I10583" t="str">
            <v>81305</v>
          </cell>
        </row>
        <row r="10584">
          <cell r="G10584" t="str">
            <v xml:space="preserve">Xã Sơn Bình    </v>
          </cell>
          <cell r="I10584" t="str">
            <v>81305</v>
          </cell>
        </row>
        <row r="10585">
          <cell r="G10585" t="str">
            <v>Xã Tân Hiệp B</v>
          </cell>
          <cell r="I10585" t="str">
            <v>81307</v>
          </cell>
        </row>
        <row r="10586">
          <cell r="G10586" t="str">
            <v xml:space="preserve">Xã Tân Thành                         </v>
          </cell>
          <cell r="I10586" t="str">
            <v>81307</v>
          </cell>
        </row>
        <row r="10587">
          <cell r="G10587" t="str">
            <v>Xã Tân Hiệp A</v>
          </cell>
          <cell r="I10587" t="str">
            <v>81307</v>
          </cell>
        </row>
        <row r="10588">
          <cell r="G10588" t="str">
            <v xml:space="preserve">Thị trấn Tân Hiệp </v>
          </cell>
          <cell r="I10588" t="str">
            <v>81307</v>
          </cell>
        </row>
        <row r="10589">
          <cell r="G10589" t="str">
            <v xml:space="preserve">Xã Tân Hội       </v>
          </cell>
          <cell r="I10589" t="str">
            <v>81307</v>
          </cell>
        </row>
        <row r="10590">
          <cell r="G10590" t="str">
            <v>Xã Thạnh Đông B</v>
          </cell>
          <cell r="I10590" t="str">
            <v>81307</v>
          </cell>
        </row>
        <row r="10591">
          <cell r="G10591" t="str">
            <v xml:space="preserve">Xã Thạnh Đông </v>
          </cell>
          <cell r="I10591" t="str">
            <v>81307</v>
          </cell>
        </row>
        <row r="10592">
          <cell r="G10592" t="str">
            <v xml:space="preserve">Xã Tân An        </v>
          </cell>
          <cell r="I10592" t="str">
            <v>81307</v>
          </cell>
        </row>
        <row r="10593">
          <cell r="G10593" t="str">
            <v>Xã Thạnh Đông A</v>
          </cell>
          <cell r="I10593" t="str">
            <v>81307</v>
          </cell>
        </row>
        <row r="10594">
          <cell r="G10594" t="str">
            <v xml:space="preserve">Xã Thạnh Trị   </v>
          </cell>
          <cell r="I10594" t="str">
            <v>81307</v>
          </cell>
        </row>
        <row r="10595">
          <cell r="G10595" t="str">
            <v xml:space="preserve">Xã Tân Hòa               </v>
          </cell>
          <cell r="I10595" t="str">
            <v>81307</v>
          </cell>
        </row>
        <row r="10596">
          <cell r="G10596" t="str">
            <v>Xã Giục Tượng</v>
          </cell>
          <cell r="I10596" t="str">
            <v>81309</v>
          </cell>
        </row>
        <row r="10597">
          <cell r="G10597" t="str">
            <v>Thị trấn Minh Lương</v>
          </cell>
          <cell r="I10597" t="str">
            <v>81309</v>
          </cell>
        </row>
        <row r="10598">
          <cell r="G10598" t="str">
            <v xml:space="preserve">Xã Minh Hòa     </v>
          </cell>
          <cell r="I10598" t="str">
            <v>81309</v>
          </cell>
        </row>
        <row r="10599">
          <cell r="G10599" t="str">
            <v>Xã Mong Thọ A</v>
          </cell>
          <cell r="I10599" t="str">
            <v>81309</v>
          </cell>
        </row>
        <row r="10600">
          <cell r="G10600" t="str">
            <v>Xã Mong Thọ B</v>
          </cell>
          <cell r="I10600" t="str">
            <v>81309</v>
          </cell>
        </row>
        <row r="10601">
          <cell r="G10601" t="str">
            <v>Xã Mong Thọ</v>
          </cell>
          <cell r="I10601" t="str">
            <v>81309</v>
          </cell>
        </row>
        <row r="10602">
          <cell r="G10602" t="str">
            <v>Xã Vĩnh Hòa Hiệp</v>
          </cell>
          <cell r="I10602" t="str">
            <v>81309</v>
          </cell>
        </row>
        <row r="10603">
          <cell r="G10603" t="str">
            <v>Xã Vĩnh Hòa Phú</v>
          </cell>
          <cell r="I10603" t="str">
            <v>81309</v>
          </cell>
        </row>
        <row r="10604">
          <cell r="G10604" t="str">
            <v xml:space="preserve">Xã Bình An       </v>
          </cell>
          <cell r="I10604" t="str">
            <v>81309</v>
          </cell>
        </row>
        <row r="10605">
          <cell r="G10605" t="str">
            <v xml:space="preserve">Xã Thạnh Lộc </v>
          </cell>
          <cell r="I10605" t="str">
            <v>81309</v>
          </cell>
        </row>
        <row r="10606">
          <cell r="G10606" t="str">
            <v>Xã Bàn Tân Định</v>
          </cell>
          <cell r="I10606" t="str">
            <v>81311</v>
          </cell>
        </row>
        <row r="10607">
          <cell r="G10607" t="str">
            <v xml:space="preserve">Xã Ngọc Hòa </v>
          </cell>
          <cell r="I10607" t="str">
            <v>81311</v>
          </cell>
        </row>
        <row r="10608">
          <cell r="G10608" t="str">
            <v xml:space="preserve">Xã Long Thạnh </v>
          </cell>
          <cell r="I10608" t="str">
            <v>81311</v>
          </cell>
        </row>
        <row r="10609">
          <cell r="G10609" t="str">
            <v xml:space="preserve">Xã Thạnh Hưng  </v>
          </cell>
          <cell r="I10609" t="str">
            <v>81311</v>
          </cell>
        </row>
        <row r="10610">
          <cell r="G10610" t="str">
            <v>Xã Bàn Thạch</v>
          </cell>
          <cell r="I10610" t="str">
            <v>81311</v>
          </cell>
        </row>
        <row r="10611">
          <cell r="G10611" t="str">
            <v>Xã Ngọc Thuận</v>
          </cell>
          <cell r="I10611" t="str">
            <v>81311</v>
          </cell>
        </row>
        <row r="10612">
          <cell r="G10612" t="str">
            <v>Thị trấn Giồng Riềng</v>
          </cell>
          <cell r="I10612" t="str">
            <v>81311</v>
          </cell>
        </row>
        <row r="10613">
          <cell r="G10613" t="str">
            <v xml:space="preserve">Xã Thạnh Phước  </v>
          </cell>
          <cell r="I10613" t="str">
            <v>81311</v>
          </cell>
        </row>
        <row r="10614">
          <cell r="G10614" t="str">
            <v xml:space="preserve">Xã Thạnh Lộc  </v>
          </cell>
          <cell r="I10614" t="str">
            <v>81311</v>
          </cell>
        </row>
        <row r="10615">
          <cell r="G10615" t="str">
            <v xml:space="preserve">Xã Thạnh Hòa  </v>
          </cell>
          <cell r="I10615" t="str">
            <v>81311</v>
          </cell>
        </row>
        <row r="10616">
          <cell r="G10616" t="str">
            <v>Xã Ngọc Thành</v>
          </cell>
          <cell r="I10616" t="str">
            <v>81311</v>
          </cell>
        </row>
        <row r="10617">
          <cell r="G10617" t="str">
            <v>Xã Ngọc Chúc</v>
          </cell>
          <cell r="I10617" t="str">
            <v>81311</v>
          </cell>
        </row>
        <row r="10618">
          <cell r="G10618" t="str">
            <v xml:space="preserve">Xã Hòa Hưng  </v>
          </cell>
          <cell r="I10618" t="str">
            <v>81311</v>
          </cell>
        </row>
        <row r="10619">
          <cell r="G10619" t="str">
            <v xml:space="preserve">Xã Hòa Lợi </v>
          </cell>
          <cell r="I10619" t="str">
            <v>81311</v>
          </cell>
        </row>
        <row r="10620">
          <cell r="G10620" t="str">
            <v xml:space="preserve">Xã Hòa An     </v>
          </cell>
          <cell r="I10620" t="str">
            <v>81311</v>
          </cell>
        </row>
        <row r="10621">
          <cell r="G10621" t="str">
            <v xml:space="preserve">Xã Vĩnh Thạnh   </v>
          </cell>
          <cell r="I10621" t="str">
            <v>81311</v>
          </cell>
        </row>
        <row r="10622">
          <cell r="G10622" t="str">
            <v xml:space="preserve">Xã Vĩnh Phú    </v>
          </cell>
          <cell r="I10622" t="str">
            <v>81311</v>
          </cell>
        </row>
        <row r="10623">
          <cell r="G10623" t="str">
            <v xml:space="preserve">Xã Hòa Thuận </v>
          </cell>
          <cell r="I10623" t="str">
            <v>81311</v>
          </cell>
        </row>
        <row r="10624">
          <cell r="G10624" t="str">
            <v xml:space="preserve">Xã Thạnh Bình </v>
          </cell>
          <cell r="I10624" t="str">
            <v>81311</v>
          </cell>
        </row>
        <row r="10625">
          <cell r="G10625" t="str">
            <v>Xã Vĩnh Phước A</v>
          </cell>
          <cell r="I10625" t="str">
            <v>81313</v>
          </cell>
        </row>
        <row r="10626">
          <cell r="G10626" t="str">
            <v>Xã Vĩnh Hòa Hưng Bắc</v>
          </cell>
          <cell r="I10626" t="str">
            <v>81313</v>
          </cell>
        </row>
        <row r="10627">
          <cell r="G10627" t="str">
            <v>Xã Vĩnh Hòa Hưng Nam</v>
          </cell>
          <cell r="I10627" t="str">
            <v>81313</v>
          </cell>
        </row>
        <row r="10628">
          <cell r="G10628" t="str">
            <v>Thị trấn Gò Quao</v>
          </cell>
          <cell r="I10628" t="str">
            <v>81313</v>
          </cell>
        </row>
        <row r="10629">
          <cell r="G10629" t="str">
            <v xml:space="preserve">Xã Định Hòa  </v>
          </cell>
          <cell r="I10629" t="str">
            <v>81313</v>
          </cell>
        </row>
        <row r="10630">
          <cell r="G10630" t="str">
            <v>Xã Thới Quản</v>
          </cell>
          <cell r="I10630" t="str">
            <v>81313</v>
          </cell>
        </row>
        <row r="10631">
          <cell r="G10631" t="str">
            <v xml:space="preserve">Xã Định An  </v>
          </cell>
          <cell r="I10631" t="str">
            <v>81313</v>
          </cell>
        </row>
        <row r="10632">
          <cell r="G10632" t="str">
            <v>Xã Thủy Liễu</v>
          </cell>
          <cell r="I10632" t="str">
            <v>81313</v>
          </cell>
        </row>
        <row r="10633">
          <cell r="G10633" t="str">
            <v>Xã Vĩnh Phước B</v>
          </cell>
          <cell r="I10633" t="str">
            <v>81313</v>
          </cell>
        </row>
        <row r="10634">
          <cell r="G10634" t="str">
            <v xml:space="preserve">Xã Vĩnh Tuy </v>
          </cell>
          <cell r="I10634" t="str">
            <v>81313</v>
          </cell>
        </row>
        <row r="10635">
          <cell r="G10635" t="str">
            <v>Xã Vĩnh Thắng</v>
          </cell>
          <cell r="I10635" t="str">
            <v>81313</v>
          </cell>
        </row>
        <row r="10636">
          <cell r="G10636" t="str">
            <v>Xã Đông Thái</v>
          </cell>
          <cell r="I10636" t="str">
            <v>81315</v>
          </cell>
        </row>
        <row r="10637">
          <cell r="G10637" t="str">
            <v>Thị trấn Thứ Ba</v>
          </cell>
          <cell r="I10637" t="str">
            <v>81315</v>
          </cell>
        </row>
        <row r="10638">
          <cell r="G10638" t="str">
            <v xml:space="preserve">Xã Hưng Yên </v>
          </cell>
          <cell r="I10638" t="str">
            <v>81315</v>
          </cell>
        </row>
        <row r="10639">
          <cell r="G10639" t="str">
            <v xml:space="preserve">Xã Đông Yên  </v>
          </cell>
          <cell r="I10639" t="str">
            <v>81315</v>
          </cell>
        </row>
        <row r="10640">
          <cell r="G10640" t="str">
            <v>Xã Tây Yên</v>
          </cell>
          <cell r="I10640" t="str">
            <v>81315</v>
          </cell>
        </row>
        <row r="10641">
          <cell r="G10641" t="str">
            <v>Xã Tây Yên A</v>
          </cell>
          <cell r="I10641" t="str">
            <v>81315</v>
          </cell>
        </row>
        <row r="10642">
          <cell r="G10642" t="str">
            <v>Xã Nam Yên</v>
          </cell>
          <cell r="I10642" t="str">
            <v>81315</v>
          </cell>
        </row>
        <row r="10643">
          <cell r="G10643" t="str">
            <v xml:space="preserve">Xã Nam Thái  </v>
          </cell>
          <cell r="I10643" t="str">
            <v>81315</v>
          </cell>
        </row>
        <row r="10644">
          <cell r="G10644" t="str">
            <v>Xã Nam Thái A</v>
          </cell>
          <cell r="I10644" t="str">
            <v>81315</v>
          </cell>
        </row>
        <row r="10645">
          <cell r="G10645" t="str">
            <v>Xã Đông Hưng B</v>
          </cell>
          <cell r="I10645" t="str">
            <v>81317</v>
          </cell>
        </row>
        <row r="10646">
          <cell r="G10646" t="str">
            <v xml:space="preserve">Xã Thuận Hòa  </v>
          </cell>
          <cell r="I10646" t="str">
            <v>81317</v>
          </cell>
        </row>
        <row r="10647">
          <cell r="G10647" t="str">
            <v xml:space="preserve">Xã Đông Hưng   </v>
          </cell>
          <cell r="I10647" t="str">
            <v>81317</v>
          </cell>
        </row>
        <row r="10648">
          <cell r="G10648" t="str">
            <v>Xã Vân Khánh Đông</v>
          </cell>
          <cell r="I10648" t="str">
            <v>81317</v>
          </cell>
        </row>
        <row r="10649">
          <cell r="G10649" t="str">
            <v>Thị trấn Thứ Mười Một</v>
          </cell>
          <cell r="I10649" t="str">
            <v>81317</v>
          </cell>
        </row>
        <row r="10650">
          <cell r="G10650" t="str">
            <v xml:space="preserve">Xã Đông Hòa    </v>
          </cell>
          <cell r="I10650" t="str">
            <v>81317</v>
          </cell>
        </row>
        <row r="10651">
          <cell r="G10651" t="str">
            <v xml:space="preserve">Xã Đông Thạnh   </v>
          </cell>
          <cell r="I10651" t="str">
            <v>81317</v>
          </cell>
        </row>
        <row r="10652">
          <cell r="G10652" t="str">
            <v xml:space="preserve">Xã Tân Thạnh   </v>
          </cell>
          <cell r="I10652" t="str">
            <v>81317</v>
          </cell>
        </row>
        <row r="10653">
          <cell r="G10653" t="str">
            <v>Xã Đông Hưng A</v>
          </cell>
          <cell r="I10653" t="str">
            <v>81317</v>
          </cell>
        </row>
        <row r="10654">
          <cell r="G10654" t="str">
            <v>Xã Vân Khánh</v>
          </cell>
          <cell r="I10654" t="str">
            <v>81317</v>
          </cell>
        </row>
        <row r="10655">
          <cell r="G10655" t="str">
            <v>Xã Vân Khánh Tây</v>
          </cell>
          <cell r="I10655" t="str">
            <v>81317</v>
          </cell>
        </row>
        <row r="10656">
          <cell r="G10656" t="str">
            <v>Xã Vĩnh Bình Bắc</v>
          </cell>
          <cell r="I10656" t="str">
            <v>81319</v>
          </cell>
        </row>
        <row r="10657">
          <cell r="G10657" t="str">
            <v xml:space="preserve">Xã Tân Thuận </v>
          </cell>
          <cell r="I10657" t="str">
            <v>81319</v>
          </cell>
        </row>
        <row r="10658">
          <cell r="G10658" t="str">
            <v>Thị trấn Vĩnh Thuận</v>
          </cell>
          <cell r="I10658" t="str">
            <v>81319</v>
          </cell>
        </row>
        <row r="10659">
          <cell r="G10659" t="str">
            <v>Xã Vĩnh Bình Nam</v>
          </cell>
          <cell r="I10659" t="str">
            <v>81319</v>
          </cell>
        </row>
        <row r="10660">
          <cell r="G10660" t="str">
            <v xml:space="preserve">Xã Vĩnh Thuận  </v>
          </cell>
          <cell r="I10660" t="str">
            <v>81319</v>
          </cell>
        </row>
        <row r="10661">
          <cell r="G10661" t="str">
            <v xml:space="preserve">Xã Vĩnh Phong  </v>
          </cell>
          <cell r="I10661" t="str">
            <v>81319</v>
          </cell>
        </row>
        <row r="10662">
          <cell r="G10662" t="str">
            <v xml:space="preserve">Xã Bình Minh           </v>
          </cell>
          <cell r="I10662" t="str">
            <v>81319</v>
          </cell>
        </row>
        <row r="10663">
          <cell r="G10663" t="str">
            <v>Xã Phong Đông</v>
          </cell>
          <cell r="I10663" t="str">
            <v>81319</v>
          </cell>
        </row>
        <row r="10664">
          <cell r="G10664" t="str">
            <v>Thị trấn Dương Đông</v>
          </cell>
          <cell r="I10664" t="str">
            <v>81321</v>
          </cell>
        </row>
        <row r="10665">
          <cell r="G10665" t="str">
            <v>Xã Cửa Cạn</v>
          </cell>
          <cell r="I10665" t="str">
            <v>81321</v>
          </cell>
        </row>
        <row r="10666">
          <cell r="G10666" t="str">
            <v>Xã Dương Tơ</v>
          </cell>
          <cell r="I10666" t="str">
            <v>81321</v>
          </cell>
        </row>
        <row r="10667">
          <cell r="G10667" t="str">
            <v>Thị trấn An Thới</v>
          </cell>
          <cell r="I10667" t="str">
            <v>81321</v>
          </cell>
        </row>
        <row r="10668">
          <cell r="G10668" t="str">
            <v>Xã Gành Dầu</v>
          </cell>
          <cell r="I10668" t="str">
            <v>81321</v>
          </cell>
        </row>
        <row r="10669">
          <cell r="G10669" t="str">
            <v>Xã Cửa Dương</v>
          </cell>
          <cell r="I10669" t="str">
            <v>81321</v>
          </cell>
        </row>
        <row r="10670">
          <cell r="G10670" t="str">
            <v xml:space="preserve">Xã Hàm Ninh </v>
          </cell>
          <cell r="I10670" t="str">
            <v>81321</v>
          </cell>
        </row>
        <row r="10671">
          <cell r="G10671" t="str">
            <v>Xã Hòn Thơm</v>
          </cell>
          <cell r="I10671" t="str">
            <v>81321</v>
          </cell>
        </row>
        <row r="10672">
          <cell r="G10672" t="str">
            <v>Xã Bãi Thơm</v>
          </cell>
          <cell r="I10672" t="str">
            <v>81321</v>
          </cell>
        </row>
        <row r="10673">
          <cell r="G10673" t="str">
            <v>Xã Thổ Châu</v>
          </cell>
          <cell r="I10673" t="str">
            <v>81321</v>
          </cell>
        </row>
        <row r="10674">
          <cell r="G10674" t="str">
            <v>Xã Nam Du</v>
          </cell>
          <cell r="I10674" t="str">
            <v>81323</v>
          </cell>
        </row>
        <row r="10675">
          <cell r="G10675" t="str">
            <v>Xã Hòn Tre</v>
          </cell>
          <cell r="I10675" t="str">
            <v>81323</v>
          </cell>
        </row>
        <row r="10676">
          <cell r="G10676" t="str">
            <v>Xã Lại Sơn</v>
          </cell>
          <cell r="I10676" t="str">
            <v>81323</v>
          </cell>
        </row>
        <row r="10677">
          <cell r="G10677" t="str">
            <v xml:space="preserve">Xã An Sơn   </v>
          </cell>
          <cell r="I10677" t="str">
            <v>81323</v>
          </cell>
        </row>
        <row r="10678">
          <cell r="G10678" t="str">
            <v xml:space="preserve">Xã Tiên Hải </v>
          </cell>
          <cell r="I10678" t="str">
            <v>81325</v>
          </cell>
        </row>
        <row r="10679">
          <cell r="G10679" t="str">
            <v>Phường Pháo Đài</v>
          </cell>
          <cell r="I10679" t="str">
            <v>81325</v>
          </cell>
        </row>
        <row r="10680">
          <cell r="G10680" t="str">
            <v>Phường Tô Châu</v>
          </cell>
          <cell r="I10680" t="str">
            <v>81325</v>
          </cell>
        </row>
        <row r="10681">
          <cell r="G10681" t="str">
            <v>Phường Đông Hồ</v>
          </cell>
          <cell r="I10681" t="str">
            <v>81325</v>
          </cell>
        </row>
        <row r="10682">
          <cell r="G10682" t="str">
            <v>Phường Bình San</v>
          </cell>
          <cell r="I10682" t="str">
            <v>81325</v>
          </cell>
        </row>
        <row r="10683">
          <cell r="G10683" t="str">
            <v xml:space="preserve">Xã Mỹ Đức    </v>
          </cell>
          <cell r="I10683" t="str">
            <v>81325</v>
          </cell>
        </row>
        <row r="10684">
          <cell r="G10684" t="str">
            <v>Xã Thuận Yên</v>
          </cell>
          <cell r="I10684" t="str">
            <v>81325</v>
          </cell>
        </row>
        <row r="10685">
          <cell r="G10685" t="str">
            <v>Xã Thạnh Yên</v>
          </cell>
          <cell r="I10685" t="str">
            <v>81327</v>
          </cell>
        </row>
        <row r="10686">
          <cell r="G10686" t="str">
            <v>Xã Thạnh Yên A</v>
          </cell>
          <cell r="I10686" t="str">
            <v>81327</v>
          </cell>
        </row>
        <row r="10687">
          <cell r="G10687" t="str">
            <v>Xã An Minh Bắc</v>
          </cell>
          <cell r="I10687" t="str">
            <v>81327</v>
          </cell>
        </row>
        <row r="10688">
          <cell r="G10688" t="str">
            <v xml:space="preserve">Xã Vĩnh Hòa        </v>
          </cell>
          <cell r="I10688" t="str">
            <v>81327</v>
          </cell>
        </row>
        <row r="10689">
          <cell r="G10689" t="str">
            <v>Xã Hòa Chánh</v>
          </cell>
          <cell r="I10689" t="str">
            <v>81327</v>
          </cell>
        </row>
        <row r="10690">
          <cell r="G10690" t="str">
            <v xml:space="preserve">Xã Minh Thuận </v>
          </cell>
          <cell r="I10690" t="str">
            <v>81327</v>
          </cell>
        </row>
        <row r="10691">
          <cell r="G10691" t="str">
            <v>Phường Tân Lộc</v>
          </cell>
          <cell r="I10691" t="str">
            <v>81503</v>
          </cell>
        </row>
        <row r="10692">
          <cell r="G10692" t="str">
            <v>Phường Thốt Nốt</v>
          </cell>
          <cell r="I10692" t="str">
            <v>81503</v>
          </cell>
        </row>
        <row r="10693">
          <cell r="G10693" t="str">
            <v>Phường Thuận An</v>
          </cell>
          <cell r="I10693" t="str">
            <v>81503</v>
          </cell>
        </row>
        <row r="10694">
          <cell r="G10694" t="str">
            <v>Phường Trung Nhứt</v>
          </cell>
          <cell r="I10694" t="str">
            <v>81503</v>
          </cell>
        </row>
        <row r="10695">
          <cell r="G10695" t="str">
            <v>Phường Trung Kiên</v>
          </cell>
          <cell r="I10695" t="str">
            <v>81503</v>
          </cell>
        </row>
        <row r="10696">
          <cell r="G10696" t="str">
            <v>Phường Thuận Hưng</v>
          </cell>
          <cell r="I10696" t="str">
            <v>81503</v>
          </cell>
        </row>
        <row r="10697">
          <cell r="G10697" t="str">
            <v xml:space="preserve">Phường Tân Hưng </v>
          </cell>
          <cell r="I10697" t="str">
            <v>81503</v>
          </cell>
        </row>
        <row r="10698">
          <cell r="G10698" t="str">
            <v>Phường Thạnh Hòa</v>
          </cell>
          <cell r="I10698" t="str">
            <v>81503</v>
          </cell>
        </row>
        <row r="10699">
          <cell r="G10699" t="str">
            <v>Phường Thới Thuận</v>
          </cell>
          <cell r="I10699" t="str">
            <v>81503</v>
          </cell>
        </row>
        <row r="10700">
          <cell r="G10700" t="str">
            <v>Phường Phước Thới</v>
          </cell>
          <cell r="I10700" t="str">
            <v>81505</v>
          </cell>
        </row>
        <row r="10701">
          <cell r="G10701" t="str">
            <v xml:space="preserve">Phường Thới An </v>
          </cell>
          <cell r="I10701" t="str">
            <v>81505</v>
          </cell>
        </row>
        <row r="10702">
          <cell r="G10702" t="str">
            <v>Phường Châu Văn Liêm</v>
          </cell>
          <cell r="I10702" t="str">
            <v>81505</v>
          </cell>
        </row>
        <row r="10703">
          <cell r="G10703" t="str">
            <v>Phường Thới Long</v>
          </cell>
          <cell r="I10703" t="str">
            <v>81505</v>
          </cell>
        </row>
        <row r="10704">
          <cell r="G10704" t="str">
            <v>Phường Trường Lạc</v>
          </cell>
          <cell r="I10704" t="str">
            <v>81505</v>
          </cell>
        </row>
        <row r="10705">
          <cell r="G10705" t="str">
            <v>Phường Thới  Hòa</v>
          </cell>
          <cell r="I10705" t="str">
            <v>81505</v>
          </cell>
        </row>
        <row r="10706">
          <cell r="G10706" t="str">
            <v xml:space="preserve">Phường Long Hưng </v>
          </cell>
          <cell r="I10706" t="str">
            <v>81505</v>
          </cell>
        </row>
        <row r="10707">
          <cell r="G10707" t="str">
            <v>Phường An Cư</v>
          </cell>
          <cell r="I10707" t="str">
            <v>81519</v>
          </cell>
        </row>
        <row r="10708">
          <cell r="G10708" t="str">
            <v>Phường Hưng Lợi</v>
          </cell>
          <cell r="I10708" t="str">
            <v>81519</v>
          </cell>
        </row>
        <row r="10709">
          <cell r="G10709" t="str">
            <v>Phường Cái Khế</v>
          </cell>
          <cell r="I10709" t="str">
            <v>81519</v>
          </cell>
        </row>
        <row r="10710">
          <cell r="G10710" t="str">
            <v xml:space="preserve">Phường An Hòa   </v>
          </cell>
          <cell r="I10710" t="str">
            <v>81519</v>
          </cell>
        </row>
        <row r="10711">
          <cell r="G10711" t="str">
            <v>Phường Thới Bình</v>
          </cell>
          <cell r="I10711" t="str">
            <v>81519</v>
          </cell>
        </row>
        <row r="10712">
          <cell r="G10712" t="str">
            <v>Phường An Nghiệp</v>
          </cell>
          <cell r="I10712" t="str">
            <v>81519</v>
          </cell>
        </row>
        <row r="10713">
          <cell r="G10713" t="str">
            <v>Phường An Hội</v>
          </cell>
          <cell r="I10713" t="str">
            <v>81519</v>
          </cell>
        </row>
        <row r="10714">
          <cell r="G10714" t="str">
            <v xml:space="preserve">Phường Tân An     </v>
          </cell>
          <cell r="I10714" t="str">
            <v>81519</v>
          </cell>
        </row>
        <row r="10715">
          <cell r="G10715" t="str">
            <v xml:space="preserve">Phường An Lạc   </v>
          </cell>
          <cell r="I10715" t="str">
            <v>81519</v>
          </cell>
        </row>
        <row r="10716">
          <cell r="G10716" t="str">
            <v xml:space="preserve">Phường An Phú    </v>
          </cell>
          <cell r="I10716" t="str">
            <v>81519</v>
          </cell>
        </row>
        <row r="10717">
          <cell r="G10717" t="str">
            <v>Phường Xuân Khánh</v>
          </cell>
          <cell r="I10717" t="str">
            <v>81519</v>
          </cell>
        </row>
        <row r="10718">
          <cell r="G10718" t="str">
            <v xml:space="preserve">Phường An Bình     </v>
          </cell>
          <cell r="I10718" t="str">
            <v>81519</v>
          </cell>
        </row>
        <row r="10719">
          <cell r="G10719" t="str">
            <v xml:space="preserve">Phường An Khánh </v>
          </cell>
          <cell r="I10719" t="str">
            <v>81519</v>
          </cell>
        </row>
        <row r="10720">
          <cell r="G10720" t="str">
            <v>Phường Trà Nóc</v>
          </cell>
          <cell r="I10720" t="str">
            <v>81521</v>
          </cell>
        </row>
        <row r="10721">
          <cell r="G10721" t="str">
            <v>Phường Bình Thủy</v>
          </cell>
          <cell r="I10721" t="str">
            <v>81521</v>
          </cell>
        </row>
        <row r="10722">
          <cell r="G10722" t="str">
            <v>Phường Thới An Đông</v>
          </cell>
          <cell r="I10722" t="str">
            <v>81521</v>
          </cell>
        </row>
        <row r="10723">
          <cell r="G10723" t="str">
            <v>Phường An Thới</v>
          </cell>
          <cell r="I10723" t="str">
            <v>81521</v>
          </cell>
        </row>
        <row r="10724">
          <cell r="G10724" t="str">
            <v>Phường Long Hòa</v>
          </cell>
          <cell r="I10724" t="str">
            <v>81521</v>
          </cell>
        </row>
        <row r="10725">
          <cell r="G10725" t="str">
            <v>Phường Long Tuyền</v>
          </cell>
          <cell r="I10725" t="str">
            <v>81521</v>
          </cell>
        </row>
        <row r="10726">
          <cell r="G10726" t="str">
            <v>Phường Bùi Hữu Nghĩa</v>
          </cell>
          <cell r="I10726" t="str">
            <v>81521</v>
          </cell>
        </row>
        <row r="10727">
          <cell r="G10727" t="str">
            <v>Phường Trà An</v>
          </cell>
          <cell r="I10727" t="str">
            <v>81521</v>
          </cell>
        </row>
        <row r="10728">
          <cell r="G10728" t="str">
            <v xml:space="preserve">Phường Tân Phú   </v>
          </cell>
          <cell r="I10728" t="str">
            <v>81523</v>
          </cell>
        </row>
        <row r="10729">
          <cell r="G10729" t="str">
            <v>Phường Lê Bình</v>
          </cell>
          <cell r="I10729" t="str">
            <v>81523</v>
          </cell>
        </row>
        <row r="10730">
          <cell r="G10730" t="str">
            <v>Phường Thường Thạnh</v>
          </cell>
          <cell r="I10730" t="str">
            <v>81523</v>
          </cell>
        </row>
        <row r="10731">
          <cell r="G10731" t="str">
            <v>Phường Hưng Phú</v>
          </cell>
          <cell r="I10731" t="str">
            <v>81523</v>
          </cell>
        </row>
        <row r="10732">
          <cell r="G10732" t="str">
            <v>Phường Hưng Thạnh</v>
          </cell>
          <cell r="I10732" t="str">
            <v>81523</v>
          </cell>
        </row>
        <row r="10733">
          <cell r="G10733" t="str">
            <v>Phường Ba Láng</v>
          </cell>
          <cell r="I10733" t="str">
            <v>81523</v>
          </cell>
        </row>
        <row r="10734">
          <cell r="G10734" t="str">
            <v>Phường Phú Thứ</v>
          </cell>
          <cell r="I10734" t="str">
            <v>81523</v>
          </cell>
        </row>
        <row r="10735">
          <cell r="G10735" t="str">
            <v xml:space="preserve">Xã Thạnh An  </v>
          </cell>
          <cell r="I10735" t="str">
            <v>81525</v>
          </cell>
        </row>
        <row r="10736">
          <cell r="G10736" t="str">
            <v xml:space="preserve">Xã Thạnh Mỹ </v>
          </cell>
          <cell r="I10736" t="str">
            <v>81525</v>
          </cell>
        </row>
        <row r="10737">
          <cell r="G10737" t="str">
            <v>Xã Thạnh Qưới</v>
          </cell>
          <cell r="I10737" t="str">
            <v>81525</v>
          </cell>
        </row>
        <row r="10738">
          <cell r="G10738" t="str">
            <v>Thị trấn Thạnh An</v>
          </cell>
          <cell r="I10738" t="str">
            <v>81525</v>
          </cell>
        </row>
        <row r="10739">
          <cell r="G10739" t="str">
            <v>Xã Vĩnh Trinh</v>
          </cell>
          <cell r="I10739" t="str">
            <v>81525</v>
          </cell>
        </row>
        <row r="10740">
          <cell r="G10740" t="str">
            <v>Xã Thạnh Thắng</v>
          </cell>
          <cell r="I10740" t="str">
            <v>81525</v>
          </cell>
        </row>
        <row r="10741">
          <cell r="G10741" t="str">
            <v xml:space="preserve">Xã Thạnh Lộc   </v>
          </cell>
          <cell r="I10741" t="str">
            <v>81525</v>
          </cell>
        </row>
        <row r="10742">
          <cell r="G10742" t="str">
            <v xml:space="preserve">Thị Trấn Vĩnh Thạnh </v>
          </cell>
          <cell r="I10742" t="str">
            <v>81525</v>
          </cell>
        </row>
        <row r="10743">
          <cell r="G10743" t="str">
            <v>Xã Thạnh Tiến</v>
          </cell>
          <cell r="I10743" t="str">
            <v>81525</v>
          </cell>
        </row>
        <row r="10744">
          <cell r="G10744" t="str">
            <v xml:space="preserve">Xã Thạnh Lợi  </v>
          </cell>
          <cell r="I10744" t="str">
            <v>81525</v>
          </cell>
        </row>
        <row r="10745">
          <cell r="G10745" t="str">
            <v xml:space="preserve">Xã Vĩnh Bình   </v>
          </cell>
          <cell r="I10745" t="str">
            <v>81525</v>
          </cell>
        </row>
        <row r="10746">
          <cell r="G10746" t="str">
            <v>Xã Thới Đông</v>
          </cell>
          <cell r="I10746" t="str">
            <v>81527</v>
          </cell>
        </row>
        <row r="10747">
          <cell r="G10747" t="str">
            <v>Xã Đông Hiệp</v>
          </cell>
          <cell r="I10747" t="str">
            <v>81527</v>
          </cell>
        </row>
        <row r="10748">
          <cell r="G10748" t="str">
            <v>Thị trấn Cờ Đỏ</v>
          </cell>
          <cell r="I10748" t="str">
            <v>81527</v>
          </cell>
        </row>
        <row r="10749">
          <cell r="G10749" t="str">
            <v>Xã Thới Hưng</v>
          </cell>
          <cell r="I10749" t="str">
            <v>81527</v>
          </cell>
        </row>
        <row r="10750">
          <cell r="G10750" t="str">
            <v>Xã Đông Thắng</v>
          </cell>
          <cell r="I10750" t="str">
            <v>81527</v>
          </cell>
        </row>
        <row r="10751">
          <cell r="G10751" t="str">
            <v>Xã Thới Xuân</v>
          </cell>
          <cell r="I10751" t="str">
            <v>81527</v>
          </cell>
        </row>
        <row r="10752">
          <cell r="G10752" t="str">
            <v>Xã Trung Thạnh</v>
          </cell>
          <cell r="I10752" t="str">
            <v>81527</v>
          </cell>
        </row>
        <row r="10753">
          <cell r="G10753" t="str">
            <v xml:space="preserve">Xã Trung An    </v>
          </cell>
          <cell r="I10753" t="str">
            <v>81527</v>
          </cell>
        </row>
        <row r="10754">
          <cell r="G10754" t="str">
            <v xml:space="preserve">Xã Trung Hưng </v>
          </cell>
          <cell r="I10754" t="str">
            <v>81527</v>
          </cell>
        </row>
        <row r="10755">
          <cell r="G10755" t="str">
            <v xml:space="preserve">Xã Thạnh Phú   </v>
          </cell>
          <cell r="I10755" t="str">
            <v>81527</v>
          </cell>
        </row>
        <row r="10756">
          <cell r="G10756" t="str">
            <v xml:space="preserve">Xã Mỹ Khánh </v>
          </cell>
          <cell r="I10756" t="str">
            <v>81529</v>
          </cell>
        </row>
        <row r="10757">
          <cell r="G10757" t="str">
            <v>Xã Trường Long</v>
          </cell>
          <cell r="I10757" t="str">
            <v>81529</v>
          </cell>
        </row>
        <row r="10758">
          <cell r="G10758" t="str">
            <v>Xã Nhơn ái</v>
          </cell>
          <cell r="I10758" t="str">
            <v>81529</v>
          </cell>
        </row>
        <row r="10759">
          <cell r="G10759" t="str">
            <v xml:space="preserve">Xã Giai Xuân </v>
          </cell>
          <cell r="I10759" t="str">
            <v>81529</v>
          </cell>
        </row>
        <row r="10760">
          <cell r="G10760" t="str">
            <v xml:space="preserve">Xã Tân Thới </v>
          </cell>
          <cell r="I10760" t="str">
            <v>81529</v>
          </cell>
        </row>
        <row r="10761">
          <cell r="G10761" t="str">
            <v>Xã Nhơn Nghĩa</v>
          </cell>
          <cell r="I10761" t="str">
            <v>81529</v>
          </cell>
        </row>
        <row r="10762">
          <cell r="G10762" t="str">
            <v xml:space="preserve">Thị Trấn Phong Điền </v>
          </cell>
          <cell r="I10762" t="str">
            <v>81529</v>
          </cell>
        </row>
        <row r="10763">
          <cell r="G10763" t="str">
            <v>Thị Trấn Thới Lai</v>
          </cell>
          <cell r="I10763" t="str">
            <v>81531</v>
          </cell>
        </row>
        <row r="10764">
          <cell r="G10764" t="str">
            <v xml:space="preserve">Xã Trường Xuân   </v>
          </cell>
          <cell r="I10764" t="str">
            <v>81531</v>
          </cell>
        </row>
        <row r="10765">
          <cell r="G10765" t="str">
            <v>Xã Trường Xuân A</v>
          </cell>
          <cell r="I10765" t="str">
            <v>81531</v>
          </cell>
        </row>
        <row r="10766">
          <cell r="G10766" t="str">
            <v>Xã Trường Xuân B</v>
          </cell>
          <cell r="I10766" t="str">
            <v>81531</v>
          </cell>
        </row>
        <row r="10767">
          <cell r="G10767" t="str">
            <v xml:space="preserve">Xã Thới Thạnh </v>
          </cell>
          <cell r="I10767" t="str">
            <v>81531</v>
          </cell>
        </row>
        <row r="10768">
          <cell r="G10768" t="str">
            <v xml:space="preserve">Xã Tân Thạnh    </v>
          </cell>
          <cell r="I10768" t="str">
            <v>81531</v>
          </cell>
        </row>
        <row r="10769">
          <cell r="G10769" t="str">
            <v>Xã Định Môn</v>
          </cell>
          <cell r="I10769" t="str">
            <v>81531</v>
          </cell>
        </row>
        <row r="10770">
          <cell r="G10770" t="str">
            <v xml:space="preserve">Xã Trường Thành  </v>
          </cell>
          <cell r="I10770" t="str">
            <v>81531</v>
          </cell>
        </row>
        <row r="10771">
          <cell r="G10771" t="str">
            <v>Xã Trường Thắng</v>
          </cell>
          <cell r="I10771" t="str">
            <v>81531</v>
          </cell>
        </row>
        <row r="10772">
          <cell r="G10772" t="str">
            <v>Xã Thới Tân</v>
          </cell>
          <cell r="I10772" t="str">
            <v>81531</v>
          </cell>
        </row>
        <row r="10773">
          <cell r="G10773" t="str">
            <v xml:space="preserve">Xã Đông Bình </v>
          </cell>
          <cell r="I10773" t="str">
            <v>81531</v>
          </cell>
        </row>
        <row r="10774">
          <cell r="G10774" t="str">
            <v>Xã Đông Thuận</v>
          </cell>
          <cell r="I10774" t="str">
            <v>81531</v>
          </cell>
        </row>
        <row r="10775">
          <cell r="G10775" t="str">
            <v xml:space="preserve">Xã Xuân Thắng  </v>
          </cell>
          <cell r="I10775" t="str">
            <v>81531</v>
          </cell>
        </row>
        <row r="10776">
          <cell r="G10776" t="str">
            <v>Phường I</v>
          </cell>
          <cell r="I10776" t="str">
            <v>81601</v>
          </cell>
        </row>
        <row r="10777">
          <cell r="G10777" t="str">
            <v>Phường VII</v>
          </cell>
          <cell r="I10777" t="str">
            <v>81601</v>
          </cell>
        </row>
        <row r="10778">
          <cell r="G10778" t="str">
            <v>Xã Hoả Tiến</v>
          </cell>
          <cell r="I10778" t="str">
            <v>81601</v>
          </cell>
        </row>
        <row r="10779">
          <cell r="G10779" t="str">
            <v>Phường III</v>
          </cell>
          <cell r="I10779" t="str">
            <v>81601</v>
          </cell>
        </row>
        <row r="10780">
          <cell r="G10780" t="str">
            <v>Phường IV</v>
          </cell>
          <cell r="I10780" t="str">
            <v>81601</v>
          </cell>
        </row>
        <row r="10781">
          <cell r="G10781" t="str">
            <v>Phường V</v>
          </cell>
          <cell r="I10781" t="str">
            <v>81601</v>
          </cell>
        </row>
        <row r="10782">
          <cell r="G10782" t="str">
            <v>Xã Vị Tân</v>
          </cell>
          <cell r="I10782" t="str">
            <v>81601</v>
          </cell>
        </row>
        <row r="10783">
          <cell r="G10783" t="str">
            <v>Xã Hoả Lựu</v>
          </cell>
          <cell r="I10783" t="str">
            <v>81601</v>
          </cell>
        </row>
        <row r="10784">
          <cell r="G10784" t="str">
            <v xml:space="preserve">Xã Tân Tiến                </v>
          </cell>
          <cell r="I10784" t="str">
            <v>81601</v>
          </cell>
        </row>
        <row r="10785">
          <cell r="G10785" t="str">
            <v>Xã Trường Long Tây</v>
          </cell>
          <cell r="I10785" t="str">
            <v>81603</v>
          </cell>
        </row>
        <row r="10786">
          <cell r="G10786" t="str">
            <v>Xã Trường Long A</v>
          </cell>
          <cell r="I10786" t="str">
            <v>81603</v>
          </cell>
        </row>
        <row r="10787">
          <cell r="G10787" t="str">
            <v>Thị trấn Một Ngàn</v>
          </cell>
          <cell r="I10787" t="str">
            <v>81603</v>
          </cell>
        </row>
        <row r="10788">
          <cell r="G10788" t="str">
            <v xml:space="preserve">Xã Tân Hòa                </v>
          </cell>
          <cell r="I10788" t="str">
            <v>81603</v>
          </cell>
        </row>
        <row r="10789">
          <cell r="G10789" t="str">
            <v>Xã Nhơn nghĩa A</v>
          </cell>
          <cell r="I10789" t="str">
            <v>81603</v>
          </cell>
        </row>
        <row r="10790">
          <cell r="G10790" t="str">
            <v>Xã Thạnh Xuân</v>
          </cell>
          <cell r="I10790" t="str">
            <v>81603</v>
          </cell>
        </row>
        <row r="10791">
          <cell r="G10791" t="str">
            <v>Xã Tân Phú Thạnh</v>
          </cell>
          <cell r="I10791" t="str">
            <v>81603</v>
          </cell>
        </row>
        <row r="10792">
          <cell r="G10792" t="str">
            <v>Thị Trấn Rạch Gòi</v>
          </cell>
          <cell r="I10792" t="str">
            <v>81603</v>
          </cell>
        </row>
        <row r="10793">
          <cell r="G10793" t="str">
            <v>Thị Trấn Cái Tắc</v>
          </cell>
          <cell r="I10793" t="str">
            <v>81603</v>
          </cell>
        </row>
        <row r="10794">
          <cell r="G10794" t="str">
            <v>Thị trấn Bảy ngàn</v>
          </cell>
          <cell r="I10794" t="str">
            <v>81603</v>
          </cell>
        </row>
        <row r="10795">
          <cell r="G10795" t="str">
            <v>Xã Đông Phước A</v>
          </cell>
          <cell r="I10795" t="str">
            <v>81605</v>
          </cell>
        </row>
        <row r="10796">
          <cell r="G10796" t="str">
            <v>Thị trấn Ngã sáu</v>
          </cell>
          <cell r="I10796" t="str">
            <v>81605</v>
          </cell>
        </row>
        <row r="10797">
          <cell r="G10797" t="str">
            <v xml:space="preserve">Xã Phú Hữu  </v>
          </cell>
          <cell r="I10797" t="str">
            <v>81605</v>
          </cell>
        </row>
        <row r="10798">
          <cell r="G10798" t="str">
            <v>Xã Đông Phước</v>
          </cell>
          <cell r="I10798" t="str">
            <v>81605</v>
          </cell>
        </row>
        <row r="10799">
          <cell r="G10799" t="str">
            <v xml:space="preserve">Xã Đông Thạnh    </v>
          </cell>
          <cell r="I10799" t="str">
            <v>81605</v>
          </cell>
        </row>
        <row r="10800">
          <cell r="G10800" t="str">
            <v xml:space="preserve">Xã Phú An      </v>
          </cell>
          <cell r="I10800" t="str">
            <v>81605</v>
          </cell>
        </row>
        <row r="10801">
          <cell r="G10801" t="str">
            <v xml:space="preserve">Xã Đông Phú  </v>
          </cell>
          <cell r="I10801" t="str">
            <v>81605</v>
          </cell>
        </row>
        <row r="10802">
          <cell r="G10802" t="str">
            <v>Thị trấn Mái Dầm</v>
          </cell>
          <cell r="I10802" t="str">
            <v>81605</v>
          </cell>
        </row>
        <row r="10803">
          <cell r="G10803" t="str">
            <v xml:space="preserve">Xã Phú Tân  </v>
          </cell>
          <cell r="I10803" t="str">
            <v>81605</v>
          </cell>
        </row>
        <row r="10804">
          <cell r="G10804" t="str">
            <v xml:space="preserve">Phường Hiệp Thành  </v>
          </cell>
          <cell r="I10804" t="str">
            <v>81607</v>
          </cell>
        </row>
        <row r="10805">
          <cell r="G10805" t="str">
            <v>Phường Ngã Bảy</v>
          </cell>
          <cell r="I10805" t="str">
            <v>81607</v>
          </cell>
        </row>
        <row r="10806">
          <cell r="G10806" t="str">
            <v>Phường Lái Hiếu</v>
          </cell>
          <cell r="I10806" t="str">
            <v>81607</v>
          </cell>
        </row>
        <row r="10807">
          <cell r="G10807" t="str">
            <v>Xã Hiệp Lợi</v>
          </cell>
          <cell r="I10807" t="str">
            <v>81607</v>
          </cell>
        </row>
        <row r="10808">
          <cell r="G10808" t="str">
            <v xml:space="preserve">Xã Đại Thành    </v>
          </cell>
          <cell r="I10808" t="str">
            <v>81607</v>
          </cell>
        </row>
        <row r="10809">
          <cell r="G10809" t="str">
            <v xml:space="preserve">Xã Tân Thành                          </v>
          </cell>
          <cell r="I10809" t="str">
            <v>81607</v>
          </cell>
        </row>
        <row r="10810">
          <cell r="G10810" t="str">
            <v>Thị trấn Cây Dương</v>
          </cell>
          <cell r="I10810" t="str">
            <v>81608</v>
          </cell>
        </row>
        <row r="10811">
          <cell r="G10811" t="str">
            <v>Thị trấn Kinh Cùng</v>
          </cell>
          <cell r="I10811" t="str">
            <v>81608</v>
          </cell>
        </row>
        <row r="10812">
          <cell r="G10812" t="str">
            <v xml:space="preserve">Xã Hòa An      </v>
          </cell>
          <cell r="I10812" t="str">
            <v>81608</v>
          </cell>
        </row>
        <row r="10813">
          <cell r="G10813" t="str">
            <v xml:space="preserve">Xã Tân Bình               </v>
          </cell>
          <cell r="I10813" t="str">
            <v>81608</v>
          </cell>
        </row>
        <row r="10814">
          <cell r="G10814" t="str">
            <v xml:space="preserve">Xã Bình Thành        </v>
          </cell>
          <cell r="I10814" t="str">
            <v>81608</v>
          </cell>
        </row>
        <row r="10815">
          <cell r="G10815" t="str">
            <v xml:space="preserve">Xã Thạnh Hòa   </v>
          </cell>
          <cell r="I10815" t="str">
            <v>81608</v>
          </cell>
        </row>
        <row r="10816">
          <cell r="G10816" t="str">
            <v xml:space="preserve">Xã Tân Long       </v>
          </cell>
          <cell r="I10816" t="str">
            <v>81608</v>
          </cell>
        </row>
        <row r="10817">
          <cell r="G10817" t="str">
            <v xml:space="preserve">Xã Long Thạnh  </v>
          </cell>
          <cell r="I10817" t="str">
            <v>81608</v>
          </cell>
        </row>
        <row r="10818">
          <cell r="G10818" t="str">
            <v>Xã Phụng Hiệp</v>
          </cell>
          <cell r="I10818" t="str">
            <v>81608</v>
          </cell>
        </row>
        <row r="10819">
          <cell r="G10819" t="str">
            <v>Xã Phương Bình</v>
          </cell>
          <cell r="I10819" t="str">
            <v>81608</v>
          </cell>
        </row>
        <row r="10820">
          <cell r="G10820" t="str">
            <v>Xã Hòa Mỹ</v>
          </cell>
          <cell r="I10820" t="str">
            <v>81608</v>
          </cell>
        </row>
        <row r="10821">
          <cell r="G10821" t="str">
            <v>Xã Tân Phước Hưng</v>
          </cell>
          <cell r="I10821" t="str">
            <v>81608</v>
          </cell>
        </row>
        <row r="10822">
          <cell r="G10822" t="str">
            <v>Xã Phương Phú</v>
          </cell>
          <cell r="I10822" t="str">
            <v>81608</v>
          </cell>
        </row>
        <row r="10823">
          <cell r="G10823" t="str">
            <v>Xã Hiệp Hưng</v>
          </cell>
          <cell r="I10823" t="str">
            <v>81608</v>
          </cell>
        </row>
        <row r="10824">
          <cell r="G10824" t="str">
            <v>Thị trấn Búng Tàu</v>
          </cell>
          <cell r="I10824" t="str">
            <v>81608</v>
          </cell>
        </row>
        <row r="10825">
          <cell r="G10825" t="str">
            <v>Xã Vị Thanh</v>
          </cell>
          <cell r="I10825" t="str">
            <v>81609</v>
          </cell>
        </row>
        <row r="10826">
          <cell r="G10826" t="str">
            <v>Xã Vị Thắng</v>
          </cell>
          <cell r="I10826" t="str">
            <v>81609</v>
          </cell>
        </row>
        <row r="10827">
          <cell r="G10827" t="str">
            <v>Xã Vị Đông</v>
          </cell>
          <cell r="I10827" t="str">
            <v>81609</v>
          </cell>
        </row>
        <row r="10828">
          <cell r="G10828" t="str">
            <v>Thị trấn Nàng Mau</v>
          </cell>
          <cell r="I10828" t="str">
            <v>81609</v>
          </cell>
        </row>
        <row r="10829">
          <cell r="G10829" t="str">
            <v>Xã Vị Trung</v>
          </cell>
          <cell r="I10829" t="str">
            <v>81609</v>
          </cell>
        </row>
        <row r="10830">
          <cell r="G10830" t="str">
            <v>Xã Vị Thuỷ</v>
          </cell>
          <cell r="I10830" t="str">
            <v>81609</v>
          </cell>
        </row>
        <row r="10831">
          <cell r="G10831" t="str">
            <v>Xã Vĩnh Thuận Tây</v>
          </cell>
          <cell r="I10831" t="str">
            <v>81609</v>
          </cell>
        </row>
        <row r="10832">
          <cell r="G10832" t="str">
            <v xml:space="preserve">Xã Vĩnh Trung    </v>
          </cell>
          <cell r="I10832" t="str">
            <v>81609</v>
          </cell>
        </row>
        <row r="10833">
          <cell r="G10833" t="str">
            <v>Xã Vĩnh Tường</v>
          </cell>
          <cell r="I10833" t="str">
            <v>81609</v>
          </cell>
        </row>
        <row r="10834">
          <cell r="G10834" t="str">
            <v>Xã Vị Bình</v>
          </cell>
          <cell r="I10834" t="str">
            <v>81609</v>
          </cell>
        </row>
        <row r="10835">
          <cell r="G10835" t="str">
            <v xml:space="preserve">Xã Thuận Hòa   </v>
          </cell>
          <cell r="I10835" t="str">
            <v>81611</v>
          </cell>
        </row>
        <row r="10836">
          <cell r="G10836" t="str">
            <v>Xã Vĩnh Thuận Đông</v>
          </cell>
          <cell r="I10836" t="str">
            <v>81611</v>
          </cell>
        </row>
        <row r="10837">
          <cell r="G10837" t="str">
            <v>Xã Thuận Hưng</v>
          </cell>
          <cell r="I10837" t="str">
            <v>81611</v>
          </cell>
        </row>
        <row r="10838">
          <cell r="G10838" t="str">
            <v>Xã Vĩnh Viễn</v>
          </cell>
          <cell r="I10838" t="str">
            <v>81611</v>
          </cell>
        </row>
        <row r="10839">
          <cell r="G10839" t="str">
            <v>Xã Lương Tâm</v>
          </cell>
          <cell r="I10839" t="str">
            <v>81611</v>
          </cell>
        </row>
        <row r="10840">
          <cell r="G10840" t="str">
            <v>Xã Xà Phiên</v>
          </cell>
          <cell r="I10840" t="str">
            <v>81611</v>
          </cell>
        </row>
        <row r="10841">
          <cell r="G10841" t="str">
            <v>Xã Lương Nghĩa</v>
          </cell>
          <cell r="I10841" t="str">
            <v>81611</v>
          </cell>
        </row>
        <row r="10842">
          <cell r="G10842" t="str">
            <v>Xã Vĩnh Viễn A</v>
          </cell>
          <cell r="I10842" t="str">
            <v>81611</v>
          </cell>
        </row>
        <row r="10843">
          <cell r="G10843" t="str">
            <v>Phường Bình Thạnh</v>
          </cell>
          <cell r="I10843" t="str">
            <v>81612</v>
          </cell>
        </row>
        <row r="10844">
          <cell r="G10844" t="str">
            <v xml:space="preserve">Phường Thuận An </v>
          </cell>
          <cell r="I10844" t="str">
            <v>81612</v>
          </cell>
        </row>
        <row r="10845">
          <cell r="G10845" t="str">
            <v>Phường Trà Lồng</v>
          </cell>
          <cell r="I10845" t="str">
            <v>81612</v>
          </cell>
        </row>
        <row r="10846">
          <cell r="G10846" t="str">
            <v>Phường Vĩnh Tường</v>
          </cell>
          <cell r="I10846" t="str">
            <v>81612</v>
          </cell>
        </row>
        <row r="10847">
          <cell r="G10847" t="str">
            <v xml:space="preserve">Xã Long Bình  </v>
          </cell>
          <cell r="I10847" t="str">
            <v>81612</v>
          </cell>
        </row>
        <row r="10848">
          <cell r="G10848" t="str">
            <v xml:space="preserve">Xã Long Phú </v>
          </cell>
          <cell r="I10848" t="str">
            <v>81612</v>
          </cell>
        </row>
        <row r="10849">
          <cell r="G10849" t="str">
            <v>Xã Long Trị</v>
          </cell>
          <cell r="I10849" t="str">
            <v>81612</v>
          </cell>
        </row>
        <row r="10850">
          <cell r="G10850" t="str">
            <v>Xã Long Trị A</v>
          </cell>
          <cell r="I10850" t="str">
            <v>81612</v>
          </cell>
        </row>
        <row r="10851">
          <cell r="G10851" t="str">
            <v xml:space="preserve">Xã Tân Phú             </v>
          </cell>
          <cell r="I10851" t="str">
            <v>81612</v>
          </cell>
        </row>
        <row r="10852">
          <cell r="G10852" t="str">
            <v xml:space="preserve">Xã Long Đức </v>
          </cell>
          <cell r="I10852" t="str">
            <v>81701</v>
          </cell>
        </row>
        <row r="10853">
          <cell r="G10853" t="str">
            <v xml:space="preserve">Phường 2                    </v>
          </cell>
          <cell r="I10853" t="str">
            <v>81701</v>
          </cell>
        </row>
        <row r="10854">
          <cell r="G10854" t="str">
            <v xml:space="preserve">Phường 7           </v>
          </cell>
          <cell r="I10854" t="str">
            <v>81701</v>
          </cell>
        </row>
        <row r="10855">
          <cell r="G10855" t="str">
            <v xml:space="preserve">Phường 4                 </v>
          </cell>
          <cell r="I10855" t="str">
            <v>81701</v>
          </cell>
        </row>
        <row r="10856">
          <cell r="G10856" t="str">
            <v xml:space="preserve">Phường 1                     </v>
          </cell>
          <cell r="I10856" t="str">
            <v>81701</v>
          </cell>
        </row>
        <row r="10857">
          <cell r="G10857" t="str">
            <v xml:space="preserve">Phường 3                    </v>
          </cell>
          <cell r="I10857" t="str">
            <v>81701</v>
          </cell>
        </row>
        <row r="10858">
          <cell r="G10858" t="str">
            <v xml:space="preserve">Phường 5               </v>
          </cell>
          <cell r="I10858" t="str">
            <v>81701</v>
          </cell>
        </row>
        <row r="10859">
          <cell r="G10859" t="str">
            <v xml:space="preserve">Phường 6            </v>
          </cell>
          <cell r="I10859" t="str">
            <v>81701</v>
          </cell>
        </row>
        <row r="10860">
          <cell r="G10860" t="str">
            <v xml:space="preserve">Phường 8          </v>
          </cell>
          <cell r="I10860" t="str">
            <v>81701</v>
          </cell>
        </row>
        <row r="10861">
          <cell r="G10861" t="str">
            <v xml:space="preserve">Phường 9         </v>
          </cell>
          <cell r="I10861" t="str">
            <v>81701</v>
          </cell>
        </row>
        <row r="10862">
          <cell r="G10862" t="str">
            <v xml:space="preserve">Xã Tân An         </v>
          </cell>
          <cell r="I10862" t="str">
            <v>81703</v>
          </cell>
        </row>
        <row r="10863">
          <cell r="G10863" t="str">
            <v>Thị trấn Càng Long</v>
          </cell>
          <cell r="I10863" t="str">
            <v>81703</v>
          </cell>
        </row>
        <row r="10864">
          <cell r="G10864" t="str">
            <v>Xã Đại Phúc</v>
          </cell>
          <cell r="I10864" t="str">
            <v>81703</v>
          </cell>
        </row>
        <row r="10865">
          <cell r="G10865" t="str">
            <v>Xã An Trường</v>
          </cell>
          <cell r="I10865" t="str">
            <v>81703</v>
          </cell>
        </row>
        <row r="10866">
          <cell r="G10866" t="str">
            <v xml:space="preserve">Xã Tân Bình                </v>
          </cell>
          <cell r="I10866" t="str">
            <v>81703</v>
          </cell>
        </row>
        <row r="10867">
          <cell r="G10867" t="str">
            <v>Xã Huyền Hội</v>
          </cell>
          <cell r="I10867" t="str">
            <v>81703</v>
          </cell>
        </row>
        <row r="10868">
          <cell r="G10868" t="str">
            <v>Xã Phương Thạnh</v>
          </cell>
          <cell r="I10868" t="str">
            <v>81703</v>
          </cell>
        </row>
        <row r="10869">
          <cell r="G10869" t="str">
            <v>Xã Đức Mỹ</v>
          </cell>
          <cell r="I10869" t="str">
            <v>81703</v>
          </cell>
        </row>
        <row r="10870">
          <cell r="G10870" t="str">
            <v>Xã Nhị Long</v>
          </cell>
          <cell r="I10870" t="str">
            <v>81703</v>
          </cell>
        </row>
        <row r="10871">
          <cell r="G10871" t="str">
            <v>Xã Nhị Long Phú</v>
          </cell>
          <cell r="I10871" t="str">
            <v>81703</v>
          </cell>
        </row>
        <row r="10872">
          <cell r="G10872" t="str">
            <v xml:space="preserve">Xã Đại Phước </v>
          </cell>
          <cell r="I10872" t="str">
            <v>81703</v>
          </cell>
        </row>
        <row r="10873">
          <cell r="G10873" t="str">
            <v>Xã Mỹ Cẩm</v>
          </cell>
          <cell r="I10873" t="str">
            <v>81703</v>
          </cell>
        </row>
        <row r="10874">
          <cell r="G10874" t="str">
            <v>Xã An Trường A</v>
          </cell>
          <cell r="I10874" t="str">
            <v>81703</v>
          </cell>
        </row>
        <row r="10875">
          <cell r="G10875" t="str">
            <v xml:space="preserve">Xã Bình Phú         </v>
          </cell>
          <cell r="I10875" t="str">
            <v>81703</v>
          </cell>
        </row>
        <row r="10876">
          <cell r="G10876" t="str">
            <v xml:space="preserve">Xã Long Hòa      </v>
          </cell>
          <cell r="I10876" t="str">
            <v>81705</v>
          </cell>
        </row>
        <row r="10877">
          <cell r="G10877" t="str">
            <v xml:space="preserve">Xã Hưng Mỹ </v>
          </cell>
          <cell r="I10877" t="str">
            <v>81705</v>
          </cell>
        </row>
        <row r="10878">
          <cell r="G10878" t="str">
            <v>Xã Lương Hòa A</v>
          </cell>
          <cell r="I10878" t="str">
            <v>81705</v>
          </cell>
        </row>
        <row r="10879">
          <cell r="G10879" t="str">
            <v>Xã Phước Hảo</v>
          </cell>
          <cell r="I10879" t="str">
            <v>81705</v>
          </cell>
        </row>
        <row r="10880">
          <cell r="G10880" t="str">
            <v xml:space="preserve">Thị trấn Châu Thành  </v>
          </cell>
          <cell r="I10880" t="str">
            <v>81705</v>
          </cell>
        </row>
        <row r="10881">
          <cell r="G10881" t="str">
            <v xml:space="preserve">Xã Hòa Thuận  </v>
          </cell>
          <cell r="I10881" t="str">
            <v>81705</v>
          </cell>
        </row>
        <row r="10882">
          <cell r="G10882" t="str">
            <v>Xã Nguyệt Hóa</v>
          </cell>
          <cell r="I10882" t="str">
            <v>81705</v>
          </cell>
        </row>
        <row r="10883">
          <cell r="G10883" t="str">
            <v xml:space="preserve">Xã Hòa Minh </v>
          </cell>
          <cell r="I10883" t="str">
            <v>81705</v>
          </cell>
        </row>
        <row r="10884">
          <cell r="G10884" t="str">
            <v xml:space="preserve">Xã Lương Hòa  </v>
          </cell>
          <cell r="I10884" t="str">
            <v>81705</v>
          </cell>
        </row>
        <row r="10885">
          <cell r="G10885" t="str">
            <v xml:space="preserve">Xã Hòa Lợi  </v>
          </cell>
          <cell r="I10885" t="str">
            <v>81705</v>
          </cell>
        </row>
        <row r="10886">
          <cell r="G10886" t="str">
            <v xml:space="preserve">Xã Đa Lộc   </v>
          </cell>
          <cell r="I10886" t="str">
            <v>81705</v>
          </cell>
        </row>
        <row r="10887">
          <cell r="G10887" t="str">
            <v xml:space="preserve">Xã Song Lộc </v>
          </cell>
          <cell r="I10887" t="str">
            <v>81705</v>
          </cell>
        </row>
        <row r="10888">
          <cell r="G10888" t="str">
            <v xml:space="preserve">Xã Mỹ Chánh  </v>
          </cell>
          <cell r="I10888" t="str">
            <v>81705</v>
          </cell>
        </row>
        <row r="10889">
          <cell r="G10889" t="str">
            <v xml:space="preserve">Xã Thanh Mỹ   </v>
          </cell>
          <cell r="I10889" t="str">
            <v>81705</v>
          </cell>
        </row>
        <row r="10890">
          <cell r="G10890" t="str">
            <v>Xã Phong Thạnh</v>
          </cell>
          <cell r="I10890" t="str">
            <v>81707</v>
          </cell>
        </row>
        <row r="10891">
          <cell r="G10891" t="str">
            <v>Xã Châu Điền</v>
          </cell>
          <cell r="I10891" t="str">
            <v>81707</v>
          </cell>
        </row>
        <row r="10892">
          <cell r="G10892" t="str">
            <v xml:space="preserve">Xã Phong Phú    </v>
          </cell>
          <cell r="I10892" t="str">
            <v>81707</v>
          </cell>
        </row>
        <row r="10893">
          <cell r="G10893" t="str">
            <v>Thị trấn Cầu Kè</v>
          </cell>
          <cell r="I10893" t="str">
            <v>81707</v>
          </cell>
        </row>
        <row r="10894">
          <cell r="G10894" t="str">
            <v xml:space="preserve">Xã Thạnh Phú    </v>
          </cell>
          <cell r="I10894" t="str">
            <v>81707</v>
          </cell>
        </row>
        <row r="10895">
          <cell r="G10895" t="str">
            <v>Xã Thông Hòa</v>
          </cell>
          <cell r="I10895" t="str">
            <v>81707</v>
          </cell>
        </row>
        <row r="10896">
          <cell r="G10896" t="str">
            <v>Xã Tam Ngãi</v>
          </cell>
          <cell r="I10896" t="str">
            <v>81707</v>
          </cell>
        </row>
        <row r="10897">
          <cell r="G10897" t="str">
            <v>Xã Hòa ân</v>
          </cell>
          <cell r="I10897" t="str">
            <v>81707</v>
          </cell>
        </row>
        <row r="10898">
          <cell r="G10898" t="str">
            <v>Xã An Phú Tân</v>
          </cell>
          <cell r="I10898" t="str">
            <v>81707</v>
          </cell>
        </row>
        <row r="10899">
          <cell r="G10899" t="str">
            <v xml:space="preserve">Xã Hòa Tân  </v>
          </cell>
          <cell r="I10899" t="str">
            <v>81707</v>
          </cell>
        </row>
        <row r="10900">
          <cell r="G10900" t="str">
            <v>Xã Ninh Thới</v>
          </cell>
          <cell r="I10900" t="str">
            <v>81707</v>
          </cell>
        </row>
        <row r="10901">
          <cell r="G10901" t="str">
            <v>Xã Tân Hùng</v>
          </cell>
          <cell r="I10901" t="str">
            <v>81709</v>
          </cell>
        </row>
        <row r="10902">
          <cell r="G10902" t="str">
            <v>Xã Hiếu Trung</v>
          </cell>
          <cell r="I10902" t="str">
            <v>81709</v>
          </cell>
        </row>
        <row r="10903">
          <cell r="G10903" t="str">
            <v xml:space="preserve">Xã Long Thới  </v>
          </cell>
          <cell r="I10903" t="str">
            <v>81709</v>
          </cell>
        </row>
        <row r="10904">
          <cell r="G10904" t="str">
            <v>Xã Hùng Hòa</v>
          </cell>
          <cell r="I10904" t="str">
            <v>81709</v>
          </cell>
        </row>
        <row r="10905">
          <cell r="G10905" t="str">
            <v>Thị trấn Tiểu Cần</v>
          </cell>
          <cell r="I10905" t="str">
            <v>81709</v>
          </cell>
        </row>
        <row r="10906">
          <cell r="G10906" t="str">
            <v>Thị trấn Cầu Quan</v>
          </cell>
          <cell r="I10906" t="str">
            <v>81709</v>
          </cell>
        </row>
        <row r="10907">
          <cell r="G10907" t="str">
            <v>Xã Hiếu Tử</v>
          </cell>
          <cell r="I10907" t="str">
            <v>81709</v>
          </cell>
        </row>
        <row r="10908">
          <cell r="G10908" t="str">
            <v>Xã Tập Ngãi</v>
          </cell>
          <cell r="I10908" t="str">
            <v>81709</v>
          </cell>
        </row>
        <row r="10909">
          <cell r="G10909" t="str">
            <v xml:space="preserve">Xã Phú Cần </v>
          </cell>
          <cell r="I10909" t="str">
            <v>81709</v>
          </cell>
        </row>
        <row r="10910">
          <cell r="G10910" t="str">
            <v>Xã Ngãi Hùng</v>
          </cell>
          <cell r="I10910" t="str">
            <v>81709</v>
          </cell>
        </row>
        <row r="10911">
          <cell r="G10911" t="str">
            <v xml:space="preserve">Xã Tân Hòa                 </v>
          </cell>
          <cell r="I10911" t="str">
            <v>81709</v>
          </cell>
        </row>
        <row r="10912">
          <cell r="G10912" t="str">
            <v>Xã Mỹ Long Nam</v>
          </cell>
          <cell r="I10912" t="str">
            <v>81711</v>
          </cell>
        </row>
        <row r="10913">
          <cell r="G10913" t="str">
            <v>Thị trấn Mỹ Long</v>
          </cell>
          <cell r="I10913" t="str">
            <v>81711</v>
          </cell>
        </row>
        <row r="10914">
          <cell r="G10914" t="str">
            <v xml:space="preserve">Xã Mỹ Hòa     </v>
          </cell>
          <cell r="I10914" t="str">
            <v>81711</v>
          </cell>
        </row>
        <row r="10915">
          <cell r="G10915" t="str">
            <v xml:space="preserve">Xã Thuận Hòa    </v>
          </cell>
          <cell r="I10915" t="str">
            <v>81711</v>
          </cell>
        </row>
        <row r="10916">
          <cell r="G10916" t="str">
            <v>Xã Hiệp Mỹ Tây</v>
          </cell>
          <cell r="I10916" t="str">
            <v>81711</v>
          </cell>
        </row>
        <row r="10917">
          <cell r="G10917" t="str">
            <v>Thị trấn Cầu Ngang</v>
          </cell>
          <cell r="I10917" t="str">
            <v>81711</v>
          </cell>
        </row>
        <row r="10918">
          <cell r="G10918" t="str">
            <v xml:space="preserve">Xã Vĩnh Kim   </v>
          </cell>
          <cell r="I10918" t="str">
            <v>81711</v>
          </cell>
        </row>
        <row r="10919">
          <cell r="G10919" t="str">
            <v>Xã Kim Hòa</v>
          </cell>
          <cell r="I10919" t="str">
            <v>81711</v>
          </cell>
        </row>
        <row r="10920">
          <cell r="G10920" t="str">
            <v>Xã Mỹ Long Bắc</v>
          </cell>
          <cell r="I10920" t="str">
            <v>81711</v>
          </cell>
        </row>
        <row r="10921">
          <cell r="G10921" t="str">
            <v xml:space="preserve">Xã Hiệp Hòa       </v>
          </cell>
          <cell r="I10921" t="str">
            <v>81711</v>
          </cell>
        </row>
        <row r="10922">
          <cell r="G10922" t="str">
            <v xml:space="preserve">Xã Trường Thọ </v>
          </cell>
          <cell r="I10922" t="str">
            <v>81711</v>
          </cell>
        </row>
        <row r="10923">
          <cell r="G10923" t="str">
            <v>Xã Nhị Trường</v>
          </cell>
          <cell r="I10923" t="str">
            <v>81711</v>
          </cell>
        </row>
        <row r="10924">
          <cell r="G10924" t="str">
            <v xml:space="preserve">Xã Long Sơn        </v>
          </cell>
          <cell r="I10924" t="str">
            <v>81711</v>
          </cell>
        </row>
        <row r="10925">
          <cell r="G10925" t="str">
            <v>Xã Hiệp Mỹ Đông</v>
          </cell>
          <cell r="I10925" t="str">
            <v>81711</v>
          </cell>
        </row>
        <row r="10926">
          <cell r="G10926" t="str">
            <v>Xã Thạnh Hòa Sơn</v>
          </cell>
          <cell r="I10926" t="str">
            <v>81711</v>
          </cell>
        </row>
        <row r="10927">
          <cell r="G10927" t="str">
            <v>Xã Hiệp Mỹ</v>
          </cell>
          <cell r="I10927" t="str">
            <v>81711</v>
          </cell>
        </row>
        <row r="10928">
          <cell r="G10928" t="str">
            <v>Xã An Quảng Hữu</v>
          </cell>
          <cell r="I10928" t="str">
            <v>81713</v>
          </cell>
        </row>
        <row r="10929">
          <cell r="G10929" t="str">
            <v>Xã Tập Sơn</v>
          </cell>
          <cell r="I10929" t="str">
            <v>81713</v>
          </cell>
        </row>
        <row r="10930">
          <cell r="G10930" t="str">
            <v xml:space="preserve">Xã Long Hiệp  </v>
          </cell>
          <cell r="I10930" t="str">
            <v>81713</v>
          </cell>
        </row>
        <row r="10931">
          <cell r="G10931" t="str">
            <v xml:space="preserve">Xã Thanh Sơn          </v>
          </cell>
          <cell r="I10931" t="str">
            <v>81713</v>
          </cell>
        </row>
        <row r="10932">
          <cell r="G10932" t="str">
            <v>Xã Đôn Xuân</v>
          </cell>
          <cell r="I10932" t="str">
            <v>81713</v>
          </cell>
        </row>
        <row r="10933">
          <cell r="G10933" t="str">
            <v>Thị trấn Trà Cú</v>
          </cell>
          <cell r="I10933" t="str">
            <v>81713</v>
          </cell>
        </row>
        <row r="10934">
          <cell r="G10934" t="str">
            <v xml:space="preserve">Xã Phước Hưng   </v>
          </cell>
          <cell r="I10934" t="str">
            <v>81713</v>
          </cell>
        </row>
        <row r="10935">
          <cell r="G10935" t="str">
            <v xml:space="preserve">Xã Tân Sơn         </v>
          </cell>
          <cell r="I10935" t="str">
            <v>81713</v>
          </cell>
        </row>
        <row r="10936">
          <cell r="G10936" t="str">
            <v xml:space="preserve">Xã Tân Hiệp        </v>
          </cell>
          <cell r="I10936" t="str">
            <v>81713</v>
          </cell>
        </row>
        <row r="10937">
          <cell r="G10937" t="str">
            <v>Xã Ngãi Xuyên</v>
          </cell>
          <cell r="I10937" t="str">
            <v>81713</v>
          </cell>
        </row>
        <row r="10938">
          <cell r="G10938" t="str">
            <v>Xã Ngọc Biên</v>
          </cell>
          <cell r="I10938" t="str">
            <v>81713</v>
          </cell>
        </row>
        <row r="10939">
          <cell r="G10939" t="str">
            <v>Xã Lưu Nghiệp Anh</v>
          </cell>
          <cell r="I10939" t="str">
            <v>81713</v>
          </cell>
        </row>
        <row r="10940">
          <cell r="G10940" t="str">
            <v xml:space="preserve">Xã Kim Sơn        </v>
          </cell>
          <cell r="I10940" t="str">
            <v>81713</v>
          </cell>
        </row>
        <row r="10941">
          <cell r="G10941" t="str">
            <v>Xã Đôn Châu</v>
          </cell>
          <cell r="I10941" t="str">
            <v>81713</v>
          </cell>
        </row>
        <row r="10942">
          <cell r="G10942" t="str">
            <v>Xã Hàm Giang</v>
          </cell>
          <cell r="I10942" t="str">
            <v>81713</v>
          </cell>
        </row>
        <row r="10943">
          <cell r="G10943" t="str">
            <v xml:space="preserve">Xã Đại An    </v>
          </cell>
          <cell r="I10943" t="str">
            <v>81713</v>
          </cell>
        </row>
        <row r="10944">
          <cell r="G10944" t="str">
            <v xml:space="preserve">Xã Định An   </v>
          </cell>
          <cell r="I10944" t="str">
            <v>81713</v>
          </cell>
        </row>
        <row r="10945">
          <cell r="G10945" t="str">
            <v>Xã Hàm Tân</v>
          </cell>
          <cell r="I10945" t="str">
            <v>81713</v>
          </cell>
        </row>
        <row r="10946">
          <cell r="G10946" t="str">
            <v>Thị trấn Định An</v>
          </cell>
          <cell r="I10946" t="str">
            <v>81713</v>
          </cell>
        </row>
        <row r="10947">
          <cell r="G10947" t="str">
            <v>Xã Long Hữu</v>
          </cell>
          <cell r="I10947" t="str">
            <v>81715</v>
          </cell>
        </row>
        <row r="10948">
          <cell r="G10948" t="str">
            <v xml:space="preserve">Xã Hiệp Thạnh   </v>
          </cell>
          <cell r="I10948" t="str">
            <v>81715</v>
          </cell>
        </row>
        <row r="10949">
          <cell r="G10949" t="str">
            <v>Xã Long Toàn</v>
          </cell>
          <cell r="I10949" t="str">
            <v>81715</v>
          </cell>
        </row>
        <row r="10950">
          <cell r="G10950" t="str">
            <v xml:space="preserve">Xã Đông Hải   </v>
          </cell>
          <cell r="I10950" t="str">
            <v>81715</v>
          </cell>
        </row>
        <row r="10951">
          <cell r="G10951" t="str">
            <v>Thị trấn Duyên Hải</v>
          </cell>
          <cell r="I10951" t="str">
            <v>81715</v>
          </cell>
        </row>
        <row r="10952">
          <cell r="G10952" t="str">
            <v>Xã Ngũ Lạc</v>
          </cell>
          <cell r="I10952" t="str">
            <v>81715</v>
          </cell>
        </row>
        <row r="10953">
          <cell r="G10953" t="str">
            <v>Xã Trường Long Hòa</v>
          </cell>
          <cell r="I10953" t="str">
            <v>81715</v>
          </cell>
        </row>
        <row r="10954">
          <cell r="G10954" t="str">
            <v xml:space="preserve">Xã Long Khánh   </v>
          </cell>
          <cell r="I10954" t="str">
            <v>81715</v>
          </cell>
        </row>
        <row r="10955">
          <cell r="G10955" t="str">
            <v>Xã Dân Thành</v>
          </cell>
          <cell r="I10955" t="str">
            <v>81715</v>
          </cell>
        </row>
        <row r="10956">
          <cell r="G10956" t="str">
            <v xml:space="preserve">Xã Long Vĩnh  </v>
          </cell>
          <cell r="I10956" t="str">
            <v>81715</v>
          </cell>
        </row>
        <row r="10957">
          <cell r="G10957" t="str">
            <v xml:space="preserve">Thị Trấn Long Thành </v>
          </cell>
          <cell r="I10957" t="str">
            <v>81715</v>
          </cell>
        </row>
        <row r="10958">
          <cell r="G10958" t="str">
            <v xml:space="preserve">Phường 2                     </v>
          </cell>
          <cell r="I10958" t="str">
            <v>81901</v>
          </cell>
        </row>
        <row r="10959">
          <cell r="G10959" t="str">
            <v xml:space="preserve">Phường 7            </v>
          </cell>
          <cell r="I10959" t="str">
            <v>81901</v>
          </cell>
        </row>
        <row r="10960">
          <cell r="G10960" t="str">
            <v xml:space="preserve">Phường 1                      </v>
          </cell>
          <cell r="I10960" t="str">
            <v>81901</v>
          </cell>
        </row>
        <row r="10961">
          <cell r="G10961" t="str">
            <v xml:space="preserve">Phường 9          </v>
          </cell>
          <cell r="I10961" t="str">
            <v>81901</v>
          </cell>
        </row>
        <row r="10962">
          <cell r="G10962" t="str">
            <v xml:space="preserve">Phường 5                </v>
          </cell>
          <cell r="I10962" t="str">
            <v>81901</v>
          </cell>
        </row>
        <row r="10963">
          <cell r="G10963" t="str">
            <v xml:space="preserve">Phường 8           </v>
          </cell>
          <cell r="I10963" t="str">
            <v>81901</v>
          </cell>
        </row>
        <row r="10964">
          <cell r="G10964" t="str">
            <v xml:space="preserve">Phường 6             </v>
          </cell>
          <cell r="I10964" t="str">
            <v>81901</v>
          </cell>
        </row>
        <row r="10965">
          <cell r="G10965" t="str">
            <v xml:space="preserve">Phường 4                  </v>
          </cell>
          <cell r="I10965" t="str">
            <v>81901</v>
          </cell>
        </row>
        <row r="10966">
          <cell r="G10966" t="str">
            <v xml:space="preserve">Phường 3                     </v>
          </cell>
          <cell r="I10966" t="str">
            <v>81901</v>
          </cell>
        </row>
        <row r="10967">
          <cell r="G10967" t="str">
            <v xml:space="preserve">Phường 10             </v>
          </cell>
          <cell r="I10967" t="str">
            <v>81901</v>
          </cell>
        </row>
        <row r="10968">
          <cell r="G10968" t="str">
            <v>Xã Trinh Phú</v>
          </cell>
          <cell r="I10968" t="str">
            <v>81903</v>
          </cell>
        </row>
        <row r="10969">
          <cell r="G10969" t="str">
            <v xml:space="preserve">Xã Xuân Hòa          </v>
          </cell>
          <cell r="I10969" t="str">
            <v>81903</v>
          </cell>
        </row>
        <row r="10970">
          <cell r="G10970" t="str">
            <v>Xã Ba Trinh</v>
          </cell>
          <cell r="I10970" t="str">
            <v>81903</v>
          </cell>
        </row>
        <row r="10971">
          <cell r="G10971" t="str">
            <v>Xã Kế An</v>
          </cell>
          <cell r="I10971" t="str">
            <v>81903</v>
          </cell>
        </row>
        <row r="10972">
          <cell r="G10972" t="str">
            <v>Thị trấn Kế Sách</v>
          </cell>
          <cell r="I10972" t="str">
            <v>81903</v>
          </cell>
        </row>
        <row r="10973">
          <cell r="G10973" t="str">
            <v>Thị Trấn An Lạc Thôn</v>
          </cell>
          <cell r="I10973" t="str">
            <v>81903</v>
          </cell>
        </row>
        <row r="10974">
          <cell r="G10974" t="str">
            <v xml:space="preserve">Xã Phong Nẫm  </v>
          </cell>
          <cell r="I10974" t="str">
            <v>81903</v>
          </cell>
        </row>
        <row r="10975">
          <cell r="G10975" t="str">
            <v>Xã An Lạc Tây</v>
          </cell>
          <cell r="I10975" t="str">
            <v>81903</v>
          </cell>
        </row>
        <row r="10976">
          <cell r="G10976" t="str">
            <v>Xã Thới An Hội</v>
          </cell>
          <cell r="I10976" t="str">
            <v>81903</v>
          </cell>
        </row>
        <row r="10977">
          <cell r="G10977" t="str">
            <v xml:space="preserve">Xã Nhơn Mỹ  </v>
          </cell>
          <cell r="I10977" t="str">
            <v>81903</v>
          </cell>
        </row>
        <row r="10978">
          <cell r="G10978" t="str">
            <v>Xã Kế Thành</v>
          </cell>
          <cell r="I10978" t="str">
            <v>81903</v>
          </cell>
        </row>
        <row r="10979">
          <cell r="G10979" t="str">
            <v>Xã Đại Hải</v>
          </cell>
          <cell r="I10979" t="str">
            <v>81903</v>
          </cell>
        </row>
        <row r="10980">
          <cell r="G10980" t="str">
            <v xml:space="preserve">Xã An Mỹ    </v>
          </cell>
          <cell r="I10980" t="str">
            <v>81903</v>
          </cell>
        </row>
        <row r="10981">
          <cell r="G10981" t="str">
            <v xml:space="preserve">Xã Tân Hưng              </v>
          </cell>
          <cell r="I10981" t="str">
            <v>81905</v>
          </cell>
        </row>
        <row r="10982">
          <cell r="G10982" t="str">
            <v>Thị Trấn Đại Ngãi</v>
          </cell>
          <cell r="I10982" t="str">
            <v>81905</v>
          </cell>
        </row>
        <row r="10983">
          <cell r="G10983" t="str">
            <v>Xã Trường Khánh</v>
          </cell>
          <cell r="I10983" t="str">
            <v>81905</v>
          </cell>
        </row>
        <row r="10984">
          <cell r="G10984" t="str">
            <v xml:space="preserve">Xã Long Phú  </v>
          </cell>
          <cell r="I10984" t="str">
            <v>81905</v>
          </cell>
        </row>
        <row r="10985">
          <cell r="G10985" t="str">
            <v>Thị trấn Long Phú</v>
          </cell>
          <cell r="I10985" t="str">
            <v>81905</v>
          </cell>
        </row>
        <row r="10986">
          <cell r="G10986" t="str">
            <v>Xã Song Phụng</v>
          </cell>
          <cell r="I10986" t="str">
            <v>81905</v>
          </cell>
        </row>
        <row r="10987">
          <cell r="G10987" t="str">
            <v>Xã Hậu Thạnh</v>
          </cell>
          <cell r="I10987" t="str">
            <v>81905</v>
          </cell>
        </row>
        <row r="10988">
          <cell r="G10988" t="str">
            <v xml:space="preserve">Xã Long Đức  </v>
          </cell>
          <cell r="I10988" t="str">
            <v>81905</v>
          </cell>
        </row>
        <row r="10989">
          <cell r="G10989" t="str">
            <v xml:space="preserve">Xã Phú Hữu   </v>
          </cell>
          <cell r="I10989" t="str">
            <v>81905</v>
          </cell>
        </row>
        <row r="10990">
          <cell r="G10990" t="str">
            <v>Xã Châu Khánh</v>
          </cell>
          <cell r="I10990" t="str">
            <v>81905</v>
          </cell>
        </row>
        <row r="10991">
          <cell r="G10991" t="str">
            <v xml:space="preserve">Xã Tân Thạnh     </v>
          </cell>
          <cell r="I10991" t="str">
            <v>81905</v>
          </cell>
        </row>
        <row r="10992">
          <cell r="G10992" t="str">
            <v>Thị trấn Cù Lao Dung</v>
          </cell>
          <cell r="I10992" t="str">
            <v>81906</v>
          </cell>
        </row>
        <row r="10993">
          <cell r="G10993" t="str">
            <v>Xã An Thạnh 1</v>
          </cell>
          <cell r="I10993" t="str">
            <v>81906</v>
          </cell>
        </row>
        <row r="10994">
          <cell r="G10994" t="str">
            <v>Xã An Thạnh 2</v>
          </cell>
          <cell r="I10994" t="str">
            <v>81906</v>
          </cell>
        </row>
        <row r="10995">
          <cell r="G10995" t="str">
            <v>Xã An Thạnh Tây</v>
          </cell>
          <cell r="I10995" t="str">
            <v>81906</v>
          </cell>
        </row>
        <row r="10996">
          <cell r="G10996" t="str">
            <v>Xã An Thạnh Đông</v>
          </cell>
          <cell r="I10996" t="str">
            <v>81906</v>
          </cell>
        </row>
        <row r="10997">
          <cell r="G10997" t="str">
            <v>Xã Đại ân 1</v>
          </cell>
          <cell r="I10997" t="str">
            <v>81906</v>
          </cell>
        </row>
        <row r="10998">
          <cell r="G10998" t="str">
            <v>Xã An Thạnh 3</v>
          </cell>
          <cell r="I10998" t="str">
            <v>81906</v>
          </cell>
        </row>
        <row r="10999">
          <cell r="G10999" t="str">
            <v>Xã An Thạnh Nam</v>
          </cell>
          <cell r="I10999" t="str">
            <v>81906</v>
          </cell>
        </row>
        <row r="11000">
          <cell r="G11000" t="str">
            <v xml:space="preserve">Xã Long Hưng     </v>
          </cell>
          <cell r="I11000" t="str">
            <v>81907</v>
          </cell>
        </row>
        <row r="11001">
          <cell r="G11001" t="str">
            <v>TT.Huỳnh Hữu Nghĩa</v>
          </cell>
          <cell r="I11001" t="str">
            <v>81907</v>
          </cell>
        </row>
        <row r="11002">
          <cell r="G11002" t="str">
            <v xml:space="preserve">Xã Thuận Hưng </v>
          </cell>
          <cell r="I11002" t="str">
            <v>81907</v>
          </cell>
        </row>
        <row r="11003">
          <cell r="G11003" t="str">
            <v xml:space="preserve">Xã Hưng Phú </v>
          </cell>
          <cell r="I11003" t="str">
            <v>81907</v>
          </cell>
        </row>
        <row r="11004">
          <cell r="G11004" t="str">
            <v xml:space="preserve">Xã Mỹ Hương </v>
          </cell>
          <cell r="I11004" t="str">
            <v>81907</v>
          </cell>
        </row>
        <row r="11005">
          <cell r="G11005" t="str">
            <v>Xã Mỹ Tú</v>
          </cell>
          <cell r="I11005" t="str">
            <v>81907</v>
          </cell>
        </row>
        <row r="11006">
          <cell r="G11006" t="str">
            <v xml:space="preserve">Xã Mỹ Phước   </v>
          </cell>
          <cell r="I11006" t="str">
            <v>81907</v>
          </cell>
        </row>
        <row r="11007">
          <cell r="G11007" t="str">
            <v xml:space="preserve">Xã Mỹ Thuận    </v>
          </cell>
          <cell r="I11007" t="str">
            <v>81907</v>
          </cell>
        </row>
        <row r="11008">
          <cell r="G11008" t="str">
            <v xml:space="preserve">Xã Phú Mỹ       </v>
          </cell>
          <cell r="I11008" t="str">
            <v>81907</v>
          </cell>
        </row>
        <row r="11009">
          <cell r="G11009" t="str">
            <v>Xã Tham Đôn</v>
          </cell>
          <cell r="I11009" t="str">
            <v>81909</v>
          </cell>
        </row>
        <row r="11010">
          <cell r="G11010" t="str">
            <v>Xã Gia Hòa 1</v>
          </cell>
          <cell r="I11010" t="str">
            <v>81909</v>
          </cell>
        </row>
        <row r="11011">
          <cell r="G11011" t="str">
            <v>Xã Đại Tâm</v>
          </cell>
          <cell r="I11011" t="str">
            <v>81909</v>
          </cell>
        </row>
        <row r="11012">
          <cell r="G11012" t="str">
            <v>Xã Gia Hòa 2</v>
          </cell>
          <cell r="I11012" t="str">
            <v>81909</v>
          </cell>
        </row>
        <row r="11013">
          <cell r="G11013" t="str">
            <v xml:space="preserve">Xã Thạnh Phú     </v>
          </cell>
          <cell r="I11013" t="str">
            <v>81909</v>
          </cell>
        </row>
        <row r="11014">
          <cell r="G11014" t="str">
            <v>Xã Ngọc Đông</v>
          </cell>
          <cell r="I11014" t="str">
            <v>81909</v>
          </cell>
        </row>
        <row r="11015">
          <cell r="G11015" t="str">
            <v xml:space="preserve">Xã Thạnh Quới </v>
          </cell>
          <cell r="I11015" t="str">
            <v>81909</v>
          </cell>
        </row>
        <row r="11016">
          <cell r="G11016" t="str">
            <v>Xã Hòa Tú 1</v>
          </cell>
          <cell r="I11016" t="str">
            <v>81909</v>
          </cell>
        </row>
        <row r="11017">
          <cell r="G11017" t="str">
            <v>Xã Ngọc Tố</v>
          </cell>
          <cell r="I11017" t="str">
            <v>81909</v>
          </cell>
        </row>
        <row r="11018">
          <cell r="G11018" t="str">
            <v>Xã Hòa Tú II</v>
          </cell>
          <cell r="I11018" t="str">
            <v>81909</v>
          </cell>
        </row>
        <row r="11019">
          <cell r="G11019" t="str">
            <v>Thị trấn Mỹ Xuyên</v>
          </cell>
          <cell r="I11019" t="str">
            <v>81909</v>
          </cell>
        </row>
        <row r="11020">
          <cell r="G11020" t="str">
            <v xml:space="preserve">Thị trấn Phú Lộc </v>
          </cell>
          <cell r="I11020" t="str">
            <v>81911</v>
          </cell>
        </row>
        <row r="11021">
          <cell r="G11021" t="str">
            <v xml:space="preserve">Xã Thạnh Trị    </v>
          </cell>
          <cell r="I11021" t="str">
            <v>81911</v>
          </cell>
        </row>
        <row r="11022">
          <cell r="G11022" t="str">
            <v xml:space="preserve">Xã Thạnh Tân  </v>
          </cell>
          <cell r="I11022" t="str">
            <v>81911</v>
          </cell>
        </row>
        <row r="11023">
          <cell r="G11023" t="str">
            <v>Xã Lâm Tân</v>
          </cell>
          <cell r="I11023" t="str">
            <v>81911</v>
          </cell>
        </row>
        <row r="11024">
          <cell r="G11024" t="str">
            <v>Xã Lâm Kiết</v>
          </cell>
          <cell r="I11024" t="str">
            <v>81911</v>
          </cell>
        </row>
        <row r="11025">
          <cell r="G11025" t="str">
            <v>Xã Tuân Tức</v>
          </cell>
          <cell r="I11025" t="str">
            <v>81911</v>
          </cell>
        </row>
        <row r="11026">
          <cell r="G11026" t="str">
            <v xml:space="preserve">Xã Vĩnh Thành     </v>
          </cell>
          <cell r="I11026" t="str">
            <v>81911</v>
          </cell>
        </row>
        <row r="11027">
          <cell r="G11027" t="str">
            <v xml:space="preserve">Xã Vĩnh Lợi   </v>
          </cell>
          <cell r="I11027" t="str">
            <v>81911</v>
          </cell>
        </row>
        <row r="11028">
          <cell r="G11028" t="str">
            <v xml:space="preserve">Xã Châu Hưng </v>
          </cell>
          <cell r="I11028" t="str">
            <v>81911</v>
          </cell>
        </row>
        <row r="11029">
          <cell r="G11029" t="str">
            <v>Thị Trấn Hưng Lợi</v>
          </cell>
          <cell r="I11029" t="str">
            <v>81911</v>
          </cell>
        </row>
        <row r="11030">
          <cell r="G11030" t="str">
            <v>Xã Vĩnh Quới</v>
          </cell>
          <cell r="I11030" t="str">
            <v>81912</v>
          </cell>
        </row>
        <row r="11031">
          <cell r="G11031" t="str">
            <v xml:space="preserve">Xã Mỹ Bình  </v>
          </cell>
          <cell r="I11031" t="str">
            <v>81912</v>
          </cell>
        </row>
        <row r="11032">
          <cell r="G11032" t="str">
            <v xml:space="preserve">Xã Tân Long        </v>
          </cell>
          <cell r="I11032" t="str">
            <v>81912</v>
          </cell>
        </row>
        <row r="11033">
          <cell r="G11033" t="str">
            <v xml:space="preserve">Xã Long Bình   </v>
          </cell>
          <cell r="I11033" t="str">
            <v>81912</v>
          </cell>
        </row>
        <row r="11034">
          <cell r="G11034" t="str">
            <v>Xã Mỹ Quới</v>
          </cell>
          <cell r="I11034" t="str">
            <v>81912</v>
          </cell>
        </row>
        <row r="11035">
          <cell r="G11035" t="str">
            <v xml:space="preserve">Phường 1                       </v>
          </cell>
          <cell r="I11035" t="str">
            <v>81912</v>
          </cell>
        </row>
        <row r="11036">
          <cell r="G11036" t="str">
            <v xml:space="preserve">Phường 2                      </v>
          </cell>
          <cell r="I11036" t="str">
            <v>81912</v>
          </cell>
        </row>
        <row r="11037">
          <cell r="G11037" t="str">
            <v xml:space="preserve">Phường 3                      </v>
          </cell>
          <cell r="I11037" t="str">
            <v>81912</v>
          </cell>
        </row>
        <row r="11038">
          <cell r="G11038" t="str">
            <v>Xã Lạc Hòa</v>
          </cell>
          <cell r="I11038" t="str">
            <v>81913</v>
          </cell>
        </row>
        <row r="11039">
          <cell r="G11039" t="str">
            <v xml:space="preserve">Xã Hòa Đông </v>
          </cell>
          <cell r="I11039" t="str">
            <v>81913</v>
          </cell>
        </row>
        <row r="11040">
          <cell r="G11040" t="str">
            <v xml:space="preserve">Xã Vĩnh Hải </v>
          </cell>
          <cell r="I11040" t="str">
            <v>81913</v>
          </cell>
        </row>
        <row r="11041">
          <cell r="G11041" t="str">
            <v xml:space="preserve">Xã Vĩnh Tân     </v>
          </cell>
          <cell r="I11041" t="str">
            <v>81913</v>
          </cell>
        </row>
        <row r="11042">
          <cell r="G11042" t="str">
            <v>Phường Khánh Hòa</v>
          </cell>
          <cell r="I11042" t="str">
            <v>81913</v>
          </cell>
        </row>
        <row r="11043">
          <cell r="G11043" t="str">
            <v xml:space="preserve">Xã Vĩnh Hiệp  </v>
          </cell>
          <cell r="I11043" t="str">
            <v>81913</v>
          </cell>
        </row>
        <row r="11044">
          <cell r="G11044" t="str">
            <v xml:space="preserve">Phường Vĩnh Phước </v>
          </cell>
          <cell r="I11044" t="str">
            <v>81913</v>
          </cell>
        </row>
        <row r="11045">
          <cell r="G11045" t="str">
            <v>Xã Lai Hòa</v>
          </cell>
          <cell r="I11045" t="str">
            <v>81913</v>
          </cell>
        </row>
        <row r="11046">
          <cell r="G11046" t="str">
            <v xml:space="preserve">Phường 1                        </v>
          </cell>
          <cell r="I11046" t="str">
            <v>81913</v>
          </cell>
        </row>
        <row r="11047">
          <cell r="G11047" t="str">
            <v xml:space="preserve">Phường 2                       </v>
          </cell>
          <cell r="I11047" t="str">
            <v>81913</v>
          </cell>
        </row>
        <row r="11048">
          <cell r="G11048" t="str">
            <v xml:space="preserve">Thị trấn Châu Thành   </v>
          </cell>
          <cell r="I11048" t="str">
            <v>81915</v>
          </cell>
        </row>
        <row r="11049">
          <cell r="G11049" t="str">
            <v>Xã Hồ Đắc Kiện</v>
          </cell>
          <cell r="I11049" t="str">
            <v>81915</v>
          </cell>
        </row>
        <row r="11050">
          <cell r="G11050" t="str">
            <v xml:space="preserve">Xã An Ninh    </v>
          </cell>
          <cell r="I11050" t="str">
            <v>81915</v>
          </cell>
        </row>
        <row r="11051">
          <cell r="G11051" t="str">
            <v xml:space="preserve">Xã An Hiệp     </v>
          </cell>
          <cell r="I11051" t="str">
            <v>81915</v>
          </cell>
        </row>
        <row r="11052">
          <cell r="G11052" t="str">
            <v xml:space="preserve">Xã Phú Tân   </v>
          </cell>
          <cell r="I11052" t="str">
            <v>81915</v>
          </cell>
        </row>
        <row r="11053">
          <cell r="G11053" t="str">
            <v>Xã Phú Tâm</v>
          </cell>
          <cell r="I11053" t="str">
            <v>81915</v>
          </cell>
        </row>
        <row r="11054">
          <cell r="G11054" t="str">
            <v xml:space="preserve">Xã Thiện Mỹ </v>
          </cell>
          <cell r="I11054" t="str">
            <v>81915</v>
          </cell>
        </row>
        <row r="11055">
          <cell r="G11055" t="str">
            <v xml:space="preserve">Xã Thuận Hòa     </v>
          </cell>
          <cell r="I11055" t="str">
            <v>81915</v>
          </cell>
        </row>
        <row r="11056">
          <cell r="G11056" t="str">
            <v>Xã Lịch Hội Thượng</v>
          </cell>
          <cell r="I11056" t="str">
            <v>81917</v>
          </cell>
        </row>
        <row r="11057">
          <cell r="G11057" t="str">
            <v>Xã Trung Bình</v>
          </cell>
          <cell r="I11057" t="str">
            <v>81917</v>
          </cell>
        </row>
        <row r="11058">
          <cell r="G11058" t="str">
            <v>Xã đại ân 2</v>
          </cell>
          <cell r="I11058" t="str">
            <v>81917</v>
          </cell>
        </row>
        <row r="11059">
          <cell r="G11059" t="str">
            <v>Xã Liêu Tú</v>
          </cell>
          <cell r="I11059" t="str">
            <v>81917</v>
          </cell>
        </row>
        <row r="11060">
          <cell r="G11060" t="str">
            <v>Xã Thạnh Thới An</v>
          </cell>
          <cell r="I11060" t="str">
            <v>81917</v>
          </cell>
        </row>
        <row r="11061">
          <cell r="G11061" t="str">
            <v>Xã Thạnh Thới Thuận</v>
          </cell>
          <cell r="I11061" t="str">
            <v>81917</v>
          </cell>
        </row>
        <row r="11062">
          <cell r="G11062" t="str">
            <v>Xã Tài Văn</v>
          </cell>
          <cell r="I11062" t="str">
            <v>81917</v>
          </cell>
        </row>
        <row r="11063">
          <cell r="G11063" t="str">
            <v xml:space="preserve"> Xã Viên An</v>
          </cell>
          <cell r="I11063" t="str">
            <v>81917</v>
          </cell>
        </row>
        <row r="11064">
          <cell r="G11064" t="str">
            <v>Xã Viên Bình</v>
          </cell>
          <cell r="I11064" t="str">
            <v>81917</v>
          </cell>
        </row>
        <row r="11065">
          <cell r="G11065" t="str">
            <v>Thị Trấn Lịch Hội Thượng</v>
          </cell>
          <cell r="I11065" t="str">
            <v>81917</v>
          </cell>
        </row>
        <row r="11066">
          <cell r="G11066" t="str">
            <v>Thị Trấn Trần đề</v>
          </cell>
          <cell r="I11066" t="str">
            <v>81917</v>
          </cell>
        </row>
        <row r="11067">
          <cell r="G11067" t="str">
            <v xml:space="preserve">Phường 2                        </v>
          </cell>
          <cell r="I11067" t="str">
            <v>82101</v>
          </cell>
        </row>
        <row r="11068">
          <cell r="G11068" t="str">
            <v xml:space="preserve">Phường 1                         </v>
          </cell>
          <cell r="I11068" t="str">
            <v>82101</v>
          </cell>
        </row>
        <row r="11069">
          <cell r="G11069" t="str">
            <v xml:space="preserve">Xã Vĩnh Trạch </v>
          </cell>
          <cell r="I11069" t="str">
            <v>82101</v>
          </cell>
        </row>
        <row r="11070">
          <cell r="G11070" t="str">
            <v xml:space="preserve">Phường 3                       </v>
          </cell>
          <cell r="I11070" t="str">
            <v>82101</v>
          </cell>
        </row>
        <row r="11071">
          <cell r="G11071" t="str">
            <v xml:space="preserve">Phường 5                 </v>
          </cell>
          <cell r="I11071" t="str">
            <v>82101</v>
          </cell>
        </row>
        <row r="11072">
          <cell r="G11072" t="str">
            <v xml:space="preserve">Phường 7             </v>
          </cell>
          <cell r="I11072" t="str">
            <v>82101</v>
          </cell>
        </row>
        <row r="11073">
          <cell r="G11073" t="str">
            <v xml:space="preserve">Phường 8            </v>
          </cell>
          <cell r="I11073" t="str">
            <v>82101</v>
          </cell>
        </row>
        <row r="11074">
          <cell r="G11074" t="str">
            <v>Phường Nhà Mát</v>
          </cell>
          <cell r="I11074" t="str">
            <v>82101</v>
          </cell>
        </row>
        <row r="11075">
          <cell r="G11075" t="str">
            <v>Xã Vĩnh Trạch Đông</v>
          </cell>
          <cell r="I11075" t="str">
            <v>82101</v>
          </cell>
        </row>
        <row r="11076">
          <cell r="G11076" t="str">
            <v>Xã Hiệp Thành</v>
          </cell>
          <cell r="I11076" t="str">
            <v>82101</v>
          </cell>
        </row>
        <row r="11077">
          <cell r="G11077" t="str">
            <v>Xã Ninh Quới A</v>
          </cell>
          <cell r="I11077" t="str">
            <v>82103</v>
          </cell>
        </row>
        <row r="11078">
          <cell r="G11078" t="str">
            <v>Xã Ninh Quới</v>
          </cell>
          <cell r="I11078" t="str">
            <v>82103</v>
          </cell>
        </row>
        <row r="11079">
          <cell r="G11079" t="str">
            <v xml:space="preserve">Xã Vĩnh Lộc  </v>
          </cell>
          <cell r="I11079" t="str">
            <v>82103</v>
          </cell>
        </row>
        <row r="11080">
          <cell r="G11080" t="str">
            <v>Thị trấn Ngan Dừa</v>
          </cell>
          <cell r="I11080" t="str">
            <v>82103</v>
          </cell>
        </row>
        <row r="11081">
          <cell r="G11081" t="str">
            <v xml:space="preserve">Xã Ninh Hòa  </v>
          </cell>
          <cell r="I11081" t="str">
            <v>82103</v>
          </cell>
        </row>
        <row r="11082">
          <cell r="G11082" t="str">
            <v xml:space="preserve">Xã Lộc Ninh  </v>
          </cell>
          <cell r="I11082" t="str">
            <v>82103</v>
          </cell>
        </row>
        <row r="11083">
          <cell r="G11083" t="str">
            <v xml:space="preserve">Xã Vĩnh Lộc A </v>
          </cell>
          <cell r="I11083" t="str">
            <v>82103</v>
          </cell>
        </row>
        <row r="11084">
          <cell r="G11084" t="str">
            <v>Xã Ninh Thạnh Lợi</v>
          </cell>
          <cell r="I11084" t="str">
            <v>82103</v>
          </cell>
        </row>
        <row r="11085">
          <cell r="G11085" t="str">
            <v>Xã Ninh Thạnh Lợi A</v>
          </cell>
          <cell r="I11085" t="str">
            <v>82103</v>
          </cell>
        </row>
        <row r="11086">
          <cell r="G11086" t="str">
            <v>Xã Châu Hưng A</v>
          </cell>
          <cell r="I11086" t="str">
            <v>82105</v>
          </cell>
        </row>
        <row r="11087">
          <cell r="G11087" t="str">
            <v xml:space="preserve">Xã Long Thạnh   </v>
          </cell>
          <cell r="I11087" t="str">
            <v>82105</v>
          </cell>
        </row>
        <row r="11088">
          <cell r="G11088" t="str">
            <v xml:space="preserve">Xã Vĩnh Hưng </v>
          </cell>
          <cell r="I11088" t="str">
            <v>82105</v>
          </cell>
        </row>
        <row r="11089">
          <cell r="G11089" t="str">
            <v>Xã Vĩnh Hưng A</v>
          </cell>
          <cell r="I11089" t="str">
            <v>82105</v>
          </cell>
        </row>
        <row r="11090">
          <cell r="G11090" t="str">
            <v>Thị trấn Châu Hưng</v>
          </cell>
          <cell r="I11090" t="str">
            <v>82105</v>
          </cell>
        </row>
        <row r="11091">
          <cell r="G11091" t="str">
            <v>Xã Hưng Thành</v>
          </cell>
          <cell r="I11091" t="str">
            <v>82105</v>
          </cell>
        </row>
        <row r="11092">
          <cell r="G11092" t="str">
            <v>Xã Hưng Hội</v>
          </cell>
          <cell r="I11092" t="str">
            <v>82105</v>
          </cell>
        </row>
        <row r="11093">
          <cell r="G11093" t="str">
            <v>Xã Châu Thới</v>
          </cell>
          <cell r="I11093" t="str">
            <v>82105</v>
          </cell>
        </row>
        <row r="11094">
          <cell r="G11094" t="str">
            <v xml:space="preserve">Thị trấn Hòa Bình </v>
          </cell>
          <cell r="I11094" t="str">
            <v>82106</v>
          </cell>
        </row>
        <row r="11095">
          <cell r="G11095" t="str">
            <v>Xã Minh Diệu</v>
          </cell>
          <cell r="I11095" t="str">
            <v>82106</v>
          </cell>
        </row>
        <row r="11096">
          <cell r="G11096" t="str">
            <v xml:space="preserve">Xã Vĩnh Bình    </v>
          </cell>
          <cell r="I11096" t="str">
            <v>82106</v>
          </cell>
        </row>
        <row r="11097">
          <cell r="G11097" t="str">
            <v>Xã Vĩnh Mỹ B</v>
          </cell>
          <cell r="I11097" t="str">
            <v>82106</v>
          </cell>
        </row>
        <row r="11098">
          <cell r="G11098" t="str">
            <v xml:space="preserve">Xã Vĩnh Hậu </v>
          </cell>
          <cell r="I11098" t="str">
            <v>82106</v>
          </cell>
        </row>
        <row r="11099">
          <cell r="G11099" t="str">
            <v>Xã Vĩnh Mỹ A</v>
          </cell>
          <cell r="I11099" t="str">
            <v>82106</v>
          </cell>
        </row>
        <row r="11100">
          <cell r="G11100" t="str">
            <v xml:space="preserve">Xã Vĩnh Thịnh   </v>
          </cell>
          <cell r="I11100" t="str">
            <v>82106</v>
          </cell>
        </row>
        <row r="11101">
          <cell r="G11101" t="str">
            <v>Xã Vĩnh Hậu A</v>
          </cell>
          <cell r="I11101" t="str">
            <v>82106</v>
          </cell>
        </row>
        <row r="11102">
          <cell r="G11102" t="str">
            <v xml:space="preserve">Xã Tân Phong         </v>
          </cell>
          <cell r="I11102" t="str">
            <v>82107</v>
          </cell>
        </row>
        <row r="11103">
          <cell r="G11103" t="str">
            <v>Phường Láng Tròn</v>
          </cell>
          <cell r="I11103" t="str">
            <v>82107</v>
          </cell>
        </row>
        <row r="11104">
          <cell r="G11104" t="str">
            <v>Xã Phong Thạnh Tây</v>
          </cell>
          <cell r="I11104" t="str">
            <v>82107</v>
          </cell>
        </row>
        <row r="11105">
          <cell r="G11105" t="str">
            <v xml:space="preserve">Phường 1                          </v>
          </cell>
          <cell r="I11105" t="str">
            <v>82107</v>
          </cell>
        </row>
        <row r="11106">
          <cell r="G11106" t="str">
            <v>Phường Hộ Phòng</v>
          </cell>
          <cell r="I11106" t="str">
            <v>82107</v>
          </cell>
        </row>
        <row r="11107">
          <cell r="G11107" t="str">
            <v>Xã Phong Thạnh Đông</v>
          </cell>
          <cell r="I11107" t="str">
            <v>82107</v>
          </cell>
        </row>
        <row r="11108">
          <cell r="G11108" t="str">
            <v>Xã Phong Tân</v>
          </cell>
          <cell r="I11108" t="str">
            <v>82107</v>
          </cell>
        </row>
        <row r="11109">
          <cell r="G11109" t="str">
            <v xml:space="preserve">Xã Phong Thạnh </v>
          </cell>
          <cell r="I11109" t="str">
            <v>82107</v>
          </cell>
        </row>
        <row r="11110">
          <cell r="G11110" t="str">
            <v>Xã Phong Thạnh A</v>
          </cell>
          <cell r="I11110" t="str">
            <v>82107</v>
          </cell>
        </row>
        <row r="11111">
          <cell r="G11111" t="str">
            <v xml:space="preserve">Xã Tân Thạnh      </v>
          </cell>
          <cell r="I11111" t="str">
            <v>82107</v>
          </cell>
        </row>
        <row r="11112">
          <cell r="G11112" t="str">
            <v>Xã Phong Thạnh Tây B</v>
          </cell>
          <cell r="I11112" t="str">
            <v>82109</v>
          </cell>
        </row>
        <row r="11113">
          <cell r="G11113" t="str">
            <v>Xã Vĩnh Phú Đông</v>
          </cell>
          <cell r="I11113" t="str">
            <v>82109</v>
          </cell>
        </row>
        <row r="11114">
          <cell r="G11114" t="str">
            <v>Xã Phong Thạnh Tây A</v>
          </cell>
          <cell r="I11114" t="str">
            <v>82109</v>
          </cell>
        </row>
        <row r="11115">
          <cell r="G11115" t="str">
            <v>Thị trấn Phước Long</v>
          </cell>
          <cell r="I11115" t="str">
            <v>82109</v>
          </cell>
        </row>
        <row r="11116">
          <cell r="G11116" t="str">
            <v>Xã Vĩnh Phú Tây</v>
          </cell>
          <cell r="I11116" t="str">
            <v>82109</v>
          </cell>
        </row>
        <row r="11117">
          <cell r="G11117" t="str">
            <v xml:space="preserve">Xã Phước Long </v>
          </cell>
          <cell r="I11117" t="str">
            <v>82109</v>
          </cell>
        </row>
        <row r="11118">
          <cell r="G11118" t="str">
            <v xml:space="preserve">Xã Hưng Phú  </v>
          </cell>
          <cell r="I11118" t="str">
            <v>82109</v>
          </cell>
        </row>
        <row r="11119">
          <cell r="G11119" t="str">
            <v xml:space="preserve">Xã Vĩnh Thanh </v>
          </cell>
          <cell r="I11119" t="str">
            <v>82109</v>
          </cell>
        </row>
        <row r="11120">
          <cell r="G11120" t="str">
            <v>Xã An Phúc</v>
          </cell>
          <cell r="I11120" t="str">
            <v>82111</v>
          </cell>
        </row>
        <row r="11121">
          <cell r="G11121" t="str">
            <v>Xã Long Điền</v>
          </cell>
          <cell r="I11121" t="str">
            <v>82111</v>
          </cell>
        </row>
        <row r="11122">
          <cell r="G11122" t="str">
            <v xml:space="preserve">Xã Định Thành   </v>
          </cell>
          <cell r="I11122" t="str">
            <v>82111</v>
          </cell>
        </row>
        <row r="11123">
          <cell r="G11123" t="str">
            <v>Thị trấn Gành Hào</v>
          </cell>
          <cell r="I11123" t="str">
            <v>82111</v>
          </cell>
        </row>
        <row r="11124">
          <cell r="G11124" t="str">
            <v>Xã Long Điền Đông</v>
          </cell>
          <cell r="I11124" t="str">
            <v>82111</v>
          </cell>
        </row>
        <row r="11125">
          <cell r="G11125" t="str">
            <v>Xã Long Điền Đông A</v>
          </cell>
          <cell r="I11125" t="str">
            <v>82111</v>
          </cell>
        </row>
        <row r="11126">
          <cell r="G11126" t="str">
            <v>Xã Long Điền Tây</v>
          </cell>
          <cell r="I11126" t="str">
            <v>82111</v>
          </cell>
        </row>
        <row r="11127">
          <cell r="G11127" t="str">
            <v>Xã An Trạch</v>
          </cell>
          <cell r="I11127" t="str">
            <v>82111</v>
          </cell>
        </row>
        <row r="11128">
          <cell r="G11128" t="str">
            <v>Xã Định Thành A</v>
          </cell>
          <cell r="I11128" t="str">
            <v>82111</v>
          </cell>
        </row>
        <row r="11129">
          <cell r="G11129" t="str">
            <v>Xã An Trạch A</v>
          </cell>
          <cell r="I11129" t="str">
            <v>82111</v>
          </cell>
        </row>
        <row r="11130">
          <cell r="G11130" t="str">
            <v xml:space="preserve">Xã Điền Hải </v>
          </cell>
          <cell r="I11130" t="str">
            <v>82111</v>
          </cell>
        </row>
        <row r="11131">
          <cell r="G11131" t="str">
            <v xml:space="preserve">Phường 5                  </v>
          </cell>
          <cell r="I11131" t="str">
            <v>82301</v>
          </cell>
        </row>
        <row r="11132">
          <cell r="G11132" t="str">
            <v>Xã Lý Văn Lâm</v>
          </cell>
          <cell r="I11132" t="str">
            <v>82301</v>
          </cell>
        </row>
        <row r="11133">
          <cell r="G11133" t="str">
            <v xml:space="preserve">Phường 9           </v>
          </cell>
          <cell r="I11133" t="str">
            <v>82301</v>
          </cell>
        </row>
        <row r="11134">
          <cell r="G11134" t="str">
            <v xml:space="preserve">Phường 4                   </v>
          </cell>
          <cell r="I11134" t="str">
            <v>82301</v>
          </cell>
        </row>
        <row r="11135">
          <cell r="G11135" t="str">
            <v xml:space="preserve">Phường 1                          </v>
          </cell>
          <cell r="I11135" t="str">
            <v>82301</v>
          </cell>
        </row>
        <row r="11136">
          <cell r="G11136" t="str">
            <v xml:space="preserve">Phường 2                         </v>
          </cell>
          <cell r="I11136" t="str">
            <v>82301</v>
          </cell>
        </row>
        <row r="11137">
          <cell r="G11137" t="str">
            <v xml:space="preserve">Phường 8             </v>
          </cell>
          <cell r="I11137" t="str">
            <v>82301</v>
          </cell>
        </row>
        <row r="11138">
          <cell r="G11138" t="str">
            <v xml:space="preserve">Phường 6              </v>
          </cell>
          <cell r="I11138" t="str">
            <v>82301</v>
          </cell>
        </row>
        <row r="11139">
          <cell r="G11139" t="str">
            <v xml:space="preserve">Phường 7              </v>
          </cell>
          <cell r="I11139" t="str">
            <v>82301</v>
          </cell>
        </row>
        <row r="11140">
          <cell r="G11140" t="str">
            <v>Xã An Xuyên</v>
          </cell>
          <cell r="I11140" t="str">
            <v>82301</v>
          </cell>
        </row>
        <row r="11141">
          <cell r="G11141" t="str">
            <v xml:space="preserve">Xã Tân Thành                           </v>
          </cell>
          <cell r="I11141" t="str">
            <v>82301</v>
          </cell>
        </row>
        <row r="11142">
          <cell r="G11142" t="str">
            <v>Xã Tắc Vân</v>
          </cell>
          <cell r="I11142" t="str">
            <v>82301</v>
          </cell>
        </row>
        <row r="11143">
          <cell r="G11143" t="str">
            <v xml:space="preserve">Xã Định Bình </v>
          </cell>
          <cell r="I11143" t="str">
            <v>82301</v>
          </cell>
        </row>
        <row r="11144">
          <cell r="G11144" t="str">
            <v xml:space="preserve">Xã Hòa Thành   </v>
          </cell>
          <cell r="I11144" t="str">
            <v>82301</v>
          </cell>
        </row>
        <row r="11145">
          <cell r="G11145" t="str">
            <v xml:space="preserve">Xã Hòa Tân   </v>
          </cell>
          <cell r="I11145" t="str">
            <v>82301</v>
          </cell>
        </row>
        <row r="11146">
          <cell r="G11146" t="str">
            <v>Phường Tân Xuyên</v>
          </cell>
          <cell r="I11146" t="str">
            <v>82301</v>
          </cell>
        </row>
        <row r="11147">
          <cell r="G11147" t="str">
            <v xml:space="preserve">Phường Tân Thành     </v>
          </cell>
          <cell r="I11147" t="str">
            <v>82301</v>
          </cell>
        </row>
        <row r="11148">
          <cell r="G11148" t="str">
            <v xml:space="preserve">Xã Tân Lộc  </v>
          </cell>
          <cell r="I11148" t="str">
            <v>82303</v>
          </cell>
        </row>
        <row r="11149">
          <cell r="G11149" t="str">
            <v>Thị trấn Thới Bình</v>
          </cell>
          <cell r="I11149" t="str">
            <v>82303</v>
          </cell>
        </row>
        <row r="11150">
          <cell r="G11150" t="str">
            <v>Xã Biển Bạch</v>
          </cell>
          <cell r="I11150" t="str">
            <v>82303</v>
          </cell>
        </row>
        <row r="11151">
          <cell r="G11151" t="str">
            <v>Xã Trí Phải</v>
          </cell>
          <cell r="I11151" t="str">
            <v>82303</v>
          </cell>
        </row>
        <row r="11152">
          <cell r="G11152" t="str">
            <v>Xã Biển Bạch Đông</v>
          </cell>
          <cell r="I11152" t="str">
            <v>82303</v>
          </cell>
        </row>
        <row r="11153">
          <cell r="G11153" t="str">
            <v>Xã Thới Bình</v>
          </cell>
          <cell r="I11153" t="str">
            <v>82303</v>
          </cell>
        </row>
        <row r="11154">
          <cell r="G11154" t="str">
            <v xml:space="preserve">Xã Tân Phú              </v>
          </cell>
          <cell r="I11154" t="str">
            <v>82303</v>
          </cell>
        </row>
        <row r="11155">
          <cell r="G11155" t="str">
            <v>Xã Tân Lộc Bắc</v>
          </cell>
          <cell r="I11155" t="str">
            <v>82303</v>
          </cell>
        </row>
        <row r="11156">
          <cell r="G11156" t="str">
            <v>Xã Tân Lộc Đông</v>
          </cell>
          <cell r="I11156" t="str">
            <v>82303</v>
          </cell>
        </row>
        <row r="11157">
          <cell r="G11157" t="str">
            <v>Xã Hồ Thị Kỷ</v>
          </cell>
          <cell r="I11157" t="str">
            <v>82303</v>
          </cell>
        </row>
        <row r="11158">
          <cell r="G11158" t="str">
            <v>Xã Trí Lực</v>
          </cell>
          <cell r="I11158" t="str">
            <v>82303</v>
          </cell>
        </row>
        <row r="11159">
          <cell r="G11159" t="str">
            <v>Xã Tân Bằng</v>
          </cell>
          <cell r="I11159" t="str">
            <v>82303</v>
          </cell>
        </row>
        <row r="11160">
          <cell r="G11160" t="str">
            <v xml:space="preserve">Xã Khánh An  </v>
          </cell>
          <cell r="I11160" t="str">
            <v>82305</v>
          </cell>
        </row>
        <row r="11161">
          <cell r="G11161" t="str">
            <v>Thị trấn U Minh</v>
          </cell>
          <cell r="I11161" t="str">
            <v>82305</v>
          </cell>
        </row>
        <row r="11162">
          <cell r="G11162" t="str">
            <v xml:space="preserve">Xã Khánh Hòa   </v>
          </cell>
          <cell r="I11162" t="str">
            <v>82305</v>
          </cell>
        </row>
        <row r="11163">
          <cell r="G11163" t="str">
            <v>Xã Khánh Tiến</v>
          </cell>
          <cell r="I11163" t="str">
            <v>82305</v>
          </cell>
        </row>
        <row r="11164">
          <cell r="G11164" t="str">
            <v>Xã Nguyễn Phích</v>
          </cell>
          <cell r="I11164" t="str">
            <v>82305</v>
          </cell>
        </row>
        <row r="11165">
          <cell r="G11165" t="str">
            <v>Xã Khánh Lâm</v>
          </cell>
          <cell r="I11165" t="str">
            <v>82305</v>
          </cell>
        </row>
        <row r="11166">
          <cell r="G11166" t="str">
            <v xml:space="preserve">Xã Khánh Hội </v>
          </cell>
          <cell r="I11166" t="str">
            <v>82305</v>
          </cell>
        </row>
        <row r="11167">
          <cell r="G11167" t="str">
            <v>Xã Khánh Thuận</v>
          </cell>
          <cell r="I11167" t="str">
            <v>82305</v>
          </cell>
        </row>
        <row r="11168">
          <cell r="G11168" t="str">
            <v xml:space="preserve">Xã Khánh Hưng </v>
          </cell>
          <cell r="I11168" t="str">
            <v>82307</v>
          </cell>
        </row>
        <row r="11169">
          <cell r="G11169" t="str">
            <v>Thị trấn Trần Văn Thời</v>
          </cell>
          <cell r="I11169" t="str">
            <v>82307</v>
          </cell>
        </row>
        <row r="11170">
          <cell r="G11170" t="str">
            <v>Thị trấn Sông Đốc</v>
          </cell>
          <cell r="I11170" t="str">
            <v>82307</v>
          </cell>
        </row>
        <row r="11171">
          <cell r="G11171" t="str">
            <v>Xã Khánh Bình Tây Bắc</v>
          </cell>
          <cell r="I11171" t="str">
            <v>82307</v>
          </cell>
        </row>
        <row r="11172">
          <cell r="G11172" t="str">
            <v>Xã Khánh Bình Tây</v>
          </cell>
          <cell r="I11172" t="str">
            <v>82307</v>
          </cell>
        </row>
        <row r="11173">
          <cell r="G11173" t="str">
            <v>Xã Trần Hợi</v>
          </cell>
          <cell r="I11173" t="str">
            <v>82307</v>
          </cell>
        </row>
        <row r="11174">
          <cell r="G11174" t="str">
            <v xml:space="preserve">Xã Khánh Bình  </v>
          </cell>
          <cell r="I11174" t="str">
            <v>82307</v>
          </cell>
        </row>
        <row r="11175">
          <cell r="G11175" t="str">
            <v>Xã Khánh Bình Đông</v>
          </cell>
          <cell r="I11175" t="str">
            <v>82307</v>
          </cell>
        </row>
        <row r="11176">
          <cell r="G11176" t="str">
            <v xml:space="preserve">Xã Khánh Hải </v>
          </cell>
          <cell r="I11176" t="str">
            <v>82307</v>
          </cell>
        </row>
        <row r="11177">
          <cell r="G11177" t="str">
            <v>Xã Lợi An</v>
          </cell>
          <cell r="I11177" t="str">
            <v>82307</v>
          </cell>
        </row>
        <row r="11178">
          <cell r="G11178" t="str">
            <v>Xã Phong Lạc</v>
          </cell>
          <cell r="I11178" t="str">
            <v>82307</v>
          </cell>
        </row>
        <row r="11179">
          <cell r="G11179" t="str">
            <v>Xã Phong Điền</v>
          </cell>
          <cell r="I11179" t="str">
            <v>82307</v>
          </cell>
        </row>
        <row r="11180">
          <cell r="G11180" t="str">
            <v xml:space="preserve">Xã Khánh Lộc </v>
          </cell>
          <cell r="I11180" t="str">
            <v>82307</v>
          </cell>
        </row>
        <row r="11181">
          <cell r="G11181" t="str">
            <v xml:space="preserve">Xã Phú Tân    </v>
          </cell>
          <cell r="I11181" t="str">
            <v>82308</v>
          </cell>
        </row>
        <row r="11182">
          <cell r="G11182" t="str">
            <v>Xã Việt Thắng</v>
          </cell>
          <cell r="I11182" t="str">
            <v>82308</v>
          </cell>
        </row>
        <row r="11183">
          <cell r="G11183" t="str">
            <v>Thị trấn Cái Đôi Vàm</v>
          </cell>
          <cell r="I11183" t="str">
            <v>82308</v>
          </cell>
        </row>
        <row r="11184">
          <cell r="G11184" t="str">
            <v xml:space="preserve">Xã Phú Mỹ        </v>
          </cell>
          <cell r="I11184" t="str">
            <v>82308</v>
          </cell>
        </row>
        <row r="11185">
          <cell r="G11185" t="str">
            <v xml:space="preserve">Xã Tân Hải   </v>
          </cell>
          <cell r="I11185" t="str">
            <v>82308</v>
          </cell>
        </row>
        <row r="11186">
          <cell r="G11186" t="str">
            <v>Xã Tân Hưng Tây</v>
          </cell>
          <cell r="I11186" t="str">
            <v>82308</v>
          </cell>
        </row>
        <row r="11187">
          <cell r="G11187" t="str">
            <v>Xã Nguyễn Việt Khái</v>
          </cell>
          <cell r="I11187" t="str">
            <v>82308</v>
          </cell>
        </row>
        <row r="11188">
          <cell r="G11188" t="str">
            <v>xã Rạch Chèo</v>
          </cell>
          <cell r="I11188" t="str">
            <v>82308</v>
          </cell>
        </row>
        <row r="11189">
          <cell r="G11189" t="str">
            <v xml:space="preserve">xã Phú Thuận   </v>
          </cell>
          <cell r="I11189" t="str">
            <v>82308</v>
          </cell>
        </row>
        <row r="11190">
          <cell r="G11190" t="str">
            <v>Xã Đông Thới</v>
          </cell>
          <cell r="I11190" t="str">
            <v>82309</v>
          </cell>
        </row>
        <row r="11191">
          <cell r="G11191" t="str">
            <v xml:space="preserve">Xã Tân Hưng               </v>
          </cell>
          <cell r="I11191" t="str">
            <v>82309</v>
          </cell>
        </row>
        <row r="11192">
          <cell r="G11192" t="str">
            <v>Xã Trần Thới</v>
          </cell>
          <cell r="I11192" t="str">
            <v>82309</v>
          </cell>
        </row>
        <row r="11193">
          <cell r="G11193" t="str">
            <v>Thị trấn Cái Nước</v>
          </cell>
          <cell r="I11193" t="str">
            <v>82309</v>
          </cell>
        </row>
        <row r="11194">
          <cell r="G11194" t="str">
            <v>Xã Lương Thế Trân</v>
          </cell>
          <cell r="I11194" t="str">
            <v>82309</v>
          </cell>
        </row>
        <row r="11195">
          <cell r="G11195" t="str">
            <v xml:space="preserve">Xã Phú Hưng  </v>
          </cell>
          <cell r="I11195" t="str">
            <v>82309</v>
          </cell>
        </row>
        <row r="11196">
          <cell r="G11196" t="str">
            <v xml:space="preserve">Xã Hưng Mỹ  </v>
          </cell>
          <cell r="I11196" t="str">
            <v>82309</v>
          </cell>
        </row>
        <row r="11197">
          <cell r="G11197" t="str">
            <v>Xã Tân Hưng Đông</v>
          </cell>
          <cell r="I11197" t="str">
            <v>82309</v>
          </cell>
        </row>
        <row r="11198">
          <cell r="G11198" t="str">
            <v xml:space="preserve">Xã Thạnh Phú      </v>
          </cell>
          <cell r="I11198" t="str">
            <v>82309</v>
          </cell>
        </row>
        <row r="11199">
          <cell r="G11199" t="str">
            <v xml:space="preserve">Xã Hòa Mỹ </v>
          </cell>
          <cell r="I11199" t="str">
            <v>82309</v>
          </cell>
        </row>
        <row r="11200">
          <cell r="G11200" t="str">
            <v xml:space="preserve">Xã Đông Hưng    </v>
          </cell>
          <cell r="I11200" t="str">
            <v>82309</v>
          </cell>
        </row>
        <row r="11201">
          <cell r="G11201" t="str">
            <v>Xã Quách Phẩm Bắc</v>
          </cell>
          <cell r="I11201" t="str">
            <v>82311</v>
          </cell>
        </row>
        <row r="11202">
          <cell r="G11202" t="str">
            <v>Xã Trần Phán</v>
          </cell>
          <cell r="I11202" t="str">
            <v>82311</v>
          </cell>
        </row>
        <row r="11203">
          <cell r="G11203" t="str">
            <v>Xã Tân Duyệt</v>
          </cell>
          <cell r="I11203" t="str">
            <v>82311</v>
          </cell>
        </row>
        <row r="11204">
          <cell r="G11204" t="str">
            <v xml:space="preserve">Xã Thanh Tùng  </v>
          </cell>
          <cell r="I11204" t="str">
            <v>82311</v>
          </cell>
        </row>
        <row r="11205">
          <cell r="G11205" t="str">
            <v>Thị trấn Đầm Dơi</v>
          </cell>
          <cell r="I11205" t="str">
            <v>82311</v>
          </cell>
        </row>
        <row r="11206">
          <cell r="G11206" t="str">
            <v>Xã Tạ An Khương</v>
          </cell>
          <cell r="I11206" t="str">
            <v>82311</v>
          </cell>
        </row>
        <row r="11207">
          <cell r="G11207" t="str">
            <v>Xã Tạ An Khương Đông</v>
          </cell>
          <cell r="I11207" t="str">
            <v>82311</v>
          </cell>
        </row>
        <row r="11208">
          <cell r="G11208" t="str">
            <v xml:space="preserve">Xã Tân Đức   </v>
          </cell>
          <cell r="I11208" t="str">
            <v>82311</v>
          </cell>
        </row>
        <row r="11209">
          <cell r="G11209" t="str">
            <v xml:space="preserve">Xã Tân Thuận  </v>
          </cell>
          <cell r="I11209" t="str">
            <v>82311</v>
          </cell>
        </row>
        <row r="11210">
          <cell r="G11210" t="str">
            <v>Xã Tạ An Khương Nam</v>
          </cell>
          <cell r="I11210" t="str">
            <v>82311</v>
          </cell>
        </row>
        <row r="11211">
          <cell r="G11211" t="str">
            <v xml:space="preserve">Xã Tân Tiến                 </v>
          </cell>
          <cell r="I11211" t="str">
            <v>82311</v>
          </cell>
        </row>
        <row r="11212">
          <cell r="G11212" t="str">
            <v>Xã Quách Phẩm</v>
          </cell>
          <cell r="I11212" t="str">
            <v>82311</v>
          </cell>
        </row>
        <row r="11213">
          <cell r="G11213" t="str">
            <v>Xã Nguyễn Huân</v>
          </cell>
          <cell r="I11213" t="str">
            <v>82311</v>
          </cell>
        </row>
        <row r="11214">
          <cell r="G11214" t="str">
            <v>Xã Ngọc Chánh</v>
          </cell>
          <cell r="I11214" t="str">
            <v>82311</v>
          </cell>
        </row>
        <row r="11215">
          <cell r="G11215" t="str">
            <v xml:space="preserve">Xã Tân Dân         </v>
          </cell>
          <cell r="I11215" t="str">
            <v>82311</v>
          </cell>
        </row>
        <row r="11216">
          <cell r="G11216" t="str">
            <v xml:space="preserve">Xã Tân Trung    </v>
          </cell>
          <cell r="I11216" t="str">
            <v>82311</v>
          </cell>
        </row>
        <row r="11217">
          <cell r="G11217" t="str">
            <v>Xã Hiệp Tùng</v>
          </cell>
          <cell r="I11217" t="str">
            <v>82312</v>
          </cell>
        </row>
        <row r="11218">
          <cell r="G11218" t="str">
            <v>Xã Tam Giang Đông</v>
          </cell>
          <cell r="I11218" t="str">
            <v>82312</v>
          </cell>
        </row>
        <row r="11219">
          <cell r="G11219" t="str">
            <v>Thị trấn Năm Căn</v>
          </cell>
          <cell r="I11219" t="str">
            <v>82312</v>
          </cell>
        </row>
        <row r="11220">
          <cell r="G11220" t="str">
            <v>Xã Hàm Rồng</v>
          </cell>
          <cell r="I11220" t="str">
            <v>82312</v>
          </cell>
        </row>
        <row r="11221">
          <cell r="G11221" t="str">
            <v>Xã Đất Mới</v>
          </cell>
          <cell r="I11221" t="str">
            <v>82312</v>
          </cell>
        </row>
        <row r="11222">
          <cell r="G11222" t="str">
            <v>Xã Hàng Vịnh</v>
          </cell>
          <cell r="I11222" t="str">
            <v>82312</v>
          </cell>
        </row>
        <row r="11223">
          <cell r="G11223" t="str">
            <v xml:space="preserve">Xã Tam Giang   </v>
          </cell>
          <cell r="I11223" t="str">
            <v>82312</v>
          </cell>
        </row>
        <row r="11224">
          <cell r="G11224" t="str">
            <v>Xã Lâm Hải</v>
          </cell>
          <cell r="I11224" t="str">
            <v>82312</v>
          </cell>
        </row>
        <row r="11225">
          <cell r="G11225" t="str">
            <v>Xã Tân ân Tây</v>
          </cell>
          <cell r="I11225" t="str">
            <v>82313</v>
          </cell>
        </row>
        <row r="11226">
          <cell r="G11226" t="str">
            <v>Xã Đất Mũi</v>
          </cell>
          <cell r="I11226" t="str">
            <v>82313</v>
          </cell>
        </row>
        <row r="11227">
          <cell r="G11227" t="str">
            <v>Xã Tam Giang Tây</v>
          </cell>
          <cell r="I11227" t="str">
            <v>82313</v>
          </cell>
        </row>
        <row r="11228">
          <cell r="G11228" t="str">
            <v>Xã Viên An Đông</v>
          </cell>
          <cell r="I11228" t="str">
            <v>82313</v>
          </cell>
        </row>
        <row r="11229">
          <cell r="G11229" t="str">
            <v xml:space="preserve">Xã Viên An </v>
          </cell>
          <cell r="I11229" t="str">
            <v>82313</v>
          </cell>
        </row>
        <row r="11230">
          <cell r="G11230" t="str">
            <v xml:space="preserve">Xã Tân ân </v>
          </cell>
          <cell r="I11230" t="str">
            <v>82313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05-3BK-TNCN"/>
      <sheetName val="Data"/>
      <sheetName val="HDSD"/>
      <sheetName val="Bang_Ke_05_3_QTT-GIACANH"/>
      <sheetName val="Danh sách thép"/>
      <sheetName val="PL 1020-16 TG"/>
      <sheetName val="INNOVA"/>
      <sheetName val="HSXL"/>
      <sheetName val="CP suamaybom"/>
      <sheetName val="Giá TB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Danh_sách_thép"/>
      <sheetName val="PL_1020-16_TG"/>
      <sheetName val="CP_suamaybom"/>
      <sheetName val="Giá_TB"/>
      <sheetName val="Lcau_-_Lxuc"/>
      <sheetName val="Danh_sách_thép1"/>
      <sheetName val="PL_1020-16_TG1"/>
      <sheetName val="CP_suamaybom1"/>
      <sheetName val="Giá_TB1"/>
      <sheetName val="Lcau_-_Lxuc1"/>
      <sheetName val="#REF"/>
    </sheetNames>
    <sheetDataSet>
      <sheetData sheetId="0" refreshError="1"/>
      <sheetData sheetId="1" refreshError="1"/>
      <sheetData sheetId="2" refreshError="1">
        <row r="4">
          <cell r="B4" t="str">
            <v>An Giang</v>
          </cell>
          <cell r="J4" t="str">
            <v>Việt Nam</v>
          </cell>
          <cell r="L4" t="str">
            <v>Con</v>
          </cell>
        </row>
        <row r="5">
          <cell r="J5" t="str">
            <v>Khác</v>
          </cell>
          <cell r="L5" t="str">
            <v>Vợ/chồng</v>
          </cell>
        </row>
        <row r="6">
          <cell r="L6" t="str">
            <v>Cha/mẹ</v>
          </cell>
        </row>
        <row r="7">
          <cell r="L7" t="str">
            <v>Khác</v>
          </cell>
        </row>
      </sheetData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Bank account"/>
      <sheetName val="end of month"/>
      <sheetName val="by cash"/>
      <sheetName val="by cash (2)"/>
      <sheetName val="OTSW"/>
      <sheetName val="Check luong 13"/>
      <sheetName val="Lương vùng F0,F1 (2)"/>
      <sheetName val="Sales Incentive Official 11.21"/>
      <sheetName val="PP incentive"/>
      <sheetName val="TIME TABLE 11.2021"/>
      <sheetName val="TIME TABLE 12.1.202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BankTransfer"/>
      <sheetName val="Payroll"/>
      <sheetName val="Special case"/>
      <sheetName val="OT"/>
      <sheetName val="Sheet1"/>
      <sheetName val="Sheet2"/>
      <sheetName val="OT DETAIL"/>
      <sheetName val="Sheet3"/>
      <sheetName val="Bank account"/>
      <sheetName val="Sheet4"/>
      <sheetName val="Payroll- SEPTEMBER  2015-Master"/>
      <sheetName val="OT Chart"/>
    </sheetNames>
    <sheetDataSet>
      <sheetData sheetId="0"/>
      <sheetData sheetId="1"/>
      <sheetData sheetId="2">
        <row r="20">
          <cell r="C20" t="str">
            <v>024862176</v>
          </cell>
          <cell r="D20" t="str">
            <v>Cao Thi Hang</v>
          </cell>
          <cell r="E20">
            <v>41743</v>
          </cell>
          <cell r="F20" t="str">
            <v>HR/GA</v>
          </cell>
          <cell r="G20" t="str">
            <v>HR</v>
          </cell>
          <cell r="H20" t="str">
            <v>Supervisor</v>
          </cell>
          <cell r="I20">
            <v>28665000</v>
          </cell>
          <cell r="K20">
            <v>28665000</v>
          </cell>
          <cell r="M20">
            <v>1000000</v>
          </cell>
          <cell r="N20">
            <v>1000000</v>
          </cell>
          <cell r="O20">
            <v>200000</v>
          </cell>
          <cell r="P20">
            <v>600000</v>
          </cell>
          <cell r="Q20">
            <v>2800000</v>
          </cell>
          <cell r="R20">
            <v>0</v>
          </cell>
          <cell r="V20">
            <v>31465000</v>
          </cell>
          <cell r="W20">
            <v>0</v>
          </cell>
          <cell r="X20">
            <v>9000000</v>
          </cell>
          <cell r="Y20">
            <v>1</v>
          </cell>
          <cell r="Z20">
            <v>3600000</v>
          </cell>
          <cell r="AA20">
            <v>1840000</v>
          </cell>
          <cell r="AB20">
            <v>345000</v>
          </cell>
          <cell r="AC20">
            <v>314650</v>
          </cell>
          <cell r="AD20">
            <v>2499650</v>
          </cell>
          <cell r="AE20">
            <v>600000</v>
          </cell>
          <cell r="AF20">
            <v>15765350</v>
          </cell>
          <cell r="AG20">
            <v>0.15</v>
          </cell>
          <cell r="AH20">
            <v>750000</v>
          </cell>
          <cell r="AI20">
            <v>1614803</v>
          </cell>
          <cell r="AJ20">
            <v>4140000</v>
          </cell>
          <cell r="AK20">
            <v>690000</v>
          </cell>
          <cell r="AL20">
            <v>314650</v>
          </cell>
          <cell r="AM20">
            <v>5144650</v>
          </cell>
          <cell r="AN20">
            <v>23000000</v>
          </cell>
          <cell r="AO20">
            <v>31465000</v>
          </cell>
          <cell r="AQ20">
            <v>27350547</v>
          </cell>
        </row>
        <row r="21">
          <cell r="C21" t="str">
            <v>024043329</v>
          </cell>
          <cell r="D21" t="str">
            <v>Tran Le Quyen</v>
          </cell>
          <cell r="E21">
            <v>41640</v>
          </cell>
          <cell r="F21" t="str">
            <v>HR/GA</v>
          </cell>
          <cell r="G21" t="str">
            <v>HR</v>
          </cell>
          <cell r="H21" t="str">
            <v>Senior Staff</v>
          </cell>
          <cell r="I21">
            <v>21400000</v>
          </cell>
          <cell r="K21">
            <v>21400000</v>
          </cell>
          <cell r="L21">
            <v>0</v>
          </cell>
          <cell r="P21">
            <v>600000</v>
          </cell>
          <cell r="Q21">
            <v>600000</v>
          </cell>
          <cell r="R21">
            <v>0</v>
          </cell>
          <cell r="V21">
            <v>22000000</v>
          </cell>
          <cell r="W21">
            <v>0</v>
          </cell>
          <cell r="X21">
            <v>9000000</v>
          </cell>
          <cell r="Y21">
            <v>0</v>
          </cell>
          <cell r="Z21">
            <v>0</v>
          </cell>
          <cell r="AA21">
            <v>1760000</v>
          </cell>
          <cell r="AB21">
            <v>330000</v>
          </cell>
          <cell r="AC21">
            <v>220000</v>
          </cell>
          <cell r="AD21">
            <v>2310000</v>
          </cell>
          <cell r="AE21">
            <v>600000</v>
          </cell>
          <cell r="AF21">
            <v>10090000</v>
          </cell>
          <cell r="AG21">
            <v>0.15</v>
          </cell>
          <cell r="AH21">
            <v>750000</v>
          </cell>
          <cell r="AI21">
            <v>763500</v>
          </cell>
          <cell r="AJ21">
            <v>3960000</v>
          </cell>
          <cell r="AK21">
            <v>660000</v>
          </cell>
          <cell r="AL21">
            <v>220000</v>
          </cell>
          <cell r="AM21">
            <v>4840000</v>
          </cell>
          <cell r="AN21">
            <v>22000000</v>
          </cell>
          <cell r="AO21">
            <v>22000000</v>
          </cell>
          <cell r="AQ21">
            <v>18926500</v>
          </cell>
        </row>
        <row r="22">
          <cell r="C22" t="str">
            <v>022887772</v>
          </cell>
          <cell r="D22" t="str">
            <v>Tran Thanh My</v>
          </cell>
          <cell r="E22">
            <v>42030</v>
          </cell>
          <cell r="F22" t="str">
            <v>HR/GA</v>
          </cell>
          <cell r="G22" t="str">
            <v>GA</v>
          </cell>
          <cell r="H22" t="str">
            <v>Supervisor</v>
          </cell>
          <cell r="I22">
            <v>17200000</v>
          </cell>
          <cell r="K22">
            <v>17200000</v>
          </cell>
          <cell r="L22">
            <v>0</v>
          </cell>
          <cell r="M22">
            <v>1000000</v>
          </cell>
          <cell r="N22">
            <v>1000000</v>
          </cell>
          <cell r="O22">
            <v>200000</v>
          </cell>
          <cell r="P22">
            <v>600000</v>
          </cell>
          <cell r="Q22">
            <v>2800000</v>
          </cell>
          <cell r="R22">
            <v>0</v>
          </cell>
          <cell r="V22">
            <v>20000000</v>
          </cell>
          <cell r="W22">
            <v>0</v>
          </cell>
          <cell r="X22">
            <v>9000000</v>
          </cell>
          <cell r="Y22">
            <v>1</v>
          </cell>
          <cell r="Z22">
            <v>3600000</v>
          </cell>
          <cell r="AA22">
            <v>1600000</v>
          </cell>
          <cell r="AB22">
            <v>300000</v>
          </cell>
          <cell r="AC22">
            <v>200000</v>
          </cell>
          <cell r="AD22">
            <v>2100000</v>
          </cell>
          <cell r="AE22">
            <v>600000</v>
          </cell>
          <cell r="AF22">
            <v>4700000</v>
          </cell>
          <cell r="AG22">
            <v>0.05</v>
          </cell>
          <cell r="AH22">
            <v>0</v>
          </cell>
          <cell r="AI22">
            <v>235000</v>
          </cell>
          <cell r="AJ22">
            <v>3600000</v>
          </cell>
          <cell r="AK22">
            <v>600000</v>
          </cell>
          <cell r="AL22">
            <v>200000</v>
          </cell>
          <cell r="AM22">
            <v>4400000</v>
          </cell>
          <cell r="AN22">
            <v>20000000</v>
          </cell>
          <cell r="AO22">
            <v>20000000</v>
          </cell>
          <cell r="AQ22">
            <v>17665000</v>
          </cell>
        </row>
        <row r="23">
          <cell r="C23" t="str">
            <v>022404179</v>
          </cell>
          <cell r="D23" t="str">
            <v>Phan Thi Hanh</v>
          </cell>
          <cell r="E23">
            <v>42072</v>
          </cell>
          <cell r="F23" t="str">
            <v>HR/GA</v>
          </cell>
          <cell r="G23" t="str">
            <v>HR</v>
          </cell>
          <cell r="H23" t="str">
            <v>Manager</v>
          </cell>
          <cell r="I23">
            <v>57400000</v>
          </cell>
          <cell r="K23">
            <v>57400000</v>
          </cell>
          <cell r="L23">
            <v>0</v>
          </cell>
          <cell r="M23">
            <v>3000000</v>
          </cell>
          <cell r="N23">
            <v>2000000</v>
          </cell>
          <cell r="O23">
            <v>600000</v>
          </cell>
          <cell r="Q23">
            <v>5600000</v>
          </cell>
          <cell r="R23">
            <v>0</v>
          </cell>
          <cell r="V23">
            <v>63000000</v>
          </cell>
          <cell r="W23">
            <v>0</v>
          </cell>
          <cell r="X23">
            <v>9000000</v>
          </cell>
          <cell r="Y23">
            <v>2</v>
          </cell>
          <cell r="Z23">
            <v>7200000</v>
          </cell>
          <cell r="AA23">
            <v>1840000</v>
          </cell>
          <cell r="AB23">
            <v>345000</v>
          </cell>
          <cell r="AC23">
            <v>620000</v>
          </cell>
          <cell r="AD23">
            <v>2805000</v>
          </cell>
          <cell r="AE23">
            <v>0</v>
          </cell>
          <cell r="AF23">
            <v>43995000</v>
          </cell>
          <cell r="AG23">
            <v>0.25</v>
          </cell>
          <cell r="AH23">
            <v>3250000</v>
          </cell>
          <cell r="AI23">
            <v>7748750</v>
          </cell>
          <cell r="AJ23">
            <v>4140000</v>
          </cell>
          <cell r="AK23">
            <v>690000</v>
          </cell>
          <cell r="AL23">
            <v>620000</v>
          </cell>
          <cell r="AM23">
            <v>5450000</v>
          </cell>
          <cell r="AN23">
            <v>23000000</v>
          </cell>
          <cell r="AO23">
            <v>62000000</v>
          </cell>
          <cell r="AQ23">
            <v>52446250</v>
          </cell>
        </row>
        <row r="24">
          <cell r="C24" t="str">
            <v>186949201</v>
          </cell>
          <cell r="D24" t="str">
            <v>Hoang Thi Thu Trang</v>
          </cell>
          <cell r="E24">
            <v>42128</v>
          </cell>
          <cell r="F24" t="str">
            <v>HR/GA</v>
          </cell>
          <cell r="G24" t="str">
            <v>Admin - Receptionist</v>
          </cell>
          <cell r="H24" t="str">
            <v>Staff</v>
          </cell>
          <cell r="I24">
            <v>5200000</v>
          </cell>
          <cell r="K24">
            <v>5200000</v>
          </cell>
          <cell r="P24">
            <v>600000</v>
          </cell>
          <cell r="Q24">
            <v>600000</v>
          </cell>
          <cell r="V24">
            <v>5800000</v>
          </cell>
          <cell r="W24">
            <v>0</v>
          </cell>
          <cell r="X24">
            <v>9000000</v>
          </cell>
          <cell r="Y24">
            <v>0</v>
          </cell>
          <cell r="Z24">
            <v>0</v>
          </cell>
          <cell r="AA24">
            <v>464000</v>
          </cell>
          <cell r="AB24">
            <v>87000</v>
          </cell>
          <cell r="AC24">
            <v>58000</v>
          </cell>
          <cell r="AD24">
            <v>609000</v>
          </cell>
          <cell r="AE24">
            <v>600000</v>
          </cell>
          <cell r="AF24">
            <v>-4409000</v>
          </cell>
          <cell r="AG24">
            <v>0</v>
          </cell>
          <cell r="AH24">
            <v>0</v>
          </cell>
          <cell r="AI24">
            <v>0</v>
          </cell>
          <cell r="AJ24">
            <v>1044000</v>
          </cell>
          <cell r="AK24">
            <v>174000</v>
          </cell>
          <cell r="AL24">
            <v>58000</v>
          </cell>
          <cell r="AM24">
            <v>1276000</v>
          </cell>
          <cell r="AN24">
            <v>5800000</v>
          </cell>
          <cell r="AO24">
            <v>5800000</v>
          </cell>
          <cell r="AQ24">
            <v>5191000</v>
          </cell>
        </row>
        <row r="25">
          <cell r="C25" t="str">
            <v>0230601845</v>
          </cell>
          <cell r="D25" t="str">
            <v>Le Thi Thao Hien</v>
          </cell>
          <cell r="E25">
            <v>42009</v>
          </cell>
          <cell r="F25" t="str">
            <v>HR/GA</v>
          </cell>
          <cell r="G25" t="str">
            <v>GA</v>
          </cell>
          <cell r="H25" t="str">
            <v>Supervisor</v>
          </cell>
          <cell r="I25">
            <v>15200000</v>
          </cell>
          <cell r="K25">
            <v>15200000</v>
          </cell>
          <cell r="M25">
            <v>1000000</v>
          </cell>
          <cell r="N25">
            <v>1000000</v>
          </cell>
          <cell r="O25">
            <v>200000</v>
          </cell>
          <cell r="P25">
            <v>600000</v>
          </cell>
          <cell r="Q25">
            <v>2800000</v>
          </cell>
          <cell r="R25">
            <v>0</v>
          </cell>
          <cell r="V25">
            <v>18000000</v>
          </cell>
          <cell r="W25">
            <v>0</v>
          </cell>
          <cell r="X25">
            <v>9000000</v>
          </cell>
          <cell r="Z25">
            <v>0</v>
          </cell>
          <cell r="AA25">
            <v>1440000</v>
          </cell>
          <cell r="AB25">
            <v>270000</v>
          </cell>
          <cell r="AC25">
            <v>180000</v>
          </cell>
          <cell r="AD25">
            <v>1890000</v>
          </cell>
          <cell r="AE25">
            <v>600000</v>
          </cell>
          <cell r="AF25">
            <v>6510000</v>
          </cell>
          <cell r="AG25">
            <v>0.1</v>
          </cell>
          <cell r="AH25">
            <v>250000</v>
          </cell>
          <cell r="AI25">
            <v>401000</v>
          </cell>
          <cell r="AJ25">
            <v>3240000</v>
          </cell>
          <cell r="AK25">
            <v>540000</v>
          </cell>
          <cell r="AL25">
            <v>180000</v>
          </cell>
          <cell r="AM25">
            <v>3960000</v>
          </cell>
          <cell r="AN25">
            <v>18000000</v>
          </cell>
          <cell r="AO25">
            <v>18000000</v>
          </cell>
          <cell r="AQ25">
            <v>15709000</v>
          </cell>
        </row>
        <row r="26">
          <cell r="C26" t="str">
            <v>023427312</v>
          </cell>
          <cell r="D26" t="str">
            <v>Pham Thien Anh</v>
          </cell>
          <cell r="E26">
            <v>42156</v>
          </cell>
          <cell r="F26" t="str">
            <v>HR/GA</v>
          </cell>
          <cell r="G26" t="str">
            <v>GA</v>
          </cell>
          <cell r="H26" t="str">
            <v>Supervisor</v>
          </cell>
          <cell r="I26">
            <v>40000000</v>
          </cell>
          <cell r="K26">
            <v>40000000</v>
          </cell>
          <cell r="M26">
            <v>1000000</v>
          </cell>
          <cell r="N26">
            <v>1000000</v>
          </cell>
          <cell r="O26">
            <v>200000</v>
          </cell>
          <cell r="P26">
            <v>600000</v>
          </cell>
          <cell r="Q26">
            <v>2800000</v>
          </cell>
          <cell r="V26">
            <v>42800000</v>
          </cell>
          <cell r="W26">
            <v>0</v>
          </cell>
          <cell r="X26">
            <v>9000000</v>
          </cell>
          <cell r="Y26">
            <v>2</v>
          </cell>
          <cell r="Z26">
            <v>7200000</v>
          </cell>
          <cell r="AA26">
            <v>1840000</v>
          </cell>
          <cell r="AB26">
            <v>345000</v>
          </cell>
          <cell r="AC26">
            <v>428000</v>
          </cell>
          <cell r="AD26">
            <v>2613000</v>
          </cell>
          <cell r="AE26">
            <v>600000</v>
          </cell>
          <cell r="AF26">
            <v>23387000</v>
          </cell>
          <cell r="AG26">
            <v>0.2</v>
          </cell>
          <cell r="AH26">
            <v>1650000</v>
          </cell>
          <cell r="AI26">
            <v>3027400</v>
          </cell>
          <cell r="AJ26">
            <v>4140000</v>
          </cell>
          <cell r="AK26">
            <v>690000</v>
          </cell>
          <cell r="AL26">
            <v>428000</v>
          </cell>
          <cell r="AM26">
            <v>5258000</v>
          </cell>
          <cell r="AN26">
            <v>23000000</v>
          </cell>
          <cell r="AO26">
            <v>42800000</v>
          </cell>
          <cell r="AQ26">
            <v>37159600</v>
          </cell>
        </row>
        <row r="27">
          <cell r="C27" t="str">
            <v>024759930</v>
          </cell>
          <cell r="D27" t="str">
            <v>Hoang Thi Thu Hoa</v>
          </cell>
          <cell r="E27">
            <v>41876</v>
          </cell>
          <cell r="F27" t="str">
            <v>Operation</v>
          </cell>
          <cell r="G27" t="str">
            <v>Tenant</v>
          </cell>
          <cell r="H27" t="str">
            <v>Manager</v>
          </cell>
          <cell r="I27">
            <v>39900000</v>
          </cell>
          <cell r="K27">
            <v>39900000</v>
          </cell>
          <cell r="L27">
            <v>0</v>
          </cell>
          <cell r="M27">
            <v>3000000</v>
          </cell>
          <cell r="N27">
            <v>2000000</v>
          </cell>
          <cell r="O27">
            <v>600000</v>
          </cell>
          <cell r="Q27">
            <v>5600000</v>
          </cell>
          <cell r="R27">
            <v>0</v>
          </cell>
          <cell r="V27">
            <v>45500000</v>
          </cell>
          <cell r="W27">
            <v>0</v>
          </cell>
          <cell r="X27">
            <v>9000000</v>
          </cell>
          <cell r="Y27">
            <v>1</v>
          </cell>
          <cell r="Z27">
            <v>3600000</v>
          </cell>
          <cell r="AA27">
            <v>1840000</v>
          </cell>
          <cell r="AB27">
            <v>345000</v>
          </cell>
          <cell r="AC27">
            <v>455000</v>
          </cell>
          <cell r="AD27">
            <v>2640000</v>
          </cell>
          <cell r="AE27">
            <v>0</v>
          </cell>
          <cell r="AF27">
            <v>30260000</v>
          </cell>
          <cell r="AG27">
            <v>0.2</v>
          </cell>
          <cell r="AH27">
            <v>1650000</v>
          </cell>
          <cell r="AI27">
            <v>4402000</v>
          </cell>
          <cell r="AJ27">
            <v>4140000</v>
          </cell>
          <cell r="AK27">
            <v>690000</v>
          </cell>
          <cell r="AL27">
            <v>455000</v>
          </cell>
          <cell r="AM27">
            <v>5285000</v>
          </cell>
          <cell r="AN27">
            <v>23000000</v>
          </cell>
          <cell r="AO27">
            <v>45500000</v>
          </cell>
          <cell r="AQ27">
            <v>38458000</v>
          </cell>
        </row>
        <row r="28">
          <cell r="C28" t="str">
            <v>013406387</v>
          </cell>
          <cell r="D28" t="str">
            <v>Nguyen Thi Hong Hanh</v>
          </cell>
          <cell r="E28">
            <v>40946</v>
          </cell>
          <cell r="F28" t="str">
            <v>Finance</v>
          </cell>
          <cell r="G28" t="str">
            <v>Accounting</v>
          </cell>
          <cell r="H28" t="str">
            <v>Manager</v>
          </cell>
          <cell r="I28">
            <v>57866383</v>
          </cell>
          <cell r="K28">
            <v>57866383</v>
          </cell>
          <cell r="L28">
            <v>7000000</v>
          </cell>
          <cell r="M28">
            <v>3000000</v>
          </cell>
          <cell r="N28">
            <v>2000000</v>
          </cell>
          <cell r="O28">
            <v>600000</v>
          </cell>
          <cell r="Q28">
            <v>12600000</v>
          </cell>
          <cell r="R28">
            <v>0</v>
          </cell>
          <cell r="V28">
            <v>70466383</v>
          </cell>
          <cell r="W28">
            <v>0</v>
          </cell>
          <cell r="X28">
            <v>9000000</v>
          </cell>
          <cell r="Y28">
            <v>2</v>
          </cell>
          <cell r="Z28">
            <v>7200000</v>
          </cell>
          <cell r="AA28">
            <v>1840000</v>
          </cell>
          <cell r="AB28">
            <v>345000</v>
          </cell>
          <cell r="AC28">
            <v>620000</v>
          </cell>
          <cell r="AD28">
            <v>2805000</v>
          </cell>
          <cell r="AE28">
            <v>0</v>
          </cell>
          <cell r="AF28">
            <v>51461383</v>
          </cell>
          <cell r="AG28">
            <v>0.25</v>
          </cell>
          <cell r="AH28">
            <v>3250000</v>
          </cell>
          <cell r="AI28">
            <v>9615346</v>
          </cell>
          <cell r="AJ28">
            <v>4140000</v>
          </cell>
          <cell r="AK28">
            <v>690000</v>
          </cell>
          <cell r="AL28">
            <v>620000</v>
          </cell>
          <cell r="AM28">
            <v>5450000</v>
          </cell>
          <cell r="AN28">
            <v>23000000</v>
          </cell>
          <cell r="AO28">
            <v>62000000</v>
          </cell>
          <cell r="AQ28">
            <v>58046037</v>
          </cell>
        </row>
        <row r="29">
          <cell r="C29" t="str">
            <v>012503607</v>
          </cell>
          <cell r="D29" t="str">
            <v>Lai Huyen Trang</v>
          </cell>
          <cell r="E29">
            <v>41836</v>
          </cell>
          <cell r="F29" t="str">
            <v>Finance</v>
          </cell>
          <cell r="G29" t="str">
            <v>Accounting</v>
          </cell>
          <cell r="H29" t="str">
            <v>Senior Staff</v>
          </cell>
          <cell r="I29">
            <v>18081000</v>
          </cell>
          <cell r="K29">
            <v>18081000</v>
          </cell>
          <cell r="P29">
            <v>600000</v>
          </cell>
          <cell r="Q29">
            <v>600000</v>
          </cell>
          <cell r="R29">
            <v>0</v>
          </cell>
          <cell r="V29">
            <v>18681000</v>
          </cell>
          <cell r="W29">
            <v>0</v>
          </cell>
          <cell r="X29">
            <v>9000000</v>
          </cell>
          <cell r="Y29">
            <v>1</v>
          </cell>
          <cell r="Z29">
            <v>3600000</v>
          </cell>
          <cell r="AA29">
            <v>1494480</v>
          </cell>
          <cell r="AB29">
            <v>280215</v>
          </cell>
          <cell r="AC29">
            <v>186810</v>
          </cell>
          <cell r="AD29">
            <v>1961505</v>
          </cell>
          <cell r="AE29">
            <v>600000</v>
          </cell>
          <cell r="AF29">
            <v>3519495</v>
          </cell>
          <cell r="AG29">
            <v>0.05</v>
          </cell>
          <cell r="AH29">
            <v>0</v>
          </cell>
          <cell r="AI29">
            <v>175975</v>
          </cell>
          <cell r="AJ29">
            <v>3362580</v>
          </cell>
          <cell r="AK29">
            <v>560430</v>
          </cell>
          <cell r="AL29">
            <v>186810</v>
          </cell>
          <cell r="AM29">
            <v>4109820</v>
          </cell>
          <cell r="AN29">
            <v>18681000</v>
          </cell>
          <cell r="AO29">
            <v>18681000</v>
          </cell>
          <cell r="AQ29">
            <v>16543520</v>
          </cell>
        </row>
        <row r="30">
          <cell r="C30" t="str">
            <v>022770293</v>
          </cell>
          <cell r="D30" t="str">
            <v>Le Trieu Huy Vu</v>
          </cell>
          <cell r="E30">
            <v>41239</v>
          </cell>
          <cell r="F30" t="str">
            <v>Expansion</v>
          </cell>
          <cell r="G30" t="str">
            <v>Expansion</v>
          </cell>
          <cell r="H30" t="str">
            <v>Manager</v>
          </cell>
          <cell r="I30">
            <v>59400000</v>
          </cell>
          <cell r="K30">
            <v>59400000</v>
          </cell>
          <cell r="M30">
            <v>3000000</v>
          </cell>
          <cell r="N30">
            <v>2000000</v>
          </cell>
          <cell r="O30">
            <v>600000</v>
          </cell>
          <cell r="Q30">
            <v>5600000</v>
          </cell>
          <cell r="R30">
            <v>0</v>
          </cell>
          <cell r="V30">
            <v>65000000</v>
          </cell>
          <cell r="W30">
            <v>0</v>
          </cell>
          <cell r="X30">
            <v>9000000</v>
          </cell>
          <cell r="Y30">
            <v>3</v>
          </cell>
          <cell r="Z30">
            <v>10800000</v>
          </cell>
          <cell r="AA30">
            <v>1840000</v>
          </cell>
          <cell r="AB30">
            <v>345000</v>
          </cell>
          <cell r="AC30">
            <v>620000</v>
          </cell>
          <cell r="AD30">
            <v>2805000</v>
          </cell>
          <cell r="AE30">
            <v>0</v>
          </cell>
          <cell r="AF30">
            <v>42395000</v>
          </cell>
          <cell r="AG30">
            <v>0.25</v>
          </cell>
          <cell r="AH30">
            <v>3250000</v>
          </cell>
          <cell r="AI30">
            <v>7348750</v>
          </cell>
          <cell r="AJ30">
            <v>4140000</v>
          </cell>
          <cell r="AK30">
            <v>690000</v>
          </cell>
          <cell r="AL30">
            <v>620000</v>
          </cell>
          <cell r="AM30">
            <v>5450000</v>
          </cell>
          <cell r="AN30">
            <v>23000000</v>
          </cell>
          <cell r="AO30">
            <v>62000000</v>
          </cell>
          <cell r="AQ30">
            <v>54846250</v>
          </cell>
        </row>
        <row r="31">
          <cell r="C31" t="str">
            <v>025083544</v>
          </cell>
          <cell r="D31" t="str">
            <v>Le Huu Tinh</v>
          </cell>
          <cell r="E31">
            <v>41813</v>
          </cell>
          <cell r="F31" t="str">
            <v>Operation</v>
          </cell>
          <cell r="G31" t="str">
            <v>MKT</v>
          </cell>
          <cell r="H31" t="str">
            <v>Manager</v>
          </cell>
          <cell r="I31">
            <v>52500000</v>
          </cell>
          <cell r="K31">
            <v>52500000</v>
          </cell>
          <cell r="M31">
            <v>3000000</v>
          </cell>
          <cell r="N31">
            <v>2000000</v>
          </cell>
          <cell r="O31">
            <v>600000</v>
          </cell>
          <cell r="Q31">
            <v>5600000</v>
          </cell>
          <cell r="R31">
            <v>0</v>
          </cell>
          <cell r="V31">
            <v>58100000</v>
          </cell>
          <cell r="W31">
            <v>0</v>
          </cell>
          <cell r="X31">
            <v>9000000</v>
          </cell>
          <cell r="Y31">
            <v>3</v>
          </cell>
          <cell r="Z31">
            <v>10800000</v>
          </cell>
          <cell r="AA31">
            <v>1840000</v>
          </cell>
          <cell r="AB31">
            <v>345000</v>
          </cell>
          <cell r="AC31">
            <v>581000</v>
          </cell>
          <cell r="AD31">
            <v>2766000</v>
          </cell>
          <cell r="AE31">
            <v>0</v>
          </cell>
          <cell r="AF31">
            <v>35534000</v>
          </cell>
          <cell r="AG31">
            <v>0.25</v>
          </cell>
          <cell r="AH31">
            <v>3250000</v>
          </cell>
          <cell r="AI31">
            <v>5633500</v>
          </cell>
          <cell r="AJ31">
            <v>4140000</v>
          </cell>
          <cell r="AK31">
            <v>690000</v>
          </cell>
          <cell r="AL31">
            <v>581000</v>
          </cell>
          <cell r="AM31">
            <v>5411000</v>
          </cell>
          <cell r="AN31">
            <v>23000000</v>
          </cell>
          <cell r="AO31">
            <v>58100000</v>
          </cell>
          <cell r="AQ31">
            <v>49700500</v>
          </cell>
        </row>
        <row r="32">
          <cell r="C32" t="str">
            <v>321243040</v>
          </cell>
          <cell r="D32" t="str">
            <v xml:space="preserve">Tran Nguyen Thanh </v>
          </cell>
          <cell r="E32">
            <v>41813</v>
          </cell>
          <cell r="F32" t="str">
            <v>FRESH MD</v>
          </cell>
          <cell r="G32" t="str">
            <v>Fresh food</v>
          </cell>
          <cell r="H32" t="str">
            <v>Supervisor</v>
          </cell>
          <cell r="I32">
            <v>26250000</v>
          </cell>
          <cell r="K32">
            <v>26250000</v>
          </cell>
          <cell r="M32">
            <v>1000000</v>
          </cell>
          <cell r="N32">
            <v>1000000</v>
          </cell>
          <cell r="O32">
            <v>200000</v>
          </cell>
          <cell r="P32">
            <v>600000</v>
          </cell>
          <cell r="Q32">
            <v>2800000</v>
          </cell>
          <cell r="R32">
            <v>0</v>
          </cell>
          <cell r="V32">
            <v>29050000</v>
          </cell>
          <cell r="W32">
            <v>0</v>
          </cell>
          <cell r="X32">
            <v>9000000</v>
          </cell>
          <cell r="Y32">
            <v>1</v>
          </cell>
          <cell r="Z32">
            <v>3600000</v>
          </cell>
          <cell r="AA32">
            <v>1840000</v>
          </cell>
          <cell r="AB32">
            <v>345000</v>
          </cell>
          <cell r="AC32">
            <v>290500</v>
          </cell>
          <cell r="AD32">
            <v>2475500</v>
          </cell>
          <cell r="AE32">
            <v>600000</v>
          </cell>
          <cell r="AF32">
            <v>13374500</v>
          </cell>
          <cell r="AG32">
            <v>0.15</v>
          </cell>
          <cell r="AH32">
            <v>750000</v>
          </cell>
          <cell r="AI32">
            <v>1256175</v>
          </cell>
          <cell r="AJ32">
            <v>4140000</v>
          </cell>
          <cell r="AK32">
            <v>690000</v>
          </cell>
          <cell r="AL32">
            <v>290500</v>
          </cell>
          <cell r="AM32">
            <v>5120500</v>
          </cell>
          <cell r="AN32">
            <v>23000000</v>
          </cell>
          <cell r="AO32">
            <v>29050000</v>
          </cell>
          <cell r="AQ32">
            <v>25318325</v>
          </cell>
        </row>
        <row r="33">
          <cell r="C33" t="str">
            <v>273295842</v>
          </cell>
          <cell r="D33" t="str">
            <v>Nguyen Quynh Thu</v>
          </cell>
          <cell r="E33">
            <v>41862</v>
          </cell>
          <cell r="F33" t="str">
            <v>GENERAL MD</v>
          </cell>
          <cell r="G33" t="str">
            <v>FMCG</v>
          </cell>
          <cell r="H33" t="str">
            <v>Senior Staff</v>
          </cell>
          <cell r="I33">
            <v>18632250</v>
          </cell>
          <cell r="K33">
            <v>18632250</v>
          </cell>
          <cell r="P33">
            <v>600000</v>
          </cell>
          <cell r="Q33">
            <v>600000</v>
          </cell>
          <cell r="R33">
            <v>0</v>
          </cell>
          <cell r="V33">
            <v>19232250</v>
          </cell>
          <cell r="W33">
            <v>0</v>
          </cell>
          <cell r="X33">
            <v>9000000</v>
          </cell>
          <cell r="Y33">
            <v>1</v>
          </cell>
          <cell r="Z33">
            <v>3600000</v>
          </cell>
          <cell r="AA33">
            <v>1538580</v>
          </cell>
          <cell r="AB33">
            <v>288484</v>
          </cell>
          <cell r="AC33">
            <v>192323</v>
          </cell>
          <cell r="AD33">
            <v>2019387</v>
          </cell>
          <cell r="AE33">
            <v>600000</v>
          </cell>
          <cell r="AF33">
            <v>4012863</v>
          </cell>
          <cell r="AG33">
            <v>0.05</v>
          </cell>
          <cell r="AH33">
            <v>0</v>
          </cell>
          <cell r="AI33">
            <v>200643</v>
          </cell>
          <cell r="AJ33">
            <v>3461805</v>
          </cell>
          <cell r="AK33">
            <v>576968</v>
          </cell>
          <cell r="AL33">
            <v>192323</v>
          </cell>
          <cell r="AM33">
            <v>4231096</v>
          </cell>
          <cell r="AN33">
            <v>19232250</v>
          </cell>
          <cell r="AO33">
            <v>19232250</v>
          </cell>
          <cell r="AQ33">
            <v>17012220</v>
          </cell>
        </row>
        <row r="34">
          <cell r="C34" t="str">
            <v>023447942</v>
          </cell>
          <cell r="D34" t="str">
            <v>Pham Tien Duy</v>
          </cell>
          <cell r="E34">
            <v>41932</v>
          </cell>
          <cell r="F34" t="str">
            <v>GENERAL MD</v>
          </cell>
          <cell r="G34" t="str">
            <v>Key In</v>
          </cell>
          <cell r="H34" t="str">
            <v>Manager</v>
          </cell>
          <cell r="I34">
            <v>22900000</v>
          </cell>
          <cell r="K34">
            <v>22900000</v>
          </cell>
          <cell r="M34">
            <v>3000000</v>
          </cell>
          <cell r="N34">
            <v>2000000</v>
          </cell>
          <cell r="O34">
            <v>600000</v>
          </cell>
          <cell r="Q34">
            <v>5600000</v>
          </cell>
          <cell r="R34">
            <v>0</v>
          </cell>
          <cell r="V34">
            <v>28500000</v>
          </cell>
          <cell r="W34">
            <v>0</v>
          </cell>
          <cell r="X34">
            <v>9000000</v>
          </cell>
          <cell r="Y34">
            <v>1</v>
          </cell>
          <cell r="Z34">
            <v>3600000</v>
          </cell>
          <cell r="AA34">
            <v>1840000</v>
          </cell>
          <cell r="AB34">
            <v>345000</v>
          </cell>
          <cell r="AC34">
            <v>285000</v>
          </cell>
          <cell r="AD34">
            <v>2470000</v>
          </cell>
          <cell r="AE34">
            <v>0</v>
          </cell>
          <cell r="AF34">
            <v>13430000</v>
          </cell>
          <cell r="AG34">
            <v>0.15</v>
          </cell>
          <cell r="AH34">
            <v>750000</v>
          </cell>
          <cell r="AI34">
            <v>1264500</v>
          </cell>
          <cell r="AJ34">
            <v>4140000</v>
          </cell>
          <cell r="AK34">
            <v>690000</v>
          </cell>
          <cell r="AL34">
            <v>285000</v>
          </cell>
          <cell r="AM34">
            <v>5115000</v>
          </cell>
          <cell r="AN34">
            <v>23000000</v>
          </cell>
          <cell r="AO34">
            <v>28500000</v>
          </cell>
          <cell r="AQ34">
            <v>24765500</v>
          </cell>
        </row>
        <row r="35">
          <cell r="C35" t="str">
            <v>022978933</v>
          </cell>
          <cell r="D35" t="str">
            <v>La Thi Kim Anh</v>
          </cell>
          <cell r="E35">
            <v>41932</v>
          </cell>
          <cell r="F35" t="str">
            <v>GENERAL MD</v>
          </cell>
          <cell r="G35" t="str">
            <v>Fashion</v>
          </cell>
          <cell r="H35" t="str">
            <v>Manager</v>
          </cell>
          <cell r="I35">
            <v>31500000</v>
          </cell>
          <cell r="K35">
            <v>31500000</v>
          </cell>
          <cell r="M35">
            <v>3000000</v>
          </cell>
          <cell r="N35">
            <v>2000000</v>
          </cell>
          <cell r="O35">
            <v>600000</v>
          </cell>
          <cell r="Q35">
            <v>5600000</v>
          </cell>
          <cell r="R35">
            <v>0</v>
          </cell>
          <cell r="V35">
            <v>37100000</v>
          </cell>
          <cell r="W35">
            <v>0</v>
          </cell>
          <cell r="X35">
            <v>9000000</v>
          </cell>
          <cell r="Y35">
            <v>2</v>
          </cell>
          <cell r="Z35">
            <v>7200000</v>
          </cell>
          <cell r="AA35">
            <v>1840000</v>
          </cell>
          <cell r="AB35">
            <v>345000</v>
          </cell>
          <cell r="AC35">
            <v>371000</v>
          </cell>
          <cell r="AD35">
            <v>2556000</v>
          </cell>
          <cell r="AE35">
            <v>0</v>
          </cell>
          <cell r="AF35">
            <v>18344000</v>
          </cell>
          <cell r="AG35">
            <v>0.2</v>
          </cell>
          <cell r="AH35">
            <v>1650000</v>
          </cell>
          <cell r="AI35">
            <v>2018800</v>
          </cell>
          <cell r="AJ35">
            <v>4140000</v>
          </cell>
          <cell r="AK35">
            <v>690000</v>
          </cell>
          <cell r="AL35">
            <v>371000</v>
          </cell>
          <cell r="AM35">
            <v>5201000</v>
          </cell>
          <cell r="AN35">
            <v>23000000</v>
          </cell>
          <cell r="AO35">
            <v>37100000</v>
          </cell>
          <cell r="AQ35">
            <v>32525200</v>
          </cell>
        </row>
        <row r="36">
          <cell r="C36" t="str">
            <v>023353967</v>
          </cell>
          <cell r="D36" t="str">
            <v>Nguyen Thi Kieu Hanh</v>
          </cell>
          <cell r="E36">
            <v>41946</v>
          </cell>
          <cell r="F36" t="str">
            <v>FRESH MD</v>
          </cell>
          <cell r="G36" t="str">
            <v>Fresh food</v>
          </cell>
          <cell r="H36" t="str">
            <v>Supervisor</v>
          </cell>
          <cell r="I36">
            <v>27200000</v>
          </cell>
          <cell r="K36">
            <v>27200000</v>
          </cell>
          <cell r="M36">
            <v>1000000</v>
          </cell>
          <cell r="N36">
            <v>1000000</v>
          </cell>
          <cell r="O36">
            <v>200000</v>
          </cell>
          <cell r="P36">
            <v>600000</v>
          </cell>
          <cell r="Q36">
            <v>2800000</v>
          </cell>
          <cell r="R36">
            <v>0</v>
          </cell>
          <cell r="V36">
            <v>30000000</v>
          </cell>
          <cell r="W36">
            <v>0</v>
          </cell>
          <cell r="X36">
            <v>9000000</v>
          </cell>
          <cell r="Y36">
            <v>2</v>
          </cell>
          <cell r="Z36">
            <v>7200000</v>
          </cell>
          <cell r="AA36">
            <v>1840000</v>
          </cell>
          <cell r="AB36">
            <v>345000</v>
          </cell>
          <cell r="AC36">
            <v>300000</v>
          </cell>
          <cell r="AD36">
            <v>2485000</v>
          </cell>
          <cell r="AE36">
            <v>600000</v>
          </cell>
          <cell r="AF36">
            <v>10715000</v>
          </cell>
          <cell r="AG36">
            <v>0.15</v>
          </cell>
          <cell r="AH36">
            <v>750000</v>
          </cell>
          <cell r="AI36">
            <v>857250</v>
          </cell>
          <cell r="AJ36">
            <v>4140000</v>
          </cell>
          <cell r="AK36">
            <v>690000</v>
          </cell>
          <cell r="AL36">
            <v>300000</v>
          </cell>
          <cell r="AM36">
            <v>5130000</v>
          </cell>
          <cell r="AN36">
            <v>23000000</v>
          </cell>
          <cell r="AO36">
            <v>30000000</v>
          </cell>
          <cell r="AQ36">
            <v>26657750</v>
          </cell>
        </row>
        <row r="37">
          <cell r="C37" t="str">
            <v>023908904</v>
          </cell>
          <cell r="D37" t="str">
            <v>Nguyen Minh Hien</v>
          </cell>
          <cell r="E37">
            <v>41946</v>
          </cell>
          <cell r="F37" t="str">
            <v>GENERAL MD</v>
          </cell>
          <cell r="G37" t="str">
            <v>FMCG</v>
          </cell>
          <cell r="H37" t="str">
            <v>Supervisor</v>
          </cell>
          <cell r="I37">
            <v>15700000</v>
          </cell>
          <cell r="K37">
            <v>15700000</v>
          </cell>
          <cell r="M37">
            <v>1000000</v>
          </cell>
          <cell r="N37">
            <v>1000000</v>
          </cell>
          <cell r="O37">
            <v>200000</v>
          </cell>
          <cell r="P37">
            <v>600000</v>
          </cell>
          <cell r="Q37">
            <v>2800000</v>
          </cell>
          <cell r="R37">
            <v>0</v>
          </cell>
          <cell r="V37">
            <v>18500000</v>
          </cell>
          <cell r="W37">
            <v>0</v>
          </cell>
          <cell r="X37">
            <v>9000000</v>
          </cell>
          <cell r="Z37">
            <v>0</v>
          </cell>
          <cell r="AA37">
            <v>1480000</v>
          </cell>
          <cell r="AB37">
            <v>277500</v>
          </cell>
          <cell r="AC37">
            <v>185000</v>
          </cell>
          <cell r="AD37">
            <v>1942500</v>
          </cell>
          <cell r="AE37">
            <v>600000</v>
          </cell>
          <cell r="AF37">
            <v>6957500</v>
          </cell>
          <cell r="AG37">
            <v>0.1</v>
          </cell>
          <cell r="AH37">
            <v>250000</v>
          </cell>
          <cell r="AI37">
            <v>445750</v>
          </cell>
          <cell r="AJ37">
            <v>3330000</v>
          </cell>
          <cell r="AK37">
            <v>555000</v>
          </cell>
          <cell r="AL37">
            <v>185000</v>
          </cell>
          <cell r="AM37">
            <v>4070000</v>
          </cell>
          <cell r="AN37">
            <v>18500000</v>
          </cell>
          <cell r="AO37">
            <v>18500000</v>
          </cell>
          <cell r="AQ37">
            <v>16111750</v>
          </cell>
        </row>
        <row r="38">
          <cell r="C38" t="str">
            <v>362004321</v>
          </cell>
          <cell r="D38" t="str">
            <v>Tran Tuan Phong</v>
          </cell>
          <cell r="E38">
            <v>41946</v>
          </cell>
          <cell r="F38" t="str">
            <v>GENERAL MD</v>
          </cell>
          <cell r="G38" t="str">
            <v>Non food</v>
          </cell>
          <cell r="H38" t="str">
            <v>Supervisor</v>
          </cell>
          <cell r="I38">
            <v>24200000</v>
          </cell>
          <cell r="K38">
            <v>24200000</v>
          </cell>
          <cell r="M38">
            <v>1000000</v>
          </cell>
          <cell r="N38">
            <v>1000000</v>
          </cell>
          <cell r="O38">
            <v>200000</v>
          </cell>
          <cell r="P38">
            <v>600000</v>
          </cell>
          <cell r="Q38">
            <v>2800000</v>
          </cell>
          <cell r="R38">
            <v>0</v>
          </cell>
          <cell r="V38">
            <v>27000000</v>
          </cell>
          <cell r="W38">
            <v>0</v>
          </cell>
          <cell r="X38">
            <v>9000000</v>
          </cell>
          <cell r="Y38">
            <v>2</v>
          </cell>
          <cell r="Z38">
            <v>7200000</v>
          </cell>
          <cell r="AA38">
            <v>1840000</v>
          </cell>
          <cell r="AB38">
            <v>345000</v>
          </cell>
          <cell r="AC38">
            <v>270000</v>
          </cell>
          <cell r="AD38">
            <v>2455000</v>
          </cell>
          <cell r="AE38">
            <v>600000</v>
          </cell>
          <cell r="AF38">
            <v>7745000</v>
          </cell>
          <cell r="AG38">
            <v>0.1</v>
          </cell>
          <cell r="AH38">
            <v>250000</v>
          </cell>
          <cell r="AI38">
            <v>524500</v>
          </cell>
          <cell r="AJ38">
            <v>4140000</v>
          </cell>
          <cell r="AK38">
            <v>690000</v>
          </cell>
          <cell r="AL38">
            <v>270000</v>
          </cell>
          <cell r="AM38">
            <v>5100000</v>
          </cell>
          <cell r="AN38">
            <v>23000000</v>
          </cell>
          <cell r="AO38">
            <v>27000000</v>
          </cell>
          <cell r="AQ38">
            <v>24020500</v>
          </cell>
        </row>
        <row r="39">
          <cell r="C39" t="str">
            <v>023202531</v>
          </cell>
          <cell r="D39" t="str">
            <v>Nguyen Vu Cung</v>
          </cell>
          <cell r="E39">
            <v>41960</v>
          </cell>
          <cell r="F39" t="str">
            <v>GENERAL MD</v>
          </cell>
          <cell r="G39" t="str">
            <v>FMCG</v>
          </cell>
          <cell r="H39" t="str">
            <v>Supervisor</v>
          </cell>
          <cell r="I39">
            <v>19200000</v>
          </cell>
          <cell r="K39">
            <v>19200000</v>
          </cell>
          <cell r="M39">
            <v>1000000</v>
          </cell>
          <cell r="N39">
            <v>1000000</v>
          </cell>
          <cell r="O39">
            <v>200000</v>
          </cell>
          <cell r="P39">
            <v>600000</v>
          </cell>
          <cell r="Q39">
            <v>2800000</v>
          </cell>
          <cell r="R39">
            <v>0</v>
          </cell>
          <cell r="V39">
            <v>22000000</v>
          </cell>
          <cell r="W39">
            <v>0</v>
          </cell>
          <cell r="X39">
            <v>9000000</v>
          </cell>
          <cell r="Y39">
            <v>4</v>
          </cell>
          <cell r="Z39">
            <v>14400000</v>
          </cell>
          <cell r="AA39">
            <v>1760000</v>
          </cell>
          <cell r="AB39">
            <v>330000</v>
          </cell>
          <cell r="AC39">
            <v>220000</v>
          </cell>
          <cell r="AD39">
            <v>2310000</v>
          </cell>
          <cell r="AE39">
            <v>600000</v>
          </cell>
          <cell r="AF39">
            <v>-4310000</v>
          </cell>
          <cell r="AG39">
            <v>0</v>
          </cell>
          <cell r="AH39">
            <v>0</v>
          </cell>
          <cell r="AI39">
            <v>0</v>
          </cell>
          <cell r="AJ39">
            <v>3960000</v>
          </cell>
          <cell r="AK39">
            <v>660000</v>
          </cell>
          <cell r="AL39">
            <v>220000</v>
          </cell>
          <cell r="AM39">
            <v>4840000</v>
          </cell>
          <cell r="AN39">
            <v>22000000</v>
          </cell>
          <cell r="AO39">
            <v>22000000</v>
          </cell>
          <cell r="AQ39">
            <v>19690000</v>
          </cell>
        </row>
        <row r="40">
          <cell r="C40" t="str">
            <v>271545079</v>
          </cell>
          <cell r="D40" t="str">
            <v>Pham Thi Que Tram</v>
          </cell>
          <cell r="E40">
            <v>41974</v>
          </cell>
          <cell r="F40" t="str">
            <v>FRESH MD</v>
          </cell>
          <cell r="G40" t="str">
            <v>Fresh food</v>
          </cell>
          <cell r="H40" t="str">
            <v>Supervisor</v>
          </cell>
          <cell r="I40">
            <v>11200000</v>
          </cell>
          <cell r="K40">
            <v>11200000</v>
          </cell>
          <cell r="M40">
            <v>1000000</v>
          </cell>
          <cell r="N40">
            <v>1000000</v>
          </cell>
          <cell r="O40">
            <v>200000</v>
          </cell>
          <cell r="P40">
            <v>600000</v>
          </cell>
          <cell r="Q40">
            <v>2800000</v>
          </cell>
          <cell r="R40">
            <v>0</v>
          </cell>
          <cell r="T40">
            <v>3400000</v>
          </cell>
          <cell r="V40">
            <v>17400000</v>
          </cell>
          <cell r="W40">
            <v>0</v>
          </cell>
          <cell r="X40">
            <v>9000000</v>
          </cell>
          <cell r="Y40">
            <v>1</v>
          </cell>
          <cell r="Z40">
            <v>3600000</v>
          </cell>
          <cell r="AA40">
            <v>1120000</v>
          </cell>
          <cell r="AB40">
            <v>210000</v>
          </cell>
          <cell r="AC40">
            <v>140000</v>
          </cell>
          <cell r="AD40">
            <v>1470000</v>
          </cell>
          <cell r="AE40">
            <v>600000</v>
          </cell>
          <cell r="AF40">
            <v>2730000</v>
          </cell>
          <cell r="AG40">
            <v>0.05</v>
          </cell>
          <cell r="AH40">
            <v>0</v>
          </cell>
          <cell r="AI40">
            <v>136500</v>
          </cell>
          <cell r="AJ40">
            <v>2520000</v>
          </cell>
          <cell r="AK40">
            <v>420000</v>
          </cell>
          <cell r="AL40">
            <v>140000</v>
          </cell>
          <cell r="AM40">
            <v>3080000</v>
          </cell>
          <cell r="AN40">
            <v>14000000</v>
          </cell>
          <cell r="AO40">
            <v>14000000</v>
          </cell>
          <cell r="AQ40">
            <v>15793500</v>
          </cell>
        </row>
        <row r="41">
          <cell r="C41" t="str">
            <v>024017276</v>
          </cell>
          <cell r="D41" t="str">
            <v>Nguyen Pham Uyen Linh</v>
          </cell>
          <cell r="E41">
            <v>41974</v>
          </cell>
          <cell r="F41" t="str">
            <v>GENERAL MD</v>
          </cell>
          <cell r="G41" t="str">
            <v>Non food</v>
          </cell>
          <cell r="H41" t="str">
            <v>Manager</v>
          </cell>
          <cell r="I41">
            <v>34400000</v>
          </cell>
          <cell r="K41">
            <v>34400000</v>
          </cell>
          <cell r="M41">
            <v>3000000</v>
          </cell>
          <cell r="N41">
            <v>2000000</v>
          </cell>
          <cell r="O41">
            <v>600000</v>
          </cell>
          <cell r="Q41">
            <v>5600000</v>
          </cell>
          <cell r="R41">
            <v>0</v>
          </cell>
          <cell r="V41">
            <v>40000000</v>
          </cell>
          <cell r="W41">
            <v>0</v>
          </cell>
          <cell r="X41">
            <v>9000000</v>
          </cell>
          <cell r="Y41">
            <v>2</v>
          </cell>
          <cell r="Z41">
            <v>7200000</v>
          </cell>
          <cell r="AA41">
            <v>1840000</v>
          </cell>
          <cell r="AB41">
            <v>345000</v>
          </cell>
          <cell r="AC41">
            <v>400000</v>
          </cell>
          <cell r="AD41">
            <v>2585000</v>
          </cell>
          <cell r="AE41">
            <v>0</v>
          </cell>
          <cell r="AF41">
            <v>21215000</v>
          </cell>
          <cell r="AG41">
            <v>0.2</v>
          </cell>
          <cell r="AH41">
            <v>1650000</v>
          </cell>
          <cell r="AI41">
            <v>2593000</v>
          </cell>
          <cell r="AJ41">
            <v>4140000</v>
          </cell>
          <cell r="AK41">
            <v>690000</v>
          </cell>
          <cell r="AL41">
            <v>400000</v>
          </cell>
          <cell r="AM41">
            <v>5230000</v>
          </cell>
          <cell r="AN41">
            <v>23000000</v>
          </cell>
          <cell r="AO41">
            <v>40000000</v>
          </cell>
          <cell r="AQ41">
            <v>34822000</v>
          </cell>
        </row>
        <row r="42">
          <cell r="C42" t="str">
            <v>023807437</v>
          </cell>
          <cell r="D42" t="str">
            <v>Nguyen Duc Vinh</v>
          </cell>
          <cell r="E42">
            <v>41976</v>
          </cell>
          <cell r="F42" t="str">
            <v>Operation</v>
          </cell>
          <cell r="G42" t="str">
            <v>MKT</v>
          </cell>
          <cell r="H42" t="str">
            <v>Senior Staff</v>
          </cell>
          <cell r="I42">
            <v>22200000</v>
          </cell>
          <cell r="K42">
            <v>22200000</v>
          </cell>
          <cell r="M42">
            <v>1000000</v>
          </cell>
          <cell r="N42">
            <v>1000000</v>
          </cell>
          <cell r="O42">
            <v>200000</v>
          </cell>
          <cell r="P42">
            <v>600000</v>
          </cell>
          <cell r="Q42">
            <v>2800000</v>
          </cell>
          <cell r="R42">
            <v>0</v>
          </cell>
          <cell r="V42">
            <v>25000000</v>
          </cell>
          <cell r="W42">
            <v>0</v>
          </cell>
          <cell r="X42">
            <v>9000000</v>
          </cell>
          <cell r="Z42">
            <v>0</v>
          </cell>
          <cell r="AA42">
            <v>1840000</v>
          </cell>
          <cell r="AB42">
            <v>345000</v>
          </cell>
          <cell r="AC42">
            <v>250000</v>
          </cell>
          <cell r="AD42">
            <v>2435000</v>
          </cell>
          <cell r="AE42">
            <v>600000</v>
          </cell>
          <cell r="AF42">
            <v>12965000</v>
          </cell>
          <cell r="AG42">
            <v>0.15</v>
          </cell>
          <cell r="AH42">
            <v>750000</v>
          </cell>
          <cell r="AI42">
            <v>1194750</v>
          </cell>
          <cell r="AJ42">
            <v>4140000</v>
          </cell>
          <cell r="AK42">
            <v>690000</v>
          </cell>
          <cell r="AL42">
            <v>250000</v>
          </cell>
          <cell r="AM42">
            <v>5080000</v>
          </cell>
          <cell r="AN42">
            <v>23000000</v>
          </cell>
          <cell r="AO42">
            <v>25000000</v>
          </cell>
          <cell r="AQ42">
            <v>21370250</v>
          </cell>
        </row>
        <row r="43">
          <cell r="C43" t="str">
            <v>024003457</v>
          </cell>
          <cell r="D43" t="str">
            <v>Nguyen Khai Tien</v>
          </cell>
          <cell r="E43">
            <v>42009</v>
          </cell>
          <cell r="F43" t="str">
            <v>Operation</v>
          </cell>
          <cell r="G43" t="str">
            <v>MKT</v>
          </cell>
          <cell r="H43" t="str">
            <v>Senior Staff</v>
          </cell>
          <cell r="I43">
            <v>16200000</v>
          </cell>
          <cell r="K43">
            <v>16200000</v>
          </cell>
          <cell r="P43">
            <v>600000</v>
          </cell>
          <cell r="Q43">
            <v>600000</v>
          </cell>
          <cell r="R43">
            <v>0</v>
          </cell>
          <cell r="V43">
            <v>16800000</v>
          </cell>
          <cell r="W43">
            <v>0</v>
          </cell>
          <cell r="X43">
            <v>9000000</v>
          </cell>
          <cell r="Z43">
            <v>0</v>
          </cell>
          <cell r="AA43">
            <v>1344000</v>
          </cell>
          <cell r="AB43">
            <v>252000</v>
          </cell>
          <cell r="AC43">
            <v>168000</v>
          </cell>
          <cell r="AD43">
            <v>1764000</v>
          </cell>
          <cell r="AE43">
            <v>600000</v>
          </cell>
          <cell r="AF43">
            <v>5436000</v>
          </cell>
          <cell r="AG43">
            <v>0.1</v>
          </cell>
          <cell r="AH43">
            <v>250000</v>
          </cell>
          <cell r="AI43">
            <v>293600</v>
          </cell>
          <cell r="AJ43">
            <v>3024000</v>
          </cell>
          <cell r="AK43">
            <v>504000</v>
          </cell>
          <cell r="AL43">
            <v>168000</v>
          </cell>
          <cell r="AM43">
            <v>3696000</v>
          </cell>
          <cell r="AN43">
            <v>16800000</v>
          </cell>
          <cell r="AO43">
            <v>16800000</v>
          </cell>
          <cell r="AQ43">
            <v>14742400</v>
          </cell>
        </row>
        <row r="44">
          <cell r="C44" t="str">
            <v>025627336</v>
          </cell>
          <cell r="D44" t="str">
            <v>Tran Thi My An</v>
          </cell>
          <cell r="E44">
            <v>42030</v>
          </cell>
          <cell r="F44" t="str">
            <v>GENERAL MD</v>
          </cell>
          <cell r="G44" t="str">
            <v>FMCG</v>
          </cell>
          <cell r="H44" t="str">
            <v>Manager</v>
          </cell>
          <cell r="I44">
            <v>47400000</v>
          </cell>
          <cell r="K44">
            <v>47400000</v>
          </cell>
          <cell r="M44">
            <v>3000000</v>
          </cell>
          <cell r="N44">
            <v>2000000</v>
          </cell>
          <cell r="O44">
            <v>600000</v>
          </cell>
          <cell r="Q44">
            <v>5600000</v>
          </cell>
          <cell r="R44">
            <v>0</v>
          </cell>
          <cell r="V44">
            <v>53000000</v>
          </cell>
          <cell r="W44">
            <v>0</v>
          </cell>
          <cell r="X44">
            <v>9000000</v>
          </cell>
          <cell r="Y44">
            <v>2</v>
          </cell>
          <cell r="Z44">
            <v>7200000</v>
          </cell>
          <cell r="AA44">
            <v>1840000</v>
          </cell>
          <cell r="AB44">
            <v>345000</v>
          </cell>
          <cell r="AC44">
            <v>530000</v>
          </cell>
          <cell r="AD44">
            <v>2715000</v>
          </cell>
          <cell r="AE44">
            <v>0</v>
          </cell>
          <cell r="AF44">
            <v>34085000</v>
          </cell>
          <cell r="AG44">
            <v>0.25</v>
          </cell>
          <cell r="AH44">
            <v>3250000</v>
          </cell>
          <cell r="AI44">
            <v>5271250</v>
          </cell>
          <cell r="AJ44">
            <v>4140000</v>
          </cell>
          <cell r="AK44">
            <v>690000</v>
          </cell>
          <cell r="AL44">
            <v>530000</v>
          </cell>
          <cell r="AM44">
            <v>5360000</v>
          </cell>
          <cell r="AN44">
            <v>23000000</v>
          </cell>
          <cell r="AO44">
            <v>53000000</v>
          </cell>
          <cell r="AQ44">
            <v>45013750</v>
          </cell>
        </row>
        <row r="45">
          <cell r="C45" t="str">
            <v>025854784</v>
          </cell>
          <cell r="D45" t="str">
            <v>Nguyen Cong Nguyen</v>
          </cell>
          <cell r="E45">
            <v>41976</v>
          </cell>
          <cell r="F45" t="str">
            <v>FRESH MD</v>
          </cell>
          <cell r="G45" t="str">
            <v>Fresh food</v>
          </cell>
          <cell r="H45" t="str">
            <v>Manager</v>
          </cell>
          <cell r="I45">
            <v>54400000</v>
          </cell>
          <cell r="K45">
            <v>54400000</v>
          </cell>
          <cell r="M45">
            <v>3000000</v>
          </cell>
          <cell r="N45">
            <v>2000000</v>
          </cell>
          <cell r="O45">
            <v>600000</v>
          </cell>
          <cell r="Q45">
            <v>5600000</v>
          </cell>
          <cell r="R45">
            <v>0</v>
          </cell>
          <cell r="V45">
            <v>60000000</v>
          </cell>
          <cell r="W45">
            <v>0</v>
          </cell>
          <cell r="X45">
            <v>9000000</v>
          </cell>
          <cell r="Y45">
            <v>3</v>
          </cell>
          <cell r="Z45">
            <v>10800000</v>
          </cell>
          <cell r="AA45">
            <v>1840000</v>
          </cell>
          <cell r="AB45">
            <v>345000</v>
          </cell>
          <cell r="AC45">
            <v>600000</v>
          </cell>
          <cell r="AD45">
            <v>2785000</v>
          </cell>
          <cell r="AE45">
            <v>0</v>
          </cell>
          <cell r="AF45">
            <v>37415000</v>
          </cell>
          <cell r="AG45">
            <v>0.25</v>
          </cell>
          <cell r="AH45">
            <v>3250000</v>
          </cell>
          <cell r="AI45">
            <v>6103750</v>
          </cell>
          <cell r="AJ45">
            <v>4140000</v>
          </cell>
          <cell r="AK45">
            <v>690000</v>
          </cell>
          <cell r="AL45">
            <v>600000</v>
          </cell>
          <cell r="AM45">
            <v>5430000</v>
          </cell>
          <cell r="AN45">
            <v>23000000</v>
          </cell>
          <cell r="AO45">
            <v>60000000</v>
          </cell>
          <cell r="AQ45">
            <v>51111250</v>
          </cell>
        </row>
        <row r="46">
          <cell r="C46" t="str">
            <v>250516222</v>
          </cell>
          <cell r="D46" t="str">
            <v>Ha Thanh Phu</v>
          </cell>
          <cell r="E46">
            <v>41983</v>
          </cell>
          <cell r="F46" t="str">
            <v>GENERAL MD</v>
          </cell>
          <cell r="G46" t="str">
            <v>Non food</v>
          </cell>
          <cell r="H46" t="str">
            <v>Supervisor</v>
          </cell>
          <cell r="I46">
            <v>22200000</v>
          </cell>
          <cell r="K46">
            <v>22200000</v>
          </cell>
          <cell r="M46">
            <v>1000000</v>
          </cell>
          <cell r="N46">
            <v>1000000</v>
          </cell>
          <cell r="O46">
            <v>200000</v>
          </cell>
          <cell r="P46">
            <v>600000</v>
          </cell>
          <cell r="Q46">
            <v>2800000</v>
          </cell>
          <cell r="R46">
            <v>0</v>
          </cell>
          <cell r="V46">
            <v>25000000</v>
          </cell>
          <cell r="W46">
            <v>0</v>
          </cell>
          <cell r="X46">
            <v>9000000</v>
          </cell>
          <cell r="Y46">
            <v>3</v>
          </cell>
          <cell r="Z46">
            <v>10800000</v>
          </cell>
          <cell r="AA46">
            <v>1840000</v>
          </cell>
          <cell r="AB46">
            <v>345000</v>
          </cell>
          <cell r="AC46">
            <v>250000</v>
          </cell>
          <cell r="AD46">
            <v>2435000</v>
          </cell>
          <cell r="AE46">
            <v>600000</v>
          </cell>
          <cell r="AF46">
            <v>2165000</v>
          </cell>
          <cell r="AG46">
            <v>0.05</v>
          </cell>
          <cell r="AH46">
            <v>0</v>
          </cell>
          <cell r="AI46">
            <v>108250</v>
          </cell>
          <cell r="AJ46">
            <v>4140000</v>
          </cell>
          <cell r="AK46">
            <v>690000</v>
          </cell>
          <cell r="AL46">
            <v>250000</v>
          </cell>
          <cell r="AM46">
            <v>5080000</v>
          </cell>
          <cell r="AN46">
            <v>23000000</v>
          </cell>
          <cell r="AO46">
            <v>25000000</v>
          </cell>
          <cell r="AQ46">
            <v>22456750</v>
          </cell>
        </row>
        <row r="47">
          <cell r="C47" t="str">
            <v>215175393</v>
          </cell>
          <cell r="D47" t="str">
            <v>Tran Ho Ha Uyen</v>
          </cell>
          <cell r="E47">
            <v>41988</v>
          </cell>
          <cell r="F47" t="str">
            <v>FRESH MD</v>
          </cell>
          <cell r="G47" t="str">
            <v>Fresh food</v>
          </cell>
          <cell r="H47" t="str">
            <v>staff</v>
          </cell>
          <cell r="I47">
            <v>10400000</v>
          </cell>
          <cell r="K47">
            <v>10400000</v>
          </cell>
          <cell r="P47">
            <v>600000</v>
          </cell>
          <cell r="Q47">
            <v>600000</v>
          </cell>
          <cell r="R47">
            <v>0</v>
          </cell>
          <cell r="V47">
            <v>11000000</v>
          </cell>
          <cell r="W47">
            <v>0</v>
          </cell>
          <cell r="X47">
            <v>9000000</v>
          </cell>
          <cell r="Z47">
            <v>0</v>
          </cell>
          <cell r="AA47">
            <v>880000</v>
          </cell>
          <cell r="AB47">
            <v>165000</v>
          </cell>
          <cell r="AC47">
            <v>110000</v>
          </cell>
          <cell r="AD47">
            <v>1155000</v>
          </cell>
          <cell r="AE47">
            <v>600000</v>
          </cell>
          <cell r="AF47">
            <v>245000</v>
          </cell>
          <cell r="AG47">
            <v>0.05</v>
          </cell>
          <cell r="AH47">
            <v>0</v>
          </cell>
          <cell r="AI47">
            <v>12250</v>
          </cell>
          <cell r="AJ47">
            <v>1980000</v>
          </cell>
          <cell r="AK47">
            <v>330000</v>
          </cell>
          <cell r="AL47">
            <v>110000</v>
          </cell>
          <cell r="AM47">
            <v>2420000</v>
          </cell>
          <cell r="AN47">
            <v>11000000</v>
          </cell>
          <cell r="AO47">
            <v>11000000</v>
          </cell>
          <cell r="AQ47">
            <v>9832750</v>
          </cell>
        </row>
        <row r="48">
          <cell r="C48" t="str">
            <v>321067217</v>
          </cell>
          <cell r="D48" t="str">
            <v>Huynh Phuoc Tri</v>
          </cell>
          <cell r="E48">
            <v>42059</v>
          </cell>
          <cell r="F48" t="str">
            <v>FRESH MD</v>
          </cell>
          <cell r="G48" t="str">
            <v>Fresh food</v>
          </cell>
          <cell r="H48" t="str">
            <v>Supervisor</v>
          </cell>
          <cell r="I48">
            <v>21200000</v>
          </cell>
          <cell r="K48">
            <v>21200000</v>
          </cell>
          <cell r="M48">
            <v>1000000</v>
          </cell>
          <cell r="N48">
            <v>1000000</v>
          </cell>
          <cell r="O48">
            <v>200000</v>
          </cell>
          <cell r="P48">
            <v>600000</v>
          </cell>
          <cell r="Q48">
            <v>2800000</v>
          </cell>
          <cell r="R48">
            <v>0</v>
          </cell>
          <cell r="V48">
            <v>24000000</v>
          </cell>
          <cell r="W48">
            <v>0</v>
          </cell>
          <cell r="X48">
            <v>9000000</v>
          </cell>
          <cell r="Y48">
            <v>4</v>
          </cell>
          <cell r="Z48">
            <v>14400000</v>
          </cell>
          <cell r="AA48">
            <v>1840000</v>
          </cell>
          <cell r="AB48">
            <v>345000</v>
          </cell>
          <cell r="AC48">
            <v>240000</v>
          </cell>
          <cell r="AD48">
            <v>2425000</v>
          </cell>
          <cell r="AE48">
            <v>600000</v>
          </cell>
          <cell r="AF48">
            <v>-2425000</v>
          </cell>
          <cell r="AG48">
            <v>0</v>
          </cell>
          <cell r="AH48">
            <v>0</v>
          </cell>
          <cell r="AI48">
            <v>0</v>
          </cell>
          <cell r="AJ48">
            <v>4140000</v>
          </cell>
          <cell r="AK48">
            <v>690000</v>
          </cell>
          <cell r="AL48">
            <v>240000</v>
          </cell>
          <cell r="AM48">
            <v>5070000</v>
          </cell>
          <cell r="AN48">
            <v>23000000</v>
          </cell>
          <cell r="AO48">
            <v>24000000</v>
          </cell>
          <cell r="AQ48">
            <v>21575000</v>
          </cell>
        </row>
        <row r="49">
          <cell r="C49" t="str">
            <v>025714462</v>
          </cell>
          <cell r="D49" t="str">
            <v>Tran Thi Le Suong</v>
          </cell>
          <cell r="E49">
            <v>42061</v>
          </cell>
          <cell r="F49" t="str">
            <v>GENERAL MD</v>
          </cell>
          <cell r="G49" t="str">
            <v>FMCG</v>
          </cell>
          <cell r="H49" t="str">
            <v>Supervisor</v>
          </cell>
          <cell r="I49">
            <v>17200000</v>
          </cell>
          <cell r="K49">
            <v>17200000</v>
          </cell>
          <cell r="M49">
            <v>1000000</v>
          </cell>
          <cell r="N49">
            <v>1000000</v>
          </cell>
          <cell r="O49">
            <v>200000</v>
          </cell>
          <cell r="P49">
            <v>600000</v>
          </cell>
          <cell r="Q49">
            <v>2800000</v>
          </cell>
          <cell r="R49">
            <v>0</v>
          </cell>
          <cell r="V49">
            <v>20000000</v>
          </cell>
          <cell r="W49">
            <v>0</v>
          </cell>
          <cell r="X49">
            <v>9000000</v>
          </cell>
          <cell r="Y49">
            <v>1</v>
          </cell>
          <cell r="Z49">
            <v>3600000</v>
          </cell>
          <cell r="AA49">
            <v>1600000</v>
          </cell>
          <cell r="AB49">
            <v>300000</v>
          </cell>
          <cell r="AC49">
            <v>200000</v>
          </cell>
          <cell r="AD49">
            <v>2100000</v>
          </cell>
          <cell r="AE49">
            <v>600000</v>
          </cell>
          <cell r="AF49">
            <v>4700000</v>
          </cell>
          <cell r="AG49">
            <v>0.05</v>
          </cell>
          <cell r="AH49">
            <v>0</v>
          </cell>
          <cell r="AI49">
            <v>235000</v>
          </cell>
          <cell r="AJ49">
            <v>3600000</v>
          </cell>
          <cell r="AK49">
            <v>600000</v>
          </cell>
          <cell r="AL49">
            <v>200000</v>
          </cell>
          <cell r="AM49">
            <v>4400000</v>
          </cell>
          <cell r="AN49">
            <v>20000000</v>
          </cell>
          <cell r="AO49">
            <v>20000000</v>
          </cell>
          <cell r="AQ49">
            <v>17665000</v>
          </cell>
        </row>
        <row r="50">
          <cell r="C50" t="str">
            <v>023308009</v>
          </cell>
          <cell r="D50" t="str">
            <v>Nguyen Thi My Trang</v>
          </cell>
          <cell r="E50">
            <v>42009</v>
          </cell>
          <cell r="F50" t="str">
            <v>GENERAL MD</v>
          </cell>
          <cell r="G50" t="str">
            <v>Fashion</v>
          </cell>
          <cell r="H50" t="str">
            <v>Supervisor</v>
          </cell>
          <cell r="I50">
            <v>16700000</v>
          </cell>
          <cell r="K50">
            <v>16700000</v>
          </cell>
          <cell r="M50">
            <v>1000000</v>
          </cell>
          <cell r="N50">
            <v>1000000</v>
          </cell>
          <cell r="O50">
            <v>200000</v>
          </cell>
          <cell r="P50">
            <v>600000</v>
          </cell>
          <cell r="Q50">
            <v>2800000</v>
          </cell>
          <cell r="R50">
            <v>0</v>
          </cell>
          <cell r="V50">
            <v>19500000</v>
          </cell>
          <cell r="W50">
            <v>0</v>
          </cell>
          <cell r="X50">
            <v>9000000</v>
          </cell>
          <cell r="Y50">
            <v>1</v>
          </cell>
          <cell r="Z50">
            <v>3600000</v>
          </cell>
          <cell r="AA50">
            <v>1560000</v>
          </cell>
          <cell r="AB50">
            <v>292500</v>
          </cell>
          <cell r="AC50">
            <v>195000</v>
          </cell>
          <cell r="AD50">
            <v>2047500</v>
          </cell>
          <cell r="AE50">
            <v>600000</v>
          </cell>
          <cell r="AF50">
            <v>4252500</v>
          </cell>
          <cell r="AG50">
            <v>0.05</v>
          </cell>
          <cell r="AH50">
            <v>0</v>
          </cell>
          <cell r="AI50">
            <v>212625</v>
          </cell>
          <cell r="AJ50">
            <v>3510000</v>
          </cell>
          <cell r="AK50">
            <v>585000</v>
          </cell>
          <cell r="AL50">
            <v>195000</v>
          </cell>
          <cell r="AM50">
            <v>4290000</v>
          </cell>
          <cell r="AN50">
            <v>19500000</v>
          </cell>
          <cell r="AO50">
            <v>19500000</v>
          </cell>
          <cell r="AQ50">
            <v>17239875</v>
          </cell>
        </row>
        <row r="51">
          <cell r="C51" t="str">
            <v>211853858</v>
          </cell>
          <cell r="D51" t="str">
            <v>Pham Thi Thanh Thuy</v>
          </cell>
          <cell r="E51">
            <v>42068</v>
          </cell>
          <cell r="F51" t="str">
            <v>Audit</v>
          </cell>
          <cell r="G51" t="str">
            <v>Audit</v>
          </cell>
          <cell r="H51" t="str">
            <v>Manager</v>
          </cell>
          <cell r="I51">
            <v>61400000</v>
          </cell>
          <cell r="K51">
            <v>61400000</v>
          </cell>
          <cell r="M51">
            <v>3000000</v>
          </cell>
          <cell r="N51">
            <v>2000000</v>
          </cell>
          <cell r="O51">
            <v>600000</v>
          </cell>
          <cell r="Q51">
            <v>5600000</v>
          </cell>
          <cell r="R51">
            <v>0</v>
          </cell>
          <cell r="V51">
            <v>67000000</v>
          </cell>
          <cell r="W51">
            <v>0</v>
          </cell>
          <cell r="X51">
            <v>9000000</v>
          </cell>
          <cell r="Y51">
            <v>1</v>
          </cell>
          <cell r="Z51">
            <v>3600000</v>
          </cell>
          <cell r="AA51">
            <v>1840000</v>
          </cell>
          <cell r="AB51">
            <v>345000</v>
          </cell>
          <cell r="AC51">
            <v>620000</v>
          </cell>
          <cell r="AD51">
            <v>2805000</v>
          </cell>
          <cell r="AE51">
            <v>0</v>
          </cell>
          <cell r="AF51">
            <v>51595000</v>
          </cell>
          <cell r="AG51">
            <v>0.25</v>
          </cell>
          <cell r="AH51">
            <v>3250000</v>
          </cell>
          <cell r="AI51">
            <v>9648750</v>
          </cell>
          <cell r="AJ51">
            <v>4140000</v>
          </cell>
          <cell r="AK51">
            <v>690000</v>
          </cell>
          <cell r="AL51">
            <v>620000</v>
          </cell>
          <cell r="AM51">
            <v>5450000</v>
          </cell>
          <cell r="AN51">
            <v>23000000</v>
          </cell>
          <cell r="AO51">
            <v>62000000</v>
          </cell>
          <cell r="AQ51">
            <v>54546250</v>
          </cell>
        </row>
        <row r="52">
          <cell r="C52" t="str">
            <v>024415509</v>
          </cell>
          <cell r="D52" t="str">
            <v>Le Mong Long</v>
          </cell>
          <cell r="E52">
            <v>42065</v>
          </cell>
          <cell r="F52" t="str">
            <v>Operation</v>
          </cell>
          <cell r="G52" t="str">
            <v>Operation</v>
          </cell>
          <cell r="H52" t="str">
            <v>Manager</v>
          </cell>
          <cell r="I52">
            <v>69400000</v>
          </cell>
          <cell r="K52">
            <v>69400000</v>
          </cell>
          <cell r="M52">
            <v>3000000</v>
          </cell>
          <cell r="N52">
            <v>2000000</v>
          </cell>
          <cell r="O52">
            <v>600000</v>
          </cell>
          <cell r="Q52">
            <v>5600000</v>
          </cell>
          <cell r="R52">
            <v>0</v>
          </cell>
          <cell r="V52">
            <v>75000000</v>
          </cell>
          <cell r="W52">
            <v>0</v>
          </cell>
          <cell r="X52">
            <v>9000000</v>
          </cell>
          <cell r="Y52">
            <v>4</v>
          </cell>
          <cell r="Z52">
            <v>14400000</v>
          </cell>
          <cell r="AA52">
            <v>1840000</v>
          </cell>
          <cell r="AB52">
            <v>345000</v>
          </cell>
          <cell r="AC52">
            <v>620000</v>
          </cell>
          <cell r="AD52">
            <v>2805000</v>
          </cell>
          <cell r="AE52">
            <v>0</v>
          </cell>
          <cell r="AF52">
            <v>48795000</v>
          </cell>
          <cell r="AG52">
            <v>0.25</v>
          </cell>
          <cell r="AH52">
            <v>3250000</v>
          </cell>
          <cell r="AI52">
            <v>8948750</v>
          </cell>
          <cell r="AJ52">
            <v>4140000</v>
          </cell>
          <cell r="AK52">
            <v>690000</v>
          </cell>
          <cell r="AL52">
            <v>620000</v>
          </cell>
          <cell r="AM52">
            <v>5450000</v>
          </cell>
          <cell r="AN52">
            <v>23000000</v>
          </cell>
          <cell r="AO52">
            <v>62000000</v>
          </cell>
          <cell r="AQ52">
            <v>63246250</v>
          </cell>
        </row>
        <row r="53">
          <cell r="C53" t="str">
            <v>023169608</v>
          </cell>
          <cell r="D53" t="str">
            <v>Milla</v>
          </cell>
          <cell r="E53">
            <v>42073</v>
          </cell>
          <cell r="F53" t="str">
            <v>GENERAL MD</v>
          </cell>
          <cell r="G53" t="str">
            <v>Fashion</v>
          </cell>
          <cell r="H53" t="str">
            <v>Supervisor</v>
          </cell>
          <cell r="I53">
            <v>15200000</v>
          </cell>
          <cell r="K53">
            <v>15200000</v>
          </cell>
          <cell r="M53">
            <v>1000000</v>
          </cell>
          <cell r="N53">
            <v>1000000</v>
          </cell>
          <cell r="O53">
            <v>200000</v>
          </cell>
          <cell r="P53">
            <v>600000</v>
          </cell>
          <cell r="Q53">
            <v>2800000</v>
          </cell>
          <cell r="R53">
            <v>0</v>
          </cell>
          <cell r="V53">
            <v>18000000</v>
          </cell>
          <cell r="W53">
            <v>0</v>
          </cell>
          <cell r="X53">
            <v>9000000</v>
          </cell>
          <cell r="Y53">
            <v>1</v>
          </cell>
          <cell r="Z53">
            <v>3600000</v>
          </cell>
          <cell r="AA53">
            <v>1440000</v>
          </cell>
          <cell r="AB53">
            <v>270000</v>
          </cell>
          <cell r="AC53">
            <v>180000</v>
          </cell>
          <cell r="AD53">
            <v>1890000</v>
          </cell>
          <cell r="AE53">
            <v>600000</v>
          </cell>
          <cell r="AF53">
            <v>2910000</v>
          </cell>
          <cell r="AG53">
            <v>0.05</v>
          </cell>
          <cell r="AH53">
            <v>0</v>
          </cell>
          <cell r="AI53">
            <v>145500</v>
          </cell>
          <cell r="AJ53">
            <v>3240000</v>
          </cell>
          <cell r="AK53">
            <v>540000</v>
          </cell>
          <cell r="AL53">
            <v>180000</v>
          </cell>
          <cell r="AM53">
            <v>3960000</v>
          </cell>
          <cell r="AN53">
            <v>18000000</v>
          </cell>
          <cell r="AO53">
            <v>18000000</v>
          </cell>
          <cell r="AQ53">
            <v>15964500</v>
          </cell>
        </row>
        <row r="54">
          <cell r="C54" t="str">
            <v>024173007</v>
          </cell>
          <cell r="D54" t="str">
            <v>Nguyen Thi Lan Phuong</v>
          </cell>
          <cell r="E54">
            <v>42128</v>
          </cell>
          <cell r="F54" t="str">
            <v>GENERAL MD</v>
          </cell>
          <cell r="G54" t="str">
            <v>FMCG</v>
          </cell>
          <cell r="H54" t="str">
            <v>Supervisor</v>
          </cell>
          <cell r="I54">
            <v>20200000</v>
          </cell>
          <cell r="K54">
            <v>20200000</v>
          </cell>
          <cell r="M54">
            <v>1000000</v>
          </cell>
          <cell r="N54">
            <v>1000000</v>
          </cell>
          <cell r="O54">
            <v>200000</v>
          </cell>
          <cell r="P54">
            <v>600000</v>
          </cell>
          <cell r="Q54">
            <v>2800000</v>
          </cell>
          <cell r="R54">
            <v>0</v>
          </cell>
          <cell r="V54">
            <v>23000000</v>
          </cell>
          <cell r="W54">
            <v>0</v>
          </cell>
          <cell r="X54">
            <v>9000000</v>
          </cell>
          <cell r="Y54">
            <v>1</v>
          </cell>
          <cell r="Z54">
            <v>3600000</v>
          </cell>
          <cell r="AA54">
            <v>1840000</v>
          </cell>
          <cell r="AB54">
            <v>345000</v>
          </cell>
          <cell r="AC54">
            <v>230000</v>
          </cell>
          <cell r="AD54">
            <v>2415000</v>
          </cell>
          <cell r="AE54">
            <v>600000</v>
          </cell>
          <cell r="AF54">
            <v>7385000</v>
          </cell>
          <cell r="AG54">
            <v>0.1</v>
          </cell>
          <cell r="AH54">
            <v>250000</v>
          </cell>
          <cell r="AI54">
            <v>488500</v>
          </cell>
          <cell r="AJ54">
            <v>4140000</v>
          </cell>
          <cell r="AK54">
            <v>690000</v>
          </cell>
          <cell r="AL54">
            <v>230000</v>
          </cell>
          <cell r="AM54">
            <v>5060000</v>
          </cell>
          <cell r="AN54">
            <v>23000000</v>
          </cell>
          <cell r="AO54">
            <v>23000000</v>
          </cell>
          <cell r="AQ54">
            <v>20096500</v>
          </cell>
        </row>
        <row r="55">
          <cell r="C55" t="str">
            <v>351741632</v>
          </cell>
          <cell r="D55" t="str">
            <v>Tran Trinh Tuan Vi</v>
          </cell>
          <cell r="E55">
            <v>42132</v>
          </cell>
          <cell r="F55" t="str">
            <v>GENERAL MD</v>
          </cell>
          <cell r="G55" t="str">
            <v>Non food</v>
          </cell>
          <cell r="H55" t="str">
            <v>Supervisor</v>
          </cell>
          <cell r="I55">
            <v>18200000</v>
          </cell>
          <cell r="K55">
            <v>18200000</v>
          </cell>
          <cell r="M55">
            <v>1000000</v>
          </cell>
          <cell r="N55">
            <v>1000000</v>
          </cell>
          <cell r="O55">
            <v>200000</v>
          </cell>
          <cell r="P55">
            <v>600000</v>
          </cell>
          <cell r="Q55">
            <v>2800000</v>
          </cell>
          <cell r="R55">
            <v>0</v>
          </cell>
          <cell r="V55">
            <v>21000000</v>
          </cell>
          <cell r="W55">
            <v>0</v>
          </cell>
          <cell r="X55">
            <v>9000000</v>
          </cell>
          <cell r="Y55">
            <v>1</v>
          </cell>
          <cell r="Z55">
            <v>3600000</v>
          </cell>
          <cell r="AA55">
            <v>1680000</v>
          </cell>
          <cell r="AB55">
            <v>315000</v>
          </cell>
          <cell r="AC55">
            <v>210000</v>
          </cell>
          <cell r="AD55">
            <v>2205000</v>
          </cell>
          <cell r="AE55">
            <v>600000</v>
          </cell>
          <cell r="AF55">
            <v>5595000</v>
          </cell>
          <cell r="AG55">
            <v>0.1</v>
          </cell>
          <cell r="AH55">
            <v>250000</v>
          </cell>
          <cell r="AI55">
            <v>309500</v>
          </cell>
          <cell r="AJ55">
            <v>3780000</v>
          </cell>
          <cell r="AK55">
            <v>630000</v>
          </cell>
          <cell r="AL55">
            <v>210000</v>
          </cell>
          <cell r="AM55">
            <v>4620000</v>
          </cell>
          <cell r="AN55">
            <v>21000000</v>
          </cell>
          <cell r="AO55">
            <v>21000000</v>
          </cell>
          <cell r="AQ55">
            <v>18485500</v>
          </cell>
        </row>
        <row r="56">
          <cell r="C56" t="str">
            <v>023925082</v>
          </cell>
          <cell r="D56" t="str">
            <v>Nguyen Xuan Thanh Tuyen</v>
          </cell>
          <cell r="E56">
            <v>42135</v>
          </cell>
          <cell r="F56" t="str">
            <v>GENERAL MD</v>
          </cell>
          <cell r="G56" t="str">
            <v>Non food</v>
          </cell>
          <cell r="H56" t="str">
            <v>Supervisor</v>
          </cell>
          <cell r="I56">
            <v>15200000</v>
          </cell>
          <cell r="K56">
            <v>15200000</v>
          </cell>
          <cell r="M56">
            <v>1000000</v>
          </cell>
          <cell r="N56">
            <v>1000000</v>
          </cell>
          <cell r="O56">
            <v>200000</v>
          </cell>
          <cell r="P56">
            <v>600000</v>
          </cell>
          <cell r="Q56">
            <v>2800000</v>
          </cell>
          <cell r="R56">
            <v>0</v>
          </cell>
          <cell r="V56">
            <v>18000000</v>
          </cell>
          <cell r="W56">
            <v>0</v>
          </cell>
          <cell r="X56">
            <v>9000000</v>
          </cell>
          <cell r="Y56">
            <v>0</v>
          </cell>
          <cell r="Z56">
            <v>0</v>
          </cell>
          <cell r="AA56">
            <v>1440000</v>
          </cell>
          <cell r="AB56">
            <v>270000</v>
          </cell>
          <cell r="AC56">
            <v>180000</v>
          </cell>
          <cell r="AD56">
            <v>1890000</v>
          </cell>
          <cell r="AE56">
            <v>600000</v>
          </cell>
          <cell r="AF56">
            <v>6510000</v>
          </cell>
          <cell r="AG56">
            <v>0.1</v>
          </cell>
          <cell r="AH56">
            <v>250000</v>
          </cell>
          <cell r="AI56">
            <v>401000</v>
          </cell>
          <cell r="AJ56">
            <v>3240000</v>
          </cell>
          <cell r="AK56">
            <v>540000</v>
          </cell>
          <cell r="AL56">
            <v>180000</v>
          </cell>
          <cell r="AM56">
            <v>3960000</v>
          </cell>
          <cell r="AN56">
            <v>18000000</v>
          </cell>
          <cell r="AO56">
            <v>18000000</v>
          </cell>
          <cell r="AQ56">
            <v>15709000</v>
          </cell>
        </row>
        <row r="57">
          <cell r="C57" t="str">
            <v>024159940</v>
          </cell>
          <cell r="D57" t="str">
            <v>Tran Ngoc Anh Khoa</v>
          </cell>
          <cell r="E57">
            <v>42156</v>
          </cell>
          <cell r="F57" t="str">
            <v>GENERAL MD</v>
          </cell>
          <cell r="G57" t="str">
            <v>Key In</v>
          </cell>
          <cell r="H57" t="str">
            <v>Senior Staff</v>
          </cell>
          <cell r="I57">
            <v>10700000</v>
          </cell>
          <cell r="K57">
            <v>10700000</v>
          </cell>
          <cell r="P57">
            <v>600000</v>
          </cell>
          <cell r="Q57">
            <v>600000</v>
          </cell>
          <cell r="V57">
            <v>11300000</v>
          </cell>
          <cell r="W57">
            <v>0</v>
          </cell>
          <cell r="X57">
            <v>9000000</v>
          </cell>
          <cell r="Y57">
            <v>0</v>
          </cell>
          <cell r="Z57">
            <v>0</v>
          </cell>
          <cell r="AA57">
            <v>904000</v>
          </cell>
          <cell r="AB57">
            <v>169500</v>
          </cell>
          <cell r="AC57">
            <v>113000</v>
          </cell>
          <cell r="AD57">
            <v>1186500</v>
          </cell>
          <cell r="AE57">
            <v>600000</v>
          </cell>
          <cell r="AF57">
            <v>513500</v>
          </cell>
          <cell r="AG57">
            <v>0.05</v>
          </cell>
          <cell r="AH57">
            <v>0</v>
          </cell>
          <cell r="AI57">
            <v>25675</v>
          </cell>
          <cell r="AJ57">
            <v>2034000</v>
          </cell>
          <cell r="AK57">
            <v>339000</v>
          </cell>
          <cell r="AL57">
            <v>113000</v>
          </cell>
          <cell r="AM57">
            <v>2486000</v>
          </cell>
          <cell r="AN57">
            <v>11300000</v>
          </cell>
          <cell r="AO57">
            <v>11300000</v>
          </cell>
          <cell r="AQ57">
            <v>10087825</v>
          </cell>
        </row>
        <row r="58">
          <cell r="C58" t="str">
            <v>221220028</v>
          </cell>
          <cell r="D58" t="str">
            <v>Huynh Thi Bao Tram</v>
          </cell>
          <cell r="E58">
            <v>42142</v>
          </cell>
          <cell r="F58" t="str">
            <v>FRESH MD</v>
          </cell>
          <cell r="G58" t="str">
            <v>Fresh food</v>
          </cell>
          <cell r="H58" t="str">
            <v>Senior Staff</v>
          </cell>
          <cell r="I58">
            <v>11400000</v>
          </cell>
          <cell r="K58">
            <v>11400000</v>
          </cell>
          <cell r="P58">
            <v>600000</v>
          </cell>
          <cell r="Q58">
            <v>600000</v>
          </cell>
          <cell r="V58">
            <v>12000000</v>
          </cell>
          <cell r="W58">
            <v>0</v>
          </cell>
          <cell r="X58">
            <v>9000000</v>
          </cell>
          <cell r="Y58">
            <v>0</v>
          </cell>
          <cell r="Z58">
            <v>0</v>
          </cell>
          <cell r="AA58">
            <v>960000</v>
          </cell>
          <cell r="AB58">
            <v>180000</v>
          </cell>
          <cell r="AC58">
            <v>120000</v>
          </cell>
          <cell r="AD58">
            <v>1260000</v>
          </cell>
          <cell r="AE58">
            <v>600000</v>
          </cell>
          <cell r="AF58">
            <v>1140000</v>
          </cell>
          <cell r="AG58">
            <v>0.05</v>
          </cell>
          <cell r="AH58">
            <v>0</v>
          </cell>
          <cell r="AI58">
            <v>57000</v>
          </cell>
          <cell r="AJ58">
            <v>2160000</v>
          </cell>
          <cell r="AK58">
            <v>360000</v>
          </cell>
          <cell r="AL58">
            <v>120000</v>
          </cell>
          <cell r="AM58">
            <v>2640000</v>
          </cell>
          <cell r="AN58">
            <v>12000000</v>
          </cell>
          <cell r="AO58">
            <v>12000000</v>
          </cell>
          <cell r="AQ58">
            <v>10683000</v>
          </cell>
        </row>
        <row r="59">
          <cell r="C59" t="str">
            <v>024144736</v>
          </cell>
          <cell r="D59" t="str">
            <v>Ngo Nguyen Khoi Nguyen</v>
          </cell>
          <cell r="E59">
            <v>42149</v>
          </cell>
          <cell r="F59" t="str">
            <v>Audit</v>
          </cell>
          <cell r="G59" t="str">
            <v>Audit</v>
          </cell>
          <cell r="H59" t="str">
            <v>Supervisor</v>
          </cell>
          <cell r="I59">
            <v>15200000</v>
          </cell>
          <cell r="K59">
            <v>15200000</v>
          </cell>
          <cell r="M59">
            <v>1000000</v>
          </cell>
          <cell r="N59">
            <v>1000000</v>
          </cell>
          <cell r="O59">
            <v>200000</v>
          </cell>
          <cell r="P59">
            <v>600000</v>
          </cell>
          <cell r="Q59">
            <v>2800000</v>
          </cell>
          <cell r="V59">
            <v>18000000</v>
          </cell>
          <cell r="W59">
            <v>0</v>
          </cell>
          <cell r="X59">
            <v>9000000</v>
          </cell>
          <cell r="Y59">
            <v>2</v>
          </cell>
          <cell r="Z59">
            <v>7200000</v>
          </cell>
          <cell r="AA59">
            <v>1440000</v>
          </cell>
          <cell r="AB59">
            <v>270000</v>
          </cell>
          <cell r="AC59">
            <v>180000</v>
          </cell>
          <cell r="AD59">
            <v>1890000</v>
          </cell>
          <cell r="AE59">
            <v>600000</v>
          </cell>
          <cell r="AF59">
            <v>-690000</v>
          </cell>
          <cell r="AG59">
            <v>0</v>
          </cell>
          <cell r="AH59">
            <v>0</v>
          </cell>
          <cell r="AI59">
            <v>0</v>
          </cell>
          <cell r="AJ59">
            <v>3240000</v>
          </cell>
          <cell r="AK59">
            <v>540000</v>
          </cell>
          <cell r="AL59">
            <v>180000</v>
          </cell>
          <cell r="AM59">
            <v>3960000</v>
          </cell>
          <cell r="AN59">
            <v>18000000</v>
          </cell>
          <cell r="AO59">
            <v>18000000</v>
          </cell>
          <cell r="AQ59">
            <v>16110000</v>
          </cell>
        </row>
        <row r="60">
          <cell r="C60">
            <v>225236110</v>
          </cell>
          <cell r="D60" t="str">
            <v>Nguyen Thi My Duyen</v>
          </cell>
          <cell r="E60">
            <v>42180</v>
          </cell>
          <cell r="F60" t="str">
            <v>Finance</v>
          </cell>
          <cell r="G60" t="str">
            <v>Accounting</v>
          </cell>
          <cell r="H60" t="str">
            <v>Supervisor</v>
          </cell>
          <cell r="I60">
            <v>20700000</v>
          </cell>
          <cell r="K60">
            <v>20700000</v>
          </cell>
          <cell r="M60">
            <v>1000000</v>
          </cell>
          <cell r="N60">
            <v>1000000</v>
          </cell>
          <cell r="O60">
            <v>200000</v>
          </cell>
          <cell r="P60">
            <v>600000</v>
          </cell>
          <cell r="Q60">
            <v>2800000</v>
          </cell>
          <cell r="V60">
            <v>23500000</v>
          </cell>
          <cell r="W60">
            <v>0</v>
          </cell>
          <cell r="X60">
            <v>9000000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115909</v>
          </cell>
          <cell r="AF60">
            <v>14384091</v>
          </cell>
          <cell r="AG60">
            <v>0.15</v>
          </cell>
          <cell r="AH60">
            <v>750000</v>
          </cell>
          <cell r="AI60">
            <v>1407614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Q60">
            <v>22092386</v>
          </cell>
        </row>
        <row r="61">
          <cell r="C61">
            <v>250758375</v>
          </cell>
          <cell r="D61" t="str">
            <v>Nguyen Thi Quynh Tram</v>
          </cell>
          <cell r="E61">
            <v>42171</v>
          </cell>
          <cell r="F61" t="str">
            <v>GENERAL MD</v>
          </cell>
          <cell r="G61" t="str">
            <v>Non food</v>
          </cell>
          <cell r="H61" t="str">
            <v>Senior Staff</v>
          </cell>
          <cell r="I61">
            <v>10900000</v>
          </cell>
          <cell r="K61">
            <v>10900000</v>
          </cell>
          <cell r="P61">
            <v>600000</v>
          </cell>
          <cell r="Q61">
            <v>600000</v>
          </cell>
          <cell r="V61">
            <v>11500000</v>
          </cell>
          <cell r="W61">
            <v>0</v>
          </cell>
          <cell r="X61">
            <v>9000000</v>
          </cell>
          <cell r="Y61">
            <v>0</v>
          </cell>
          <cell r="Z61">
            <v>0</v>
          </cell>
          <cell r="AA61">
            <v>920000</v>
          </cell>
          <cell r="AB61">
            <v>172500</v>
          </cell>
          <cell r="AC61">
            <v>115000</v>
          </cell>
          <cell r="AD61">
            <v>1207500</v>
          </cell>
          <cell r="AE61">
            <v>563182</v>
          </cell>
          <cell r="AF61">
            <v>729318</v>
          </cell>
          <cell r="AG61">
            <v>0.05</v>
          </cell>
          <cell r="AH61">
            <v>0</v>
          </cell>
          <cell r="AI61">
            <v>36466</v>
          </cell>
          <cell r="AJ61">
            <v>2070000</v>
          </cell>
          <cell r="AK61">
            <v>345000</v>
          </cell>
          <cell r="AL61">
            <v>115000</v>
          </cell>
          <cell r="AM61">
            <v>2530000</v>
          </cell>
          <cell r="AN61">
            <v>11500000</v>
          </cell>
          <cell r="AO61">
            <v>11500000</v>
          </cell>
          <cell r="AQ61">
            <v>10256034</v>
          </cell>
        </row>
        <row r="62">
          <cell r="C62" t="str">
            <v>024130528</v>
          </cell>
          <cell r="D62" t="str">
            <v>Nguyen Le Kieu Thu</v>
          </cell>
          <cell r="E62">
            <v>42171</v>
          </cell>
          <cell r="F62" t="str">
            <v>GENERAL MD</v>
          </cell>
          <cell r="G62" t="str">
            <v>Key In</v>
          </cell>
          <cell r="H62" t="str">
            <v>Supervisor</v>
          </cell>
          <cell r="I62">
            <v>17200000</v>
          </cell>
          <cell r="K62">
            <v>17200000</v>
          </cell>
          <cell r="M62">
            <v>1000000</v>
          </cell>
          <cell r="N62">
            <v>1000000</v>
          </cell>
          <cell r="O62">
            <v>200000</v>
          </cell>
          <cell r="P62">
            <v>600000</v>
          </cell>
          <cell r="Q62">
            <v>2800000</v>
          </cell>
          <cell r="V62">
            <v>20000000</v>
          </cell>
          <cell r="W62">
            <v>0</v>
          </cell>
          <cell r="X62">
            <v>9000000</v>
          </cell>
          <cell r="Y62">
            <v>1</v>
          </cell>
          <cell r="Z62">
            <v>3600000</v>
          </cell>
          <cell r="AA62">
            <v>1600000</v>
          </cell>
          <cell r="AB62">
            <v>300000</v>
          </cell>
          <cell r="AC62">
            <v>200000</v>
          </cell>
          <cell r="AD62">
            <v>2100000</v>
          </cell>
          <cell r="AE62">
            <v>563182</v>
          </cell>
          <cell r="AF62">
            <v>4736818</v>
          </cell>
          <cell r="AG62">
            <v>0.05</v>
          </cell>
          <cell r="AH62">
            <v>0</v>
          </cell>
          <cell r="AI62">
            <v>236841</v>
          </cell>
          <cell r="AJ62">
            <v>3600000</v>
          </cell>
          <cell r="AK62">
            <v>600000</v>
          </cell>
          <cell r="AL62">
            <v>200000</v>
          </cell>
          <cell r="AM62">
            <v>4400000</v>
          </cell>
          <cell r="AN62">
            <v>20000000</v>
          </cell>
          <cell r="AO62">
            <v>20000000</v>
          </cell>
          <cell r="AQ62">
            <v>17663159</v>
          </cell>
        </row>
        <row r="63">
          <cell r="C63" t="str">
            <v>024326756</v>
          </cell>
          <cell r="D63" t="str">
            <v>Nguyen Thi Huyen Le</v>
          </cell>
          <cell r="E63">
            <v>42178</v>
          </cell>
          <cell r="F63" t="str">
            <v>Finance</v>
          </cell>
          <cell r="G63" t="str">
            <v>Legal</v>
          </cell>
          <cell r="H63" t="str">
            <v>Supervisor</v>
          </cell>
          <cell r="I63">
            <v>21200000</v>
          </cell>
          <cell r="K63">
            <v>21200000</v>
          </cell>
          <cell r="M63">
            <v>1000000</v>
          </cell>
          <cell r="N63">
            <v>1000000</v>
          </cell>
          <cell r="O63">
            <v>200000</v>
          </cell>
          <cell r="P63">
            <v>600000</v>
          </cell>
          <cell r="Q63">
            <v>2800000</v>
          </cell>
          <cell r="V63">
            <v>24000000</v>
          </cell>
          <cell r="W63">
            <v>0</v>
          </cell>
          <cell r="X63">
            <v>9000000</v>
          </cell>
          <cell r="Z63">
            <v>0</v>
          </cell>
          <cell r="AA63">
            <v>1840000</v>
          </cell>
          <cell r="AB63">
            <v>345000</v>
          </cell>
          <cell r="AC63">
            <v>240000</v>
          </cell>
          <cell r="AD63">
            <v>2425000</v>
          </cell>
          <cell r="AE63">
            <v>542728</v>
          </cell>
          <cell r="AF63">
            <v>12032272</v>
          </cell>
          <cell r="AG63">
            <v>0.15</v>
          </cell>
          <cell r="AH63">
            <v>750000</v>
          </cell>
          <cell r="AI63">
            <v>1054841</v>
          </cell>
          <cell r="AJ63">
            <v>4140000</v>
          </cell>
          <cell r="AK63">
            <v>690000</v>
          </cell>
          <cell r="AL63">
            <v>240000</v>
          </cell>
          <cell r="AM63">
            <v>5070000</v>
          </cell>
          <cell r="AN63">
            <v>23000000</v>
          </cell>
          <cell r="AO63">
            <v>24000000</v>
          </cell>
          <cell r="AQ63">
            <v>20520159</v>
          </cell>
        </row>
        <row r="64">
          <cell r="C64" t="str">
            <v>030995475</v>
          </cell>
          <cell r="D64" t="str">
            <v>Hoang Thi Thu Ha</v>
          </cell>
          <cell r="E64">
            <v>42171</v>
          </cell>
          <cell r="F64" t="str">
            <v>Operation</v>
          </cell>
          <cell r="G64" t="str">
            <v>Tenant</v>
          </cell>
          <cell r="H64" t="str">
            <v>Supervisor</v>
          </cell>
          <cell r="I64">
            <v>19200000</v>
          </cell>
          <cell r="K64">
            <v>19200000</v>
          </cell>
          <cell r="M64">
            <v>1000000</v>
          </cell>
          <cell r="N64">
            <v>1000000</v>
          </cell>
          <cell r="O64">
            <v>200000</v>
          </cell>
          <cell r="P64">
            <v>600000</v>
          </cell>
          <cell r="Q64">
            <v>2800000</v>
          </cell>
          <cell r="V64">
            <v>22000000</v>
          </cell>
          <cell r="W64">
            <v>0</v>
          </cell>
          <cell r="X64">
            <v>9000000</v>
          </cell>
          <cell r="Y64">
            <v>1</v>
          </cell>
          <cell r="Z64">
            <v>3600000</v>
          </cell>
          <cell r="AA64">
            <v>1760000</v>
          </cell>
          <cell r="AB64">
            <v>330000</v>
          </cell>
          <cell r="AC64">
            <v>220000</v>
          </cell>
          <cell r="AD64">
            <v>2310000</v>
          </cell>
          <cell r="AE64">
            <v>563182</v>
          </cell>
          <cell r="AF64">
            <v>6526818</v>
          </cell>
          <cell r="AG64">
            <v>0.1</v>
          </cell>
          <cell r="AH64">
            <v>250000</v>
          </cell>
          <cell r="AI64">
            <v>402682</v>
          </cell>
          <cell r="AJ64">
            <v>3960000</v>
          </cell>
          <cell r="AK64">
            <v>660000</v>
          </cell>
          <cell r="AL64">
            <v>220000</v>
          </cell>
          <cell r="AM64">
            <v>4840000</v>
          </cell>
          <cell r="AN64">
            <v>22000000</v>
          </cell>
          <cell r="AO64">
            <v>22000000</v>
          </cell>
          <cell r="AQ64">
            <v>19287318</v>
          </cell>
        </row>
        <row r="65">
          <cell r="C65">
            <v>334205099</v>
          </cell>
          <cell r="D65" t="str">
            <v>Nguyen Minh Hieu</v>
          </cell>
          <cell r="E65">
            <v>42192</v>
          </cell>
          <cell r="F65" t="str">
            <v>Operation</v>
          </cell>
          <cell r="G65" t="str">
            <v>MKT</v>
          </cell>
          <cell r="H65" t="str">
            <v>Senior Staff</v>
          </cell>
          <cell r="I65">
            <v>17400000</v>
          </cell>
          <cell r="K65">
            <v>17400000</v>
          </cell>
          <cell r="P65">
            <v>600000</v>
          </cell>
          <cell r="Q65">
            <v>600000</v>
          </cell>
          <cell r="V65">
            <v>18000000</v>
          </cell>
          <cell r="W65">
            <v>0</v>
          </cell>
          <cell r="X65">
            <v>9000000</v>
          </cell>
          <cell r="Y65">
            <v>2</v>
          </cell>
          <cell r="Z65">
            <v>7200000</v>
          </cell>
          <cell r="AA65">
            <v>1440000</v>
          </cell>
          <cell r="AB65">
            <v>270000</v>
          </cell>
          <cell r="AC65">
            <v>180000</v>
          </cell>
          <cell r="AD65">
            <v>1890000</v>
          </cell>
          <cell r="AE65">
            <v>510000</v>
          </cell>
          <cell r="AF65">
            <v>-600000</v>
          </cell>
          <cell r="AG65">
            <v>0</v>
          </cell>
          <cell r="AH65">
            <v>0</v>
          </cell>
          <cell r="AI65">
            <v>0</v>
          </cell>
          <cell r="AJ65">
            <v>3240000</v>
          </cell>
          <cell r="AK65">
            <v>540000</v>
          </cell>
          <cell r="AL65">
            <v>180000</v>
          </cell>
          <cell r="AM65">
            <v>3960000</v>
          </cell>
          <cell r="AN65">
            <v>18000000</v>
          </cell>
          <cell r="AO65">
            <v>18000000</v>
          </cell>
          <cell r="AQ65">
            <v>16110000</v>
          </cell>
        </row>
        <row r="66">
          <cell r="C66">
            <v>233087884</v>
          </cell>
          <cell r="D66" t="str">
            <v>Nguyen Thi Hong Nhung</v>
          </cell>
          <cell r="E66">
            <v>42171</v>
          </cell>
          <cell r="F66" t="str">
            <v>FRESH MD</v>
          </cell>
          <cell r="G66" t="str">
            <v>Fresh food</v>
          </cell>
          <cell r="H66" t="str">
            <v>Senior Staff</v>
          </cell>
          <cell r="I66">
            <v>18400000</v>
          </cell>
          <cell r="K66">
            <v>18400000</v>
          </cell>
          <cell r="P66">
            <v>600000</v>
          </cell>
          <cell r="Q66">
            <v>600000</v>
          </cell>
          <cell r="V66">
            <v>19000000</v>
          </cell>
          <cell r="W66">
            <v>0</v>
          </cell>
          <cell r="X66">
            <v>9000000</v>
          </cell>
          <cell r="Z66">
            <v>0</v>
          </cell>
          <cell r="AA66">
            <v>1520000</v>
          </cell>
          <cell r="AB66">
            <v>285000</v>
          </cell>
          <cell r="AC66">
            <v>190000</v>
          </cell>
          <cell r="AD66">
            <v>1995000</v>
          </cell>
          <cell r="AE66">
            <v>563182</v>
          </cell>
          <cell r="AF66">
            <v>7441818</v>
          </cell>
          <cell r="AG66">
            <v>0.1</v>
          </cell>
          <cell r="AH66">
            <v>250000</v>
          </cell>
          <cell r="AI66">
            <v>494182</v>
          </cell>
          <cell r="AJ66">
            <v>3420000</v>
          </cell>
          <cell r="AK66">
            <v>570000</v>
          </cell>
          <cell r="AL66">
            <v>190000</v>
          </cell>
          <cell r="AM66">
            <v>4180000</v>
          </cell>
          <cell r="AN66">
            <v>19000000</v>
          </cell>
          <cell r="AO66">
            <v>19000000</v>
          </cell>
          <cell r="AQ66">
            <v>16510818</v>
          </cell>
        </row>
        <row r="67">
          <cell r="C67">
            <v>321193014</v>
          </cell>
          <cell r="D67" t="str">
            <v>Le Trang Phuong Thuy</v>
          </cell>
          <cell r="E67">
            <v>42201</v>
          </cell>
          <cell r="F67" t="str">
            <v>HR/GA</v>
          </cell>
          <cell r="G67" t="str">
            <v>HR</v>
          </cell>
          <cell r="H67" t="str">
            <v>Senior Staff</v>
          </cell>
          <cell r="I67">
            <v>14400000</v>
          </cell>
          <cell r="K67">
            <v>14400000</v>
          </cell>
          <cell r="P67">
            <v>600000</v>
          </cell>
          <cell r="Q67">
            <v>600000</v>
          </cell>
          <cell r="V67">
            <v>15000000</v>
          </cell>
          <cell r="W67">
            <v>0</v>
          </cell>
          <cell r="X67">
            <v>9000000</v>
          </cell>
          <cell r="Y67">
            <v>2</v>
          </cell>
          <cell r="Z67">
            <v>7200000</v>
          </cell>
          <cell r="AA67">
            <v>1200000</v>
          </cell>
          <cell r="AB67">
            <v>225000</v>
          </cell>
          <cell r="AC67">
            <v>150000</v>
          </cell>
          <cell r="AD67">
            <v>1575000</v>
          </cell>
          <cell r="AE67">
            <v>680000</v>
          </cell>
          <cell r="AF67">
            <v>-3455000</v>
          </cell>
          <cell r="AG67">
            <v>0</v>
          </cell>
          <cell r="AH67">
            <v>0</v>
          </cell>
          <cell r="AI67">
            <v>0</v>
          </cell>
          <cell r="AJ67">
            <v>2700000</v>
          </cell>
          <cell r="AK67">
            <v>450000</v>
          </cell>
          <cell r="AL67">
            <v>150000</v>
          </cell>
          <cell r="AM67">
            <v>3300000</v>
          </cell>
          <cell r="AN67">
            <v>15000000</v>
          </cell>
          <cell r="AO67">
            <v>15000000</v>
          </cell>
          <cell r="AQ67">
            <v>13425000</v>
          </cell>
        </row>
        <row r="68">
          <cell r="C68" t="str">
            <v>025983883</v>
          </cell>
          <cell r="D68" t="str">
            <v>Nguyen Van An</v>
          </cell>
          <cell r="E68">
            <v>42213</v>
          </cell>
          <cell r="F68" t="str">
            <v>Store</v>
          </cell>
          <cell r="G68" t="str">
            <v>Fresh food</v>
          </cell>
          <cell r="H68" t="str">
            <v>Floor Manager</v>
          </cell>
          <cell r="I68">
            <v>18200000</v>
          </cell>
          <cell r="K68">
            <v>18200000</v>
          </cell>
          <cell r="M68">
            <v>1000000</v>
          </cell>
          <cell r="N68">
            <v>1000000</v>
          </cell>
          <cell r="O68">
            <v>200000</v>
          </cell>
          <cell r="P68">
            <v>600000</v>
          </cell>
          <cell r="Q68">
            <v>2800000</v>
          </cell>
          <cell r="V68">
            <v>21000000</v>
          </cell>
          <cell r="W68">
            <v>0</v>
          </cell>
          <cell r="X68">
            <v>9000000</v>
          </cell>
          <cell r="Z68">
            <v>0</v>
          </cell>
          <cell r="AA68">
            <v>1680000</v>
          </cell>
          <cell r="AB68">
            <v>315000</v>
          </cell>
          <cell r="AC68">
            <v>210000</v>
          </cell>
          <cell r="AD68">
            <v>2205000</v>
          </cell>
          <cell r="AE68">
            <v>680000</v>
          </cell>
          <cell r="AF68">
            <v>9115000</v>
          </cell>
          <cell r="AG68">
            <v>0.1</v>
          </cell>
          <cell r="AH68">
            <v>250000</v>
          </cell>
          <cell r="AI68">
            <v>661500</v>
          </cell>
          <cell r="AJ68">
            <v>3780000</v>
          </cell>
          <cell r="AK68">
            <v>630000</v>
          </cell>
          <cell r="AL68">
            <v>210000</v>
          </cell>
          <cell r="AM68">
            <v>4620000</v>
          </cell>
          <cell r="AN68">
            <v>21000000</v>
          </cell>
          <cell r="AO68">
            <v>21000000</v>
          </cell>
          <cell r="AQ68">
            <v>18133500</v>
          </cell>
        </row>
        <row r="69">
          <cell r="C69">
            <v>225064086</v>
          </cell>
          <cell r="D69" t="str">
            <v>Nguyen Minh Quoc</v>
          </cell>
          <cell r="E69">
            <v>42212</v>
          </cell>
          <cell r="F69" t="str">
            <v>Store</v>
          </cell>
          <cell r="G69" t="str">
            <v>FMCG</v>
          </cell>
          <cell r="H69" t="str">
            <v>Floor Manager</v>
          </cell>
          <cell r="I69">
            <v>24700000</v>
          </cell>
          <cell r="K69">
            <v>24700000</v>
          </cell>
          <cell r="M69">
            <v>1000000</v>
          </cell>
          <cell r="N69">
            <v>1000000</v>
          </cell>
          <cell r="O69">
            <v>200000</v>
          </cell>
          <cell r="P69">
            <v>600000</v>
          </cell>
          <cell r="Q69">
            <v>2800000</v>
          </cell>
          <cell r="V69">
            <v>27500000</v>
          </cell>
          <cell r="W69">
            <v>0</v>
          </cell>
          <cell r="X69">
            <v>9000000</v>
          </cell>
          <cell r="Y69">
            <v>2</v>
          </cell>
          <cell r="Z69">
            <v>7200000</v>
          </cell>
          <cell r="AA69">
            <v>1840000</v>
          </cell>
          <cell r="AB69">
            <v>345000</v>
          </cell>
          <cell r="AC69">
            <v>275000</v>
          </cell>
          <cell r="AD69">
            <v>2460000</v>
          </cell>
          <cell r="AE69">
            <v>680000</v>
          </cell>
          <cell r="AF69">
            <v>8160000</v>
          </cell>
          <cell r="AG69">
            <v>0.1</v>
          </cell>
          <cell r="AH69">
            <v>250000</v>
          </cell>
          <cell r="AI69">
            <v>566000</v>
          </cell>
          <cell r="AJ69">
            <v>4140000</v>
          </cell>
          <cell r="AK69">
            <v>690000</v>
          </cell>
          <cell r="AL69">
            <v>275000</v>
          </cell>
          <cell r="AM69">
            <v>5105000</v>
          </cell>
          <cell r="AN69">
            <v>23000000</v>
          </cell>
          <cell r="AO69">
            <v>27500000</v>
          </cell>
          <cell r="AQ69">
            <v>24474000</v>
          </cell>
        </row>
        <row r="70">
          <cell r="C70">
            <v>215084838</v>
          </cell>
          <cell r="D70" t="str">
            <v>Truong Minh Tuan</v>
          </cell>
          <cell r="E70">
            <v>42212</v>
          </cell>
          <cell r="F70" t="str">
            <v>GENERAL MD</v>
          </cell>
          <cell r="G70" t="str">
            <v>Key In</v>
          </cell>
          <cell r="H70" t="str">
            <v>Supervisor</v>
          </cell>
          <cell r="I70">
            <v>16200000</v>
          </cell>
          <cell r="K70">
            <v>16200000</v>
          </cell>
          <cell r="M70">
            <v>1000000</v>
          </cell>
          <cell r="N70">
            <v>1000000</v>
          </cell>
          <cell r="O70">
            <v>200000</v>
          </cell>
          <cell r="P70">
            <v>600000</v>
          </cell>
          <cell r="Q70">
            <v>2800000</v>
          </cell>
          <cell r="V70">
            <v>19000000</v>
          </cell>
          <cell r="W70">
            <v>0</v>
          </cell>
          <cell r="X70">
            <v>9000000</v>
          </cell>
          <cell r="Y70">
            <v>0</v>
          </cell>
          <cell r="Z70">
            <v>0</v>
          </cell>
          <cell r="AA70">
            <v>1520000</v>
          </cell>
          <cell r="AB70">
            <v>285000</v>
          </cell>
          <cell r="AC70">
            <v>190000</v>
          </cell>
          <cell r="AD70">
            <v>1995000</v>
          </cell>
          <cell r="AE70">
            <v>625909</v>
          </cell>
          <cell r="AF70">
            <v>7379091</v>
          </cell>
          <cell r="AG70">
            <v>0.1</v>
          </cell>
          <cell r="AH70">
            <v>250000</v>
          </cell>
          <cell r="AI70">
            <v>487909</v>
          </cell>
          <cell r="AJ70">
            <v>3420000</v>
          </cell>
          <cell r="AK70">
            <v>570000</v>
          </cell>
          <cell r="AL70">
            <v>190000</v>
          </cell>
          <cell r="AM70">
            <v>4180000</v>
          </cell>
          <cell r="AN70">
            <v>19000000</v>
          </cell>
          <cell r="AO70">
            <v>19000000</v>
          </cell>
          <cell r="AQ70">
            <v>16517091</v>
          </cell>
        </row>
        <row r="71">
          <cell r="C71">
            <v>312086481</v>
          </cell>
          <cell r="D71" t="str">
            <v>Ho Thi Diem Trinh</v>
          </cell>
          <cell r="E71">
            <v>42212</v>
          </cell>
          <cell r="F71" t="str">
            <v>GENERAL MD</v>
          </cell>
          <cell r="G71" t="str">
            <v>FMCG</v>
          </cell>
          <cell r="H71" t="str">
            <v>Senior Staff</v>
          </cell>
          <cell r="I71">
            <v>10400000</v>
          </cell>
          <cell r="K71">
            <v>10400000</v>
          </cell>
          <cell r="P71">
            <v>600000</v>
          </cell>
          <cell r="Q71">
            <v>600000</v>
          </cell>
          <cell r="V71">
            <v>11000000</v>
          </cell>
          <cell r="W71">
            <v>0</v>
          </cell>
          <cell r="X71">
            <v>9000000</v>
          </cell>
          <cell r="Z71">
            <v>0</v>
          </cell>
          <cell r="AA71">
            <v>880000</v>
          </cell>
          <cell r="AB71">
            <v>165000</v>
          </cell>
          <cell r="AC71">
            <v>110000</v>
          </cell>
          <cell r="AD71">
            <v>1155000</v>
          </cell>
          <cell r="AE71">
            <v>625909</v>
          </cell>
          <cell r="AF71">
            <v>219091</v>
          </cell>
          <cell r="AG71">
            <v>0.05</v>
          </cell>
          <cell r="AH71">
            <v>0</v>
          </cell>
          <cell r="AI71">
            <v>10955</v>
          </cell>
          <cell r="AJ71">
            <v>1980000</v>
          </cell>
          <cell r="AK71">
            <v>330000</v>
          </cell>
          <cell r="AL71">
            <v>110000</v>
          </cell>
          <cell r="AM71">
            <v>2420000</v>
          </cell>
          <cell r="AN71">
            <v>11000000</v>
          </cell>
          <cell r="AO71">
            <v>11000000</v>
          </cell>
          <cell r="AQ71">
            <v>9834045</v>
          </cell>
        </row>
        <row r="72">
          <cell r="C72">
            <v>271711338</v>
          </cell>
          <cell r="D72" t="str">
            <v>Le Nguyen Huong Trang</v>
          </cell>
          <cell r="E72">
            <v>42212</v>
          </cell>
          <cell r="F72" t="str">
            <v>Finance</v>
          </cell>
          <cell r="G72" t="str">
            <v>Accounting</v>
          </cell>
          <cell r="H72" t="str">
            <v>Supervisor</v>
          </cell>
          <cell r="I72">
            <v>18200000</v>
          </cell>
          <cell r="K72">
            <v>18200000</v>
          </cell>
          <cell r="M72">
            <v>1000000</v>
          </cell>
          <cell r="N72">
            <v>1000000</v>
          </cell>
          <cell r="O72">
            <v>200000</v>
          </cell>
          <cell r="P72">
            <v>600000</v>
          </cell>
          <cell r="Q72">
            <v>2800000</v>
          </cell>
          <cell r="V72">
            <v>21000000</v>
          </cell>
          <cell r="W72">
            <v>0</v>
          </cell>
          <cell r="X72">
            <v>9000000</v>
          </cell>
          <cell r="Z72">
            <v>0</v>
          </cell>
          <cell r="AA72">
            <v>1680000</v>
          </cell>
          <cell r="AB72">
            <v>315000</v>
          </cell>
          <cell r="AC72">
            <v>210000</v>
          </cell>
          <cell r="AD72">
            <v>2205000</v>
          </cell>
          <cell r="AE72">
            <v>625909</v>
          </cell>
          <cell r="AF72">
            <v>9169091</v>
          </cell>
          <cell r="AG72">
            <v>0.1</v>
          </cell>
          <cell r="AH72">
            <v>250000</v>
          </cell>
          <cell r="AI72">
            <v>666909</v>
          </cell>
          <cell r="AJ72">
            <v>3780000</v>
          </cell>
          <cell r="AK72">
            <v>630000</v>
          </cell>
          <cell r="AL72">
            <v>210000</v>
          </cell>
          <cell r="AM72">
            <v>4620000</v>
          </cell>
          <cell r="AN72">
            <v>21000000</v>
          </cell>
          <cell r="AO72">
            <v>21000000</v>
          </cell>
          <cell r="AQ72">
            <v>18128091</v>
          </cell>
        </row>
        <row r="73">
          <cell r="C73">
            <v>201607693</v>
          </cell>
          <cell r="D73" t="str">
            <v>Dao Duy Binh</v>
          </cell>
          <cell r="E73">
            <v>42212</v>
          </cell>
          <cell r="F73" t="str">
            <v>GENERAL MD</v>
          </cell>
          <cell r="G73" t="str">
            <v>Key In</v>
          </cell>
          <cell r="H73" t="str">
            <v>Staff</v>
          </cell>
          <cell r="I73">
            <v>6100000</v>
          </cell>
          <cell r="K73">
            <v>6100000</v>
          </cell>
          <cell r="P73">
            <v>600000</v>
          </cell>
          <cell r="Q73">
            <v>600000</v>
          </cell>
          <cell r="V73">
            <v>6700000</v>
          </cell>
          <cell r="W73">
            <v>0</v>
          </cell>
          <cell r="X73">
            <v>9000000</v>
          </cell>
          <cell r="Z73">
            <v>0</v>
          </cell>
          <cell r="AA73">
            <v>536000</v>
          </cell>
          <cell r="AB73">
            <v>100500</v>
          </cell>
          <cell r="AC73">
            <v>67000</v>
          </cell>
          <cell r="AD73">
            <v>703500</v>
          </cell>
          <cell r="AE73">
            <v>625909</v>
          </cell>
          <cell r="AF73">
            <v>-3629409</v>
          </cell>
          <cell r="AG73">
            <v>0</v>
          </cell>
          <cell r="AH73">
            <v>0</v>
          </cell>
          <cell r="AI73">
            <v>0</v>
          </cell>
          <cell r="AJ73">
            <v>1206000</v>
          </cell>
          <cell r="AK73">
            <v>201000</v>
          </cell>
          <cell r="AL73">
            <v>67000</v>
          </cell>
          <cell r="AM73">
            <v>1474000</v>
          </cell>
          <cell r="AN73">
            <v>6700000</v>
          </cell>
          <cell r="AO73">
            <v>6700000</v>
          </cell>
          <cell r="AQ73">
            <v>5996500</v>
          </cell>
        </row>
        <row r="74">
          <cell r="C74" t="str">
            <v>023939917</v>
          </cell>
          <cell r="D74" t="str">
            <v>Do Thi Ngoc Diep</v>
          </cell>
          <cell r="E74">
            <v>42212</v>
          </cell>
          <cell r="F74" t="str">
            <v>FRESH MD</v>
          </cell>
          <cell r="G74" t="str">
            <v>Fresh food</v>
          </cell>
          <cell r="H74" t="str">
            <v>Senior Staff</v>
          </cell>
          <cell r="I74">
            <v>17400000</v>
          </cell>
          <cell r="K74">
            <v>17400000</v>
          </cell>
          <cell r="P74">
            <v>600000</v>
          </cell>
          <cell r="Q74">
            <v>600000</v>
          </cell>
          <cell r="V74">
            <v>18000000</v>
          </cell>
          <cell r="W74">
            <v>0</v>
          </cell>
          <cell r="X74">
            <v>9000000</v>
          </cell>
          <cell r="Z74">
            <v>0</v>
          </cell>
          <cell r="AA74">
            <v>1440000</v>
          </cell>
          <cell r="AB74">
            <v>270000</v>
          </cell>
          <cell r="AC74">
            <v>180000</v>
          </cell>
          <cell r="AD74">
            <v>1890000</v>
          </cell>
          <cell r="AE74">
            <v>625909</v>
          </cell>
          <cell r="AF74">
            <v>6484091</v>
          </cell>
          <cell r="AG74">
            <v>0.1</v>
          </cell>
          <cell r="AH74">
            <v>250000</v>
          </cell>
          <cell r="AI74">
            <v>398409</v>
          </cell>
          <cell r="AJ74">
            <v>3240000</v>
          </cell>
          <cell r="AK74">
            <v>540000</v>
          </cell>
          <cell r="AL74">
            <v>180000</v>
          </cell>
          <cell r="AM74">
            <v>3960000</v>
          </cell>
          <cell r="AN74">
            <v>18000000</v>
          </cell>
          <cell r="AO74">
            <v>18000000</v>
          </cell>
          <cell r="AQ74">
            <v>15711591</v>
          </cell>
        </row>
        <row r="75">
          <cell r="C75" t="str">
            <v>024827585</v>
          </cell>
          <cell r="D75" t="str">
            <v>Dao Duy Lap</v>
          </cell>
          <cell r="E75">
            <v>42219</v>
          </cell>
          <cell r="F75" t="str">
            <v>GENERAL MD</v>
          </cell>
          <cell r="G75" t="str">
            <v>Non food</v>
          </cell>
          <cell r="H75" t="str">
            <v>Supervisor</v>
          </cell>
          <cell r="I75">
            <v>18200000</v>
          </cell>
          <cell r="K75">
            <v>18200000</v>
          </cell>
          <cell r="M75">
            <v>1000000</v>
          </cell>
          <cell r="N75">
            <v>1000000</v>
          </cell>
          <cell r="O75">
            <v>200000</v>
          </cell>
          <cell r="P75">
            <v>600000</v>
          </cell>
          <cell r="Q75">
            <v>2800000</v>
          </cell>
          <cell r="V75">
            <v>21000000</v>
          </cell>
          <cell r="W75">
            <v>0</v>
          </cell>
          <cell r="X75">
            <v>9000000</v>
          </cell>
          <cell r="Z75">
            <v>0</v>
          </cell>
          <cell r="AA75">
            <v>1680000</v>
          </cell>
          <cell r="AB75">
            <v>315000</v>
          </cell>
          <cell r="AC75">
            <v>210000</v>
          </cell>
          <cell r="AD75">
            <v>2205000</v>
          </cell>
          <cell r="AE75">
            <v>486818</v>
          </cell>
          <cell r="AF75">
            <v>9308182</v>
          </cell>
          <cell r="AG75">
            <v>0.1</v>
          </cell>
          <cell r="AH75">
            <v>250000</v>
          </cell>
          <cell r="AI75">
            <v>680818</v>
          </cell>
          <cell r="AJ75">
            <v>3780000</v>
          </cell>
          <cell r="AK75">
            <v>630000</v>
          </cell>
          <cell r="AL75">
            <v>210000</v>
          </cell>
          <cell r="AM75">
            <v>4620000</v>
          </cell>
          <cell r="AN75">
            <v>21000000</v>
          </cell>
          <cell r="AO75">
            <v>21000000</v>
          </cell>
          <cell r="AQ75">
            <v>18114182</v>
          </cell>
        </row>
        <row r="76">
          <cell r="C76">
            <v>211896488</v>
          </cell>
          <cell r="D76" t="str">
            <v>Tran Thi To Trinh</v>
          </cell>
          <cell r="E76">
            <v>42219</v>
          </cell>
          <cell r="F76" t="str">
            <v>Store</v>
          </cell>
          <cell r="G76" t="str">
            <v>Non food</v>
          </cell>
          <cell r="H76" t="str">
            <v>Floor Manager</v>
          </cell>
          <cell r="I76">
            <v>17200000</v>
          </cell>
          <cell r="K76">
            <v>17200000</v>
          </cell>
          <cell r="M76">
            <v>1000000</v>
          </cell>
          <cell r="N76">
            <v>1000000</v>
          </cell>
          <cell r="O76">
            <v>200000</v>
          </cell>
          <cell r="P76">
            <v>600000</v>
          </cell>
          <cell r="Q76">
            <v>2800000</v>
          </cell>
          <cell r="V76">
            <v>20000000</v>
          </cell>
          <cell r="W76">
            <v>0</v>
          </cell>
          <cell r="X76">
            <v>9000000</v>
          </cell>
          <cell r="Z76">
            <v>0</v>
          </cell>
          <cell r="AA76">
            <v>1600000</v>
          </cell>
          <cell r="AB76">
            <v>300000</v>
          </cell>
          <cell r="AC76">
            <v>200000</v>
          </cell>
          <cell r="AD76">
            <v>2100000</v>
          </cell>
          <cell r="AE76">
            <v>572727</v>
          </cell>
          <cell r="AF76">
            <v>8327273</v>
          </cell>
          <cell r="AG76">
            <v>0.1</v>
          </cell>
          <cell r="AH76">
            <v>250000</v>
          </cell>
          <cell r="AI76">
            <v>582727</v>
          </cell>
          <cell r="AJ76">
            <v>3600000</v>
          </cell>
          <cell r="AK76">
            <v>600000</v>
          </cell>
          <cell r="AL76">
            <v>200000</v>
          </cell>
          <cell r="AM76">
            <v>4400000</v>
          </cell>
          <cell r="AN76">
            <v>20000000</v>
          </cell>
          <cell r="AO76">
            <v>20000000</v>
          </cell>
          <cell r="AQ76">
            <v>17317273</v>
          </cell>
        </row>
        <row r="77">
          <cell r="C77" t="str">
            <v>023745993</v>
          </cell>
          <cell r="D77" t="str">
            <v>Nguyen Hoang Giang</v>
          </cell>
          <cell r="E77">
            <v>42223</v>
          </cell>
          <cell r="F77" t="str">
            <v>Finance</v>
          </cell>
          <cell r="G77" t="str">
            <v>System</v>
          </cell>
          <cell r="H77" t="str">
            <v>Senior Staff</v>
          </cell>
          <cell r="I77">
            <v>16400000</v>
          </cell>
          <cell r="K77">
            <v>16400000</v>
          </cell>
          <cell r="P77">
            <v>600000</v>
          </cell>
          <cell r="Q77">
            <v>600000</v>
          </cell>
          <cell r="V77">
            <v>17000000</v>
          </cell>
          <cell r="W77">
            <v>0</v>
          </cell>
          <cell r="X77">
            <v>9000000</v>
          </cell>
          <cell r="Y77">
            <v>2</v>
          </cell>
          <cell r="Z77">
            <v>7200000</v>
          </cell>
          <cell r="AA77">
            <v>1360000</v>
          </cell>
          <cell r="AB77">
            <v>255000</v>
          </cell>
          <cell r="AC77">
            <v>170000</v>
          </cell>
          <cell r="AD77">
            <v>1785000</v>
          </cell>
          <cell r="AE77">
            <v>394091</v>
          </cell>
          <cell r="AF77">
            <v>-1379091</v>
          </cell>
          <cell r="AG77">
            <v>0</v>
          </cell>
          <cell r="AH77">
            <v>0</v>
          </cell>
          <cell r="AI77">
            <v>0</v>
          </cell>
          <cell r="AJ77">
            <v>3060000</v>
          </cell>
          <cell r="AK77">
            <v>510000</v>
          </cell>
          <cell r="AL77">
            <v>170000</v>
          </cell>
          <cell r="AM77">
            <v>3740000</v>
          </cell>
          <cell r="AN77">
            <v>17000000</v>
          </cell>
          <cell r="AO77">
            <v>17000000</v>
          </cell>
          <cell r="AQ77">
            <v>15215000</v>
          </cell>
        </row>
        <row r="78">
          <cell r="C78">
            <v>215009751</v>
          </cell>
          <cell r="D78" t="str">
            <v>Pham Van Loc</v>
          </cell>
          <cell r="E78">
            <v>42226</v>
          </cell>
          <cell r="F78" t="str">
            <v>Store</v>
          </cell>
          <cell r="G78" t="str">
            <v>System</v>
          </cell>
          <cell r="H78" t="str">
            <v>Senior Staff</v>
          </cell>
          <cell r="I78">
            <v>16400000</v>
          </cell>
          <cell r="K78">
            <v>16400000</v>
          </cell>
          <cell r="P78">
            <v>600000</v>
          </cell>
          <cell r="Q78">
            <v>600000</v>
          </cell>
          <cell r="V78">
            <v>17000000</v>
          </cell>
          <cell r="W78">
            <v>0</v>
          </cell>
          <cell r="X78">
            <v>9000000</v>
          </cell>
          <cell r="Z78">
            <v>0</v>
          </cell>
          <cell r="AA78">
            <v>1360000</v>
          </cell>
          <cell r="AB78">
            <v>255000</v>
          </cell>
          <cell r="AC78">
            <v>170000</v>
          </cell>
          <cell r="AD78">
            <v>1785000</v>
          </cell>
          <cell r="AE78">
            <v>370909</v>
          </cell>
          <cell r="AF78">
            <v>5844091</v>
          </cell>
          <cell r="AG78">
            <v>0.1</v>
          </cell>
          <cell r="AH78">
            <v>250000</v>
          </cell>
          <cell r="AI78">
            <v>334409</v>
          </cell>
          <cell r="AJ78">
            <v>3060000</v>
          </cell>
          <cell r="AK78">
            <v>510000</v>
          </cell>
          <cell r="AL78">
            <v>170000</v>
          </cell>
          <cell r="AM78">
            <v>3740000</v>
          </cell>
          <cell r="AN78">
            <v>17000000</v>
          </cell>
          <cell r="AO78">
            <v>17000000</v>
          </cell>
          <cell r="AQ78">
            <v>14880591</v>
          </cell>
        </row>
        <row r="79">
          <cell r="C79">
            <v>271067104</v>
          </cell>
          <cell r="D79" t="str">
            <v>Truong Thanh Trung</v>
          </cell>
          <cell r="E79">
            <v>42226</v>
          </cell>
          <cell r="F79" t="str">
            <v>Store</v>
          </cell>
          <cell r="G79" t="str">
            <v>Security</v>
          </cell>
          <cell r="H79" t="str">
            <v>Manager</v>
          </cell>
          <cell r="I79">
            <v>15200000</v>
          </cell>
          <cell r="K79">
            <v>15200000</v>
          </cell>
          <cell r="M79">
            <v>1000000</v>
          </cell>
          <cell r="N79">
            <v>1000000</v>
          </cell>
          <cell r="O79">
            <v>200000</v>
          </cell>
          <cell r="P79">
            <v>600000</v>
          </cell>
          <cell r="Q79">
            <v>2800000</v>
          </cell>
          <cell r="V79">
            <v>18000000</v>
          </cell>
          <cell r="W79">
            <v>0</v>
          </cell>
          <cell r="X79">
            <v>9000000</v>
          </cell>
          <cell r="Y79">
            <v>3</v>
          </cell>
          <cell r="Z79">
            <v>10800000</v>
          </cell>
          <cell r="AA79">
            <v>1440000</v>
          </cell>
          <cell r="AB79">
            <v>270000</v>
          </cell>
          <cell r="AC79">
            <v>180000</v>
          </cell>
          <cell r="AD79">
            <v>1890000</v>
          </cell>
          <cell r="AE79">
            <v>436364</v>
          </cell>
          <cell r="AF79">
            <v>-4126364</v>
          </cell>
          <cell r="AG79">
            <v>0</v>
          </cell>
          <cell r="AH79">
            <v>0</v>
          </cell>
          <cell r="AI79">
            <v>0</v>
          </cell>
          <cell r="AJ79">
            <v>3240000</v>
          </cell>
          <cell r="AK79">
            <v>540000</v>
          </cell>
          <cell r="AL79">
            <v>180000</v>
          </cell>
          <cell r="AM79">
            <v>3960000</v>
          </cell>
          <cell r="AN79">
            <v>18000000</v>
          </cell>
          <cell r="AO79">
            <v>18000000</v>
          </cell>
          <cell r="AQ79">
            <v>16110000</v>
          </cell>
        </row>
        <row r="80">
          <cell r="C80" t="str">
            <v>273302035</v>
          </cell>
          <cell r="D80" t="str">
            <v>Nguyen Hoang Anh Thi</v>
          </cell>
          <cell r="E80">
            <v>41974</v>
          </cell>
          <cell r="F80" t="str">
            <v>Operation</v>
          </cell>
          <cell r="G80" t="str">
            <v>Operation</v>
          </cell>
          <cell r="H80" t="str">
            <v>Senior Staff</v>
          </cell>
          <cell r="I80">
            <v>13050000</v>
          </cell>
          <cell r="K80">
            <v>13050000</v>
          </cell>
          <cell r="P80">
            <v>600000</v>
          </cell>
          <cell r="Q80">
            <v>600000</v>
          </cell>
          <cell r="R80">
            <v>0</v>
          </cell>
          <cell r="V80">
            <v>13650000</v>
          </cell>
          <cell r="W80">
            <v>0</v>
          </cell>
          <cell r="X80">
            <v>9000000</v>
          </cell>
          <cell r="Z80">
            <v>0</v>
          </cell>
          <cell r="AA80">
            <v>1092000</v>
          </cell>
          <cell r="AB80">
            <v>204750</v>
          </cell>
          <cell r="AC80">
            <v>136500</v>
          </cell>
          <cell r="AD80">
            <v>1433250</v>
          </cell>
          <cell r="AE80">
            <v>600000</v>
          </cell>
          <cell r="AF80">
            <v>2616750</v>
          </cell>
          <cell r="AG80">
            <v>0.05</v>
          </cell>
          <cell r="AH80">
            <v>0</v>
          </cell>
          <cell r="AI80">
            <v>130838</v>
          </cell>
          <cell r="AJ80">
            <v>2457000</v>
          </cell>
          <cell r="AK80">
            <v>409500</v>
          </cell>
          <cell r="AL80">
            <v>136500</v>
          </cell>
          <cell r="AM80">
            <v>3003000</v>
          </cell>
          <cell r="AN80">
            <v>13650000</v>
          </cell>
          <cell r="AO80">
            <v>13650000</v>
          </cell>
          <cell r="AQ80">
            <v>12085912</v>
          </cell>
        </row>
        <row r="81">
          <cell r="C81" t="str">
            <v>365515159</v>
          </cell>
          <cell r="D81" t="str">
            <v>Lam Thi Loan Anh</v>
          </cell>
          <cell r="E81">
            <v>41968</v>
          </cell>
          <cell r="F81" t="str">
            <v>Expansion</v>
          </cell>
          <cell r="G81" t="str">
            <v>Store Development</v>
          </cell>
          <cell r="H81" t="str">
            <v>Supervisor</v>
          </cell>
          <cell r="I81">
            <v>14200000</v>
          </cell>
          <cell r="K81">
            <v>14200000</v>
          </cell>
          <cell r="M81">
            <v>1000000</v>
          </cell>
          <cell r="N81">
            <v>1000000</v>
          </cell>
          <cell r="O81">
            <v>200000</v>
          </cell>
          <cell r="P81">
            <v>600000</v>
          </cell>
          <cell r="Q81">
            <v>2800000</v>
          </cell>
          <cell r="R81">
            <v>0</v>
          </cell>
          <cell r="V81">
            <v>17000000</v>
          </cell>
          <cell r="W81">
            <v>0</v>
          </cell>
          <cell r="X81">
            <v>9000000</v>
          </cell>
          <cell r="Y81">
            <v>2</v>
          </cell>
          <cell r="Z81">
            <v>7200000</v>
          </cell>
          <cell r="AA81">
            <v>1360000</v>
          </cell>
          <cell r="AB81">
            <v>255000</v>
          </cell>
          <cell r="AC81">
            <v>170000</v>
          </cell>
          <cell r="AD81">
            <v>1785000</v>
          </cell>
          <cell r="AE81">
            <v>600000</v>
          </cell>
          <cell r="AF81">
            <v>-1585000</v>
          </cell>
          <cell r="AG81">
            <v>0</v>
          </cell>
          <cell r="AH81">
            <v>0</v>
          </cell>
          <cell r="AI81">
            <v>0</v>
          </cell>
          <cell r="AJ81">
            <v>3060000</v>
          </cell>
          <cell r="AK81">
            <v>510000</v>
          </cell>
          <cell r="AL81">
            <v>170000</v>
          </cell>
          <cell r="AM81">
            <v>3740000</v>
          </cell>
          <cell r="AN81">
            <v>17000000</v>
          </cell>
          <cell r="AO81">
            <v>17000000</v>
          </cell>
          <cell r="AQ81">
            <v>15215000</v>
          </cell>
        </row>
        <row r="82">
          <cell r="C82" t="str">
            <v>225152439</v>
          </cell>
          <cell r="D82" t="str">
            <v>Nguyen Le Thanh Liem</v>
          </cell>
          <cell r="E82">
            <v>41935</v>
          </cell>
          <cell r="F82" t="str">
            <v>Finance</v>
          </cell>
          <cell r="G82" t="str">
            <v>System</v>
          </cell>
          <cell r="H82" t="str">
            <v>Supervisor</v>
          </cell>
          <cell r="I82">
            <v>14910000</v>
          </cell>
          <cell r="K82">
            <v>14910000</v>
          </cell>
          <cell r="M82">
            <v>1000000</v>
          </cell>
          <cell r="N82">
            <v>1000000</v>
          </cell>
          <cell r="O82">
            <v>200000</v>
          </cell>
          <cell r="P82">
            <v>600000</v>
          </cell>
          <cell r="Q82">
            <v>2800000</v>
          </cell>
          <cell r="R82">
            <v>0</v>
          </cell>
          <cell r="V82">
            <v>17710000</v>
          </cell>
          <cell r="W82">
            <v>0</v>
          </cell>
          <cell r="X82">
            <v>9000000</v>
          </cell>
          <cell r="Y82">
            <v>2</v>
          </cell>
          <cell r="Z82">
            <v>7200000</v>
          </cell>
          <cell r="AA82">
            <v>1416800</v>
          </cell>
          <cell r="AB82">
            <v>265650</v>
          </cell>
          <cell r="AC82">
            <v>177100</v>
          </cell>
          <cell r="AD82">
            <v>1859550</v>
          </cell>
          <cell r="AE82">
            <v>600000</v>
          </cell>
          <cell r="AF82">
            <v>-949550</v>
          </cell>
          <cell r="AG82">
            <v>0</v>
          </cell>
          <cell r="AH82">
            <v>0</v>
          </cell>
          <cell r="AI82">
            <v>0</v>
          </cell>
          <cell r="AJ82">
            <v>3187800</v>
          </cell>
          <cell r="AK82">
            <v>531300</v>
          </cell>
          <cell r="AL82">
            <v>177100</v>
          </cell>
          <cell r="AM82">
            <v>3896200</v>
          </cell>
          <cell r="AN82">
            <v>17710000</v>
          </cell>
          <cell r="AO82">
            <v>17710000</v>
          </cell>
          <cell r="AQ82">
            <v>15850450</v>
          </cell>
        </row>
      </sheetData>
      <sheetData sheetId="3"/>
      <sheetData sheetId="4">
        <row r="4">
          <cell r="R4" t="str">
            <v>Total
payment
(VND)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gKyCapMa_L6"/>
      <sheetName val="DangKyCapMa_L7"/>
      <sheetName val="DangKyCapMa_L8"/>
      <sheetName val="DangKyCapMa_L9"/>
      <sheetName val="DangKyCapMa_L10"/>
      <sheetName val="DangKyCapMa_L11"/>
      <sheetName val="DangKyCapMa_L12"/>
      <sheetName val="DangKyCapMa_L13"/>
      <sheetName val="DangKyCapMa_L14"/>
      <sheetName val="DangKyCapMa_L15"/>
      <sheetName val="DangKyCapMa_L16"/>
      <sheetName val="DangKyCapMa_L17"/>
      <sheetName val="DangKyCapMa_L18"/>
      <sheetName val="DangKyCapMa_L1-19"/>
      <sheetName val="DangKyCapMa_L2-19"/>
      <sheetName val="DangKyCapMa_L3-19"/>
      <sheetName val="DangKyCapMa_L4-19"/>
      <sheetName val="DangKyCapMa_L5-19 "/>
      <sheetName val="DangKyCapMa_L6-19"/>
      <sheetName val="DangKyCapMa_L7-19"/>
      <sheetName val="Data"/>
      <sheetName val="HDSD"/>
      <sheetName val="DangKyCapMa_L5-19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4">
          <cell r="B4" t="str">
            <v>An Giang</v>
          </cell>
          <cell r="L4" t="str">
            <v>Con</v>
          </cell>
        </row>
        <row r="5">
          <cell r="L5" t="str">
            <v>Vợ/chồng</v>
          </cell>
        </row>
        <row r="6">
          <cell r="L6" t="str">
            <v>Cha/mẹ</v>
          </cell>
        </row>
        <row r="7">
          <cell r="L7" t="str">
            <v>Khác</v>
          </cell>
        </row>
      </sheetData>
      <sheetData sheetId="21" refreshError="1"/>
      <sheetData sheetId="2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Cham cong"/>
      <sheetName val="Bang tham chieu"/>
      <sheetName val="Bảng tham chiếu"/>
      <sheetName val="VD minh hoa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chamcong"/>
      <sheetName val="Cham_cong160"/>
      <sheetName val="Bang_tham_chieu160"/>
      <sheetName val="Bảng_tham_chiếu160"/>
      <sheetName val="VD_minh_hoa160"/>
      <sheetName val="Cham_cong154"/>
      <sheetName val="Bang_tham_chieu154"/>
      <sheetName val="Bảng_tham_chiếu154"/>
      <sheetName val="VD_minh_hoa154"/>
      <sheetName val="Cham_cong152"/>
      <sheetName val="Bang_tham_chieu152"/>
      <sheetName val="Bảng_tham_chiếu152"/>
      <sheetName val="VD_minh_hoa152"/>
      <sheetName val="Cham_cong144"/>
      <sheetName val="Bang_tham_chieu144"/>
      <sheetName val="Bảng_tham_chiếu144"/>
      <sheetName val="VD_minh_hoa144"/>
      <sheetName val="Cham_cong138"/>
      <sheetName val="Bang_tham_chieu138"/>
      <sheetName val="Bảng_tham_chiếu138"/>
      <sheetName val="VD_minh_hoa138"/>
      <sheetName val="Cham_cong129"/>
      <sheetName val="Bang_tham_chieu129"/>
      <sheetName val="Bảng_tham_chiếu129"/>
      <sheetName val="VD_minh_hoa129"/>
      <sheetName val="Cham_cong"/>
      <sheetName val="Bang_tham_chieu"/>
      <sheetName val="Bảng_tham_chiếu"/>
      <sheetName val="VD_minh_hoa"/>
      <sheetName val="Cham_cong1"/>
      <sheetName val="Bang_tham_chieu1"/>
      <sheetName val="Bảng_tham_chiếu1"/>
      <sheetName val="VD_minh_hoa1"/>
      <sheetName val="Cham_cong127"/>
      <sheetName val="Bang_tham_chieu127"/>
      <sheetName val="Bảng_tham_chiếu127"/>
      <sheetName val="VD_minh_hoa127"/>
      <sheetName val="Cham_cong119"/>
      <sheetName val="Bang_tham_chieu119"/>
      <sheetName val="Bảng_tham_chiếu119"/>
      <sheetName val="VD_minh_hoa119"/>
      <sheetName val="Cham_cong103"/>
      <sheetName val="Bang_tham_chieu103"/>
      <sheetName val="Bảng_tham_chiếu103"/>
      <sheetName val="VD_minh_hoa103"/>
      <sheetName val="Cham_cong96"/>
      <sheetName val="Bang_tham_chieu96"/>
      <sheetName val="Bảng_tham_chiếu96"/>
      <sheetName val="VD_minh_hoa96"/>
      <sheetName val="Cham_cong86"/>
      <sheetName val="Bang_tham_chieu86"/>
      <sheetName val="Bảng_tham_chiếu86"/>
      <sheetName val="VD_minh_hoa86"/>
      <sheetName val="Cham_cong84"/>
      <sheetName val="Bang_tham_chieu84"/>
      <sheetName val="Bảng_tham_chiếu84"/>
      <sheetName val="VD_minh_hoa84"/>
      <sheetName val="Cham_cong72"/>
      <sheetName val="Bang_tham_chieu72"/>
      <sheetName val="Bảng_tham_chiếu72"/>
      <sheetName val="VD_minh_hoa72"/>
      <sheetName val="Cham_cong70"/>
      <sheetName val="Bang_tham_chieu70"/>
      <sheetName val="Bảng_tham_chiếu70"/>
      <sheetName val="VD_minh_hoa70"/>
      <sheetName val="Cham_cong69"/>
      <sheetName val="Bang_tham_chieu69"/>
      <sheetName val="Bảng_tham_chiếu69"/>
      <sheetName val="VD_minh_hoa69"/>
      <sheetName val="Cham_cong61"/>
      <sheetName val="Bang_tham_chieu61"/>
      <sheetName val="Bảng_tham_chiếu61"/>
      <sheetName val="VD_minh_hoa61"/>
      <sheetName val="Cham_cong59"/>
      <sheetName val="Bang_tham_chieu59"/>
      <sheetName val="Bảng_tham_chiếu59"/>
      <sheetName val="VD_minh_hoa59"/>
      <sheetName val="Cham_cong58"/>
      <sheetName val="Bang_tham_chieu58"/>
      <sheetName val="Bảng_tham_chiếu58"/>
      <sheetName val="VD_minh_hoa58"/>
      <sheetName val="Cham_cong35"/>
      <sheetName val="Bang_tham_chieu35"/>
      <sheetName val="Bảng_tham_chiếu35"/>
      <sheetName val="VD_minh_hoa35"/>
      <sheetName val="Cham_cong33"/>
      <sheetName val="Bang_tham_chieu33"/>
      <sheetName val="Bảng_tham_chiếu33"/>
      <sheetName val="VD_minh_hoa33"/>
      <sheetName val="Cham_cong2"/>
      <sheetName val="Bang_tham_chieu2"/>
      <sheetName val="Bảng_tham_chiếu2"/>
      <sheetName val="VD_minh_hoa2"/>
      <sheetName val="Cham_cong28"/>
      <sheetName val="Bang_tham_chieu28"/>
      <sheetName val="Bảng_tham_chiếu28"/>
      <sheetName val="VD_minh_hoa28"/>
      <sheetName val="Cham_cong27"/>
      <sheetName val="Bang_tham_chieu27"/>
      <sheetName val="Bảng_tham_chiếu27"/>
      <sheetName val="VD_minh_hoa27"/>
      <sheetName val="Cham_cong25"/>
      <sheetName val="Bang_tham_chieu25"/>
      <sheetName val="Bảng_tham_chiếu25"/>
      <sheetName val="VD_minh_hoa25"/>
      <sheetName val="Cham_cong19"/>
      <sheetName val="Bang_tham_chieu19"/>
      <sheetName val="Bảng_tham_chiếu19"/>
      <sheetName val="VD_minh_hoa19"/>
      <sheetName val="Cham_cong16"/>
      <sheetName val="Bang_tham_chieu16"/>
      <sheetName val="Bảng_tham_chiếu16"/>
      <sheetName val="VD_minh_hoa16"/>
      <sheetName val="Employees_data6"/>
      <sheetName val="Cham_cong10"/>
      <sheetName val="Bang_tham_chieu10"/>
      <sheetName val="Bảng_tham_chiếu10"/>
      <sheetName val="VD_minh_hoa10"/>
      <sheetName val="Cham_cong7"/>
      <sheetName val="Bang_tham_chieu7"/>
      <sheetName val="Bảng_tham_chiếu7"/>
      <sheetName val="VD_minh_hoa7"/>
      <sheetName val="Employees_data3"/>
      <sheetName val="Cham_cong3"/>
      <sheetName val="Bang_tham_chieu3"/>
      <sheetName val="Bảng_tham_chiếu3"/>
      <sheetName val="VD_minh_hoa3"/>
      <sheetName val="Cham_cong4"/>
      <sheetName val="Bang_tham_chieu4"/>
      <sheetName val="Bảng_tham_chiếu4"/>
      <sheetName val="VD_minh_hoa4"/>
      <sheetName val="Employees_data"/>
      <sheetName val="Cham_cong5"/>
      <sheetName val="Bang_tham_chieu5"/>
      <sheetName val="Bảng_tham_chiếu5"/>
      <sheetName val="VD_minh_hoa5"/>
      <sheetName val="Employees_data1"/>
      <sheetName val="Cham_cong6"/>
      <sheetName val="Bang_tham_chieu6"/>
      <sheetName val="Bảng_tham_chiếu6"/>
      <sheetName val="VD_minh_hoa6"/>
      <sheetName val="Employees_data2"/>
      <sheetName val="Cham_cong8"/>
      <sheetName val="Bang_tham_chieu8"/>
      <sheetName val="Bảng_tham_chiếu8"/>
      <sheetName val="VD_minh_hoa8"/>
      <sheetName val="Cham_cong9"/>
      <sheetName val="Bang_tham_chieu9"/>
      <sheetName val="Bảng_tham_chiếu9"/>
      <sheetName val="VD_minh_hoa9"/>
      <sheetName val="Cham_cong11"/>
      <sheetName val="Bang_tham_chieu11"/>
      <sheetName val="Bảng_tham_chiếu11"/>
      <sheetName val="VD_minh_hoa11"/>
      <sheetName val="Cham_cong12"/>
      <sheetName val="Bang_tham_chieu12"/>
      <sheetName val="Bảng_tham_chiếu12"/>
      <sheetName val="VD_minh_hoa12"/>
      <sheetName val="Cham_cong14"/>
      <sheetName val="Bang_tham_chieu14"/>
      <sheetName val="Bảng_tham_chiếu14"/>
      <sheetName val="VD_minh_hoa14"/>
      <sheetName val="Employees_data5"/>
      <sheetName val="Cham_cong13"/>
      <sheetName val="Bang_tham_chieu13"/>
      <sheetName val="Bảng_tham_chiếu13"/>
      <sheetName val="VD_minh_hoa13"/>
      <sheetName val="Employees_data4"/>
      <sheetName val="Cham_cong15"/>
      <sheetName val="Bang_tham_chieu15"/>
      <sheetName val="Bảng_tham_chiếu15"/>
      <sheetName val="VD_minh_hoa15"/>
      <sheetName val="Cham_cong17"/>
      <sheetName val="Bang_tham_chieu17"/>
      <sheetName val="Bảng_tham_chiếu17"/>
      <sheetName val="VD_minh_hoa17"/>
      <sheetName val="Cham_cong18"/>
      <sheetName val="Bang_tham_chieu18"/>
      <sheetName val="Bảng_tham_chiếu18"/>
      <sheetName val="VD_minh_hoa18"/>
      <sheetName val="Cham_cong24"/>
      <sheetName val="Bang_tham_chieu24"/>
      <sheetName val="Bảng_tham_chiếu24"/>
      <sheetName val="VD_minh_hoa24"/>
      <sheetName val="Cham_cong21"/>
      <sheetName val="Bang_tham_chieu21"/>
      <sheetName val="Bảng_tham_chiếu21"/>
      <sheetName val="VD_minh_hoa21"/>
      <sheetName val="Cham_cong20"/>
      <sheetName val="Bang_tham_chieu20"/>
      <sheetName val="Bảng_tham_chiếu20"/>
      <sheetName val="VD_minh_hoa20"/>
      <sheetName val="Cham_cong22"/>
      <sheetName val="Bang_tham_chieu22"/>
      <sheetName val="Bảng_tham_chiếu22"/>
      <sheetName val="VD_minh_hoa22"/>
      <sheetName val="Cham_cong23"/>
      <sheetName val="Bang_tham_chieu23"/>
      <sheetName val="Bảng_tham_chiếu23"/>
      <sheetName val="VD_minh_hoa23"/>
      <sheetName val="Cham_cong26"/>
      <sheetName val="Bang_tham_chieu26"/>
      <sheetName val="Bảng_tham_chiếu26"/>
      <sheetName val="VD_minh_hoa26"/>
      <sheetName val="Cham_cong29"/>
      <sheetName val="Bang_tham_chieu29"/>
      <sheetName val="Bảng_tham_chiếu29"/>
      <sheetName val="VD_minh_hoa29"/>
      <sheetName val="Cham_cong30"/>
      <sheetName val="Bang_tham_chieu30"/>
      <sheetName val="Bảng_tham_chiếu30"/>
      <sheetName val="VD_minh_hoa30"/>
      <sheetName val="Cham_cong31"/>
      <sheetName val="Bang_tham_chieu31"/>
      <sheetName val="Bảng_tham_chiếu31"/>
      <sheetName val="VD_minh_hoa31"/>
      <sheetName val="Cham_cong32"/>
      <sheetName val="Bang_tham_chieu32"/>
      <sheetName val="Bảng_tham_chiếu32"/>
      <sheetName val="VD_minh_hoa32"/>
      <sheetName val="Cham_cong34"/>
      <sheetName val="Bang_tham_chieu34"/>
      <sheetName val="Bảng_tham_chiếu34"/>
      <sheetName val="VD_minh_hoa34"/>
      <sheetName val="Cham_cong36"/>
      <sheetName val="Bang_tham_chieu36"/>
      <sheetName val="Bảng_tham_chiếu36"/>
      <sheetName val="VD_minh_hoa36"/>
      <sheetName val="Cham_cong37"/>
      <sheetName val="Bang_tham_chieu37"/>
      <sheetName val="Bảng_tham_chiếu37"/>
      <sheetName val="VD_minh_hoa37"/>
      <sheetName val="Cham_cong40"/>
      <sheetName val="Bang_tham_chieu40"/>
      <sheetName val="Bảng_tham_chiếu40"/>
      <sheetName val="VD_minh_hoa40"/>
      <sheetName val="Cham_cong38"/>
      <sheetName val="Bang_tham_chieu38"/>
      <sheetName val="Bảng_tham_chiếu38"/>
      <sheetName val="VD_minh_hoa38"/>
      <sheetName val="Cham_cong39"/>
      <sheetName val="Bang_tham_chieu39"/>
      <sheetName val="Bảng_tham_chiếu39"/>
      <sheetName val="VD_minh_hoa39"/>
      <sheetName val="Cham_cong41"/>
      <sheetName val="Bang_tham_chieu41"/>
      <sheetName val="Bảng_tham_chiếu41"/>
      <sheetName val="VD_minh_hoa41"/>
      <sheetName val="Cham_cong42"/>
      <sheetName val="Bang_tham_chieu42"/>
      <sheetName val="Bảng_tham_chiếu42"/>
      <sheetName val="VD_minh_hoa42"/>
      <sheetName val="Cham_cong43"/>
      <sheetName val="Bang_tham_chieu43"/>
      <sheetName val="Bảng_tham_chiếu43"/>
      <sheetName val="VD_minh_hoa43"/>
      <sheetName val="Cham_cong44"/>
      <sheetName val="Bang_tham_chieu44"/>
      <sheetName val="Bảng_tham_chiếu44"/>
      <sheetName val="VD_minh_hoa44"/>
      <sheetName val="Cham_cong51"/>
      <sheetName val="Bang_tham_chieu51"/>
      <sheetName val="Bảng_tham_chiếu51"/>
      <sheetName val="VD_minh_hoa51"/>
      <sheetName val="Cham_cong46"/>
      <sheetName val="Bang_tham_chieu46"/>
      <sheetName val="Bảng_tham_chiếu46"/>
      <sheetName val="VD_minh_hoa46"/>
      <sheetName val="Cham_cong45"/>
      <sheetName val="Bang_tham_chieu45"/>
      <sheetName val="Bảng_tham_chiếu45"/>
      <sheetName val="VD_minh_hoa45"/>
      <sheetName val="Cham_cong48"/>
      <sheetName val="Bang_tham_chieu48"/>
      <sheetName val="Bảng_tham_chiếu48"/>
      <sheetName val="VD_minh_hoa48"/>
      <sheetName val="Cham_cong47"/>
      <sheetName val="Bang_tham_chieu47"/>
      <sheetName val="Bảng_tham_chiếu47"/>
      <sheetName val="VD_minh_hoa47"/>
      <sheetName val="Cham_cong49"/>
      <sheetName val="Bang_tham_chieu49"/>
      <sheetName val="Bảng_tham_chiếu49"/>
      <sheetName val="VD_minh_hoa49"/>
      <sheetName val="Cham_cong50"/>
      <sheetName val="Bang_tham_chieu50"/>
      <sheetName val="Bảng_tham_chiếu50"/>
      <sheetName val="VD_minh_hoa50"/>
      <sheetName val="Cham_cong52"/>
      <sheetName val="Bang_tham_chieu52"/>
      <sheetName val="Bảng_tham_chiếu52"/>
      <sheetName val="VD_minh_hoa52"/>
      <sheetName val="Cham_cong54"/>
      <sheetName val="Bang_tham_chieu54"/>
      <sheetName val="Bảng_tham_chiếu54"/>
      <sheetName val="VD_minh_hoa54"/>
      <sheetName val="Cham_cong53"/>
      <sheetName val="Bang_tham_chieu53"/>
      <sheetName val="Bảng_tham_chiếu53"/>
      <sheetName val="VD_minh_hoa53"/>
      <sheetName val="Cham_cong55"/>
      <sheetName val="Bang_tham_chieu55"/>
      <sheetName val="Bảng_tham_chiếu55"/>
      <sheetName val="VD_minh_hoa55"/>
      <sheetName val="Cham_cong56"/>
      <sheetName val="Bang_tham_chieu56"/>
      <sheetName val="Bảng_tham_chiếu56"/>
      <sheetName val="VD_minh_hoa56"/>
      <sheetName val="Cham_cong57"/>
      <sheetName val="Bang_tham_chieu57"/>
      <sheetName val="Bảng_tham_chiếu57"/>
      <sheetName val="VD_minh_hoa57"/>
      <sheetName val="Cham_cong60"/>
      <sheetName val="Bang_tham_chieu60"/>
      <sheetName val="Bảng_tham_chiếu60"/>
      <sheetName val="VD_minh_hoa60"/>
      <sheetName val="Cham_cong62"/>
      <sheetName val="Bang_tham_chieu62"/>
      <sheetName val="Bảng_tham_chiếu62"/>
      <sheetName val="VD_minh_hoa62"/>
      <sheetName val="Cham_cong63"/>
      <sheetName val="Bang_tham_chieu63"/>
      <sheetName val="Bảng_tham_chiếu63"/>
      <sheetName val="VD_minh_hoa63"/>
      <sheetName val="Cham_cong65"/>
      <sheetName val="Bang_tham_chieu65"/>
      <sheetName val="Bảng_tham_chiếu65"/>
      <sheetName val="VD_minh_hoa65"/>
      <sheetName val="Cham_cong64"/>
      <sheetName val="Bang_tham_chieu64"/>
      <sheetName val="Bảng_tham_chiếu64"/>
      <sheetName val="VD_minh_hoa64"/>
      <sheetName val="Cham_cong67"/>
      <sheetName val="Bang_tham_chieu67"/>
      <sheetName val="Bảng_tham_chiếu67"/>
      <sheetName val="VD_minh_hoa67"/>
      <sheetName val="Cham_cong66"/>
      <sheetName val="Bang_tham_chieu66"/>
      <sheetName val="Bảng_tham_chiếu66"/>
      <sheetName val="VD_minh_hoa66"/>
      <sheetName val="Cham_cong68"/>
      <sheetName val="Bang_tham_chieu68"/>
      <sheetName val="Bảng_tham_chiếu68"/>
      <sheetName val="VD_minh_hoa68"/>
      <sheetName val="Employees_data7"/>
      <sheetName val="Employees_data9"/>
      <sheetName val="Employees_data8"/>
      <sheetName val="Employees_data10"/>
      <sheetName val="Cham_cong71"/>
      <sheetName val="Bang_tham_chieu71"/>
      <sheetName val="Bảng_tham_chiếu71"/>
      <sheetName val="VD_minh_hoa71"/>
      <sheetName val="Cham_cong73"/>
      <sheetName val="Bang_tham_chieu73"/>
      <sheetName val="Bảng_tham_chiếu73"/>
      <sheetName val="VD_minh_hoa73"/>
      <sheetName val="Cham_cong74"/>
      <sheetName val="Bang_tham_chieu74"/>
      <sheetName val="Bảng_tham_chiếu74"/>
      <sheetName val="VD_minh_hoa74"/>
      <sheetName val="Cham_cong79"/>
      <sheetName val="Bang_tham_chieu79"/>
      <sheetName val="Bảng_tham_chiếu79"/>
      <sheetName val="VD_minh_hoa79"/>
      <sheetName val="Cham_cong75"/>
      <sheetName val="Bang_tham_chieu75"/>
      <sheetName val="Bảng_tham_chiếu75"/>
      <sheetName val="VD_minh_hoa75"/>
      <sheetName val="Cham_cong76"/>
      <sheetName val="Bang_tham_chieu76"/>
      <sheetName val="Bảng_tham_chiếu76"/>
      <sheetName val="VD_minh_hoa76"/>
      <sheetName val="Cham_cong77"/>
      <sheetName val="Bang_tham_chieu77"/>
      <sheetName val="Bảng_tham_chiếu77"/>
      <sheetName val="VD_minh_hoa77"/>
      <sheetName val="Cham_cong78"/>
      <sheetName val="Bang_tham_chieu78"/>
      <sheetName val="Bảng_tham_chiếu78"/>
      <sheetName val="VD_minh_hoa78"/>
      <sheetName val="Cham_cong80"/>
      <sheetName val="Bang_tham_chieu80"/>
      <sheetName val="Bảng_tham_chiếu80"/>
      <sheetName val="VD_minh_hoa80"/>
      <sheetName val="Cham_cong81"/>
      <sheetName val="Bang_tham_chieu81"/>
      <sheetName val="Bảng_tham_chiếu81"/>
      <sheetName val="VD_minh_hoa81"/>
      <sheetName val="Cham_cong82"/>
      <sheetName val="Bang_tham_chieu82"/>
      <sheetName val="Bảng_tham_chiếu82"/>
      <sheetName val="VD_minh_hoa82"/>
      <sheetName val="Cham_cong83"/>
      <sheetName val="Bang_tham_chieu83"/>
      <sheetName val="Bảng_tham_chiếu83"/>
      <sheetName val="VD_minh_hoa83"/>
      <sheetName val="Cham_cong85"/>
      <sheetName val="Bang_tham_chieu85"/>
      <sheetName val="Bảng_tham_chiếu85"/>
      <sheetName val="VD_minh_hoa85"/>
      <sheetName val="Employees_data11"/>
      <sheetName val="Cham_cong87"/>
      <sheetName val="Bang_tham_chieu87"/>
      <sheetName val="Bảng_tham_chiếu87"/>
      <sheetName val="VD_minh_hoa87"/>
      <sheetName val="Cham_cong88"/>
      <sheetName val="Bang_tham_chieu88"/>
      <sheetName val="Bảng_tham_chiếu88"/>
      <sheetName val="VD_minh_hoa88"/>
      <sheetName val="Cham_cong89"/>
      <sheetName val="Bang_tham_chieu89"/>
      <sheetName val="Bảng_tham_chiếu89"/>
      <sheetName val="VD_minh_hoa89"/>
      <sheetName val="Cham_cong92"/>
      <sheetName val="Bang_tham_chieu92"/>
      <sheetName val="Bảng_tham_chiếu92"/>
      <sheetName val="VD_minh_hoa92"/>
      <sheetName val="Cham_cong90"/>
      <sheetName val="Bang_tham_chieu90"/>
      <sheetName val="Bảng_tham_chiếu90"/>
      <sheetName val="VD_minh_hoa90"/>
      <sheetName val="Cham_cong91"/>
      <sheetName val="Bang_tham_chieu91"/>
      <sheetName val="Bảng_tham_chiếu91"/>
      <sheetName val="VD_minh_hoa91"/>
      <sheetName val="Cham_cong93"/>
      <sheetName val="Bang_tham_chieu93"/>
      <sheetName val="Bảng_tham_chiếu93"/>
      <sheetName val="VD_minh_hoa93"/>
      <sheetName val="Cham_cong94"/>
      <sheetName val="Bang_tham_chieu94"/>
      <sheetName val="Bảng_tham_chiếu94"/>
      <sheetName val="VD_minh_hoa94"/>
      <sheetName val="Cham_cong95"/>
      <sheetName val="Bang_tham_chieu95"/>
      <sheetName val="Bảng_tham_chiếu95"/>
      <sheetName val="VD_minh_hoa95"/>
      <sheetName val="Cham_cong99"/>
      <sheetName val="Bang_tham_chieu99"/>
      <sheetName val="Bảng_tham_chiếu99"/>
      <sheetName val="VD_minh_hoa99"/>
      <sheetName val="Cham_cong98"/>
      <sheetName val="Bang_tham_chieu98"/>
      <sheetName val="Bảng_tham_chiếu98"/>
      <sheetName val="VD_minh_hoa98"/>
      <sheetName val="Cham_cong97"/>
      <sheetName val="Bang_tham_chieu97"/>
      <sheetName val="Bảng_tham_chiếu97"/>
      <sheetName val="VD_minh_hoa97"/>
      <sheetName val="Cham_cong100"/>
      <sheetName val="Bang_tham_chieu100"/>
      <sheetName val="Bảng_tham_chiếu100"/>
      <sheetName val="VD_minh_hoa100"/>
      <sheetName val="Cham_cong101"/>
      <sheetName val="Bang_tham_chieu101"/>
      <sheetName val="Bảng_tham_chiếu101"/>
      <sheetName val="VD_minh_hoa101"/>
      <sheetName val="Cham_cong102"/>
      <sheetName val="Bang_tham_chieu102"/>
      <sheetName val="Bảng_tham_chiếu102"/>
      <sheetName val="VD_minh_hoa102"/>
      <sheetName val="Cham_cong107"/>
      <sheetName val="Bang_tham_chieu107"/>
      <sheetName val="Bảng_tham_chiếu107"/>
      <sheetName val="VD_minh_hoa107"/>
      <sheetName val="Employees_data15"/>
      <sheetName val="Cham_cong104"/>
      <sheetName val="Bang_tham_chieu104"/>
      <sheetName val="Bảng_tham_chiếu104"/>
      <sheetName val="VD_minh_hoa104"/>
      <sheetName val="Employees_data12"/>
      <sheetName val="Cham_cong105"/>
      <sheetName val="Bang_tham_chieu105"/>
      <sheetName val="Bảng_tham_chiếu105"/>
      <sheetName val="VD_minh_hoa105"/>
      <sheetName val="Employees_data13"/>
      <sheetName val="Cham_cong106"/>
      <sheetName val="Bang_tham_chieu106"/>
      <sheetName val="Bảng_tham_chiếu106"/>
      <sheetName val="VD_minh_hoa106"/>
      <sheetName val="Employees_data14"/>
      <sheetName val="Cham_cong108"/>
      <sheetName val="Bang_tham_chieu108"/>
      <sheetName val="Bảng_tham_chiếu108"/>
      <sheetName val="VD_minh_hoa108"/>
      <sheetName val="Cham_cong109"/>
      <sheetName val="Bang_tham_chieu109"/>
      <sheetName val="Bảng_tham_chiếu109"/>
      <sheetName val="VD_minh_hoa109"/>
      <sheetName val="Cham_cong111"/>
      <sheetName val="Bang_tham_chieu111"/>
      <sheetName val="Bảng_tham_chiếu111"/>
      <sheetName val="VD_minh_hoa111"/>
      <sheetName val="Cham_cong110"/>
      <sheetName val="Bang_tham_chieu110"/>
      <sheetName val="Bảng_tham_chiếu110"/>
      <sheetName val="VD_minh_hoa110"/>
      <sheetName val="Cham_cong118"/>
      <sheetName val="Bang_tham_chieu118"/>
      <sheetName val="Bảng_tham_chiếu118"/>
      <sheetName val="VD_minh_hoa118"/>
      <sheetName val="Cham_cong112"/>
      <sheetName val="Bang_tham_chieu112"/>
      <sheetName val="Bảng_tham_chiếu112"/>
      <sheetName val="VD_minh_hoa112"/>
      <sheetName val="Cham_cong113"/>
      <sheetName val="Bang_tham_chieu113"/>
      <sheetName val="Bảng_tham_chiếu113"/>
      <sheetName val="VD_minh_hoa113"/>
      <sheetName val="Cham_cong114"/>
      <sheetName val="Bang_tham_chieu114"/>
      <sheetName val="Bảng_tham_chiếu114"/>
      <sheetName val="VD_minh_hoa114"/>
      <sheetName val="Cham_cong115"/>
      <sheetName val="Bang_tham_chieu115"/>
      <sheetName val="Bảng_tham_chiếu115"/>
      <sheetName val="VD_minh_hoa115"/>
      <sheetName val="Cham_cong116"/>
      <sheetName val="Bang_tham_chieu116"/>
      <sheetName val="Bảng_tham_chiếu116"/>
      <sheetName val="VD_minh_hoa116"/>
      <sheetName val="Cham_cong117"/>
      <sheetName val="Bang_tham_chieu117"/>
      <sheetName val="Bảng_tham_chiếu117"/>
      <sheetName val="VD_minh_hoa117"/>
      <sheetName val="Cham_cong120"/>
      <sheetName val="Bang_tham_chieu120"/>
      <sheetName val="Bảng_tham_chiếu120"/>
      <sheetName val="VD_minh_hoa120"/>
      <sheetName val="Cham_cong121"/>
      <sheetName val="Bang_tham_chieu121"/>
      <sheetName val="Bảng_tham_chiếu121"/>
      <sheetName val="VD_minh_hoa121"/>
      <sheetName val="Cham_cong122"/>
      <sheetName val="Bang_tham_chieu122"/>
      <sheetName val="Bảng_tham_chiếu122"/>
      <sheetName val="VD_minh_hoa122"/>
      <sheetName val="Cham_cong123"/>
      <sheetName val="Bang_tham_chieu123"/>
      <sheetName val="Bảng_tham_chiếu123"/>
      <sheetName val="VD_minh_hoa123"/>
      <sheetName val="Cham_cong124"/>
      <sheetName val="Bang_tham_chieu124"/>
      <sheetName val="Bảng_tham_chiếu124"/>
      <sheetName val="VD_minh_hoa124"/>
      <sheetName val="Cham_cong125"/>
      <sheetName val="Bang_tham_chieu125"/>
      <sheetName val="Bảng_tham_chiếu125"/>
      <sheetName val="VD_minh_hoa125"/>
      <sheetName val="Cham_cong126"/>
      <sheetName val="Bang_tham_chieu126"/>
      <sheetName val="Bảng_tham_chiếu126"/>
      <sheetName val="VD_minh_hoa126"/>
      <sheetName val="Cham_cong128"/>
      <sheetName val="Bang_tham_chieu128"/>
      <sheetName val="Bảng_tham_chiếu128"/>
      <sheetName val="VD_minh_hoa128"/>
      <sheetName val="Cham_cong130"/>
      <sheetName val="Bang_tham_chieu130"/>
      <sheetName val="Bảng_tham_chiếu130"/>
      <sheetName val="VD_minh_hoa130"/>
      <sheetName val="Cham_cong131"/>
      <sheetName val="Bang_tham_chieu131"/>
      <sheetName val="Bảng_tham_chiếu131"/>
      <sheetName val="VD_minh_hoa131"/>
      <sheetName val="Cham_cong132"/>
      <sheetName val="Bang_tham_chieu132"/>
      <sheetName val="Bảng_tham_chiếu132"/>
      <sheetName val="VD_minh_hoa132"/>
      <sheetName val="Cham_cong134"/>
      <sheetName val="Bang_tham_chieu134"/>
      <sheetName val="Bảng_tham_chiếu134"/>
      <sheetName val="VD_minh_hoa134"/>
      <sheetName val="Employees_data17"/>
      <sheetName val="Cham_cong133"/>
      <sheetName val="Bang_tham_chieu133"/>
      <sheetName val="Bảng_tham_chiếu133"/>
      <sheetName val="VD_minh_hoa133"/>
      <sheetName val="Employees_data16"/>
      <sheetName val="Cham_cong136"/>
      <sheetName val="Bang_tham_chieu136"/>
      <sheetName val="Bảng_tham_chiếu136"/>
      <sheetName val="VD_minh_hoa136"/>
      <sheetName val="Employees_data19"/>
      <sheetName val="Cham_cong135"/>
      <sheetName val="Bang_tham_chieu135"/>
      <sheetName val="Bảng_tham_chiếu135"/>
      <sheetName val="VD_minh_hoa135"/>
      <sheetName val="Employees_data18"/>
      <sheetName val="Cham_cong137"/>
      <sheetName val="Bang_tham_chieu137"/>
      <sheetName val="Bảng_tham_chiếu137"/>
      <sheetName val="VD_minh_hoa137"/>
      <sheetName val="Cham_cong139"/>
      <sheetName val="Bang_tham_chieu139"/>
      <sheetName val="Bảng_tham_chiếu139"/>
      <sheetName val="VD_minh_hoa139"/>
      <sheetName val="Cham_cong142"/>
      <sheetName val="Bang_tham_chieu142"/>
      <sheetName val="Bảng_tham_chiếu142"/>
      <sheetName val="VD_minh_hoa142"/>
      <sheetName val="Cham_cong140"/>
      <sheetName val="Bang_tham_chieu140"/>
      <sheetName val="Bảng_tham_chiếu140"/>
      <sheetName val="VD_minh_hoa140"/>
      <sheetName val="Cham_cong141"/>
      <sheetName val="Bang_tham_chieu141"/>
      <sheetName val="Bảng_tham_chiếu141"/>
      <sheetName val="VD_minh_hoa141"/>
      <sheetName val="Cham_cong143"/>
      <sheetName val="Bang_tham_chieu143"/>
      <sheetName val="Bảng_tham_chiếu143"/>
      <sheetName val="VD_minh_hoa143"/>
      <sheetName val="Cham_cong151"/>
      <sheetName val="Bang_tham_chieu151"/>
      <sheetName val="Bảng_tham_chiếu151"/>
      <sheetName val="VD_minh_hoa151"/>
      <sheetName val="Cham_cong150"/>
      <sheetName val="Bang_tham_chieu150"/>
      <sheetName val="Bảng_tham_chiếu150"/>
      <sheetName val="VD_minh_hoa150"/>
      <sheetName val="Cham_cong145"/>
      <sheetName val="Bang_tham_chieu145"/>
      <sheetName val="Bảng_tham_chiếu145"/>
      <sheetName val="VD_minh_hoa145"/>
      <sheetName val="Cham_cong146"/>
      <sheetName val="Bang_tham_chieu146"/>
      <sheetName val="Bảng_tham_chiếu146"/>
      <sheetName val="VD_minh_hoa146"/>
      <sheetName val="Cham_cong147"/>
      <sheetName val="Bang_tham_chieu147"/>
      <sheetName val="Bảng_tham_chiếu147"/>
      <sheetName val="VD_minh_hoa147"/>
      <sheetName val="Cham_cong148"/>
      <sheetName val="Bang_tham_chieu148"/>
      <sheetName val="Bảng_tham_chiếu148"/>
      <sheetName val="VD_minh_hoa148"/>
      <sheetName val="Cham_cong149"/>
      <sheetName val="Bang_tham_chieu149"/>
      <sheetName val="Bảng_tham_chiếu149"/>
      <sheetName val="VD_minh_hoa149"/>
      <sheetName val="Cham_cong153"/>
      <sheetName val="Bang_tham_chieu153"/>
      <sheetName val="Bảng_tham_chiếu153"/>
      <sheetName val="VD_minh_hoa153"/>
      <sheetName val="Cham_cong155"/>
      <sheetName val="Bang_tham_chieu155"/>
      <sheetName val="Bảng_tham_chiếu155"/>
      <sheetName val="VD_minh_hoa155"/>
      <sheetName val="Cham_cong156"/>
      <sheetName val="Bang_tham_chieu156"/>
      <sheetName val="Bảng_tham_chiếu156"/>
      <sheetName val="VD_minh_hoa156"/>
      <sheetName val="Cham_cong158"/>
      <sheetName val="Bang_tham_chieu158"/>
      <sheetName val="Bảng_tham_chiếu158"/>
      <sheetName val="VD_minh_hoa158"/>
      <sheetName val="Cham_cong157"/>
      <sheetName val="Bang_tham_chieu157"/>
      <sheetName val="Bảng_tham_chiếu157"/>
      <sheetName val="VD_minh_hoa157"/>
      <sheetName val="Cham_cong159"/>
      <sheetName val="Bang_tham_chieu159"/>
      <sheetName val="Bảng_tham_chiếu159"/>
      <sheetName val="VD_minh_hoa159"/>
      <sheetName val="Cham_cong163"/>
      <sheetName val="Bang_tham_chieu163"/>
      <sheetName val="Bảng_tham_chiếu163"/>
      <sheetName val="VD_minh_hoa163"/>
      <sheetName val="Cham_cong161"/>
      <sheetName val="Bang_tham_chieu161"/>
      <sheetName val="Bảng_tham_chiếu161"/>
      <sheetName val="VD_minh_hoa161"/>
      <sheetName val="Cham_cong162"/>
      <sheetName val="Bang_tham_chieu162"/>
      <sheetName val="Bảng_tham_chiếu162"/>
      <sheetName val="VD_minh_hoa162"/>
      <sheetName val="Cham_cong170"/>
      <sheetName val="Bang_tham_chieu170"/>
      <sheetName val="Bảng_tham_chiếu170"/>
      <sheetName val="VD_minh_hoa170"/>
      <sheetName val="Cham_cong164"/>
      <sheetName val="Bang_tham_chieu164"/>
      <sheetName val="Bảng_tham_chiếu164"/>
      <sheetName val="VD_minh_hoa164"/>
      <sheetName val="Cham_cong166"/>
      <sheetName val="Bang_tham_chieu166"/>
      <sheetName val="Bảng_tham_chiếu166"/>
      <sheetName val="VD_minh_hoa166"/>
      <sheetName val="Cham_cong165"/>
      <sheetName val="Bang_tham_chieu165"/>
      <sheetName val="Bảng_tham_chiếu165"/>
      <sheetName val="VD_minh_hoa165"/>
      <sheetName val="Cham_cong167"/>
      <sheetName val="Bang_tham_chieu167"/>
      <sheetName val="Bảng_tham_chiếu167"/>
      <sheetName val="VD_minh_hoa167"/>
      <sheetName val="Cham_cong168"/>
      <sheetName val="Bang_tham_chieu168"/>
      <sheetName val="Bảng_tham_chiếu168"/>
      <sheetName val="VD_minh_hoa168"/>
      <sheetName val="Cham_cong169"/>
      <sheetName val="Bang_tham_chieu169"/>
      <sheetName val="Bảng_tham_chiếu169"/>
      <sheetName val="VD_minh_hoa169"/>
      <sheetName val="Cham_cong171"/>
      <sheetName val="Bang_tham_chieu171"/>
      <sheetName val="Bảng_tham_chiếu171"/>
      <sheetName val="VD_minh_hoa171"/>
      <sheetName val="Cham_cong172"/>
      <sheetName val="Bang_tham_chieu172"/>
      <sheetName val="Bảng_tham_chiếu172"/>
      <sheetName val="VD_minh_hoa172"/>
      <sheetName val="Cham_cong173"/>
      <sheetName val="Bang_tham_chieu173"/>
      <sheetName val="Bảng_tham_chiếu173"/>
      <sheetName val="VD_minh_hoa173"/>
      <sheetName val="Cham_cong174"/>
      <sheetName val="Bang_tham_chieu174"/>
      <sheetName val="Bảng_tham_chiếu174"/>
      <sheetName val="VD_minh_hoa174"/>
      <sheetName val="Cham_cong175"/>
      <sheetName val="Bang_tham_chieu175"/>
      <sheetName val="Bảng_tham_chiếu175"/>
      <sheetName val="VD_minh_hoa175"/>
      <sheetName val="Cham_cong176"/>
      <sheetName val="Bang_tham_chieu176"/>
      <sheetName val="Bảng_tham_chiếu176"/>
      <sheetName val="VD_minh_hoa176"/>
      <sheetName val="Employees data"/>
      <sheetName val="Employees_data20"/>
      <sheetName val="Cham_cong204"/>
      <sheetName val="Bang_tham_chieu204"/>
      <sheetName val="Bảng_tham_chiếu204"/>
      <sheetName val="VD_minh_hoa204"/>
      <sheetName val="Cham_cong203"/>
      <sheetName val="Bang_tham_chieu203"/>
      <sheetName val="Bảng_tham_chiếu203"/>
      <sheetName val="VD_minh_hoa203"/>
      <sheetName val="Cham_cong201"/>
      <sheetName val="Bang_tham_chieu201"/>
      <sheetName val="Bảng_tham_chiếu201"/>
      <sheetName val="VD_minh_hoa201"/>
      <sheetName val="Bang_tham_chieu194"/>
      <sheetName val="Cham_cong191"/>
      <sheetName val="Bang_tham_chieu191"/>
      <sheetName val="Bảng_tham_chiếu191"/>
      <sheetName val="VD_minh_hoa191"/>
      <sheetName val="Cham_cong182"/>
      <sheetName val="Bang_tham_chieu182"/>
      <sheetName val="Bảng_tham_chiếu182"/>
      <sheetName val="VD_minh_hoa182"/>
      <sheetName val="Cham_cong179"/>
      <sheetName val="Bang_tham_chieu179"/>
      <sheetName val="Bảng_tham_chiếu179"/>
      <sheetName val="VD_minh_hoa179"/>
      <sheetName val="Cham_cong177"/>
      <sheetName val="Bang_tham_chieu177"/>
      <sheetName val="Bảng_tham_chiếu177"/>
      <sheetName val="VD_minh_hoa177"/>
      <sheetName val="Cham_cong178"/>
      <sheetName val="Bang_tham_chieu178"/>
      <sheetName val="Bảng_tham_chiếu178"/>
      <sheetName val="VD_minh_hoa178"/>
      <sheetName val="Cham_cong180"/>
      <sheetName val="Bang_tham_chieu180"/>
      <sheetName val="Bảng_tham_chiếu180"/>
      <sheetName val="VD_minh_hoa180"/>
      <sheetName val="Cham_cong181"/>
      <sheetName val="Bang_tham_chieu181"/>
      <sheetName val="Bảng_tham_chiếu181"/>
      <sheetName val="VD_minh_hoa181"/>
      <sheetName val="Cham_cong185"/>
      <sheetName val="Bang_tham_chieu185"/>
      <sheetName val="Bảng_tham_chiếu185"/>
      <sheetName val="VD_minh_hoa185"/>
      <sheetName val="Cham_cong183"/>
      <sheetName val="Bang_tham_chieu183"/>
      <sheetName val="Bảng_tham_chiếu183"/>
      <sheetName val="VD_minh_hoa183"/>
      <sheetName val="Cham_cong184"/>
      <sheetName val="Bang_tham_chieu184"/>
      <sheetName val="Bảng_tham_chiếu184"/>
      <sheetName val="VD_minh_hoa184"/>
      <sheetName val="Cham_cong187"/>
      <sheetName val="Bang_tham_chieu187"/>
      <sheetName val="Bảng_tham_chiếu187"/>
      <sheetName val="VD_minh_hoa187"/>
      <sheetName val="Cham_cong186"/>
      <sheetName val="Bang_tham_chieu186"/>
      <sheetName val="Bảng_tham_chiếu186"/>
      <sheetName val="VD_minh_hoa186"/>
      <sheetName val="Cham_cong188"/>
      <sheetName val="Bang_tham_chieu188"/>
      <sheetName val="Bảng_tham_chiếu188"/>
      <sheetName val="VD_minh_hoa188"/>
      <sheetName val="Cham_cong189"/>
      <sheetName val="Bang_tham_chieu189"/>
      <sheetName val="Bảng_tham_chiếu189"/>
      <sheetName val="VD_minh_hoa189"/>
      <sheetName val="Cham_cong190"/>
      <sheetName val="Bang_tham_chieu190"/>
      <sheetName val="Bảng_tham_chiếu190"/>
      <sheetName val="VD_minh_hoa190"/>
      <sheetName val="Cham_cong196"/>
      <sheetName val="Bang_tham_chieu196"/>
      <sheetName val="Bảng_tham_chiếu196"/>
      <sheetName val="VD_minh_hoa196"/>
      <sheetName val="Cham_cong192"/>
      <sheetName val="Bang_tham_chieu192"/>
      <sheetName val="Bảng_tham_chiếu192"/>
      <sheetName val="VD_minh_hoa192"/>
      <sheetName val="Cham_cong193"/>
      <sheetName val="Bang_tham_chieu193"/>
      <sheetName val="Bảng_tham_chiếu193"/>
      <sheetName val="VD_minh_hoa193"/>
      <sheetName val="Cham_cong194"/>
      <sheetName val="Bảng_tham_chiếu194"/>
      <sheetName val="VD_minh_hoa194"/>
      <sheetName val="Cham_cong195"/>
      <sheetName val="Bang_tham_chieu195"/>
      <sheetName val="Bảng_tham_chiếu195"/>
      <sheetName val="VD_minh_hoa195"/>
      <sheetName val="Cham_cong198"/>
      <sheetName val="Bang_tham_chieu198"/>
      <sheetName val="Bảng_tham_chiếu198"/>
      <sheetName val="VD_minh_hoa198"/>
      <sheetName val="Cham_cong197"/>
      <sheetName val="Bang_tham_chieu197"/>
      <sheetName val="Bảng_tham_chiếu197"/>
      <sheetName val="VD_minh_hoa197"/>
      <sheetName val="Cham_cong199"/>
      <sheetName val="Bang_tham_chieu199"/>
      <sheetName val="Bảng_tham_chiếu199"/>
      <sheetName val="VD_minh_hoa199"/>
      <sheetName val="Cham_cong200"/>
      <sheetName val="Bang_tham_chieu200"/>
      <sheetName val="Bảng_tham_chiếu200"/>
      <sheetName val="VD_minh_hoa200"/>
      <sheetName val="Cham_cong202"/>
      <sheetName val="Bang_tham_chieu202"/>
      <sheetName val="Bảng_tham_chiếu202"/>
      <sheetName val="VD_minh_hoa202"/>
      <sheetName val="Cham_cong205"/>
      <sheetName val="Bang_tham_chieu205"/>
      <sheetName val="Bảng_tham_chiếu205"/>
      <sheetName val="VD_minh_hoa205"/>
      <sheetName val="Cham_cong207"/>
      <sheetName val="Bang_tham_chieu207"/>
      <sheetName val="Bảng_tham_chiếu207"/>
      <sheetName val="VD_minh_hoa207"/>
      <sheetName val="Cham_cong206"/>
      <sheetName val="Bang_tham_chieu206"/>
      <sheetName val="Bảng_tham_chiếu206"/>
      <sheetName val="VD_minh_hoa206"/>
      <sheetName val="Cham_cong208"/>
      <sheetName val="Bang_tham_chieu208"/>
      <sheetName val="Bảng_tham_chiếu208"/>
      <sheetName val="VD_minh_hoa208"/>
      <sheetName val="Cham_cong209"/>
      <sheetName val="Bang_tham_chieu209"/>
      <sheetName val="Bảng_tham_chiếu209"/>
      <sheetName val="VD_minh_hoa209"/>
      <sheetName val="Employees_data21"/>
      <sheetName val="Employees_data22"/>
      <sheetName val="Cham_cong210"/>
      <sheetName val="Bang_tham_chieu210"/>
      <sheetName val="Bảng_tham_chiếu210"/>
      <sheetName val="VD_minh_hoa210"/>
      <sheetName val="Cham_cong216"/>
      <sheetName val="Bang_tham_chieu216"/>
      <sheetName val="Bảng_tham_chiếu216"/>
      <sheetName val="VD_minh_hoa216"/>
      <sheetName val="Cham_cong215"/>
      <sheetName val="Bang_tham_chieu215"/>
      <sheetName val="Bảng_tham_chiếu215"/>
      <sheetName val="VD_minh_hoa215"/>
      <sheetName val="Cham_cong212"/>
      <sheetName val="Bang_tham_chieu212"/>
      <sheetName val="Bảng_tham_chiếu212"/>
      <sheetName val="VD_minh_hoa212"/>
      <sheetName val="Cham_cong211"/>
      <sheetName val="Bang_tham_chieu211"/>
      <sheetName val="Bảng_tham_chiếu211"/>
      <sheetName val="VD_minh_hoa211"/>
      <sheetName val="Cham_cong213"/>
      <sheetName val="Bang_tham_chieu213"/>
      <sheetName val="Bảng_tham_chiếu213"/>
      <sheetName val="VD_minh_hoa213"/>
      <sheetName val="Cham_cong214"/>
      <sheetName val="Bang_tham_chieu214"/>
      <sheetName val="Bảng_tham_chiếu214"/>
      <sheetName val="VD_minh_hoa214"/>
      <sheetName val="Cham_cong218"/>
      <sheetName val="Bang_tham_chieu218"/>
      <sheetName val="Bảng_tham_chiếu218"/>
      <sheetName val="VD_minh_hoa218"/>
      <sheetName val="Cham_cong217"/>
      <sheetName val="Bang_tham_chieu217"/>
      <sheetName val="Bảng_tham_chiếu217"/>
      <sheetName val="VD_minh_hoa217"/>
      <sheetName val="Cham_cong223"/>
      <sheetName val="Bang_tham_chieu223"/>
      <sheetName val="Bảng_tham_chiếu223"/>
      <sheetName val="VD_minh_hoa223"/>
      <sheetName val="Cham_cong220"/>
      <sheetName val="Bang_tham_chieu220"/>
      <sheetName val="Bảng_tham_chiếu220"/>
      <sheetName val="VD_minh_hoa220"/>
      <sheetName val="Cham_cong219"/>
      <sheetName val="Bang_tham_chieu219"/>
      <sheetName val="Bảng_tham_chiếu219"/>
      <sheetName val="VD_minh_hoa219"/>
      <sheetName val="Cham_cong221"/>
      <sheetName val="Bang_tham_chieu221"/>
      <sheetName val="Bảng_tham_chiếu221"/>
      <sheetName val="VD_minh_hoa221"/>
      <sheetName val="Cham_cong222"/>
      <sheetName val="Bang_tham_chieu222"/>
      <sheetName val="Bảng_tham_chiếu222"/>
      <sheetName val="VD_minh_hoa222"/>
      <sheetName val="Cham_cong224"/>
      <sheetName val="Bang_tham_chieu224"/>
      <sheetName val="Bảng_tham_chiếu224"/>
      <sheetName val="VD_minh_hoa224"/>
      <sheetName val="Cham_cong226"/>
      <sheetName val="Bang_tham_chieu226"/>
      <sheetName val="Bảng_tham_chiếu226"/>
      <sheetName val="VD_minh_hoa226"/>
      <sheetName val="Cham_cong225"/>
      <sheetName val="Bang_tham_chieu225"/>
      <sheetName val="Bảng_tham_chiếu225"/>
      <sheetName val="VD_minh_hoa225"/>
      <sheetName val="Cham_cong233"/>
      <sheetName val="Bang_tham_chieu233"/>
      <sheetName val="Bảng_tham_chiếu233"/>
      <sheetName val="VD_minh_hoa233"/>
      <sheetName val="Cham_cong227"/>
      <sheetName val="Bang_tham_chieu227"/>
      <sheetName val="Bảng_tham_chiếu227"/>
      <sheetName val="VD_minh_hoa227"/>
      <sheetName val="Cham_cong228"/>
      <sheetName val="Bang_tham_chieu228"/>
      <sheetName val="Bảng_tham_chiếu228"/>
      <sheetName val="VD_minh_hoa228"/>
      <sheetName val="Cham_cong229"/>
      <sheetName val="Bang_tham_chieu229"/>
      <sheetName val="Bảng_tham_chiếu229"/>
      <sheetName val="VD_minh_hoa229"/>
      <sheetName val="Cham_cong231"/>
      <sheetName val="Bang_tham_chieu231"/>
      <sheetName val="Bảng_tham_chiếu231"/>
      <sheetName val="VD_minh_hoa231"/>
      <sheetName val="Cham_cong230"/>
      <sheetName val="Bang_tham_chieu230"/>
      <sheetName val="Bảng_tham_chiếu230"/>
      <sheetName val="VD_minh_hoa230"/>
      <sheetName val="Cham_cong232"/>
      <sheetName val="Bang_tham_chieu232"/>
      <sheetName val="Bảng_tham_chiếu232"/>
      <sheetName val="VD_minh_hoa232"/>
      <sheetName val="Cham_cong234"/>
      <sheetName val="Bang_tham_chieu234"/>
      <sheetName val="Bảng_tham_chiếu234"/>
      <sheetName val="VD_minh_hoa234"/>
      <sheetName val="Cham_cong235"/>
      <sheetName val="Bang_tham_chieu235"/>
      <sheetName val="Bảng_tham_chiếu235"/>
      <sheetName val="VD_minh_hoa235"/>
      <sheetName val="Cham_cong237"/>
      <sheetName val="Bang_tham_chieu237"/>
      <sheetName val="Bảng_tham_chiếu237"/>
      <sheetName val="VD_minh_hoa237"/>
      <sheetName val="Cham_cong236"/>
      <sheetName val="Bang_tham_chieu236"/>
      <sheetName val="Bảng_tham_chiếu236"/>
      <sheetName val="VD_minh_hoa236"/>
      <sheetName val="Cham_cong238"/>
      <sheetName val="Bang_tham_chieu238"/>
      <sheetName val="Bảng_tham_chiếu238"/>
      <sheetName val="VD_minh_hoa238"/>
      <sheetName val="Employees_data23"/>
      <sheetName val="Cham_cong241"/>
      <sheetName val="Bang_tham_chieu241"/>
      <sheetName val="Bảng_tham_chiếu241"/>
      <sheetName val="VD_minh_hoa241"/>
      <sheetName val="Cham_cong239"/>
      <sheetName val="Bang_tham_chieu239"/>
      <sheetName val="Bảng_tham_chiếu239"/>
      <sheetName val="VD_minh_hoa239"/>
      <sheetName val="Cham_cong240"/>
      <sheetName val="Bang_tham_chieu240"/>
      <sheetName val="Bảng_tham_chiếu240"/>
      <sheetName val="VD_minh_hoa240"/>
      <sheetName val="Cham_cong242"/>
      <sheetName val="Bang_tham_chieu242"/>
      <sheetName val="Bảng_tham_chiếu242"/>
      <sheetName val="VD_minh_hoa242"/>
      <sheetName val="Cham_cong249"/>
      <sheetName val="Bang_tham_chieu249"/>
      <sheetName val="Bảng_tham_chiếu249"/>
      <sheetName val="VD_minh_hoa249"/>
      <sheetName val="Cham_cong243"/>
      <sheetName val="Bang_tham_chieu243"/>
      <sheetName val="Bảng_tham_chiếu243"/>
      <sheetName val="VD_minh_hoa243"/>
      <sheetName val="Cham_cong244"/>
      <sheetName val="Bang_tham_chieu244"/>
      <sheetName val="Bảng_tham_chiếu244"/>
      <sheetName val="VD_minh_hoa244"/>
      <sheetName val="Cham_cong245"/>
      <sheetName val="Bang_tham_chieu245"/>
      <sheetName val="Bảng_tham_chiếu245"/>
      <sheetName val="VD_minh_hoa245"/>
      <sheetName val="Cham_cong246"/>
      <sheetName val="Bang_tham_chieu246"/>
      <sheetName val="Bảng_tham_chiếu246"/>
      <sheetName val="VD_minh_hoa246"/>
      <sheetName val="Cham_cong247"/>
      <sheetName val="Bang_tham_chieu247"/>
      <sheetName val="Bảng_tham_chiếu247"/>
      <sheetName val="VD_minh_hoa247"/>
      <sheetName val="Cham_cong248"/>
      <sheetName val="Bang_tham_chieu248"/>
      <sheetName val="Bảng_tham_chiếu248"/>
      <sheetName val="VD_minh_hoa248"/>
      <sheetName val="Cham_cong250"/>
      <sheetName val="Bang_tham_chieu250"/>
      <sheetName val="Bảng_tham_chiếu250"/>
      <sheetName val="VD_minh_hoa250"/>
      <sheetName val="Cham_cong252"/>
      <sheetName val="Bang_tham_chieu252"/>
      <sheetName val="Bảng_tham_chiếu252"/>
      <sheetName val="VD_minh_hoa252"/>
      <sheetName val="Cham_cong251"/>
      <sheetName val="Bang_tham_chieu251"/>
      <sheetName val="Bảng_tham_chiếu251"/>
      <sheetName val="VD_minh_hoa251"/>
      <sheetName val="Cham_cong255"/>
      <sheetName val="Bang_tham_chieu255"/>
      <sheetName val="Bảng_tham_chiếu255"/>
      <sheetName val="VD_minh_hoa255"/>
      <sheetName val="Cham_cong253"/>
      <sheetName val="Bang_tham_chieu253"/>
      <sheetName val="Bảng_tham_chiếu253"/>
      <sheetName val="VD_minh_hoa253"/>
      <sheetName val="Cham_cong254"/>
      <sheetName val="Bang_tham_chieu254"/>
      <sheetName val="Bảng_tham_chiếu254"/>
      <sheetName val="VD_minh_hoa254"/>
      <sheetName val="Cham_cong256"/>
      <sheetName val="Bang_tham_chieu256"/>
      <sheetName val="Bảng_tham_chiếu256"/>
      <sheetName val="VD_minh_hoa256"/>
      <sheetName val="Employees_data24"/>
      <sheetName val="Cham_cong258"/>
      <sheetName val="Bang_tham_chieu258"/>
      <sheetName val="Bảng_tham_chiếu258"/>
      <sheetName val="VD_minh_hoa258"/>
      <sheetName val="Cham_cong257"/>
      <sheetName val="Bang_tham_chieu257"/>
      <sheetName val="Bảng_tham_chiếu257"/>
      <sheetName val="VD_minh_hoa257"/>
      <sheetName val="Cham_cong259"/>
      <sheetName val="Bang_tham_chieu259"/>
      <sheetName val="Bảng_tham_chiếu259"/>
      <sheetName val="VD_minh_hoa259"/>
      <sheetName val="Cham_cong260"/>
      <sheetName val="Bang_tham_chieu260"/>
      <sheetName val="Bảng_tham_chiếu260"/>
      <sheetName val="VD_minh_hoa260"/>
      <sheetName val="Cham_cong261"/>
      <sheetName val="Bang_tham_chieu261"/>
      <sheetName val="Bảng_tham_chiếu261"/>
      <sheetName val="VD_minh_hoa261"/>
      <sheetName val="Cham_cong277"/>
      <sheetName val="Bang_tham_chieu277"/>
      <sheetName val="Bảng_tham_chiếu277"/>
      <sheetName val="VD_minh_hoa277"/>
      <sheetName val="Cham_cong271"/>
      <sheetName val="Bang_tham_chieu271"/>
      <sheetName val="Bảng_tham_chiếu271"/>
      <sheetName val="VD_minh_hoa271"/>
      <sheetName val="Cham_cong269"/>
      <sheetName val="Bang_tham_chieu269"/>
      <sheetName val="Bảng_tham_chiếu269"/>
      <sheetName val="VD_minh_hoa269"/>
      <sheetName val="Cham_cong263"/>
      <sheetName val="Bang_tham_chieu263"/>
      <sheetName val="Bảng_tham_chiếu263"/>
      <sheetName val="VD_minh_hoa263"/>
      <sheetName val="Cham_cong262"/>
      <sheetName val="Bang_tham_chieu262"/>
      <sheetName val="Bảng_tham_chiếu262"/>
      <sheetName val="VD_minh_hoa262"/>
      <sheetName val="Cham_cong264"/>
      <sheetName val="Bang_tham_chieu264"/>
      <sheetName val="Bảng_tham_chiếu264"/>
      <sheetName val="VD_minh_hoa264"/>
      <sheetName val="Cham_cong265"/>
      <sheetName val="Bang_tham_chieu265"/>
      <sheetName val="Bảng_tham_chiếu265"/>
      <sheetName val="VD_minh_hoa265"/>
      <sheetName val="Cham_cong266"/>
      <sheetName val="Bang_tham_chieu266"/>
      <sheetName val="Bảng_tham_chiếu266"/>
      <sheetName val="VD_minh_hoa266"/>
      <sheetName val="Cham_cong267"/>
      <sheetName val="Bang_tham_chieu267"/>
      <sheetName val="Bảng_tham_chiếu267"/>
      <sheetName val="VD_minh_hoa267"/>
      <sheetName val="Cham_cong268"/>
      <sheetName val="Bang_tham_chieu268"/>
      <sheetName val="Bảng_tham_chiếu268"/>
      <sheetName val="VD_minh_hoa268"/>
      <sheetName val="Cham_cong270"/>
      <sheetName val="Bang_tham_chieu270"/>
      <sheetName val="Bảng_tham_chiếu270"/>
      <sheetName val="VD_minh_hoa270"/>
      <sheetName val="Cham_cong272"/>
      <sheetName val="Bang_tham_chieu272"/>
      <sheetName val="Bảng_tham_chiếu272"/>
      <sheetName val="VD_minh_hoa272"/>
      <sheetName val="Cham_cong273"/>
      <sheetName val="Bang_tham_chieu273"/>
      <sheetName val="Bảng_tham_chiếu273"/>
      <sheetName val="VD_minh_hoa273"/>
      <sheetName val="Cham_cong274"/>
      <sheetName val="Bang_tham_chieu274"/>
      <sheetName val="Bảng_tham_chiếu274"/>
      <sheetName val="VD_minh_hoa274"/>
      <sheetName val="Cham_cong275"/>
      <sheetName val="Bang_tham_chieu275"/>
      <sheetName val="Bảng_tham_chiếu275"/>
      <sheetName val="VD_minh_hoa275"/>
      <sheetName val="Cham_cong276"/>
      <sheetName val="Bang_tham_chieu276"/>
      <sheetName val="Bảng_tham_chiếu276"/>
      <sheetName val="VD_minh_hoa276"/>
      <sheetName val="Cham_cong281"/>
      <sheetName val="Bang_tham_chieu281"/>
      <sheetName val="Bảng_tham_chiếu281"/>
      <sheetName val="VD_minh_hoa281"/>
      <sheetName val="Cham_cong280"/>
      <sheetName val="Bang_tham_chieu280"/>
      <sheetName val="Bảng_tham_chiếu280"/>
      <sheetName val="VD_minh_hoa280"/>
      <sheetName val="Cham_cong278"/>
      <sheetName val="Bang_tham_chieu278"/>
      <sheetName val="Bảng_tham_chiếu278"/>
      <sheetName val="VD_minh_hoa278"/>
      <sheetName val="Cham_cong279"/>
      <sheetName val="Bang_tham_chieu279"/>
      <sheetName val="Bảng_tham_chiếu279"/>
      <sheetName val="VD_minh_hoa279"/>
      <sheetName val="Bang_tham_chieu284"/>
      <sheetName val="Cham_cong287"/>
      <sheetName val="Bang_tham_chieu287"/>
      <sheetName val="Bảng_tham_chiếu287"/>
      <sheetName val="VD_minh_hoa287"/>
      <sheetName val="Cham_cong284"/>
      <sheetName val="Bảng_tham_chiếu284"/>
      <sheetName val="VD_minh_hoa284"/>
      <sheetName val="Cham_cong282"/>
      <sheetName val="Bang_tham_chieu282"/>
      <sheetName val="Bảng_tham_chiếu282"/>
      <sheetName val="VD_minh_hoa282"/>
      <sheetName val="Cham_cong283"/>
      <sheetName val="Bang_tham_chieu283"/>
      <sheetName val="Bảng_tham_chiếu283"/>
      <sheetName val="VD_minh_hoa283"/>
      <sheetName val="Cham_cong286"/>
      <sheetName val="Bang_tham_chieu286"/>
      <sheetName val="Bảng_tham_chiếu286"/>
      <sheetName val="VD_minh_hoa286"/>
      <sheetName val="Cham_cong285"/>
      <sheetName val="Bang_tham_chieu285"/>
      <sheetName val="Bảng_tham_chiếu285"/>
      <sheetName val="VD_minh_hoa285"/>
      <sheetName val="Cham_cong291"/>
      <sheetName val="Bang_tham_chieu291"/>
      <sheetName val="Bảng_tham_chiếu291"/>
      <sheetName val="VD_minh_hoa291"/>
      <sheetName val="Cham_cong288"/>
      <sheetName val="Bang_tham_chieu288"/>
      <sheetName val="Bảng_tham_chiếu288"/>
      <sheetName val="VD_minh_hoa288"/>
      <sheetName val="Cham_cong289"/>
      <sheetName val="Bang_tham_chieu289"/>
      <sheetName val="Bảng_tham_chiếu289"/>
      <sheetName val="VD_minh_hoa289"/>
      <sheetName val="Cham_cong290"/>
      <sheetName val="Bang_tham_chieu290"/>
      <sheetName val="Bảng_tham_chiếu290"/>
      <sheetName val="VD_minh_hoa290"/>
      <sheetName val="Cham_cong293"/>
      <sheetName val="Bang_tham_chieu293"/>
      <sheetName val="Bảng_tham_chiếu293"/>
      <sheetName val="VD_minh_hoa293"/>
      <sheetName val="Cham_cong292"/>
      <sheetName val="Bang_tham_chieu292"/>
      <sheetName val="Bảng_tham_chiếu292"/>
      <sheetName val="VD_minh_hoa292"/>
      <sheetName val="Cham_cong294"/>
      <sheetName val="Bang_tham_chieu294"/>
      <sheetName val="Bảng_tham_chiếu294"/>
      <sheetName val="VD_minh_hoa294"/>
      <sheetName val="Cham_cong305"/>
      <sheetName val="Bang_tham_chieu305"/>
      <sheetName val="Bảng_tham_chiếu305"/>
      <sheetName val="VD_minh_hoa305"/>
      <sheetName val="Cham_cong295"/>
      <sheetName val="Bang_tham_chieu295"/>
      <sheetName val="Bảng_tham_chiếu295"/>
      <sheetName val="VD_minh_hoa295"/>
      <sheetName val="Cham_cong296"/>
      <sheetName val="Bang_tham_chieu296"/>
      <sheetName val="Bảng_tham_chiếu296"/>
      <sheetName val="VD_minh_hoa296"/>
      <sheetName val="Cham_cong297"/>
      <sheetName val="Bang_tham_chieu297"/>
      <sheetName val="Bảng_tham_chiếu297"/>
      <sheetName val="VD_minh_hoa297"/>
      <sheetName val="Cham_cong299"/>
      <sheetName val="Bang_tham_chieu299"/>
      <sheetName val="Bảng_tham_chiếu299"/>
      <sheetName val="VD_minh_hoa299"/>
      <sheetName val="Cham_cong298"/>
      <sheetName val="Bang_tham_chieu298"/>
      <sheetName val="Bảng_tham_chiếu298"/>
      <sheetName val="VD_minh_hoa298"/>
      <sheetName val="Cham_cong304"/>
      <sheetName val="Bang_tham_chieu304"/>
      <sheetName val="Bảng_tham_chiếu304"/>
      <sheetName val="VD_minh_hoa304"/>
      <sheetName val="Cham_cong302"/>
      <sheetName val="Bang_tham_chieu302"/>
      <sheetName val="Bảng_tham_chiếu302"/>
      <sheetName val="VD_minh_hoa302"/>
      <sheetName val="Cham_cong301"/>
      <sheetName val="Bang_tham_chieu301"/>
      <sheetName val="Bảng_tham_chiếu301"/>
      <sheetName val="VD_minh_hoa301"/>
      <sheetName val="Cham_cong300"/>
      <sheetName val="Bang_tham_chieu300"/>
      <sheetName val="Bảng_tham_chiếu300"/>
      <sheetName val="VD_minh_hoa300"/>
      <sheetName val="Cham_cong303"/>
      <sheetName val="Bang_tham_chieu303"/>
      <sheetName val="Bảng_tham_chiếu303"/>
      <sheetName val="VD_minh_hoa303"/>
      <sheetName val="Cham_cong309"/>
      <sheetName val="Bang_tham_chieu309"/>
      <sheetName val="Bảng_tham_chiếu309"/>
      <sheetName val="VD_minh_hoa309"/>
      <sheetName val="Cham_cong306"/>
      <sheetName val="Bang_tham_chieu306"/>
      <sheetName val="Bảng_tham_chiếu306"/>
      <sheetName val="VD_minh_hoa306"/>
      <sheetName val="Cham_cong307"/>
      <sheetName val="Bang_tham_chieu307"/>
      <sheetName val="Bảng_tham_chiếu307"/>
      <sheetName val="VD_minh_hoa307"/>
      <sheetName val="Cham_cong308"/>
      <sheetName val="Bang_tham_chieu308"/>
      <sheetName val="Bảng_tham_chiếu308"/>
      <sheetName val="VD_minh_hoa308"/>
      <sheetName val="Cham_cong320"/>
      <sheetName val="Bang_tham_chieu320"/>
      <sheetName val="Bảng_tham_chiếu320"/>
      <sheetName val="VD_minh_hoa320"/>
      <sheetName val="Cham_cong310"/>
      <sheetName val="Bang_tham_chieu310"/>
      <sheetName val="Bảng_tham_chiếu310"/>
      <sheetName val="VD_minh_hoa310"/>
      <sheetName val="Cham_cong313"/>
      <sheetName val="Bang_tham_chieu313"/>
      <sheetName val="Bảng_tham_chiếu313"/>
      <sheetName val="VD_minh_hoa313"/>
      <sheetName val="Cham_cong311"/>
      <sheetName val="Bang_tham_chieu311"/>
      <sheetName val="Bảng_tham_chiếu311"/>
      <sheetName val="VD_minh_hoa311"/>
      <sheetName val="Cham_cong312"/>
      <sheetName val="Bang_tham_chieu312"/>
      <sheetName val="Bảng_tham_chiếu312"/>
      <sheetName val="VD_minh_hoa312"/>
      <sheetName val="Cham_cong315"/>
      <sheetName val="Bang_tham_chieu315"/>
      <sheetName val="Bảng_tham_chiếu315"/>
      <sheetName val="VD_minh_hoa315"/>
      <sheetName val="Cham_cong314"/>
      <sheetName val="Bang_tham_chieu314"/>
      <sheetName val="Bảng_tham_chiếu314"/>
      <sheetName val="VD_minh_hoa314"/>
      <sheetName val="Cham_cong318"/>
      <sheetName val="Bang_tham_chieu318"/>
      <sheetName val="Bảng_tham_chiếu318"/>
      <sheetName val="VD_minh_hoa318"/>
      <sheetName val="Cham_cong316"/>
      <sheetName val="Bang_tham_chieu316"/>
      <sheetName val="Bảng_tham_chiếu316"/>
      <sheetName val="VD_minh_hoa316"/>
      <sheetName val="Cham_cong317"/>
      <sheetName val="Bang_tham_chieu317"/>
      <sheetName val="Bảng_tham_chiếu317"/>
      <sheetName val="VD_minh_hoa317"/>
      <sheetName val="Cham_cong319"/>
      <sheetName val="Bang_tham_chieu319"/>
      <sheetName val="Bảng_tham_chiếu319"/>
      <sheetName val="VD_minh_hoa319"/>
      <sheetName val="Cham_cong335"/>
      <sheetName val="Bang_tham_chieu335"/>
      <sheetName val="Bảng_tham_chiếu335"/>
      <sheetName val="VD_minh_hoa335"/>
      <sheetName val="Cham_cong321"/>
      <sheetName val="Bang_tham_chieu321"/>
      <sheetName val="Bảng_tham_chiếu321"/>
      <sheetName val="VD_minh_hoa321"/>
      <sheetName val="Cham_cong322"/>
      <sheetName val="Bang_tham_chieu322"/>
      <sheetName val="Bảng_tham_chiếu322"/>
      <sheetName val="VD_minh_hoa322"/>
      <sheetName val="Cham_cong323"/>
      <sheetName val="Bang_tham_chieu323"/>
      <sheetName val="Bảng_tham_chiếu323"/>
      <sheetName val="VD_minh_hoa323"/>
      <sheetName val="Cham_cong332"/>
      <sheetName val="Bang_tham_chieu332"/>
      <sheetName val="Bảng_tham_chiếu332"/>
      <sheetName val="VD_minh_hoa332"/>
      <sheetName val="Cham_cong324"/>
      <sheetName val="Bang_tham_chieu324"/>
      <sheetName val="Bảng_tham_chiếu324"/>
      <sheetName val="VD_minh_hoa324"/>
      <sheetName val="Cham_cong325"/>
      <sheetName val="Bang_tham_chieu325"/>
      <sheetName val="Bảng_tham_chiếu325"/>
      <sheetName val="VD_minh_hoa325"/>
      <sheetName val="Cham_cong326"/>
      <sheetName val="Bang_tham_chieu326"/>
      <sheetName val="Bảng_tham_chiếu326"/>
      <sheetName val="VD_minh_hoa326"/>
      <sheetName val="Cham_cong327"/>
      <sheetName val="Bang_tham_chieu327"/>
      <sheetName val="Bảng_tham_chiếu327"/>
      <sheetName val="VD_minh_hoa327"/>
      <sheetName val="Cham_cong328"/>
      <sheetName val="Bang_tham_chieu328"/>
      <sheetName val="Bảng_tham_chiếu328"/>
      <sheetName val="VD_minh_hoa328"/>
      <sheetName val="Cham_cong329"/>
      <sheetName val="Bang_tham_chieu329"/>
      <sheetName val="Bảng_tham_chiếu329"/>
      <sheetName val="VD_minh_hoa329"/>
      <sheetName val="Cham_cong330"/>
      <sheetName val="Bang_tham_chieu330"/>
      <sheetName val="Bảng_tham_chiếu330"/>
      <sheetName val="VD_minh_hoa330"/>
      <sheetName val="Cham_cong331"/>
      <sheetName val="Bang_tham_chieu331"/>
      <sheetName val="Bảng_tham_chiếu331"/>
      <sheetName val="VD_minh_hoa331"/>
      <sheetName val="Cham_cong334"/>
      <sheetName val="Bang_tham_chieu334"/>
      <sheetName val="Bảng_tham_chiếu334"/>
      <sheetName val="VD_minh_hoa334"/>
      <sheetName val="Cham_cong333"/>
      <sheetName val="Bang_tham_chieu333"/>
      <sheetName val="Bảng_tham_chiếu333"/>
      <sheetName val="VD_minh_hoa333"/>
      <sheetName val="Cham_cong336"/>
      <sheetName val="Bang_tham_chieu336"/>
      <sheetName val="Bảng_tham_chiếu336"/>
      <sheetName val="VD_minh_hoa336"/>
      <sheetName val="Cham_cong337"/>
      <sheetName val="Bang_tham_chieu337"/>
      <sheetName val="Bảng_tham_chiếu337"/>
      <sheetName val="VD_minh_hoa337"/>
      <sheetName val="Cham_cong338"/>
      <sheetName val="Bang_tham_chieu338"/>
      <sheetName val="Bảng_tham_chiếu338"/>
      <sheetName val="VD_minh_hoa338"/>
      <sheetName val="Cham_cong339"/>
      <sheetName val="Bang_tham_chieu339"/>
      <sheetName val="Bảng_tham_chiếu339"/>
      <sheetName val="VD_minh_hoa339"/>
      <sheetName val="Cham_cong341"/>
      <sheetName val="Bang_tham_chieu341"/>
      <sheetName val="Bảng_tham_chiếu341"/>
      <sheetName val="VD_minh_hoa341"/>
      <sheetName val="Cham_cong340"/>
      <sheetName val="Bang_tham_chieu340"/>
      <sheetName val="Bảng_tham_chiếu340"/>
      <sheetName val="VD_minh_hoa340"/>
      <sheetName val="Cham_cong343"/>
      <sheetName val="Bang_tham_chieu343"/>
      <sheetName val="Bảng_tham_chiếu343"/>
      <sheetName val="VD_minh_hoa343"/>
      <sheetName val="Cham_cong342"/>
      <sheetName val="Bang_tham_chieu342"/>
      <sheetName val="Bảng_tham_chiếu342"/>
      <sheetName val="VD_minh_hoa342"/>
      <sheetName val="Cham_cong344"/>
      <sheetName val="Bang_tham_chieu344"/>
      <sheetName val="Bảng_tham_chiếu344"/>
      <sheetName val="VD_minh_hoa344"/>
      <sheetName val="Cham_cong345"/>
      <sheetName val="Bang_tham_chieu345"/>
      <sheetName val="Bảng_tham_chiếu345"/>
      <sheetName val="VD_minh_hoa345"/>
      <sheetName val="Cham_cong346"/>
      <sheetName val="Bang_tham_chieu346"/>
      <sheetName val="Bảng_tham_chiếu346"/>
      <sheetName val="VD_minh_hoa346"/>
      <sheetName val="Cham_cong347"/>
      <sheetName val="Bang_tham_chieu347"/>
      <sheetName val="Bảng_tham_chiếu347"/>
      <sheetName val="VD_minh_hoa347"/>
      <sheetName val="Cham_cong356"/>
      <sheetName val="Bang_tham_chieu356"/>
      <sheetName val="Bảng_tham_chiếu356"/>
      <sheetName val="VD_minh_hoa356"/>
      <sheetName val="Cham_cong353"/>
      <sheetName val="Bang_tham_chieu353"/>
      <sheetName val="Bảng_tham_chiếu353"/>
      <sheetName val="VD_minh_hoa353"/>
      <sheetName val="Cham_cong351"/>
      <sheetName val="Bang_tham_chieu351"/>
      <sheetName val="Bảng_tham_chiếu351"/>
      <sheetName val="VD_minh_hoa351"/>
      <sheetName val="Cham_cong348"/>
      <sheetName val="Bang_tham_chieu348"/>
      <sheetName val="Bảng_tham_chiếu348"/>
      <sheetName val="VD_minh_hoa348"/>
      <sheetName val="Cham_cong349"/>
      <sheetName val="Bang_tham_chieu349"/>
      <sheetName val="Bảng_tham_chiếu349"/>
      <sheetName val="VD_minh_hoa349"/>
      <sheetName val="Cham_cong350"/>
      <sheetName val="Bang_tham_chieu350"/>
      <sheetName val="Bảng_tham_chiếu350"/>
      <sheetName val="VD_minh_hoa350"/>
      <sheetName val="Cham_cong352"/>
      <sheetName val="Bang_tham_chieu352"/>
      <sheetName val="Bảng_tham_chiếu352"/>
      <sheetName val="VD_minh_hoa352"/>
      <sheetName val="Cham_cong354"/>
      <sheetName val="Bang_tham_chieu354"/>
      <sheetName val="Bảng_tham_chiếu354"/>
      <sheetName val="VD_minh_hoa354"/>
      <sheetName val="Cham_cong355"/>
      <sheetName val="Bang_tham_chieu355"/>
      <sheetName val="Bảng_tham_chiếu355"/>
      <sheetName val="VD_minh_hoa355"/>
      <sheetName val="Cham_cong357"/>
      <sheetName val="Bang_tham_chieu357"/>
      <sheetName val="Bảng_tham_chiếu357"/>
      <sheetName val="VD_minh_hoa357"/>
      <sheetName val="Cham_cong358"/>
      <sheetName val="Bang_tham_chieu358"/>
      <sheetName val="Bảng_tham_chiếu358"/>
      <sheetName val="VD_minh_hoa358"/>
      <sheetName val="Cham_cong359"/>
      <sheetName val="Bang_tham_chieu359"/>
      <sheetName val="Bảng_tham_chiếu359"/>
      <sheetName val="VD_minh_hoa359"/>
      <sheetName val="Cham_cong360"/>
      <sheetName val="Bang_tham_chieu360"/>
      <sheetName val="Bảng_tham_chiếu360"/>
      <sheetName val="VD_minh_hoa360"/>
      <sheetName val="Employees_data25"/>
      <sheetName val="Cham_cong363"/>
      <sheetName val="Bang_tham_chieu363"/>
      <sheetName val="Bảng_tham_chiếu363"/>
      <sheetName val="VD_minh_hoa363"/>
      <sheetName val="Cham_cong361"/>
      <sheetName val="Bang_tham_chieu361"/>
      <sheetName val="Bảng_tham_chiếu361"/>
      <sheetName val="VD_minh_hoa361"/>
      <sheetName val="Cham_cong362"/>
      <sheetName val="Bang_tham_chieu362"/>
      <sheetName val="Bảng_tham_chiếu362"/>
      <sheetName val="VD_minh_hoa362"/>
      <sheetName val="Cham_cong366"/>
      <sheetName val="Bang_tham_chieu366"/>
      <sheetName val="Bảng_tham_chiếu366"/>
      <sheetName val="VD_minh_hoa366"/>
      <sheetName val="Cham_cong364"/>
      <sheetName val="Bang_tham_chieu364"/>
      <sheetName val="Bảng_tham_chiếu364"/>
      <sheetName val="VD_minh_hoa364"/>
      <sheetName val="Cham_cong365"/>
      <sheetName val="Bang_tham_chieu365"/>
      <sheetName val="Bảng_tham_chiếu365"/>
      <sheetName val="VD_minh_hoa365"/>
      <sheetName val="Cham_cong369"/>
      <sheetName val="Bang_tham_chieu369"/>
      <sheetName val="Bảng_tham_chiếu369"/>
      <sheetName val="VD_minh_hoa369"/>
      <sheetName val="Cham_cong367"/>
      <sheetName val="Bang_tham_chieu367"/>
      <sheetName val="Bảng_tham_chiếu367"/>
      <sheetName val="VD_minh_hoa367"/>
      <sheetName val="Cham_cong368"/>
      <sheetName val="Bang_tham_chieu368"/>
      <sheetName val="Bảng_tham_chiếu368"/>
      <sheetName val="VD_minh_hoa368"/>
      <sheetName val="Cham_cong373"/>
      <sheetName val="Bang_tham_chieu373"/>
      <sheetName val="Bảng_tham_chiếu373"/>
      <sheetName val="VD_minh_hoa373"/>
      <sheetName val="Cham_cong370"/>
      <sheetName val="Bang_tham_chieu370"/>
      <sheetName val="Bảng_tham_chiếu370"/>
      <sheetName val="VD_minh_hoa370"/>
      <sheetName val="Cham_cong371"/>
      <sheetName val="Bang_tham_chieu371"/>
      <sheetName val="Bảng_tham_chiếu371"/>
      <sheetName val="VD_minh_hoa371"/>
      <sheetName val="Cham_cong372"/>
      <sheetName val="Bang_tham_chieu372"/>
      <sheetName val="Bảng_tham_chiếu372"/>
      <sheetName val="VD_minh_hoa372"/>
      <sheetName val="Cham_cong374"/>
      <sheetName val="Bang_tham_chieu374"/>
      <sheetName val="Bảng_tham_chiếu374"/>
      <sheetName val="VD_minh_hoa374"/>
      <sheetName val="Cham_cong375"/>
      <sheetName val="Bang_tham_chieu375"/>
      <sheetName val="Bảng_tham_chiếu375"/>
      <sheetName val="VD_minh_hoa375"/>
      <sheetName val="Cham_cong378"/>
      <sheetName val="Bang_tham_chieu378"/>
      <sheetName val="Bảng_tham_chiếu378"/>
      <sheetName val="VD_minh_hoa378"/>
      <sheetName val="Cham_cong377"/>
      <sheetName val="Bang_tham_chieu377"/>
      <sheetName val="Bảng_tham_chiếu377"/>
      <sheetName val="VD_minh_hoa377"/>
      <sheetName val="Cham_cong376"/>
      <sheetName val="Bang_tham_chieu376"/>
      <sheetName val="Bảng_tham_chiếu376"/>
      <sheetName val="VD_minh_hoa376"/>
      <sheetName val="Employees_data26"/>
      <sheetName val="Employees_data27"/>
      <sheetName val="Cham_cong379"/>
      <sheetName val="Bang_tham_chieu379"/>
      <sheetName val="Bảng_tham_chiếu379"/>
      <sheetName val="VD_minh_hoa379"/>
      <sheetName val="Employees_data28"/>
      <sheetName val="Cham_cong380"/>
      <sheetName val="Bang_tham_chieu380"/>
      <sheetName val="Bảng_tham_chiếu380"/>
      <sheetName val="VD_minh_hoa380"/>
      <sheetName val="Cham_cong381"/>
      <sheetName val="Bang_tham_chieu381"/>
      <sheetName val="Bảng_tham_chiếu381"/>
      <sheetName val="VD_minh_hoa381"/>
      <sheetName val="Employees_data29"/>
      <sheetName val="Cham_cong382"/>
      <sheetName val="Bang_tham_chieu382"/>
      <sheetName val="Bảng_tham_chiếu382"/>
      <sheetName val="VD_minh_hoa382"/>
      <sheetName val="Employees_data30"/>
      <sheetName val="Cham_cong383"/>
      <sheetName val="Bang_tham_chieu383"/>
      <sheetName val="Bảng_tham_chiếu383"/>
      <sheetName val="VD_minh_hoa383"/>
      <sheetName val="Employees_data31"/>
      <sheetName val="Cham_cong385"/>
      <sheetName val="Bang_tham_chieu385"/>
      <sheetName val="Bảng_tham_chiếu385"/>
      <sheetName val="VD_minh_hoa385"/>
      <sheetName val="Employees_data33"/>
      <sheetName val="Cham_cong384"/>
      <sheetName val="Bang_tham_chieu384"/>
      <sheetName val="Bảng_tham_chiếu384"/>
      <sheetName val="VD_minh_hoa384"/>
      <sheetName val="Employees_data3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">
          <cell r="B2">
            <v>0</v>
          </cell>
          <cell r="C2">
            <v>0.05</v>
          </cell>
          <cell r="D2">
            <v>0</v>
          </cell>
        </row>
        <row r="3">
          <cell r="B3">
            <v>5000000</v>
          </cell>
          <cell r="C3">
            <v>0.1</v>
          </cell>
          <cell r="D3">
            <v>250000</v>
          </cell>
        </row>
        <row r="4">
          <cell r="B4">
            <v>10000000</v>
          </cell>
          <cell r="C4">
            <v>0.15</v>
          </cell>
          <cell r="D4">
            <v>750000</v>
          </cell>
        </row>
        <row r="5">
          <cell r="B5">
            <v>18000000</v>
          </cell>
          <cell r="C5">
            <v>0.2</v>
          </cell>
          <cell r="D5">
            <v>1650000</v>
          </cell>
        </row>
        <row r="6">
          <cell r="B6">
            <v>32000000</v>
          </cell>
          <cell r="C6">
            <v>0.25</v>
          </cell>
          <cell r="D6">
            <v>3250000</v>
          </cell>
        </row>
        <row r="7">
          <cell r="B7">
            <v>52000000</v>
          </cell>
          <cell r="C7">
            <v>0.3</v>
          </cell>
          <cell r="D7">
            <v>5850000</v>
          </cell>
        </row>
        <row r="8">
          <cell r="B8">
            <v>80000000</v>
          </cell>
          <cell r="C8">
            <v>0.35</v>
          </cell>
          <cell r="D8">
            <v>9850000</v>
          </cell>
        </row>
        <row r="9">
          <cell r="B9">
            <v>1E+17</v>
          </cell>
          <cell r="C9">
            <v>0</v>
          </cell>
          <cell r="D9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>
        <row r="2">
          <cell r="B2">
            <v>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2">
          <cell r="B2">
            <v>0</v>
          </cell>
        </row>
      </sheetData>
      <sheetData sheetId="43"/>
      <sheetData sheetId="44"/>
      <sheetData sheetId="45"/>
      <sheetData sheetId="46">
        <row r="2">
          <cell r="B2">
            <v>0</v>
          </cell>
        </row>
      </sheetData>
      <sheetData sheetId="47"/>
      <sheetData sheetId="48"/>
      <sheetData sheetId="49"/>
      <sheetData sheetId="50">
        <row r="2">
          <cell r="B2">
            <v>0</v>
          </cell>
        </row>
      </sheetData>
      <sheetData sheetId="51"/>
      <sheetData sheetId="52"/>
      <sheetData sheetId="53"/>
      <sheetData sheetId="54">
        <row r="2">
          <cell r="B2">
            <v>0</v>
          </cell>
        </row>
      </sheetData>
      <sheetData sheetId="55"/>
      <sheetData sheetId="56"/>
      <sheetData sheetId="57"/>
      <sheetData sheetId="58">
        <row r="2">
          <cell r="B2">
            <v>0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>
        <row r="2">
          <cell r="B2">
            <v>0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>
        <row r="2">
          <cell r="B2">
            <v>0</v>
          </cell>
        </row>
      </sheetData>
      <sheetData sheetId="75"/>
      <sheetData sheetId="76"/>
      <sheetData sheetId="77"/>
      <sheetData sheetId="78">
        <row r="2">
          <cell r="B2">
            <v>0</v>
          </cell>
        </row>
      </sheetData>
      <sheetData sheetId="79"/>
      <sheetData sheetId="80"/>
      <sheetData sheetId="81"/>
      <sheetData sheetId="82">
        <row r="2">
          <cell r="B2">
            <v>0</v>
          </cell>
        </row>
      </sheetData>
      <sheetData sheetId="83"/>
      <sheetData sheetId="84"/>
      <sheetData sheetId="85"/>
      <sheetData sheetId="86"/>
      <sheetData sheetId="87"/>
      <sheetData sheetId="88"/>
      <sheetData sheetId="89"/>
      <sheetData sheetId="90">
        <row r="2">
          <cell r="B2">
            <v>0</v>
          </cell>
        </row>
      </sheetData>
      <sheetData sheetId="91"/>
      <sheetData sheetId="92"/>
      <sheetData sheetId="93"/>
      <sheetData sheetId="94">
        <row r="2">
          <cell r="B2">
            <v>0</v>
          </cell>
        </row>
      </sheetData>
      <sheetData sheetId="95"/>
      <sheetData sheetId="96"/>
      <sheetData sheetId="97"/>
      <sheetData sheetId="98">
        <row r="2">
          <cell r="B2">
            <v>0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2">
          <cell r="B2">
            <v>0</v>
          </cell>
        </row>
      </sheetData>
      <sheetData sheetId="107"/>
      <sheetData sheetId="108"/>
      <sheetData sheetId="109"/>
      <sheetData sheetId="110">
        <row r="2">
          <cell r="B2">
            <v>0</v>
          </cell>
        </row>
      </sheetData>
      <sheetData sheetId="111"/>
      <sheetData sheetId="112"/>
      <sheetData sheetId="113"/>
      <sheetData sheetId="114">
        <row r="2">
          <cell r="B2">
            <v>0</v>
          </cell>
        </row>
      </sheetData>
      <sheetData sheetId="115"/>
      <sheetData sheetId="116"/>
      <sheetData sheetId="117"/>
      <sheetData sheetId="118">
        <row r="2">
          <cell r="B2">
            <v>0</v>
          </cell>
        </row>
      </sheetData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>
        <row r="2">
          <cell r="B2">
            <v>0</v>
          </cell>
        </row>
      </sheetData>
      <sheetData sheetId="135"/>
      <sheetData sheetId="136"/>
      <sheetData sheetId="137"/>
      <sheetData sheetId="138">
        <row r="2">
          <cell r="B2">
            <v>0</v>
          </cell>
        </row>
      </sheetData>
      <sheetData sheetId="139"/>
      <sheetData sheetId="140"/>
      <sheetData sheetId="141"/>
      <sheetData sheetId="142"/>
      <sheetData sheetId="143">
        <row r="2">
          <cell r="B2">
            <v>0</v>
          </cell>
        </row>
      </sheetData>
      <sheetData sheetId="144"/>
      <sheetData sheetId="145"/>
      <sheetData sheetId="146"/>
      <sheetData sheetId="147">
        <row r="2">
          <cell r="B2">
            <v>0</v>
          </cell>
        </row>
      </sheetData>
      <sheetData sheetId="148"/>
      <sheetData sheetId="149"/>
      <sheetData sheetId="150"/>
      <sheetData sheetId="151"/>
      <sheetData sheetId="152">
        <row r="2">
          <cell r="B2">
            <v>0</v>
          </cell>
        </row>
      </sheetData>
      <sheetData sheetId="153"/>
      <sheetData sheetId="154"/>
      <sheetData sheetId="155"/>
      <sheetData sheetId="156">
        <row r="2">
          <cell r="B2">
            <v>0</v>
          </cell>
        </row>
      </sheetData>
      <sheetData sheetId="157"/>
      <sheetData sheetId="158"/>
      <sheetData sheetId="159"/>
      <sheetData sheetId="160"/>
      <sheetData sheetId="161">
        <row r="2">
          <cell r="B2">
            <v>0</v>
          </cell>
        </row>
      </sheetData>
      <sheetData sheetId="162"/>
      <sheetData sheetId="163"/>
      <sheetData sheetId="164"/>
      <sheetData sheetId="165"/>
      <sheetData sheetId="166">
        <row r="2">
          <cell r="B2">
            <v>0</v>
          </cell>
        </row>
      </sheetData>
      <sheetData sheetId="167"/>
      <sheetData sheetId="168"/>
      <sheetData sheetId="169"/>
      <sheetData sheetId="170"/>
      <sheetData sheetId="171">
        <row r="2">
          <cell r="B2">
            <v>0</v>
          </cell>
        </row>
      </sheetData>
      <sheetData sheetId="172"/>
      <sheetData sheetId="173"/>
      <sheetData sheetId="174"/>
      <sheetData sheetId="175">
        <row r="2">
          <cell r="B2">
            <v>0</v>
          </cell>
        </row>
      </sheetData>
      <sheetData sheetId="176"/>
      <sheetData sheetId="177"/>
      <sheetData sheetId="178"/>
      <sheetData sheetId="179">
        <row r="2">
          <cell r="B2">
            <v>0</v>
          </cell>
        </row>
      </sheetData>
      <sheetData sheetId="180"/>
      <sheetData sheetId="181"/>
      <sheetData sheetId="182"/>
      <sheetData sheetId="183">
        <row r="2">
          <cell r="B2">
            <v>0</v>
          </cell>
        </row>
      </sheetData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>
        <row r="2">
          <cell r="B2">
            <v>0</v>
          </cell>
        </row>
      </sheetData>
      <sheetData sheetId="193"/>
      <sheetData sheetId="194"/>
      <sheetData sheetId="195"/>
      <sheetData sheetId="196"/>
      <sheetData sheetId="197">
        <row r="2">
          <cell r="B2">
            <v>0</v>
          </cell>
        </row>
      </sheetData>
      <sheetData sheetId="198"/>
      <sheetData sheetId="199"/>
      <sheetData sheetId="200"/>
      <sheetData sheetId="201"/>
      <sheetData sheetId="202"/>
      <sheetData sheetId="203"/>
      <sheetData sheetId="204"/>
      <sheetData sheetId="205">
        <row r="2">
          <cell r="B2">
            <v>0</v>
          </cell>
        </row>
      </sheetData>
      <sheetData sheetId="206"/>
      <sheetData sheetId="207"/>
      <sheetData sheetId="208"/>
      <sheetData sheetId="209">
        <row r="2">
          <cell r="B2">
            <v>0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2">
          <cell r="B2">
            <v>0</v>
          </cell>
        </row>
      </sheetData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>
        <row r="2">
          <cell r="B2">
            <v>0</v>
          </cell>
        </row>
      </sheetData>
      <sheetData sheetId="234"/>
      <sheetData sheetId="235"/>
      <sheetData sheetId="236"/>
      <sheetData sheetId="237">
        <row r="2">
          <cell r="B2">
            <v>0</v>
          </cell>
        </row>
      </sheetData>
      <sheetData sheetId="238"/>
      <sheetData sheetId="239"/>
      <sheetData sheetId="240"/>
      <sheetData sheetId="241"/>
      <sheetData sheetId="242"/>
      <sheetData sheetId="243"/>
      <sheetData sheetId="244"/>
      <sheetData sheetId="245">
        <row r="2">
          <cell r="B2">
            <v>0</v>
          </cell>
        </row>
      </sheetData>
      <sheetData sheetId="246"/>
      <sheetData sheetId="247"/>
      <sheetData sheetId="248"/>
      <sheetData sheetId="249">
        <row r="2">
          <cell r="B2">
            <v>0</v>
          </cell>
        </row>
      </sheetData>
      <sheetData sheetId="250"/>
      <sheetData sheetId="251"/>
      <sheetData sheetId="252"/>
      <sheetData sheetId="253">
        <row r="2">
          <cell r="B2">
            <v>0</v>
          </cell>
        </row>
      </sheetData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>
        <row r="2">
          <cell r="B2">
            <v>0</v>
          </cell>
        </row>
      </sheetData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2">
          <cell r="B2">
            <v>0</v>
          </cell>
        </row>
      </sheetData>
      <sheetData sheetId="286"/>
      <sheetData sheetId="287"/>
      <sheetData sheetId="288"/>
      <sheetData sheetId="289">
        <row r="2">
          <cell r="B2">
            <v>0</v>
          </cell>
        </row>
      </sheetData>
      <sheetData sheetId="290"/>
      <sheetData sheetId="291"/>
      <sheetData sheetId="292"/>
      <sheetData sheetId="293">
        <row r="2">
          <cell r="B2">
            <v>0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>
        <row r="2">
          <cell r="B2">
            <v>0</v>
          </cell>
        </row>
      </sheetData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2">
          <cell r="B2">
            <v>0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>
        <row r="2">
          <cell r="B2">
            <v>0</v>
          </cell>
        </row>
      </sheetData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2">
          <cell r="B2">
            <v>0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2">
          <cell r="B2">
            <v>0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>
        <row r="2">
          <cell r="B2">
            <v>0</v>
          </cell>
        </row>
      </sheetData>
      <sheetData sheetId="447"/>
      <sheetData sheetId="448"/>
      <sheetData sheetId="449"/>
      <sheetData sheetId="450"/>
      <sheetData sheetId="451"/>
      <sheetData sheetId="452"/>
      <sheetData sheetId="453"/>
      <sheetData sheetId="454">
        <row r="2">
          <cell r="B2">
            <v>0</v>
          </cell>
        </row>
      </sheetData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>
        <row r="2">
          <cell r="B2">
            <v>0</v>
          </cell>
        </row>
      </sheetData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2">
          <cell r="B2">
            <v>0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>
        <row r="2">
          <cell r="B2">
            <v>0</v>
          </cell>
        </row>
      </sheetData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>
        <row r="2">
          <cell r="B2">
            <v>0</v>
          </cell>
        </row>
      </sheetData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>
        <row r="2">
          <cell r="B2">
            <v>0</v>
          </cell>
        </row>
      </sheetData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>
        <row r="2">
          <cell r="B2">
            <v>0</v>
          </cell>
        </row>
      </sheetData>
      <sheetData sheetId="619"/>
      <sheetData sheetId="620"/>
      <sheetData sheetId="621"/>
      <sheetData sheetId="622">
        <row r="2">
          <cell r="B2">
            <v>0</v>
          </cell>
        </row>
      </sheetData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B2">
            <v>0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>
        <row r="2">
          <cell r="B2">
            <v>0</v>
          </cell>
        </row>
      </sheetData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>
        <row r="2">
          <cell r="B2">
            <v>0</v>
          </cell>
        </row>
      </sheetData>
      <sheetData sheetId="751"/>
      <sheetData sheetId="752"/>
      <sheetData sheetId="753"/>
      <sheetData sheetId="754">
        <row r="2">
          <cell r="B2">
            <v>0</v>
          </cell>
        </row>
      </sheetData>
      <sheetData sheetId="755"/>
      <sheetData sheetId="756"/>
      <sheetData sheetId="757" refreshError="1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>
        <row r="2">
          <cell r="B2">
            <v>0</v>
          </cell>
        </row>
      </sheetData>
      <sheetData sheetId="769"/>
      <sheetData sheetId="770"/>
      <sheetData sheetId="771">
        <row r="2">
          <cell r="B2">
            <v>0</v>
          </cell>
        </row>
      </sheetData>
      <sheetData sheetId="772"/>
      <sheetData sheetId="773">
        <row r="2">
          <cell r="B2">
            <v>0</v>
          </cell>
        </row>
      </sheetData>
      <sheetData sheetId="774"/>
      <sheetData sheetId="775"/>
      <sheetData sheetId="776"/>
      <sheetData sheetId="777">
        <row r="2">
          <cell r="B2">
            <v>0</v>
          </cell>
        </row>
      </sheetData>
      <sheetData sheetId="778"/>
      <sheetData sheetId="779"/>
      <sheetData sheetId="780"/>
      <sheetData sheetId="781">
        <row r="2">
          <cell r="B2">
            <v>0</v>
          </cell>
        </row>
      </sheetData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>
        <row r="2">
          <cell r="B2">
            <v>0</v>
          </cell>
        </row>
      </sheetData>
      <sheetData sheetId="826"/>
      <sheetData sheetId="827"/>
      <sheetData sheetId="828"/>
      <sheetData sheetId="829">
        <row r="2">
          <cell r="B2">
            <v>0</v>
          </cell>
        </row>
      </sheetData>
      <sheetData sheetId="830"/>
      <sheetData sheetId="831"/>
      <sheetData sheetId="832"/>
      <sheetData sheetId="833"/>
      <sheetData sheetId="834"/>
      <sheetData sheetId="835"/>
      <sheetData sheetId="836"/>
      <sheetData sheetId="837">
        <row r="2">
          <cell r="B2">
            <v>0</v>
          </cell>
        </row>
      </sheetData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>
        <row r="2">
          <cell r="B2">
            <v>0</v>
          </cell>
        </row>
      </sheetData>
      <sheetData sheetId="861"/>
      <sheetData sheetId="862"/>
      <sheetData sheetId="863"/>
      <sheetData sheetId="864"/>
      <sheetData sheetId="865"/>
      <sheetData sheetId="866"/>
      <sheetData sheetId="867"/>
      <sheetData sheetId="868">
        <row r="2">
          <cell r="B2">
            <v>0</v>
          </cell>
        </row>
      </sheetData>
      <sheetData sheetId="869"/>
      <sheetData sheetId="870"/>
      <sheetData sheetId="871"/>
      <sheetData sheetId="872">
        <row r="2">
          <cell r="B2">
            <v>0</v>
          </cell>
        </row>
      </sheetData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>
        <row r="2">
          <cell r="B2">
            <v>0</v>
          </cell>
        </row>
      </sheetData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>
        <row r="2">
          <cell r="B2">
            <v>0</v>
          </cell>
        </row>
      </sheetData>
      <sheetData sheetId="947"/>
      <sheetData sheetId="948"/>
      <sheetData sheetId="949"/>
      <sheetData sheetId="950">
        <row r="2">
          <cell r="B2">
            <v>0</v>
          </cell>
        </row>
      </sheetData>
      <sheetData sheetId="951"/>
      <sheetData sheetId="952"/>
      <sheetData sheetId="953"/>
      <sheetData sheetId="954">
        <row r="2">
          <cell r="B2">
            <v>0</v>
          </cell>
        </row>
      </sheetData>
      <sheetData sheetId="955"/>
      <sheetData sheetId="956"/>
      <sheetData sheetId="957"/>
      <sheetData sheetId="958">
        <row r="2">
          <cell r="B2">
            <v>0</v>
          </cell>
        </row>
      </sheetData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>
        <row r="2">
          <cell r="B2">
            <v>0</v>
          </cell>
        </row>
      </sheetData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>
        <row r="2">
          <cell r="B2">
            <v>0</v>
          </cell>
        </row>
      </sheetData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>
        <row r="2">
          <cell r="B2">
            <v>0</v>
          </cell>
        </row>
      </sheetData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>
        <row r="2">
          <cell r="B2">
            <v>0</v>
          </cell>
        </row>
      </sheetData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>
        <row r="2">
          <cell r="B2">
            <v>0</v>
          </cell>
        </row>
      </sheetData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>
        <row r="2">
          <cell r="B2">
            <v>0</v>
          </cell>
        </row>
      </sheetData>
      <sheetData sheetId="1177"/>
      <sheetData sheetId="1178"/>
      <sheetData sheetId="1179"/>
      <sheetData sheetId="1180">
        <row r="2">
          <cell r="B2">
            <v>0</v>
          </cell>
        </row>
      </sheetData>
      <sheetData sheetId="1181"/>
      <sheetData sheetId="1182"/>
      <sheetData sheetId="1183">
        <row r="2">
          <cell r="B2">
            <v>0</v>
          </cell>
        </row>
      </sheetData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>
        <row r="2">
          <cell r="B2">
            <v>0</v>
          </cell>
        </row>
      </sheetData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>
        <row r="2">
          <cell r="B2">
            <v>0</v>
          </cell>
        </row>
      </sheetData>
      <sheetData sheetId="1241"/>
      <sheetData sheetId="1242"/>
      <sheetData sheetId="1243"/>
      <sheetData sheetId="1244">
        <row r="2">
          <cell r="B2">
            <v>0</v>
          </cell>
        </row>
      </sheetData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>
        <row r="2">
          <cell r="B2">
            <v>0</v>
          </cell>
        </row>
      </sheetData>
      <sheetData sheetId="1265"/>
      <sheetData sheetId="1266"/>
      <sheetData sheetId="1267"/>
      <sheetData sheetId="1268"/>
      <sheetData sheetId="1269"/>
      <sheetData sheetId="1270"/>
      <sheetData sheetId="1271"/>
      <sheetData sheetId="1272">
        <row r="2">
          <cell r="B2">
            <v>0</v>
          </cell>
        </row>
      </sheetData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>
        <row r="2">
          <cell r="B2">
            <v>0</v>
          </cell>
        </row>
      </sheetData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>
        <row r="2">
          <cell r="B2">
            <v>0</v>
          </cell>
        </row>
      </sheetData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>
        <row r="2">
          <cell r="B2">
            <v>0</v>
          </cell>
        </row>
      </sheetData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>
        <row r="2">
          <cell r="B2">
            <v>0</v>
          </cell>
        </row>
      </sheetData>
      <sheetData sheetId="1393"/>
      <sheetData sheetId="1394"/>
      <sheetData sheetId="1395"/>
      <sheetData sheetId="1396">
        <row r="2">
          <cell r="B2">
            <v>0</v>
          </cell>
        </row>
      </sheetData>
      <sheetData sheetId="1397"/>
      <sheetData sheetId="1398"/>
      <sheetData sheetId="1399"/>
      <sheetData sheetId="1400"/>
      <sheetData sheetId="1401"/>
      <sheetData sheetId="1402"/>
      <sheetData sheetId="1403"/>
      <sheetData sheetId="1404">
        <row r="2">
          <cell r="B2">
            <v>0</v>
          </cell>
        </row>
      </sheetData>
      <sheetData sheetId="1405"/>
      <sheetData sheetId="1406"/>
      <sheetData sheetId="1407"/>
      <sheetData sheetId="1408">
        <row r="2">
          <cell r="B2">
            <v>0</v>
          </cell>
        </row>
      </sheetData>
      <sheetData sheetId="1409"/>
      <sheetData sheetId="1410"/>
      <sheetData sheetId="1411"/>
      <sheetData sheetId="1412">
        <row r="2">
          <cell r="B2">
            <v>0</v>
          </cell>
        </row>
      </sheetData>
      <sheetData sheetId="1413"/>
      <sheetData sheetId="1414"/>
      <sheetData sheetId="1415"/>
      <sheetData sheetId="1416">
        <row r="2">
          <cell r="B2">
            <v>0</v>
          </cell>
        </row>
      </sheetData>
      <sheetData sheetId="1417"/>
      <sheetData sheetId="1418"/>
      <sheetData sheetId="1419"/>
      <sheetData sheetId="1420"/>
      <sheetData sheetId="1421"/>
      <sheetData sheetId="1422"/>
      <sheetData sheetId="1423"/>
      <sheetData sheetId="1424">
        <row r="2">
          <cell r="B2">
            <v>0</v>
          </cell>
        </row>
      </sheetData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>
        <row r="2">
          <cell r="B2">
            <v>0</v>
          </cell>
        </row>
      </sheetData>
      <sheetData sheetId="1502"/>
      <sheetData sheetId="1503"/>
      <sheetData sheetId="1504"/>
      <sheetData sheetId="1505">
        <row r="2">
          <cell r="B2">
            <v>0</v>
          </cell>
        </row>
      </sheetData>
      <sheetData sheetId="1506"/>
      <sheetData sheetId="1507"/>
      <sheetData sheetId="1508"/>
      <sheetData sheetId="1509">
        <row r="2">
          <cell r="B2">
            <v>0</v>
          </cell>
        </row>
      </sheetData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>
        <row r="2">
          <cell r="B2">
            <v>0</v>
          </cell>
        </row>
      </sheetData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>
        <row r="2">
          <cell r="B2">
            <v>0</v>
          </cell>
        </row>
      </sheetData>
      <sheetData sheetId="1562"/>
      <sheetData sheetId="1563"/>
      <sheetData sheetId="1564"/>
      <sheetData sheetId="1565">
        <row r="2">
          <cell r="B2">
            <v>0</v>
          </cell>
        </row>
      </sheetData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>
        <row r="2">
          <cell r="B2">
            <v>0</v>
          </cell>
        </row>
      </sheetData>
      <sheetData sheetId="1600"/>
      <sheetData sheetId="1601"/>
      <sheetData sheetId="1602"/>
      <sheetData sheetId="1603"/>
      <sheetData sheetId="1604"/>
      <sheetData sheetId="1605"/>
      <sheetData sheetId="1606"/>
      <sheetData sheetId="160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Ư VIỆN"/>
      <sheetName val="CHI TIẾT"/>
      <sheetName val="CN NGHỆ AN BB"/>
      <sheetName val="CN LONG BIÊN BB"/>
      <sheetName val="CN PHÚC ĐỒNG"/>
      <sheetName val="CTY CƠ KHÍ CD BB"/>
      <sheetName val="GNPP THACO CV -BB"/>
      <sheetName val="GNPP QUẢNG NAM BB "/>
      <sheetName val="CN GIẢI PHÓNG BB"/>
      <sheetName val="CN VĨNH PHÚC BB"/>
      <sheetName val="CN HẢI PHÒNG"/>
      <sheetName val="VPĐD THACO BB"/>
      <sheetName val="CN THANH HÓA BB"/>
      <sheetName val="THÁI NGUYÊN BB"/>
      <sheetName val="NGỌC HỒI BB"/>
      <sheetName val="BẮC NINH BB"/>
      <sheetName val="BẮC GIANG"/>
      <sheetName val="VĨNH CÁT HÀ NAM BB"/>
      <sheetName val="QUẢNG NINH BB"/>
      <sheetName val="HÒA BÌNH"/>
      <sheetName val="LẠNG SƠN BB"/>
      <sheetName val="CN ĐÀ NẴNG TB"/>
      <sheetName val="VPĐD THACO CV TB"/>
      <sheetName val="CN QUẢNG BÌNH TB"/>
      <sheetName val="CN BÌNH ĐỊNH TB"/>
      <sheetName val="CN TAM KÌ TB"/>
      <sheetName val="THACO KIA ĐN TB"/>
      <sheetName val="THACO CV"/>
      <sheetName val="CNKVNB"/>
      <sheetName val="CN PHAN THIẾT NB"/>
      <sheetName val="CN ĐỨC TRỌNG NB"/>
      <sheetName val="CN BIÊN HÒA NB"/>
      <sheetName val="CN CẦN THƠ NB"/>
      <sheetName val="CN TIỀN GIANG NB"/>
      <sheetName val="CN VĨNH LONG NB "/>
      <sheetName val="CN AN LẠC NB"/>
      <sheetName val="CN AN SƯƠNG NB "/>
      <sheetName val="CN BÌNH TÂN NB"/>
      <sheetName val="CN BÌNH TRIỆU NB"/>
      <sheetName val="CHUYÊN DỤNG NB"/>
      <sheetName val="LÁI THIÊU NB"/>
      <sheetName val="BÌNH PHƯỚC NB"/>
      <sheetName val="KIA PMH"/>
      <sheetName val="MAZDA PMH"/>
      <sheetName val="HYUNDAI PMH"/>
      <sheetName val="CTY THACO PC "/>
      <sheetName val=" PHÚ NHUẬN NB"/>
      <sheetName val="AN THÀNH PHÁT NB"/>
      <sheetName val="CN VŨNG TÀU NB"/>
      <sheetName val="MAZDA CỘNG HÒA"/>
      <sheetName val="VPĐD KLH CAC CL"/>
      <sheetName val="THACO KIA CL"/>
      <sheetName val="THACO BUS CL"/>
      <sheetName val="AUTOCOM CL"/>
      <sheetName val="VINA MAZDA CL"/>
      <sheetName val="VTB CL"/>
      <sheetName val="GNPP CL"/>
      <sheetName val="CTY ĐIỆN LẠNH"/>
      <sheetName val="CTY HCCD"/>
      <sheetName val="CTY CẢNG"/>
      <sheetName val="TRUONG CD NGHE CL"/>
      <sheetName val="MTV XAY DUNG CL"/>
      <sheetName val="ĐẦU TƯ HẠ TẦNG CL"/>
      <sheetName val="CTY THEP CL"/>
      <sheetName val="CTY CO KHI CL"/>
      <sheetName val="CO DIEN CL"/>
      <sheetName val="VPTQ"/>
      <sheetName val="ĐQM"/>
      <sheetName val="VPQTrị-NB"/>
      <sheetName val="VPQTrị_TB"/>
      <sheetName val="HUY SIM"/>
      <sheetName val="Data"/>
      <sheetName val="DANH MUC"/>
      <sheetName val="BANG TH NEW"/>
      <sheetName val="BẮC TỪ LIÊM"/>
      <sheetName val="CN HÀ ĐÔNG"/>
      <sheetName val="KHO CV BB"/>
      <sheetName val="VTĐB BB"/>
      <sheetName val="CTY XD VA VT TB( KIA GIẢI PHÓNG"/>
      <sheetName val="CN VĨNH PHÚC BB-TM"/>
      <sheetName val="CTY VĨNH PHÚC TH - DL"/>
      <sheetName val="CN HẢI PHÒNG-KIA"/>
      <sheetName val="MAZDA HẢI PHÒNG"/>
      <sheetName val="PEUGEOT LÊ DUẨN"/>
      <sheetName val="BẮC THANH HÓA"/>
      <sheetName val="CN Thái Nguyên (ĐỒNG QUANG DL)"/>
      <sheetName val="CTY THÁI NGUYÊN TH (TM)"/>
      <sheetName val="NGỌC HỒI BB( MAZDA GIẢI PHÓNG)"/>
      <sheetName val="VĨNH CÁT HÀ NAM (TH HÀ NAM)"/>
      <sheetName val="QUẢNG NINH DLBB"/>
      <sheetName val="HẠ LONG (TM Quảng Ninh) "/>
      <sheetName val="CN VIỆT TRÌ (MAZDA PHÚ THỌ)"/>
      <sheetName val="PC MIỀN BB"/>
      <sheetName val="PC KHO"/>
      <sheetName val="CN ĐÀ NẴNG TB (Liên Chiểu)"/>
      <sheetName val="CN THANH KHÊ TB (DL ĐN)"/>
      <sheetName val="TNHH MTV Quảng Bình"/>
      <sheetName val="CN HUẾ TB"/>
      <sheetName val="PC TB"/>
      <sheetName val="LOGISTIC-NB"/>
      <sheetName val="CN NHA TRANG NB"/>
      <sheetName val="CN ĐÀ LẠT NB"/>
      <sheetName val="CN DL TÂY ĐÔ NB"/>
      <sheetName val="CN TM CẦN THƠ NB"/>
      <sheetName val="CN AN GIANG"/>
      <sheetName val="CN DIỆU BẰNG NB"/>
      <sheetName val="TRƯỜNG HẢI BÌNH DƯƠNG (CAVEN)"/>
      <sheetName val="DĨ AN"/>
      <sheetName val="SR THỦ ĐỨC"/>
      <sheetName val="CN TÂY NINH"/>
      <sheetName val="PEUGEOT PMH"/>
      <sheetName val="CTY VŨNG TÀU TH (DL)"/>
      <sheetName val="CN VŨNG TÀU (TM)"/>
      <sheetName val="CN GÒ VẤP"/>
      <sheetName val="PC VPĐD NB "/>
      <sheetName val="CTY KÍNH "/>
      <sheetName val="CTY LINH KIỆN NHỰA"/>
      <sheetName val="CTY LINH KIỆN COMPOSITE"/>
      <sheetName val="NHÀ MÁY KHUÔN CL"/>
      <sheetName val="VTĐB CL"/>
      <sheetName val="VTGNPP CL"/>
      <sheetName val="SX MÁY LẠNH Ô TÔ VINA"/>
      <sheetName val="CTSV"/>
      <sheetName val="DÂY ĐIỆN"/>
      <sheetName val="NM NHÍP"/>
      <sheetName val="CTY TRUYỀN THÔNG ĐA PHƯƠNG TIỆN"/>
      <sheetName val="huy sin"/>
      <sheetName val="huy sim(2)"/>
      <sheetName val="Sheet2"/>
      <sheetName val="Sheet1"/>
      <sheetName val="Ds"/>
      <sheetName val="THƯ_VIỆN"/>
      <sheetName val="CHI_TIẾT"/>
      <sheetName val="CN_NGHỆ_AN_BB"/>
      <sheetName val="CN_LONG_BIÊN_BB"/>
      <sheetName val="CN_PHÚC_ĐỒNG"/>
      <sheetName val="CTY_CƠ_KHÍ_CD_BB"/>
      <sheetName val="GNPP_THACO_CV_-BB"/>
      <sheetName val="GNPP_QUẢNG_NAM_BB_"/>
      <sheetName val="CN_GIẢI_PHÓNG_BB"/>
      <sheetName val="CN_VĨNH_PHÚC_BB"/>
      <sheetName val="CN_HẢI_PHÒNG"/>
      <sheetName val="VPĐD_THACO_BB"/>
      <sheetName val="CN_THANH_HÓA_BB"/>
      <sheetName val="THÁI_NGUYÊN_BB"/>
      <sheetName val="NGỌC_HỒI_BB"/>
      <sheetName val="BẮC_NINH_BB"/>
      <sheetName val="BẮC_GIANG"/>
      <sheetName val="VĨNH_CÁT_HÀ_NAM_BB"/>
      <sheetName val="QUẢNG_NINH_BB"/>
      <sheetName val="HÒA_BÌNH"/>
      <sheetName val="LẠNG_SƠN_BB"/>
      <sheetName val="CN_ĐÀ_NẴNG_TB"/>
      <sheetName val="VPĐD_THACO_CV_TB"/>
      <sheetName val="CN_QUẢNG_BÌNH_TB"/>
      <sheetName val="CN_BÌNH_ĐỊNH_TB"/>
      <sheetName val="CN_TAM_KÌ_TB"/>
      <sheetName val="THACO_KIA_ĐN_TB"/>
      <sheetName val="THACO_CV"/>
      <sheetName val="CN_PHAN_THIẾT_NB"/>
      <sheetName val="CN_ĐỨC_TRỌNG_NB"/>
      <sheetName val="CN_BIÊN_HÒA_NB"/>
      <sheetName val="CN_CẦN_THƠ_NB"/>
      <sheetName val="CN_TIỀN_GIANG_NB"/>
      <sheetName val="CN_VĨNH_LONG_NB_"/>
      <sheetName val="CN_AN_LẠC_NB"/>
      <sheetName val="CN_AN_SƯƠNG_NB_"/>
      <sheetName val="CN_BÌNH_TÂN_NB"/>
      <sheetName val="CN_BÌNH_TRIỆU_NB"/>
      <sheetName val="CHUYÊN_DỤNG_NB"/>
      <sheetName val="LÁI_THIÊU_NB"/>
      <sheetName val="BÌNH_PHƯỚC_NB"/>
      <sheetName val="KIA_PMH"/>
      <sheetName val="MAZDA_PMH"/>
      <sheetName val="HYUNDAI_PMH"/>
      <sheetName val="CTY_THACO_PC_"/>
      <sheetName val="_PHÚ_NHUẬN_NB"/>
      <sheetName val="AN_THÀNH_PHÁT_NB"/>
      <sheetName val="CN_VŨNG_TÀU_NB"/>
      <sheetName val="MAZDA_CỘNG_HÒA"/>
      <sheetName val="VPĐD_KLH_CAC_CL"/>
      <sheetName val="THACO_KIA_CL"/>
      <sheetName val="THACO_BUS_CL"/>
      <sheetName val="AUTOCOM_CL"/>
      <sheetName val="VINA_MAZDA_CL"/>
      <sheetName val="VTB_CL"/>
      <sheetName val="GNPP_CL"/>
      <sheetName val="CTY_ĐIỆN_LẠNH"/>
      <sheetName val="CTY_HCCD"/>
      <sheetName val="CTY_CẢNG"/>
      <sheetName val="TRUONG_CD_NGHE_CL"/>
      <sheetName val="MTV_XAY_DUNG_CL"/>
      <sheetName val="ĐẦU_TƯ_HẠ_TẦNG_CL"/>
      <sheetName val="CTY_THEP_CL"/>
      <sheetName val="CTY_CO_KHI_CL"/>
      <sheetName val="CO_DIEN_CL"/>
      <sheetName val="HUY_SIM"/>
      <sheetName val="THƯ_VIỆN1"/>
      <sheetName val="CHI_TIẾT1"/>
      <sheetName val="CN_NGHỆ_AN_BB1"/>
      <sheetName val="CN_LONG_BIÊN_BB1"/>
      <sheetName val="CN_PHÚC_ĐỒNG1"/>
      <sheetName val="CTY_CƠ_KHÍ_CD_BB1"/>
      <sheetName val="GNPP_THACO_CV_-BB1"/>
      <sheetName val="GNPP_QUẢNG_NAM_BB_1"/>
      <sheetName val="CN_GIẢI_PHÓNG_BB1"/>
      <sheetName val="CN_VĨNH_PHÚC_BB1"/>
      <sheetName val="CN_HẢI_PHÒNG1"/>
      <sheetName val="VPĐD_THACO_BB1"/>
      <sheetName val="CN_THANH_HÓA_BB1"/>
      <sheetName val="THÁI_NGUYÊN_BB1"/>
      <sheetName val="NGỌC_HỒI_BB1"/>
      <sheetName val="BẮC_NINH_BB1"/>
      <sheetName val="BẮC_GIANG1"/>
      <sheetName val="VĨNH_CÁT_HÀ_NAM_BB1"/>
      <sheetName val="QUẢNG_NINH_BB1"/>
      <sheetName val="HÒA_BÌNH1"/>
      <sheetName val="LẠNG_SƠN_BB1"/>
      <sheetName val="CN_ĐÀ_NẴNG_TB1"/>
      <sheetName val="VPĐD_THACO_CV_TB1"/>
      <sheetName val="CN_QUẢNG_BÌNH_TB1"/>
      <sheetName val="CN_BÌNH_ĐỊNH_TB1"/>
      <sheetName val="CN_TAM_KÌ_TB1"/>
      <sheetName val="THACO_KIA_ĐN_TB1"/>
      <sheetName val="THACO_CV1"/>
      <sheetName val="CN_PHAN_THIẾT_NB1"/>
      <sheetName val="CN_ĐỨC_TRỌNG_NB1"/>
      <sheetName val="CN_BIÊN_HÒA_NB1"/>
      <sheetName val="CN_CẦN_THƠ_NB1"/>
      <sheetName val="CN_TIỀN_GIANG_NB1"/>
      <sheetName val="CN_VĨNH_LONG_NB_1"/>
      <sheetName val="CN_AN_LẠC_NB1"/>
      <sheetName val="CN_AN_SƯƠNG_NB_1"/>
      <sheetName val="CN_BÌNH_TÂN_NB1"/>
      <sheetName val="CN_BÌNH_TRIỆU_NB1"/>
      <sheetName val="CHUYÊN_DỤNG_NB1"/>
      <sheetName val="LÁI_THIÊU_NB1"/>
      <sheetName val="BÌNH_PHƯỚC_NB1"/>
      <sheetName val="KIA_PMH1"/>
      <sheetName val="MAZDA_PMH1"/>
      <sheetName val="HYUNDAI_PMH1"/>
      <sheetName val="CTY_THACO_PC_1"/>
      <sheetName val="_PHÚ_NHUẬN_NB1"/>
      <sheetName val="AN_THÀNH_PHÁT_NB1"/>
      <sheetName val="CN_VŨNG_TÀU_NB1"/>
      <sheetName val="MAZDA_CỘNG_HÒA1"/>
      <sheetName val="VPĐD_KLH_CAC_CL1"/>
      <sheetName val="THACO_KIA_CL1"/>
      <sheetName val="THACO_BUS_CL1"/>
      <sheetName val="AUTOCOM_CL1"/>
      <sheetName val="VINA_MAZDA_CL1"/>
      <sheetName val="VTB_CL1"/>
      <sheetName val="GNPP_CL1"/>
      <sheetName val="CTY_ĐIỆN_LẠNH1"/>
      <sheetName val="CTY_HCCD1"/>
      <sheetName val="CTY_CẢNG1"/>
      <sheetName val="TRUONG_CD_NGHE_CL1"/>
      <sheetName val="MTV_XAY_DUNG_CL1"/>
      <sheetName val="ĐẦU_TƯ_HẠ_TẦNG_CL1"/>
      <sheetName val="CTY_THEP_CL1"/>
      <sheetName val="CTY_CO_KHI_CL1"/>
      <sheetName val="CO_DIEN_CL1"/>
      <sheetName val="HUY_SIM1"/>
      <sheetName val="THƯ_VIỆN2"/>
      <sheetName val="CHI_TIẾT2"/>
      <sheetName val="CN_NGHỆ_AN_BB2"/>
      <sheetName val="CN_LONG_BIÊN_BB2"/>
      <sheetName val="CN_PHÚC_ĐỒNG2"/>
      <sheetName val="CTY_CƠ_KHÍ_CD_BB2"/>
      <sheetName val="GNPP_THACO_CV_-BB2"/>
      <sheetName val="GNPP_QUẢNG_NAM_BB_2"/>
      <sheetName val="CN_GIẢI_PHÓNG_BB2"/>
      <sheetName val="CN_VĨNH_PHÚC_BB2"/>
      <sheetName val="CN_HẢI_PHÒNG2"/>
      <sheetName val="VPĐD_THACO_BB2"/>
      <sheetName val="CN_THANH_HÓA_BB2"/>
      <sheetName val="THÁI_NGUYÊN_BB2"/>
      <sheetName val="NGỌC_HỒI_BB2"/>
      <sheetName val="BẮC_NINH_BB2"/>
      <sheetName val="BẮC_GIANG2"/>
      <sheetName val="VĨNH_CÁT_HÀ_NAM_BB2"/>
      <sheetName val="QUẢNG_NINH_BB2"/>
      <sheetName val="HÒA_BÌNH2"/>
      <sheetName val="LẠNG_SƠN_BB2"/>
      <sheetName val="CN_ĐÀ_NẴNG_TB2"/>
      <sheetName val="VPĐD_THACO_CV_TB2"/>
      <sheetName val="CN_QUẢNG_BÌNH_TB2"/>
      <sheetName val="CN_BÌNH_ĐỊNH_TB2"/>
      <sheetName val="CN_TAM_KÌ_TB2"/>
      <sheetName val="THACO_KIA_ĐN_TB2"/>
      <sheetName val="THACO_CV2"/>
      <sheetName val="CN_PHAN_THIẾT_NB2"/>
      <sheetName val="CN_ĐỨC_TRỌNG_NB2"/>
      <sheetName val="CN_BIÊN_HÒA_NB2"/>
      <sheetName val="CN_CẦN_THƠ_NB2"/>
      <sheetName val="CN_TIỀN_GIANG_NB2"/>
      <sheetName val="CN_VĨNH_LONG_NB_2"/>
      <sheetName val="CN_AN_LẠC_NB2"/>
      <sheetName val="CN_AN_SƯƠNG_NB_2"/>
      <sheetName val="CN_BÌNH_TÂN_NB2"/>
      <sheetName val="CN_BÌNH_TRIỆU_NB2"/>
      <sheetName val="CHUYÊN_DỤNG_NB2"/>
      <sheetName val="LÁI_THIÊU_NB2"/>
      <sheetName val="BÌNH_PHƯỚC_NB2"/>
      <sheetName val="KIA_PMH2"/>
      <sheetName val="MAZDA_PMH2"/>
      <sheetName val="HYUNDAI_PMH2"/>
      <sheetName val="CTY_THACO_PC_2"/>
      <sheetName val="_PHÚ_NHUẬN_NB2"/>
      <sheetName val="AN_THÀNH_PHÁT_NB2"/>
      <sheetName val="CN_VŨNG_TÀU_NB2"/>
      <sheetName val="MAZDA_CỘNG_HÒA2"/>
      <sheetName val="VPĐD_KLH_CAC_CL2"/>
      <sheetName val="THACO_KIA_CL2"/>
      <sheetName val="THACO_BUS_CL2"/>
      <sheetName val="AUTOCOM_CL2"/>
      <sheetName val="VINA_MAZDA_CL2"/>
      <sheetName val="VTB_CL2"/>
      <sheetName val="GNPP_CL2"/>
      <sheetName val="CTY_ĐIỆN_LẠNH2"/>
      <sheetName val="CTY_HCCD2"/>
      <sheetName val="CTY_CẢNG2"/>
      <sheetName val="TRUONG_CD_NGHE_CL2"/>
      <sheetName val="MTV_XAY_DUNG_CL2"/>
      <sheetName val="ĐẦU_TƯ_HẠ_TẦNG_CL2"/>
      <sheetName val="CTY_THEP_CL2"/>
      <sheetName val="CTY_CO_KHI_CL2"/>
      <sheetName val="CO_DIEN_CL2"/>
      <sheetName val="HUY_SIM2"/>
      <sheetName val="THƯ_VIỆN3"/>
      <sheetName val="CHI_TIẾT3"/>
      <sheetName val="CN_NGHỆ_AN_BB3"/>
      <sheetName val="CN_LONG_BIÊN_BB3"/>
      <sheetName val="CN_PHÚC_ĐỒNG3"/>
      <sheetName val="CTY_CƠ_KHÍ_CD_BB3"/>
      <sheetName val="GNPP_THACO_CV_-BB3"/>
      <sheetName val="GNPP_QUẢNG_NAM_BB_3"/>
      <sheetName val="CN_GIẢI_PHÓNG_BB3"/>
      <sheetName val="CN_VĨNH_PHÚC_BB3"/>
      <sheetName val="CN_HẢI_PHÒNG3"/>
      <sheetName val="VPĐD_THACO_BB3"/>
      <sheetName val="CN_THANH_HÓA_BB3"/>
      <sheetName val="THÁI_NGUYÊN_BB3"/>
      <sheetName val="NGỌC_HỒI_BB3"/>
      <sheetName val="BẮC_NINH_BB3"/>
      <sheetName val="BẮC_GIANG3"/>
      <sheetName val="VĨNH_CÁT_HÀ_NAM_BB3"/>
      <sheetName val="QUẢNG_NINH_BB3"/>
      <sheetName val="HÒA_BÌNH3"/>
      <sheetName val="LẠNG_SƠN_BB3"/>
      <sheetName val="CN_ĐÀ_NẴNG_TB3"/>
      <sheetName val="VPĐD_THACO_CV_TB3"/>
      <sheetName val="CN_QUẢNG_BÌNH_TB3"/>
      <sheetName val="CN_BÌNH_ĐỊNH_TB3"/>
      <sheetName val="CN_TAM_KÌ_TB3"/>
      <sheetName val="THACO_KIA_ĐN_TB3"/>
      <sheetName val="THACO_CV3"/>
      <sheetName val="CN_PHAN_THIẾT_NB3"/>
      <sheetName val="CN_ĐỨC_TRỌNG_NB3"/>
      <sheetName val="CN_BIÊN_HÒA_NB3"/>
      <sheetName val="CN_CẦN_THƠ_NB3"/>
      <sheetName val="CN_TIỀN_GIANG_NB3"/>
      <sheetName val="CN_VĨNH_LONG_NB_3"/>
      <sheetName val="CN_AN_LẠC_NB3"/>
      <sheetName val="CN_AN_SƯƠNG_NB_3"/>
      <sheetName val="CN_BÌNH_TÂN_NB3"/>
      <sheetName val="CN_BÌNH_TRIỆU_NB3"/>
      <sheetName val="CHUYÊN_DỤNG_NB3"/>
      <sheetName val="LÁI_THIÊU_NB3"/>
      <sheetName val="BÌNH_PHƯỚC_NB3"/>
      <sheetName val="KIA_PMH3"/>
      <sheetName val="MAZDA_PMH3"/>
      <sheetName val="HYUNDAI_PMH3"/>
      <sheetName val="CTY_THACO_PC_3"/>
      <sheetName val="_PHÚ_NHUẬN_NB3"/>
      <sheetName val="AN_THÀNH_PHÁT_NB3"/>
      <sheetName val="CN_VŨNG_TÀU_NB3"/>
      <sheetName val="MAZDA_CỘNG_HÒA3"/>
      <sheetName val="VPĐD_KLH_CAC_CL3"/>
      <sheetName val="THACO_KIA_CL3"/>
      <sheetName val="THACO_BUS_CL3"/>
      <sheetName val="AUTOCOM_CL3"/>
      <sheetName val="VINA_MAZDA_CL3"/>
      <sheetName val="VTB_CL3"/>
      <sheetName val="GNPP_CL3"/>
      <sheetName val="CTY_ĐIỆN_LẠNH3"/>
      <sheetName val="CTY_HCCD3"/>
      <sheetName val="CTY_CẢNG3"/>
      <sheetName val="THƯ_VIỆN4"/>
      <sheetName val="CHI_TIẾT4"/>
      <sheetName val="CN_NGHỆ_AN_BB4"/>
      <sheetName val="CN_LONG_BIÊN_BB4"/>
      <sheetName val="CN_PHÚC_ĐỒNG4"/>
      <sheetName val="CTY_CƠ_KHÍ_CD_BB4"/>
      <sheetName val="GNPP_THACO_CV_-BB4"/>
      <sheetName val="GNPP_QUẢNG_NAM_BB_4"/>
      <sheetName val="CN_GIẢI_PHÓNG_BB4"/>
      <sheetName val="CN_VĨNH_PHÚC_BB4"/>
      <sheetName val="CN_HẢI_PHÒNG4"/>
      <sheetName val="VPĐD_THACO_BB4"/>
      <sheetName val="CN_THANH_HÓA_BB4"/>
      <sheetName val="THÁI_NGUYÊN_BB4"/>
      <sheetName val="NGỌC_HỒI_BB4"/>
      <sheetName val="BẮC_NINH_BB4"/>
      <sheetName val="BẮC_GIANG4"/>
      <sheetName val="VĨNH_CÁT_HÀ_NAM_BB4"/>
      <sheetName val="QUẢNG_NINH_BB4"/>
      <sheetName val="HÒA_BÌNH4"/>
      <sheetName val="LẠNG_SƠN_BB4"/>
      <sheetName val="CN_ĐÀ_NẴNG_TB4"/>
      <sheetName val="VPĐD_THACO_CV_TB4"/>
      <sheetName val="CN_QUẢNG_BÌNH_TB4"/>
      <sheetName val="CN_BÌNH_ĐỊNH_TB4"/>
      <sheetName val="CN_TAM_KÌ_TB4"/>
      <sheetName val="THACO_KIA_ĐN_TB4"/>
      <sheetName val="THACO_CV4"/>
      <sheetName val="CN_PHAN_THIẾT_NB4"/>
      <sheetName val="CN_ĐỨC_TRỌNG_NB4"/>
      <sheetName val="CN_BIÊN_HÒA_NB4"/>
      <sheetName val="CN_CẦN_THƠ_NB4"/>
      <sheetName val="CN_TIỀN_GIANG_NB4"/>
      <sheetName val="CN_VĨNH_LONG_NB_4"/>
      <sheetName val="CN_AN_LẠC_NB4"/>
      <sheetName val="CN_AN_SƯƠNG_NB_4"/>
      <sheetName val="CN_BÌNH_TÂN_NB4"/>
      <sheetName val="CN_BÌNH_TRIỆU_NB4"/>
      <sheetName val="CHUYÊN_DỤNG_NB4"/>
      <sheetName val="LÁI_THIÊU_NB4"/>
      <sheetName val="BÌNH_PHƯỚC_NB4"/>
      <sheetName val="KIA_PMH4"/>
      <sheetName val="MAZDA_PMH4"/>
      <sheetName val="HYUNDAI_PMH4"/>
      <sheetName val="CTY_THACO_PC_4"/>
      <sheetName val="_PHÚ_NHUẬN_NB4"/>
      <sheetName val="AN_THÀNH_PHÁT_NB4"/>
      <sheetName val="CN_VŨNG_TÀU_NB4"/>
      <sheetName val="MAZDA_CỘNG_HÒA4"/>
      <sheetName val="VPĐD_KLH_CAC_CL4"/>
      <sheetName val="THACO_KIA_CL4"/>
      <sheetName val="THACO_BUS_CL4"/>
      <sheetName val="AUTOCOM_CL4"/>
      <sheetName val="VINA_MAZDA_CL4"/>
      <sheetName val="VTB_CL4"/>
      <sheetName val="GNPP_CL4"/>
      <sheetName val="CTY_ĐIỆN_LẠNH4"/>
      <sheetName val="CTY_HCCD4"/>
      <sheetName val="CTY_CẢNG4"/>
      <sheetName val="TRUONG_CD_NGHE_CL3"/>
      <sheetName val="MTV_XAY_DUNG_CL3"/>
      <sheetName val="ĐẦU_TƯ_HẠ_TẦNG_CL3"/>
      <sheetName val="CTY_THEP_CL3"/>
      <sheetName val="CTY_CO_KHI_CL3"/>
      <sheetName val="CO_DIEN_CL3"/>
      <sheetName val="HUY_SIM3"/>
      <sheetName val="DANH_MUC"/>
      <sheetName val="BANG_TH_NEW"/>
      <sheetName val="BẮC_TỪ_LIÊM"/>
      <sheetName val="CN_HÀ_ĐÔNG"/>
      <sheetName val="KHO_CV_BB"/>
      <sheetName val="VTĐB_BB"/>
      <sheetName val="CTY_XD_VA_VT_TB(_KIA_GIẢI_PHÓNG"/>
      <sheetName val="CN_VĨNH_PHÚC_BB-TM"/>
      <sheetName val="CTY_VĨNH_PHÚC_TH_-_DL"/>
      <sheetName val="CN_HẢI_PHÒNG-KIA"/>
      <sheetName val="MAZDA_HẢI_PHÒNG"/>
      <sheetName val="PEUGEOT_LÊ_DUẨN"/>
      <sheetName val="BẮC_THANH_HÓA"/>
      <sheetName val="CN_Thái_Nguyên_(ĐỒNG_QUANG_DL)"/>
      <sheetName val="CTY_THÁI_NGUYÊN_TH_(TM)"/>
      <sheetName val="NGỌC_HỒI_BB(_MAZDA_GIẢI_PHÓNG)"/>
      <sheetName val="VĨNH_CÁT_HÀ_NAM_(TH_HÀ_NAM)"/>
      <sheetName val="QUẢNG_NINH_DLBB"/>
      <sheetName val="HẠ_LONG_(TM_Quảng_Ninh)_"/>
      <sheetName val="CN_VIỆT_TRÌ_(MAZDA_PHÚ_THỌ)"/>
      <sheetName val="PC_MIỀN_BB"/>
      <sheetName val="PC_KHO"/>
      <sheetName val="CN_ĐÀ_NẴNG_TB_(Liên_Chiểu)"/>
      <sheetName val="CN_THANH_KHÊ_TB_(DL_ĐN)"/>
      <sheetName val="TNHH_MTV_Quảng_Bình"/>
      <sheetName val="CN_HUẾ_TB"/>
      <sheetName val="PC_TB"/>
      <sheetName val="CN_NHA_TRANG_NB"/>
      <sheetName val="CN_ĐÀ_LẠT_NB"/>
      <sheetName val="CN_DL_TÂY_ĐÔ_NB"/>
      <sheetName val="CN_TM_CẦN_THƠ_NB"/>
      <sheetName val="CN_AN_GIANG"/>
      <sheetName val="CN_DIỆU_BẰNG_NB"/>
      <sheetName val="TRƯỜNG_HẢI_BÌNH_DƯƠNG_(CAVEN)"/>
      <sheetName val="DĨ_AN"/>
      <sheetName val="SR_THỦ_ĐỨC"/>
      <sheetName val="CN_TÂY_NINH"/>
      <sheetName val="PEUGEOT_PMH"/>
      <sheetName val="CTY_VŨNG_TÀU_TH_(DL)"/>
      <sheetName val="CN_VŨNG_TÀU_(TM)"/>
      <sheetName val="CN_GÒ_VẤP"/>
      <sheetName val="PC_VPĐD_NB_"/>
      <sheetName val="CTY_KÍNH_"/>
      <sheetName val="CTY_LINH_KIỆN_NHỰA"/>
      <sheetName val="CTY_LINH_KIỆN_COMPOSITE"/>
      <sheetName val="NHÀ_MÁY_KHUÔN_CL"/>
      <sheetName val="VTĐB_CL"/>
      <sheetName val="VTGNPP_CL"/>
      <sheetName val="SX_MÁY_LẠNH_Ô_TÔ_VINA"/>
      <sheetName val="DÂY_ĐIỆN"/>
      <sheetName val="NM_NHÍP"/>
      <sheetName val="CTY_TRUYỀN_THÔNG_ĐA_PHƯƠNG_TIỆN"/>
      <sheetName val="huy_sin"/>
      <sheetName val="huy_sim(2)"/>
    </sheetNames>
    <sheetDataSet>
      <sheetData sheetId="0" refreshError="1">
        <row r="10">
          <cell r="C10" t="str">
            <v>SỐ Đ.THOẠI</v>
          </cell>
          <cell r="D10" t="str">
            <v>TÊN HÓA ĐƠN</v>
          </cell>
          <cell r="E10" t="str">
            <v>ĐỐI CHIẾU VỚI CHI TIẾT</v>
          </cell>
          <cell r="F10" t="str">
            <v>CƯỚC CHƯA KHUYẾN MÃI</v>
          </cell>
          <cell r="G10" t="str">
            <v>KHUYẾN MÃI</v>
          </cell>
          <cell r="H10" t="str">
            <v>VAT</v>
          </cell>
          <cell r="I10" t="str">
            <v>CƯỚC SỬ DỤNG</v>
          </cell>
        </row>
        <row r="11">
          <cell r="C11">
            <v>933805670</v>
          </cell>
          <cell r="D11">
            <v>221470.37</v>
          </cell>
          <cell r="E11">
            <v>933806026</v>
          </cell>
          <cell r="F11">
            <v>570960</v>
          </cell>
          <cell r="G11">
            <v>203615.89791711597</v>
          </cell>
          <cell r="H11">
            <v>36734.410208288406</v>
          </cell>
          <cell r="I11">
            <v>404078.51229117246</v>
          </cell>
        </row>
        <row r="12">
          <cell r="C12">
            <v>933805689</v>
          </cell>
          <cell r="D12">
            <v>264057.83</v>
          </cell>
          <cell r="E12">
            <v>933806102</v>
          </cell>
          <cell r="F12">
            <v>379093</v>
          </cell>
          <cell r="G12">
            <v>135192.240418056</v>
          </cell>
          <cell r="H12">
            <v>24390.0759581944</v>
          </cell>
          <cell r="I12">
            <v>268290.83554013842</v>
          </cell>
        </row>
        <row r="13">
          <cell r="C13">
            <v>933805619</v>
          </cell>
          <cell r="D13">
            <v>657011.35</v>
          </cell>
          <cell r="E13">
            <v>933806052</v>
          </cell>
          <cell r="F13">
            <v>284448</v>
          </cell>
          <cell r="G13">
            <v>101439.91686059935</v>
          </cell>
          <cell r="H13">
            <v>18300.808313940066</v>
          </cell>
          <cell r="I13">
            <v>201308.89145334071</v>
          </cell>
        </row>
        <row r="14">
          <cell r="C14">
            <v>933805940</v>
          </cell>
          <cell r="D14">
            <v>460434.83</v>
          </cell>
          <cell r="E14">
            <v>933806065</v>
          </cell>
          <cell r="F14">
            <v>682990</v>
          </cell>
          <cell r="G14">
            <v>243568.06452012583</v>
          </cell>
          <cell r="H14">
            <v>43942.193547987416</v>
          </cell>
          <cell r="I14">
            <v>483364.12902786158</v>
          </cell>
        </row>
        <row r="15">
          <cell r="C15">
            <v>933805688</v>
          </cell>
          <cell r="D15">
            <v>410881.64</v>
          </cell>
          <cell r="E15">
            <v>933806112</v>
          </cell>
          <cell r="F15">
            <v>216103.64</v>
          </cell>
          <cell r="G15">
            <v>77066.934114048592</v>
          </cell>
          <cell r="H15">
            <v>13903.670588595141</v>
          </cell>
          <cell r="I15">
            <v>152940.37647454656</v>
          </cell>
        </row>
        <row r="16">
          <cell r="C16">
            <v>933805600</v>
          </cell>
          <cell r="D16">
            <v>219508.91</v>
          </cell>
          <cell r="E16">
            <v>933806118</v>
          </cell>
          <cell r="F16">
            <v>772517</v>
          </cell>
          <cell r="G16">
            <v>275495.20563828759</v>
          </cell>
          <cell r="H16">
            <v>49702.179436171238</v>
          </cell>
          <cell r="I16">
            <v>546723.97379788361</v>
          </cell>
        </row>
        <row r="17">
          <cell r="C17">
            <v>933805954</v>
          </cell>
          <cell r="D17">
            <v>49090</v>
          </cell>
          <cell r="E17">
            <v>933806125</v>
          </cell>
          <cell r="F17">
            <v>374580</v>
          </cell>
          <cell r="G17">
            <v>133582.81322998687</v>
          </cell>
          <cell r="H17">
            <v>24099.71867700131</v>
          </cell>
          <cell r="I17">
            <v>265096.90544701443</v>
          </cell>
        </row>
        <row r="18">
          <cell r="C18">
            <v>933805998</v>
          </cell>
          <cell r="D18">
            <v>317512.55</v>
          </cell>
          <cell r="E18">
            <v>933806134</v>
          </cell>
          <cell r="F18">
            <v>94020</v>
          </cell>
          <cell r="G18">
            <v>33529.435901231685</v>
          </cell>
          <cell r="H18">
            <v>6049.0564098768309</v>
          </cell>
          <cell r="I18">
            <v>66539.620508645152</v>
          </cell>
        </row>
        <row r="19">
          <cell r="C19">
            <v>938213377</v>
          </cell>
          <cell r="D19">
            <v>96912.36</v>
          </cell>
          <cell r="E19">
            <v>933806136</v>
          </cell>
          <cell r="F19">
            <v>64445</v>
          </cell>
          <cell r="G19">
            <v>22982.392008667048</v>
          </cell>
          <cell r="H19">
            <v>4146.2607991332952</v>
          </cell>
          <cell r="I19">
            <v>45608.868790466251</v>
          </cell>
        </row>
        <row r="20">
          <cell r="C20">
            <v>933805714</v>
          </cell>
          <cell r="D20">
            <v>216040.49</v>
          </cell>
          <cell r="E20">
            <v>933806055</v>
          </cell>
          <cell r="F20">
            <v>307499</v>
          </cell>
          <cell r="G20">
            <v>109660.37024242546</v>
          </cell>
          <cell r="H20">
            <v>19783.862975757453</v>
          </cell>
          <cell r="I20">
            <v>217622.49273333198</v>
          </cell>
        </row>
        <row r="21">
          <cell r="C21">
            <v>933805956</v>
          </cell>
          <cell r="D21">
            <v>540299.48</v>
          </cell>
          <cell r="E21">
            <v>933806143</v>
          </cell>
          <cell r="F21">
            <v>232906</v>
          </cell>
          <cell r="G21">
            <v>83058.995937165149</v>
          </cell>
          <cell r="H21">
            <v>14984.700406283484</v>
          </cell>
          <cell r="I21">
            <v>164831.70446911833</v>
          </cell>
        </row>
        <row r="22">
          <cell r="C22">
            <v>933805957</v>
          </cell>
          <cell r="D22">
            <v>365329.62</v>
          </cell>
          <cell r="E22">
            <v>933805575</v>
          </cell>
          <cell r="F22">
            <v>173918</v>
          </cell>
          <cell r="G22">
            <v>62022.680632529373</v>
          </cell>
          <cell r="H22">
            <v>11189.531936747064</v>
          </cell>
          <cell r="I22">
            <v>123084.85130421769</v>
          </cell>
        </row>
        <row r="23">
          <cell r="C23">
            <v>933805962</v>
          </cell>
          <cell r="D23">
            <v>578672.64000000001</v>
          </cell>
          <cell r="E23">
            <v>933805659</v>
          </cell>
          <cell r="F23">
            <v>207045</v>
          </cell>
          <cell r="G23">
            <v>73836.439652951653</v>
          </cell>
          <cell r="H23">
            <v>13320.856034704833</v>
          </cell>
          <cell r="I23">
            <v>146529.41638175317</v>
          </cell>
        </row>
        <row r="24">
          <cell r="C24">
            <v>933805973</v>
          </cell>
          <cell r="D24">
            <v>344318.22</v>
          </cell>
          <cell r="E24">
            <v>933805738</v>
          </cell>
          <cell r="F24">
            <v>367686</v>
          </cell>
          <cell r="G24">
            <v>131124.27322676315</v>
          </cell>
          <cell r="H24">
            <v>23656.172677323684</v>
          </cell>
          <cell r="I24">
            <v>260217.89945056054</v>
          </cell>
        </row>
        <row r="25">
          <cell r="C25">
            <v>933805982</v>
          </cell>
          <cell r="D25">
            <v>331761.84000000003</v>
          </cell>
          <cell r="E25">
            <v>933805690</v>
          </cell>
          <cell r="F25">
            <v>391978</v>
          </cell>
          <cell r="G25">
            <v>139787.29233878956</v>
          </cell>
          <cell r="H25">
            <v>25219.070766121047</v>
          </cell>
          <cell r="I25">
            <v>277409.77842733148</v>
          </cell>
        </row>
        <row r="26">
          <cell r="C26">
            <v>933802802</v>
          </cell>
          <cell r="D26">
            <v>290883.19</v>
          </cell>
          <cell r="E26">
            <v>933805834</v>
          </cell>
          <cell r="F26">
            <v>293022.64</v>
          </cell>
          <cell r="G26">
            <v>104497.80712071568</v>
          </cell>
          <cell r="H26">
            <v>18852.483287928437</v>
          </cell>
          <cell r="I26">
            <v>207377.31616721279</v>
          </cell>
        </row>
        <row r="27">
          <cell r="C27">
            <v>933800678</v>
          </cell>
          <cell r="D27">
            <v>269204.53999999998</v>
          </cell>
          <cell r="E27">
            <v>933805812</v>
          </cell>
          <cell r="F27">
            <v>339477</v>
          </cell>
          <cell r="G27">
            <v>121064.37259564378</v>
          </cell>
          <cell r="H27">
            <v>21841.262740435617</v>
          </cell>
          <cell r="I27">
            <v>240253.8901447918</v>
          </cell>
        </row>
        <row r="28">
          <cell r="C28">
            <v>933805760</v>
          </cell>
          <cell r="D28">
            <v>102726</v>
          </cell>
          <cell r="E28">
            <v>933805944</v>
          </cell>
          <cell r="F28">
            <v>446883</v>
          </cell>
          <cell r="G28">
            <v>159367.52716283896</v>
          </cell>
          <cell r="H28">
            <v>28751.547283716103</v>
          </cell>
          <cell r="I28">
            <v>316267.02012087713</v>
          </cell>
        </row>
        <row r="29">
          <cell r="C29">
            <v>933805773</v>
          </cell>
          <cell r="D29">
            <v>114025.29</v>
          </cell>
          <cell r="E29">
            <v>933805947</v>
          </cell>
          <cell r="F29">
            <v>167363</v>
          </cell>
          <cell r="G29">
            <v>59685.034894042103</v>
          </cell>
          <cell r="H29">
            <v>10767.796510595792</v>
          </cell>
          <cell r="I29">
            <v>118445.7616165537</v>
          </cell>
        </row>
        <row r="30">
          <cell r="C30">
            <v>933805873</v>
          </cell>
          <cell r="D30">
            <v>622969.05000000005</v>
          </cell>
          <cell r="E30">
            <v>933805961</v>
          </cell>
          <cell r="F30">
            <v>538550</v>
          </cell>
          <cell r="G30">
            <v>192057.83561591496</v>
          </cell>
          <cell r="H30">
            <v>34649.216438408504</v>
          </cell>
          <cell r="I30">
            <v>381141.38082249358</v>
          </cell>
        </row>
        <row r="31">
          <cell r="C31">
            <v>933805588</v>
          </cell>
          <cell r="D31">
            <v>489797.32</v>
          </cell>
          <cell r="E31">
            <v>933805974</v>
          </cell>
          <cell r="F31">
            <v>414252</v>
          </cell>
          <cell r="G31">
            <v>147730.6517863968</v>
          </cell>
          <cell r="H31">
            <v>26652.13482136032</v>
          </cell>
          <cell r="I31">
            <v>293173.48303496349</v>
          </cell>
        </row>
        <row r="32">
          <cell r="C32">
            <v>933805727</v>
          </cell>
          <cell r="D32">
            <v>128283.05</v>
          </cell>
          <cell r="E32">
            <v>933805998</v>
          </cell>
          <cell r="F32">
            <v>1269320.6399999999</v>
          </cell>
          <cell r="G32">
            <v>452665.4439160857</v>
          </cell>
          <cell r="H32">
            <v>81665.519608391434</v>
          </cell>
          <cell r="I32">
            <v>898320.7156923057</v>
          </cell>
        </row>
        <row r="33">
          <cell r="C33">
            <v>933805871</v>
          </cell>
          <cell r="D33">
            <v>370821.56</v>
          </cell>
          <cell r="E33">
            <v>933803803</v>
          </cell>
          <cell r="F33">
            <v>472849</v>
          </cell>
          <cell r="G33">
            <v>168627.52857329824</v>
          </cell>
          <cell r="H33">
            <v>30422.147142670172</v>
          </cell>
          <cell r="I33">
            <v>334643.61856937193</v>
          </cell>
        </row>
        <row r="34">
          <cell r="C34">
            <v>933805589</v>
          </cell>
          <cell r="D34">
            <v>178079.7</v>
          </cell>
          <cell r="E34">
            <v>933800111</v>
          </cell>
          <cell r="F34">
            <v>154497</v>
          </cell>
          <cell r="G34">
            <v>55096.758758057767</v>
          </cell>
          <cell r="H34">
            <v>9940.0241241942222</v>
          </cell>
          <cell r="I34">
            <v>109340.26536613646</v>
          </cell>
        </row>
        <row r="35">
          <cell r="C35">
            <v>933805884</v>
          </cell>
          <cell r="D35">
            <v>779242.46</v>
          </cell>
          <cell r="E35">
            <v>933805939</v>
          </cell>
          <cell r="F35">
            <v>416311</v>
          </cell>
          <cell r="G35">
            <v>148464.93288106431</v>
          </cell>
          <cell r="H35">
            <v>26784.606711893572</v>
          </cell>
          <cell r="I35">
            <v>294630.67383082927</v>
          </cell>
        </row>
        <row r="36">
          <cell r="C36">
            <v>933805788</v>
          </cell>
          <cell r="D36">
            <v>335791.02</v>
          </cell>
          <cell r="E36">
            <v>938213377</v>
          </cell>
          <cell r="F36">
            <v>450110.64</v>
          </cell>
          <cell r="G36">
            <v>160518.5689464196</v>
          </cell>
          <cell r="H36">
            <v>28959.207105358037</v>
          </cell>
          <cell r="I36">
            <v>318551.2781589384</v>
          </cell>
        </row>
        <row r="37">
          <cell r="C37">
            <v>933805726</v>
          </cell>
          <cell r="D37">
            <v>169486.28</v>
          </cell>
          <cell r="E37">
            <v>933805971</v>
          </cell>
          <cell r="F37">
            <v>917731.45</v>
          </cell>
          <cell r="G37">
            <v>327281.61909507989</v>
          </cell>
          <cell r="H37">
            <v>59044.983090492009</v>
          </cell>
          <cell r="I37">
            <v>649494.81399541209</v>
          </cell>
        </row>
        <row r="38">
          <cell r="C38">
            <v>933805681</v>
          </cell>
          <cell r="D38">
            <v>354482.12</v>
          </cell>
          <cell r="E38">
            <v>933805973</v>
          </cell>
          <cell r="F38">
            <v>284402</v>
          </cell>
          <cell r="G38">
            <v>101423.5123291012</v>
          </cell>
          <cell r="H38">
            <v>18297.848767089879</v>
          </cell>
          <cell r="I38">
            <v>201276.33643798868</v>
          </cell>
        </row>
        <row r="39">
          <cell r="C39">
            <v>933805847</v>
          </cell>
          <cell r="D39">
            <v>252775.44</v>
          </cell>
          <cell r="E39">
            <v>933805983</v>
          </cell>
          <cell r="F39">
            <v>667628</v>
          </cell>
          <cell r="G39">
            <v>238089.66424024155</v>
          </cell>
          <cell r="H39">
            <v>42953.833575975848</v>
          </cell>
          <cell r="I39">
            <v>472492.16933573433</v>
          </cell>
        </row>
        <row r="40">
          <cell r="C40">
            <v>933805858</v>
          </cell>
          <cell r="D40">
            <v>672864.48</v>
          </cell>
          <cell r="E40">
            <v>933805805</v>
          </cell>
          <cell r="F40">
            <v>637009</v>
          </cell>
          <cell r="G40">
            <v>227170.30880671873</v>
          </cell>
          <cell r="H40">
            <v>40983.869119328127</v>
          </cell>
          <cell r="I40">
            <v>450822.56031260942</v>
          </cell>
        </row>
        <row r="41">
          <cell r="C41">
            <v>933804567</v>
          </cell>
          <cell r="D41">
            <v>411389.33</v>
          </cell>
          <cell r="E41">
            <v>933805769</v>
          </cell>
          <cell r="F41">
            <v>1028205.72</v>
          </cell>
          <cell r="G41">
            <v>366678.98087661958</v>
          </cell>
          <cell r="H41">
            <v>66152.673912338039</v>
          </cell>
          <cell r="I41">
            <v>727679.41303571849</v>
          </cell>
        </row>
        <row r="42">
          <cell r="C42">
            <v>933805731</v>
          </cell>
          <cell r="D42">
            <v>526241.5</v>
          </cell>
          <cell r="E42">
            <v>933805862</v>
          </cell>
          <cell r="F42">
            <v>196510</v>
          </cell>
          <cell r="G42">
            <v>70079.44531962389</v>
          </cell>
          <cell r="H42">
            <v>12643.05546803761</v>
          </cell>
          <cell r="I42">
            <v>139073.61014841372</v>
          </cell>
        </row>
        <row r="43">
          <cell r="C43">
            <v>933805649</v>
          </cell>
          <cell r="D43">
            <v>179258.62</v>
          </cell>
          <cell r="E43">
            <v>933805863</v>
          </cell>
          <cell r="F43">
            <v>782675</v>
          </cell>
          <cell r="G43">
            <v>279117.7541373804</v>
          </cell>
          <cell r="H43">
            <v>50355.72458626196</v>
          </cell>
          <cell r="I43">
            <v>553912.97044888162</v>
          </cell>
        </row>
        <row r="44">
          <cell r="C44">
            <v>933805650</v>
          </cell>
          <cell r="D44">
            <v>256338.61</v>
          </cell>
          <cell r="E44">
            <v>933805590</v>
          </cell>
          <cell r="F44">
            <v>324063</v>
          </cell>
          <cell r="G44">
            <v>115567.42806276157</v>
          </cell>
          <cell r="H44">
            <v>20849.557193723846</v>
          </cell>
          <cell r="I44">
            <v>229345.1291309623</v>
          </cell>
        </row>
        <row r="45">
          <cell r="C45">
            <v>933805653</v>
          </cell>
          <cell r="D45">
            <v>273675.19</v>
          </cell>
          <cell r="E45">
            <v>933805892</v>
          </cell>
          <cell r="F45">
            <v>665405.64</v>
          </cell>
          <cell r="G45">
            <v>237297.1256615406</v>
          </cell>
          <cell r="H45">
            <v>42810.851433845943</v>
          </cell>
          <cell r="I45">
            <v>470919.36577230535</v>
          </cell>
        </row>
        <row r="46">
          <cell r="C46">
            <v>933805846</v>
          </cell>
          <cell r="D46">
            <v>422530.99</v>
          </cell>
          <cell r="E46">
            <v>933805926</v>
          </cell>
          <cell r="F46">
            <v>395573</v>
          </cell>
          <cell r="G46">
            <v>141069.34213739546</v>
          </cell>
          <cell r="H46">
            <v>25450.365786260456</v>
          </cell>
          <cell r="I46">
            <v>279954.023648865</v>
          </cell>
        </row>
        <row r="47">
          <cell r="C47">
            <v>933805730</v>
          </cell>
          <cell r="D47">
            <v>49090</v>
          </cell>
          <cell r="E47">
            <v>908635555</v>
          </cell>
          <cell r="F47">
            <v>1041773.64</v>
          </cell>
          <cell r="G47">
            <v>371517.57589845581</v>
          </cell>
          <cell r="H47">
            <v>67025.606410154418</v>
          </cell>
          <cell r="I47">
            <v>737281.67051169858</v>
          </cell>
        </row>
        <row r="48">
          <cell r="C48">
            <v>933805712</v>
          </cell>
          <cell r="D48">
            <v>435483.18</v>
          </cell>
          <cell r="E48">
            <v>933805637</v>
          </cell>
          <cell r="F48">
            <v>257261</v>
          </cell>
          <cell r="G48">
            <v>91744.482124938993</v>
          </cell>
          <cell r="H48">
            <v>16551.651787506104</v>
          </cell>
          <cell r="I48">
            <v>182068.16966256712</v>
          </cell>
        </row>
        <row r="49">
          <cell r="C49">
            <v>933805646</v>
          </cell>
          <cell r="D49">
            <v>106365.83</v>
          </cell>
          <cell r="E49">
            <v>933805891</v>
          </cell>
          <cell r="F49">
            <v>440855</v>
          </cell>
          <cell r="G49">
            <v>157217.82029608058</v>
          </cell>
          <cell r="H49">
            <v>28363.717970391946</v>
          </cell>
          <cell r="I49">
            <v>312000.89767431142</v>
          </cell>
        </row>
        <row r="50">
          <cell r="C50">
            <v>933806141</v>
          </cell>
          <cell r="D50">
            <v>136400.23000000001</v>
          </cell>
          <cell r="E50">
            <v>933805909</v>
          </cell>
          <cell r="F50">
            <v>210916</v>
          </cell>
          <cell r="G50">
            <v>75216.916640546508</v>
          </cell>
          <cell r="H50">
            <v>13569.908335945347</v>
          </cell>
          <cell r="I50">
            <v>149268.99169539881</v>
          </cell>
        </row>
        <row r="51">
          <cell r="C51">
            <v>933806135</v>
          </cell>
          <cell r="D51">
            <v>215092.58</v>
          </cell>
          <cell r="E51">
            <v>933805933</v>
          </cell>
          <cell r="F51">
            <v>188503</v>
          </cell>
          <cell r="G51">
            <v>67223.986978194807</v>
          </cell>
          <cell r="H51">
            <v>12127.901302180519</v>
          </cell>
          <cell r="I51">
            <v>133406.91432398572</v>
          </cell>
        </row>
        <row r="52">
          <cell r="C52">
            <v>933806047</v>
          </cell>
          <cell r="D52">
            <v>369058.13</v>
          </cell>
          <cell r="E52">
            <v>933805941</v>
          </cell>
          <cell r="F52">
            <v>117550</v>
          </cell>
          <cell r="G52">
            <v>41920.710382788602</v>
          </cell>
          <cell r="H52">
            <v>7562.9289617211398</v>
          </cell>
          <cell r="I52">
            <v>83192.218578932545</v>
          </cell>
        </row>
        <row r="53">
          <cell r="C53">
            <v>933806129</v>
          </cell>
          <cell r="D53">
            <v>301479.08</v>
          </cell>
          <cell r="E53">
            <v>933805681</v>
          </cell>
          <cell r="F53">
            <v>496142.64</v>
          </cell>
          <cell r="G53">
            <v>176934.51229257463</v>
          </cell>
          <cell r="H53">
            <v>31920.812770742541</v>
          </cell>
          <cell r="I53">
            <v>351128.9404781679</v>
          </cell>
        </row>
        <row r="54">
          <cell r="C54">
            <v>933806102</v>
          </cell>
          <cell r="D54">
            <v>306923.13</v>
          </cell>
          <cell r="E54">
            <v>933805683</v>
          </cell>
          <cell r="F54">
            <v>304059</v>
          </cell>
          <cell r="G54">
            <v>108433.59658256335</v>
          </cell>
          <cell r="H54">
            <v>19562.540341743665</v>
          </cell>
          <cell r="I54">
            <v>215187.94375918031</v>
          </cell>
        </row>
        <row r="55">
          <cell r="C55">
            <v>933805609</v>
          </cell>
          <cell r="D55">
            <v>506592.08</v>
          </cell>
          <cell r="E55">
            <v>933806003</v>
          </cell>
          <cell r="F55">
            <v>253433</v>
          </cell>
          <cell r="G55">
            <v>90379.339808092423</v>
          </cell>
          <cell r="H55">
            <v>16305.366019190757</v>
          </cell>
          <cell r="I55">
            <v>179359.02621109833</v>
          </cell>
        </row>
        <row r="56">
          <cell r="C56">
            <v>933806327</v>
          </cell>
          <cell r="D56">
            <v>379668.61</v>
          </cell>
          <cell r="E56">
            <v>933805574</v>
          </cell>
          <cell r="F56">
            <v>67733</v>
          </cell>
          <cell r="G56">
            <v>24154.959390535267</v>
          </cell>
          <cell r="H56">
            <v>4357.8040609464733</v>
          </cell>
          <cell r="I56">
            <v>47935.844670411207</v>
          </cell>
        </row>
        <row r="57">
          <cell r="C57">
            <v>933806204</v>
          </cell>
          <cell r="D57">
            <v>545440.02</v>
          </cell>
          <cell r="E57">
            <v>933805624</v>
          </cell>
          <cell r="F57">
            <v>565800</v>
          </cell>
          <cell r="G57">
            <v>201775.73742732278</v>
          </cell>
          <cell r="H57">
            <v>36402.426257267725</v>
          </cell>
          <cell r="I57">
            <v>400426.68882994493</v>
          </cell>
        </row>
        <row r="58">
          <cell r="C58">
            <v>933806233</v>
          </cell>
          <cell r="D58">
            <v>239187.76</v>
          </cell>
          <cell r="E58">
            <v>933805638</v>
          </cell>
          <cell r="F58">
            <v>44545</v>
          </cell>
          <cell r="G58">
            <v>15885.649034464639</v>
          </cell>
          <cell r="H58">
            <v>2865.9350965535359</v>
          </cell>
          <cell r="I58">
            <v>31525.286062088897</v>
          </cell>
        </row>
        <row r="59">
          <cell r="C59">
            <v>933806235</v>
          </cell>
          <cell r="D59">
            <v>911271.85</v>
          </cell>
          <cell r="E59">
            <v>933805958</v>
          </cell>
          <cell r="F59">
            <v>97637.27</v>
          </cell>
          <cell r="G59">
            <v>34819.427632804211</v>
          </cell>
          <cell r="H59">
            <v>6281.784236719579</v>
          </cell>
          <cell r="I59">
            <v>69099.626603915371</v>
          </cell>
        </row>
        <row r="60">
          <cell r="C60">
            <v>933806092</v>
          </cell>
          <cell r="D60">
            <v>1042788.35</v>
          </cell>
          <cell r="E60">
            <v>933805840</v>
          </cell>
          <cell r="F60">
            <v>410142</v>
          </cell>
          <cell r="G60">
            <v>146264.94255906154</v>
          </cell>
          <cell r="H60">
            <v>26387.705744093844</v>
          </cell>
          <cell r="I60">
            <v>290264.76318503229</v>
          </cell>
        </row>
        <row r="61">
          <cell r="C61">
            <v>933806223</v>
          </cell>
          <cell r="D61">
            <v>242902.37</v>
          </cell>
          <cell r="E61">
            <v>933805849</v>
          </cell>
          <cell r="F61">
            <v>421626</v>
          </cell>
          <cell r="G61">
            <v>150360.36950960127</v>
          </cell>
          <cell r="H61">
            <v>27126.563049039873</v>
          </cell>
          <cell r="I61">
            <v>298392.19353943859</v>
          </cell>
        </row>
        <row r="62">
          <cell r="C62">
            <v>933806245</v>
          </cell>
          <cell r="D62">
            <v>1166238.95</v>
          </cell>
          <cell r="E62">
            <v>933805713</v>
          </cell>
          <cell r="F62">
            <v>303535</v>
          </cell>
          <cell r="G62">
            <v>108246.72757158434</v>
          </cell>
          <cell r="H62">
            <v>19528.827242841566</v>
          </cell>
          <cell r="I62">
            <v>214817.09967125722</v>
          </cell>
        </row>
        <row r="63">
          <cell r="C63">
            <v>933806250</v>
          </cell>
          <cell r="D63">
            <v>557792.5</v>
          </cell>
          <cell r="E63">
            <v>933805716</v>
          </cell>
          <cell r="F63">
            <v>322759</v>
          </cell>
          <cell r="G63">
            <v>115102.39525681385</v>
          </cell>
          <cell r="H63">
            <v>20765.660474318614</v>
          </cell>
          <cell r="I63">
            <v>228422.26521750476</v>
          </cell>
        </row>
        <row r="64">
          <cell r="C64">
            <v>933806254</v>
          </cell>
          <cell r="D64">
            <v>406643.65</v>
          </cell>
          <cell r="E64">
            <v>933806387</v>
          </cell>
          <cell r="F64">
            <v>254163.91</v>
          </cell>
          <cell r="G64">
            <v>90639.997114990634</v>
          </cell>
          <cell r="H64">
            <v>16352.391288500936</v>
          </cell>
          <cell r="I64">
            <v>179876.30417351032</v>
          </cell>
        </row>
        <row r="65">
          <cell r="C65">
            <v>933806335</v>
          </cell>
          <cell r="D65">
            <v>207734.05</v>
          </cell>
          <cell r="E65">
            <v>933806397</v>
          </cell>
          <cell r="F65">
            <v>256427.28</v>
          </cell>
          <cell r="G65">
            <v>91447.160690142409</v>
          </cell>
          <cell r="H65">
            <v>16498.011930985762</v>
          </cell>
          <cell r="I65">
            <v>181478.13124084336</v>
          </cell>
        </row>
        <row r="66">
          <cell r="C66">
            <v>933806217</v>
          </cell>
          <cell r="D66">
            <v>164746.44</v>
          </cell>
          <cell r="E66">
            <v>933806407</v>
          </cell>
          <cell r="F66">
            <v>140606.64000000001</v>
          </cell>
          <cell r="G66">
            <v>50143.175102824505</v>
          </cell>
          <cell r="H66">
            <v>9046.3464897175509</v>
          </cell>
          <cell r="I66">
            <v>99509.811386893067</v>
          </cell>
        </row>
        <row r="67">
          <cell r="C67">
            <v>933806617</v>
          </cell>
          <cell r="D67">
            <v>1239135.02</v>
          </cell>
          <cell r="E67">
            <v>933806318</v>
          </cell>
          <cell r="F67">
            <v>314191.09000000003</v>
          </cell>
          <cell r="G67">
            <v>112046.90505097977</v>
          </cell>
          <cell r="H67">
            <v>20214.418494902027</v>
          </cell>
          <cell r="I67">
            <v>222358.6034439223</v>
          </cell>
        </row>
        <row r="68">
          <cell r="C68">
            <v>933806498</v>
          </cell>
          <cell r="D68">
            <v>377581.02</v>
          </cell>
          <cell r="E68">
            <v>933806495</v>
          </cell>
          <cell r="F68">
            <v>514871.64</v>
          </cell>
          <cell r="G68">
            <v>183613.65295407397</v>
          </cell>
          <cell r="H68">
            <v>33125.798704592606</v>
          </cell>
          <cell r="I68">
            <v>364383.78575051867</v>
          </cell>
        </row>
        <row r="69">
          <cell r="C69">
            <v>933805896</v>
          </cell>
          <cell r="D69">
            <v>617489.21</v>
          </cell>
          <cell r="E69">
            <v>933806435</v>
          </cell>
          <cell r="F69">
            <v>324028</v>
          </cell>
          <cell r="G69">
            <v>115554.94635401298</v>
          </cell>
          <cell r="H69">
            <v>20847.305364598702</v>
          </cell>
          <cell r="I69">
            <v>229320.3590105857</v>
          </cell>
        </row>
        <row r="70">
          <cell r="C70">
            <v>933806329</v>
          </cell>
          <cell r="D70">
            <v>101344.56</v>
          </cell>
          <cell r="E70">
            <v>933805795</v>
          </cell>
          <cell r="F70">
            <v>160297</v>
          </cell>
          <cell r="G70">
            <v>57165.156207825305</v>
          </cell>
          <cell r="H70">
            <v>10313.18437921747</v>
          </cell>
          <cell r="I70">
            <v>113445.02817139216</v>
          </cell>
        </row>
        <row r="71">
          <cell r="C71">
            <v>933806475</v>
          </cell>
          <cell r="D71">
            <v>146283.9</v>
          </cell>
          <cell r="E71">
            <v>933806069</v>
          </cell>
          <cell r="F71">
            <v>357781</v>
          </cell>
          <cell r="G71">
            <v>127591.94965091016</v>
          </cell>
          <cell r="H71">
            <v>23018.905034908981</v>
          </cell>
          <cell r="I71">
            <v>253207.95538399881</v>
          </cell>
        </row>
        <row r="72">
          <cell r="C72">
            <v>933806429</v>
          </cell>
          <cell r="D72">
            <v>166074.91</v>
          </cell>
          <cell r="E72">
            <v>933806432</v>
          </cell>
          <cell r="F72">
            <v>239857</v>
          </cell>
          <cell r="G72">
            <v>85537.86329463654</v>
          </cell>
          <cell r="H72">
            <v>15431.913670536345</v>
          </cell>
          <cell r="I72">
            <v>169751.05037589979</v>
          </cell>
        </row>
        <row r="73">
          <cell r="C73">
            <v>933805599</v>
          </cell>
          <cell r="D73">
            <v>598408.43999999994</v>
          </cell>
          <cell r="E73">
            <v>933805599</v>
          </cell>
          <cell r="F73">
            <v>653160</v>
          </cell>
          <cell r="G73">
            <v>232930.0824638214</v>
          </cell>
          <cell r="H73">
            <v>42022.991753617862</v>
          </cell>
          <cell r="I73">
            <v>462252.90928979649</v>
          </cell>
        </row>
        <row r="74">
          <cell r="C74">
            <v>933806460</v>
          </cell>
          <cell r="D74">
            <v>171465.73</v>
          </cell>
          <cell r="E74">
            <v>933806471</v>
          </cell>
          <cell r="F74">
            <v>535353.64</v>
          </cell>
          <cell r="G74">
            <v>190917.94891375306</v>
          </cell>
          <cell r="H74">
            <v>34443.569108624702</v>
          </cell>
          <cell r="I74">
            <v>378879.26019487169</v>
          </cell>
        </row>
        <row r="75">
          <cell r="C75">
            <v>933806543</v>
          </cell>
          <cell r="D75">
            <v>483498.05</v>
          </cell>
          <cell r="E75">
            <v>933806496</v>
          </cell>
          <cell r="F75">
            <v>410335</v>
          </cell>
          <cell r="G75">
            <v>146333.7702673038</v>
          </cell>
          <cell r="H75">
            <v>26400.122973269619</v>
          </cell>
          <cell r="I75">
            <v>290401.35270596581</v>
          </cell>
        </row>
        <row r="76">
          <cell r="C76">
            <v>933806943</v>
          </cell>
          <cell r="D76">
            <v>102027.77</v>
          </cell>
          <cell r="E76">
            <v>933806613</v>
          </cell>
          <cell r="F76">
            <v>268050</v>
          </cell>
          <cell r="G76">
            <v>95592.058001756566</v>
          </cell>
          <cell r="H76">
            <v>17245.794199824344</v>
          </cell>
          <cell r="I76">
            <v>189703.73619806778</v>
          </cell>
        </row>
        <row r="77">
          <cell r="C77">
            <v>933806463</v>
          </cell>
          <cell r="D77">
            <v>252121.48</v>
          </cell>
          <cell r="E77">
            <v>933806615</v>
          </cell>
          <cell r="F77">
            <v>92342</v>
          </cell>
          <cell r="G77">
            <v>32931.027121798936</v>
          </cell>
          <cell r="H77">
            <v>5941.0972878201064</v>
          </cell>
          <cell r="I77">
            <v>65352.070166021171</v>
          </cell>
        </row>
        <row r="78">
          <cell r="C78">
            <v>933806492</v>
          </cell>
          <cell r="D78">
            <v>241141.73</v>
          </cell>
          <cell r="E78">
            <v>933805674</v>
          </cell>
          <cell r="F78">
            <v>454091</v>
          </cell>
          <cell r="G78">
            <v>161938.04592455007</v>
          </cell>
          <cell r="H78">
            <v>29215.295407545</v>
          </cell>
          <cell r="I78">
            <v>321368.24948299496</v>
          </cell>
        </row>
        <row r="79">
          <cell r="C79">
            <v>933806238</v>
          </cell>
          <cell r="D79">
            <v>391078.96</v>
          </cell>
          <cell r="E79">
            <v>933806211</v>
          </cell>
          <cell r="F79">
            <v>510567</v>
          </cell>
          <cell r="G79">
            <v>182078.53116128649</v>
          </cell>
          <cell r="H79">
            <v>32848.846883871352</v>
          </cell>
          <cell r="I79">
            <v>361337.31572258484</v>
          </cell>
        </row>
        <row r="80">
          <cell r="C80">
            <v>933806713</v>
          </cell>
          <cell r="D80">
            <v>998611.98</v>
          </cell>
          <cell r="E80">
            <v>933805576</v>
          </cell>
          <cell r="F80">
            <v>356762</v>
          </cell>
          <cell r="G80">
            <v>127228.553616201</v>
          </cell>
          <cell r="H80">
            <v>22953.344638379902</v>
          </cell>
          <cell r="I80">
            <v>252486.79102217892</v>
          </cell>
        </row>
        <row r="81">
          <cell r="C81">
            <v>933806904</v>
          </cell>
          <cell r="D81">
            <v>608337.56000000006</v>
          </cell>
          <cell r="E81">
            <v>933806184</v>
          </cell>
          <cell r="F81">
            <v>443045</v>
          </cell>
          <cell r="G81">
            <v>157998.81864349279</v>
          </cell>
          <cell r="H81">
            <v>28504.618135650726</v>
          </cell>
          <cell r="I81">
            <v>313550.79949215794</v>
          </cell>
        </row>
        <row r="82">
          <cell r="C82">
            <v>933806729</v>
          </cell>
          <cell r="D82">
            <v>238341.61</v>
          </cell>
          <cell r="E82">
            <v>933807486</v>
          </cell>
          <cell r="F82">
            <v>273952</v>
          </cell>
          <cell r="G82">
            <v>97696.830717020028</v>
          </cell>
          <cell r="H82">
            <v>17625.516928297999</v>
          </cell>
          <cell r="I82">
            <v>193880.68621127796</v>
          </cell>
        </row>
        <row r="83">
          <cell r="C83">
            <v>933806593</v>
          </cell>
          <cell r="D83">
            <v>143328.78</v>
          </cell>
          <cell r="E83">
            <v>933806268</v>
          </cell>
          <cell r="F83">
            <v>313846</v>
          </cell>
          <cell r="G83">
            <v>111923.83896892107</v>
          </cell>
          <cell r="H83">
            <v>20192.21610310789</v>
          </cell>
          <cell r="I83">
            <v>222114.37713418683</v>
          </cell>
        </row>
        <row r="84">
          <cell r="C84">
            <v>933806692</v>
          </cell>
          <cell r="D84">
            <v>247683.76</v>
          </cell>
          <cell r="E84">
            <v>933805928</v>
          </cell>
          <cell r="F84">
            <v>538316</v>
          </cell>
          <cell r="G84">
            <v>191974.38647742433</v>
          </cell>
          <cell r="H84">
            <v>34634.161352257572</v>
          </cell>
          <cell r="I84">
            <v>380975.7748748333</v>
          </cell>
        </row>
        <row r="85">
          <cell r="C85">
            <v>933806541</v>
          </cell>
          <cell r="D85">
            <v>608402.93000000005</v>
          </cell>
          <cell r="E85">
            <v>933806287</v>
          </cell>
          <cell r="F85">
            <v>350790</v>
          </cell>
          <cell r="G85">
            <v>125098.81748344038</v>
          </cell>
          <cell r="H85">
            <v>22569.11825165596</v>
          </cell>
          <cell r="I85">
            <v>248260.30076821556</v>
          </cell>
        </row>
        <row r="86">
          <cell r="C86">
            <v>933806455</v>
          </cell>
          <cell r="D86">
            <v>639281.67000000004</v>
          </cell>
          <cell r="E86">
            <v>933806365</v>
          </cell>
          <cell r="F86">
            <v>309402</v>
          </cell>
          <cell r="G86">
            <v>110339.01857809919</v>
          </cell>
          <cell r="H86">
            <v>19906.29814219008</v>
          </cell>
          <cell r="I86">
            <v>218969.27956409089</v>
          </cell>
        </row>
        <row r="87">
          <cell r="C87">
            <v>933806301</v>
          </cell>
          <cell r="D87">
            <v>682971.72</v>
          </cell>
          <cell r="E87">
            <v>933805801</v>
          </cell>
          <cell r="F87">
            <v>983678.64</v>
          </cell>
          <cell r="G87">
            <v>350799.7224770342</v>
          </cell>
          <cell r="H87">
            <v>63287.891752296586</v>
          </cell>
          <cell r="I87">
            <v>696166.80927526241</v>
          </cell>
        </row>
        <row r="88">
          <cell r="C88">
            <v>933806341</v>
          </cell>
          <cell r="D88">
            <v>221220.8</v>
          </cell>
          <cell r="E88">
            <v>933806224</v>
          </cell>
          <cell r="F88">
            <v>277554</v>
          </cell>
          <cell r="G88">
            <v>98981.376857375653</v>
          </cell>
          <cell r="H88">
            <v>17857.262314262432</v>
          </cell>
          <cell r="I88">
            <v>196429.88545688675</v>
          </cell>
        </row>
        <row r="89">
          <cell r="C89">
            <v>933806396</v>
          </cell>
          <cell r="D89">
            <v>220247.82</v>
          </cell>
          <cell r="E89">
            <v>933805908</v>
          </cell>
          <cell r="F89">
            <v>316671</v>
          </cell>
          <cell r="G89">
            <v>112931.29117505785</v>
          </cell>
          <cell r="H89">
            <v>20373.970882494214</v>
          </cell>
          <cell r="I89">
            <v>224113.67970743636</v>
          </cell>
        </row>
        <row r="90">
          <cell r="C90">
            <v>933806419</v>
          </cell>
          <cell r="D90">
            <v>785384.72</v>
          </cell>
          <cell r="E90">
            <v>933806230</v>
          </cell>
          <cell r="F90">
            <v>455860</v>
          </cell>
          <cell r="G90">
            <v>162568.90714672915</v>
          </cell>
          <cell r="H90">
            <v>29329.109285327086</v>
          </cell>
          <cell r="I90">
            <v>322620.2021385979</v>
          </cell>
        </row>
        <row r="91">
          <cell r="C91">
            <v>933806318</v>
          </cell>
          <cell r="D91">
            <v>149372.92000000001</v>
          </cell>
          <cell r="E91">
            <v>933806349</v>
          </cell>
          <cell r="F91">
            <v>961839</v>
          </cell>
          <cell r="G91">
            <v>343011.2646011996</v>
          </cell>
          <cell r="H91">
            <v>61882.773539880029</v>
          </cell>
          <cell r="I91">
            <v>680710.5089386804</v>
          </cell>
        </row>
        <row r="92">
          <cell r="C92">
            <v>933805978</v>
          </cell>
          <cell r="D92">
            <v>407616.61</v>
          </cell>
          <cell r="E92">
            <v>933806347</v>
          </cell>
          <cell r="F92">
            <v>164263</v>
          </cell>
          <cell r="G92">
            <v>58579.512119166349</v>
          </cell>
          <cell r="H92">
            <v>10568.348788083365</v>
          </cell>
          <cell r="I92">
            <v>116251.83666891702</v>
          </cell>
        </row>
        <row r="93">
          <cell r="C93">
            <v>933806320</v>
          </cell>
          <cell r="D93">
            <v>598291.96</v>
          </cell>
          <cell r="E93">
            <v>933805856</v>
          </cell>
          <cell r="F93">
            <v>164603</v>
          </cell>
          <cell r="G93">
            <v>58700.763004152723</v>
          </cell>
          <cell r="H93">
            <v>10590.223699584729</v>
          </cell>
          <cell r="I93">
            <v>116492.46069543202</v>
          </cell>
        </row>
        <row r="94">
          <cell r="C94">
            <v>903702029</v>
          </cell>
          <cell r="D94">
            <v>175521.29</v>
          </cell>
          <cell r="E94">
            <v>933805251</v>
          </cell>
          <cell r="F94">
            <v>147588</v>
          </cell>
          <cell r="G94">
            <v>52632.869451084684</v>
          </cell>
          <cell r="H94">
            <v>9495.5130548915313</v>
          </cell>
          <cell r="I94">
            <v>104450.64360380685</v>
          </cell>
        </row>
        <row r="95">
          <cell r="C95">
            <v>933806398</v>
          </cell>
          <cell r="D95">
            <v>48759.61</v>
          </cell>
          <cell r="E95">
            <v>933805277</v>
          </cell>
          <cell r="F95">
            <v>195333</v>
          </cell>
          <cell r="G95">
            <v>69659.70328542107</v>
          </cell>
          <cell r="H95">
            <v>12567.329671457894</v>
          </cell>
          <cell r="I95">
            <v>138240.62638603683</v>
          </cell>
        </row>
        <row r="96">
          <cell r="C96">
            <v>933806046</v>
          </cell>
          <cell r="D96">
            <v>351015.87</v>
          </cell>
          <cell r="E96">
            <v>933805299</v>
          </cell>
          <cell r="F96">
            <v>465034</v>
          </cell>
          <cell r="G96">
            <v>165840.54131986148</v>
          </cell>
          <cell r="H96">
            <v>29919.34586801385</v>
          </cell>
          <cell r="I96">
            <v>329112.80454815237</v>
          </cell>
        </row>
        <row r="97">
          <cell r="C97">
            <v>933805289</v>
          </cell>
          <cell r="D97">
            <v>783637.44</v>
          </cell>
          <cell r="E97">
            <v>933805328</v>
          </cell>
          <cell r="F97">
            <v>312102.36</v>
          </cell>
          <cell r="G97">
            <v>111302.02163628094</v>
          </cell>
          <cell r="H97">
            <v>20080.033836371906</v>
          </cell>
          <cell r="I97">
            <v>220880.37220009096</v>
          </cell>
        </row>
        <row r="98">
          <cell r="C98">
            <v>933805321</v>
          </cell>
          <cell r="D98">
            <v>611035.25</v>
          </cell>
          <cell r="E98">
            <v>933805334</v>
          </cell>
          <cell r="F98">
            <v>295581.64</v>
          </cell>
          <cell r="G98">
            <v>105410.39834036311</v>
          </cell>
          <cell r="H98">
            <v>19017.124165963687</v>
          </cell>
          <cell r="I98">
            <v>209188.36582560057</v>
          </cell>
        </row>
        <row r="99">
          <cell r="C99">
            <v>933805885</v>
          </cell>
          <cell r="D99">
            <v>299357.39</v>
          </cell>
          <cell r="E99">
            <v>938805124</v>
          </cell>
          <cell r="F99">
            <v>788690.28</v>
          </cell>
          <cell r="G99">
            <v>281262.92479455937</v>
          </cell>
          <cell r="H99">
            <v>50742.735520544069</v>
          </cell>
          <cell r="I99">
            <v>558170.09072598477</v>
          </cell>
        </row>
        <row r="100">
          <cell r="C100">
            <v>933805213</v>
          </cell>
          <cell r="D100">
            <v>276914.92</v>
          </cell>
          <cell r="E100">
            <v>933805340</v>
          </cell>
          <cell r="F100">
            <v>160734.64000000001</v>
          </cell>
          <cell r="G100">
            <v>57321.227494017767</v>
          </cell>
          <cell r="H100">
            <v>10341.341250598223</v>
          </cell>
          <cell r="I100">
            <v>113754.75375658047</v>
          </cell>
        </row>
        <row r="101">
          <cell r="C101">
            <v>933805351</v>
          </cell>
          <cell r="D101">
            <v>144087.35</v>
          </cell>
          <cell r="E101">
            <v>933805135</v>
          </cell>
          <cell r="F101">
            <v>232248</v>
          </cell>
          <cell r="G101">
            <v>82824.339812691527</v>
          </cell>
          <cell r="H101">
            <v>14942.366018730847</v>
          </cell>
          <cell r="I101">
            <v>164366.02620603933</v>
          </cell>
        </row>
        <row r="102">
          <cell r="C102">
            <v>933805263</v>
          </cell>
          <cell r="D102">
            <v>80646.62</v>
          </cell>
          <cell r="E102">
            <v>933805273</v>
          </cell>
          <cell r="F102">
            <v>645567</v>
          </cell>
          <cell r="G102">
            <v>230222.26490587572</v>
          </cell>
          <cell r="H102">
            <v>41534.473509412426</v>
          </cell>
          <cell r="I102">
            <v>456879.20860353671</v>
          </cell>
        </row>
        <row r="103">
          <cell r="C103">
            <v>938805074</v>
          </cell>
          <cell r="D103">
            <v>457673.38</v>
          </cell>
          <cell r="E103">
            <v>933805615</v>
          </cell>
          <cell r="F103">
            <v>255032</v>
          </cell>
          <cell r="G103">
            <v>90949.575587778338</v>
          </cell>
          <cell r="H103">
            <v>16408.242441222166</v>
          </cell>
          <cell r="I103">
            <v>180490.66685344381</v>
          </cell>
        </row>
        <row r="104">
          <cell r="C104">
            <v>933806271</v>
          </cell>
          <cell r="D104">
            <v>143463.46</v>
          </cell>
          <cell r="E104">
            <v>933805972</v>
          </cell>
          <cell r="F104">
            <v>160368</v>
          </cell>
          <cell r="G104">
            <v>57190.476245572463</v>
          </cell>
          <cell r="H104">
            <v>10317.752375442753</v>
          </cell>
          <cell r="I104">
            <v>113495.27612987028</v>
          </cell>
        </row>
        <row r="105">
          <cell r="C105">
            <v>938805069</v>
          </cell>
          <cell r="D105">
            <v>212216.53</v>
          </cell>
          <cell r="E105">
            <v>938508135</v>
          </cell>
          <cell r="F105">
            <v>322657.45</v>
          </cell>
          <cell r="G105">
            <v>115066.18047043042</v>
          </cell>
          <cell r="H105">
            <v>20759.126952956962</v>
          </cell>
          <cell r="I105">
            <v>228350.39648252656</v>
          </cell>
        </row>
        <row r="106">
          <cell r="C106">
            <v>933806627</v>
          </cell>
          <cell r="D106">
            <v>428952.44</v>
          </cell>
          <cell r="E106">
            <v>933806942</v>
          </cell>
          <cell r="F106">
            <v>281797</v>
          </cell>
          <cell r="G106">
            <v>100494.5165779556</v>
          </cell>
          <cell r="H106">
            <v>18130.248342204442</v>
          </cell>
          <cell r="I106">
            <v>199432.73176424883</v>
          </cell>
        </row>
        <row r="107">
          <cell r="C107">
            <v>938508133</v>
          </cell>
          <cell r="D107">
            <v>369006.39</v>
          </cell>
          <cell r="E107">
            <v>933806696</v>
          </cell>
          <cell r="F107">
            <v>455160</v>
          </cell>
          <cell r="G107">
            <v>162319.27297175722</v>
          </cell>
          <cell r="H107">
            <v>29284.072702824276</v>
          </cell>
          <cell r="I107">
            <v>322124.79973106703</v>
          </cell>
        </row>
        <row r="108">
          <cell r="C108">
            <v>933805639</v>
          </cell>
          <cell r="D108">
            <v>491609.28</v>
          </cell>
          <cell r="E108">
            <v>933806691</v>
          </cell>
          <cell r="F108">
            <v>471630.64</v>
          </cell>
          <cell r="G108">
            <v>168193.03672555709</v>
          </cell>
          <cell r="H108">
            <v>30343.760327444295</v>
          </cell>
          <cell r="I108">
            <v>333781.36360188725</v>
          </cell>
        </row>
        <row r="109">
          <cell r="C109">
            <v>933805356</v>
          </cell>
          <cell r="D109">
            <v>1371621.9</v>
          </cell>
          <cell r="E109">
            <v>933805186</v>
          </cell>
          <cell r="F109">
            <v>391958.96</v>
          </cell>
          <cell r="G109">
            <v>139780.50228923032</v>
          </cell>
          <cell r="H109">
            <v>25217.845771076969</v>
          </cell>
          <cell r="I109">
            <v>277396.30348184664</v>
          </cell>
        </row>
        <row r="110">
          <cell r="C110">
            <v>933800555</v>
          </cell>
          <cell r="D110">
            <v>436481.89</v>
          </cell>
          <cell r="E110">
            <v>933805187</v>
          </cell>
          <cell r="F110">
            <v>614066</v>
          </cell>
          <cell r="G110">
            <v>218988.37041188826</v>
          </cell>
          <cell r="H110">
            <v>39507.762958811174</v>
          </cell>
          <cell r="I110">
            <v>434585.39254692296</v>
          </cell>
        </row>
        <row r="111">
          <cell r="C111">
            <v>933806548</v>
          </cell>
          <cell r="D111">
            <v>322102.92</v>
          </cell>
          <cell r="E111">
            <v>933805184</v>
          </cell>
          <cell r="F111">
            <v>305512</v>
          </cell>
          <cell r="G111">
            <v>108951.7658057551</v>
          </cell>
          <cell r="H111">
            <v>19656.023419424491</v>
          </cell>
          <cell r="I111">
            <v>216216.25761366938</v>
          </cell>
        </row>
        <row r="112">
          <cell r="C112">
            <v>938508141</v>
          </cell>
          <cell r="D112">
            <v>378745.71</v>
          </cell>
          <cell r="E112">
            <v>933806660</v>
          </cell>
          <cell r="F112">
            <v>346899</v>
          </cell>
          <cell r="G112">
            <v>123711.20809084631</v>
          </cell>
          <cell r="H112">
            <v>22318.779190915368</v>
          </cell>
          <cell r="I112">
            <v>245506.57110006906</v>
          </cell>
        </row>
        <row r="113">
          <cell r="C113">
            <v>938508149</v>
          </cell>
          <cell r="D113">
            <v>401069.41</v>
          </cell>
          <cell r="E113">
            <v>933806946</v>
          </cell>
          <cell r="F113">
            <v>271794</v>
          </cell>
          <cell r="G113">
            <v>96927.244217606523</v>
          </cell>
          <cell r="H113">
            <v>17486.675578239348</v>
          </cell>
          <cell r="I113">
            <v>192353.43136063282</v>
          </cell>
        </row>
        <row r="114">
          <cell r="C114">
            <v>933806732</v>
          </cell>
          <cell r="D114">
            <v>400766.07</v>
          </cell>
          <cell r="E114">
            <v>933806945</v>
          </cell>
          <cell r="F114">
            <v>301953</v>
          </cell>
          <cell r="G114">
            <v>107682.55433614775</v>
          </cell>
          <cell r="H114">
            <v>19427.044566385226</v>
          </cell>
          <cell r="I114">
            <v>213697.49023023748</v>
          </cell>
        </row>
        <row r="115">
          <cell r="C115">
            <v>933806697</v>
          </cell>
          <cell r="D115">
            <v>294193.58</v>
          </cell>
          <cell r="E115">
            <v>933805178</v>
          </cell>
          <cell r="F115">
            <v>685641</v>
          </cell>
          <cell r="G115">
            <v>244513.46480276959</v>
          </cell>
          <cell r="H115">
            <v>44112.753519723046</v>
          </cell>
          <cell r="I115">
            <v>485240.28871695348</v>
          </cell>
        </row>
        <row r="116">
          <cell r="C116">
            <v>933805142</v>
          </cell>
          <cell r="D116">
            <v>325789</v>
          </cell>
          <cell r="E116">
            <v>933806944</v>
          </cell>
          <cell r="F116">
            <v>487332</v>
          </cell>
          <cell r="G116">
            <v>173792.45965346778</v>
          </cell>
          <cell r="H116">
            <v>31353.954034653223</v>
          </cell>
          <cell r="I116">
            <v>344893.49438118545</v>
          </cell>
        </row>
        <row r="117">
          <cell r="C117">
            <v>933805197</v>
          </cell>
          <cell r="D117">
            <v>284200.92</v>
          </cell>
          <cell r="E117">
            <v>933806744</v>
          </cell>
          <cell r="F117">
            <v>227615</v>
          </cell>
          <cell r="G117">
            <v>81172.118194627212</v>
          </cell>
          <cell r="H117">
            <v>14644.288180537278</v>
          </cell>
          <cell r="I117">
            <v>161087.16998591006</v>
          </cell>
        </row>
        <row r="118">
          <cell r="C118">
            <v>933806944</v>
          </cell>
          <cell r="D118">
            <v>302021.21000000002</v>
          </cell>
          <cell r="E118">
            <v>938805331</v>
          </cell>
          <cell r="F118">
            <v>305522</v>
          </cell>
          <cell r="G118">
            <v>108955.3320082547</v>
          </cell>
          <cell r="H118">
            <v>19656.666799174527</v>
          </cell>
          <cell r="I118">
            <v>216223.33479091982</v>
          </cell>
        </row>
        <row r="119">
          <cell r="C119">
            <v>933805207</v>
          </cell>
          <cell r="D119">
            <v>265098.12</v>
          </cell>
          <cell r="E119">
            <v>938805381</v>
          </cell>
          <cell r="F119">
            <v>44545</v>
          </cell>
          <cell r="G119">
            <v>15885.649034464639</v>
          </cell>
          <cell r="H119">
            <v>2865.9350965535359</v>
          </cell>
          <cell r="I119">
            <v>31525.286062088897</v>
          </cell>
        </row>
        <row r="120">
          <cell r="C120">
            <v>933806720</v>
          </cell>
          <cell r="D120">
            <v>239485.88</v>
          </cell>
          <cell r="E120">
            <v>933806012</v>
          </cell>
          <cell r="F120">
            <v>223064</v>
          </cell>
          <cell r="G120">
            <v>79549.13943705961</v>
          </cell>
          <cell r="H120">
            <v>14351.486056294038</v>
          </cell>
          <cell r="I120">
            <v>157866.34661923442</v>
          </cell>
        </row>
        <row r="121">
          <cell r="C121">
            <v>933806357</v>
          </cell>
          <cell r="D121">
            <v>658825.06999999995</v>
          </cell>
          <cell r="E121">
            <v>938805241</v>
          </cell>
          <cell r="F121">
            <v>133152</v>
          </cell>
          <cell r="G121">
            <v>47484.699522663279</v>
          </cell>
          <cell r="H121">
            <v>8566.7300477336721</v>
          </cell>
          <cell r="I121">
            <v>94234.030525070382</v>
          </cell>
        </row>
        <row r="122">
          <cell r="C122">
            <v>933805173</v>
          </cell>
          <cell r="D122">
            <v>384096.06</v>
          </cell>
          <cell r="E122">
            <v>938805360</v>
          </cell>
          <cell r="F122">
            <v>242317</v>
          </cell>
          <cell r="G122">
            <v>86415.149109537961</v>
          </cell>
          <cell r="H122">
            <v>15590.185089046205</v>
          </cell>
          <cell r="I122">
            <v>171492.03597950825</v>
          </cell>
        </row>
        <row r="123">
          <cell r="C123">
            <v>933805132</v>
          </cell>
          <cell r="D123">
            <v>439067.66</v>
          </cell>
          <cell r="E123">
            <v>938805367</v>
          </cell>
          <cell r="F123">
            <v>77999</v>
          </cell>
          <cell r="G123">
            <v>27816.022876623807</v>
          </cell>
          <cell r="H123">
            <v>5018.2977123376195</v>
          </cell>
          <cell r="I123">
            <v>55201.274835713812</v>
          </cell>
        </row>
        <row r="124">
          <cell r="C124">
            <v>933805627</v>
          </cell>
          <cell r="D124">
            <v>1305120.54</v>
          </cell>
          <cell r="E124">
            <v>933805800</v>
          </cell>
          <cell r="F124">
            <v>1067562</v>
          </cell>
          <cell r="G124">
            <v>380714.22728771222</v>
          </cell>
          <cell r="H124">
            <v>68684.77727122877</v>
          </cell>
          <cell r="I124">
            <v>755532.54998351645</v>
          </cell>
        </row>
        <row r="125">
          <cell r="C125">
            <v>933805201</v>
          </cell>
          <cell r="D125">
            <v>222316.84</v>
          </cell>
          <cell r="E125">
            <v>938805175</v>
          </cell>
          <cell r="F125">
            <v>384754</v>
          </cell>
          <cell r="G125">
            <v>137211.06765307908</v>
          </cell>
          <cell r="H125">
            <v>24754.29323469209</v>
          </cell>
          <cell r="I125">
            <v>272297.22558161302</v>
          </cell>
        </row>
        <row r="126">
          <cell r="C126">
            <v>933805154</v>
          </cell>
          <cell r="D126">
            <v>139390.01</v>
          </cell>
          <cell r="E126">
            <v>938805183</v>
          </cell>
          <cell r="F126">
            <v>261228.64</v>
          </cell>
          <cell r="G126">
            <v>93159.422893489987</v>
          </cell>
          <cell r="H126">
            <v>16806.921710651</v>
          </cell>
          <cell r="I126">
            <v>184876.138817161</v>
          </cell>
        </row>
        <row r="127">
          <cell r="C127">
            <v>933805136</v>
          </cell>
          <cell r="D127">
            <v>268140.27</v>
          </cell>
          <cell r="E127">
            <v>938806037</v>
          </cell>
          <cell r="F127">
            <v>113207</v>
          </cell>
          <cell r="G127">
            <v>40371.908637212669</v>
          </cell>
          <cell r="H127">
            <v>7283.5091362787316</v>
          </cell>
          <cell r="I127">
            <v>80118.600499066059</v>
          </cell>
        </row>
        <row r="128">
          <cell r="C128">
            <v>933806715</v>
          </cell>
          <cell r="D128">
            <v>711581.25</v>
          </cell>
          <cell r="E128">
            <v>938806044</v>
          </cell>
          <cell r="F128">
            <v>241803.91</v>
          </cell>
          <cell r="G128">
            <v>86232.170825486013</v>
          </cell>
          <cell r="H128">
            <v>15557.173917451399</v>
          </cell>
          <cell r="I128">
            <v>171128.9130919654</v>
          </cell>
        </row>
        <row r="129">
          <cell r="C129">
            <v>933806946</v>
          </cell>
          <cell r="D129">
            <v>72015.14</v>
          </cell>
          <cell r="E129">
            <v>933806370</v>
          </cell>
          <cell r="F129">
            <v>415878</v>
          </cell>
          <cell r="G129">
            <v>148310.51631283163</v>
          </cell>
          <cell r="H129">
            <v>26756.748368716835</v>
          </cell>
          <cell r="I129">
            <v>294324.23205588519</v>
          </cell>
        </row>
        <row r="130">
          <cell r="C130">
            <v>933805860</v>
          </cell>
          <cell r="D130">
            <v>243432.07</v>
          </cell>
          <cell r="E130">
            <v>938805249</v>
          </cell>
          <cell r="F130">
            <v>250595</v>
          </cell>
          <cell r="G130">
            <v>89367.251538706172</v>
          </cell>
          <cell r="H130">
            <v>16122.77484612938</v>
          </cell>
          <cell r="I130">
            <v>177350.52330742319</v>
          </cell>
        </row>
        <row r="131">
          <cell r="C131">
            <v>938805106</v>
          </cell>
          <cell r="D131">
            <v>563524.66</v>
          </cell>
          <cell r="E131">
            <v>938508166</v>
          </cell>
          <cell r="F131">
            <v>578883</v>
          </cell>
          <cell r="G131">
            <v>206441.40015754843</v>
          </cell>
          <cell r="H131">
            <v>37244.159984245154</v>
          </cell>
          <cell r="I131">
            <v>409685.75982669671</v>
          </cell>
        </row>
        <row r="132">
          <cell r="C132">
            <v>938805146</v>
          </cell>
          <cell r="D132">
            <v>469854.27</v>
          </cell>
          <cell r="E132">
            <v>938805191</v>
          </cell>
          <cell r="F132">
            <v>535404</v>
          </cell>
          <cell r="G132">
            <v>190935.90830954106</v>
          </cell>
          <cell r="H132">
            <v>34446.80916904589</v>
          </cell>
          <cell r="I132">
            <v>378914.90085950482</v>
          </cell>
        </row>
        <row r="133">
          <cell r="C133">
            <v>938805160</v>
          </cell>
          <cell r="D133">
            <v>179109.43</v>
          </cell>
          <cell r="E133">
            <v>933805300</v>
          </cell>
          <cell r="F133">
            <v>270852</v>
          </cell>
          <cell r="G133">
            <v>96591.307942144267</v>
          </cell>
          <cell r="H133">
            <v>17426.06920578557</v>
          </cell>
          <cell r="I133">
            <v>191686.7612636413</v>
          </cell>
        </row>
        <row r="134">
          <cell r="C134">
            <v>938805105</v>
          </cell>
          <cell r="D134">
            <v>509634.2</v>
          </cell>
          <cell r="E134">
            <v>933800555</v>
          </cell>
          <cell r="F134">
            <v>710050</v>
          </cell>
          <cell r="G134">
            <v>253218.20848404127</v>
          </cell>
          <cell r="H134">
            <v>45683.179151595868</v>
          </cell>
          <cell r="I134">
            <v>502514.97066755459</v>
          </cell>
        </row>
        <row r="135">
          <cell r="C135">
            <v>933806270</v>
          </cell>
          <cell r="D135">
            <v>495956.92</v>
          </cell>
          <cell r="E135">
            <v>938805035</v>
          </cell>
          <cell r="F135">
            <v>398411</v>
          </cell>
          <cell r="G135">
            <v>142081.4304067817</v>
          </cell>
          <cell r="H135">
            <v>25632.956959321829</v>
          </cell>
          <cell r="I135">
            <v>281962.52655254013</v>
          </cell>
        </row>
        <row r="136">
          <cell r="C136">
            <v>938805162</v>
          </cell>
          <cell r="D136">
            <v>376397.8</v>
          </cell>
          <cell r="E136">
            <v>938805186</v>
          </cell>
          <cell r="F136">
            <v>354724</v>
          </cell>
          <cell r="G136">
            <v>126501.7615467827</v>
          </cell>
          <cell r="H136">
            <v>22822.223845321732</v>
          </cell>
          <cell r="I136">
            <v>251044.46229853906</v>
          </cell>
        </row>
        <row r="137">
          <cell r="C137">
            <v>938805028</v>
          </cell>
          <cell r="D137">
            <v>297479.88</v>
          </cell>
          <cell r="E137">
            <v>938805164</v>
          </cell>
          <cell r="F137">
            <v>229036</v>
          </cell>
          <cell r="G137">
            <v>81678.875569820244</v>
          </cell>
          <cell r="H137">
            <v>14735.712443017977</v>
          </cell>
          <cell r="I137">
            <v>162092.83687319775</v>
          </cell>
        </row>
        <row r="138">
          <cell r="C138">
            <v>938805128</v>
          </cell>
          <cell r="D138">
            <v>48810.64</v>
          </cell>
          <cell r="E138">
            <v>938805192</v>
          </cell>
          <cell r="F138">
            <v>230338.64</v>
          </cell>
          <cell r="G138">
            <v>82143.423372228048</v>
          </cell>
          <cell r="H138">
            <v>14819.521662777197</v>
          </cell>
          <cell r="I138">
            <v>163014.73829054917</v>
          </cell>
        </row>
        <row r="139">
          <cell r="C139">
            <v>933805985</v>
          </cell>
          <cell r="D139">
            <v>259096.51</v>
          </cell>
          <cell r="E139">
            <v>938805387</v>
          </cell>
          <cell r="F139">
            <v>298199</v>
          </cell>
          <cell r="G139">
            <v>106343.80191779821</v>
          </cell>
          <cell r="H139">
            <v>19185.519808220179</v>
          </cell>
          <cell r="I139">
            <v>211040.71789042198</v>
          </cell>
        </row>
        <row r="140">
          <cell r="C140">
            <v>938805234</v>
          </cell>
          <cell r="D140">
            <v>136982.85999999999</v>
          </cell>
          <cell r="E140">
            <v>938805314</v>
          </cell>
          <cell r="F140">
            <v>295179</v>
          </cell>
          <cell r="G140">
            <v>105266.80876291925</v>
          </cell>
          <cell r="H140">
            <v>18991.219123708073</v>
          </cell>
          <cell r="I140">
            <v>208903.41036078884</v>
          </cell>
        </row>
        <row r="141">
          <cell r="C141">
            <v>933806028</v>
          </cell>
          <cell r="D141">
            <v>517758.71999999997</v>
          </cell>
          <cell r="E141">
            <v>938805116</v>
          </cell>
          <cell r="F141">
            <v>532505</v>
          </cell>
          <cell r="G141">
            <v>189902.06620490726</v>
          </cell>
          <cell r="H141">
            <v>34260.293379509269</v>
          </cell>
          <cell r="I141">
            <v>376863.22717460198</v>
          </cell>
        </row>
        <row r="142">
          <cell r="C142">
            <v>938805107</v>
          </cell>
          <cell r="D142">
            <v>268959.49</v>
          </cell>
          <cell r="E142">
            <v>938805170</v>
          </cell>
          <cell r="F142">
            <v>263907</v>
          </cell>
          <cell r="G142">
            <v>94114.580306172633</v>
          </cell>
          <cell r="H142">
            <v>16979.241969382736</v>
          </cell>
          <cell r="I142">
            <v>186771.66166321011</v>
          </cell>
        </row>
        <row r="143">
          <cell r="C143">
            <v>938805112</v>
          </cell>
          <cell r="D143">
            <v>150153.60999999999</v>
          </cell>
          <cell r="E143">
            <v>938805271</v>
          </cell>
          <cell r="F143">
            <v>301744.64000000001</v>
          </cell>
          <cell r="G143">
            <v>107608.24894086611</v>
          </cell>
          <cell r="H143">
            <v>19413.639105913393</v>
          </cell>
          <cell r="I143">
            <v>213550.03016504733</v>
          </cell>
        </row>
        <row r="144">
          <cell r="C144">
            <v>933806221</v>
          </cell>
          <cell r="D144">
            <v>336078.44</v>
          </cell>
          <cell r="E144">
            <v>938805317</v>
          </cell>
          <cell r="F144">
            <v>352791.64</v>
          </cell>
          <cell r="G144">
            <v>125812.64284057014</v>
          </cell>
          <cell r="H144">
            <v>22697.899715942985</v>
          </cell>
          <cell r="I144">
            <v>249676.89687537285</v>
          </cell>
        </row>
        <row r="145">
          <cell r="C145">
            <v>938805182</v>
          </cell>
          <cell r="D145">
            <v>196471.79</v>
          </cell>
          <cell r="E145">
            <v>938805284</v>
          </cell>
          <cell r="F145">
            <v>775022</v>
          </cell>
          <cell r="G145">
            <v>276388.53936443722</v>
          </cell>
          <cell r="H145">
            <v>49863.346063556281</v>
          </cell>
          <cell r="I145">
            <v>548496.80669911904</v>
          </cell>
        </row>
        <row r="146">
          <cell r="C146">
            <v>938805337</v>
          </cell>
          <cell r="D146">
            <v>330241.90000000002</v>
          </cell>
          <cell r="E146">
            <v>938805243</v>
          </cell>
          <cell r="F146">
            <v>287444</v>
          </cell>
          <cell r="G146">
            <v>102508.35112947926</v>
          </cell>
          <cell r="H146">
            <v>18493.564887052074</v>
          </cell>
          <cell r="I146">
            <v>203429.21375757284</v>
          </cell>
        </row>
        <row r="147">
          <cell r="C147">
            <v>938805355</v>
          </cell>
          <cell r="D147">
            <v>417675.45</v>
          </cell>
          <cell r="E147">
            <v>938805310</v>
          </cell>
          <cell r="F147">
            <v>358260</v>
          </cell>
          <cell r="G147">
            <v>127762.77075064096</v>
          </cell>
          <cell r="H147">
            <v>23049.722924935908</v>
          </cell>
          <cell r="I147">
            <v>253546.95217429497</v>
          </cell>
        </row>
        <row r="148">
          <cell r="C148">
            <v>938805240</v>
          </cell>
          <cell r="D148">
            <v>315414.83</v>
          </cell>
          <cell r="E148">
            <v>938805327</v>
          </cell>
          <cell r="F148">
            <v>501769.64</v>
          </cell>
          <cell r="G148">
            <v>178941.2144390991</v>
          </cell>
          <cell r="H148">
            <v>32282.842556090094</v>
          </cell>
          <cell r="I148">
            <v>355111.26811699104</v>
          </cell>
        </row>
        <row r="149">
          <cell r="C149">
            <v>938805327</v>
          </cell>
          <cell r="D149">
            <v>63103.45</v>
          </cell>
          <cell r="E149">
            <v>938805282</v>
          </cell>
          <cell r="F149">
            <v>277694</v>
          </cell>
          <cell r="G149">
            <v>99031.303692370042</v>
          </cell>
          <cell r="H149">
            <v>17866.269630762996</v>
          </cell>
          <cell r="I149">
            <v>196528.96593839297</v>
          </cell>
        </row>
        <row r="150">
          <cell r="C150">
            <v>938805331</v>
          </cell>
          <cell r="D150">
            <v>92209.81</v>
          </cell>
          <cell r="E150">
            <v>938806218</v>
          </cell>
          <cell r="F150">
            <v>422457</v>
          </cell>
          <cell r="G150">
            <v>150656.72093731796</v>
          </cell>
          <cell r="H150">
            <v>27180.027906268206</v>
          </cell>
          <cell r="I150">
            <v>298980.30696895026</v>
          </cell>
        </row>
        <row r="151">
          <cell r="C151">
            <v>938805104</v>
          </cell>
          <cell r="D151">
            <v>44545</v>
          </cell>
          <cell r="E151">
            <v>938807024</v>
          </cell>
          <cell r="F151">
            <v>430244.55</v>
          </cell>
          <cell r="G151">
            <v>153433.91896489332</v>
          </cell>
          <cell r="H151">
            <v>27681.063103510667</v>
          </cell>
          <cell r="I151">
            <v>304491.69413861731</v>
          </cell>
        </row>
        <row r="152">
          <cell r="C152">
            <v>938805164</v>
          </cell>
          <cell r="D152">
            <v>102617.64</v>
          </cell>
          <cell r="E152">
            <v>938805471</v>
          </cell>
          <cell r="F152">
            <v>187836</v>
          </cell>
          <cell r="G152">
            <v>66986.121271471551</v>
          </cell>
          <cell r="H152">
            <v>12084.987872852846</v>
          </cell>
          <cell r="I152">
            <v>132934.86660138131</v>
          </cell>
        </row>
        <row r="153">
          <cell r="C153">
            <v>938805301</v>
          </cell>
          <cell r="D153">
            <v>296380.37</v>
          </cell>
          <cell r="E153">
            <v>938807057</v>
          </cell>
          <cell r="F153">
            <v>148706</v>
          </cell>
          <cell r="G153">
            <v>53031.570890539871</v>
          </cell>
          <cell r="H153">
            <v>9567.4429109460107</v>
          </cell>
          <cell r="I153">
            <v>105241.87202040612</v>
          </cell>
        </row>
        <row r="154">
          <cell r="C154">
            <v>938805284</v>
          </cell>
          <cell r="D154">
            <v>139240.78</v>
          </cell>
          <cell r="E154">
            <v>938806172</v>
          </cell>
          <cell r="F154">
            <v>340354</v>
          </cell>
          <cell r="G154">
            <v>121377.12855485865</v>
          </cell>
          <cell r="H154">
            <v>21897.687144514137</v>
          </cell>
          <cell r="I154">
            <v>240874.5585896555</v>
          </cell>
        </row>
        <row r="155">
          <cell r="C155">
            <v>938805346</v>
          </cell>
          <cell r="D155">
            <v>250422.31</v>
          </cell>
          <cell r="E155">
            <v>938806148</v>
          </cell>
          <cell r="F155">
            <v>5140315</v>
          </cell>
          <cell r="G155">
            <v>1833140.4201727265</v>
          </cell>
          <cell r="H155">
            <v>330717.45798272733</v>
          </cell>
          <cell r="I155">
            <v>3637892.0378100006</v>
          </cell>
        </row>
        <row r="156">
          <cell r="C156">
            <v>938807135</v>
          </cell>
          <cell r="D156">
            <v>92313.7</v>
          </cell>
          <cell r="E156">
            <v>938805046</v>
          </cell>
          <cell r="F156">
            <v>183058</v>
          </cell>
          <cell r="G156">
            <v>65282.189717163055</v>
          </cell>
          <cell r="H156">
            <v>11777.581028283696</v>
          </cell>
          <cell r="I156">
            <v>129553.39131112063</v>
          </cell>
        </row>
        <row r="157">
          <cell r="C157">
            <v>938807640</v>
          </cell>
          <cell r="D157">
            <v>492671.96</v>
          </cell>
          <cell r="E157">
            <v>938805392</v>
          </cell>
          <cell r="F157">
            <v>599496</v>
          </cell>
          <cell r="G157">
            <v>213792.41336997223</v>
          </cell>
          <cell r="H157">
            <v>38570.358663002771</v>
          </cell>
          <cell r="I157">
            <v>424273.94529303053</v>
          </cell>
        </row>
        <row r="158">
          <cell r="C158">
            <v>938807928</v>
          </cell>
          <cell r="D158">
            <v>116340.98</v>
          </cell>
          <cell r="E158">
            <v>938806237</v>
          </cell>
          <cell r="F158">
            <v>453349</v>
          </cell>
          <cell r="G158">
            <v>161673.43369907982</v>
          </cell>
          <cell r="H158">
            <v>29167.556630092022</v>
          </cell>
          <cell r="I158">
            <v>320843.12293101224</v>
          </cell>
        </row>
        <row r="159">
          <cell r="C159">
            <v>938807614</v>
          </cell>
          <cell r="D159">
            <v>237856.76</v>
          </cell>
          <cell r="E159">
            <v>938805037</v>
          </cell>
          <cell r="F159">
            <v>396585.64</v>
          </cell>
          <cell r="G159">
            <v>141430.47006731486</v>
          </cell>
          <cell r="H159">
            <v>25515.516993268513</v>
          </cell>
          <cell r="I159">
            <v>280670.68692595366</v>
          </cell>
        </row>
        <row r="160">
          <cell r="C160">
            <v>938807610</v>
          </cell>
          <cell r="D160">
            <v>231174.96</v>
          </cell>
          <cell r="E160">
            <v>938807027</v>
          </cell>
          <cell r="F160">
            <v>437036</v>
          </cell>
          <cell r="G160">
            <v>155855.88756148363</v>
          </cell>
          <cell r="H160">
            <v>28118.011243851633</v>
          </cell>
          <cell r="I160">
            <v>309298.12368236796</v>
          </cell>
        </row>
        <row r="161">
          <cell r="C161">
            <v>938806029</v>
          </cell>
          <cell r="D161">
            <v>557723.6</v>
          </cell>
          <cell r="E161">
            <v>938805463</v>
          </cell>
          <cell r="F161">
            <v>218839</v>
          </cell>
          <cell r="G161">
            <v>78042.418880978948</v>
          </cell>
          <cell r="H161">
            <v>14079.658111902105</v>
          </cell>
          <cell r="I161">
            <v>154876.23923092315</v>
          </cell>
        </row>
        <row r="162">
          <cell r="C162">
            <v>938805173</v>
          </cell>
          <cell r="D162">
            <v>273006.65999999997</v>
          </cell>
          <cell r="E162">
            <v>933806181</v>
          </cell>
          <cell r="F162">
            <v>536603</v>
          </cell>
          <cell r="G162">
            <v>191363.49598924298</v>
          </cell>
          <cell r="H162">
            <v>34523.950401075701</v>
          </cell>
          <cell r="I162">
            <v>379763.45441183273</v>
          </cell>
        </row>
        <row r="163">
          <cell r="C163">
            <v>938806054</v>
          </cell>
          <cell r="D163">
            <v>165733.47</v>
          </cell>
          <cell r="E163">
            <v>938805460</v>
          </cell>
          <cell r="F163">
            <v>615400</v>
          </cell>
          <cell r="G163">
            <v>219464.1018253348</v>
          </cell>
          <cell r="H163">
            <v>39593.58981746652</v>
          </cell>
          <cell r="I163">
            <v>435529.48799213168</v>
          </cell>
        </row>
        <row r="164">
          <cell r="C164">
            <v>938806034</v>
          </cell>
          <cell r="D164">
            <v>346903.26</v>
          </cell>
          <cell r="E164">
            <v>933806182</v>
          </cell>
          <cell r="F164">
            <v>488080</v>
          </cell>
          <cell r="G164">
            <v>174059.21160043779</v>
          </cell>
          <cell r="H164">
            <v>31402.078839956223</v>
          </cell>
          <cell r="I164">
            <v>345422.86723951844</v>
          </cell>
        </row>
        <row r="165">
          <cell r="C165">
            <v>938806011</v>
          </cell>
          <cell r="D165">
            <v>152137.9</v>
          </cell>
          <cell r="E165">
            <v>938806241</v>
          </cell>
          <cell r="F165">
            <v>257485</v>
          </cell>
          <cell r="G165">
            <v>91824.365060930024</v>
          </cell>
          <cell r="H165">
            <v>16566.063493906997</v>
          </cell>
          <cell r="I165">
            <v>182226.69843297696</v>
          </cell>
        </row>
        <row r="166">
          <cell r="C166">
            <v>938806700</v>
          </cell>
          <cell r="D166">
            <v>894499.12</v>
          </cell>
          <cell r="E166">
            <v>938806810</v>
          </cell>
          <cell r="F166">
            <v>305470.64</v>
          </cell>
          <cell r="G166">
            <v>108937.01599221677</v>
          </cell>
          <cell r="H166">
            <v>19653.362400778326</v>
          </cell>
          <cell r="I166">
            <v>216186.98640856158</v>
          </cell>
        </row>
        <row r="167">
          <cell r="C167">
            <v>938806081</v>
          </cell>
          <cell r="D167">
            <v>577182.69999999995</v>
          </cell>
          <cell r="E167">
            <v>938805328</v>
          </cell>
          <cell r="F167">
            <v>238593</v>
          </cell>
          <cell r="G167">
            <v>85087.095298687214</v>
          </cell>
          <cell r="H167">
            <v>15350.590470131277</v>
          </cell>
          <cell r="I167">
            <v>168856.49517144405</v>
          </cell>
        </row>
        <row r="168">
          <cell r="C168">
            <v>938809171</v>
          </cell>
          <cell r="D168">
            <v>292953.14</v>
          </cell>
          <cell r="E168">
            <v>938805370</v>
          </cell>
          <cell r="F168">
            <v>490853</v>
          </cell>
          <cell r="G168">
            <v>175048.11955357663</v>
          </cell>
          <cell r="H168">
            <v>31580.488044642334</v>
          </cell>
          <cell r="I168">
            <v>347385.36849106569</v>
          </cell>
        </row>
        <row r="169">
          <cell r="C169">
            <v>938807953</v>
          </cell>
          <cell r="D169">
            <v>231719.65</v>
          </cell>
          <cell r="E169">
            <v>938806617</v>
          </cell>
          <cell r="F169">
            <v>127900</v>
          </cell>
          <cell r="G169">
            <v>45611.729969873777</v>
          </cell>
          <cell r="H169">
            <v>8228.8270030126223</v>
          </cell>
          <cell r="I169">
            <v>90517.097033138853</v>
          </cell>
        </row>
        <row r="170">
          <cell r="C170">
            <v>938808253</v>
          </cell>
          <cell r="D170">
            <v>209820.9</v>
          </cell>
          <cell r="E170">
            <v>938806738</v>
          </cell>
          <cell r="F170">
            <v>105151</v>
          </cell>
          <cell r="G170">
            <v>37498.975903535553</v>
          </cell>
          <cell r="H170">
            <v>6765.2024096464447</v>
          </cell>
          <cell r="I170">
            <v>74417.226506110892</v>
          </cell>
        </row>
        <row r="171">
          <cell r="C171">
            <v>938808417</v>
          </cell>
          <cell r="D171">
            <v>191872.72</v>
          </cell>
          <cell r="E171">
            <v>938806294</v>
          </cell>
          <cell r="F171">
            <v>221450</v>
          </cell>
          <cell r="G171">
            <v>78973.554353624291</v>
          </cell>
          <cell r="H171">
            <v>14247.644564637571</v>
          </cell>
          <cell r="I171">
            <v>156724.09021101327</v>
          </cell>
        </row>
        <row r="172">
          <cell r="C172">
            <v>938808354</v>
          </cell>
          <cell r="D172">
            <v>241750.31</v>
          </cell>
          <cell r="E172">
            <v>938806295</v>
          </cell>
          <cell r="F172">
            <v>103159</v>
          </cell>
          <cell r="G172">
            <v>36788.588365615396</v>
          </cell>
          <cell r="H172">
            <v>6637.04116343846</v>
          </cell>
          <cell r="I172">
            <v>73007.452797823062</v>
          </cell>
        </row>
        <row r="173">
          <cell r="C173">
            <v>938807949</v>
          </cell>
          <cell r="D173">
            <v>482145.1</v>
          </cell>
          <cell r="E173">
            <v>938806198</v>
          </cell>
          <cell r="F173">
            <v>353708</v>
          </cell>
          <cell r="G173">
            <v>126139.43537282343</v>
          </cell>
          <cell r="H173">
            <v>22756.856462717657</v>
          </cell>
          <cell r="I173">
            <v>250325.42108989423</v>
          </cell>
        </row>
        <row r="174">
          <cell r="C174">
            <v>938808148</v>
          </cell>
          <cell r="D174">
            <v>127050.12</v>
          </cell>
          <cell r="E174">
            <v>938806270</v>
          </cell>
          <cell r="F174">
            <v>427920</v>
          </cell>
          <cell r="G174">
            <v>152604.93736284898</v>
          </cell>
          <cell r="H174">
            <v>27531.506263715099</v>
          </cell>
          <cell r="I174">
            <v>302846.56890086608</v>
          </cell>
        </row>
        <row r="175">
          <cell r="C175">
            <v>938807963</v>
          </cell>
          <cell r="D175">
            <v>51240.24</v>
          </cell>
          <cell r="E175">
            <v>938806278</v>
          </cell>
          <cell r="F175">
            <v>269626</v>
          </cell>
          <cell r="G175">
            <v>96154.091515693406</v>
          </cell>
          <cell r="H175">
            <v>17347.190848430662</v>
          </cell>
          <cell r="I175">
            <v>190819.09933273727</v>
          </cell>
        </row>
        <row r="176">
          <cell r="C176">
            <v>938808355</v>
          </cell>
          <cell r="D176">
            <v>49916.65</v>
          </cell>
          <cell r="E176">
            <v>938806173</v>
          </cell>
          <cell r="F176">
            <v>169794</v>
          </cell>
          <cell r="G176">
            <v>60551.978721694672</v>
          </cell>
          <cell r="H176">
            <v>10924.202127830533</v>
          </cell>
          <cell r="I176">
            <v>120166.22340613586</v>
          </cell>
        </row>
        <row r="177">
          <cell r="C177">
            <v>938808413</v>
          </cell>
          <cell r="D177">
            <v>277091.81</v>
          </cell>
          <cell r="E177">
            <v>938806284</v>
          </cell>
          <cell r="F177">
            <v>80908.639999999999</v>
          </cell>
          <cell r="G177">
            <v>28853.659420717187</v>
          </cell>
          <cell r="H177">
            <v>5205.498057928281</v>
          </cell>
          <cell r="I177">
            <v>57260.47863721109</v>
          </cell>
        </row>
        <row r="178">
          <cell r="C178">
            <v>938806267</v>
          </cell>
          <cell r="D178">
            <v>444132.83</v>
          </cell>
          <cell r="E178">
            <v>938806149</v>
          </cell>
          <cell r="F178">
            <v>330706</v>
          </cell>
          <cell r="G178">
            <v>117936.45638324534</v>
          </cell>
          <cell r="H178">
            <v>21276.954361675467</v>
          </cell>
          <cell r="I178">
            <v>234046.49797843012</v>
          </cell>
        </row>
        <row r="179">
          <cell r="C179">
            <v>938806236</v>
          </cell>
          <cell r="D179">
            <v>268697</v>
          </cell>
          <cell r="E179">
            <v>938807159</v>
          </cell>
          <cell r="F179">
            <v>343221</v>
          </cell>
          <cell r="G179">
            <v>122399.55881149373</v>
          </cell>
          <cell r="H179">
            <v>22082.144118850629</v>
          </cell>
          <cell r="I179">
            <v>242903.5853073569</v>
          </cell>
        </row>
        <row r="180">
          <cell r="C180">
            <v>938806244</v>
          </cell>
          <cell r="D180">
            <v>83208.34</v>
          </cell>
          <cell r="E180">
            <v>938807190</v>
          </cell>
          <cell r="F180">
            <v>200339.91</v>
          </cell>
          <cell r="G180">
            <v>71445.268781147883</v>
          </cell>
          <cell r="H180">
            <v>12889.464121885212</v>
          </cell>
          <cell r="I180">
            <v>141784.10534073733</v>
          </cell>
        </row>
        <row r="181">
          <cell r="C181">
            <v>938806085</v>
          </cell>
          <cell r="D181">
            <v>259641.36</v>
          </cell>
          <cell r="E181">
            <v>938807295</v>
          </cell>
          <cell r="F181">
            <v>216595</v>
          </cell>
          <cell r="G181">
            <v>77242.163040068888</v>
          </cell>
          <cell r="H181">
            <v>13935.283695993112</v>
          </cell>
          <cell r="I181">
            <v>153288.12065592423</v>
          </cell>
        </row>
        <row r="182">
          <cell r="C182">
            <v>938805428</v>
          </cell>
          <cell r="D182">
            <v>332253.07</v>
          </cell>
          <cell r="E182">
            <v>938807300</v>
          </cell>
          <cell r="F182">
            <v>472314</v>
          </cell>
          <cell r="G182">
            <v>168436.73673956969</v>
          </cell>
          <cell r="H182">
            <v>30387.72632604303</v>
          </cell>
          <cell r="I182">
            <v>334264.98958647333</v>
          </cell>
        </row>
        <row r="183">
          <cell r="C183">
            <v>938806149</v>
          </cell>
          <cell r="D183">
            <v>320504.36</v>
          </cell>
          <cell r="E183">
            <v>938807301</v>
          </cell>
          <cell r="F183">
            <v>295530</v>
          </cell>
          <cell r="G183">
            <v>105391.98247065517</v>
          </cell>
          <cell r="H183">
            <v>19013.801752934483</v>
          </cell>
          <cell r="I183">
            <v>209151.81928227932</v>
          </cell>
        </row>
        <row r="184">
          <cell r="C184">
            <v>938805373</v>
          </cell>
          <cell r="D184">
            <v>531325.93000000005</v>
          </cell>
          <cell r="E184">
            <v>933805902</v>
          </cell>
          <cell r="F184">
            <v>289267</v>
          </cell>
          <cell r="G184">
            <v>103158.4698451562</v>
          </cell>
          <cell r="H184">
            <v>18610.853015484383</v>
          </cell>
          <cell r="I184">
            <v>204719.38317032819</v>
          </cell>
        </row>
        <row r="185">
          <cell r="C185">
            <v>938806119</v>
          </cell>
          <cell r="D185">
            <v>646483.85</v>
          </cell>
          <cell r="E185">
            <v>938807592</v>
          </cell>
          <cell r="F185">
            <v>89423</v>
          </cell>
          <cell r="G185">
            <v>31890.052612165935</v>
          </cell>
          <cell r="H185">
            <v>5753.2947387834065</v>
          </cell>
          <cell r="I185">
            <v>63286.242126617472</v>
          </cell>
        </row>
        <row r="186">
          <cell r="C186">
            <v>938806221</v>
          </cell>
          <cell r="D186">
            <v>266494.61</v>
          </cell>
          <cell r="E186">
            <v>938807589</v>
          </cell>
          <cell r="F186">
            <v>108227</v>
          </cell>
          <cell r="G186">
            <v>38595.939792412268</v>
          </cell>
          <cell r="H186">
            <v>6963.1060207587725</v>
          </cell>
          <cell r="I186">
            <v>76594.166228346498</v>
          </cell>
        </row>
        <row r="187">
          <cell r="C187">
            <v>938806127</v>
          </cell>
          <cell r="D187">
            <v>375154.94</v>
          </cell>
          <cell r="E187">
            <v>938807606</v>
          </cell>
          <cell r="F187">
            <v>115916</v>
          </cell>
          <cell r="G187">
            <v>41337.992894354094</v>
          </cell>
          <cell r="H187">
            <v>7457.8007105645902</v>
          </cell>
          <cell r="I187">
            <v>82035.807816210494</v>
          </cell>
        </row>
        <row r="188">
          <cell r="C188">
            <v>938806265</v>
          </cell>
          <cell r="D188">
            <v>271386.81</v>
          </cell>
          <cell r="E188">
            <v>938807652</v>
          </cell>
          <cell r="F188">
            <v>604417</v>
          </cell>
          <cell r="G188">
            <v>215547.34162002499</v>
          </cell>
          <cell r="H188">
            <v>38886.965837997501</v>
          </cell>
          <cell r="I188">
            <v>427756.62421797251</v>
          </cell>
        </row>
        <row r="189">
          <cell r="C189">
            <v>938806157</v>
          </cell>
          <cell r="D189">
            <v>487158.48</v>
          </cell>
          <cell r="E189">
            <v>938807189</v>
          </cell>
          <cell r="F189">
            <v>329793</v>
          </cell>
          <cell r="G189">
            <v>117610.86209503193</v>
          </cell>
          <cell r="H189">
            <v>21218.213790496808</v>
          </cell>
          <cell r="I189">
            <v>233400.35169546487</v>
          </cell>
        </row>
        <row r="190">
          <cell r="C190">
            <v>933806431</v>
          </cell>
          <cell r="D190">
            <v>90948.84</v>
          </cell>
          <cell r="E190">
            <v>933806714</v>
          </cell>
          <cell r="F190">
            <v>229482</v>
          </cell>
          <cell r="G190">
            <v>81837.928201302377</v>
          </cell>
          <cell r="H190">
            <v>14764.407179869762</v>
          </cell>
          <cell r="I190">
            <v>162408.47897856741</v>
          </cell>
        </row>
        <row r="191">
          <cell r="C191">
            <v>938809545</v>
          </cell>
          <cell r="D191">
            <v>306448.45</v>
          </cell>
          <cell r="E191">
            <v>938807593</v>
          </cell>
          <cell r="F191">
            <v>88187</v>
          </cell>
          <cell r="G191">
            <v>31449.269983215472</v>
          </cell>
          <cell r="H191">
            <v>5673.7730016784517</v>
          </cell>
          <cell r="I191">
            <v>62411.503018462972</v>
          </cell>
        </row>
        <row r="192">
          <cell r="C192">
            <v>938807950</v>
          </cell>
          <cell r="D192">
            <v>239332.43</v>
          </cell>
          <cell r="E192">
            <v>938807924</v>
          </cell>
          <cell r="F192">
            <v>366088</v>
          </cell>
          <cell r="G192">
            <v>130554.39406732722</v>
          </cell>
          <cell r="H192">
            <v>23553.36059326728</v>
          </cell>
          <cell r="I192">
            <v>259086.96652594008</v>
          </cell>
        </row>
        <row r="193">
          <cell r="C193">
            <v>938806167</v>
          </cell>
          <cell r="D193">
            <v>179476.37</v>
          </cell>
          <cell r="E193">
            <v>938807943</v>
          </cell>
          <cell r="F193">
            <v>45743</v>
          </cell>
          <cell r="G193">
            <v>16312.880093916625</v>
          </cell>
          <cell r="H193">
            <v>2943.0119906083378</v>
          </cell>
          <cell r="I193">
            <v>32373.131896691713</v>
          </cell>
        </row>
        <row r="194">
          <cell r="C194">
            <v>933805661</v>
          </cell>
          <cell r="D194">
            <v>355396.86</v>
          </cell>
          <cell r="E194">
            <v>938807928</v>
          </cell>
          <cell r="F194">
            <v>341504</v>
          </cell>
          <cell r="G194">
            <v>121787.24184231253</v>
          </cell>
          <cell r="H194">
            <v>21971.675815768744</v>
          </cell>
          <cell r="I194">
            <v>241688.43397345621</v>
          </cell>
        </row>
        <row r="195">
          <cell r="C195">
            <v>938806017</v>
          </cell>
          <cell r="D195">
            <v>295534.61</v>
          </cell>
          <cell r="E195">
            <v>938805235</v>
          </cell>
          <cell r="F195">
            <v>451846</v>
          </cell>
          <cell r="G195">
            <v>161137.43346339004</v>
          </cell>
          <cell r="H195">
            <v>29070.856653660998</v>
          </cell>
          <cell r="I195">
            <v>319779.42319027096</v>
          </cell>
        </row>
        <row r="196">
          <cell r="C196">
            <v>938806032</v>
          </cell>
          <cell r="D196">
            <v>76261.119999999995</v>
          </cell>
          <cell r="E196">
            <v>938807390</v>
          </cell>
          <cell r="F196">
            <v>183655</v>
          </cell>
          <cell r="G196">
            <v>65495.092006389124</v>
          </cell>
          <cell r="H196">
            <v>11815.990799361089</v>
          </cell>
          <cell r="I196">
            <v>129975.89879297196</v>
          </cell>
        </row>
        <row r="197">
          <cell r="C197">
            <v>938806977</v>
          </cell>
          <cell r="D197">
            <v>193874.83</v>
          </cell>
          <cell r="E197">
            <v>938807325</v>
          </cell>
          <cell r="F197">
            <v>142228</v>
          </cell>
          <cell r="G197">
            <v>50721.384911299509</v>
          </cell>
          <cell r="H197">
            <v>9150.6615088700491</v>
          </cell>
          <cell r="I197">
            <v>100657.27659757054</v>
          </cell>
        </row>
        <row r="198">
          <cell r="C198">
            <v>938806656</v>
          </cell>
          <cell r="D198">
            <v>226074.89</v>
          </cell>
          <cell r="E198">
            <v>933805897</v>
          </cell>
          <cell r="F198">
            <v>437259</v>
          </cell>
          <cell r="G198">
            <v>155935.4138772247</v>
          </cell>
          <cell r="H198">
            <v>28132.358612277534</v>
          </cell>
          <cell r="I198">
            <v>309455.94473505288</v>
          </cell>
        </row>
        <row r="199">
          <cell r="C199">
            <v>938806187</v>
          </cell>
          <cell r="D199">
            <v>99480.51</v>
          </cell>
          <cell r="E199">
            <v>938807436</v>
          </cell>
          <cell r="F199">
            <v>172975</v>
          </cell>
          <cell r="G199">
            <v>61686.387736817174</v>
          </cell>
          <cell r="H199">
            <v>11128.861226318282</v>
          </cell>
          <cell r="I199">
            <v>122417.47348950111</v>
          </cell>
        </row>
        <row r="200">
          <cell r="C200">
            <v>938806442</v>
          </cell>
          <cell r="D200">
            <v>404597.16</v>
          </cell>
          <cell r="E200">
            <v>938807544</v>
          </cell>
          <cell r="F200">
            <v>146771</v>
          </cell>
          <cell r="G200">
            <v>52341.510706867433</v>
          </cell>
          <cell r="H200">
            <v>9442.9489293132556</v>
          </cell>
          <cell r="I200">
            <v>103872.43822244581</v>
          </cell>
        </row>
        <row r="201">
          <cell r="C201">
            <v>938805326</v>
          </cell>
          <cell r="D201">
            <v>137032.41</v>
          </cell>
          <cell r="E201">
            <v>938807340</v>
          </cell>
          <cell r="F201">
            <v>287671.64</v>
          </cell>
          <cell r="G201">
            <v>102589.53216318015</v>
          </cell>
          <cell r="H201">
            <v>18508.210783681985</v>
          </cell>
          <cell r="I201">
            <v>203590.31862050184</v>
          </cell>
        </row>
        <row r="202">
          <cell r="C202">
            <v>938805375</v>
          </cell>
          <cell r="D202">
            <v>238028.48</v>
          </cell>
          <cell r="E202">
            <v>938807527</v>
          </cell>
          <cell r="F202">
            <v>258374</v>
          </cell>
          <cell r="G202">
            <v>92141.400463144382</v>
          </cell>
          <cell r="H202">
            <v>16623.25995368556</v>
          </cell>
          <cell r="I202">
            <v>182855.85949054119</v>
          </cell>
        </row>
        <row r="203">
          <cell r="C203">
            <v>938807654</v>
          </cell>
          <cell r="D203">
            <v>327043.71000000002</v>
          </cell>
          <cell r="E203">
            <v>933805198</v>
          </cell>
          <cell r="F203">
            <v>316837</v>
          </cell>
          <cell r="G203">
            <v>112990.49013655119</v>
          </cell>
          <cell r="H203">
            <v>20384.650986344881</v>
          </cell>
          <cell r="I203">
            <v>224231.16084979367</v>
          </cell>
        </row>
        <row r="204">
          <cell r="C204">
            <v>938807593</v>
          </cell>
          <cell r="D204">
            <v>130448.12</v>
          </cell>
          <cell r="E204">
            <v>938807402</v>
          </cell>
          <cell r="F204">
            <v>246715</v>
          </cell>
          <cell r="G204">
            <v>87983.564968861683</v>
          </cell>
          <cell r="H204">
            <v>15873.143503113832</v>
          </cell>
          <cell r="I204">
            <v>174604.57853425213</v>
          </cell>
        </row>
        <row r="205">
          <cell r="C205">
            <v>933806298</v>
          </cell>
          <cell r="D205">
            <v>524683.43000000005</v>
          </cell>
          <cell r="E205">
            <v>938807613</v>
          </cell>
          <cell r="F205">
            <v>583501</v>
          </cell>
          <cell r="G205">
            <v>208088.27247186331</v>
          </cell>
          <cell r="H205">
            <v>37541.272752813667</v>
          </cell>
          <cell r="I205">
            <v>412954.00028095033</v>
          </cell>
        </row>
        <row r="206">
          <cell r="C206">
            <v>938807638</v>
          </cell>
          <cell r="D206">
            <v>627571.06000000006</v>
          </cell>
          <cell r="E206">
            <v>933805906</v>
          </cell>
          <cell r="F206">
            <v>236526</v>
          </cell>
          <cell r="G206">
            <v>84349.961242020057</v>
          </cell>
          <cell r="H206">
            <v>15217.603875797991</v>
          </cell>
          <cell r="I206">
            <v>167393.64263377793</v>
          </cell>
        </row>
        <row r="207">
          <cell r="C207">
            <v>938807622</v>
          </cell>
          <cell r="D207">
            <v>449353.36</v>
          </cell>
          <cell r="E207">
            <v>938807647</v>
          </cell>
          <cell r="F207">
            <v>324759</v>
          </cell>
          <cell r="G207">
            <v>115815.6357567337</v>
          </cell>
          <cell r="H207">
            <v>20894.33642432663</v>
          </cell>
          <cell r="I207">
            <v>229837.70066759293</v>
          </cell>
        </row>
        <row r="208">
          <cell r="C208">
            <v>933806308</v>
          </cell>
          <cell r="D208">
            <v>88140.03</v>
          </cell>
          <cell r="E208">
            <v>938807629</v>
          </cell>
          <cell r="F208">
            <v>204733</v>
          </cell>
          <cell r="G208">
            <v>73011.933635044319</v>
          </cell>
          <cell r="H208">
            <v>13172.106636495568</v>
          </cell>
          <cell r="I208">
            <v>144893.17300145124</v>
          </cell>
        </row>
        <row r="209">
          <cell r="C209">
            <v>938806183</v>
          </cell>
          <cell r="D209">
            <v>214413.71</v>
          </cell>
          <cell r="E209">
            <v>938807926</v>
          </cell>
          <cell r="F209">
            <v>399769</v>
          </cell>
          <cell r="G209">
            <v>142565.72070622729</v>
          </cell>
          <cell r="H209">
            <v>25720.327929377272</v>
          </cell>
          <cell r="I209">
            <v>282923.60722314997</v>
          </cell>
        </row>
        <row r="210">
          <cell r="C210">
            <v>933805318</v>
          </cell>
          <cell r="D210">
            <v>225944.8</v>
          </cell>
          <cell r="E210">
            <v>938807931</v>
          </cell>
          <cell r="F210">
            <v>666126</v>
          </cell>
          <cell r="G210">
            <v>237554.02062480172</v>
          </cell>
          <cell r="H210">
            <v>42857.197937519828</v>
          </cell>
          <cell r="I210">
            <v>471429.17731271806</v>
          </cell>
        </row>
        <row r="211">
          <cell r="C211">
            <v>933806560</v>
          </cell>
          <cell r="D211">
            <v>231910.31</v>
          </cell>
          <cell r="E211">
            <v>938807654</v>
          </cell>
          <cell r="F211">
            <v>96012</v>
          </cell>
          <cell r="G211">
            <v>34239.823439151842</v>
          </cell>
          <cell r="H211">
            <v>6177.2176560848156</v>
          </cell>
          <cell r="I211">
            <v>67949.394216932968</v>
          </cell>
        </row>
        <row r="212">
          <cell r="C212">
            <v>938805471</v>
          </cell>
          <cell r="D212">
            <v>71265.53</v>
          </cell>
          <cell r="E212">
            <v>938809616</v>
          </cell>
          <cell r="F212">
            <v>117459</v>
          </cell>
          <cell r="G212">
            <v>41888.257940042255</v>
          </cell>
          <cell r="H212">
            <v>7557.0742059957747</v>
          </cell>
          <cell r="I212">
            <v>83127.816265953516</v>
          </cell>
        </row>
        <row r="213">
          <cell r="C213">
            <v>933805257</v>
          </cell>
          <cell r="D213">
            <v>43060.07</v>
          </cell>
          <cell r="E213">
            <v>938807307</v>
          </cell>
          <cell r="F213">
            <v>191221</v>
          </cell>
          <cell r="G213">
            <v>68193.280817585866</v>
          </cell>
          <cell r="H213">
            <v>12302.771918241415</v>
          </cell>
          <cell r="I213">
            <v>135330.49110065555</v>
          </cell>
        </row>
        <row r="214">
          <cell r="C214">
            <v>938807132</v>
          </cell>
          <cell r="D214">
            <v>43060.07</v>
          </cell>
          <cell r="E214">
            <v>938807055</v>
          </cell>
          <cell r="F214">
            <v>374768</v>
          </cell>
          <cell r="G214">
            <v>133649.85783697932</v>
          </cell>
          <cell r="H214">
            <v>24111.814216302064</v>
          </cell>
          <cell r="I214">
            <v>265229.95637932274</v>
          </cell>
        </row>
        <row r="215">
          <cell r="C215">
            <v>933806035</v>
          </cell>
          <cell r="D215">
            <v>8908.98</v>
          </cell>
          <cell r="E215">
            <v>938808248</v>
          </cell>
          <cell r="F215">
            <v>458077</v>
          </cell>
          <cell r="G215">
            <v>163359.53424089032</v>
          </cell>
          <cell r="H215">
            <v>29471.746575910969</v>
          </cell>
          <cell r="I215">
            <v>324189.21233502065</v>
          </cell>
        </row>
        <row r="216">
          <cell r="C216">
            <v>933806181</v>
          </cell>
          <cell r="D216">
            <v>8908.98</v>
          </cell>
          <cell r="E216">
            <v>938808150</v>
          </cell>
          <cell r="F216">
            <v>360669</v>
          </cell>
          <cell r="G216">
            <v>128621.86893279442</v>
          </cell>
          <cell r="H216">
            <v>23204.713106720559</v>
          </cell>
          <cell r="I216">
            <v>255251.84417392613</v>
          </cell>
        </row>
        <row r="217">
          <cell r="C217">
            <v>938805460</v>
          </cell>
          <cell r="D217">
            <v>436198.97</v>
          </cell>
          <cell r="E217">
            <v>933805609</v>
          </cell>
          <cell r="F217">
            <v>259573</v>
          </cell>
          <cell r="G217">
            <v>92568.988142846327</v>
          </cell>
          <cell r="H217">
            <v>16700.401185715367</v>
          </cell>
          <cell r="I217">
            <v>183704.41304286904</v>
          </cell>
        </row>
        <row r="218">
          <cell r="C218">
            <v>938807187</v>
          </cell>
          <cell r="D218">
            <v>462844.93</v>
          </cell>
          <cell r="E218">
            <v>933806051</v>
          </cell>
          <cell r="F218">
            <v>434907</v>
          </cell>
          <cell r="G218">
            <v>155096.64304931895</v>
          </cell>
          <cell r="H218">
            <v>27981.035695068109</v>
          </cell>
          <cell r="I218">
            <v>307791.39264574921</v>
          </cell>
        </row>
        <row r="219">
          <cell r="C219">
            <v>938807183</v>
          </cell>
          <cell r="D219">
            <v>330221.90000000002</v>
          </cell>
          <cell r="E219">
            <v>908004239</v>
          </cell>
          <cell r="F219">
            <v>389303</v>
          </cell>
          <cell r="G219">
            <v>138833.33317014677</v>
          </cell>
          <cell r="H219">
            <v>25046.966682985323</v>
          </cell>
          <cell r="I219">
            <v>275516.63351283857</v>
          </cell>
        </row>
        <row r="220">
          <cell r="C220">
            <v>938807326</v>
          </cell>
          <cell r="D220">
            <v>337649.67</v>
          </cell>
          <cell r="E220">
            <v>933806147</v>
          </cell>
          <cell r="F220">
            <v>638620.64</v>
          </cell>
          <cell r="G220">
            <v>227745.05226636416</v>
          </cell>
          <cell r="H220">
            <v>41087.558773363584</v>
          </cell>
          <cell r="I220">
            <v>451963.14650699944</v>
          </cell>
        </row>
        <row r="221">
          <cell r="C221">
            <v>933806192</v>
          </cell>
          <cell r="D221">
            <v>179518.14</v>
          </cell>
          <cell r="E221">
            <v>933806044</v>
          </cell>
          <cell r="F221">
            <v>284902</v>
          </cell>
          <cell r="G221">
            <v>101601.82245408115</v>
          </cell>
          <cell r="H221">
            <v>18330.017754591885</v>
          </cell>
          <cell r="I221">
            <v>201630.19530051074</v>
          </cell>
        </row>
        <row r="222">
          <cell r="C222">
            <v>938807564</v>
          </cell>
          <cell r="D222">
            <v>251035.92</v>
          </cell>
          <cell r="E222">
            <v>908004038</v>
          </cell>
          <cell r="F222">
            <v>255344</v>
          </cell>
          <cell r="G222">
            <v>91060.841105765838</v>
          </cell>
          <cell r="H222">
            <v>16428.315889423415</v>
          </cell>
          <cell r="I222">
            <v>180711.47478365758</v>
          </cell>
        </row>
        <row r="223">
          <cell r="C223">
            <v>938808760</v>
          </cell>
          <cell r="D223">
            <v>432045.36</v>
          </cell>
          <cell r="E223">
            <v>933805644</v>
          </cell>
          <cell r="F223">
            <v>44545</v>
          </cell>
          <cell r="G223">
            <v>15885.649034464639</v>
          </cell>
          <cell r="H223">
            <v>2865.9350965535359</v>
          </cell>
          <cell r="I223">
            <v>31525.286062088897</v>
          </cell>
        </row>
        <row r="224">
          <cell r="C224">
            <v>938807623</v>
          </cell>
          <cell r="D224">
            <v>385912.76</v>
          </cell>
          <cell r="E224">
            <v>933805839</v>
          </cell>
          <cell r="F224">
            <v>230736</v>
          </cell>
          <cell r="G224">
            <v>82285.129994752118</v>
          </cell>
          <cell r="H224">
            <v>14845.087000524789</v>
          </cell>
          <cell r="I224">
            <v>163295.95700577268</v>
          </cell>
        </row>
        <row r="225">
          <cell r="C225">
            <v>938807641</v>
          </cell>
          <cell r="D225">
            <v>485925.55</v>
          </cell>
          <cell r="E225">
            <v>933805728</v>
          </cell>
          <cell r="F225">
            <v>44545</v>
          </cell>
          <cell r="G225">
            <v>15885.649034464639</v>
          </cell>
          <cell r="H225">
            <v>2865.9350965535359</v>
          </cell>
          <cell r="I225">
            <v>31525.286062088897</v>
          </cell>
        </row>
        <row r="226">
          <cell r="C226">
            <v>938807544</v>
          </cell>
          <cell r="D226">
            <v>558809.11</v>
          </cell>
          <cell r="E226">
            <v>933805734</v>
          </cell>
          <cell r="F226">
            <v>406916</v>
          </cell>
          <cell r="G226">
            <v>145114.48563269083</v>
          </cell>
          <cell r="H226">
            <v>26180.151436730917</v>
          </cell>
          <cell r="I226">
            <v>287981.66580404009</v>
          </cell>
        </row>
        <row r="227">
          <cell r="C227">
            <v>938806205</v>
          </cell>
          <cell r="D227">
            <v>273073.76</v>
          </cell>
          <cell r="E227">
            <v>933805992</v>
          </cell>
          <cell r="F227">
            <v>225531</v>
          </cell>
          <cell r="G227">
            <v>80428.921593710736</v>
          </cell>
          <cell r="H227">
            <v>14510.207840628927</v>
          </cell>
          <cell r="I227">
            <v>159612.2862469182</v>
          </cell>
        </row>
        <row r="228">
          <cell r="C228">
            <v>938805122</v>
          </cell>
          <cell r="D228">
            <v>237303.18</v>
          </cell>
          <cell r="E228">
            <v>933805633</v>
          </cell>
          <cell r="F228">
            <v>292117</v>
          </cell>
          <cell r="G228">
            <v>104174.83755754198</v>
          </cell>
          <cell r="H228">
            <v>18794.216244245807</v>
          </cell>
          <cell r="I228">
            <v>206736.37868670386</v>
          </cell>
        </row>
        <row r="229">
          <cell r="C229">
            <v>933806817</v>
          </cell>
          <cell r="D229">
            <v>635708.55000000005</v>
          </cell>
          <cell r="E229">
            <v>933805597</v>
          </cell>
          <cell r="F229">
            <v>11878.64</v>
          </cell>
          <cell r="G229">
            <v>4236.1635659839048</v>
          </cell>
          <cell r="H229">
            <v>764.24764340160937</v>
          </cell>
          <cell r="I229">
            <v>8406.7240774177044</v>
          </cell>
        </row>
        <row r="230">
          <cell r="C230">
            <v>938808915</v>
          </cell>
          <cell r="D230">
            <v>261477.13</v>
          </cell>
          <cell r="E230">
            <v>933805708</v>
          </cell>
          <cell r="F230">
            <v>44545</v>
          </cell>
          <cell r="G230">
            <v>15885.649034464639</v>
          </cell>
          <cell r="H230">
            <v>2865.9350965535359</v>
          </cell>
          <cell r="I230">
            <v>31525.286062088897</v>
          </cell>
        </row>
        <row r="231">
          <cell r="C231">
            <v>938809051</v>
          </cell>
          <cell r="D231">
            <v>763165.74</v>
          </cell>
          <cell r="E231">
            <v>933805802</v>
          </cell>
          <cell r="F231">
            <v>44545</v>
          </cell>
          <cell r="G231">
            <v>15885.649034464639</v>
          </cell>
          <cell r="H231">
            <v>2865.9350965535359</v>
          </cell>
          <cell r="I231">
            <v>31525.286062088897</v>
          </cell>
        </row>
        <row r="232">
          <cell r="C232">
            <v>938808614</v>
          </cell>
          <cell r="D232">
            <v>123166.5</v>
          </cell>
          <cell r="E232">
            <v>933805811</v>
          </cell>
          <cell r="F232">
            <v>44545</v>
          </cell>
          <cell r="G232">
            <v>15885.649034464639</v>
          </cell>
          <cell r="H232">
            <v>2865.9350965535359</v>
          </cell>
          <cell r="I232">
            <v>31525.286062088897</v>
          </cell>
        </row>
        <row r="233">
          <cell r="C233">
            <v>938808550</v>
          </cell>
          <cell r="D233">
            <v>243097.82</v>
          </cell>
          <cell r="E233">
            <v>933805664</v>
          </cell>
          <cell r="F233">
            <v>280083</v>
          </cell>
          <cell r="G233">
            <v>99883.269469524297</v>
          </cell>
          <cell r="H233">
            <v>18019.973053047572</v>
          </cell>
          <cell r="I233">
            <v>198219.70358352328</v>
          </cell>
        </row>
        <row r="234">
          <cell r="C234">
            <v>933805711</v>
          </cell>
          <cell r="D234">
            <v>615865.81000000006</v>
          </cell>
          <cell r="E234">
            <v>933805614</v>
          </cell>
          <cell r="F234">
            <v>407590.28</v>
          </cell>
          <cell r="G234">
            <v>145354.94753483383</v>
          </cell>
          <cell r="H234">
            <v>26223.533246516621</v>
          </cell>
          <cell r="I234">
            <v>288458.86571168283</v>
          </cell>
        </row>
        <row r="235">
          <cell r="C235">
            <v>938808596</v>
          </cell>
          <cell r="D235">
            <v>257424.34</v>
          </cell>
          <cell r="E235">
            <v>933805596</v>
          </cell>
          <cell r="F235">
            <v>214700</v>
          </cell>
          <cell r="G235">
            <v>76566.367666394843</v>
          </cell>
          <cell r="H235">
            <v>13813.363233360513</v>
          </cell>
          <cell r="I235">
            <v>151946.99556696566</v>
          </cell>
        </row>
        <row r="236">
          <cell r="C236">
            <v>938808457</v>
          </cell>
          <cell r="D236">
            <v>399316.24</v>
          </cell>
          <cell r="E236">
            <v>933805798</v>
          </cell>
          <cell r="F236">
            <v>303286</v>
          </cell>
          <cell r="G236">
            <v>108157.92912934432</v>
          </cell>
          <cell r="H236">
            <v>19512.807087065568</v>
          </cell>
          <cell r="I236">
            <v>214640.87795772124</v>
          </cell>
        </row>
        <row r="237">
          <cell r="C237">
            <v>938808458</v>
          </cell>
          <cell r="D237">
            <v>99066.5</v>
          </cell>
          <cell r="E237">
            <v>933805804</v>
          </cell>
          <cell r="F237">
            <v>44545</v>
          </cell>
          <cell r="G237">
            <v>15885.649034464639</v>
          </cell>
          <cell r="H237">
            <v>2865.9350965535359</v>
          </cell>
          <cell r="I237">
            <v>31525.286062088897</v>
          </cell>
        </row>
        <row r="238">
          <cell r="C238">
            <v>938808547</v>
          </cell>
          <cell r="D238">
            <v>120082.45</v>
          </cell>
          <cell r="E238">
            <v>933805950</v>
          </cell>
          <cell r="F238">
            <v>121118</v>
          </cell>
          <cell r="G238">
            <v>43193.131434645598</v>
          </cell>
          <cell r="H238">
            <v>7792.48685653544</v>
          </cell>
          <cell r="I238">
            <v>85717.35542188985</v>
          </cell>
        </row>
        <row r="239">
          <cell r="C239">
            <v>938808549</v>
          </cell>
          <cell r="D239">
            <v>367612.45</v>
          </cell>
          <cell r="E239">
            <v>933805963</v>
          </cell>
          <cell r="F239">
            <v>106400</v>
          </cell>
          <cell r="G239">
            <v>37944.394595735495</v>
          </cell>
          <cell r="H239">
            <v>6845.5605404264506</v>
          </cell>
          <cell r="I239">
            <v>75301.165944690947</v>
          </cell>
        </row>
        <row r="240">
          <cell r="C240">
            <v>938805330</v>
          </cell>
          <cell r="D240">
            <v>52726</v>
          </cell>
          <cell r="E240">
            <v>933805965</v>
          </cell>
          <cell r="F240">
            <v>517360</v>
          </cell>
          <cell r="G240">
            <v>184501.05251926425</v>
          </cell>
          <cell r="H240">
            <v>33285.894748073573</v>
          </cell>
          <cell r="I240">
            <v>366144.84222880931</v>
          </cell>
        </row>
        <row r="241">
          <cell r="C241">
            <v>938809146</v>
          </cell>
          <cell r="D241">
            <v>138898.66</v>
          </cell>
          <cell r="E241">
            <v>933805949</v>
          </cell>
          <cell r="F241">
            <v>44545</v>
          </cell>
          <cell r="G241">
            <v>15885.649034464639</v>
          </cell>
          <cell r="H241">
            <v>2865.9350965535359</v>
          </cell>
          <cell r="I241">
            <v>31525.286062088897</v>
          </cell>
        </row>
        <row r="242">
          <cell r="C242">
            <v>938809128</v>
          </cell>
          <cell r="D242">
            <v>283490.73</v>
          </cell>
          <cell r="E242">
            <v>933805989</v>
          </cell>
          <cell r="F242">
            <v>44545</v>
          </cell>
          <cell r="G242">
            <v>15885.649034464639</v>
          </cell>
          <cell r="H242">
            <v>2865.9350965535359</v>
          </cell>
          <cell r="I242">
            <v>31525.286062088897</v>
          </cell>
        </row>
        <row r="243">
          <cell r="C243">
            <v>938809148</v>
          </cell>
          <cell r="D243">
            <v>219327.6</v>
          </cell>
          <cell r="E243">
            <v>933802802</v>
          </cell>
          <cell r="F243">
            <v>44545</v>
          </cell>
          <cell r="G243">
            <v>15885.649034464639</v>
          </cell>
          <cell r="H243">
            <v>2865.9350965535359</v>
          </cell>
          <cell r="I243">
            <v>31525.286062088897</v>
          </cell>
        </row>
        <row r="244">
          <cell r="C244">
            <v>938805103</v>
          </cell>
          <cell r="D244">
            <v>408048.63</v>
          </cell>
          <cell r="E244">
            <v>933603344</v>
          </cell>
          <cell r="F244">
            <v>273044.64</v>
          </cell>
          <cell r="G244">
            <v>97373.247767016393</v>
          </cell>
          <cell r="H244">
            <v>17567.13922329836</v>
          </cell>
          <cell r="I244">
            <v>193238.53145628195</v>
          </cell>
        </row>
        <row r="245">
          <cell r="C245">
            <v>933805898</v>
          </cell>
          <cell r="D245">
            <v>309309</v>
          </cell>
          <cell r="E245">
            <v>933805752</v>
          </cell>
          <cell r="F245">
            <v>552759.36</v>
          </cell>
          <cell r="G245">
            <v>197125.18113088544</v>
          </cell>
          <cell r="H245">
            <v>35563.417886911455</v>
          </cell>
          <cell r="I245">
            <v>391197.59675602603</v>
          </cell>
        </row>
        <row r="246">
          <cell r="C246">
            <v>938807198</v>
          </cell>
          <cell r="D246">
            <v>189431.11</v>
          </cell>
          <cell r="E246">
            <v>933805773</v>
          </cell>
          <cell r="F246">
            <v>738327.64</v>
          </cell>
          <cell r="G246">
            <v>263302.58752911788</v>
          </cell>
          <cell r="H246">
            <v>47502.505247088215</v>
          </cell>
          <cell r="I246">
            <v>522527.55771797034</v>
          </cell>
        </row>
        <row r="247">
          <cell r="C247">
            <v>933805660</v>
          </cell>
          <cell r="D247">
            <v>1598420.91</v>
          </cell>
          <cell r="E247">
            <v>933806777</v>
          </cell>
          <cell r="F247">
            <v>277923.55</v>
          </cell>
          <cell r="G247">
            <v>99113.165870748344</v>
          </cell>
          <cell r="H247">
            <v>17881.038412925162</v>
          </cell>
          <cell r="I247">
            <v>196691.42254217679</v>
          </cell>
        </row>
        <row r="248">
          <cell r="C248">
            <v>933805611</v>
          </cell>
          <cell r="D248">
            <v>728460.72</v>
          </cell>
          <cell r="E248">
            <v>933800999</v>
          </cell>
          <cell r="F248">
            <v>279709</v>
          </cell>
          <cell r="G248">
            <v>99749.89349603928</v>
          </cell>
          <cell r="H248">
            <v>17995.910650396072</v>
          </cell>
          <cell r="I248">
            <v>197955.01715435681</v>
          </cell>
        </row>
        <row r="249">
          <cell r="C249">
            <v>933805684</v>
          </cell>
          <cell r="D249">
            <v>498309.98</v>
          </cell>
          <cell r="E249">
            <v>933805588</v>
          </cell>
          <cell r="F249">
            <v>729290.64</v>
          </cell>
          <cell r="G249">
            <v>260079.81033023007</v>
          </cell>
          <cell r="H249">
            <v>46921.082966976996</v>
          </cell>
          <cell r="I249">
            <v>516131.91263674694</v>
          </cell>
        </row>
        <row r="250">
          <cell r="C250">
            <v>933805817</v>
          </cell>
          <cell r="D250">
            <v>348720.81</v>
          </cell>
          <cell r="E250">
            <v>933805877</v>
          </cell>
          <cell r="F250">
            <v>802897</v>
          </cell>
          <cell r="G250">
            <v>286329.32883206994</v>
          </cell>
          <cell r="H250">
            <v>51656.767116793002</v>
          </cell>
          <cell r="I250">
            <v>568224.43828472309</v>
          </cell>
        </row>
        <row r="251">
          <cell r="C251">
            <v>933805634</v>
          </cell>
          <cell r="D251">
            <v>721084.35</v>
          </cell>
          <cell r="E251">
            <v>933805918</v>
          </cell>
          <cell r="F251">
            <v>160194</v>
          </cell>
          <cell r="G251">
            <v>57128.424322079438</v>
          </cell>
          <cell r="H251">
            <v>10306.557567792057</v>
          </cell>
          <cell r="I251">
            <v>113372.13324571263</v>
          </cell>
        </row>
        <row r="252">
          <cell r="C252">
            <v>933805818</v>
          </cell>
          <cell r="D252">
            <v>99616</v>
          </cell>
          <cell r="E252">
            <v>933805782</v>
          </cell>
          <cell r="F252">
            <v>784823</v>
          </cell>
          <cell r="G252">
            <v>279883.77443429432</v>
          </cell>
          <cell r="H252">
            <v>50493.922556570564</v>
          </cell>
          <cell r="I252">
            <v>555433.1481222763</v>
          </cell>
        </row>
        <row r="253">
          <cell r="C253">
            <v>933805965</v>
          </cell>
          <cell r="D253">
            <v>1929618.57</v>
          </cell>
          <cell r="E253">
            <v>933805727</v>
          </cell>
          <cell r="F253">
            <v>52727</v>
          </cell>
          <cell r="G253">
            <v>18803.515919636706</v>
          </cell>
          <cell r="H253">
            <v>3392.3484080363296</v>
          </cell>
          <cell r="I253">
            <v>37315.832488399625</v>
          </cell>
        </row>
        <row r="254">
          <cell r="C254">
            <v>933805981</v>
          </cell>
          <cell r="D254">
            <v>203979.33</v>
          </cell>
          <cell r="E254">
            <v>933805854</v>
          </cell>
          <cell r="F254">
            <v>57272</v>
          </cell>
          <cell r="G254">
            <v>20424.354955704544</v>
          </cell>
          <cell r="H254">
            <v>3684.7645044295455</v>
          </cell>
          <cell r="I254">
            <v>40532.409548724994</v>
          </cell>
        </row>
        <row r="255">
          <cell r="C255">
            <v>933805656</v>
          </cell>
          <cell r="D255">
            <v>644560.18000000005</v>
          </cell>
          <cell r="E255">
            <v>933805874</v>
          </cell>
          <cell r="F255">
            <v>391687</v>
          </cell>
          <cell r="G255">
            <v>139683.51584605122</v>
          </cell>
          <cell r="H255">
            <v>25200.348415394878</v>
          </cell>
          <cell r="I255">
            <v>277203.83256934368</v>
          </cell>
        </row>
        <row r="256">
          <cell r="C256">
            <v>933805635</v>
          </cell>
          <cell r="D256">
            <v>552277.21</v>
          </cell>
          <cell r="E256">
            <v>933805907</v>
          </cell>
          <cell r="F256">
            <v>403293</v>
          </cell>
          <cell r="G256">
            <v>143822.45046708605</v>
          </cell>
          <cell r="H256">
            <v>25947.054953291397</v>
          </cell>
          <cell r="I256">
            <v>285417.60448620532</v>
          </cell>
        </row>
        <row r="257">
          <cell r="C257">
            <v>933805698</v>
          </cell>
          <cell r="D257">
            <v>476080.25</v>
          </cell>
          <cell r="E257">
            <v>933805911</v>
          </cell>
          <cell r="F257">
            <v>428278</v>
          </cell>
          <cell r="G257">
            <v>152732.60741233465</v>
          </cell>
          <cell r="H257">
            <v>27554.539258766537</v>
          </cell>
          <cell r="I257">
            <v>303099.93184643186</v>
          </cell>
        </row>
        <row r="258">
          <cell r="C258">
            <v>933805989</v>
          </cell>
          <cell r="D258">
            <v>186412.76</v>
          </cell>
          <cell r="E258">
            <v>933805914</v>
          </cell>
          <cell r="F258">
            <v>207944</v>
          </cell>
          <cell r="G258">
            <v>74157.041257665624</v>
          </cell>
          <cell r="H258">
            <v>13378.695874233439</v>
          </cell>
          <cell r="I258">
            <v>147165.65461656783</v>
          </cell>
        </row>
        <row r="259">
          <cell r="C259">
            <v>933805948</v>
          </cell>
          <cell r="D259">
            <v>673257.59</v>
          </cell>
          <cell r="E259">
            <v>933805943</v>
          </cell>
          <cell r="F259">
            <v>968948.64</v>
          </cell>
          <cell r="G259">
            <v>345546.70619512466</v>
          </cell>
          <cell r="H259">
            <v>62340.19338048753</v>
          </cell>
          <cell r="I259">
            <v>685742.12718536286</v>
          </cell>
        </row>
        <row r="260">
          <cell r="C260">
            <v>933805951</v>
          </cell>
          <cell r="D260">
            <v>708390.12</v>
          </cell>
          <cell r="E260">
            <v>933805720</v>
          </cell>
          <cell r="F260">
            <v>233311</v>
          </cell>
          <cell r="G260">
            <v>83203.427138398911</v>
          </cell>
          <cell r="H260">
            <v>15010.757286160109</v>
          </cell>
          <cell r="I260">
            <v>165118.33014776118</v>
          </cell>
        </row>
        <row r="261">
          <cell r="C261">
            <v>933805971</v>
          </cell>
          <cell r="D261">
            <v>730428.94</v>
          </cell>
          <cell r="E261">
            <v>933806010</v>
          </cell>
          <cell r="F261">
            <v>156382</v>
          </cell>
          <cell r="G261">
            <v>55768.987929232215</v>
          </cell>
          <cell r="H261">
            <v>10061.30120707678</v>
          </cell>
          <cell r="I261">
            <v>110674.31327784457</v>
          </cell>
        </row>
        <row r="262">
          <cell r="C262">
            <v>933800789</v>
          </cell>
          <cell r="D262">
            <v>301718.94</v>
          </cell>
          <cell r="E262">
            <v>933805607</v>
          </cell>
          <cell r="F262">
            <v>832083</v>
          </cell>
          <cell r="G262">
            <v>296737.6474474002</v>
          </cell>
          <cell r="H262">
            <v>53534.535255259972</v>
          </cell>
          <cell r="I262">
            <v>588879.88780785969</v>
          </cell>
        </row>
        <row r="263">
          <cell r="C263">
            <v>937561177</v>
          </cell>
          <cell r="D263">
            <v>374342.18</v>
          </cell>
          <cell r="E263">
            <v>933805626</v>
          </cell>
          <cell r="F263">
            <v>182849</v>
          </cell>
          <cell r="G263">
            <v>65207.656084921429</v>
          </cell>
          <cell r="H263">
            <v>11764.134391507858</v>
          </cell>
          <cell r="I263">
            <v>129405.47830658643</v>
          </cell>
        </row>
        <row r="264">
          <cell r="C264">
            <v>933805752</v>
          </cell>
          <cell r="D264">
            <v>355710.67</v>
          </cell>
          <cell r="E264">
            <v>933805645</v>
          </cell>
          <cell r="F264">
            <v>338733</v>
          </cell>
          <cell r="G264">
            <v>120799.04712967359</v>
          </cell>
          <cell r="H264">
            <v>21793.395287032639</v>
          </cell>
          <cell r="I264">
            <v>239727.34815735905</v>
          </cell>
        </row>
        <row r="265">
          <cell r="C265">
            <v>933805761</v>
          </cell>
          <cell r="D265">
            <v>1402374.69</v>
          </cell>
          <cell r="E265">
            <v>933806002</v>
          </cell>
          <cell r="F265">
            <v>210449</v>
          </cell>
          <cell r="G265">
            <v>75050.374983815214</v>
          </cell>
          <cell r="H265">
            <v>13539.862501618478</v>
          </cell>
          <cell r="I265">
            <v>148938.48751780327</v>
          </cell>
        </row>
        <row r="266">
          <cell r="C266">
            <v>933805774</v>
          </cell>
          <cell r="D266">
            <v>331134.21999999997</v>
          </cell>
          <cell r="E266">
            <v>933805722</v>
          </cell>
          <cell r="F266">
            <v>95689</v>
          </cell>
          <cell r="G266">
            <v>34124.635098414794</v>
          </cell>
          <cell r="H266">
            <v>6156.4364901585204</v>
          </cell>
          <cell r="I266">
            <v>67720.80139174372</v>
          </cell>
        </row>
        <row r="267">
          <cell r="C267">
            <v>933800999</v>
          </cell>
          <cell r="D267">
            <v>218345.15</v>
          </cell>
          <cell r="E267">
            <v>933805714</v>
          </cell>
          <cell r="F267">
            <v>722292</v>
          </cell>
          <cell r="G267">
            <v>257583.95358405059</v>
          </cell>
          <cell r="H267">
            <v>46470.804641594943</v>
          </cell>
          <cell r="I267">
            <v>511178.85105754435</v>
          </cell>
        </row>
        <row r="268">
          <cell r="C268">
            <v>933805900</v>
          </cell>
          <cell r="D268">
            <v>1046358.17</v>
          </cell>
          <cell r="E268">
            <v>933806301</v>
          </cell>
          <cell r="F268">
            <v>68180</v>
          </cell>
          <cell r="G268">
            <v>24314.368642267353</v>
          </cell>
          <cell r="H268">
            <v>4386.5631357732645</v>
          </cell>
          <cell r="I268">
            <v>48252.194493505915</v>
          </cell>
        </row>
        <row r="269">
          <cell r="C269">
            <v>933805915</v>
          </cell>
          <cell r="D269">
            <v>273475.8</v>
          </cell>
          <cell r="E269">
            <v>933806396</v>
          </cell>
          <cell r="F269">
            <v>210628</v>
          </cell>
          <cell r="G269">
            <v>75114.210008558046</v>
          </cell>
          <cell r="H269">
            <v>13551.378999144194</v>
          </cell>
          <cell r="I269">
            <v>149065.16899058613</v>
          </cell>
        </row>
        <row r="270">
          <cell r="C270">
            <v>933805790</v>
          </cell>
          <cell r="D270">
            <v>447400.91</v>
          </cell>
          <cell r="E270">
            <v>933805601</v>
          </cell>
          <cell r="F270">
            <v>408129</v>
          </cell>
          <cell r="G270">
            <v>145547.06599589222</v>
          </cell>
          <cell r="H270">
            <v>26258.193400410775</v>
          </cell>
          <cell r="I270">
            <v>288840.12740451854</v>
          </cell>
        </row>
        <row r="271">
          <cell r="C271">
            <v>933805893</v>
          </cell>
          <cell r="D271">
            <v>625126.18000000005</v>
          </cell>
          <cell r="E271">
            <v>933806256</v>
          </cell>
          <cell r="F271">
            <v>247269</v>
          </cell>
          <cell r="G271">
            <v>88181.132587339482</v>
          </cell>
          <cell r="H271">
            <v>15908.786741266051</v>
          </cell>
          <cell r="I271">
            <v>174996.65415392656</v>
          </cell>
        </row>
        <row r="272">
          <cell r="C272">
            <v>933805914</v>
          </cell>
          <cell r="D272">
            <v>358728.69</v>
          </cell>
          <cell r="E272">
            <v>933806391</v>
          </cell>
          <cell r="F272">
            <v>138047</v>
          </cell>
          <cell r="G272">
            <v>49230.355646217089</v>
          </cell>
          <cell r="H272">
            <v>8881.6644353782904</v>
          </cell>
          <cell r="I272">
            <v>97698.308789161194</v>
          </cell>
        </row>
        <row r="273">
          <cell r="C273">
            <v>933805785</v>
          </cell>
          <cell r="D273">
            <v>1044103.69</v>
          </cell>
          <cell r="E273">
            <v>933806461</v>
          </cell>
          <cell r="F273">
            <v>224936</v>
          </cell>
          <cell r="G273">
            <v>80216.732544984581</v>
          </cell>
          <cell r="H273">
            <v>14471.926745501543</v>
          </cell>
          <cell r="I273">
            <v>159191.19420051697</v>
          </cell>
        </row>
        <row r="274">
          <cell r="C274">
            <v>933805607</v>
          </cell>
          <cell r="D274">
            <v>57271</v>
          </cell>
          <cell r="E274">
            <v>933806486</v>
          </cell>
          <cell r="F274">
            <v>210698</v>
          </cell>
          <cell r="G274">
            <v>75139.173426055233</v>
          </cell>
          <cell r="H274">
            <v>13555.882657394477</v>
          </cell>
          <cell r="I274">
            <v>149114.70923133925</v>
          </cell>
        </row>
        <row r="275">
          <cell r="C275">
            <v>933805845</v>
          </cell>
          <cell r="D275">
            <v>542933.03</v>
          </cell>
          <cell r="E275">
            <v>933806491</v>
          </cell>
          <cell r="F275">
            <v>426650</v>
          </cell>
          <cell r="G275">
            <v>152152.02964539989</v>
          </cell>
          <cell r="H275">
            <v>27449.797035460011</v>
          </cell>
          <cell r="I275">
            <v>301947.76739006012</v>
          </cell>
        </row>
        <row r="276">
          <cell r="C276">
            <v>933805733</v>
          </cell>
          <cell r="D276">
            <v>534817.13</v>
          </cell>
          <cell r="E276">
            <v>933805967</v>
          </cell>
          <cell r="F276">
            <v>141826</v>
          </cell>
          <cell r="G276">
            <v>50578.023570815625</v>
          </cell>
          <cell r="H276">
            <v>9124.7976429184382</v>
          </cell>
          <cell r="I276">
            <v>100372.77407210281</v>
          </cell>
        </row>
        <row r="277">
          <cell r="C277">
            <v>933805741</v>
          </cell>
          <cell r="D277">
            <v>204493.84</v>
          </cell>
          <cell r="E277">
            <v>933806427</v>
          </cell>
          <cell r="F277">
            <v>249801.91</v>
          </cell>
          <cell r="G277">
            <v>89084.419584665462</v>
          </cell>
          <cell r="H277">
            <v>16071.749041533452</v>
          </cell>
          <cell r="I277">
            <v>176789.23945686797</v>
          </cell>
        </row>
        <row r="278">
          <cell r="C278">
            <v>933805715</v>
          </cell>
          <cell r="D278">
            <v>187206.86</v>
          </cell>
          <cell r="E278">
            <v>933806553</v>
          </cell>
          <cell r="F278">
            <v>1494778</v>
          </cell>
          <cell r="G278">
            <v>533068.10399458942</v>
          </cell>
          <cell r="H278">
            <v>96170.989600541056</v>
          </cell>
          <cell r="I278">
            <v>1057880.8856059515</v>
          </cell>
        </row>
        <row r="279">
          <cell r="C279">
            <v>933805716</v>
          </cell>
          <cell r="D279">
            <v>236232.92</v>
          </cell>
          <cell r="E279">
            <v>933806600</v>
          </cell>
          <cell r="F279">
            <v>518697.64</v>
          </cell>
          <cell r="G279">
            <v>184978.08203042063</v>
          </cell>
          <cell r="H279">
            <v>33371.95579695794</v>
          </cell>
          <cell r="I279">
            <v>367091.5137665373</v>
          </cell>
        </row>
        <row r="280">
          <cell r="C280">
            <v>933806015</v>
          </cell>
          <cell r="D280">
            <v>436997.32</v>
          </cell>
          <cell r="E280">
            <v>933805896</v>
          </cell>
          <cell r="F280">
            <v>345875</v>
          </cell>
          <cell r="G280">
            <v>123346.02895488736</v>
          </cell>
          <cell r="H280">
            <v>22252.897104511267</v>
          </cell>
          <cell r="I280">
            <v>244781.86814962392</v>
          </cell>
        </row>
        <row r="281">
          <cell r="C281">
            <v>933805991</v>
          </cell>
          <cell r="D281">
            <v>261070.42</v>
          </cell>
          <cell r="E281">
            <v>933805806</v>
          </cell>
          <cell r="F281">
            <v>353352</v>
          </cell>
          <cell r="G281">
            <v>126012.47856383769</v>
          </cell>
          <cell r="H281">
            <v>22733.952143616229</v>
          </cell>
          <cell r="I281">
            <v>250073.47357977851</v>
          </cell>
        </row>
        <row r="282">
          <cell r="C282">
            <v>933805992</v>
          </cell>
          <cell r="D282">
            <v>452871.13</v>
          </cell>
          <cell r="E282">
            <v>933806092</v>
          </cell>
          <cell r="F282">
            <v>326871</v>
          </cell>
          <cell r="G282">
            <v>116568.81772464902</v>
          </cell>
          <cell r="H282">
            <v>21030.218227535093</v>
          </cell>
          <cell r="I282">
            <v>231332.40050288604</v>
          </cell>
        </row>
        <row r="283">
          <cell r="C283">
            <v>933805958</v>
          </cell>
          <cell r="D283">
            <v>384321.18</v>
          </cell>
          <cell r="E283">
            <v>933806115</v>
          </cell>
          <cell r="F283">
            <v>984483</v>
          </cell>
          <cell r="G283">
            <v>351086.57354129199</v>
          </cell>
          <cell r="H283">
            <v>63339.642645870801</v>
          </cell>
          <cell r="I283">
            <v>696736.06910457881</v>
          </cell>
        </row>
        <row r="284">
          <cell r="C284">
            <v>933805995</v>
          </cell>
          <cell r="D284">
            <v>164329.63</v>
          </cell>
          <cell r="E284">
            <v>908003589</v>
          </cell>
          <cell r="F284">
            <v>390614.64</v>
          </cell>
          <cell r="G284">
            <v>139301.09055480419</v>
          </cell>
          <cell r="H284">
            <v>25131.354944519582</v>
          </cell>
          <cell r="I284">
            <v>276444.9043897154</v>
          </cell>
        </row>
        <row r="285">
          <cell r="C285">
            <v>933805857</v>
          </cell>
          <cell r="D285">
            <v>811510.79</v>
          </cell>
          <cell r="E285">
            <v>933800722</v>
          </cell>
          <cell r="F285">
            <v>472547</v>
          </cell>
          <cell r="G285">
            <v>168519.82925781034</v>
          </cell>
          <cell r="H285">
            <v>30402.717074218959</v>
          </cell>
          <cell r="I285">
            <v>334429.88781640859</v>
          </cell>
        </row>
        <row r="286">
          <cell r="C286">
            <v>933805839</v>
          </cell>
          <cell r="D286">
            <v>373215.7</v>
          </cell>
          <cell r="E286">
            <v>933806212</v>
          </cell>
          <cell r="F286">
            <v>254516.64</v>
          </cell>
          <cell r="G286">
            <v>90765.787775759003</v>
          </cell>
          <cell r="H286">
            <v>16375.085222424101</v>
          </cell>
          <cell r="I286">
            <v>180125.93744666511</v>
          </cell>
        </row>
        <row r="287">
          <cell r="C287">
            <v>933805704</v>
          </cell>
          <cell r="D287">
            <v>283793.24</v>
          </cell>
          <cell r="E287">
            <v>933805820</v>
          </cell>
          <cell r="F287">
            <v>455062.91</v>
          </cell>
          <cell r="G287">
            <v>162284.64871168858</v>
          </cell>
          <cell r="H287">
            <v>29277.826128831137</v>
          </cell>
          <cell r="I287">
            <v>322056.08741714252</v>
          </cell>
        </row>
        <row r="288">
          <cell r="C288">
            <v>933806017</v>
          </cell>
          <cell r="D288">
            <v>466834.23</v>
          </cell>
          <cell r="E288">
            <v>933806202</v>
          </cell>
          <cell r="F288">
            <v>341619</v>
          </cell>
          <cell r="G288">
            <v>121828.25317105795</v>
          </cell>
          <cell r="H288">
            <v>21979.074682894206</v>
          </cell>
          <cell r="I288">
            <v>241769.82151183626</v>
          </cell>
        </row>
        <row r="289">
          <cell r="C289">
            <v>933806030</v>
          </cell>
          <cell r="D289">
            <v>482404.84</v>
          </cell>
          <cell r="E289">
            <v>933806195</v>
          </cell>
          <cell r="F289">
            <v>381737</v>
          </cell>
          <cell r="G289">
            <v>136135.14435895</v>
          </cell>
          <cell r="H289">
            <v>24560.185564104999</v>
          </cell>
          <cell r="I289">
            <v>270162.04120515502</v>
          </cell>
        </row>
        <row r="290">
          <cell r="C290">
            <v>933806143</v>
          </cell>
          <cell r="D290">
            <v>44545</v>
          </cell>
          <cell r="E290">
            <v>933802222</v>
          </cell>
          <cell r="F290">
            <v>452404</v>
          </cell>
          <cell r="G290">
            <v>161336.42756286767</v>
          </cell>
          <cell r="H290">
            <v>29106.757243713233</v>
          </cell>
          <cell r="I290">
            <v>320174.32968084561</v>
          </cell>
        </row>
        <row r="291">
          <cell r="C291">
            <v>933805640</v>
          </cell>
          <cell r="D291">
            <v>377396.9</v>
          </cell>
          <cell r="E291">
            <v>933806078</v>
          </cell>
          <cell r="F291">
            <v>336997</v>
          </cell>
          <cell r="G291">
            <v>120179.95437574317</v>
          </cell>
          <cell r="H291">
            <v>21681.704562425683</v>
          </cell>
          <cell r="I291">
            <v>238498.7501866825</v>
          </cell>
        </row>
        <row r="292">
          <cell r="C292">
            <v>908003589</v>
          </cell>
          <cell r="D292">
            <v>608987.80000000005</v>
          </cell>
          <cell r="E292">
            <v>933806208</v>
          </cell>
          <cell r="F292">
            <v>52727</v>
          </cell>
          <cell r="G292">
            <v>18803.515919636706</v>
          </cell>
          <cell r="H292">
            <v>3392.3484080363296</v>
          </cell>
          <cell r="I292">
            <v>37315.832488399625</v>
          </cell>
        </row>
        <row r="293">
          <cell r="C293">
            <v>933806072</v>
          </cell>
          <cell r="D293">
            <v>1456624.27</v>
          </cell>
          <cell r="E293">
            <v>933806150</v>
          </cell>
          <cell r="F293">
            <v>250693</v>
          </cell>
          <cell r="G293">
            <v>89402.20032320224</v>
          </cell>
          <cell r="H293">
            <v>16129.079967679778</v>
          </cell>
          <cell r="I293">
            <v>177419.87964447754</v>
          </cell>
        </row>
        <row r="294">
          <cell r="C294">
            <v>933806157</v>
          </cell>
          <cell r="D294">
            <v>179468.76</v>
          </cell>
          <cell r="E294">
            <v>903702029</v>
          </cell>
          <cell r="F294">
            <v>363623.86</v>
          </cell>
          <cell r="G294">
            <v>129675.63184459097</v>
          </cell>
          <cell r="H294">
            <v>23394.822815540902</v>
          </cell>
          <cell r="I294">
            <v>257343.05097094993</v>
          </cell>
        </row>
        <row r="295">
          <cell r="C295">
            <v>933806094</v>
          </cell>
          <cell r="D295">
            <v>420730.23</v>
          </cell>
          <cell r="E295">
            <v>933806245</v>
          </cell>
          <cell r="F295">
            <v>439217.73</v>
          </cell>
          <cell r="G295">
            <v>156633.93665942867</v>
          </cell>
          <cell r="H295">
            <v>28258.379334057132</v>
          </cell>
          <cell r="I295">
            <v>310842.1726746285</v>
          </cell>
        </row>
        <row r="296">
          <cell r="C296">
            <v>933806112</v>
          </cell>
          <cell r="D296">
            <v>286510.68</v>
          </cell>
          <cell r="E296">
            <v>933806293</v>
          </cell>
          <cell r="F296">
            <v>449275</v>
          </cell>
          <cell r="G296">
            <v>160220.56280074309</v>
          </cell>
          <cell r="H296">
            <v>28905.44371992569</v>
          </cell>
          <cell r="I296">
            <v>317959.88091918261</v>
          </cell>
        </row>
        <row r="297">
          <cell r="C297">
            <v>933806146</v>
          </cell>
          <cell r="D297">
            <v>288626.38</v>
          </cell>
          <cell r="E297">
            <v>933806101</v>
          </cell>
          <cell r="F297">
            <v>332456</v>
          </cell>
          <cell r="G297">
            <v>118560.54182067518</v>
          </cell>
          <cell r="H297">
            <v>21389.545817932481</v>
          </cell>
          <cell r="I297">
            <v>235285.0039972573</v>
          </cell>
        </row>
        <row r="298">
          <cell r="C298">
            <v>933806126</v>
          </cell>
          <cell r="D298">
            <v>434111.73</v>
          </cell>
          <cell r="E298">
            <v>933806285</v>
          </cell>
          <cell r="F298">
            <v>242278</v>
          </cell>
          <cell r="G298">
            <v>86401.240919789518</v>
          </cell>
          <cell r="H298">
            <v>15587.675908021047</v>
          </cell>
          <cell r="I298">
            <v>171464.43498823151</v>
          </cell>
        </row>
        <row r="299">
          <cell r="C299">
            <v>933806077</v>
          </cell>
          <cell r="D299">
            <v>391086.55</v>
          </cell>
          <cell r="E299">
            <v>933806288</v>
          </cell>
          <cell r="F299">
            <v>525898.64</v>
          </cell>
          <cell r="G299">
            <v>187546.104450382</v>
          </cell>
          <cell r="H299">
            <v>33835.253554961804</v>
          </cell>
          <cell r="I299">
            <v>372187.78910457983</v>
          </cell>
        </row>
        <row r="300">
          <cell r="C300">
            <v>933806334</v>
          </cell>
          <cell r="D300">
            <v>297344.99</v>
          </cell>
          <cell r="E300">
            <v>933806335</v>
          </cell>
          <cell r="F300">
            <v>218646</v>
          </cell>
          <cell r="G300">
            <v>77973.591172736677</v>
          </cell>
          <cell r="H300">
            <v>14067.240882726335</v>
          </cell>
          <cell r="I300">
            <v>154739.64970998967</v>
          </cell>
        </row>
        <row r="301">
          <cell r="C301">
            <v>933806202</v>
          </cell>
          <cell r="D301">
            <v>241529.93</v>
          </cell>
          <cell r="E301">
            <v>933806334</v>
          </cell>
          <cell r="F301">
            <v>336102.28</v>
          </cell>
          <cell r="G301">
            <v>119860.87910569904</v>
          </cell>
          <cell r="H301">
            <v>21624.140089430097</v>
          </cell>
          <cell r="I301">
            <v>237865.54098373107</v>
          </cell>
        </row>
        <row r="302">
          <cell r="C302">
            <v>933806194</v>
          </cell>
          <cell r="D302">
            <v>207298.17</v>
          </cell>
          <cell r="E302">
            <v>933806299</v>
          </cell>
          <cell r="F302">
            <v>72909</v>
          </cell>
          <cell r="G302">
            <v>26000.825804327815</v>
          </cell>
          <cell r="H302">
            <v>4690.8174195672182</v>
          </cell>
          <cell r="I302">
            <v>51598.9916152394</v>
          </cell>
        </row>
        <row r="303">
          <cell r="C303">
            <v>933806230</v>
          </cell>
          <cell r="D303">
            <v>339819.14</v>
          </cell>
          <cell r="E303">
            <v>933806351</v>
          </cell>
          <cell r="F303">
            <v>453699</v>
          </cell>
          <cell r="G303">
            <v>161798.25078656577</v>
          </cell>
          <cell r="H303">
            <v>29190.074921343425</v>
          </cell>
          <cell r="I303">
            <v>321090.82413477765</v>
          </cell>
        </row>
        <row r="304">
          <cell r="C304">
            <v>933806255</v>
          </cell>
          <cell r="D304">
            <v>401965.85</v>
          </cell>
          <cell r="E304">
            <v>933805369</v>
          </cell>
          <cell r="F304">
            <v>355124</v>
          </cell>
          <cell r="G304">
            <v>126644.40964676667</v>
          </cell>
          <cell r="H304">
            <v>22847.959035323333</v>
          </cell>
          <cell r="I304">
            <v>251327.54938855665</v>
          </cell>
        </row>
        <row r="305">
          <cell r="C305">
            <v>933806038</v>
          </cell>
          <cell r="D305">
            <v>569379.38</v>
          </cell>
          <cell r="E305">
            <v>933805264</v>
          </cell>
          <cell r="F305">
            <v>170058</v>
          </cell>
          <cell r="G305">
            <v>60646.126467684095</v>
          </cell>
          <cell r="H305">
            <v>10941.187353231589</v>
          </cell>
          <cell r="I305">
            <v>120353.0608855475</v>
          </cell>
        </row>
        <row r="306">
          <cell r="C306">
            <v>933802222</v>
          </cell>
          <cell r="D306">
            <v>474843.76</v>
          </cell>
          <cell r="E306">
            <v>933805214</v>
          </cell>
          <cell r="F306">
            <v>44545</v>
          </cell>
          <cell r="G306">
            <v>15885.649034464639</v>
          </cell>
          <cell r="H306">
            <v>2865.9350965535359</v>
          </cell>
          <cell r="I306">
            <v>31525.286062088897</v>
          </cell>
        </row>
        <row r="307">
          <cell r="C307">
            <v>933806185</v>
          </cell>
          <cell r="D307">
            <v>259117.26</v>
          </cell>
          <cell r="E307">
            <v>933805290</v>
          </cell>
          <cell r="F307">
            <v>420549</v>
          </cell>
          <cell r="G307">
            <v>149976.28950039443</v>
          </cell>
          <cell r="H307">
            <v>27057.27104996056</v>
          </cell>
          <cell r="I307">
            <v>297629.98154956615</v>
          </cell>
        </row>
        <row r="308">
          <cell r="C308">
            <v>933806216</v>
          </cell>
          <cell r="D308">
            <v>133555.63</v>
          </cell>
          <cell r="E308">
            <v>933805295</v>
          </cell>
          <cell r="F308">
            <v>535555.64</v>
          </cell>
          <cell r="G308">
            <v>190989.98620424498</v>
          </cell>
          <cell r="H308">
            <v>34456.565379575499</v>
          </cell>
          <cell r="I308">
            <v>379022.21917533048</v>
          </cell>
        </row>
        <row r="309">
          <cell r="C309">
            <v>933806452</v>
          </cell>
          <cell r="D309">
            <v>44545</v>
          </cell>
          <cell r="E309">
            <v>933805283</v>
          </cell>
          <cell r="F309">
            <v>201153</v>
          </cell>
          <cell r="G309">
            <v>71735.233140187804</v>
          </cell>
          <cell r="H309">
            <v>12941.77668598122</v>
          </cell>
          <cell r="I309">
            <v>142359.54354579342</v>
          </cell>
        </row>
        <row r="310">
          <cell r="C310">
            <v>933806615</v>
          </cell>
          <cell r="D310">
            <v>384889.96</v>
          </cell>
          <cell r="E310">
            <v>933805307</v>
          </cell>
          <cell r="F310">
            <v>318666</v>
          </cell>
          <cell r="G310">
            <v>113642.74857372791</v>
          </cell>
          <cell r="H310">
            <v>20502.325142627211</v>
          </cell>
          <cell r="I310">
            <v>225525.5765688993</v>
          </cell>
        </row>
        <row r="311">
          <cell r="C311">
            <v>933806603</v>
          </cell>
          <cell r="D311">
            <v>265228.99</v>
          </cell>
          <cell r="E311">
            <v>933805297</v>
          </cell>
          <cell r="F311">
            <v>223696.64000000001</v>
          </cell>
          <cell r="G311">
            <v>79774.751671994251</v>
          </cell>
          <cell r="H311">
            <v>14392.188832800577</v>
          </cell>
          <cell r="I311">
            <v>158314.07716080634</v>
          </cell>
        </row>
        <row r="312">
          <cell r="C312">
            <v>933805970</v>
          </cell>
          <cell r="D312">
            <v>262362.78999999998</v>
          </cell>
          <cell r="E312">
            <v>933806046</v>
          </cell>
          <cell r="F312">
            <v>462583.64</v>
          </cell>
          <cell r="G312">
            <v>164966.6933241697</v>
          </cell>
          <cell r="H312">
            <v>29761.69466758303</v>
          </cell>
          <cell r="I312">
            <v>327378.64134341333</v>
          </cell>
        </row>
        <row r="313">
          <cell r="C313">
            <v>933806601</v>
          </cell>
          <cell r="D313">
            <v>286092.63</v>
          </cell>
          <cell r="E313">
            <v>933805256</v>
          </cell>
          <cell r="F313">
            <v>369306</v>
          </cell>
          <cell r="G313">
            <v>131701.99803169823</v>
          </cell>
          <cell r="H313">
            <v>23760.400196830178</v>
          </cell>
          <cell r="I313">
            <v>261364.40216513196</v>
          </cell>
        </row>
        <row r="314">
          <cell r="C314">
            <v>933806903</v>
          </cell>
          <cell r="D314">
            <v>323003.8</v>
          </cell>
          <cell r="E314">
            <v>933806649</v>
          </cell>
          <cell r="F314">
            <v>254892</v>
          </cell>
          <cell r="G314">
            <v>90899.648752783949</v>
          </cell>
          <cell r="H314">
            <v>16399.235124721607</v>
          </cell>
          <cell r="I314">
            <v>180391.58637193765</v>
          </cell>
        </row>
        <row r="315">
          <cell r="C315">
            <v>933806045</v>
          </cell>
          <cell r="D315">
            <v>355076.57</v>
          </cell>
          <cell r="E315">
            <v>938805074</v>
          </cell>
          <cell r="F315">
            <v>667014</v>
          </cell>
          <cell r="G315">
            <v>237870.69940676613</v>
          </cell>
          <cell r="H315">
            <v>42914.330059323387</v>
          </cell>
          <cell r="I315">
            <v>472057.6306525573</v>
          </cell>
        </row>
        <row r="316">
          <cell r="C316">
            <v>933806478</v>
          </cell>
          <cell r="D316">
            <v>224117.28</v>
          </cell>
          <cell r="E316">
            <v>938508141</v>
          </cell>
          <cell r="F316">
            <v>136954</v>
          </cell>
          <cell r="G316">
            <v>48840.569713010889</v>
          </cell>
          <cell r="H316">
            <v>8811.3430286989096</v>
          </cell>
          <cell r="I316">
            <v>96924.773315688013</v>
          </cell>
        </row>
        <row r="317">
          <cell r="C317">
            <v>933806485</v>
          </cell>
          <cell r="D317">
            <v>427290.56</v>
          </cell>
          <cell r="E317">
            <v>933806133</v>
          </cell>
          <cell r="F317">
            <v>453293</v>
          </cell>
          <cell r="G317">
            <v>161653.46296508206</v>
          </cell>
          <cell r="H317">
            <v>29163.953703491799</v>
          </cell>
          <cell r="I317">
            <v>320803.49073840975</v>
          </cell>
        </row>
        <row r="318">
          <cell r="C318">
            <v>933806851</v>
          </cell>
          <cell r="D318">
            <v>406824.01</v>
          </cell>
          <cell r="E318">
            <v>933805261</v>
          </cell>
          <cell r="F318">
            <v>889129</v>
          </cell>
          <cell r="G318">
            <v>317081.40622661379</v>
          </cell>
          <cell r="H318">
            <v>57204.759377338625</v>
          </cell>
          <cell r="I318">
            <v>629252.35315072478</v>
          </cell>
        </row>
        <row r="319">
          <cell r="C319">
            <v>933806711</v>
          </cell>
          <cell r="D319">
            <v>537018.42000000004</v>
          </cell>
          <cell r="E319">
            <v>933805901</v>
          </cell>
          <cell r="F319">
            <v>125480</v>
          </cell>
          <cell r="G319">
            <v>44748.70896497077</v>
          </cell>
          <cell r="H319">
            <v>8073.1291035029226</v>
          </cell>
          <cell r="I319">
            <v>88804.42013853215</v>
          </cell>
        </row>
        <row r="320">
          <cell r="C320">
            <v>933805584</v>
          </cell>
          <cell r="D320">
            <v>329222.5</v>
          </cell>
          <cell r="E320">
            <v>938805073</v>
          </cell>
          <cell r="F320">
            <v>484491</v>
          </cell>
          <cell r="G320">
            <v>172779.30152333164</v>
          </cell>
          <cell r="H320">
            <v>31171.169847666835</v>
          </cell>
          <cell r="I320">
            <v>342882.86832433514</v>
          </cell>
        </row>
        <row r="321">
          <cell r="C321">
            <v>933805795</v>
          </cell>
          <cell r="D321">
            <v>203023.18</v>
          </cell>
          <cell r="E321">
            <v>938508153</v>
          </cell>
          <cell r="F321">
            <v>94688</v>
          </cell>
          <cell r="G321">
            <v>33767.658228204913</v>
          </cell>
          <cell r="H321">
            <v>6092.0341771795092</v>
          </cell>
          <cell r="I321">
            <v>67012.375948974601</v>
          </cell>
        </row>
        <row r="322">
          <cell r="C322">
            <v>933806822</v>
          </cell>
          <cell r="D322">
            <v>242772.09</v>
          </cell>
          <cell r="E322">
            <v>933806943</v>
          </cell>
          <cell r="F322">
            <v>240713</v>
          </cell>
          <cell r="G322">
            <v>85843.13022860224</v>
          </cell>
          <cell r="H322">
            <v>15486.986977139777</v>
          </cell>
          <cell r="I322">
            <v>170356.85674853754</v>
          </cell>
        </row>
        <row r="323">
          <cell r="C323">
            <v>933806754</v>
          </cell>
          <cell r="D323">
            <v>382274.52</v>
          </cell>
          <cell r="E323">
            <v>933806979</v>
          </cell>
          <cell r="F323">
            <v>71778</v>
          </cell>
          <cell r="G323">
            <v>25597.488301623143</v>
          </cell>
          <cell r="H323">
            <v>4618.0511698376849</v>
          </cell>
          <cell r="I323">
            <v>50798.56286821454</v>
          </cell>
        </row>
        <row r="324">
          <cell r="C324">
            <v>933806610</v>
          </cell>
          <cell r="D324">
            <v>553463.56999999995</v>
          </cell>
          <cell r="E324">
            <v>933806940</v>
          </cell>
          <cell r="F324">
            <v>246630</v>
          </cell>
          <cell r="G324">
            <v>87953.252247615092</v>
          </cell>
          <cell r="H324">
            <v>15867.674775238493</v>
          </cell>
          <cell r="I324">
            <v>174544.42252762342</v>
          </cell>
        </row>
        <row r="325">
          <cell r="C325">
            <v>933805765</v>
          </cell>
          <cell r="D325">
            <v>164465.46</v>
          </cell>
          <cell r="E325">
            <v>933806478</v>
          </cell>
          <cell r="F325">
            <v>58938</v>
          </cell>
          <cell r="G325">
            <v>21018.484292137768</v>
          </cell>
          <cell r="H325">
            <v>3791.9515707862224</v>
          </cell>
          <cell r="I325">
            <v>41711.467278648452</v>
          </cell>
        </row>
        <row r="326">
          <cell r="C326">
            <v>933806564</v>
          </cell>
          <cell r="D326">
            <v>733241.72</v>
          </cell>
          <cell r="E326">
            <v>933806728</v>
          </cell>
          <cell r="F326">
            <v>249353</v>
          </cell>
          <cell r="G326">
            <v>88924.329188255942</v>
          </cell>
          <cell r="H326">
            <v>16042.867081174405</v>
          </cell>
          <cell r="I326">
            <v>176471.53789291845</v>
          </cell>
        </row>
        <row r="327">
          <cell r="C327">
            <v>933805747</v>
          </cell>
          <cell r="D327">
            <v>278426.65999999997</v>
          </cell>
          <cell r="E327">
            <v>933806722</v>
          </cell>
          <cell r="F327">
            <v>135563.64000000001</v>
          </cell>
          <cell r="G327">
            <v>48344.739182276622</v>
          </cell>
          <cell r="H327">
            <v>8721.8900817723388</v>
          </cell>
          <cell r="I327">
            <v>95940.790899495725</v>
          </cell>
        </row>
        <row r="328">
          <cell r="C328">
            <v>933806724</v>
          </cell>
          <cell r="D328">
            <v>226987.32</v>
          </cell>
          <cell r="E328">
            <v>933806711</v>
          </cell>
          <cell r="F328">
            <v>562125.64</v>
          </cell>
          <cell r="G328">
            <v>200465.38624568004</v>
          </cell>
          <cell r="H328">
            <v>36166.025375432</v>
          </cell>
          <cell r="I328">
            <v>397826.27912975196</v>
          </cell>
        </row>
        <row r="329">
          <cell r="C329">
            <v>933806731</v>
          </cell>
          <cell r="D329">
            <v>392641.47</v>
          </cell>
          <cell r="E329">
            <v>933806692</v>
          </cell>
          <cell r="F329">
            <v>230261</v>
          </cell>
          <cell r="G329">
            <v>82115.735376021155</v>
          </cell>
          <cell r="H329">
            <v>14814.526462397886</v>
          </cell>
          <cell r="I329">
            <v>162959.79108637673</v>
          </cell>
        </row>
        <row r="330">
          <cell r="C330">
            <v>933806650</v>
          </cell>
          <cell r="D330">
            <v>473325.14</v>
          </cell>
          <cell r="E330">
            <v>933806631</v>
          </cell>
          <cell r="F330">
            <v>229303</v>
          </cell>
          <cell r="G330">
            <v>81774.093176559545</v>
          </cell>
          <cell r="H330">
            <v>14752.890682344045</v>
          </cell>
          <cell r="I330">
            <v>162281.79750578449</v>
          </cell>
        </row>
        <row r="331">
          <cell r="C331">
            <v>933806417</v>
          </cell>
          <cell r="D331">
            <v>457610.57</v>
          </cell>
          <cell r="E331">
            <v>933806830</v>
          </cell>
          <cell r="F331">
            <v>340353.27</v>
          </cell>
          <cell r="G331">
            <v>121376.86822207617</v>
          </cell>
          <cell r="H331">
            <v>21897.640177792386</v>
          </cell>
          <cell r="I331">
            <v>240874.04195571624</v>
          </cell>
        </row>
        <row r="332">
          <cell r="C332">
            <v>933806297</v>
          </cell>
          <cell r="D332">
            <v>265686.32</v>
          </cell>
          <cell r="E332">
            <v>933806650</v>
          </cell>
          <cell r="F332">
            <v>654861</v>
          </cell>
          <cell r="G332">
            <v>233536.69350900323</v>
          </cell>
          <cell r="H332">
            <v>42132.430649099675</v>
          </cell>
          <cell r="I332">
            <v>463456.73714009643</v>
          </cell>
        </row>
        <row r="333">
          <cell r="C333">
            <v>933806350</v>
          </cell>
          <cell r="D333">
            <v>562431.68000000005</v>
          </cell>
          <cell r="E333">
            <v>933806716</v>
          </cell>
          <cell r="F333">
            <v>482951</v>
          </cell>
          <cell r="G333">
            <v>172230.10633839335</v>
          </cell>
          <cell r="H333">
            <v>31072.089366160664</v>
          </cell>
          <cell r="I333">
            <v>341792.98302776733</v>
          </cell>
        </row>
        <row r="334">
          <cell r="C334">
            <v>933806359</v>
          </cell>
          <cell r="D334">
            <v>44545</v>
          </cell>
          <cell r="E334">
            <v>933806812</v>
          </cell>
          <cell r="F334">
            <v>128501</v>
          </cell>
          <cell r="G334">
            <v>45826.058740099688</v>
          </cell>
          <cell r="H334">
            <v>8267.4941259900315</v>
          </cell>
          <cell r="I334">
            <v>90942.435385890349</v>
          </cell>
        </row>
        <row r="335">
          <cell r="C335">
            <v>933806402</v>
          </cell>
          <cell r="D335">
            <v>203016.71</v>
          </cell>
          <cell r="E335">
            <v>933806694</v>
          </cell>
          <cell r="F335">
            <v>975947</v>
          </cell>
          <cell r="G335">
            <v>348042.46308763413</v>
          </cell>
          <cell r="H335">
            <v>62790.45369123658</v>
          </cell>
          <cell r="I335">
            <v>690694.99060360237</v>
          </cell>
        </row>
        <row r="336">
          <cell r="C336">
            <v>933806319</v>
          </cell>
          <cell r="D336">
            <v>196844.74</v>
          </cell>
          <cell r="E336">
            <v>933806845</v>
          </cell>
          <cell r="F336">
            <v>358873.64</v>
          </cell>
          <cell r="G336">
            <v>127981.60720082637</v>
          </cell>
          <cell r="H336">
            <v>23089.203279917365</v>
          </cell>
          <cell r="I336">
            <v>253981.236079091</v>
          </cell>
        </row>
        <row r="337">
          <cell r="C337">
            <v>938516767</v>
          </cell>
          <cell r="D337">
            <v>60545.15</v>
          </cell>
          <cell r="E337">
            <v>933805132</v>
          </cell>
          <cell r="F337">
            <v>260234</v>
          </cell>
          <cell r="G337">
            <v>92804.714128069842</v>
          </cell>
          <cell r="H337">
            <v>16742.928587193015</v>
          </cell>
          <cell r="I337">
            <v>184172.21445912318</v>
          </cell>
        </row>
        <row r="338">
          <cell r="C338">
            <v>933806274</v>
          </cell>
          <cell r="D338">
            <v>343073.44</v>
          </cell>
          <cell r="E338">
            <v>933805139</v>
          </cell>
          <cell r="F338">
            <v>280012</v>
          </cell>
          <cell r="G338">
            <v>99857.949431777146</v>
          </cell>
          <cell r="H338">
            <v>18015.405056822285</v>
          </cell>
          <cell r="I338">
            <v>198169.45562504514</v>
          </cell>
        </row>
        <row r="339">
          <cell r="C339">
            <v>933806283</v>
          </cell>
          <cell r="D339">
            <v>296830.65000000002</v>
          </cell>
          <cell r="E339">
            <v>933806813</v>
          </cell>
          <cell r="F339">
            <v>299583.64</v>
          </cell>
          <cell r="G339">
            <v>106837.59258070272</v>
          </cell>
          <cell r="H339">
            <v>19274.604741929728</v>
          </cell>
          <cell r="I339">
            <v>212020.65216122702</v>
          </cell>
        </row>
        <row r="340">
          <cell r="C340">
            <v>933806407</v>
          </cell>
          <cell r="D340">
            <v>88328.31</v>
          </cell>
          <cell r="E340">
            <v>933805217</v>
          </cell>
          <cell r="F340">
            <v>352617</v>
          </cell>
          <cell r="G340">
            <v>125750.36268011712</v>
          </cell>
          <cell r="H340">
            <v>22686.663731988287</v>
          </cell>
          <cell r="I340">
            <v>249553.30105187115</v>
          </cell>
        </row>
        <row r="341">
          <cell r="C341">
            <v>933806290</v>
          </cell>
          <cell r="D341">
            <v>151097.06</v>
          </cell>
          <cell r="E341">
            <v>933805203</v>
          </cell>
          <cell r="F341">
            <v>240919</v>
          </cell>
          <cell r="G341">
            <v>85916.594000093988</v>
          </cell>
          <cell r="H341">
            <v>15500.2405999906</v>
          </cell>
          <cell r="I341">
            <v>170502.6465998966</v>
          </cell>
        </row>
        <row r="342">
          <cell r="C342">
            <v>933806101</v>
          </cell>
          <cell r="D342">
            <v>838773.43</v>
          </cell>
          <cell r="E342">
            <v>933805155</v>
          </cell>
          <cell r="F342">
            <v>376921</v>
          </cell>
          <cell r="G342">
            <v>134417.66123514302</v>
          </cell>
          <cell r="H342">
            <v>24250.3338764857</v>
          </cell>
          <cell r="I342">
            <v>266753.67264134268</v>
          </cell>
        </row>
        <row r="343">
          <cell r="C343">
            <v>933806286</v>
          </cell>
          <cell r="D343">
            <v>429058.6</v>
          </cell>
          <cell r="E343">
            <v>933806811</v>
          </cell>
          <cell r="F343">
            <v>387202</v>
          </cell>
          <cell r="G343">
            <v>138084.07402498098</v>
          </cell>
          <cell r="H343">
            <v>24911.792597501902</v>
          </cell>
          <cell r="I343">
            <v>274029.71857252094</v>
          </cell>
        </row>
        <row r="344">
          <cell r="C344">
            <v>933805214</v>
          </cell>
          <cell r="D344">
            <v>300638.8</v>
          </cell>
          <cell r="E344">
            <v>933806948</v>
          </cell>
          <cell r="F344">
            <v>427054</v>
          </cell>
          <cell r="G344">
            <v>152296.1042263837</v>
          </cell>
          <cell r="H344">
            <v>27475.789577361626</v>
          </cell>
          <cell r="I344">
            <v>302233.68535097787</v>
          </cell>
        </row>
        <row r="345">
          <cell r="C345">
            <v>933805340</v>
          </cell>
          <cell r="D345">
            <v>196729.26</v>
          </cell>
          <cell r="E345">
            <v>933805216</v>
          </cell>
          <cell r="F345">
            <v>263607</v>
          </cell>
          <cell r="G345">
            <v>94007.594231184645</v>
          </cell>
          <cell r="H345">
            <v>16959.940576881538</v>
          </cell>
          <cell r="I345">
            <v>186559.34634569692</v>
          </cell>
        </row>
        <row r="346">
          <cell r="C346">
            <v>933805307</v>
          </cell>
          <cell r="D346">
            <v>472562.55</v>
          </cell>
          <cell r="E346">
            <v>933806751</v>
          </cell>
          <cell r="F346">
            <v>255318.64</v>
          </cell>
          <cell r="G346">
            <v>91051.797216226856</v>
          </cell>
          <cell r="H346">
            <v>16426.684278377314</v>
          </cell>
          <cell r="I346">
            <v>180693.52706215045</v>
          </cell>
        </row>
        <row r="347">
          <cell r="C347">
            <v>933805295</v>
          </cell>
          <cell r="D347">
            <v>146168.87</v>
          </cell>
          <cell r="E347">
            <v>933805156</v>
          </cell>
          <cell r="F347">
            <v>108690</v>
          </cell>
          <cell r="G347">
            <v>38761.054968143711</v>
          </cell>
          <cell r="H347">
            <v>6992.8945031856292</v>
          </cell>
          <cell r="I347">
            <v>76921.839535041916</v>
          </cell>
        </row>
        <row r="348">
          <cell r="C348">
            <v>933805322</v>
          </cell>
          <cell r="D348">
            <v>509375.2</v>
          </cell>
          <cell r="E348">
            <v>933806706</v>
          </cell>
          <cell r="F348">
            <v>290644.64</v>
          </cell>
          <cell r="G348">
            <v>103649.76416631098</v>
          </cell>
          <cell r="H348">
            <v>18699.487583368904</v>
          </cell>
          <cell r="I348">
            <v>205694.36341705793</v>
          </cell>
        </row>
        <row r="349">
          <cell r="C349">
            <v>933805308</v>
          </cell>
          <cell r="D349">
            <v>284461.21000000002</v>
          </cell>
          <cell r="E349">
            <v>933805201</v>
          </cell>
          <cell r="F349">
            <v>209055</v>
          </cell>
          <cell r="G349">
            <v>74553.246355371084</v>
          </cell>
          <cell r="H349">
            <v>13450.175364462892</v>
          </cell>
          <cell r="I349">
            <v>147951.92900909181</v>
          </cell>
        </row>
        <row r="350">
          <cell r="C350">
            <v>933805856</v>
          </cell>
          <cell r="D350">
            <v>613859.73</v>
          </cell>
          <cell r="E350">
            <v>933806697</v>
          </cell>
          <cell r="F350">
            <v>480274.64</v>
          </cell>
          <cell r="G350">
            <v>171275.66216621065</v>
          </cell>
          <cell r="H350">
            <v>30899.897783378936</v>
          </cell>
          <cell r="I350">
            <v>339898.87561716832</v>
          </cell>
        </row>
        <row r="351">
          <cell r="C351">
            <v>933805290</v>
          </cell>
          <cell r="D351">
            <v>314397.15000000002</v>
          </cell>
          <cell r="E351">
            <v>938805265</v>
          </cell>
          <cell r="F351">
            <v>251124</v>
          </cell>
          <cell r="G351">
            <v>89555.903650934968</v>
          </cell>
          <cell r="H351">
            <v>16156.8096349065</v>
          </cell>
          <cell r="I351">
            <v>177724.90598397152</v>
          </cell>
        </row>
        <row r="352">
          <cell r="C352">
            <v>933805215</v>
          </cell>
          <cell r="D352">
            <v>355489.22</v>
          </cell>
          <cell r="E352">
            <v>938805305</v>
          </cell>
          <cell r="F352">
            <v>192911.64</v>
          </cell>
          <cell r="G352">
            <v>68796.197276978128</v>
          </cell>
          <cell r="H352">
            <v>12411.54427230219</v>
          </cell>
          <cell r="I352">
            <v>136526.98699532409</v>
          </cell>
        </row>
        <row r="353">
          <cell r="C353">
            <v>933805348</v>
          </cell>
          <cell r="D353">
            <v>167860.2</v>
          </cell>
          <cell r="E353">
            <v>938805286</v>
          </cell>
          <cell r="F353">
            <v>732606</v>
          </cell>
          <cell r="G353">
            <v>261262.13484213719</v>
          </cell>
          <cell r="H353">
            <v>47134.386515786275</v>
          </cell>
          <cell r="I353">
            <v>518478.25167364907</v>
          </cell>
        </row>
        <row r="354">
          <cell r="C354">
            <v>933805174</v>
          </cell>
          <cell r="D354">
            <v>155170.76999999999</v>
          </cell>
          <cell r="E354">
            <v>938805364</v>
          </cell>
          <cell r="F354">
            <v>44545</v>
          </cell>
          <cell r="G354">
            <v>15885.649034464639</v>
          </cell>
          <cell r="H354">
            <v>2865.9350965535359</v>
          </cell>
          <cell r="I354">
            <v>31525.286062088897</v>
          </cell>
        </row>
        <row r="355">
          <cell r="C355">
            <v>933805369</v>
          </cell>
          <cell r="D355">
            <v>469390.98</v>
          </cell>
          <cell r="E355">
            <v>938805295</v>
          </cell>
          <cell r="F355">
            <v>226551</v>
          </cell>
          <cell r="G355">
            <v>80792.674248669849</v>
          </cell>
          <cell r="H355">
            <v>14575.832575133014</v>
          </cell>
          <cell r="I355">
            <v>160334.15832646316</v>
          </cell>
        </row>
        <row r="356">
          <cell r="C356">
            <v>933803838</v>
          </cell>
          <cell r="D356">
            <v>144732.01</v>
          </cell>
          <cell r="E356">
            <v>938806016</v>
          </cell>
          <cell r="F356">
            <v>1283796</v>
          </cell>
          <cell r="G356">
            <v>457827.65041754552</v>
          </cell>
          <cell r="H356">
            <v>82596.834958245439</v>
          </cell>
          <cell r="I356">
            <v>908565.18454069982</v>
          </cell>
        </row>
        <row r="357">
          <cell r="C357">
            <v>938508140</v>
          </cell>
          <cell r="D357">
            <v>225744.41</v>
          </cell>
          <cell r="E357">
            <v>938805361</v>
          </cell>
          <cell r="F357">
            <v>225645</v>
          </cell>
          <cell r="G357">
            <v>80469.576302206173</v>
          </cell>
          <cell r="H357">
            <v>14517.542369779383</v>
          </cell>
          <cell r="I357">
            <v>159692.9660675732</v>
          </cell>
        </row>
        <row r="358">
          <cell r="C358">
            <v>938508155</v>
          </cell>
          <cell r="D358">
            <v>138450.71</v>
          </cell>
          <cell r="E358">
            <v>938806076</v>
          </cell>
          <cell r="F358">
            <v>111372</v>
          </cell>
          <cell r="G358">
            <v>39717.51047853622</v>
          </cell>
          <cell r="H358">
            <v>7165.4489521463775</v>
          </cell>
          <cell r="I358">
            <v>78819.938473610164</v>
          </cell>
        </row>
        <row r="359">
          <cell r="C359">
            <v>938508146</v>
          </cell>
          <cell r="D359">
            <v>773189.89</v>
          </cell>
          <cell r="E359">
            <v>938806058</v>
          </cell>
          <cell r="F359">
            <v>212166</v>
          </cell>
          <cell r="G359">
            <v>75662.691952996393</v>
          </cell>
          <cell r="H359">
            <v>13650.330804700359</v>
          </cell>
          <cell r="I359">
            <v>150153.63885170396</v>
          </cell>
        </row>
        <row r="360">
          <cell r="C360">
            <v>938508130</v>
          </cell>
          <cell r="D360">
            <v>968736.57</v>
          </cell>
          <cell r="E360">
            <v>933805925</v>
          </cell>
          <cell r="F360">
            <v>144197</v>
          </cell>
          <cell r="G360">
            <v>51423.570183470591</v>
          </cell>
          <cell r="H360">
            <v>9277.3429816529406</v>
          </cell>
          <cell r="I360">
            <v>102050.77279818236</v>
          </cell>
        </row>
        <row r="361">
          <cell r="C361">
            <v>938508134</v>
          </cell>
          <cell r="D361">
            <v>561333.31000000006</v>
          </cell>
          <cell r="E361">
            <v>933805625</v>
          </cell>
          <cell r="F361">
            <v>481080</v>
          </cell>
          <cell r="G361">
            <v>171562.86985071833</v>
          </cell>
          <cell r="H361">
            <v>30951.713014928169</v>
          </cell>
          <cell r="I361">
            <v>340468.84316420986</v>
          </cell>
        </row>
        <row r="362">
          <cell r="C362">
            <v>933805261</v>
          </cell>
          <cell r="D362">
            <v>190467.66</v>
          </cell>
          <cell r="E362">
            <v>938508145</v>
          </cell>
          <cell r="F362">
            <v>369435</v>
          </cell>
          <cell r="G362">
            <v>131748.00204394307</v>
          </cell>
          <cell r="H362">
            <v>23768.699795605695</v>
          </cell>
          <cell r="I362">
            <v>261455.69775166264</v>
          </cell>
        </row>
        <row r="363">
          <cell r="C363">
            <v>933805275</v>
          </cell>
          <cell r="D363">
            <v>288537.53000000003</v>
          </cell>
          <cell r="E363">
            <v>938806017</v>
          </cell>
          <cell r="F363">
            <v>318333</v>
          </cell>
          <cell r="G363">
            <v>113523.99403049123</v>
          </cell>
          <cell r="H363">
            <v>20480.90059695088</v>
          </cell>
          <cell r="I363">
            <v>225289.90656645966</v>
          </cell>
        </row>
        <row r="364">
          <cell r="C364">
            <v>938508135</v>
          </cell>
          <cell r="D364">
            <v>208103.02</v>
          </cell>
          <cell r="E364">
            <v>938806032</v>
          </cell>
          <cell r="F364">
            <v>231327</v>
          </cell>
          <cell r="G364">
            <v>82495.892562478432</v>
          </cell>
          <cell r="H364">
            <v>14883.110743752157</v>
          </cell>
          <cell r="I364">
            <v>163714.21818127373</v>
          </cell>
        </row>
        <row r="365">
          <cell r="C365">
            <v>933805676</v>
          </cell>
          <cell r="D365">
            <v>199660.79999999999</v>
          </cell>
          <cell r="E365">
            <v>938806734</v>
          </cell>
          <cell r="F365">
            <v>416367</v>
          </cell>
          <cell r="G365">
            <v>148484.90361506204</v>
          </cell>
          <cell r="H365">
            <v>26788.209638493798</v>
          </cell>
          <cell r="I365">
            <v>294670.30602343177</v>
          </cell>
        </row>
        <row r="366">
          <cell r="C366">
            <v>933805273</v>
          </cell>
          <cell r="D366">
            <v>405810.32</v>
          </cell>
          <cell r="E366">
            <v>938805024</v>
          </cell>
          <cell r="F366">
            <v>80386</v>
          </cell>
          <cell r="G366">
            <v>28667.275413278134</v>
          </cell>
          <cell r="H366">
            <v>5171.8724586721864</v>
          </cell>
          <cell r="I366">
            <v>56890.597045394054</v>
          </cell>
        </row>
        <row r="367">
          <cell r="C367">
            <v>933806196</v>
          </cell>
          <cell r="D367">
            <v>208542.18</v>
          </cell>
          <cell r="E367">
            <v>938805028</v>
          </cell>
          <cell r="F367">
            <v>433397</v>
          </cell>
          <cell r="G367">
            <v>154558.1464718795</v>
          </cell>
          <cell r="H367">
            <v>27883.885352812053</v>
          </cell>
          <cell r="I367">
            <v>306722.73888093256</v>
          </cell>
        </row>
        <row r="368">
          <cell r="C368">
            <v>933806725</v>
          </cell>
          <cell r="D368">
            <v>233173.26</v>
          </cell>
          <cell r="E368">
            <v>938805127</v>
          </cell>
          <cell r="F368">
            <v>426599.91</v>
          </cell>
          <cell r="G368">
            <v>152134.16653707938</v>
          </cell>
          <cell r="H368">
            <v>27446.574346292062</v>
          </cell>
          <cell r="I368">
            <v>301912.31780921266</v>
          </cell>
        </row>
        <row r="369">
          <cell r="C369">
            <v>933806813</v>
          </cell>
          <cell r="D369">
            <v>282842.14</v>
          </cell>
          <cell r="E369">
            <v>933805654</v>
          </cell>
          <cell r="F369">
            <v>224321</v>
          </cell>
          <cell r="G369">
            <v>79997.41109125923</v>
          </cell>
          <cell r="H369">
            <v>14432.358890874078</v>
          </cell>
          <cell r="I369">
            <v>158755.94779961486</v>
          </cell>
        </row>
        <row r="370">
          <cell r="C370">
            <v>933805205</v>
          </cell>
          <cell r="D370">
            <v>106338.83</v>
          </cell>
          <cell r="E370">
            <v>938805185</v>
          </cell>
          <cell r="F370">
            <v>603822.64</v>
          </cell>
          <cell r="G370">
            <v>215335.38080825884</v>
          </cell>
          <cell r="H370">
            <v>38848.725919174118</v>
          </cell>
          <cell r="I370">
            <v>427335.98511091527</v>
          </cell>
        </row>
        <row r="371">
          <cell r="C371">
            <v>933805216</v>
          </cell>
          <cell r="D371">
            <v>300893.39</v>
          </cell>
          <cell r="E371">
            <v>938805163</v>
          </cell>
          <cell r="F371">
            <v>260438</v>
          </cell>
          <cell r="G371">
            <v>92877.464659061661</v>
          </cell>
          <cell r="H371">
            <v>16756.053534093833</v>
          </cell>
          <cell r="I371">
            <v>184316.58887503218</v>
          </cell>
        </row>
        <row r="372">
          <cell r="C372">
            <v>933806418</v>
          </cell>
          <cell r="D372">
            <v>320601.57</v>
          </cell>
          <cell r="E372">
            <v>938805149</v>
          </cell>
          <cell r="F372">
            <v>1017151</v>
          </cell>
          <cell r="G372">
            <v>362736.64386698266</v>
          </cell>
          <cell r="H372">
            <v>65441.435613301728</v>
          </cell>
          <cell r="I372">
            <v>719855.79174631904</v>
          </cell>
        </row>
        <row r="373">
          <cell r="C373">
            <v>933806823</v>
          </cell>
          <cell r="D373">
            <v>915897.86</v>
          </cell>
          <cell r="E373">
            <v>938805250</v>
          </cell>
          <cell r="F373">
            <v>49090</v>
          </cell>
          <cell r="G373">
            <v>17506.488070532476</v>
          </cell>
          <cell r="H373">
            <v>3158.3511929467522</v>
          </cell>
          <cell r="I373">
            <v>34741.863122414274</v>
          </cell>
        </row>
        <row r="374">
          <cell r="C374">
            <v>933806559</v>
          </cell>
          <cell r="D374">
            <v>412659.38</v>
          </cell>
          <cell r="E374">
            <v>933806028</v>
          </cell>
          <cell r="F374">
            <v>196562</v>
          </cell>
          <cell r="G374">
            <v>70097.989572621809</v>
          </cell>
          <cell r="H374">
            <v>12646.401042737818</v>
          </cell>
          <cell r="I374">
            <v>139110.411470116</v>
          </cell>
        </row>
        <row r="375">
          <cell r="C375">
            <v>933806659</v>
          </cell>
          <cell r="D375">
            <v>463805.58</v>
          </cell>
          <cell r="E375">
            <v>938805101</v>
          </cell>
          <cell r="F375">
            <v>124497</v>
          </cell>
          <cell r="G375">
            <v>44398.151259260165</v>
          </cell>
          <cell r="H375">
            <v>8009.8848740739841</v>
          </cell>
          <cell r="I375">
            <v>88108.733614813813</v>
          </cell>
        </row>
        <row r="376">
          <cell r="C376">
            <v>933805166</v>
          </cell>
          <cell r="D376">
            <v>370056.2</v>
          </cell>
          <cell r="E376">
            <v>933806362</v>
          </cell>
          <cell r="F376">
            <v>476630</v>
          </cell>
          <cell r="G376">
            <v>169975.9097383967</v>
          </cell>
          <cell r="H376">
            <v>30665.409026160327</v>
          </cell>
          <cell r="I376">
            <v>337319.49928776361</v>
          </cell>
        </row>
        <row r="377">
          <cell r="C377">
            <v>933806656</v>
          </cell>
          <cell r="D377">
            <v>131881.04999999999</v>
          </cell>
          <cell r="E377">
            <v>938805102</v>
          </cell>
          <cell r="F377">
            <v>72939</v>
          </cell>
          <cell r="G377">
            <v>26011.524411826609</v>
          </cell>
          <cell r="H377">
            <v>4692.7475588173384</v>
          </cell>
          <cell r="I377">
            <v>51620.223146990727</v>
          </cell>
        </row>
        <row r="378">
          <cell r="C378">
            <v>938805117</v>
          </cell>
          <cell r="D378">
            <v>319440.59000000003</v>
          </cell>
          <cell r="E378">
            <v>938805293</v>
          </cell>
          <cell r="F378">
            <v>533654</v>
          </cell>
          <cell r="G378">
            <v>190311.82287211117</v>
          </cell>
          <cell r="H378">
            <v>34334.217712788886</v>
          </cell>
          <cell r="I378">
            <v>377676.39484067773</v>
          </cell>
        </row>
        <row r="379">
          <cell r="C379">
            <v>938805149</v>
          </cell>
          <cell r="D379">
            <v>434998.38</v>
          </cell>
          <cell r="E379">
            <v>938805330</v>
          </cell>
          <cell r="F379">
            <v>618330</v>
          </cell>
          <cell r="G379">
            <v>220508.99915771736</v>
          </cell>
          <cell r="H379">
            <v>39782.100084228266</v>
          </cell>
          <cell r="I379">
            <v>437603.10092651093</v>
          </cell>
        </row>
        <row r="380">
          <cell r="C380">
            <v>938805167</v>
          </cell>
          <cell r="D380">
            <v>468295.24</v>
          </cell>
          <cell r="E380">
            <v>938807046</v>
          </cell>
          <cell r="F380">
            <v>543506</v>
          </cell>
          <cell r="G380">
            <v>193825.2455747163</v>
          </cell>
          <cell r="H380">
            <v>34968.075442528374</v>
          </cell>
          <cell r="I380">
            <v>384648.82986781205</v>
          </cell>
        </row>
        <row r="381">
          <cell r="C381">
            <v>938805143</v>
          </cell>
          <cell r="D381">
            <v>191758.47</v>
          </cell>
          <cell r="E381">
            <v>938805397</v>
          </cell>
          <cell r="F381">
            <v>500496</v>
          </cell>
          <cell r="G381">
            <v>178487.00862394014</v>
          </cell>
          <cell r="H381">
            <v>32200.899137605982</v>
          </cell>
          <cell r="I381">
            <v>354209.8905136658</v>
          </cell>
        </row>
        <row r="382">
          <cell r="C382">
            <v>938805231</v>
          </cell>
          <cell r="D382">
            <v>289619.55</v>
          </cell>
          <cell r="E382">
            <v>938806165</v>
          </cell>
          <cell r="F382">
            <v>251639</v>
          </cell>
          <cell r="G382">
            <v>89739.563079664324</v>
          </cell>
          <cell r="H382">
            <v>16189.94369203357</v>
          </cell>
          <cell r="I382">
            <v>178089.38061236925</v>
          </cell>
        </row>
        <row r="383">
          <cell r="C383">
            <v>933805780</v>
          </cell>
          <cell r="D383">
            <v>154059.71</v>
          </cell>
          <cell r="E383">
            <v>938806132</v>
          </cell>
          <cell r="F383">
            <v>224213</v>
          </cell>
          <cell r="G383">
            <v>79958.896104263564</v>
          </cell>
          <cell r="H383">
            <v>14425.410389573644</v>
          </cell>
          <cell r="I383">
            <v>158679.51428531008</v>
          </cell>
        </row>
        <row r="384">
          <cell r="C384">
            <v>933805654</v>
          </cell>
          <cell r="D384">
            <v>743617.66</v>
          </cell>
          <cell r="E384">
            <v>933805326</v>
          </cell>
          <cell r="F384">
            <v>286234</v>
          </cell>
          <cell r="G384">
            <v>102076.84062702776</v>
          </cell>
          <cell r="H384">
            <v>18415.715937297224</v>
          </cell>
          <cell r="I384">
            <v>202572.87531026948</v>
          </cell>
        </row>
        <row r="385">
          <cell r="C385">
            <v>938805118</v>
          </cell>
          <cell r="D385">
            <v>211011.71</v>
          </cell>
          <cell r="E385">
            <v>938806281</v>
          </cell>
          <cell r="F385">
            <v>433135</v>
          </cell>
          <cell r="G385">
            <v>154464.71196638996</v>
          </cell>
          <cell r="H385">
            <v>27867.028803361001</v>
          </cell>
          <cell r="I385">
            <v>306537.31683697103</v>
          </cell>
        </row>
        <row r="386">
          <cell r="C386">
            <v>938805174</v>
          </cell>
          <cell r="D386">
            <v>230853.72</v>
          </cell>
          <cell r="E386">
            <v>938807063</v>
          </cell>
          <cell r="F386">
            <v>88464</v>
          </cell>
          <cell r="G386">
            <v>31548.053792454368</v>
          </cell>
          <cell r="H386">
            <v>5691.594620754563</v>
          </cell>
          <cell r="I386">
            <v>62607.540828300196</v>
          </cell>
        </row>
        <row r="387">
          <cell r="C387">
            <v>938805290</v>
          </cell>
          <cell r="D387">
            <v>462780.76</v>
          </cell>
          <cell r="E387">
            <v>933805318</v>
          </cell>
          <cell r="F387">
            <v>362600</v>
          </cell>
          <cell r="G387">
            <v>129310.50263546701</v>
          </cell>
          <cell r="H387">
            <v>23328.949736453298</v>
          </cell>
          <cell r="I387">
            <v>256618.44710098629</v>
          </cell>
        </row>
        <row r="388">
          <cell r="C388">
            <v>938805307</v>
          </cell>
          <cell r="D388">
            <v>499476.36</v>
          </cell>
          <cell r="E388">
            <v>938807091</v>
          </cell>
          <cell r="F388">
            <v>158730</v>
          </cell>
          <cell r="G388">
            <v>56606.332276138106</v>
          </cell>
          <cell r="H388">
            <v>10212.366772386189</v>
          </cell>
          <cell r="I388">
            <v>112336.03449624809</v>
          </cell>
        </row>
        <row r="389">
          <cell r="C389">
            <v>938806077</v>
          </cell>
          <cell r="D389">
            <v>277528.11</v>
          </cell>
          <cell r="E389">
            <v>938805187</v>
          </cell>
          <cell r="F389">
            <v>208824</v>
          </cell>
          <cell r="G389">
            <v>74470.867077630348</v>
          </cell>
          <cell r="H389">
            <v>13435.313292236964</v>
          </cell>
          <cell r="I389">
            <v>147788.44621460661</v>
          </cell>
        </row>
        <row r="390">
          <cell r="C390">
            <v>938805198</v>
          </cell>
          <cell r="D390">
            <v>202703.98</v>
          </cell>
          <cell r="E390">
            <v>938805468</v>
          </cell>
          <cell r="F390">
            <v>140118</v>
          </cell>
          <cell r="G390">
            <v>49968.916183884081</v>
          </cell>
          <cell r="H390">
            <v>9014.9083816115926</v>
          </cell>
          <cell r="I390">
            <v>99163.992197727508</v>
          </cell>
        </row>
        <row r="391">
          <cell r="C391">
            <v>938805283</v>
          </cell>
          <cell r="D391">
            <v>421006.99</v>
          </cell>
          <cell r="E391">
            <v>938807042</v>
          </cell>
          <cell r="F391">
            <v>533852.55000000005</v>
          </cell>
          <cell r="G391">
            <v>190382.62982274074</v>
          </cell>
          <cell r="H391">
            <v>34346.992017725926</v>
          </cell>
          <cell r="I391">
            <v>377816.91219498526</v>
          </cell>
        </row>
        <row r="392">
          <cell r="C392">
            <v>938805241</v>
          </cell>
          <cell r="D392">
            <v>485600.23</v>
          </cell>
          <cell r="E392">
            <v>933805750</v>
          </cell>
          <cell r="F392">
            <v>364469</v>
          </cell>
          <cell r="G392">
            <v>129977.0258826421</v>
          </cell>
          <cell r="H392">
            <v>23449.19741173579</v>
          </cell>
          <cell r="I392">
            <v>257941.1715290937</v>
          </cell>
        </row>
        <row r="393">
          <cell r="C393">
            <v>938807061</v>
          </cell>
          <cell r="D393">
            <v>447345.48</v>
          </cell>
          <cell r="E393">
            <v>938806114</v>
          </cell>
          <cell r="F393">
            <v>434489</v>
          </cell>
          <cell r="G393">
            <v>154947.5757848357</v>
          </cell>
          <cell r="H393">
            <v>27954.142421516426</v>
          </cell>
          <cell r="I393">
            <v>307495.56663668068</v>
          </cell>
        </row>
        <row r="394">
          <cell r="C394">
            <v>938805281</v>
          </cell>
          <cell r="D394">
            <v>277077.28000000003</v>
          </cell>
          <cell r="E394">
            <v>938806229</v>
          </cell>
          <cell r="F394">
            <v>196028</v>
          </cell>
          <cell r="G394">
            <v>69907.554359143207</v>
          </cell>
          <cell r="H394">
            <v>12612.04456408568</v>
          </cell>
          <cell r="I394">
            <v>138732.49020494247</v>
          </cell>
        </row>
        <row r="395">
          <cell r="C395">
            <v>938806214</v>
          </cell>
          <cell r="D395">
            <v>44545</v>
          </cell>
          <cell r="E395">
            <v>938806224</v>
          </cell>
          <cell r="F395">
            <v>1716965</v>
          </cell>
          <cell r="G395">
            <v>612304.48747243418</v>
          </cell>
          <cell r="H395">
            <v>110466.0512527566</v>
          </cell>
          <cell r="I395">
            <v>1215126.5637803224</v>
          </cell>
        </row>
        <row r="396">
          <cell r="C396">
            <v>938807924</v>
          </cell>
          <cell r="D396">
            <v>142499.4</v>
          </cell>
          <cell r="E396">
            <v>938806731</v>
          </cell>
          <cell r="F396">
            <v>464694</v>
          </cell>
          <cell r="G396">
            <v>165719.29043487509</v>
          </cell>
          <cell r="H396">
            <v>29897.470956512494</v>
          </cell>
          <cell r="I396">
            <v>328872.18052163743</v>
          </cell>
        </row>
        <row r="397">
          <cell r="C397">
            <v>938807921</v>
          </cell>
          <cell r="D397">
            <v>971402.59</v>
          </cell>
          <cell r="E397">
            <v>938806736</v>
          </cell>
          <cell r="F397">
            <v>305435</v>
          </cell>
          <cell r="G397">
            <v>108924.30604650819</v>
          </cell>
          <cell r="H397">
            <v>19651.069395349179</v>
          </cell>
          <cell r="I397">
            <v>216161.76334884099</v>
          </cell>
        </row>
        <row r="398">
          <cell r="C398">
            <v>938807927</v>
          </cell>
          <cell r="D398">
            <v>233551.73</v>
          </cell>
          <cell r="E398">
            <v>938805398</v>
          </cell>
          <cell r="F398">
            <v>659024</v>
          </cell>
          <cell r="G398">
            <v>235021.30360958635</v>
          </cell>
          <cell r="H398">
            <v>42400.269639041369</v>
          </cell>
          <cell r="I398">
            <v>466402.96602945507</v>
          </cell>
        </row>
        <row r="399">
          <cell r="C399">
            <v>938806015</v>
          </cell>
          <cell r="D399">
            <v>296360.65000000002</v>
          </cell>
          <cell r="E399">
            <v>938805423</v>
          </cell>
          <cell r="F399">
            <v>268076</v>
          </cell>
          <cell r="G399">
            <v>95601.330128255533</v>
          </cell>
          <cell r="H399">
            <v>17247.466987174448</v>
          </cell>
          <cell r="I399">
            <v>189722.13685891891</v>
          </cell>
        </row>
        <row r="400">
          <cell r="C400">
            <v>938806603</v>
          </cell>
          <cell r="D400">
            <v>202826.93</v>
          </cell>
          <cell r="E400">
            <v>938806477</v>
          </cell>
          <cell r="F400">
            <v>241441</v>
          </cell>
          <cell r="G400">
            <v>86102.749770573064</v>
          </cell>
          <cell r="H400">
            <v>15533.825022942694</v>
          </cell>
          <cell r="I400">
            <v>170872.07525236966</v>
          </cell>
        </row>
        <row r="401">
          <cell r="C401">
            <v>933805625</v>
          </cell>
          <cell r="D401">
            <v>468776.03</v>
          </cell>
          <cell r="E401">
            <v>938806045</v>
          </cell>
          <cell r="F401">
            <v>264168</v>
          </cell>
          <cell r="G401">
            <v>94207.658191412163</v>
          </cell>
          <cell r="H401">
            <v>16996.034180858784</v>
          </cell>
          <cell r="I401">
            <v>186956.37598944662</v>
          </cell>
        </row>
        <row r="402">
          <cell r="C402">
            <v>938806016</v>
          </cell>
          <cell r="D402">
            <v>153143</v>
          </cell>
          <cell r="E402">
            <v>938806162</v>
          </cell>
          <cell r="F402">
            <v>96941</v>
          </cell>
          <cell r="G402">
            <v>34571.123651364607</v>
          </cell>
          <cell r="H402">
            <v>6236.9876348635389</v>
          </cell>
          <cell r="I402">
            <v>68606.86398349893</v>
          </cell>
        </row>
        <row r="403">
          <cell r="C403">
            <v>938806073</v>
          </cell>
          <cell r="D403">
            <v>240299.22</v>
          </cell>
          <cell r="E403">
            <v>938806127</v>
          </cell>
          <cell r="F403">
            <v>258489.64</v>
          </cell>
          <cell r="G403">
            <v>92182.640028849753</v>
          </cell>
          <cell r="H403">
            <v>16630.699997115022</v>
          </cell>
          <cell r="I403">
            <v>182937.69996826525</v>
          </cell>
        </row>
        <row r="404">
          <cell r="C404">
            <v>938805192</v>
          </cell>
          <cell r="D404">
            <v>545368.92000000004</v>
          </cell>
          <cell r="E404">
            <v>938805428</v>
          </cell>
          <cell r="F404">
            <v>78744</v>
          </cell>
          <cell r="G404">
            <v>28081.704962843949</v>
          </cell>
          <cell r="H404">
            <v>5066.2295037156055</v>
          </cell>
          <cell r="I404">
            <v>55728.524540871658</v>
          </cell>
        </row>
        <row r="405">
          <cell r="C405">
            <v>933805633</v>
          </cell>
          <cell r="D405">
            <v>81694.63</v>
          </cell>
          <cell r="E405">
            <v>938806203</v>
          </cell>
          <cell r="F405">
            <v>313479</v>
          </cell>
          <cell r="G405">
            <v>111792.95933718579</v>
          </cell>
          <cell r="H405">
            <v>20168.604066281419</v>
          </cell>
          <cell r="I405">
            <v>221854.64472909563</v>
          </cell>
        </row>
        <row r="406">
          <cell r="C406">
            <v>938808435</v>
          </cell>
          <cell r="D406">
            <v>165111</v>
          </cell>
          <cell r="E406">
            <v>938806235</v>
          </cell>
          <cell r="F406">
            <v>415031</v>
          </cell>
          <cell r="G406">
            <v>148008.45896111557</v>
          </cell>
          <cell r="H406">
            <v>26702.254103888441</v>
          </cell>
          <cell r="I406">
            <v>293724.7951427729</v>
          </cell>
        </row>
        <row r="407">
          <cell r="C407">
            <v>938807954</v>
          </cell>
          <cell r="D407">
            <v>393721.94</v>
          </cell>
          <cell r="E407">
            <v>938806215</v>
          </cell>
          <cell r="F407">
            <v>195075</v>
          </cell>
          <cell r="G407">
            <v>69567.695260931403</v>
          </cell>
          <cell r="H407">
            <v>12550.730473906859</v>
          </cell>
          <cell r="I407">
            <v>138058.03521297546</v>
          </cell>
        </row>
        <row r="408">
          <cell r="C408">
            <v>938807959</v>
          </cell>
          <cell r="D408">
            <v>354707.4</v>
          </cell>
          <cell r="E408">
            <v>938806190</v>
          </cell>
          <cell r="F408">
            <v>454476</v>
          </cell>
          <cell r="G408">
            <v>162075.34472078463</v>
          </cell>
          <cell r="H408">
            <v>29240.065527921539</v>
          </cell>
          <cell r="I408">
            <v>321640.72080713691</v>
          </cell>
        </row>
        <row r="409">
          <cell r="C409">
            <v>933806815</v>
          </cell>
          <cell r="D409">
            <v>505132.45</v>
          </cell>
          <cell r="E409">
            <v>938806193</v>
          </cell>
          <cell r="F409">
            <v>248014.64</v>
          </cell>
          <cell r="G409">
            <v>88447.042910519594</v>
          </cell>
          <cell r="H409">
            <v>15956.759708948042</v>
          </cell>
          <cell r="I409">
            <v>175524.35679842849</v>
          </cell>
        </row>
        <row r="410">
          <cell r="C410">
            <v>938808245</v>
          </cell>
          <cell r="D410">
            <v>121783.75</v>
          </cell>
          <cell r="E410">
            <v>938806154</v>
          </cell>
          <cell r="F410">
            <v>258357</v>
          </cell>
          <cell r="G410">
            <v>92135.337918895078</v>
          </cell>
          <cell r="H410">
            <v>16622.166208110495</v>
          </cell>
          <cell r="I410">
            <v>182843.82828921542</v>
          </cell>
        </row>
        <row r="411">
          <cell r="C411">
            <v>938807673</v>
          </cell>
          <cell r="D411">
            <v>222662.11</v>
          </cell>
          <cell r="E411">
            <v>938807303</v>
          </cell>
          <cell r="F411">
            <v>171059</v>
          </cell>
          <cell r="G411">
            <v>61003.103337893968</v>
          </cell>
          <cell r="H411">
            <v>11005.589666210604</v>
          </cell>
          <cell r="I411">
            <v>121061.48632831665</v>
          </cell>
        </row>
        <row r="412">
          <cell r="C412">
            <v>933805833</v>
          </cell>
          <cell r="D412">
            <v>312329.69</v>
          </cell>
          <cell r="E412">
            <v>938807120</v>
          </cell>
          <cell r="F412">
            <v>271620</v>
          </cell>
          <cell r="G412">
            <v>96865.192294113498</v>
          </cell>
          <cell r="H412">
            <v>17475.480770588649</v>
          </cell>
          <cell r="I412">
            <v>192230.28847647514</v>
          </cell>
        </row>
        <row r="413">
          <cell r="C413">
            <v>938809262</v>
          </cell>
          <cell r="D413">
            <v>127787.65</v>
          </cell>
          <cell r="E413">
            <v>938807132</v>
          </cell>
          <cell r="F413">
            <v>154938</v>
          </cell>
          <cell r="G413">
            <v>55254.028288290094</v>
          </cell>
          <cell r="H413">
            <v>9968.397171170991</v>
          </cell>
          <cell r="I413">
            <v>109652.3688828809</v>
          </cell>
        </row>
        <row r="414">
          <cell r="C414">
            <v>933806313</v>
          </cell>
          <cell r="D414">
            <v>288084.06</v>
          </cell>
          <cell r="E414">
            <v>938807142</v>
          </cell>
          <cell r="F414">
            <v>469262.55</v>
          </cell>
          <cell r="G414">
            <v>167348.52787782947</v>
          </cell>
          <cell r="H414">
            <v>30191.402212217054</v>
          </cell>
          <cell r="I414">
            <v>332105.42433438759</v>
          </cell>
        </row>
        <row r="415">
          <cell r="C415">
            <v>933806182</v>
          </cell>
          <cell r="D415">
            <v>233640.08</v>
          </cell>
          <cell r="E415">
            <v>938807627</v>
          </cell>
          <cell r="F415">
            <v>287268.64</v>
          </cell>
          <cell r="G415">
            <v>102445.8142024463</v>
          </cell>
          <cell r="H415">
            <v>18482.282579755367</v>
          </cell>
          <cell r="I415">
            <v>203305.10837730905</v>
          </cell>
        </row>
        <row r="416">
          <cell r="C416">
            <v>933805636</v>
          </cell>
          <cell r="D416">
            <v>44545</v>
          </cell>
          <cell r="E416">
            <v>938807633</v>
          </cell>
          <cell r="F416">
            <v>488053</v>
          </cell>
          <cell r="G416">
            <v>174049.58285368889</v>
          </cell>
          <cell r="H416">
            <v>31400.341714631115</v>
          </cell>
          <cell r="I416">
            <v>345403.75886094227</v>
          </cell>
        </row>
        <row r="417">
          <cell r="C417">
            <v>938806257</v>
          </cell>
          <cell r="D417">
            <v>44545</v>
          </cell>
          <cell r="E417">
            <v>938807641</v>
          </cell>
          <cell r="F417">
            <v>264496</v>
          </cell>
          <cell r="G417">
            <v>94324.629633399018</v>
          </cell>
          <cell r="H417">
            <v>17017.1370366601</v>
          </cell>
          <cell r="I417">
            <v>187188.50740326109</v>
          </cell>
        </row>
        <row r="418">
          <cell r="C418">
            <v>938806191</v>
          </cell>
          <cell r="D418">
            <v>81235.86</v>
          </cell>
          <cell r="E418">
            <v>938807632</v>
          </cell>
          <cell r="F418">
            <v>605257</v>
          </cell>
          <cell r="G418">
            <v>215846.90262999132</v>
          </cell>
          <cell r="H418">
            <v>38941.009737000873</v>
          </cell>
          <cell r="I418">
            <v>428351.10710700956</v>
          </cell>
        </row>
        <row r="419">
          <cell r="C419">
            <v>938806117</v>
          </cell>
          <cell r="D419">
            <v>162424.54</v>
          </cell>
          <cell r="E419">
            <v>938807918</v>
          </cell>
          <cell r="F419">
            <v>44545</v>
          </cell>
          <cell r="G419">
            <v>15885.649034464639</v>
          </cell>
          <cell r="H419">
            <v>2865.9350965535359</v>
          </cell>
          <cell r="I419">
            <v>31525.286062088897</v>
          </cell>
        </row>
        <row r="420">
          <cell r="C420">
            <v>938806178</v>
          </cell>
          <cell r="D420">
            <v>234881.37</v>
          </cell>
          <cell r="E420">
            <v>938807594</v>
          </cell>
          <cell r="F420">
            <v>111348</v>
          </cell>
          <cell r="G420">
            <v>39708.951592537182</v>
          </cell>
          <cell r="H420">
            <v>7163.9048407462824</v>
          </cell>
          <cell r="I420">
            <v>78802.953248209102</v>
          </cell>
        </row>
        <row r="421">
          <cell r="C421">
            <v>938805371</v>
          </cell>
          <cell r="D421">
            <v>824993.39</v>
          </cell>
          <cell r="E421">
            <v>933806031</v>
          </cell>
          <cell r="F421">
            <v>181463</v>
          </cell>
          <cell r="G421">
            <v>64713.380418476976</v>
          </cell>
          <cell r="H421">
            <v>11674.961958152302</v>
          </cell>
          <cell r="I421">
            <v>128424.58153967533</v>
          </cell>
        </row>
        <row r="422">
          <cell r="C422">
            <v>938806193</v>
          </cell>
          <cell r="D422">
            <v>231968.28</v>
          </cell>
          <cell r="E422">
            <v>938807906</v>
          </cell>
          <cell r="F422">
            <v>802686</v>
          </cell>
          <cell r="G422">
            <v>286254.08195932838</v>
          </cell>
          <cell r="H422">
            <v>51643.191804067159</v>
          </cell>
          <cell r="I422">
            <v>568075.10984473873</v>
          </cell>
        </row>
        <row r="423">
          <cell r="C423">
            <v>938806098</v>
          </cell>
          <cell r="D423">
            <v>238264.21</v>
          </cell>
          <cell r="E423">
            <v>938807941</v>
          </cell>
          <cell r="F423">
            <v>295065</v>
          </cell>
          <cell r="G423">
            <v>105226.15405442382</v>
          </cell>
          <cell r="H423">
            <v>18983.884594557618</v>
          </cell>
          <cell r="I423">
            <v>208822.73054013378</v>
          </cell>
        </row>
        <row r="424">
          <cell r="C424">
            <v>938805370</v>
          </cell>
          <cell r="D424">
            <v>137331.60999999999</v>
          </cell>
          <cell r="E424">
            <v>938807642</v>
          </cell>
          <cell r="F424">
            <v>240990</v>
          </cell>
          <cell r="G424">
            <v>85941.914037841139</v>
          </cell>
          <cell r="H424">
            <v>15504.808596215886</v>
          </cell>
          <cell r="I424">
            <v>170552.89455837474</v>
          </cell>
        </row>
        <row r="425">
          <cell r="C425">
            <v>938807571</v>
          </cell>
          <cell r="D425">
            <v>141157.47</v>
          </cell>
          <cell r="E425">
            <v>938807944</v>
          </cell>
          <cell r="F425">
            <v>143397</v>
          </cell>
          <cell r="G425">
            <v>51138.273983502659</v>
          </cell>
          <cell r="H425">
            <v>9225.8726016497349</v>
          </cell>
          <cell r="I425">
            <v>101484.59861814708</v>
          </cell>
        </row>
        <row r="426">
          <cell r="C426">
            <v>938807307</v>
          </cell>
          <cell r="D426">
            <v>173353.04</v>
          </cell>
          <cell r="E426">
            <v>938807937</v>
          </cell>
          <cell r="F426">
            <v>183209</v>
          </cell>
          <cell r="G426">
            <v>65336.039374906992</v>
          </cell>
          <cell r="H426">
            <v>11787.296062509302</v>
          </cell>
          <cell r="I426">
            <v>129660.2566876023</v>
          </cell>
        </row>
        <row r="427">
          <cell r="C427">
            <v>938805042</v>
          </cell>
          <cell r="D427">
            <v>63396.39</v>
          </cell>
          <cell r="E427">
            <v>938807314</v>
          </cell>
          <cell r="F427">
            <v>44545</v>
          </cell>
          <cell r="G427">
            <v>15885.649034464639</v>
          </cell>
          <cell r="H427">
            <v>2865.9350965535359</v>
          </cell>
          <cell r="I427">
            <v>31525.286062088897</v>
          </cell>
        </row>
        <row r="428">
          <cell r="C428">
            <v>933806052</v>
          </cell>
          <cell r="D428">
            <v>176793.93</v>
          </cell>
          <cell r="E428">
            <v>938807332</v>
          </cell>
          <cell r="F428">
            <v>478472</v>
          </cell>
          <cell r="G428">
            <v>170632.80423882289</v>
          </cell>
          <cell r="H428">
            <v>30783.919576117714</v>
          </cell>
          <cell r="I428">
            <v>338623.11533729482</v>
          </cell>
        </row>
        <row r="429">
          <cell r="C429">
            <v>938807376</v>
          </cell>
          <cell r="D429">
            <v>163072.45000000001</v>
          </cell>
          <cell r="E429">
            <v>938807341</v>
          </cell>
          <cell r="F429">
            <v>71960</v>
          </cell>
          <cell r="G429">
            <v>25662.393187115849</v>
          </cell>
          <cell r="H429">
            <v>4629.7606812884151</v>
          </cell>
          <cell r="I429">
            <v>50927.367494172562</v>
          </cell>
        </row>
        <row r="430">
          <cell r="C430">
            <v>938806690</v>
          </cell>
          <cell r="D430">
            <v>290833.53000000003</v>
          </cell>
          <cell r="E430">
            <v>938806489</v>
          </cell>
          <cell r="F430">
            <v>81158.64</v>
          </cell>
          <cell r="G430">
            <v>28942.814483207167</v>
          </cell>
          <cell r="H430">
            <v>5221.5825516792829</v>
          </cell>
          <cell r="I430">
            <v>57437.408068472112</v>
          </cell>
        </row>
        <row r="431">
          <cell r="C431">
            <v>938806197</v>
          </cell>
          <cell r="D431">
            <v>414777.33</v>
          </cell>
          <cell r="E431">
            <v>938807351</v>
          </cell>
          <cell r="F431">
            <v>312079</v>
          </cell>
          <cell r="G431">
            <v>111293.69098724189</v>
          </cell>
          <cell r="H431">
            <v>20078.530901275812</v>
          </cell>
          <cell r="I431">
            <v>220863.83991403392</v>
          </cell>
        </row>
        <row r="432">
          <cell r="C432">
            <v>938806190</v>
          </cell>
          <cell r="D432">
            <v>44545</v>
          </cell>
          <cell r="E432">
            <v>938807522</v>
          </cell>
          <cell r="F432">
            <v>224832</v>
          </cell>
          <cell r="G432">
            <v>80179.644038988743</v>
          </cell>
          <cell r="H432">
            <v>14465.235596101125</v>
          </cell>
          <cell r="I432">
            <v>159117.59155711238</v>
          </cell>
        </row>
        <row r="433">
          <cell r="C433">
            <v>938508145</v>
          </cell>
          <cell r="D433">
            <v>190784.55</v>
          </cell>
          <cell r="E433">
            <v>938807315</v>
          </cell>
          <cell r="F433">
            <v>197332</v>
          </cell>
          <cell r="G433">
            <v>70372.587165090954</v>
          </cell>
          <cell r="H433">
            <v>12695.941283490905</v>
          </cell>
          <cell r="I433">
            <v>139655.35411839996</v>
          </cell>
        </row>
        <row r="434">
          <cell r="C434">
            <v>938806143</v>
          </cell>
          <cell r="D434">
            <v>817767.65</v>
          </cell>
          <cell r="E434">
            <v>938806205</v>
          </cell>
          <cell r="F434">
            <v>91123</v>
          </cell>
          <cell r="G434">
            <v>32496.307037097795</v>
          </cell>
          <cell r="H434">
            <v>5862.6692962902198</v>
          </cell>
          <cell r="I434">
            <v>64489.362259192421</v>
          </cell>
        </row>
        <row r="435">
          <cell r="C435">
            <v>938806235</v>
          </cell>
          <cell r="D435">
            <v>569659.71</v>
          </cell>
          <cell r="E435">
            <v>933806111</v>
          </cell>
          <cell r="F435">
            <v>115248</v>
          </cell>
          <cell r="G435">
            <v>41099.770567380867</v>
          </cell>
          <cell r="H435">
            <v>7414.8229432619128</v>
          </cell>
          <cell r="I435">
            <v>81563.052375881045</v>
          </cell>
        </row>
        <row r="436">
          <cell r="C436">
            <v>938806735</v>
          </cell>
          <cell r="D436">
            <v>166133.26999999999</v>
          </cell>
          <cell r="E436">
            <v>938807405</v>
          </cell>
          <cell r="F436">
            <v>463809</v>
          </cell>
          <cell r="G436">
            <v>165403.68151366059</v>
          </cell>
          <cell r="H436">
            <v>29840.531848633942</v>
          </cell>
          <cell r="I436">
            <v>328245.85033497337</v>
          </cell>
        </row>
        <row r="437">
          <cell r="C437">
            <v>938805426</v>
          </cell>
          <cell r="D437">
            <v>420068.98</v>
          </cell>
          <cell r="E437">
            <v>938807528</v>
          </cell>
          <cell r="F437">
            <v>46798</v>
          </cell>
          <cell r="G437">
            <v>16689.114457624339</v>
          </cell>
          <cell r="H437">
            <v>3010.8885542375665</v>
          </cell>
          <cell r="I437">
            <v>33119.774096613226</v>
          </cell>
        </row>
        <row r="438">
          <cell r="C438">
            <v>933805925</v>
          </cell>
          <cell r="D438">
            <v>368677.3</v>
          </cell>
          <cell r="E438">
            <v>938807566</v>
          </cell>
          <cell r="F438">
            <v>85491</v>
          </cell>
          <cell r="G438">
            <v>30487.821789323527</v>
          </cell>
          <cell r="H438">
            <v>5500.3178210676469</v>
          </cell>
          <cell r="I438">
            <v>60503.496031744122</v>
          </cell>
        </row>
        <row r="439">
          <cell r="C439">
            <v>938806273</v>
          </cell>
          <cell r="D439">
            <v>237174.49</v>
          </cell>
          <cell r="E439">
            <v>933805725</v>
          </cell>
          <cell r="F439">
            <v>238288</v>
          </cell>
          <cell r="G439">
            <v>84978.326122449434</v>
          </cell>
          <cell r="H439">
            <v>15330.967387755058</v>
          </cell>
          <cell r="I439">
            <v>168640.64126530563</v>
          </cell>
        </row>
        <row r="440">
          <cell r="C440">
            <v>938806733</v>
          </cell>
          <cell r="D440">
            <v>129800.46</v>
          </cell>
          <cell r="E440">
            <v>938807508</v>
          </cell>
          <cell r="F440">
            <v>123915</v>
          </cell>
          <cell r="G440">
            <v>44190.598273783493</v>
          </cell>
          <cell r="H440">
            <v>7972.440172621652</v>
          </cell>
          <cell r="I440">
            <v>87696.84189883816</v>
          </cell>
        </row>
        <row r="441">
          <cell r="C441">
            <v>938806160</v>
          </cell>
          <cell r="D441">
            <v>438838.08</v>
          </cell>
          <cell r="E441">
            <v>933806352</v>
          </cell>
          <cell r="F441">
            <v>81616</v>
          </cell>
          <cell r="G441">
            <v>29105.918320728841</v>
          </cell>
          <cell r="H441">
            <v>5251.0081679271161</v>
          </cell>
          <cell r="I441">
            <v>57761.089847198273</v>
          </cell>
        </row>
        <row r="442">
          <cell r="C442">
            <v>938806734</v>
          </cell>
          <cell r="D442">
            <v>734171.66</v>
          </cell>
          <cell r="E442">
            <v>938805382</v>
          </cell>
          <cell r="F442">
            <v>742757</v>
          </cell>
          <cell r="G442">
            <v>264882.18699948036</v>
          </cell>
          <cell r="H442">
            <v>47787.481300051964</v>
          </cell>
          <cell r="I442">
            <v>525662.29430057155</v>
          </cell>
        </row>
        <row r="443">
          <cell r="C443">
            <v>938806553</v>
          </cell>
          <cell r="D443">
            <v>148470.6</v>
          </cell>
          <cell r="E443">
            <v>938807634</v>
          </cell>
          <cell r="F443">
            <v>132906</v>
          </cell>
          <cell r="G443">
            <v>47396.970941173138</v>
          </cell>
          <cell r="H443">
            <v>8550.9029058826854</v>
          </cell>
          <cell r="I443">
            <v>94059.93196470954</v>
          </cell>
        </row>
        <row r="444">
          <cell r="C444">
            <v>938807629</v>
          </cell>
          <cell r="D444">
            <v>305823.83</v>
          </cell>
          <cell r="E444">
            <v>938807923</v>
          </cell>
          <cell r="F444">
            <v>95226</v>
          </cell>
          <cell r="G444">
            <v>33959.51992268335</v>
          </cell>
          <cell r="H444">
            <v>6126.6480077316646</v>
          </cell>
          <cell r="I444">
            <v>67393.128085048316</v>
          </cell>
        </row>
        <row r="445">
          <cell r="C445">
            <v>938807594</v>
          </cell>
          <cell r="D445">
            <v>41575.24</v>
          </cell>
          <cell r="E445">
            <v>938808955</v>
          </cell>
          <cell r="F445">
            <v>439765</v>
          </cell>
          <cell r="G445">
            <v>156829.10422362425</v>
          </cell>
          <cell r="H445">
            <v>28293.589577637576</v>
          </cell>
          <cell r="I445">
            <v>311229.48535401333</v>
          </cell>
        </row>
        <row r="446">
          <cell r="C446">
            <v>938807911</v>
          </cell>
          <cell r="D446">
            <v>43060.07</v>
          </cell>
          <cell r="E446">
            <v>938807672</v>
          </cell>
          <cell r="F446">
            <v>513847</v>
          </cell>
          <cell r="G446">
            <v>183248.24558115503</v>
          </cell>
          <cell r="H446">
            <v>33059.875441884491</v>
          </cell>
          <cell r="I446">
            <v>363658.62986072944</v>
          </cell>
        </row>
        <row r="447">
          <cell r="C447">
            <v>938807636</v>
          </cell>
          <cell r="D447">
            <v>8908.98</v>
          </cell>
          <cell r="E447">
            <v>938808352</v>
          </cell>
          <cell r="F447">
            <v>166628.64000000001</v>
          </cell>
          <cell r="G447">
            <v>59423.147247281537</v>
          </cell>
          <cell r="H447">
            <v>10720.549275271849</v>
          </cell>
          <cell r="I447">
            <v>117926.04202799033</v>
          </cell>
        </row>
        <row r="448">
          <cell r="C448">
            <v>938807905</v>
          </cell>
          <cell r="D448">
            <v>8908.98</v>
          </cell>
          <cell r="E448">
            <v>938808145</v>
          </cell>
          <cell r="F448">
            <v>231732</v>
          </cell>
          <cell r="G448">
            <v>82640.323763712193</v>
          </cell>
          <cell r="H448">
            <v>14909.16762362878</v>
          </cell>
          <cell r="I448">
            <v>164000.84385991658</v>
          </cell>
        </row>
        <row r="449">
          <cell r="C449">
            <v>938805187</v>
          </cell>
          <cell r="D449">
            <v>645633.06999999995</v>
          </cell>
          <cell r="E449">
            <v>933806036</v>
          </cell>
          <cell r="F449">
            <v>195043.27</v>
          </cell>
          <cell r="G449">
            <v>69556.379700400168</v>
          </cell>
          <cell r="H449">
            <v>12548.689029959984</v>
          </cell>
          <cell r="I449">
            <v>138035.57932955981</v>
          </cell>
        </row>
        <row r="450">
          <cell r="C450">
            <v>938805037</v>
          </cell>
          <cell r="D450">
            <v>385391.16</v>
          </cell>
          <cell r="E450">
            <v>933806104</v>
          </cell>
          <cell r="F450">
            <v>454251</v>
          </cell>
          <cell r="G450">
            <v>161995.10516454367</v>
          </cell>
          <cell r="H450">
            <v>29225.589483545631</v>
          </cell>
          <cell r="I450">
            <v>321481.48431900196</v>
          </cell>
        </row>
        <row r="451">
          <cell r="C451">
            <v>933805882</v>
          </cell>
          <cell r="D451">
            <v>120082.83</v>
          </cell>
          <cell r="E451">
            <v>933806091</v>
          </cell>
          <cell r="F451">
            <v>723850.64</v>
          </cell>
          <cell r="G451">
            <v>258139.79617044813</v>
          </cell>
          <cell r="H451">
            <v>46571.084382955189</v>
          </cell>
          <cell r="I451">
            <v>512281.92821250705</v>
          </cell>
        </row>
        <row r="452">
          <cell r="C452">
            <v>938805463</v>
          </cell>
          <cell r="D452">
            <v>1357669.75</v>
          </cell>
          <cell r="E452">
            <v>933806098</v>
          </cell>
          <cell r="F452">
            <v>458673</v>
          </cell>
          <cell r="G452">
            <v>163572.07990986641</v>
          </cell>
          <cell r="H452">
            <v>29510.092009013355</v>
          </cell>
          <cell r="I452">
            <v>324611.0120991469</v>
          </cell>
        </row>
        <row r="453">
          <cell r="C453">
            <v>933801234</v>
          </cell>
          <cell r="D453">
            <v>475056.05</v>
          </cell>
          <cell r="E453">
            <v>933806058</v>
          </cell>
          <cell r="F453">
            <v>760341.64</v>
          </cell>
          <cell r="G453">
            <v>271153.22571173555</v>
          </cell>
          <cell r="H453">
            <v>48918.841428826454</v>
          </cell>
          <cell r="I453">
            <v>538107.25571709091</v>
          </cell>
        </row>
        <row r="454">
          <cell r="C454">
            <v>938807051</v>
          </cell>
          <cell r="D454">
            <v>179859.86</v>
          </cell>
          <cell r="E454">
            <v>933805647</v>
          </cell>
          <cell r="F454">
            <v>435468.64</v>
          </cell>
          <cell r="G454">
            <v>155296.93524650647</v>
          </cell>
          <cell r="H454">
            <v>28017.17047534935</v>
          </cell>
          <cell r="I454">
            <v>308188.8752288429</v>
          </cell>
        </row>
        <row r="455">
          <cell r="C455">
            <v>938806975</v>
          </cell>
          <cell r="D455">
            <v>60868.34</v>
          </cell>
          <cell r="E455">
            <v>933805742</v>
          </cell>
          <cell r="F455">
            <v>215659</v>
          </cell>
          <cell r="G455">
            <v>76908.366486106403</v>
          </cell>
          <cell r="H455">
            <v>13875.063351389359</v>
          </cell>
          <cell r="I455">
            <v>152625.69686528295</v>
          </cell>
        </row>
        <row r="456">
          <cell r="C456">
            <v>938806151</v>
          </cell>
          <cell r="D456">
            <v>116949.65</v>
          </cell>
          <cell r="E456">
            <v>933805748</v>
          </cell>
          <cell r="F456">
            <v>104445</v>
          </cell>
          <cell r="G456">
            <v>37247.202007063854</v>
          </cell>
          <cell r="H456">
            <v>6719.7797992936148</v>
          </cell>
          <cell r="I456">
            <v>73917.577792229757</v>
          </cell>
        </row>
        <row r="457">
          <cell r="C457">
            <v>938807121</v>
          </cell>
          <cell r="D457">
            <v>323178.92</v>
          </cell>
          <cell r="E457">
            <v>933805673</v>
          </cell>
          <cell r="F457">
            <v>282515</v>
          </cell>
          <cell r="G457">
            <v>100750.56991742682</v>
          </cell>
          <cell r="H457">
            <v>18176.44300825732</v>
          </cell>
          <cell r="I457">
            <v>199940.87309083049</v>
          </cell>
        </row>
        <row r="458">
          <cell r="C458">
            <v>938805443</v>
          </cell>
          <cell r="D458">
            <v>381383.55</v>
          </cell>
          <cell r="E458">
            <v>933805826</v>
          </cell>
          <cell r="F458">
            <v>89090.64</v>
          </cell>
          <cell r="G458">
            <v>31771.526305889256</v>
          </cell>
          <cell r="H458">
            <v>5731.9113694110747</v>
          </cell>
          <cell r="I458">
            <v>63051.025063521811</v>
          </cell>
        </row>
        <row r="459">
          <cell r="C459">
            <v>933805667</v>
          </cell>
          <cell r="D459">
            <v>138230.10999999999</v>
          </cell>
          <cell r="E459">
            <v>933805830</v>
          </cell>
          <cell r="F459">
            <v>252304</v>
          </cell>
          <cell r="G459">
            <v>89976.715545887666</v>
          </cell>
          <cell r="H459">
            <v>16232.728445411236</v>
          </cell>
          <cell r="I459">
            <v>178560.01289952357</v>
          </cell>
        </row>
        <row r="460">
          <cell r="C460">
            <v>938807194</v>
          </cell>
          <cell r="D460">
            <v>269619.69</v>
          </cell>
          <cell r="E460">
            <v>933805827</v>
          </cell>
          <cell r="F460">
            <v>327415</v>
          </cell>
          <cell r="G460">
            <v>116762.81914062722</v>
          </cell>
          <cell r="H460">
            <v>21065.218085937275</v>
          </cell>
          <cell r="I460">
            <v>231717.39894531004</v>
          </cell>
        </row>
        <row r="461">
          <cell r="C461">
            <v>938807186</v>
          </cell>
          <cell r="D461">
            <v>976057.76</v>
          </cell>
          <cell r="E461">
            <v>933806688</v>
          </cell>
          <cell r="F461">
            <v>112196</v>
          </cell>
          <cell r="G461">
            <v>40011.365564503198</v>
          </cell>
          <cell r="H461">
            <v>7218.463443549681</v>
          </cell>
          <cell r="I461">
            <v>79403.097879046487</v>
          </cell>
        </row>
        <row r="462">
          <cell r="C462">
            <v>938807200</v>
          </cell>
          <cell r="D462">
            <v>586731.89</v>
          </cell>
          <cell r="E462">
            <v>933805999</v>
          </cell>
          <cell r="F462">
            <v>102607</v>
          </cell>
          <cell r="G462">
            <v>36591.733987637519</v>
          </cell>
          <cell r="H462">
            <v>6601.5266012362481</v>
          </cell>
          <cell r="I462">
            <v>72616.792613598722</v>
          </cell>
        </row>
        <row r="463">
          <cell r="C463">
            <v>938807283</v>
          </cell>
          <cell r="D463">
            <v>920180.25</v>
          </cell>
          <cell r="E463">
            <v>933805948</v>
          </cell>
          <cell r="F463">
            <v>225068</v>
          </cell>
          <cell r="G463">
            <v>80263.806417979285</v>
          </cell>
          <cell r="H463">
            <v>14480.419358202071</v>
          </cell>
          <cell r="I463">
            <v>159284.61294022278</v>
          </cell>
        </row>
        <row r="464">
          <cell r="C464">
            <v>938807561</v>
          </cell>
          <cell r="D464">
            <v>895922.61</v>
          </cell>
          <cell r="E464">
            <v>933805953</v>
          </cell>
          <cell r="F464">
            <v>117985</v>
          </cell>
          <cell r="G464">
            <v>42075.840191521165</v>
          </cell>
          <cell r="H464">
            <v>7590.9159808478844</v>
          </cell>
          <cell r="I464">
            <v>83500.075789326729</v>
          </cell>
        </row>
        <row r="465">
          <cell r="C465">
            <v>938807527</v>
          </cell>
          <cell r="D465">
            <v>244887.82</v>
          </cell>
          <cell r="E465">
            <v>933805957</v>
          </cell>
          <cell r="F465">
            <v>491032</v>
          </cell>
          <cell r="G465">
            <v>175111.95457831948</v>
          </cell>
          <cell r="H465">
            <v>31592.004542168052</v>
          </cell>
          <cell r="I465">
            <v>347512.04996384861</v>
          </cell>
        </row>
        <row r="466">
          <cell r="C466">
            <v>938807508</v>
          </cell>
          <cell r="D466">
            <v>272491.02</v>
          </cell>
          <cell r="E466">
            <v>933805975</v>
          </cell>
          <cell r="F466">
            <v>94332</v>
          </cell>
          <cell r="G466">
            <v>33640.701419219185</v>
          </cell>
          <cell r="H466">
            <v>6069.1298580780813</v>
          </cell>
          <cell r="I466">
            <v>66760.4284388589</v>
          </cell>
        </row>
        <row r="467">
          <cell r="C467">
            <v>938807543</v>
          </cell>
          <cell r="D467">
            <v>215619.01</v>
          </cell>
          <cell r="E467">
            <v>933805997</v>
          </cell>
          <cell r="F467">
            <v>463863</v>
          </cell>
          <cell r="G467">
            <v>165422.93900715842</v>
          </cell>
          <cell r="H467">
            <v>29844.006099284161</v>
          </cell>
          <cell r="I467">
            <v>328284.06709212577</v>
          </cell>
        </row>
        <row r="468">
          <cell r="C468">
            <v>933806592</v>
          </cell>
          <cell r="D468">
            <v>377903.25</v>
          </cell>
          <cell r="E468">
            <v>933800678</v>
          </cell>
          <cell r="F468">
            <v>532681</v>
          </cell>
          <cell r="G468">
            <v>189964.8313689002</v>
          </cell>
          <cell r="H468">
            <v>34271.616863109979</v>
          </cell>
          <cell r="I468">
            <v>376987.78549420979</v>
          </cell>
        </row>
        <row r="469">
          <cell r="C469">
            <v>938807382</v>
          </cell>
          <cell r="D469">
            <v>959694.38</v>
          </cell>
          <cell r="E469">
            <v>933800789</v>
          </cell>
          <cell r="F469">
            <v>412503</v>
          </cell>
          <cell r="G469">
            <v>147106.92296921692</v>
          </cell>
          <cell r="H469">
            <v>26539.607703078305</v>
          </cell>
          <cell r="I469">
            <v>291935.68473386136</v>
          </cell>
        </row>
        <row r="470">
          <cell r="C470">
            <v>938807429</v>
          </cell>
          <cell r="D470">
            <v>748935.45</v>
          </cell>
          <cell r="E470">
            <v>933805770</v>
          </cell>
          <cell r="F470">
            <v>109646</v>
          </cell>
          <cell r="G470">
            <v>39101.983927105393</v>
          </cell>
          <cell r="H470">
            <v>7054.401607289461</v>
          </cell>
          <cell r="I470">
            <v>77598.417680184066</v>
          </cell>
        </row>
        <row r="471">
          <cell r="C471">
            <v>938807530</v>
          </cell>
          <cell r="D471">
            <v>121767.75</v>
          </cell>
          <cell r="E471">
            <v>933805774</v>
          </cell>
          <cell r="F471">
            <v>771240</v>
          </cell>
          <cell r="G471">
            <v>275039.80157908873</v>
          </cell>
          <cell r="H471">
            <v>49620.019842091126</v>
          </cell>
          <cell r="I471">
            <v>545820.21826300235</v>
          </cell>
        </row>
        <row r="472">
          <cell r="C472">
            <v>933806423</v>
          </cell>
          <cell r="D472">
            <v>214220.32</v>
          </cell>
          <cell r="E472">
            <v>933805762</v>
          </cell>
          <cell r="F472">
            <v>297381.64</v>
          </cell>
          <cell r="G472">
            <v>106052.31479029097</v>
          </cell>
          <cell r="H472">
            <v>19132.932520970906</v>
          </cell>
          <cell r="I472">
            <v>210462.25773067996</v>
          </cell>
        </row>
        <row r="473">
          <cell r="C473">
            <v>933806292</v>
          </cell>
          <cell r="D473">
            <v>528280.01</v>
          </cell>
          <cell r="E473">
            <v>933805771</v>
          </cell>
          <cell r="F473">
            <v>138615</v>
          </cell>
          <cell r="G473">
            <v>49432.915948194321</v>
          </cell>
          <cell r="H473">
            <v>8918.2084051805668</v>
          </cell>
          <cell r="I473">
            <v>98100.292456986252</v>
          </cell>
        </row>
        <row r="474">
          <cell r="C474">
            <v>938807597</v>
          </cell>
          <cell r="D474">
            <v>380863.62</v>
          </cell>
          <cell r="E474">
            <v>933805873</v>
          </cell>
          <cell r="F474">
            <v>173587</v>
          </cell>
          <cell r="G474">
            <v>61904.639329792641</v>
          </cell>
          <cell r="H474">
            <v>11168.236067020734</v>
          </cell>
          <cell r="I474">
            <v>122850.5967372281</v>
          </cell>
        </row>
        <row r="475">
          <cell r="C475">
            <v>933805776</v>
          </cell>
          <cell r="D475">
            <v>550586.6</v>
          </cell>
          <cell r="E475">
            <v>933805808</v>
          </cell>
          <cell r="F475">
            <v>394875</v>
          </cell>
          <cell r="G475">
            <v>140820.42120292343</v>
          </cell>
          <cell r="H475">
            <v>25405.457879707654</v>
          </cell>
          <cell r="I475">
            <v>279460.03667678422</v>
          </cell>
        </row>
        <row r="476">
          <cell r="C476">
            <v>938807613</v>
          </cell>
          <cell r="D476">
            <v>645630.17000000004</v>
          </cell>
          <cell r="E476">
            <v>933805915</v>
          </cell>
          <cell r="F476">
            <v>334965</v>
          </cell>
          <cell r="G476">
            <v>119455.30202782463</v>
          </cell>
          <cell r="H476">
            <v>21550.969797217538</v>
          </cell>
          <cell r="I476">
            <v>237060.66776939292</v>
          </cell>
        </row>
        <row r="477">
          <cell r="C477">
            <v>938807609</v>
          </cell>
          <cell r="D477">
            <v>459353.31</v>
          </cell>
          <cell r="E477">
            <v>933805942</v>
          </cell>
          <cell r="F477">
            <v>126862</v>
          </cell>
          <cell r="G477">
            <v>45241.558150415382</v>
          </cell>
          <cell r="H477">
            <v>8162.0441849584622</v>
          </cell>
          <cell r="I477">
            <v>89782.486034543079</v>
          </cell>
        </row>
        <row r="478">
          <cell r="C478">
            <v>933805606</v>
          </cell>
          <cell r="D478">
            <v>694555.81</v>
          </cell>
          <cell r="E478">
            <v>933805878</v>
          </cell>
          <cell r="F478">
            <v>759865.91</v>
          </cell>
          <cell r="G478">
            <v>270983.57076022215</v>
          </cell>
          <cell r="H478">
            <v>48888.233923977794</v>
          </cell>
          <cell r="I478">
            <v>537770.5731637557</v>
          </cell>
        </row>
        <row r="479">
          <cell r="C479">
            <v>938807643</v>
          </cell>
          <cell r="D479">
            <v>352334.21</v>
          </cell>
          <cell r="E479">
            <v>933805875</v>
          </cell>
          <cell r="F479">
            <v>44545</v>
          </cell>
          <cell r="G479">
            <v>15885.649034464639</v>
          </cell>
          <cell r="H479">
            <v>2865.9350965535359</v>
          </cell>
          <cell r="I479">
            <v>31525.286062088897</v>
          </cell>
        </row>
        <row r="480">
          <cell r="C480">
            <v>933805366</v>
          </cell>
          <cell r="D480">
            <v>226028.32</v>
          </cell>
          <cell r="E480">
            <v>933805785</v>
          </cell>
          <cell r="F480">
            <v>442109.55</v>
          </cell>
          <cell r="G480">
            <v>157665.21823066776</v>
          </cell>
          <cell r="H480">
            <v>28444.433176933224</v>
          </cell>
          <cell r="I480">
            <v>312888.76494626544</v>
          </cell>
        </row>
        <row r="481">
          <cell r="C481">
            <v>938807522</v>
          </cell>
          <cell r="D481">
            <v>140861.49</v>
          </cell>
          <cell r="E481">
            <v>933805724</v>
          </cell>
          <cell r="F481">
            <v>74921</v>
          </cell>
          <cell r="G481">
            <v>26718.345747247171</v>
          </cell>
          <cell r="H481">
            <v>4820.2654252752827</v>
          </cell>
          <cell r="I481">
            <v>53022.919678028113</v>
          </cell>
        </row>
        <row r="482">
          <cell r="C482">
            <v>938807404</v>
          </cell>
          <cell r="D482">
            <v>472079.02</v>
          </cell>
          <cell r="E482">
            <v>933805758</v>
          </cell>
          <cell r="F482">
            <v>316279</v>
          </cell>
          <cell r="G482">
            <v>112791.49603707356</v>
          </cell>
          <cell r="H482">
            <v>20348.750396292646</v>
          </cell>
          <cell r="I482">
            <v>223836.25435921911</v>
          </cell>
        </row>
        <row r="483">
          <cell r="C483">
            <v>938807514</v>
          </cell>
          <cell r="D483">
            <v>1285405.33</v>
          </cell>
          <cell r="E483">
            <v>933804567</v>
          </cell>
          <cell r="F483">
            <v>168639</v>
          </cell>
          <cell r="G483">
            <v>60140.082332990969</v>
          </cell>
          <cell r="H483">
            <v>10849.891766700903</v>
          </cell>
          <cell r="I483">
            <v>119348.80943370993</v>
          </cell>
        </row>
        <row r="484">
          <cell r="C484">
            <v>938807538</v>
          </cell>
          <cell r="D484">
            <v>247289.99</v>
          </cell>
          <cell r="E484">
            <v>933805735</v>
          </cell>
          <cell r="F484">
            <v>260121</v>
          </cell>
          <cell r="G484">
            <v>92764.416039824369</v>
          </cell>
          <cell r="H484">
            <v>16735.658396017563</v>
          </cell>
          <cell r="I484">
            <v>184092.24235619319</v>
          </cell>
        </row>
        <row r="485">
          <cell r="C485">
            <v>938806730</v>
          </cell>
          <cell r="D485">
            <v>538939.67000000004</v>
          </cell>
          <cell r="E485">
            <v>933805737</v>
          </cell>
          <cell r="F485">
            <v>342006</v>
          </cell>
          <cell r="G485">
            <v>121966.26520779241</v>
          </cell>
          <cell r="H485">
            <v>22003.97347922076</v>
          </cell>
          <cell r="I485">
            <v>242043.70827142836</v>
          </cell>
        </row>
        <row r="486">
          <cell r="C486">
            <v>938808459</v>
          </cell>
          <cell r="D486">
            <v>399206.68</v>
          </cell>
          <cell r="E486">
            <v>933805741</v>
          </cell>
          <cell r="F486">
            <v>199513</v>
          </cell>
          <cell r="G486">
            <v>71150.375930253533</v>
          </cell>
          <cell r="H486">
            <v>12836.262406974647</v>
          </cell>
          <cell r="I486">
            <v>141198.88647672112</v>
          </cell>
        </row>
        <row r="487">
          <cell r="C487">
            <v>938808598</v>
          </cell>
          <cell r="D487">
            <v>524991.35</v>
          </cell>
          <cell r="E487">
            <v>933806011</v>
          </cell>
          <cell r="F487">
            <v>432414</v>
          </cell>
          <cell r="G487">
            <v>154207.58876616889</v>
          </cell>
          <cell r="H487">
            <v>27820.64112338311</v>
          </cell>
          <cell r="I487">
            <v>306027.05235721421</v>
          </cell>
        </row>
        <row r="488">
          <cell r="C488">
            <v>938808610</v>
          </cell>
          <cell r="D488">
            <v>671270.44</v>
          </cell>
          <cell r="E488">
            <v>933805666</v>
          </cell>
          <cell r="F488">
            <v>136494</v>
          </cell>
          <cell r="G488">
            <v>48676.524398029331</v>
          </cell>
          <cell r="H488">
            <v>8781.7475601970673</v>
          </cell>
          <cell r="I488">
            <v>96599.223162167735</v>
          </cell>
        </row>
        <row r="489">
          <cell r="C489">
            <v>938808594</v>
          </cell>
          <cell r="D489">
            <v>110856.83</v>
          </cell>
          <cell r="E489">
            <v>933806329</v>
          </cell>
          <cell r="F489">
            <v>224628</v>
          </cell>
          <cell r="G489">
            <v>80106.893507996938</v>
          </cell>
          <cell r="H489">
            <v>14452.110649200307</v>
          </cell>
          <cell r="I489">
            <v>158973.21714120338</v>
          </cell>
        </row>
        <row r="490">
          <cell r="C490">
            <v>938808742</v>
          </cell>
          <cell r="D490">
            <v>521983.69</v>
          </cell>
          <cell r="E490">
            <v>933806412</v>
          </cell>
          <cell r="F490">
            <v>753387</v>
          </cell>
          <cell r="G490">
            <v>268673.06025655428</v>
          </cell>
          <cell r="H490">
            <v>48471.393974344574</v>
          </cell>
          <cell r="I490">
            <v>533185.33371779032</v>
          </cell>
        </row>
        <row r="491">
          <cell r="C491">
            <v>938805282</v>
          </cell>
          <cell r="D491">
            <v>208604.55</v>
          </cell>
          <cell r="E491">
            <v>933806249</v>
          </cell>
          <cell r="F491">
            <v>103018</v>
          </cell>
          <cell r="G491">
            <v>36738.304910371044</v>
          </cell>
          <cell r="H491">
            <v>6627.969508962894</v>
          </cell>
          <cell r="I491">
            <v>72907.664598591844</v>
          </cell>
        </row>
        <row r="492">
          <cell r="C492">
            <v>933806748</v>
          </cell>
          <cell r="D492">
            <v>172971.27</v>
          </cell>
          <cell r="E492">
            <v>933805824</v>
          </cell>
          <cell r="F492">
            <v>137823</v>
          </cell>
          <cell r="G492">
            <v>49150.472710226066</v>
          </cell>
          <cell r="H492">
            <v>8867.2527289773934</v>
          </cell>
          <cell r="I492">
            <v>97539.780018751335</v>
          </cell>
        </row>
        <row r="493">
          <cell r="C493">
            <v>938808764</v>
          </cell>
          <cell r="D493">
            <v>375704.47</v>
          </cell>
          <cell r="E493">
            <v>933806374</v>
          </cell>
          <cell r="F493">
            <v>44545</v>
          </cell>
          <cell r="G493">
            <v>15885.649034464639</v>
          </cell>
          <cell r="H493">
            <v>2865.9350965535359</v>
          </cell>
          <cell r="I493">
            <v>31525.286062088897</v>
          </cell>
        </row>
        <row r="494">
          <cell r="C494">
            <v>938808916</v>
          </cell>
          <cell r="D494">
            <v>489697.9</v>
          </cell>
          <cell r="E494">
            <v>933806550</v>
          </cell>
          <cell r="F494">
            <v>44545</v>
          </cell>
          <cell r="G494">
            <v>15885.649034464639</v>
          </cell>
          <cell r="H494">
            <v>2865.9350965535359</v>
          </cell>
          <cell r="I494">
            <v>31525.286062088897</v>
          </cell>
        </row>
        <row r="495">
          <cell r="C495">
            <v>933805875</v>
          </cell>
          <cell r="D495">
            <v>508573.32</v>
          </cell>
          <cell r="E495">
            <v>933806623</v>
          </cell>
          <cell r="F495">
            <v>659030</v>
          </cell>
          <cell r="G495">
            <v>235023.44333108614</v>
          </cell>
          <cell r="H495">
            <v>42400.655666891384</v>
          </cell>
          <cell r="I495">
            <v>466407.21233580523</v>
          </cell>
        </row>
        <row r="496">
          <cell r="C496">
            <v>933806183</v>
          </cell>
          <cell r="D496">
            <v>207706.19</v>
          </cell>
          <cell r="E496">
            <v>933806547</v>
          </cell>
          <cell r="F496">
            <v>1015211.64</v>
          </cell>
          <cell r="G496">
            <v>362045.02881902037</v>
          </cell>
          <cell r="H496">
            <v>65316.661118097967</v>
          </cell>
          <cell r="I496">
            <v>718483.27229907759</v>
          </cell>
        </row>
        <row r="497">
          <cell r="C497">
            <v>933805671</v>
          </cell>
          <cell r="D497">
            <v>471950.85</v>
          </cell>
          <cell r="E497">
            <v>933806460</v>
          </cell>
          <cell r="F497">
            <v>638808</v>
          </cell>
          <cell r="G497">
            <v>227811.8686363966</v>
          </cell>
          <cell r="H497">
            <v>41099.613136360334</v>
          </cell>
          <cell r="I497">
            <v>452095.74449996371</v>
          </cell>
        </row>
        <row r="498">
          <cell r="C498">
            <v>933805803</v>
          </cell>
          <cell r="D498">
            <v>466130.26</v>
          </cell>
          <cell r="E498">
            <v>933806493</v>
          </cell>
          <cell r="F498">
            <v>394759</v>
          </cell>
          <cell r="G498">
            <v>140779.05325392808</v>
          </cell>
          <cell r="H498">
            <v>25397.994674607191</v>
          </cell>
          <cell r="I498">
            <v>279377.9414206791</v>
          </cell>
        </row>
        <row r="499">
          <cell r="C499">
            <v>933805802</v>
          </cell>
          <cell r="D499">
            <v>539924.12</v>
          </cell>
          <cell r="E499">
            <v>933805792</v>
          </cell>
          <cell r="F499">
            <v>701152</v>
          </cell>
          <cell r="G499">
            <v>250045.00149989786</v>
          </cell>
          <cell r="H499">
            <v>45110.699850010213</v>
          </cell>
          <cell r="I499">
            <v>496217.69835011236</v>
          </cell>
        </row>
        <row r="500">
          <cell r="C500">
            <v>933805687</v>
          </cell>
          <cell r="D500">
            <v>953549.29</v>
          </cell>
          <cell r="E500">
            <v>933806416</v>
          </cell>
          <cell r="F500">
            <v>924059.64</v>
          </cell>
          <cell r="G500">
            <v>329538.37979467376</v>
          </cell>
          <cell r="H500">
            <v>59452.126020532625</v>
          </cell>
          <cell r="I500">
            <v>653973.38622585894</v>
          </cell>
        </row>
        <row r="501">
          <cell r="C501">
            <v>933805686</v>
          </cell>
          <cell r="D501">
            <v>356442.67</v>
          </cell>
          <cell r="E501">
            <v>933805986</v>
          </cell>
          <cell r="F501">
            <v>890132</v>
          </cell>
          <cell r="G501">
            <v>317439.0963373236</v>
          </cell>
          <cell r="H501">
            <v>57269.290366267647</v>
          </cell>
          <cell r="I501">
            <v>629962.19402894413</v>
          </cell>
        </row>
        <row r="502">
          <cell r="C502">
            <v>933805821</v>
          </cell>
          <cell r="D502">
            <v>112781.88</v>
          </cell>
          <cell r="E502">
            <v>933806603</v>
          </cell>
          <cell r="F502">
            <v>839221.64</v>
          </cell>
          <cell r="G502">
            <v>299283.43102857406</v>
          </cell>
          <cell r="H502">
            <v>53993.820897142592</v>
          </cell>
          <cell r="I502">
            <v>593932.02986856853</v>
          </cell>
        </row>
        <row r="503">
          <cell r="C503">
            <v>933805960</v>
          </cell>
          <cell r="D503">
            <v>398940.29</v>
          </cell>
          <cell r="E503">
            <v>933806549</v>
          </cell>
          <cell r="F503">
            <v>44545</v>
          </cell>
          <cell r="G503">
            <v>15885.649034464639</v>
          </cell>
          <cell r="H503">
            <v>2865.9350965535359</v>
          </cell>
          <cell r="I503">
            <v>31525.286062088897</v>
          </cell>
        </row>
        <row r="504">
          <cell r="C504">
            <v>933805966</v>
          </cell>
          <cell r="D504">
            <v>381359.33</v>
          </cell>
          <cell r="E504">
            <v>933806430</v>
          </cell>
          <cell r="F504">
            <v>391894</v>
          </cell>
          <cell r="G504">
            <v>139757.33623779292</v>
          </cell>
          <cell r="H504">
            <v>25213.66637622071</v>
          </cell>
          <cell r="I504">
            <v>277350.33013842779</v>
          </cell>
        </row>
        <row r="505">
          <cell r="C505">
            <v>933805969</v>
          </cell>
          <cell r="D505">
            <v>505900.79</v>
          </cell>
          <cell r="E505">
            <v>933806542</v>
          </cell>
          <cell r="F505">
            <v>430022</v>
          </cell>
          <cell r="G505">
            <v>153354.55312826476</v>
          </cell>
          <cell r="H505">
            <v>27666.744687173526</v>
          </cell>
          <cell r="I505">
            <v>304334.19155890879</v>
          </cell>
        </row>
        <row r="506">
          <cell r="C506">
            <v>933805863</v>
          </cell>
          <cell r="D506">
            <v>382075.27</v>
          </cell>
          <cell r="E506">
            <v>933806497</v>
          </cell>
          <cell r="F506">
            <v>431056</v>
          </cell>
          <cell r="G506">
            <v>153723.2984667233</v>
          </cell>
          <cell r="H506">
            <v>27733.270153327667</v>
          </cell>
          <cell r="I506">
            <v>305065.97168660437</v>
          </cell>
        </row>
        <row r="507">
          <cell r="C507">
            <v>933805880</v>
          </cell>
          <cell r="D507">
            <v>329617.26</v>
          </cell>
          <cell r="E507">
            <v>933806601</v>
          </cell>
          <cell r="F507">
            <v>305735</v>
          </cell>
          <cell r="G507">
            <v>109031.29212149617</v>
          </cell>
          <cell r="H507">
            <v>19670.370787850385</v>
          </cell>
          <cell r="I507">
            <v>216374.07866635421</v>
          </cell>
        </row>
        <row r="508">
          <cell r="C508">
            <v>933805920</v>
          </cell>
          <cell r="D508">
            <v>442968.02</v>
          </cell>
          <cell r="E508">
            <v>933806210</v>
          </cell>
          <cell r="F508">
            <v>236863.64</v>
          </cell>
          <cell r="G508">
            <v>84470.370503216531</v>
          </cell>
          <cell r="H508">
            <v>15239.326949678351</v>
          </cell>
          <cell r="I508">
            <v>167632.59644646186</v>
          </cell>
        </row>
        <row r="509">
          <cell r="C509">
            <v>933806003</v>
          </cell>
          <cell r="D509">
            <v>373008.48</v>
          </cell>
          <cell r="E509">
            <v>933806232</v>
          </cell>
          <cell r="F509">
            <v>358193</v>
          </cell>
          <cell r="G509">
            <v>127738.87719389366</v>
          </cell>
          <cell r="H509">
            <v>23045.412280610632</v>
          </cell>
          <cell r="I509">
            <v>253499.53508671699</v>
          </cell>
        </row>
        <row r="510">
          <cell r="C510">
            <v>933805874</v>
          </cell>
          <cell r="D510">
            <v>124806.53</v>
          </cell>
          <cell r="E510">
            <v>933805099</v>
          </cell>
          <cell r="F510">
            <v>860305</v>
          </cell>
          <cell r="G510">
            <v>306802.18414176907</v>
          </cell>
          <cell r="H510">
            <v>55350.28158582309</v>
          </cell>
          <cell r="I510">
            <v>608853.09744405397</v>
          </cell>
        </row>
        <row r="511">
          <cell r="C511">
            <v>933805933</v>
          </cell>
          <cell r="D511">
            <v>495202.89</v>
          </cell>
          <cell r="E511">
            <v>933806082</v>
          </cell>
          <cell r="F511">
            <v>274138</v>
          </cell>
          <cell r="G511">
            <v>97763.162083512565</v>
          </cell>
          <cell r="H511">
            <v>17637.483791648741</v>
          </cell>
          <cell r="I511">
            <v>194012.32170813615</v>
          </cell>
        </row>
        <row r="512">
          <cell r="C512">
            <v>933805851</v>
          </cell>
          <cell r="D512">
            <v>433549.23</v>
          </cell>
          <cell r="E512">
            <v>933806255</v>
          </cell>
          <cell r="F512">
            <v>299222</v>
          </cell>
          <cell r="G512">
            <v>106708.62443350721</v>
          </cell>
          <cell r="H512">
            <v>19251.33755664928</v>
          </cell>
          <cell r="I512">
            <v>211764.71312314208</v>
          </cell>
        </row>
        <row r="513">
          <cell r="C513">
            <v>933805608</v>
          </cell>
          <cell r="D513">
            <v>361272.11</v>
          </cell>
          <cell r="E513">
            <v>933806350</v>
          </cell>
          <cell r="F513">
            <v>614177</v>
          </cell>
          <cell r="G513">
            <v>219027.95525963383</v>
          </cell>
          <cell r="H513">
            <v>39514.904474036623</v>
          </cell>
          <cell r="I513">
            <v>434663.94921440282</v>
          </cell>
        </row>
        <row r="514">
          <cell r="C514">
            <v>933806018</v>
          </cell>
          <cell r="D514">
            <v>441037.75</v>
          </cell>
          <cell r="E514">
            <v>933806016</v>
          </cell>
          <cell r="F514">
            <v>183640</v>
          </cell>
          <cell r="G514">
            <v>65489.742702639727</v>
          </cell>
          <cell r="H514">
            <v>11815.025729736029</v>
          </cell>
          <cell r="I514">
            <v>129965.2830270963</v>
          </cell>
        </row>
        <row r="515">
          <cell r="C515">
            <v>933805574</v>
          </cell>
          <cell r="D515">
            <v>257175.2</v>
          </cell>
          <cell r="E515">
            <v>933806344</v>
          </cell>
          <cell r="F515">
            <v>559204.64</v>
          </cell>
          <cell r="G515">
            <v>199423.69849554714</v>
          </cell>
          <cell r="H515">
            <v>35978.094150445286</v>
          </cell>
          <cell r="I515">
            <v>395759.03565489815</v>
          </cell>
        </row>
        <row r="516">
          <cell r="C516">
            <v>933805578</v>
          </cell>
          <cell r="D516">
            <v>346610.27</v>
          </cell>
          <cell r="E516">
            <v>933806261</v>
          </cell>
          <cell r="F516">
            <v>312369.64</v>
          </cell>
          <cell r="G516">
            <v>111397.33909669027</v>
          </cell>
          <cell r="H516">
            <v>20097.230090330973</v>
          </cell>
          <cell r="I516">
            <v>221069.53099364071</v>
          </cell>
        </row>
        <row r="517">
          <cell r="C517">
            <v>933805655</v>
          </cell>
          <cell r="D517">
            <v>544883.28</v>
          </cell>
          <cell r="E517">
            <v>933806283</v>
          </cell>
          <cell r="F517">
            <v>1008316</v>
          </cell>
          <cell r="G517">
            <v>359585.9039585868</v>
          </cell>
          <cell r="H517">
            <v>64873.00960414132</v>
          </cell>
          <cell r="I517">
            <v>713603.10564555461</v>
          </cell>
        </row>
        <row r="518">
          <cell r="C518">
            <v>933805742</v>
          </cell>
          <cell r="D518">
            <v>223672.42</v>
          </cell>
          <cell r="E518">
            <v>933806290</v>
          </cell>
          <cell r="F518">
            <v>113737</v>
          </cell>
          <cell r="G518">
            <v>40560.917369691429</v>
          </cell>
          <cell r="H518">
            <v>7317.6082630308574</v>
          </cell>
          <cell r="I518">
            <v>80493.69089333943</v>
          </cell>
        </row>
        <row r="519">
          <cell r="C519">
            <v>933805748</v>
          </cell>
          <cell r="D519">
            <v>410680.55</v>
          </cell>
          <cell r="E519">
            <v>933806286</v>
          </cell>
          <cell r="F519">
            <v>119686</v>
          </cell>
          <cell r="G519">
            <v>42682.451236702989</v>
          </cell>
          <cell r="H519">
            <v>7700.3548763297013</v>
          </cell>
          <cell r="I519">
            <v>84703.903639626704</v>
          </cell>
        </row>
        <row r="520">
          <cell r="C520">
            <v>933806014</v>
          </cell>
          <cell r="D520">
            <v>659280.56000000006</v>
          </cell>
          <cell r="E520">
            <v>933805691</v>
          </cell>
          <cell r="F520">
            <v>496184.64</v>
          </cell>
          <cell r="G520">
            <v>176949.49034307295</v>
          </cell>
          <cell r="H520">
            <v>31923.514965692713</v>
          </cell>
          <cell r="I520">
            <v>351158.66462261981</v>
          </cell>
        </row>
        <row r="521">
          <cell r="C521">
            <v>933805647</v>
          </cell>
          <cell r="D521">
            <v>277016.71000000002</v>
          </cell>
          <cell r="E521">
            <v>933806342</v>
          </cell>
          <cell r="F521">
            <v>416119.64</v>
          </cell>
          <cell r="G521">
            <v>148396.69003003195</v>
          </cell>
          <cell r="H521">
            <v>26772.294996996807</v>
          </cell>
          <cell r="I521">
            <v>294495.24496696488</v>
          </cell>
        </row>
        <row r="522">
          <cell r="C522">
            <v>933805648</v>
          </cell>
          <cell r="D522">
            <v>374666.84</v>
          </cell>
          <cell r="E522">
            <v>933805285</v>
          </cell>
          <cell r="F522">
            <v>386030</v>
          </cell>
          <cell r="G522">
            <v>137666.11509202793</v>
          </cell>
          <cell r="H522">
            <v>24836.388490797206</v>
          </cell>
          <cell r="I522">
            <v>273200.27339876926</v>
          </cell>
        </row>
        <row r="523">
          <cell r="C523">
            <v>933805674</v>
          </cell>
          <cell r="D523">
            <v>735545.64</v>
          </cell>
          <cell r="E523">
            <v>933805289</v>
          </cell>
          <cell r="F523">
            <v>213791.64</v>
          </cell>
          <cell r="G523">
            <v>76242.428096141259</v>
          </cell>
          <cell r="H523">
            <v>13754.921190385874</v>
          </cell>
          <cell r="I523">
            <v>151304.13309424464</v>
          </cell>
        </row>
        <row r="524">
          <cell r="C524">
            <v>933806106</v>
          </cell>
          <cell r="D524">
            <v>304283.38</v>
          </cell>
          <cell r="E524">
            <v>933805320</v>
          </cell>
          <cell r="F524">
            <v>139249</v>
          </cell>
          <cell r="G524">
            <v>49659.013186668912</v>
          </cell>
          <cell r="H524">
            <v>8958.9986813331088</v>
          </cell>
          <cell r="I524">
            <v>98548.985494664186</v>
          </cell>
        </row>
        <row r="525">
          <cell r="C525">
            <v>933806118</v>
          </cell>
          <cell r="D525">
            <v>315888.78999999998</v>
          </cell>
          <cell r="E525">
            <v>933805316</v>
          </cell>
          <cell r="F525">
            <v>140240</v>
          </cell>
          <cell r="G525">
            <v>50012.423854379187</v>
          </cell>
          <cell r="H525">
            <v>9022.7576145620806</v>
          </cell>
          <cell r="I525">
            <v>99250.333760182897</v>
          </cell>
        </row>
        <row r="526">
          <cell r="C526">
            <v>933806076</v>
          </cell>
          <cell r="D526">
            <v>215281.78</v>
          </cell>
          <cell r="E526">
            <v>933805317</v>
          </cell>
          <cell r="F526">
            <v>274985</v>
          </cell>
          <cell r="G526">
            <v>98065.219435228617</v>
          </cell>
          <cell r="H526">
            <v>17691.978056477139</v>
          </cell>
          <cell r="I526">
            <v>194611.75862124853</v>
          </cell>
        </row>
        <row r="527">
          <cell r="C527">
            <v>933806136</v>
          </cell>
          <cell r="D527">
            <v>125575.26</v>
          </cell>
          <cell r="E527">
            <v>933806420</v>
          </cell>
          <cell r="F527">
            <v>93077</v>
          </cell>
          <cell r="G527">
            <v>33193.14300551948</v>
          </cell>
          <cell r="H527">
            <v>5988.385699448052</v>
          </cell>
          <cell r="I527">
            <v>65872.242693928565</v>
          </cell>
        </row>
        <row r="528">
          <cell r="C528">
            <v>933806140</v>
          </cell>
          <cell r="D528">
            <v>549893.07999999996</v>
          </cell>
          <cell r="E528">
            <v>933805322</v>
          </cell>
          <cell r="F528">
            <v>440696</v>
          </cell>
          <cell r="G528">
            <v>157161.11767633693</v>
          </cell>
          <cell r="H528">
            <v>28353.488232366311</v>
          </cell>
          <cell r="I528">
            <v>311888.37055602943</v>
          </cell>
        </row>
        <row r="529">
          <cell r="C529">
            <v>933806044</v>
          </cell>
          <cell r="D529">
            <v>463479.61</v>
          </cell>
          <cell r="E529">
            <v>933805298</v>
          </cell>
          <cell r="F529">
            <v>171322</v>
          </cell>
          <cell r="G529">
            <v>61096.89446363342</v>
          </cell>
          <cell r="H529">
            <v>11022.510553636657</v>
          </cell>
          <cell r="I529">
            <v>121247.61609000324</v>
          </cell>
        </row>
        <row r="530">
          <cell r="C530">
            <v>933806026</v>
          </cell>
          <cell r="D530">
            <v>335553.14</v>
          </cell>
          <cell r="E530">
            <v>933805263</v>
          </cell>
          <cell r="F530">
            <v>288992</v>
          </cell>
          <cell r="G530">
            <v>103060.39927641721</v>
          </cell>
          <cell r="H530">
            <v>18593.160072358278</v>
          </cell>
          <cell r="I530">
            <v>204524.76079594105</v>
          </cell>
        </row>
        <row r="531">
          <cell r="C531">
            <v>933806299</v>
          </cell>
          <cell r="D531">
            <v>503947.6</v>
          </cell>
          <cell r="E531">
            <v>933805676</v>
          </cell>
          <cell r="F531">
            <v>297324.64</v>
          </cell>
          <cell r="G531">
            <v>106031.98743604326</v>
          </cell>
          <cell r="H531">
            <v>19129.265256395676</v>
          </cell>
          <cell r="I531">
            <v>210421.91782035242</v>
          </cell>
        </row>
        <row r="532">
          <cell r="C532">
            <v>933806315</v>
          </cell>
          <cell r="D532">
            <v>348033.97</v>
          </cell>
          <cell r="E532">
            <v>938508138</v>
          </cell>
          <cell r="F532">
            <v>356567.64</v>
          </cell>
          <cell r="G532">
            <v>127159.2409044188</v>
          </cell>
          <cell r="H532">
            <v>22940.839909558119</v>
          </cell>
          <cell r="I532">
            <v>252349.23900513933</v>
          </cell>
        </row>
        <row r="533">
          <cell r="C533">
            <v>933805576</v>
          </cell>
          <cell r="D533">
            <v>98988.52</v>
          </cell>
          <cell r="E533">
            <v>933805259</v>
          </cell>
          <cell r="F533">
            <v>965510</v>
          </cell>
          <cell r="G533">
            <v>344320.41753880243</v>
          </cell>
          <cell r="H533">
            <v>62118.958246119764</v>
          </cell>
          <cell r="I533">
            <v>683308.54070731741</v>
          </cell>
        </row>
        <row r="534">
          <cell r="C534">
            <v>933800222</v>
          </cell>
          <cell r="D534">
            <v>885430.44</v>
          </cell>
          <cell r="E534">
            <v>938508159</v>
          </cell>
          <cell r="F534">
            <v>75567</v>
          </cell>
          <cell r="G534">
            <v>26948.722428721281</v>
          </cell>
          <cell r="H534">
            <v>4861.8277571278713</v>
          </cell>
          <cell r="I534">
            <v>53480.105328406593</v>
          </cell>
        </row>
        <row r="535">
          <cell r="C535">
            <v>933806053</v>
          </cell>
          <cell r="D535">
            <v>1470051.14</v>
          </cell>
          <cell r="E535">
            <v>933806238</v>
          </cell>
          <cell r="F535">
            <v>394383</v>
          </cell>
          <cell r="G535">
            <v>140644.96403994318</v>
          </cell>
          <cell r="H535">
            <v>25373.80359600568</v>
          </cell>
          <cell r="I535">
            <v>279111.83955606248</v>
          </cell>
        </row>
        <row r="536">
          <cell r="C536">
            <v>933806220</v>
          </cell>
          <cell r="D536">
            <v>284810.11</v>
          </cell>
          <cell r="E536">
            <v>933806733</v>
          </cell>
          <cell r="F536">
            <v>315389.64</v>
          </cell>
          <cell r="G536">
            <v>112474.33225156921</v>
          </cell>
          <cell r="H536">
            <v>20291.530774843082</v>
          </cell>
          <cell r="I536">
            <v>223206.83852327391</v>
          </cell>
        </row>
        <row r="537">
          <cell r="C537">
            <v>933806258</v>
          </cell>
          <cell r="D537">
            <v>120332.3</v>
          </cell>
          <cell r="E537">
            <v>933806737</v>
          </cell>
          <cell r="F537">
            <v>666680</v>
          </cell>
          <cell r="G537">
            <v>237751.58824327952</v>
          </cell>
          <cell r="H537">
            <v>42892.841175672045</v>
          </cell>
          <cell r="I537">
            <v>471821.25293239253</v>
          </cell>
        </row>
        <row r="538">
          <cell r="C538">
            <v>933806328</v>
          </cell>
          <cell r="D538">
            <v>131747.9</v>
          </cell>
          <cell r="E538">
            <v>933806656</v>
          </cell>
          <cell r="F538">
            <v>182473</v>
          </cell>
          <cell r="G538">
            <v>65073.566870936491</v>
          </cell>
          <cell r="H538">
            <v>11739.943312906353</v>
          </cell>
          <cell r="I538">
            <v>129139.37644196987</v>
          </cell>
        </row>
        <row r="539">
          <cell r="C539">
            <v>933806416</v>
          </cell>
          <cell r="D539">
            <v>480683.73</v>
          </cell>
          <cell r="E539">
            <v>933800567</v>
          </cell>
          <cell r="F539">
            <v>886981.64</v>
          </cell>
          <cell r="G539">
            <v>316315.61416665983</v>
          </cell>
          <cell r="H539">
            <v>57066.602583334017</v>
          </cell>
          <cell r="I539">
            <v>627732.6284166741</v>
          </cell>
        </row>
        <row r="540">
          <cell r="C540">
            <v>933806487</v>
          </cell>
          <cell r="D540">
            <v>84566.66</v>
          </cell>
          <cell r="E540">
            <v>933805765</v>
          </cell>
          <cell r="F540">
            <v>188839.64</v>
          </cell>
          <cell r="G540">
            <v>67344.039619141317</v>
          </cell>
          <cell r="H540">
            <v>12149.560038085869</v>
          </cell>
          <cell r="I540">
            <v>133645.16041894458</v>
          </cell>
        </row>
        <row r="541">
          <cell r="C541">
            <v>933806594</v>
          </cell>
          <cell r="D541">
            <v>794057.27</v>
          </cell>
          <cell r="E541">
            <v>933806851</v>
          </cell>
          <cell r="F541">
            <v>441127</v>
          </cell>
          <cell r="G541">
            <v>157314.82100406967</v>
          </cell>
          <cell r="H541">
            <v>28381.217899593037</v>
          </cell>
          <cell r="I541">
            <v>312193.39689552342</v>
          </cell>
        </row>
        <row r="542">
          <cell r="C542">
            <v>933806495</v>
          </cell>
          <cell r="D542">
            <v>412198.99</v>
          </cell>
          <cell r="E542">
            <v>933806739</v>
          </cell>
          <cell r="F542">
            <v>390608</v>
          </cell>
          <cell r="G542">
            <v>139298.72259634445</v>
          </cell>
          <cell r="H542">
            <v>25130.927740365554</v>
          </cell>
          <cell r="I542">
            <v>276440.20514402108</v>
          </cell>
        </row>
        <row r="543">
          <cell r="C543">
            <v>933806491</v>
          </cell>
          <cell r="D543">
            <v>395284.96</v>
          </cell>
          <cell r="E543">
            <v>933806749</v>
          </cell>
          <cell r="F543">
            <v>566764</v>
          </cell>
          <cell r="G543">
            <v>202119.51934828414</v>
          </cell>
          <cell r="H543">
            <v>36464.448065171586</v>
          </cell>
          <cell r="I543">
            <v>401108.92871688749</v>
          </cell>
        </row>
        <row r="544">
          <cell r="C544">
            <v>933806476</v>
          </cell>
          <cell r="D544">
            <v>162650.69</v>
          </cell>
          <cell r="E544">
            <v>933806630</v>
          </cell>
          <cell r="F544">
            <v>489834.64</v>
          </cell>
          <cell r="G544">
            <v>174684.95175582747</v>
          </cell>
          <cell r="H544">
            <v>31514.968824417258</v>
          </cell>
          <cell r="I544">
            <v>346664.65706858982</v>
          </cell>
        </row>
        <row r="545">
          <cell r="C545">
            <v>933806737</v>
          </cell>
          <cell r="D545">
            <v>203891.23</v>
          </cell>
          <cell r="E545">
            <v>933806748</v>
          </cell>
          <cell r="F545">
            <v>123034</v>
          </cell>
          <cell r="G545">
            <v>43876.415833568804</v>
          </cell>
          <cell r="H545">
            <v>7915.7584166431197</v>
          </cell>
          <cell r="I545">
            <v>87073.342583074307</v>
          </cell>
        </row>
        <row r="546">
          <cell r="C546">
            <v>933806655</v>
          </cell>
          <cell r="D546">
            <v>357197.88</v>
          </cell>
          <cell r="E546">
            <v>933805144</v>
          </cell>
          <cell r="F546">
            <v>327987</v>
          </cell>
          <cell r="G546">
            <v>116966.8059236043</v>
          </cell>
          <cell r="H546">
            <v>21102.019407639567</v>
          </cell>
          <cell r="I546">
            <v>232122.21348403528</v>
          </cell>
        </row>
        <row r="547">
          <cell r="C547">
            <v>933806728</v>
          </cell>
          <cell r="D547">
            <v>163827.56</v>
          </cell>
          <cell r="E547">
            <v>933805209</v>
          </cell>
          <cell r="F547">
            <v>419772.91</v>
          </cell>
          <cell r="G547">
            <v>149699.52009060304</v>
          </cell>
          <cell r="H547">
            <v>27007.338990939694</v>
          </cell>
          <cell r="I547">
            <v>297080.72890033666</v>
          </cell>
        </row>
        <row r="548">
          <cell r="C548">
            <v>933806542</v>
          </cell>
          <cell r="D548">
            <v>84218.62</v>
          </cell>
          <cell r="E548">
            <v>933806947</v>
          </cell>
          <cell r="F548">
            <v>451611</v>
          </cell>
          <cell r="G548">
            <v>161053.62770464947</v>
          </cell>
          <cell r="H548">
            <v>29055.737229535054</v>
          </cell>
          <cell r="I548">
            <v>319613.1095248856</v>
          </cell>
        </row>
        <row r="549">
          <cell r="C549">
            <v>933806629</v>
          </cell>
          <cell r="D549">
            <v>449449.69</v>
          </cell>
          <cell r="E549">
            <v>933806196</v>
          </cell>
          <cell r="F549">
            <v>451802</v>
          </cell>
          <cell r="G549">
            <v>161121.74217239179</v>
          </cell>
          <cell r="H549">
            <v>29068.025782760818</v>
          </cell>
          <cell r="I549">
            <v>319748.28361036902</v>
          </cell>
        </row>
        <row r="550">
          <cell r="C550">
            <v>933806749</v>
          </cell>
          <cell r="D550">
            <v>192559.45</v>
          </cell>
          <cell r="E550">
            <v>933805188</v>
          </cell>
          <cell r="F550">
            <v>296090</v>
          </cell>
          <cell r="G550">
            <v>105591.68981063274</v>
          </cell>
          <cell r="H550">
            <v>19049.831018936726</v>
          </cell>
          <cell r="I550">
            <v>209548.141208304</v>
          </cell>
        </row>
        <row r="551">
          <cell r="C551">
            <v>933806377</v>
          </cell>
          <cell r="D551">
            <v>230729</v>
          </cell>
          <cell r="E551">
            <v>933805183</v>
          </cell>
          <cell r="F551">
            <v>379313</v>
          </cell>
          <cell r="G551">
            <v>135270.69687304716</v>
          </cell>
          <cell r="H551">
            <v>24404.230312695283</v>
          </cell>
          <cell r="I551">
            <v>268446.5334396481</v>
          </cell>
        </row>
        <row r="552">
          <cell r="C552">
            <v>933805816</v>
          </cell>
          <cell r="D552">
            <v>172048.25</v>
          </cell>
          <cell r="E552">
            <v>933806458</v>
          </cell>
          <cell r="F552">
            <v>549734.64</v>
          </cell>
          <cell r="G552">
            <v>196046.50472842666</v>
          </cell>
          <cell r="H552">
            <v>35368.813527157334</v>
          </cell>
          <cell r="I552">
            <v>389056.94879873068</v>
          </cell>
        </row>
        <row r="553">
          <cell r="C553">
            <v>933805824</v>
          </cell>
          <cell r="D553">
            <v>560514.81999999995</v>
          </cell>
          <cell r="E553">
            <v>933806727</v>
          </cell>
          <cell r="F553">
            <v>99796</v>
          </cell>
          <cell r="G553">
            <v>35589.274465000184</v>
          </cell>
          <cell r="H553">
            <v>6420.6725534999814</v>
          </cell>
          <cell r="I553">
            <v>70627.398088499802</v>
          </cell>
        </row>
        <row r="554">
          <cell r="C554">
            <v>933806376</v>
          </cell>
          <cell r="D554">
            <v>512313.8</v>
          </cell>
          <cell r="E554">
            <v>933805166</v>
          </cell>
          <cell r="F554">
            <v>336052</v>
          </cell>
          <cell r="G554">
            <v>119842.94823953108</v>
          </cell>
          <cell r="H554">
            <v>21620.90517604689</v>
          </cell>
          <cell r="I554">
            <v>237829.95693651581</v>
          </cell>
        </row>
        <row r="555">
          <cell r="C555">
            <v>933806351</v>
          </cell>
          <cell r="D555">
            <v>233861.14</v>
          </cell>
          <cell r="E555">
            <v>933805173</v>
          </cell>
          <cell r="F555">
            <v>277831</v>
          </cell>
          <cell r="G555">
            <v>99080.160666614553</v>
          </cell>
          <cell r="H555">
            <v>17875.083933338545</v>
          </cell>
          <cell r="I555">
            <v>196625.92326672401</v>
          </cell>
        </row>
        <row r="556">
          <cell r="C556">
            <v>933806389</v>
          </cell>
          <cell r="D556">
            <v>350001.3</v>
          </cell>
          <cell r="E556">
            <v>933805195</v>
          </cell>
          <cell r="F556">
            <v>234902</v>
          </cell>
          <cell r="G556">
            <v>83770.809956085155</v>
          </cell>
          <cell r="H556">
            <v>15113.119004391483</v>
          </cell>
          <cell r="I556">
            <v>166244.30904830631</v>
          </cell>
        </row>
        <row r="557">
          <cell r="C557">
            <v>933806356</v>
          </cell>
          <cell r="D557">
            <v>225575.48</v>
          </cell>
          <cell r="E557">
            <v>933805174</v>
          </cell>
          <cell r="F557">
            <v>389038.61</v>
          </cell>
          <cell r="G557">
            <v>138739.04634225986</v>
          </cell>
          <cell r="H557">
            <v>25029.956365774015</v>
          </cell>
          <cell r="I557">
            <v>275329.52002351417</v>
          </cell>
        </row>
        <row r="558">
          <cell r="C558">
            <v>933806187</v>
          </cell>
          <cell r="D558">
            <v>494159.32</v>
          </cell>
          <cell r="E558">
            <v>938805341</v>
          </cell>
          <cell r="F558">
            <v>101169</v>
          </cell>
          <cell r="G558">
            <v>36078.914068195154</v>
          </cell>
          <cell r="H558">
            <v>6509.0085931804842</v>
          </cell>
          <cell r="I558">
            <v>71599.094524985325</v>
          </cell>
        </row>
        <row r="559">
          <cell r="C559">
            <v>933806314</v>
          </cell>
          <cell r="D559">
            <v>161028.03</v>
          </cell>
          <cell r="E559">
            <v>938805325</v>
          </cell>
          <cell r="F559">
            <v>381100</v>
          </cell>
          <cell r="G559">
            <v>135907.97725972554</v>
          </cell>
          <cell r="H559">
            <v>24519.202274027448</v>
          </cell>
          <cell r="I559">
            <v>269711.22501430189</v>
          </cell>
        </row>
        <row r="560">
          <cell r="C560">
            <v>933806387</v>
          </cell>
          <cell r="D560">
            <v>284496.14</v>
          </cell>
          <cell r="E560">
            <v>938805347</v>
          </cell>
          <cell r="F560">
            <v>446282.55</v>
          </cell>
          <cell r="G560">
            <v>159153.39453375054</v>
          </cell>
          <cell r="H560">
            <v>28712.915546624943</v>
          </cell>
          <cell r="I560">
            <v>315842.07101287437</v>
          </cell>
        </row>
        <row r="561">
          <cell r="C561">
            <v>933806395</v>
          </cell>
          <cell r="D561">
            <v>236155.74</v>
          </cell>
          <cell r="E561">
            <v>938805251</v>
          </cell>
          <cell r="F561">
            <v>439522</v>
          </cell>
          <cell r="G561">
            <v>156742.44550288399</v>
          </cell>
          <cell r="H561">
            <v>28277.955449711601</v>
          </cell>
          <cell r="I561">
            <v>311057.5099468276</v>
          </cell>
        </row>
        <row r="562">
          <cell r="C562">
            <v>933806302</v>
          </cell>
          <cell r="D562">
            <v>251613.09</v>
          </cell>
          <cell r="E562">
            <v>938806011</v>
          </cell>
          <cell r="F562">
            <v>162950</v>
          </cell>
          <cell r="G562">
            <v>58111.269730968983</v>
          </cell>
          <cell r="H562">
            <v>10483.873026903102</v>
          </cell>
          <cell r="I562">
            <v>115322.60329593412</v>
          </cell>
        </row>
        <row r="563">
          <cell r="C563">
            <v>933805264</v>
          </cell>
          <cell r="D563">
            <v>317819.99</v>
          </cell>
          <cell r="E563">
            <v>938805320</v>
          </cell>
          <cell r="F563">
            <v>298131.64</v>
          </cell>
          <cell r="G563">
            <v>106319.7799777609</v>
          </cell>
          <cell r="H563">
            <v>19181.186002223913</v>
          </cell>
          <cell r="I563">
            <v>210993.04602446302</v>
          </cell>
        </row>
        <row r="564">
          <cell r="C564">
            <v>933805325</v>
          </cell>
          <cell r="D564">
            <v>433010.74</v>
          </cell>
          <cell r="E564">
            <v>938806034</v>
          </cell>
          <cell r="F564">
            <v>508656</v>
          </cell>
          <cell r="G564">
            <v>181397.0298636131</v>
          </cell>
          <cell r="H564">
            <v>32725.897013638689</v>
          </cell>
          <cell r="I564">
            <v>359984.86715002562</v>
          </cell>
        </row>
        <row r="565">
          <cell r="C565">
            <v>933805269</v>
          </cell>
          <cell r="D565">
            <v>456088.69</v>
          </cell>
          <cell r="E565">
            <v>938805138</v>
          </cell>
          <cell r="F565">
            <v>484470</v>
          </cell>
          <cell r="G565">
            <v>172771.81249808247</v>
          </cell>
          <cell r="H565">
            <v>31169.818750191756</v>
          </cell>
          <cell r="I565">
            <v>342868.00625210931</v>
          </cell>
        </row>
        <row r="566">
          <cell r="C566">
            <v>933805316</v>
          </cell>
          <cell r="D566">
            <v>597951.11</v>
          </cell>
          <cell r="E566">
            <v>938806650</v>
          </cell>
          <cell r="F566">
            <v>733476.64</v>
          </cell>
          <cell r="G566">
            <v>261572.62269656232</v>
          </cell>
          <cell r="H566">
            <v>47190.401730343772</v>
          </cell>
          <cell r="I566">
            <v>519094.41903378145</v>
          </cell>
        </row>
        <row r="567">
          <cell r="C567">
            <v>938805124</v>
          </cell>
          <cell r="D567">
            <v>204011.78</v>
          </cell>
          <cell r="E567">
            <v>938806064</v>
          </cell>
          <cell r="F567">
            <v>299587</v>
          </cell>
          <cell r="G567">
            <v>106838.79082474258</v>
          </cell>
          <cell r="H567">
            <v>19274.820917525743</v>
          </cell>
          <cell r="I567">
            <v>212023.03009278316</v>
          </cell>
        </row>
        <row r="568">
          <cell r="C568">
            <v>933806133</v>
          </cell>
          <cell r="D568">
            <v>325183.15000000002</v>
          </cell>
          <cell r="E568">
            <v>938806469</v>
          </cell>
          <cell r="F568">
            <v>133510</v>
          </cell>
          <cell r="G568">
            <v>47612.369572148928</v>
          </cell>
          <cell r="H568">
            <v>8589.7630427851091</v>
          </cell>
          <cell r="I568">
            <v>94487.393470636191</v>
          </cell>
        </row>
        <row r="569">
          <cell r="C569">
            <v>938508162</v>
          </cell>
          <cell r="D569">
            <v>285092.09000000003</v>
          </cell>
          <cell r="E569">
            <v>938806552</v>
          </cell>
          <cell r="F569">
            <v>156872.64000000001</v>
          </cell>
          <cell r="G569">
            <v>55943.96008867256</v>
          </cell>
          <cell r="H569">
            <v>10092.867991132745</v>
          </cell>
          <cell r="I569">
            <v>111021.54790246021</v>
          </cell>
        </row>
        <row r="570">
          <cell r="C570">
            <v>933805135</v>
          </cell>
          <cell r="D570">
            <v>196356.95</v>
          </cell>
          <cell r="E570">
            <v>938806052</v>
          </cell>
          <cell r="F570">
            <v>191785</v>
          </cell>
          <cell r="G570">
            <v>68394.414638563263</v>
          </cell>
          <cell r="H570">
            <v>12339.058536143673</v>
          </cell>
          <cell r="I570">
            <v>135729.64389758042</v>
          </cell>
        </row>
        <row r="571">
          <cell r="C571">
            <v>938805246</v>
          </cell>
          <cell r="D571">
            <v>285306.02</v>
          </cell>
          <cell r="E571">
            <v>933806221</v>
          </cell>
          <cell r="F571">
            <v>80908.639999999999</v>
          </cell>
          <cell r="G571">
            <v>28853.659420717187</v>
          </cell>
          <cell r="H571">
            <v>5205.498057928281</v>
          </cell>
          <cell r="I571">
            <v>57260.47863721109</v>
          </cell>
        </row>
        <row r="572">
          <cell r="C572">
            <v>933805140</v>
          </cell>
          <cell r="D572">
            <v>255574.32</v>
          </cell>
          <cell r="E572">
            <v>938805234</v>
          </cell>
          <cell r="F572">
            <v>257445</v>
          </cell>
          <cell r="G572">
            <v>91810.100250931617</v>
          </cell>
          <cell r="H572">
            <v>16563.489974906835</v>
          </cell>
          <cell r="I572">
            <v>182198.38972397521</v>
          </cell>
        </row>
        <row r="573">
          <cell r="C573">
            <v>933806850</v>
          </cell>
          <cell r="D573">
            <v>373820.86</v>
          </cell>
          <cell r="E573">
            <v>938805244</v>
          </cell>
          <cell r="F573">
            <v>89999.55</v>
          </cell>
          <cell r="G573">
            <v>32095.662017280323</v>
          </cell>
          <cell r="H573">
            <v>5790.388798271968</v>
          </cell>
          <cell r="I573">
            <v>63694.276780991648</v>
          </cell>
        </row>
        <row r="574">
          <cell r="C574">
            <v>933805209</v>
          </cell>
          <cell r="D574">
            <v>219985.63</v>
          </cell>
          <cell r="E574">
            <v>933805706</v>
          </cell>
          <cell r="F574">
            <v>160042</v>
          </cell>
          <cell r="G574">
            <v>57074.218044085523</v>
          </cell>
          <cell r="H574">
            <v>10296.778195591447</v>
          </cell>
          <cell r="I574">
            <v>113264.56015150592</v>
          </cell>
        </row>
        <row r="575">
          <cell r="C575">
            <v>933805158</v>
          </cell>
          <cell r="D575">
            <v>257439.73</v>
          </cell>
          <cell r="E575">
            <v>933806276</v>
          </cell>
          <cell r="F575">
            <v>275992</v>
          </cell>
          <cell r="G575">
            <v>98424.336026938254</v>
          </cell>
          <cell r="H575">
            <v>17756.766397306175</v>
          </cell>
          <cell r="I575">
            <v>195324.43037036792</v>
          </cell>
        </row>
        <row r="576">
          <cell r="C576">
            <v>933806433</v>
          </cell>
          <cell r="D576">
            <v>561853.32999999996</v>
          </cell>
          <cell r="E576">
            <v>938805125</v>
          </cell>
          <cell r="F576">
            <v>210286</v>
          </cell>
          <cell r="G576">
            <v>74992.245883071751</v>
          </cell>
          <cell r="H576">
            <v>13529.375411692825</v>
          </cell>
          <cell r="I576">
            <v>148823.1295286211</v>
          </cell>
        </row>
        <row r="577">
          <cell r="C577">
            <v>933806707</v>
          </cell>
          <cell r="D577">
            <v>582531.99</v>
          </cell>
          <cell r="E577">
            <v>938805139</v>
          </cell>
          <cell r="F577">
            <v>116672</v>
          </cell>
          <cell r="G577">
            <v>41607.597803323792</v>
          </cell>
          <cell r="H577">
            <v>7506.440219667621</v>
          </cell>
          <cell r="I577">
            <v>82570.842416343832</v>
          </cell>
        </row>
        <row r="578">
          <cell r="C578">
            <v>933806241</v>
          </cell>
          <cell r="D578">
            <v>258344.57</v>
          </cell>
          <cell r="E578">
            <v>938805133</v>
          </cell>
          <cell r="F578">
            <v>353752</v>
          </cell>
          <cell r="G578">
            <v>126155.12666382163</v>
          </cell>
          <cell r="H578">
            <v>22759.687333617836</v>
          </cell>
          <cell r="I578">
            <v>250356.56066979619</v>
          </cell>
        </row>
        <row r="579">
          <cell r="C579">
            <v>933805138</v>
          </cell>
          <cell r="D579">
            <v>62725</v>
          </cell>
          <cell r="E579">
            <v>933805913</v>
          </cell>
          <cell r="F579">
            <v>609004</v>
          </cell>
          <cell r="G579">
            <v>217183.15870659117</v>
          </cell>
          <cell r="H579">
            <v>39182.084129340881</v>
          </cell>
          <cell r="I579">
            <v>431002.92542274971</v>
          </cell>
        </row>
        <row r="580">
          <cell r="C580">
            <v>933805187</v>
          </cell>
          <cell r="D580">
            <v>539860.38</v>
          </cell>
          <cell r="E580">
            <v>938805197</v>
          </cell>
          <cell r="F580">
            <v>485824.91</v>
          </cell>
          <cell r="G580">
            <v>173255.00084095565</v>
          </cell>
          <cell r="H580">
            <v>31256.990915904433</v>
          </cell>
          <cell r="I580">
            <v>343826.90007494879</v>
          </cell>
        </row>
        <row r="581">
          <cell r="C581">
            <v>933806755</v>
          </cell>
          <cell r="D581">
            <v>422942.56</v>
          </cell>
          <cell r="E581">
            <v>938805169</v>
          </cell>
          <cell r="F581">
            <v>225629</v>
          </cell>
          <cell r="G581">
            <v>80463.870378206804</v>
          </cell>
          <cell r="H581">
            <v>14516.512962179318</v>
          </cell>
          <cell r="I581">
            <v>159681.64258397251</v>
          </cell>
        </row>
        <row r="582">
          <cell r="C582">
            <v>938805230</v>
          </cell>
          <cell r="D582">
            <v>249546.88</v>
          </cell>
          <cell r="E582">
            <v>938805230</v>
          </cell>
          <cell r="F582">
            <v>292378</v>
          </cell>
          <cell r="G582">
            <v>104267.91544278152</v>
          </cell>
          <cell r="H582">
            <v>18811.008455721847</v>
          </cell>
          <cell r="I582">
            <v>206921.09301294031</v>
          </cell>
        </row>
        <row r="583">
          <cell r="C583">
            <v>938805161</v>
          </cell>
          <cell r="D583">
            <v>417500.23</v>
          </cell>
          <cell r="E583">
            <v>938805117</v>
          </cell>
          <cell r="F583">
            <v>210229</v>
          </cell>
          <cell r="G583">
            <v>74971.918528824041</v>
          </cell>
          <cell r="H583">
            <v>13525.708147117593</v>
          </cell>
          <cell r="I583">
            <v>148782.78961829355</v>
          </cell>
        </row>
        <row r="584">
          <cell r="C584">
            <v>938805026</v>
          </cell>
          <cell r="D584">
            <v>151597.54999999999</v>
          </cell>
          <cell r="E584">
            <v>933806130</v>
          </cell>
          <cell r="F584">
            <v>316108</v>
          </cell>
          <cell r="G584">
            <v>112730.51397433042</v>
          </cell>
          <cell r="H584">
            <v>20337.74860256696</v>
          </cell>
          <cell r="I584">
            <v>223715.23462823653</v>
          </cell>
        </row>
        <row r="585">
          <cell r="C585">
            <v>938805101</v>
          </cell>
          <cell r="D585">
            <v>69358.2</v>
          </cell>
          <cell r="E585">
            <v>938805165</v>
          </cell>
          <cell r="F585">
            <v>936384</v>
          </cell>
          <cell r="G585">
            <v>333933.49613846984</v>
          </cell>
          <cell r="H585">
            <v>60245.050386153023</v>
          </cell>
          <cell r="I585">
            <v>662695.55424768326</v>
          </cell>
        </row>
        <row r="586">
          <cell r="C586">
            <v>938805243</v>
          </cell>
          <cell r="D586">
            <v>466617.18</v>
          </cell>
          <cell r="E586">
            <v>938805178</v>
          </cell>
          <cell r="F586">
            <v>316550</v>
          </cell>
          <cell r="G586">
            <v>112888.14012481271</v>
          </cell>
          <cell r="H586">
            <v>20366.185987518729</v>
          </cell>
          <cell r="I586">
            <v>224028.045862706</v>
          </cell>
        </row>
        <row r="587">
          <cell r="C587">
            <v>938805374</v>
          </cell>
          <cell r="D587">
            <v>225709.81</v>
          </cell>
          <cell r="E587">
            <v>938805137</v>
          </cell>
          <cell r="F587">
            <v>154189.64000000001</v>
          </cell>
          <cell r="G587">
            <v>54987.147958030102</v>
          </cell>
          <cell r="H587">
            <v>9920.2492041969908</v>
          </cell>
          <cell r="I587">
            <v>109122.7412461669</v>
          </cell>
        </row>
        <row r="588">
          <cell r="C588">
            <v>933806726</v>
          </cell>
          <cell r="D588">
            <v>213082</v>
          </cell>
          <cell r="E588">
            <v>938805160</v>
          </cell>
          <cell r="F588">
            <v>587240</v>
          </cell>
          <cell r="G588">
            <v>209421.67558646345</v>
          </cell>
          <cell r="H588">
            <v>37781.832441353661</v>
          </cell>
          <cell r="I588">
            <v>415600.15685489023</v>
          </cell>
        </row>
        <row r="589">
          <cell r="C589">
            <v>938806079</v>
          </cell>
          <cell r="D589">
            <v>182038.72</v>
          </cell>
          <cell r="E589">
            <v>938805200</v>
          </cell>
          <cell r="F589">
            <v>375526</v>
          </cell>
          <cell r="G589">
            <v>133920.17598644894</v>
          </cell>
          <cell r="H589">
            <v>24160.582401355103</v>
          </cell>
          <cell r="I589">
            <v>265766.40641490615</v>
          </cell>
        </row>
        <row r="590">
          <cell r="C590">
            <v>938805314</v>
          </cell>
          <cell r="D590">
            <v>439082.13</v>
          </cell>
          <cell r="E590">
            <v>938805240</v>
          </cell>
          <cell r="F590">
            <v>184918</v>
          </cell>
          <cell r="G590">
            <v>65945.5033820885</v>
          </cell>
          <cell r="H590">
            <v>11897.249661791149</v>
          </cell>
          <cell r="I590">
            <v>130869.74627970265</v>
          </cell>
        </row>
        <row r="591">
          <cell r="C591">
            <v>938805275</v>
          </cell>
          <cell r="D591">
            <v>608143.31000000006</v>
          </cell>
          <cell r="E591">
            <v>938805283</v>
          </cell>
          <cell r="F591">
            <v>1107993.6399999999</v>
          </cell>
          <cell r="G591">
            <v>395132.96885080164</v>
          </cell>
          <cell r="H591">
            <v>71286.067114919817</v>
          </cell>
          <cell r="I591">
            <v>784146.73826411797</v>
          </cell>
        </row>
        <row r="592">
          <cell r="C592">
            <v>938805378</v>
          </cell>
          <cell r="D592">
            <v>463866.59</v>
          </cell>
          <cell r="E592">
            <v>933806007</v>
          </cell>
          <cell r="F592">
            <v>361770</v>
          </cell>
          <cell r="G592">
            <v>129014.50782800028</v>
          </cell>
          <cell r="H592">
            <v>23275.549217199972</v>
          </cell>
          <cell r="I592">
            <v>256031.04138919967</v>
          </cell>
        </row>
        <row r="593">
          <cell r="C593">
            <v>938805140</v>
          </cell>
          <cell r="D593">
            <v>91569.85</v>
          </cell>
          <cell r="E593">
            <v>938806151</v>
          </cell>
          <cell r="F593">
            <v>556695</v>
          </cell>
          <cell r="G593">
            <v>198528.71005143769</v>
          </cell>
          <cell r="H593">
            <v>35816.628994856226</v>
          </cell>
          <cell r="I593">
            <v>393982.91894341848</v>
          </cell>
        </row>
        <row r="594">
          <cell r="C594">
            <v>933806671</v>
          </cell>
          <cell r="D594">
            <v>113499.57</v>
          </cell>
          <cell r="E594">
            <v>938806143</v>
          </cell>
          <cell r="F594">
            <v>228365</v>
          </cell>
          <cell r="G594">
            <v>81439.583382097146</v>
          </cell>
          <cell r="H594">
            <v>14692.541661790288</v>
          </cell>
          <cell r="I594">
            <v>161617.95827969315</v>
          </cell>
        </row>
        <row r="595">
          <cell r="C595">
            <v>933806130</v>
          </cell>
          <cell r="D595">
            <v>428269.68</v>
          </cell>
          <cell r="E595">
            <v>933805595</v>
          </cell>
          <cell r="F595">
            <v>191905</v>
          </cell>
          <cell r="G595">
            <v>68437.209068558455</v>
          </cell>
          <cell r="H595">
            <v>12346.779093144154</v>
          </cell>
          <cell r="I595">
            <v>135814.5700245857</v>
          </cell>
        </row>
        <row r="596">
          <cell r="C596">
            <v>938805348</v>
          </cell>
          <cell r="D596">
            <v>44545</v>
          </cell>
          <cell r="E596">
            <v>938806285</v>
          </cell>
          <cell r="F596">
            <v>183149</v>
          </cell>
          <cell r="G596">
            <v>65314.642159909403</v>
          </cell>
          <cell r="H596">
            <v>11783.43578400906</v>
          </cell>
          <cell r="I596">
            <v>129617.79362409966</v>
          </cell>
        </row>
        <row r="597">
          <cell r="C597">
            <v>938805352</v>
          </cell>
          <cell r="D597">
            <v>254823.33</v>
          </cell>
          <cell r="E597">
            <v>938807089</v>
          </cell>
          <cell r="F597">
            <v>152803.64000000001</v>
          </cell>
          <cell r="G597">
            <v>54492.872291585642</v>
          </cell>
          <cell r="H597">
            <v>9831.0767708414369</v>
          </cell>
          <cell r="I597">
            <v>108141.84447925581</v>
          </cell>
        </row>
        <row r="598">
          <cell r="C598">
            <v>938806012</v>
          </cell>
          <cell r="D598">
            <v>531653.64</v>
          </cell>
          <cell r="E598">
            <v>933805258</v>
          </cell>
          <cell r="F598">
            <v>414523</v>
          </cell>
          <cell r="G598">
            <v>147827.29587413595</v>
          </cell>
          <cell r="H598">
            <v>26669.570412586407</v>
          </cell>
          <cell r="I598">
            <v>293365.27453845047</v>
          </cell>
        </row>
        <row r="599">
          <cell r="C599">
            <v>938807300</v>
          </cell>
          <cell r="D599">
            <v>531646.48</v>
          </cell>
          <cell r="E599">
            <v>933806039</v>
          </cell>
          <cell r="F599">
            <v>248073</v>
          </cell>
          <cell r="G599">
            <v>88467.855268307248</v>
          </cell>
          <cell r="H599">
            <v>15960.514473169274</v>
          </cell>
          <cell r="I599">
            <v>175565.65920486202</v>
          </cell>
        </row>
        <row r="600">
          <cell r="C600">
            <v>938807136</v>
          </cell>
          <cell r="D600">
            <v>304830.92</v>
          </cell>
          <cell r="E600">
            <v>938807025</v>
          </cell>
          <cell r="F600">
            <v>288230</v>
          </cell>
          <cell r="G600">
            <v>102788.65464594777</v>
          </cell>
          <cell r="H600">
            <v>18544.134535405225</v>
          </cell>
          <cell r="I600">
            <v>203985.47988945746</v>
          </cell>
        </row>
        <row r="601">
          <cell r="C601">
            <v>938807139</v>
          </cell>
          <cell r="D601">
            <v>384934.35</v>
          </cell>
          <cell r="E601">
            <v>938806248</v>
          </cell>
          <cell r="F601">
            <v>164187</v>
          </cell>
          <cell r="G601">
            <v>58552.408980169399</v>
          </cell>
          <cell r="H601">
            <v>10563.459101983062</v>
          </cell>
          <cell r="I601">
            <v>116198.05012181366</v>
          </cell>
        </row>
        <row r="602">
          <cell r="C602">
            <v>938807930</v>
          </cell>
          <cell r="D602">
            <v>423501.66</v>
          </cell>
          <cell r="E602">
            <v>938806245</v>
          </cell>
          <cell r="F602">
            <v>44545</v>
          </cell>
          <cell r="G602">
            <v>15885.649034464639</v>
          </cell>
          <cell r="H602">
            <v>2865.9350965535359</v>
          </cell>
          <cell r="I602">
            <v>31525.286062088897</v>
          </cell>
        </row>
        <row r="603">
          <cell r="C603">
            <v>938807917</v>
          </cell>
          <cell r="D603">
            <v>500228.77</v>
          </cell>
          <cell r="E603">
            <v>938806877</v>
          </cell>
          <cell r="F603">
            <v>80908.639999999999</v>
          </cell>
          <cell r="G603">
            <v>28853.659420717187</v>
          </cell>
          <cell r="H603">
            <v>5205.498057928281</v>
          </cell>
          <cell r="I603">
            <v>57260.47863721109</v>
          </cell>
        </row>
        <row r="604">
          <cell r="C604">
            <v>938807919</v>
          </cell>
          <cell r="D604">
            <v>219569.65</v>
          </cell>
          <cell r="E604">
            <v>938806271</v>
          </cell>
          <cell r="F604">
            <v>72252</v>
          </cell>
          <cell r="G604">
            <v>25766.526300104146</v>
          </cell>
          <cell r="H604">
            <v>4648.5473699895847</v>
          </cell>
          <cell r="I604">
            <v>51134.021069885435</v>
          </cell>
        </row>
        <row r="605">
          <cell r="C605">
            <v>933806605</v>
          </cell>
          <cell r="D605">
            <v>552076.68000000005</v>
          </cell>
          <cell r="E605">
            <v>933805883</v>
          </cell>
          <cell r="F605">
            <v>446127.64</v>
          </cell>
          <cell r="G605">
            <v>159098.15049082926</v>
          </cell>
          <cell r="H605">
            <v>28702.948950917078</v>
          </cell>
          <cell r="I605">
            <v>315732.43846008781</v>
          </cell>
        </row>
        <row r="606">
          <cell r="C606">
            <v>933806743</v>
          </cell>
          <cell r="D606">
            <v>536194.74</v>
          </cell>
          <cell r="E606">
            <v>933805822</v>
          </cell>
          <cell r="F606">
            <v>429121</v>
          </cell>
          <cell r="G606">
            <v>153033.23828305086</v>
          </cell>
          <cell r="H606">
            <v>27608.776171694921</v>
          </cell>
          <cell r="I606">
            <v>303696.53788864409</v>
          </cell>
        </row>
        <row r="607">
          <cell r="C607">
            <v>938807943</v>
          </cell>
          <cell r="D607">
            <v>562411.23</v>
          </cell>
          <cell r="E607">
            <v>938806197</v>
          </cell>
          <cell r="F607">
            <v>270515</v>
          </cell>
          <cell r="G607">
            <v>96471.126917907779</v>
          </cell>
          <cell r="H607">
            <v>17404.387308209221</v>
          </cell>
          <cell r="I607">
            <v>191448.26039030144</v>
          </cell>
        </row>
        <row r="608">
          <cell r="C608">
            <v>938806895</v>
          </cell>
          <cell r="D608">
            <v>219624.58</v>
          </cell>
          <cell r="E608">
            <v>938805326</v>
          </cell>
          <cell r="F608">
            <v>956248.55</v>
          </cell>
          <cell r="G608">
            <v>341017.59692481114</v>
          </cell>
          <cell r="H608">
            <v>61523.095307518895</v>
          </cell>
          <cell r="I608">
            <v>676754.04838270776</v>
          </cell>
        </row>
        <row r="609">
          <cell r="C609">
            <v>938806052</v>
          </cell>
          <cell r="D609">
            <v>580652.65</v>
          </cell>
          <cell r="E609">
            <v>938806282</v>
          </cell>
          <cell r="F609">
            <v>193081.64</v>
          </cell>
          <cell r="G609">
            <v>68856.822719471296</v>
          </cell>
          <cell r="H609">
            <v>12422.481728052871</v>
          </cell>
          <cell r="I609">
            <v>136647.29900858158</v>
          </cell>
        </row>
        <row r="610">
          <cell r="C610">
            <v>933806145</v>
          </cell>
          <cell r="D610">
            <v>314552.65000000002</v>
          </cell>
          <cell r="E610">
            <v>938806244</v>
          </cell>
          <cell r="F610">
            <v>330202.64</v>
          </cell>
          <cell r="G610">
            <v>117756.94801422552</v>
          </cell>
          <cell r="H610">
            <v>21244.56919857745</v>
          </cell>
          <cell r="I610">
            <v>233690.26118435196</v>
          </cell>
        </row>
        <row r="611">
          <cell r="C611">
            <v>938806037</v>
          </cell>
          <cell r="D611">
            <v>112694.83</v>
          </cell>
          <cell r="E611">
            <v>938806221</v>
          </cell>
          <cell r="F611">
            <v>281793</v>
          </cell>
          <cell r="G611">
            <v>100493.09009695576</v>
          </cell>
          <cell r="H611">
            <v>18129.990990304424</v>
          </cell>
          <cell r="I611">
            <v>199429.90089334865</v>
          </cell>
        </row>
        <row r="612">
          <cell r="C612">
            <v>938805238</v>
          </cell>
          <cell r="D612">
            <v>520748.49</v>
          </cell>
          <cell r="E612">
            <v>938805383</v>
          </cell>
          <cell r="F612">
            <v>408640</v>
          </cell>
          <cell r="G612">
            <v>145729.29894362175</v>
          </cell>
          <cell r="H612">
            <v>26291.070105637824</v>
          </cell>
          <cell r="I612">
            <v>289201.77116201608</v>
          </cell>
        </row>
        <row r="613">
          <cell r="C613">
            <v>938809616</v>
          </cell>
          <cell r="D613">
            <v>147222.57</v>
          </cell>
          <cell r="E613">
            <v>938806153</v>
          </cell>
          <cell r="F613">
            <v>149963</v>
          </cell>
          <cell r="G613">
            <v>53479.842544739491</v>
          </cell>
          <cell r="H613">
            <v>9648.3157455260516</v>
          </cell>
          <cell r="I613">
            <v>106131.47320078657</v>
          </cell>
        </row>
        <row r="614">
          <cell r="C614">
            <v>933806110</v>
          </cell>
          <cell r="D614">
            <v>94100.02</v>
          </cell>
          <cell r="E614">
            <v>938806273</v>
          </cell>
          <cell r="F614">
            <v>207347</v>
          </cell>
          <cell r="G614">
            <v>73944.13896843954</v>
          </cell>
          <cell r="H614">
            <v>13340.286103156046</v>
          </cell>
          <cell r="I614">
            <v>146743.14713471651</v>
          </cell>
        </row>
        <row r="615">
          <cell r="C615">
            <v>938807600</v>
          </cell>
          <cell r="D615">
            <v>374100.93</v>
          </cell>
          <cell r="E615">
            <v>938806092</v>
          </cell>
          <cell r="F615">
            <v>44545</v>
          </cell>
          <cell r="G615">
            <v>15885.649034464639</v>
          </cell>
          <cell r="H615">
            <v>2865.9350965535359</v>
          </cell>
          <cell r="I615">
            <v>31525.286062088897</v>
          </cell>
        </row>
        <row r="616">
          <cell r="C616">
            <v>933805801</v>
          </cell>
          <cell r="D616">
            <v>44545</v>
          </cell>
          <cell r="E616">
            <v>938807199</v>
          </cell>
          <cell r="F616">
            <v>334403</v>
          </cell>
          <cell r="G616">
            <v>119254.88144734716</v>
          </cell>
          <cell r="H616">
            <v>21514.811855265285</v>
          </cell>
          <cell r="I616">
            <v>236662.93040791812</v>
          </cell>
        </row>
        <row r="617">
          <cell r="C617">
            <v>938808432</v>
          </cell>
          <cell r="D617">
            <v>151412.94</v>
          </cell>
          <cell r="E617">
            <v>938807309</v>
          </cell>
          <cell r="F617">
            <v>160617</v>
          </cell>
          <cell r="G617">
            <v>57279.274687812489</v>
          </cell>
          <cell r="H617">
            <v>10333.77253121875</v>
          </cell>
          <cell r="I617">
            <v>113671.49784340627</v>
          </cell>
        </row>
        <row r="618">
          <cell r="C618">
            <v>938807956</v>
          </cell>
          <cell r="D618">
            <v>214110.58</v>
          </cell>
          <cell r="E618">
            <v>938805122</v>
          </cell>
          <cell r="F618">
            <v>231478</v>
          </cell>
          <cell r="G618">
            <v>82549.742220222382</v>
          </cell>
          <cell r="H618">
            <v>14892.825777977763</v>
          </cell>
          <cell r="I618">
            <v>163821.0835577554</v>
          </cell>
        </row>
        <row r="619">
          <cell r="C619">
            <v>938807212</v>
          </cell>
          <cell r="D619">
            <v>337166.74</v>
          </cell>
          <cell r="E619">
            <v>938807538</v>
          </cell>
          <cell r="F619">
            <v>292777.64</v>
          </cell>
          <cell r="G619">
            <v>104410.4351594755</v>
          </cell>
          <cell r="H619">
            <v>18836.720484052454</v>
          </cell>
          <cell r="I619">
            <v>207203.92532457699</v>
          </cell>
        </row>
        <row r="620">
          <cell r="C620">
            <v>938808745</v>
          </cell>
          <cell r="D620">
            <v>179978.6</v>
          </cell>
          <cell r="E620">
            <v>938807149</v>
          </cell>
          <cell r="F620">
            <v>482926.64</v>
          </cell>
          <cell r="G620">
            <v>172221.41906910433</v>
          </cell>
          <cell r="H620">
            <v>31070.522093089567</v>
          </cell>
          <cell r="I620">
            <v>341775.74302398524</v>
          </cell>
        </row>
        <row r="621">
          <cell r="C621">
            <v>938806120</v>
          </cell>
          <cell r="D621">
            <v>85155.85</v>
          </cell>
          <cell r="E621">
            <v>938807152</v>
          </cell>
          <cell r="F621">
            <v>474443</v>
          </cell>
          <cell r="G621">
            <v>169195.98125173437</v>
          </cell>
          <cell r="H621">
            <v>30524.701874826565</v>
          </cell>
          <cell r="I621">
            <v>335771.7206230922</v>
          </cell>
        </row>
        <row r="622">
          <cell r="C622">
            <v>938806271</v>
          </cell>
          <cell r="D622">
            <v>213902.56</v>
          </cell>
          <cell r="E622">
            <v>938807623</v>
          </cell>
          <cell r="F622">
            <v>310614</v>
          </cell>
          <cell r="G622">
            <v>110771.24232105061</v>
          </cell>
          <cell r="H622">
            <v>19984.275767894938</v>
          </cell>
          <cell r="I622">
            <v>219827.03344684432</v>
          </cell>
        </row>
        <row r="623">
          <cell r="C623">
            <v>938806210</v>
          </cell>
          <cell r="D623">
            <v>256404.71</v>
          </cell>
          <cell r="E623">
            <v>938807605</v>
          </cell>
          <cell r="F623">
            <v>127114.91</v>
          </cell>
          <cell r="G623">
            <v>45331.750977832744</v>
          </cell>
          <cell r="H623">
            <v>8178.3159022167265</v>
          </cell>
          <cell r="I623">
            <v>89961.474924383991</v>
          </cell>
        </row>
        <row r="624">
          <cell r="C624">
            <v>938806121</v>
          </cell>
          <cell r="D624">
            <v>268896.55</v>
          </cell>
          <cell r="E624">
            <v>938807604</v>
          </cell>
          <cell r="F624">
            <v>243401</v>
          </cell>
          <cell r="G624">
            <v>86801.725460494505</v>
          </cell>
          <cell r="H624">
            <v>15659.927453950548</v>
          </cell>
          <cell r="I624">
            <v>172259.20199345602</v>
          </cell>
        </row>
        <row r="625">
          <cell r="C625">
            <v>938806175</v>
          </cell>
          <cell r="D625">
            <v>52726</v>
          </cell>
          <cell r="E625">
            <v>938805281</v>
          </cell>
          <cell r="F625">
            <v>453285</v>
          </cell>
          <cell r="G625">
            <v>161650.61000308237</v>
          </cell>
          <cell r="H625">
            <v>29163.438999691763</v>
          </cell>
          <cell r="I625">
            <v>320797.82899660937</v>
          </cell>
        </row>
        <row r="626">
          <cell r="C626">
            <v>938806101</v>
          </cell>
          <cell r="D626">
            <v>477561.09</v>
          </cell>
          <cell r="E626">
            <v>933806103</v>
          </cell>
          <cell r="F626">
            <v>381964.64</v>
          </cell>
          <cell r="G626">
            <v>136216.32539265088</v>
          </cell>
          <cell r="H626">
            <v>24574.831460734913</v>
          </cell>
          <cell r="I626">
            <v>270323.14606808405</v>
          </cell>
        </row>
        <row r="627">
          <cell r="C627">
            <v>938806094</v>
          </cell>
          <cell r="D627">
            <v>140982.01999999999</v>
          </cell>
          <cell r="E627">
            <v>938807942</v>
          </cell>
          <cell r="F627">
            <v>428328</v>
          </cell>
          <cell r="G627">
            <v>152750.43842483262</v>
          </cell>
          <cell r="H627">
            <v>27557.756157516735</v>
          </cell>
          <cell r="I627">
            <v>303135.31773268408</v>
          </cell>
        </row>
        <row r="628">
          <cell r="C628">
            <v>938806220</v>
          </cell>
          <cell r="D628">
            <v>222961.72</v>
          </cell>
          <cell r="E628">
            <v>938807920</v>
          </cell>
          <cell r="F628">
            <v>240750</v>
          </cell>
          <cell r="G628">
            <v>85856.325177850755</v>
          </cell>
          <cell r="H628">
            <v>15489.367482214924</v>
          </cell>
          <cell r="I628">
            <v>170383.04230436418</v>
          </cell>
        </row>
        <row r="629">
          <cell r="C629">
            <v>938806225</v>
          </cell>
          <cell r="D629">
            <v>94988.88</v>
          </cell>
          <cell r="E629">
            <v>938807905</v>
          </cell>
          <cell r="F629">
            <v>102137</v>
          </cell>
          <cell r="G629">
            <v>36424.122470156355</v>
          </cell>
          <cell r="H629">
            <v>6571.2877529843654</v>
          </cell>
          <cell r="I629">
            <v>72284.16528282802</v>
          </cell>
        </row>
        <row r="630">
          <cell r="C630">
            <v>938806087</v>
          </cell>
          <cell r="D630">
            <v>225283.69</v>
          </cell>
          <cell r="E630">
            <v>938807914</v>
          </cell>
          <cell r="F630">
            <v>226417</v>
          </cell>
          <cell r="G630">
            <v>80744.887135175231</v>
          </cell>
          <cell r="H630">
            <v>14567.211286482476</v>
          </cell>
          <cell r="I630">
            <v>160239.32415130726</v>
          </cell>
        </row>
        <row r="631">
          <cell r="C631">
            <v>938806277</v>
          </cell>
          <cell r="D631">
            <v>500390.75</v>
          </cell>
          <cell r="E631">
            <v>933806093</v>
          </cell>
          <cell r="F631">
            <v>505541</v>
          </cell>
          <cell r="G631">
            <v>180286.15778498794</v>
          </cell>
          <cell r="H631">
            <v>32525.484221501207</v>
          </cell>
          <cell r="I631">
            <v>357780.32643651328</v>
          </cell>
        </row>
        <row r="632">
          <cell r="C632">
            <v>938806233</v>
          </cell>
          <cell r="D632">
            <v>256985.93</v>
          </cell>
          <cell r="E632">
            <v>938807421</v>
          </cell>
          <cell r="F632">
            <v>378728</v>
          </cell>
          <cell r="G632">
            <v>135062.0740268206</v>
          </cell>
          <cell r="H632">
            <v>24366.592597317936</v>
          </cell>
          <cell r="I632">
            <v>268032.51857049734</v>
          </cell>
        </row>
        <row r="633">
          <cell r="C633">
            <v>938806171</v>
          </cell>
          <cell r="D633">
            <v>372435.3</v>
          </cell>
          <cell r="E633">
            <v>938807565</v>
          </cell>
          <cell r="F633">
            <v>100271</v>
          </cell>
          <cell r="G633">
            <v>35758.66908373114</v>
          </cell>
          <cell r="H633">
            <v>6451.2330916268857</v>
          </cell>
          <cell r="I633">
            <v>70963.564007895751</v>
          </cell>
        </row>
        <row r="634">
          <cell r="C634">
            <v>938806217</v>
          </cell>
          <cell r="D634">
            <v>116628.94</v>
          </cell>
          <cell r="E634">
            <v>933806620</v>
          </cell>
          <cell r="F634">
            <v>135431</v>
          </cell>
          <cell r="G634">
            <v>48297.437072321933</v>
          </cell>
          <cell r="H634">
            <v>8713.3562927678067</v>
          </cell>
          <cell r="I634">
            <v>95846.919220445881</v>
          </cell>
        </row>
        <row r="635">
          <cell r="C635">
            <v>938806134</v>
          </cell>
          <cell r="D635">
            <v>428579.13</v>
          </cell>
          <cell r="E635">
            <v>933805757</v>
          </cell>
          <cell r="F635">
            <v>200133</v>
          </cell>
          <cell r="G635">
            <v>71371.480485228691</v>
          </cell>
          <cell r="H635">
            <v>12876.151951477132</v>
          </cell>
          <cell r="I635">
            <v>141637.67146624843</v>
          </cell>
        </row>
        <row r="636">
          <cell r="C636">
            <v>938806153</v>
          </cell>
          <cell r="D636">
            <v>224359.19</v>
          </cell>
          <cell r="E636">
            <v>933806592</v>
          </cell>
          <cell r="F636">
            <v>194984</v>
          </cell>
          <cell r="G636">
            <v>69535.242818185056</v>
          </cell>
          <cell r="H636">
            <v>12544.875718181494</v>
          </cell>
          <cell r="I636">
            <v>137993.63289999645</v>
          </cell>
        </row>
        <row r="637">
          <cell r="C637">
            <v>938807276</v>
          </cell>
          <cell r="D637">
            <v>100487.02</v>
          </cell>
          <cell r="E637">
            <v>938807317</v>
          </cell>
          <cell r="F637">
            <v>150132</v>
          </cell>
          <cell r="G637">
            <v>53540.111366982725</v>
          </cell>
          <cell r="H637">
            <v>9659.1888633017297</v>
          </cell>
          <cell r="I637">
            <v>106251.07749631902</v>
          </cell>
        </row>
        <row r="638">
          <cell r="C638">
            <v>938807472</v>
          </cell>
          <cell r="D638">
            <v>92408.83</v>
          </cell>
          <cell r="E638">
            <v>938807335</v>
          </cell>
          <cell r="F638">
            <v>457995.64</v>
          </cell>
          <cell r="G638">
            <v>163330.51961735357</v>
          </cell>
          <cell r="H638">
            <v>29466.512038264646</v>
          </cell>
          <cell r="I638">
            <v>324131.6324209111</v>
          </cell>
        </row>
        <row r="639">
          <cell r="C639">
            <v>938808955</v>
          </cell>
          <cell r="D639">
            <v>612758.16</v>
          </cell>
          <cell r="E639">
            <v>933806742</v>
          </cell>
          <cell r="F639">
            <v>156519</v>
          </cell>
          <cell r="G639">
            <v>55817.844903476733</v>
          </cell>
          <cell r="H639">
            <v>10070.115509652325</v>
          </cell>
          <cell r="I639">
            <v>110771.27060617559</v>
          </cell>
        </row>
        <row r="640">
          <cell r="C640">
            <v>938806285</v>
          </cell>
          <cell r="D640">
            <v>203676.51</v>
          </cell>
          <cell r="E640">
            <v>938807326</v>
          </cell>
          <cell r="F640">
            <v>44545</v>
          </cell>
          <cell r="G640">
            <v>15885.649034464639</v>
          </cell>
          <cell r="H640">
            <v>2865.9350965535359</v>
          </cell>
          <cell r="I640">
            <v>31525.286062088897</v>
          </cell>
        </row>
        <row r="641">
          <cell r="C641">
            <v>938806477</v>
          </cell>
          <cell r="D641">
            <v>296537.48</v>
          </cell>
          <cell r="E641">
            <v>933806192</v>
          </cell>
          <cell r="F641">
            <v>191628</v>
          </cell>
          <cell r="G641">
            <v>68338.425259319571</v>
          </cell>
          <cell r="H641">
            <v>12328.957474068042</v>
          </cell>
          <cell r="I641">
            <v>135618.53221474847</v>
          </cell>
        </row>
        <row r="642">
          <cell r="C642">
            <v>938806877</v>
          </cell>
          <cell r="D642">
            <v>229033.03</v>
          </cell>
          <cell r="E642">
            <v>933806719</v>
          </cell>
          <cell r="F642">
            <v>374013</v>
          </cell>
          <cell r="G642">
            <v>133380.60954825958</v>
          </cell>
          <cell r="H642">
            <v>24063.239045174043</v>
          </cell>
          <cell r="I642">
            <v>264695.62949691445</v>
          </cell>
        </row>
        <row r="643">
          <cell r="C643">
            <v>938805245</v>
          </cell>
          <cell r="D643">
            <v>57271</v>
          </cell>
          <cell r="E643">
            <v>933806123</v>
          </cell>
          <cell r="F643">
            <v>623819.64</v>
          </cell>
          <cell r="G643">
            <v>222466.71594670738</v>
          </cell>
          <cell r="H643">
            <v>40135.292405329266</v>
          </cell>
          <cell r="I643">
            <v>441488.2164586219</v>
          </cell>
        </row>
        <row r="644">
          <cell r="C644">
            <v>938806614</v>
          </cell>
          <cell r="D644">
            <v>43060.07</v>
          </cell>
          <cell r="E644">
            <v>938807376</v>
          </cell>
          <cell r="F644">
            <v>157316</v>
          </cell>
          <cell r="G644">
            <v>56102.071242694787</v>
          </cell>
          <cell r="H644">
            <v>10121.39287573052</v>
          </cell>
          <cell r="I644">
            <v>111335.32163303574</v>
          </cell>
        </row>
        <row r="645">
          <cell r="C645">
            <v>938806172</v>
          </cell>
          <cell r="D645">
            <v>43060.07</v>
          </cell>
          <cell r="E645">
            <v>938807600</v>
          </cell>
          <cell r="F645">
            <v>136240</v>
          </cell>
          <cell r="G645">
            <v>48585.942854539513</v>
          </cell>
          <cell r="H645">
            <v>8765.4057145460483</v>
          </cell>
          <cell r="I645">
            <v>96419.462860006533</v>
          </cell>
        </row>
        <row r="646">
          <cell r="C646">
            <v>938806084</v>
          </cell>
          <cell r="D646">
            <v>354710.71</v>
          </cell>
          <cell r="E646">
            <v>938807270</v>
          </cell>
          <cell r="F646">
            <v>322873</v>
          </cell>
          <cell r="G646">
            <v>115143.04996530927</v>
          </cell>
          <cell r="H646">
            <v>20772.995003469074</v>
          </cell>
          <cell r="I646">
            <v>228502.94503815981</v>
          </cell>
        </row>
        <row r="647">
          <cell r="C647">
            <v>933806294</v>
          </cell>
          <cell r="D647">
            <v>8908.98</v>
          </cell>
          <cell r="E647">
            <v>938808245</v>
          </cell>
          <cell r="F647">
            <v>178898</v>
          </cell>
          <cell r="G647">
            <v>63798.649477329782</v>
          </cell>
          <cell r="H647">
            <v>11509.935052267021</v>
          </cell>
          <cell r="I647">
            <v>126609.28557493724</v>
          </cell>
        </row>
        <row r="648">
          <cell r="C648">
            <v>933805784</v>
          </cell>
          <cell r="D648">
            <v>53045.71</v>
          </cell>
          <cell r="E648">
            <v>938807956</v>
          </cell>
          <cell r="F648">
            <v>722191.82</v>
          </cell>
          <cell r="G648">
            <v>257548.22736740956</v>
          </cell>
          <cell r="H648">
            <v>46464.359263259044</v>
          </cell>
          <cell r="I648">
            <v>511107.95189584943</v>
          </cell>
        </row>
        <row r="649">
          <cell r="C649">
            <v>938806072</v>
          </cell>
          <cell r="D649">
            <v>8908.98</v>
          </cell>
          <cell r="E649">
            <v>938808143</v>
          </cell>
          <cell r="F649">
            <v>630946</v>
          </cell>
          <cell r="G649">
            <v>225008.12023121171</v>
          </cell>
          <cell r="H649">
            <v>40593.787976878833</v>
          </cell>
          <cell r="I649">
            <v>446531.6677456671</v>
          </cell>
        </row>
        <row r="650">
          <cell r="C650">
            <v>938807093</v>
          </cell>
          <cell r="D650">
            <v>195894.64</v>
          </cell>
          <cell r="E650">
            <v>933806158</v>
          </cell>
          <cell r="F650">
            <v>505386</v>
          </cell>
          <cell r="G650">
            <v>180230.88164624418</v>
          </cell>
          <cell r="H650">
            <v>32515.511835375579</v>
          </cell>
          <cell r="I650">
            <v>357670.63018913136</v>
          </cell>
        </row>
        <row r="651">
          <cell r="C651">
            <v>933806067</v>
          </cell>
          <cell r="D651">
            <v>518712.35</v>
          </cell>
          <cell r="E651">
            <v>933806049</v>
          </cell>
          <cell r="F651">
            <v>565190</v>
          </cell>
          <cell r="G651">
            <v>201558.19907484722</v>
          </cell>
          <cell r="H651">
            <v>36363.180092515278</v>
          </cell>
          <cell r="I651">
            <v>399994.98101766803</v>
          </cell>
        </row>
        <row r="652">
          <cell r="C652">
            <v>933806005</v>
          </cell>
          <cell r="D652">
            <v>299771.40000000002</v>
          </cell>
          <cell r="E652">
            <v>933806157</v>
          </cell>
          <cell r="F652">
            <v>583457</v>
          </cell>
          <cell r="G652">
            <v>208072.58118086506</v>
          </cell>
          <cell r="H652">
            <v>37538.441881913495</v>
          </cell>
          <cell r="I652">
            <v>412922.86070104846</v>
          </cell>
        </row>
        <row r="653">
          <cell r="C653">
            <v>938805472</v>
          </cell>
          <cell r="D653">
            <v>1087206.6299999999</v>
          </cell>
          <cell r="E653">
            <v>933806183</v>
          </cell>
          <cell r="F653">
            <v>676447</v>
          </cell>
          <cell r="G653">
            <v>241234.69822463804</v>
          </cell>
          <cell r="H653">
            <v>43521.230177536199</v>
          </cell>
          <cell r="I653">
            <v>478733.53195289819</v>
          </cell>
        </row>
        <row r="654">
          <cell r="C654">
            <v>938807091</v>
          </cell>
          <cell r="D654">
            <v>864184.95</v>
          </cell>
          <cell r="E654">
            <v>933805623</v>
          </cell>
          <cell r="F654">
            <v>380449</v>
          </cell>
          <cell r="G654">
            <v>135675.81747700163</v>
          </cell>
          <cell r="H654">
            <v>24477.31825229984</v>
          </cell>
          <cell r="I654">
            <v>269250.50077529822</v>
          </cell>
        </row>
        <row r="655">
          <cell r="C655">
            <v>938805482</v>
          </cell>
          <cell r="D655">
            <v>169768.21</v>
          </cell>
          <cell r="E655">
            <v>933805646</v>
          </cell>
          <cell r="F655">
            <v>600396</v>
          </cell>
          <cell r="G655">
            <v>214113.37159493615</v>
          </cell>
          <cell r="H655">
            <v>38628.262840506388</v>
          </cell>
          <cell r="I655">
            <v>424910.89124557027</v>
          </cell>
        </row>
        <row r="656">
          <cell r="C656">
            <v>938807130</v>
          </cell>
          <cell r="D656">
            <v>253413.42</v>
          </cell>
          <cell r="E656">
            <v>933805648</v>
          </cell>
          <cell r="F656">
            <v>238267</v>
          </cell>
          <cell r="G656">
            <v>84970.837097200274</v>
          </cell>
          <cell r="H656">
            <v>15329.616290279972</v>
          </cell>
          <cell r="I656">
            <v>168625.77919307971</v>
          </cell>
        </row>
        <row r="657">
          <cell r="C657">
            <v>938805486</v>
          </cell>
          <cell r="D657">
            <v>778447.81</v>
          </cell>
          <cell r="E657">
            <v>933805857</v>
          </cell>
          <cell r="F657">
            <v>235182</v>
          </cell>
          <cell r="G657">
            <v>83870.663626073918</v>
          </cell>
          <cell r="H657">
            <v>15131.13363739261</v>
          </cell>
          <cell r="I657">
            <v>166442.47001131868</v>
          </cell>
        </row>
        <row r="658">
          <cell r="C658">
            <v>933805990</v>
          </cell>
          <cell r="D658">
            <v>1175228.02</v>
          </cell>
          <cell r="E658">
            <v>933806776</v>
          </cell>
          <cell r="F658">
            <v>554029.64</v>
          </cell>
          <cell r="G658">
            <v>197578.18870200455</v>
          </cell>
          <cell r="H658">
            <v>35645.145129799545</v>
          </cell>
          <cell r="I658">
            <v>392096.59642779501</v>
          </cell>
        </row>
        <row r="659">
          <cell r="C659">
            <v>938807165</v>
          </cell>
          <cell r="D659">
            <v>782258.96</v>
          </cell>
          <cell r="E659">
            <v>933805730</v>
          </cell>
          <cell r="F659">
            <v>146389</v>
          </cell>
          <cell r="G659">
            <v>52205.281771382739</v>
          </cell>
          <cell r="H659">
            <v>9418.3718228617272</v>
          </cell>
          <cell r="I659">
            <v>103602.09005147898</v>
          </cell>
        </row>
        <row r="660">
          <cell r="C660">
            <v>938807301</v>
          </cell>
          <cell r="D660">
            <v>603099.05000000005</v>
          </cell>
          <cell r="E660">
            <v>933805670</v>
          </cell>
          <cell r="F660">
            <v>257962</v>
          </cell>
          <cell r="G660">
            <v>91994.472920160901</v>
          </cell>
          <cell r="H660">
            <v>16596.752707983906</v>
          </cell>
          <cell r="I660">
            <v>182564.27978782298</v>
          </cell>
        </row>
        <row r="661">
          <cell r="C661">
            <v>938807310</v>
          </cell>
          <cell r="D661">
            <v>421981.72</v>
          </cell>
          <cell r="E661">
            <v>933805611</v>
          </cell>
          <cell r="F661">
            <v>49090</v>
          </cell>
          <cell r="G661">
            <v>17506.488070532476</v>
          </cell>
          <cell r="H661">
            <v>3158.3511929467522</v>
          </cell>
          <cell r="I661">
            <v>34741.863122414274</v>
          </cell>
        </row>
        <row r="662">
          <cell r="C662">
            <v>938807163</v>
          </cell>
          <cell r="D662">
            <v>339523.13</v>
          </cell>
          <cell r="E662">
            <v>933805613</v>
          </cell>
          <cell r="F662">
            <v>132375</v>
          </cell>
          <cell r="G662">
            <v>47207.605588444421</v>
          </cell>
          <cell r="H662">
            <v>8516.7394411555579</v>
          </cell>
          <cell r="I662">
            <v>93684.133852711137</v>
          </cell>
        </row>
        <row r="663">
          <cell r="C663">
            <v>938807526</v>
          </cell>
          <cell r="D663">
            <v>602885.43999999994</v>
          </cell>
          <cell r="E663">
            <v>933805718</v>
          </cell>
          <cell r="F663">
            <v>345504</v>
          </cell>
          <cell r="G663">
            <v>123213.72284215223</v>
          </cell>
          <cell r="H663">
            <v>22229.027715784778</v>
          </cell>
          <cell r="I663">
            <v>244519.30487363256</v>
          </cell>
        </row>
        <row r="664">
          <cell r="C664">
            <v>938807431</v>
          </cell>
          <cell r="D664">
            <v>402941.81</v>
          </cell>
          <cell r="E664">
            <v>933805721</v>
          </cell>
          <cell r="F664">
            <v>44863</v>
          </cell>
          <cell r="G664">
            <v>15999.054273951895</v>
          </cell>
          <cell r="H664">
            <v>2886.3945726048109</v>
          </cell>
          <cell r="I664">
            <v>31750.340298652918</v>
          </cell>
        </row>
        <row r="665">
          <cell r="C665">
            <v>938807330</v>
          </cell>
          <cell r="D665">
            <v>307550.81</v>
          </cell>
          <cell r="E665">
            <v>933805809</v>
          </cell>
          <cell r="F665">
            <v>134358</v>
          </cell>
          <cell r="G665">
            <v>47914.783544114944</v>
          </cell>
          <cell r="H665">
            <v>8644.3216455885067</v>
          </cell>
          <cell r="I665">
            <v>95087.538101473576</v>
          </cell>
        </row>
        <row r="666">
          <cell r="C666">
            <v>933805725</v>
          </cell>
          <cell r="D666">
            <v>968045.64</v>
          </cell>
          <cell r="E666">
            <v>933805817</v>
          </cell>
          <cell r="F666">
            <v>287011</v>
          </cell>
          <cell r="G666">
            <v>102353.93456124663</v>
          </cell>
          <cell r="H666">
            <v>18465.706543875338</v>
          </cell>
          <cell r="I666">
            <v>203122.77198262871</v>
          </cell>
        </row>
        <row r="667">
          <cell r="C667">
            <v>938807321</v>
          </cell>
          <cell r="D667">
            <v>256371.47</v>
          </cell>
          <cell r="E667">
            <v>933805634</v>
          </cell>
          <cell r="F667">
            <v>134479</v>
          </cell>
          <cell r="G667">
            <v>47957.934594360093</v>
          </cell>
          <cell r="H667">
            <v>8652.1065405639911</v>
          </cell>
          <cell r="I667">
            <v>95173.171946203904</v>
          </cell>
        </row>
        <row r="668">
          <cell r="C668">
            <v>938807562</v>
          </cell>
          <cell r="D668">
            <v>1292230.67</v>
          </cell>
          <cell r="E668">
            <v>933805686</v>
          </cell>
          <cell r="F668">
            <v>234160</v>
          </cell>
          <cell r="G668">
            <v>83506.197730614891</v>
          </cell>
          <cell r="H668">
            <v>15065.380226938511</v>
          </cell>
          <cell r="I668">
            <v>165719.18249632363</v>
          </cell>
        </row>
        <row r="669">
          <cell r="C669">
            <v>938807605</v>
          </cell>
          <cell r="D669">
            <v>44545</v>
          </cell>
          <cell r="E669">
            <v>933805960</v>
          </cell>
          <cell r="F669">
            <v>248567</v>
          </cell>
          <cell r="G669">
            <v>88644.025671787458</v>
          </cell>
          <cell r="H669">
            <v>15992.297432821255</v>
          </cell>
          <cell r="I669">
            <v>175915.2717610338</v>
          </cell>
        </row>
        <row r="670">
          <cell r="C670">
            <v>938807589</v>
          </cell>
          <cell r="D670">
            <v>651449.36</v>
          </cell>
          <cell r="E670">
            <v>933805952</v>
          </cell>
          <cell r="F670">
            <v>280590</v>
          </cell>
          <cell r="G670">
            <v>100064.07593625397</v>
          </cell>
          <cell r="H670">
            <v>18052.592406374602</v>
          </cell>
          <cell r="I670">
            <v>198578.51647012064</v>
          </cell>
        </row>
        <row r="671">
          <cell r="C671">
            <v>938807351</v>
          </cell>
          <cell r="D671">
            <v>2248858.7000000002</v>
          </cell>
          <cell r="E671">
            <v>933805678</v>
          </cell>
          <cell r="F671">
            <v>105993</v>
          </cell>
          <cell r="G671">
            <v>37799.250154001806</v>
          </cell>
          <cell r="H671">
            <v>6819.3749845998191</v>
          </cell>
          <cell r="I671">
            <v>75013.124830598012</v>
          </cell>
        </row>
        <row r="672">
          <cell r="C672">
            <v>933806620</v>
          </cell>
          <cell r="D672">
            <v>86528.18</v>
          </cell>
          <cell r="E672">
            <v>933800900</v>
          </cell>
          <cell r="F672">
            <v>70907</v>
          </cell>
          <cell r="G672">
            <v>25286.872063908053</v>
          </cell>
          <cell r="H672">
            <v>4562.012793609194</v>
          </cell>
          <cell r="I672">
            <v>50182.140729701139</v>
          </cell>
        </row>
        <row r="673">
          <cell r="C673">
            <v>938808952</v>
          </cell>
          <cell r="D673">
            <v>281463.09000000003</v>
          </cell>
          <cell r="E673">
            <v>933805571</v>
          </cell>
          <cell r="F673">
            <v>44545</v>
          </cell>
          <cell r="G673">
            <v>15885.649034464639</v>
          </cell>
          <cell r="H673">
            <v>2865.9350965535359</v>
          </cell>
          <cell r="I673">
            <v>31525.286062088897</v>
          </cell>
        </row>
        <row r="674">
          <cell r="C674">
            <v>938808524</v>
          </cell>
          <cell r="D674">
            <v>504880.26</v>
          </cell>
          <cell r="E674">
            <v>933806014</v>
          </cell>
          <cell r="F674">
            <v>47216</v>
          </cell>
          <cell r="G674">
            <v>16838.181722107583</v>
          </cell>
          <cell r="H674">
            <v>3037.781827789242</v>
          </cell>
          <cell r="I674">
            <v>33415.60010568166</v>
          </cell>
        </row>
        <row r="675">
          <cell r="C675">
            <v>938808540</v>
          </cell>
          <cell r="D675">
            <v>375438.61</v>
          </cell>
          <cell r="E675">
            <v>933805579</v>
          </cell>
          <cell r="F675">
            <v>55666</v>
          </cell>
          <cell r="G675">
            <v>19851.62283426891</v>
          </cell>
          <cell r="H675">
            <v>3581.4377165731089</v>
          </cell>
          <cell r="I675">
            <v>39395.814882304192</v>
          </cell>
        </row>
        <row r="676">
          <cell r="C676">
            <v>938809152</v>
          </cell>
          <cell r="D676">
            <v>271295.18</v>
          </cell>
          <cell r="E676">
            <v>933805956</v>
          </cell>
          <cell r="F676">
            <v>44545</v>
          </cell>
          <cell r="G676">
            <v>15885.649034464639</v>
          </cell>
          <cell r="H676">
            <v>2865.9350965535359</v>
          </cell>
          <cell r="I676">
            <v>31525.286062088897</v>
          </cell>
        </row>
        <row r="677">
          <cell r="C677">
            <v>938809150</v>
          </cell>
          <cell r="D677">
            <v>332640.36</v>
          </cell>
          <cell r="E677">
            <v>933800088</v>
          </cell>
          <cell r="F677">
            <v>44545</v>
          </cell>
          <cell r="G677">
            <v>15885.649034464639</v>
          </cell>
          <cell r="H677">
            <v>2865.9350965535359</v>
          </cell>
          <cell r="I677">
            <v>31525.286062088897</v>
          </cell>
        </row>
        <row r="678">
          <cell r="C678">
            <v>933805278</v>
          </cell>
          <cell r="D678">
            <v>69997</v>
          </cell>
          <cell r="E678">
            <v>937561177</v>
          </cell>
          <cell r="F678">
            <v>106508</v>
          </cell>
          <cell r="G678">
            <v>37982.909582731168</v>
          </cell>
          <cell r="H678">
            <v>6852.509041726883</v>
          </cell>
          <cell r="I678">
            <v>75377.599458995712</v>
          </cell>
        </row>
        <row r="679">
          <cell r="C679">
            <v>938809125</v>
          </cell>
          <cell r="D679">
            <v>121222.74</v>
          </cell>
          <cell r="E679">
            <v>933805754</v>
          </cell>
          <cell r="F679">
            <v>44545</v>
          </cell>
          <cell r="G679">
            <v>15885.649034464639</v>
          </cell>
          <cell r="H679">
            <v>2865.9350965535359</v>
          </cell>
          <cell r="I679">
            <v>31525.286062088897</v>
          </cell>
        </row>
        <row r="680">
          <cell r="C680">
            <v>938808748</v>
          </cell>
          <cell r="D680">
            <v>582362.18999999994</v>
          </cell>
          <cell r="E680">
            <v>933805760</v>
          </cell>
          <cell r="F680">
            <v>44545</v>
          </cell>
          <cell r="G680">
            <v>15885.649034464639</v>
          </cell>
          <cell r="H680">
            <v>2865.9350965535359</v>
          </cell>
          <cell r="I680">
            <v>31525.286062088897</v>
          </cell>
        </row>
        <row r="681">
          <cell r="C681">
            <v>938809042</v>
          </cell>
          <cell r="D681">
            <v>396558.37</v>
          </cell>
          <cell r="E681">
            <v>933805766</v>
          </cell>
          <cell r="F681">
            <v>44545</v>
          </cell>
          <cell r="G681">
            <v>15885.649034464639</v>
          </cell>
          <cell r="H681">
            <v>2865.9350965535359</v>
          </cell>
          <cell r="I681">
            <v>31525.286062088897</v>
          </cell>
        </row>
        <row r="682">
          <cell r="C682">
            <v>938809169</v>
          </cell>
          <cell r="D682">
            <v>851702.31</v>
          </cell>
          <cell r="E682">
            <v>933805835</v>
          </cell>
          <cell r="F682">
            <v>47971</v>
          </cell>
          <cell r="G682">
            <v>17107.430010827327</v>
          </cell>
          <cell r="H682">
            <v>3086.356998917267</v>
          </cell>
          <cell r="I682">
            <v>33949.926988089937</v>
          </cell>
        </row>
        <row r="683">
          <cell r="C683">
            <v>938809269</v>
          </cell>
          <cell r="D683">
            <v>294447.92</v>
          </cell>
          <cell r="E683">
            <v>933805890</v>
          </cell>
          <cell r="F683">
            <v>199319</v>
          </cell>
          <cell r="G683">
            <v>71081.191601761297</v>
          </cell>
          <cell r="H683">
            <v>12823.78083982387</v>
          </cell>
          <cell r="I683">
            <v>141061.58923806256</v>
          </cell>
        </row>
        <row r="684">
          <cell r="C684">
            <v>933806232</v>
          </cell>
          <cell r="D684">
            <v>445989.56</v>
          </cell>
          <cell r="E684">
            <v>933805903</v>
          </cell>
          <cell r="F684">
            <v>780158.64</v>
          </cell>
          <cell r="G684">
            <v>278220.36920519132</v>
          </cell>
          <cell r="H684">
            <v>50193.82707948087</v>
          </cell>
          <cell r="I684">
            <v>552132.09787428961</v>
          </cell>
        </row>
        <row r="685">
          <cell r="C685">
            <v>938808934</v>
          </cell>
          <cell r="D685">
            <v>642996.56999999995</v>
          </cell>
          <cell r="E685">
            <v>933805922</v>
          </cell>
          <cell r="F685">
            <v>44545</v>
          </cell>
          <cell r="G685">
            <v>15885.649034464639</v>
          </cell>
          <cell r="H685">
            <v>2865.9350965535359</v>
          </cell>
          <cell r="I685">
            <v>31525.286062088897</v>
          </cell>
        </row>
        <row r="686">
          <cell r="C686">
            <v>933806937</v>
          </cell>
          <cell r="D686">
            <v>836395.69</v>
          </cell>
          <cell r="E686">
            <v>933805790</v>
          </cell>
          <cell r="F686">
            <v>213365</v>
          </cell>
          <cell r="G686">
            <v>76090.279632698352</v>
          </cell>
          <cell r="H686">
            <v>13727.472036730167</v>
          </cell>
          <cell r="I686">
            <v>151002.19240403184</v>
          </cell>
        </row>
        <row r="687">
          <cell r="C687">
            <v>933805663</v>
          </cell>
          <cell r="D687">
            <v>458661.08</v>
          </cell>
          <cell r="E687">
            <v>933805871</v>
          </cell>
          <cell r="F687">
            <v>805446.64</v>
          </cell>
          <cell r="G687">
            <v>287238.58208617778</v>
          </cell>
          <cell r="H687">
            <v>51820.805791382219</v>
          </cell>
          <cell r="I687">
            <v>570028.86370520445</v>
          </cell>
        </row>
        <row r="688">
          <cell r="C688">
            <v>933805597</v>
          </cell>
          <cell r="D688">
            <v>344791.14</v>
          </cell>
          <cell r="E688">
            <v>933805872</v>
          </cell>
          <cell r="F688">
            <v>554323</v>
          </cell>
          <cell r="G688">
            <v>197682.80681853279</v>
          </cell>
          <cell r="H688">
            <v>35664.019318146726</v>
          </cell>
          <cell r="I688">
            <v>392304.21249961399</v>
          </cell>
        </row>
        <row r="689">
          <cell r="C689">
            <v>933805696</v>
          </cell>
          <cell r="D689">
            <v>87208.960000000006</v>
          </cell>
          <cell r="E689">
            <v>937253366</v>
          </cell>
          <cell r="F689">
            <v>127789</v>
          </cell>
          <cell r="G689">
            <v>45572.145122128226</v>
          </cell>
          <cell r="H689">
            <v>8221.6854877871792</v>
          </cell>
          <cell r="I689">
            <v>90438.540365658962</v>
          </cell>
        </row>
        <row r="690">
          <cell r="C690">
            <v>933805828</v>
          </cell>
          <cell r="D690">
            <v>186883.73</v>
          </cell>
          <cell r="E690">
            <v>933805589</v>
          </cell>
          <cell r="F690">
            <v>247532</v>
          </cell>
          <cell r="G690">
            <v>88274.923713078926</v>
          </cell>
          <cell r="H690">
            <v>15925.707628692107</v>
          </cell>
          <cell r="I690">
            <v>175182.7839156132</v>
          </cell>
        </row>
        <row r="691">
          <cell r="C691">
            <v>933805695</v>
          </cell>
          <cell r="D691">
            <v>329642.46000000002</v>
          </cell>
          <cell r="E691">
            <v>933805923</v>
          </cell>
          <cell r="F691">
            <v>241481</v>
          </cell>
          <cell r="G691">
            <v>86117.014580571456</v>
          </cell>
          <cell r="H691">
            <v>15536.398541942855</v>
          </cell>
          <cell r="I691">
            <v>170900.38396137141</v>
          </cell>
        </row>
        <row r="692">
          <cell r="C692">
            <v>933805793</v>
          </cell>
          <cell r="D692">
            <v>535265.84</v>
          </cell>
          <cell r="E692">
            <v>933805675</v>
          </cell>
          <cell r="F692">
            <v>288023</v>
          </cell>
          <cell r="G692">
            <v>102714.83425420606</v>
          </cell>
          <cell r="H692">
            <v>18530.816574579396</v>
          </cell>
          <cell r="I692">
            <v>203838.98232037335</v>
          </cell>
        </row>
        <row r="693">
          <cell r="C693">
            <v>933805779</v>
          </cell>
          <cell r="D693">
            <v>400991.54</v>
          </cell>
          <cell r="E693">
            <v>933805995</v>
          </cell>
          <cell r="F693">
            <v>483151.28</v>
          </cell>
          <cell r="G693">
            <v>172301.53024205533</v>
          </cell>
          <cell r="H693">
            <v>31084.97497579447</v>
          </cell>
          <cell r="I693">
            <v>341934.72473373922</v>
          </cell>
        </row>
        <row r="694">
          <cell r="C694">
            <v>933805787</v>
          </cell>
          <cell r="D694">
            <v>250251.89</v>
          </cell>
          <cell r="E694">
            <v>933805842</v>
          </cell>
          <cell r="F694">
            <v>553952.91</v>
          </cell>
          <cell r="G694">
            <v>197550.82523022511</v>
          </cell>
          <cell r="H694">
            <v>35640.208476977496</v>
          </cell>
          <cell r="I694">
            <v>392042.29324675241</v>
          </cell>
        </row>
        <row r="695">
          <cell r="C695">
            <v>933805804</v>
          </cell>
          <cell r="D695">
            <v>52726</v>
          </cell>
          <cell r="E695">
            <v>933805789</v>
          </cell>
          <cell r="F695">
            <v>76782</v>
          </cell>
          <cell r="G695">
            <v>27382.016032422584</v>
          </cell>
          <cell r="H695">
            <v>4939.9983967577409</v>
          </cell>
          <cell r="I695">
            <v>54339.982364335156</v>
          </cell>
        </row>
        <row r="696">
          <cell r="C696">
            <v>933805827</v>
          </cell>
          <cell r="D696">
            <v>260277.08</v>
          </cell>
          <cell r="E696">
            <v>933805729</v>
          </cell>
          <cell r="F696">
            <v>345894</v>
          </cell>
          <cell r="G696">
            <v>123352.80473963659</v>
          </cell>
          <cell r="H696">
            <v>22254.119526036338</v>
          </cell>
          <cell r="I696">
            <v>244795.31478639974</v>
          </cell>
        </row>
        <row r="697">
          <cell r="C697">
            <v>938713366</v>
          </cell>
          <cell r="D697">
            <v>267776.83</v>
          </cell>
          <cell r="E697">
            <v>933805709</v>
          </cell>
          <cell r="F697">
            <v>745205</v>
          </cell>
          <cell r="G697">
            <v>265755.19337138219</v>
          </cell>
          <cell r="H697">
            <v>47944.980662861781</v>
          </cell>
          <cell r="I697">
            <v>527394.78729147953</v>
          </cell>
        </row>
        <row r="698">
          <cell r="C698">
            <v>933805952</v>
          </cell>
          <cell r="D698">
            <v>333563.93</v>
          </cell>
          <cell r="E698">
            <v>933806004</v>
          </cell>
          <cell r="F698">
            <v>672963</v>
          </cell>
          <cell r="G698">
            <v>239992.2332737777</v>
          </cell>
          <cell r="H698">
            <v>43297.076672622228</v>
          </cell>
          <cell r="I698">
            <v>476267.84339884453</v>
          </cell>
        </row>
        <row r="699">
          <cell r="C699">
            <v>933805976</v>
          </cell>
          <cell r="D699">
            <v>377425.67</v>
          </cell>
          <cell r="E699">
            <v>933806403</v>
          </cell>
          <cell r="F699">
            <v>286161.27</v>
          </cell>
          <cell r="G699">
            <v>102050.90363624819</v>
          </cell>
          <cell r="H699">
            <v>18411.036636375182</v>
          </cell>
          <cell r="I699">
            <v>202521.403000127</v>
          </cell>
        </row>
        <row r="700">
          <cell r="C700">
            <v>933605050</v>
          </cell>
          <cell r="D700">
            <v>441034.48</v>
          </cell>
          <cell r="E700">
            <v>933806417</v>
          </cell>
          <cell r="F700">
            <v>817355.27</v>
          </cell>
          <cell r="G700">
            <v>291485.44069345796</v>
          </cell>
          <cell r="H700">
            <v>52586.982930654201</v>
          </cell>
          <cell r="I700">
            <v>578456.81223719625</v>
          </cell>
        </row>
        <row r="701">
          <cell r="C701">
            <v>933805570</v>
          </cell>
          <cell r="D701">
            <v>237052.16</v>
          </cell>
          <cell r="E701">
            <v>933806321</v>
          </cell>
          <cell r="F701">
            <v>298275</v>
          </cell>
          <cell r="G701">
            <v>106370.90505679516</v>
          </cell>
          <cell r="H701">
            <v>19190.409494320484</v>
          </cell>
          <cell r="I701">
            <v>211094.50443752532</v>
          </cell>
        </row>
        <row r="702">
          <cell r="C702">
            <v>933805579</v>
          </cell>
          <cell r="D702">
            <v>426258.03</v>
          </cell>
          <cell r="E702">
            <v>933806419</v>
          </cell>
          <cell r="F702">
            <v>237212</v>
          </cell>
          <cell r="G702">
            <v>84594.60273349256</v>
          </cell>
          <cell r="H702">
            <v>15261.739726650743</v>
          </cell>
          <cell r="I702">
            <v>167879.13699315817</v>
          </cell>
        </row>
        <row r="703">
          <cell r="C703">
            <v>933805975</v>
          </cell>
          <cell r="D703">
            <v>726020.32</v>
          </cell>
          <cell r="E703">
            <v>933805652</v>
          </cell>
          <cell r="F703">
            <v>389853.64</v>
          </cell>
          <cell r="G703">
            <v>139029.7025445847</v>
          </cell>
          <cell r="H703">
            <v>25082.393745541529</v>
          </cell>
          <cell r="I703">
            <v>275906.33120095683</v>
          </cell>
        </row>
        <row r="704">
          <cell r="C704">
            <v>933805980</v>
          </cell>
          <cell r="D704">
            <v>317699.45</v>
          </cell>
          <cell r="E704">
            <v>933806610</v>
          </cell>
          <cell r="F704">
            <v>513855</v>
          </cell>
          <cell r="G704">
            <v>183251.09854315472</v>
          </cell>
          <cell r="H704">
            <v>33060.390145684527</v>
          </cell>
          <cell r="I704">
            <v>363664.29160252982</v>
          </cell>
        </row>
        <row r="705">
          <cell r="C705">
            <v>933805988</v>
          </cell>
          <cell r="D705">
            <v>488316.07</v>
          </cell>
          <cell r="E705">
            <v>933806593</v>
          </cell>
          <cell r="F705">
            <v>278985</v>
          </cell>
          <cell r="G705">
            <v>99491.700435068298</v>
          </cell>
          <cell r="H705">
            <v>17949.329956493173</v>
          </cell>
          <cell r="I705">
            <v>197442.62952142488</v>
          </cell>
        </row>
        <row r="706">
          <cell r="C706">
            <v>933805997</v>
          </cell>
          <cell r="D706">
            <v>609545.77</v>
          </cell>
          <cell r="E706">
            <v>933805955</v>
          </cell>
          <cell r="F706">
            <v>152164.64000000001</v>
          </cell>
          <cell r="G706">
            <v>54264.991951861251</v>
          </cell>
          <cell r="H706">
            <v>9789.964804813877</v>
          </cell>
          <cell r="I706">
            <v>107689.61285295265</v>
          </cell>
        </row>
        <row r="707">
          <cell r="C707">
            <v>933805604</v>
          </cell>
          <cell r="D707">
            <v>462068.78</v>
          </cell>
          <cell r="E707">
            <v>933806492</v>
          </cell>
          <cell r="F707">
            <v>547634</v>
          </cell>
          <cell r="G707">
            <v>195297.37396655086</v>
          </cell>
          <cell r="H707">
            <v>35233.662603344914</v>
          </cell>
          <cell r="I707">
            <v>387570.28863679408</v>
          </cell>
        </row>
        <row r="708">
          <cell r="C708">
            <v>933805772</v>
          </cell>
          <cell r="D708">
            <v>409211.19</v>
          </cell>
          <cell r="E708">
            <v>933805964</v>
          </cell>
          <cell r="F708">
            <v>153265.64000000001</v>
          </cell>
          <cell r="G708">
            <v>54657.630847067128</v>
          </cell>
          <cell r="H708">
            <v>9860.8009152932882</v>
          </cell>
          <cell r="I708">
            <v>108468.81006822617</v>
          </cell>
        </row>
        <row r="709">
          <cell r="C709">
            <v>933805751</v>
          </cell>
          <cell r="D709">
            <v>210936.11</v>
          </cell>
          <cell r="E709">
            <v>933806561</v>
          </cell>
          <cell r="F709">
            <v>143072</v>
          </cell>
          <cell r="G709">
            <v>51022.372402265682</v>
          </cell>
          <cell r="H709">
            <v>9204.9627597734325</v>
          </cell>
          <cell r="I709">
            <v>101254.59035750775</v>
          </cell>
        </row>
        <row r="710">
          <cell r="C710">
            <v>933805834</v>
          </cell>
          <cell r="D710">
            <v>207545.7</v>
          </cell>
          <cell r="E710">
            <v>933806562</v>
          </cell>
          <cell r="F710">
            <v>87072</v>
          </cell>
          <cell r="G710">
            <v>31051.638404510162</v>
          </cell>
          <cell r="H710">
            <v>5602.036159548984</v>
          </cell>
          <cell r="I710">
            <v>61622.397755038823</v>
          </cell>
        </row>
        <row r="711">
          <cell r="C711">
            <v>933805835</v>
          </cell>
          <cell r="D711">
            <v>254497.03</v>
          </cell>
          <cell r="E711">
            <v>933806131</v>
          </cell>
          <cell r="F711">
            <v>783770.64</v>
          </cell>
          <cell r="G711">
            <v>279508.48154804652</v>
          </cell>
          <cell r="H711">
            <v>50426.215845195351</v>
          </cell>
          <cell r="I711">
            <v>554688.3742971489</v>
          </cell>
        </row>
        <row r="712">
          <cell r="C712">
            <v>933805853</v>
          </cell>
          <cell r="D712">
            <v>415670.54</v>
          </cell>
          <cell r="E712">
            <v>933806488</v>
          </cell>
          <cell r="F712">
            <v>175650</v>
          </cell>
          <cell r="G712">
            <v>62640.346905459955</v>
          </cell>
          <cell r="H712">
            <v>11300.965309454004</v>
          </cell>
          <cell r="I712">
            <v>124310.61840399404</v>
          </cell>
        </row>
        <row r="713">
          <cell r="C713">
            <v>933805862</v>
          </cell>
          <cell r="D713">
            <v>275551.68</v>
          </cell>
          <cell r="E713">
            <v>933806618</v>
          </cell>
          <cell r="F713">
            <v>440495.64</v>
          </cell>
          <cell r="G713">
            <v>157089.66524305497</v>
          </cell>
          <cell r="H713">
            <v>28340.597475694503</v>
          </cell>
          <cell r="I713">
            <v>311746.57223263953</v>
          </cell>
        </row>
        <row r="714">
          <cell r="C714">
            <v>933805892</v>
          </cell>
          <cell r="D714">
            <v>277310.51</v>
          </cell>
          <cell r="E714">
            <v>933806481</v>
          </cell>
          <cell r="F714">
            <v>268849</v>
          </cell>
          <cell r="G714">
            <v>95876.997581474556</v>
          </cell>
          <cell r="H714">
            <v>17297.200241852548</v>
          </cell>
          <cell r="I714">
            <v>190269.20266037801</v>
          </cell>
        </row>
        <row r="715">
          <cell r="C715">
            <v>933805895</v>
          </cell>
          <cell r="D715">
            <v>688081.06</v>
          </cell>
          <cell r="E715">
            <v>933805959</v>
          </cell>
          <cell r="F715">
            <v>164847</v>
          </cell>
          <cell r="G715">
            <v>58787.77834514295</v>
          </cell>
          <cell r="H715">
            <v>10605.922165485705</v>
          </cell>
          <cell r="I715">
            <v>116665.14382034275</v>
          </cell>
        </row>
        <row r="716">
          <cell r="C716">
            <v>933805924</v>
          </cell>
          <cell r="D716">
            <v>539259.86</v>
          </cell>
          <cell r="E716">
            <v>933806462</v>
          </cell>
          <cell r="F716">
            <v>289537.64</v>
          </cell>
          <cell r="G716">
            <v>103254.98554960535</v>
          </cell>
          <cell r="H716">
            <v>18628.265445039469</v>
          </cell>
          <cell r="I716">
            <v>204910.91989543414</v>
          </cell>
        </row>
        <row r="717">
          <cell r="C717">
            <v>933805782</v>
          </cell>
          <cell r="D717">
            <v>199265.33</v>
          </cell>
          <cell r="E717">
            <v>933806551</v>
          </cell>
          <cell r="F717">
            <v>81069</v>
          </cell>
          <cell r="G717">
            <v>28910.847044000762</v>
          </cell>
          <cell r="H717">
            <v>5215.815295599924</v>
          </cell>
          <cell r="I717">
            <v>57373.968251599159</v>
          </cell>
        </row>
        <row r="718">
          <cell r="C718">
            <v>933805682</v>
          </cell>
          <cell r="D718">
            <v>171887.78</v>
          </cell>
          <cell r="E718">
            <v>933806038</v>
          </cell>
          <cell r="F718">
            <v>344266</v>
          </cell>
          <cell r="G718">
            <v>122772.22697270186</v>
          </cell>
          <cell r="H718">
            <v>22149.377302729812</v>
          </cell>
          <cell r="I718">
            <v>243643.15033002797</v>
          </cell>
        </row>
        <row r="719">
          <cell r="C719">
            <v>933806010</v>
          </cell>
          <cell r="D719">
            <v>275781.92</v>
          </cell>
          <cell r="E719">
            <v>933806097</v>
          </cell>
          <cell r="F719">
            <v>1086794</v>
          </cell>
          <cell r="G719">
            <v>387572.74793494138</v>
          </cell>
          <cell r="H719">
            <v>69922.125206505865</v>
          </cell>
          <cell r="I719">
            <v>769143.37727156444</v>
          </cell>
        </row>
        <row r="720">
          <cell r="C720">
            <v>933805854</v>
          </cell>
          <cell r="D720">
            <v>113585.85</v>
          </cell>
          <cell r="E720">
            <v>933806209</v>
          </cell>
          <cell r="F720">
            <v>487439</v>
          </cell>
          <cell r="G720">
            <v>173830.61802021347</v>
          </cell>
          <cell r="H720">
            <v>31360.838197978657</v>
          </cell>
          <cell r="I720">
            <v>344969.22017776524</v>
          </cell>
        </row>
        <row r="721">
          <cell r="C721">
            <v>933805807</v>
          </cell>
          <cell r="D721">
            <v>506376.42</v>
          </cell>
          <cell r="E721">
            <v>933806204</v>
          </cell>
          <cell r="F721">
            <v>318916</v>
          </cell>
          <cell r="G721">
            <v>113731.90363621787</v>
          </cell>
          <cell r="H721">
            <v>20518.409636378216</v>
          </cell>
          <cell r="I721">
            <v>225702.50600016036</v>
          </cell>
        </row>
        <row r="722">
          <cell r="C722">
            <v>933805909</v>
          </cell>
          <cell r="D722">
            <v>719698.39</v>
          </cell>
          <cell r="E722">
            <v>933806077</v>
          </cell>
          <cell r="F722">
            <v>167527</v>
          </cell>
          <cell r="G722">
            <v>59743.520615035522</v>
          </cell>
          <cell r="H722">
            <v>10778.347938496447</v>
          </cell>
          <cell r="I722">
            <v>118561.82732346092</v>
          </cell>
        </row>
        <row r="723">
          <cell r="C723">
            <v>933805911</v>
          </cell>
          <cell r="D723">
            <v>453369.48</v>
          </cell>
          <cell r="E723">
            <v>933806223</v>
          </cell>
          <cell r="F723">
            <v>449162</v>
          </cell>
          <cell r="G723">
            <v>160180.26471249762</v>
          </cell>
          <cell r="H723">
            <v>28898.173528750242</v>
          </cell>
          <cell r="I723">
            <v>317879.90881625266</v>
          </cell>
        </row>
        <row r="724">
          <cell r="C724">
            <v>933805759</v>
          </cell>
          <cell r="D724">
            <v>244030.53</v>
          </cell>
          <cell r="E724">
            <v>933806201</v>
          </cell>
          <cell r="F724">
            <v>424514.64</v>
          </cell>
          <cell r="G724">
            <v>151390.51702844549</v>
          </cell>
          <cell r="H724">
            <v>27312.412297155453</v>
          </cell>
          <cell r="I724">
            <v>300436.53526870999</v>
          </cell>
        </row>
        <row r="725">
          <cell r="C725">
            <v>933806011</v>
          </cell>
          <cell r="D725">
            <v>131467.67000000001</v>
          </cell>
          <cell r="E725">
            <v>933806359</v>
          </cell>
          <cell r="F725">
            <v>526130</v>
          </cell>
          <cell r="G725">
            <v>187628.61211141275</v>
          </cell>
          <cell r="H725">
            <v>33850.138788858727</v>
          </cell>
          <cell r="I725">
            <v>372351.52667744597</v>
          </cell>
        </row>
        <row r="726">
          <cell r="C726">
            <v>933805842</v>
          </cell>
          <cell r="D726">
            <v>353240.27</v>
          </cell>
          <cell r="E726">
            <v>933806216</v>
          </cell>
          <cell r="F726">
            <v>174537</v>
          </cell>
          <cell r="G726">
            <v>62243.428567254567</v>
          </cell>
          <cell r="H726">
            <v>11229.357143274543</v>
          </cell>
          <cell r="I726">
            <v>123522.92857601997</v>
          </cell>
        </row>
        <row r="727">
          <cell r="C727">
            <v>933805735</v>
          </cell>
          <cell r="D727">
            <v>91230.42</v>
          </cell>
          <cell r="E727">
            <v>933805749</v>
          </cell>
          <cell r="F727">
            <v>158710</v>
          </cell>
          <cell r="G727">
            <v>56599.199871138917</v>
          </cell>
          <cell r="H727">
            <v>10211.080012886108</v>
          </cell>
          <cell r="I727">
            <v>112321.88014174718</v>
          </cell>
        </row>
        <row r="728">
          <cell r="C728">
            <v>933805745</v>
          </cell>
          <cell r="D728">
            <v>557449.75</v>
          </cell>
          <cell r="E728">
            <v>933806314</v>
          </cell>
          <cell r="F728">
            <v>244255</v>
          </cell>
          <cell r="G728">
            <v>87106.279153960277</v>
          </cell>
          <cell r="H728">
            <v>15714.872084603971</v>
          </cell>
          <cell r="I728">
            <v>172863.59293064367</v>
          </cell>
        </row>
        <row r="729">
          <cell r="C729">
            <v>933805610</v>
          </cell>
          <cell r="D729">
            <v>291838.38</v>
          </cell>
          <cell r="E729">
            <v>933806328</v>
          </cell>
          <cell r="F729">
            <v>158313.91</v>
          </cell>
          <cell r="G729">
            <v>56457.946156332291</v>
          </cell>
          <cell r="H729">
            <v>10185.596384366771</v>
          </cell>
          <cell r="I729">
            <v>112041.56022803448</v>
          </cell>
        </row>
        <row r="730">
          <cell r="C730">
            <v>933805638</v>
          </cell>
          <cell r="D730">
            <v>86622.11</v>
          </cell>
          <cell r="E730">
            <v>933806302</v>
          </cell>
          <cell r="F730">
            <v>310869</v>
          </cell>
          <cell r="G730">
            <v>110862.1804847904</v>
          </cell>
          <cell r="H730">
            <v>20000.681951520961</v>
          </cell>
          <cell r="I730">
            <v>220007.50146673055</v>
          </cell>
        </row>
        <row r="731">
          <cell r="C731">
            <v>933805728</v>
          </cell>
          <cell r="D731">
            <v>191712.59</v>
          </cell>
          <cell r="E731">
            <v>933806235</v>
          </cell>
          <cell r="F731">
            <v>233119</v>
          </cell>
          <cell r="G731">
            <v>83134.956050406603</v>
          </cell>
          <cell r="H731">
            <v>14998.404394959338</v>
          </cell>
          <cell r="I731">
            <v>164982.44834455271</v>
          </cell>
        </row>
        <row r="732">
          <cell r="C732">
            <v>933805740</v>
          </cell>
          <cell r="D732">
            <v>941388.49</v>
          </cell>
          <cell r="E732">
            <v>933806266</v>
          </cell>
          <cell r="F732">
            <v>383040.64</v>
          </cell>
          <cell r="G732">
            <v>136600.04878160777</v>
          </cell>
          <cell r="H732">
            <v>24644.059121839226</v>
          </cell>
          <cell r="I732">
            <v>271084.65034023148</v>
          </cell>
        </row>
        <row r="733">
          <cell r="C733">
            <v>933805702</v>
          </cell>
          <cell r="D733">
            <v>557015.47</v>
          </cell>
          <cell r="E733">
            <v>933805593</v>
          </cell>
          <cell r="F733">
            <v>480147</v>
          </cell>
          <cell r="G733">
            <v>171230.14315750575</v>
          </cell>
          <cell r="H733">
            <v>30891.68568424942</v>
          </cell>
          <cell r="I733">
            <v>339808.54252674367</v>
          </cell>
        </row>
        <row r="734">
          <cell r="C734">
            <v>933805623</v>
          </cell>
          <cell r="D734">
            <v>44545</v>
          </cell>
          <cell r="E734">
            <v>933805278</v>
          </cell>
          <cell r="F734">
            <v>1107681.9099999999</v>
          </cell>
          <cell r="G734">
            <v>395021.79962028167</v>
          </cell>
          <cell r="H734">
            <v>71266.011037971824</v>
          </cell>
          <cell r="I734">
            <v>783926.12141769007</v>
          </cell>
        </row>
        <row r="735">
          <cell r="C735">
            <v>933806036</v>
          </cell>
          <cell r="D735">
            <v>249745.9</v>
          </cell>
          <cell r="E735">
            <v>933805314</v>
          </cell>
          <cell r="F735">
            <v>500723.64</v>
          </cell>
          <cell r="G735">
            <v>178568.18965764105</v>
          </cell>
          <cell r="H735">
            <v>32215.545034235896</v>
          </cell>
          <cell r="I735">
            <v>354370.99537659483</v>
          </cell>
        </row>
        <row r="736">
          <cell r="C736">
            <v>933806078</v>
          </cell>
          <cell r="D736">
            <v>1360694.78</v>
          </cell>
          <cell r="E736">
            <v>933805284</v>
          </cell>
          <cell r="F736">
            <v>225307</v>
          </cell>
          <cell r="G736">
            <v>80349.038657719706</v>
          </cell>
          <cell r="H736">
            <v>14495.796134228029</v>
          </cell>
          <cell r="I736">
            <v>159453.75747650833</v>
          </cell>
        </row>
        <row r="737">
          <cell r="C737">
            <v>908004038</v>
          </cell>
          <cell r="D737">
            <v>147297.53</v>
          </cell>
          <cell r="E737">
            <v>933805287</v>
          </cell>
          <cell r="F737">
            <v>300996</v>
          </cell>
          <cell r="G737">
            <v>107341.2687569361</v>
          </cell>
          <cell r="H737">
            <v>19365.473124306391</v>
          </cell>
          <cell r="I737">
            <v>213020.20436737029</v>
          </cell>
        </row>
        <row r="738">
          <cell r="C738">
            <v>933806124</v>
          </cell>
          <cell r="D738">
            <v>1028984.18</v>
          </cell>
          <cell r="E738">
            <v>933805885</v>
          </cell>
          <cell r="F738">
            <v>313353</v>
          </cell>
          <cell r="G738">
            <v>111748.02518569083</v>
          </cell>
          <cell r="H738">
            <v>20160.497481430917</v>
          </cell>
          <cell r="I738">
            <v>221765.47229574007</v>
          </cell>
        </row>
        <row r="739">
          <cell r="C739">
            <v>933805099</v>
          </cell>
          <cell r="D739">
            <v>181054.42</v>
          </cell>
          <cell r="E739">
            <v>933805628</v>
          </cell>
          <cell r="F739">
            <v>144517</v>
          </cell>
          <cell r="G739">
            <v>51537.688663457775</v>
          </cell>
          <cell r="H739">
            <v>9297.9311336542232</v>
          </cell>
          <cell r="I739">
            <v>102277.24247019645</v>
          </cell>
        </row>
        <row r="740">
          <cell r="C740">
            <v>933806303</v>
          </cell>
          <cell r="D740">
            <v>194031.24</v>
          </cell>
          <cell r="E740">
            <v>938508149</v>
          </cell>
          <cell r="F740">
            <v>413104.64000000001</v>
          </cell>
          <cell r="G740">
            <v>147321.4799764028</v>
          </cell>
          <cell r="H740">
            <v>26578.316002359716</v>
          </cell>
          <cell r="I740">
            <v>292361.47602595692</v>
          </cell>
        </row>
        <row r="741">
          <cell r="C741">
            <v>933806261</v>
          </cell>
          <cell r="D741">
            <v>759063.84</v>
          </cell>
          <cell r="E741">
            <v>938805034</v>
          </cell>
          <cell r="F741">
            <v>370736</v>
          </cell>
          <cell r="G741">
            <v>132211.96498914092</v>
          </cell>
          <cell r="H741">
            <v>23852.403501085908</v>
          </cell>
          <cell r="I741">
            <v>262376.43851194496</v>
          </cell>
        </row>
        <row r="742">
          <cell r="C742">
            <v>933806029</v>
          </cell>
          <cell r="D742">
            <v>287035.74</v>
          </cell>
          <cell r="E742">
            <v>938805045</v>
          </cell>
          <cell r="F742">
            <v>1262741</v>
          </cell>
          <cell r="G742">
            <v>450319.01105463947</v>
          </cell>
          <cell r="H742">
            <v>81242.19889453605</v>
          </cell>
          <cell r="I742">
            <v>893664.18783989653</v>
          </cell>
        </row>
        <row r="743">
          <cell r="C743">
            <v>933806317</v>
          </cell>
          <cell r="D743">
            <v>235503.95</v>
          </cell>
          <cell r="E743">
            <v>938805069</v>
          </cell>
          <cell r="F743">
            <v>239805</v>
          </cell>
          <cell r="G743">
            <v>85519.319041638635</v>
          </cell>
          <cell r="H743">
            <v>15428.568095836137</v>
          </cell>
          <cell r="I743">
            <v>169714.24905419751</v>
          </cell>
        </row>
        <row r="744">
          <cell r="C744">
            <v>933806201</v>
          </cell>
          <cell r="D744">
            <v>370025.25</v>
          </cell>
          <cell r="E744">
            <v>933805275</v>
          </cell>
          <cell r="F744">
            <v>248345</v>
          </cell>
          <cell r="G744">
            <v>88564.855976296356</v>
          </cell>
          <cell r="H744">
            <v>15978.014402370365</v>
          </cell>
          <cell r="I744">
            <v>175758.15842607402</v>
          </cell>
        </row>
        <row r="745">
          <cell r="C745">
            <v>933806268</v>
          </cell>
          <cell r="D745">
            <v>357879.79</v>
          </cell>
          <cell r="E745">
            <v>938508133</v>
          </cell>
          <cell r="F745">
            <v>150530</v>
          </cell>
          <cell r="G745">
            <v>53682.046226466766</v>
          </cell>
          <cell r="H745">
            <v>9684.7953773533227</v>
          </cell>
          <cell r="I745">
            <v>106532.74915088655</v>
          </cell>
        </row>
        <row r="746">
          <cell r="C746">
            <v>933806438</v>
          </cell>
          <cell r="D746">
            <v>477584.54</v>
          </cell>
          <cell r="E746">
            <v>933805639</v>
          </cell>
          <cell r="F746">
            <v>334350</v>
          </cell>
          <cell r="G746">
            <v>119235.98057409927</v>
          </cell>
          <cell r="H746">
            <v>21511.40194259007</v>
          </cell>
          <cell r="I746">
            <v>236625.42136849079</v>
          </cell>
        </row>
        <row r="747">
          <cell r="C747">
            <v>933806550</v>
          </cell>
          <cell r="D747">
            <v>436376.71</v>
          </cell>
          <cell r="E747">
            <v>938508137</v>
          </cell>
          <cell r="F747">
            <v>332136</v>
          </cell>
          <cell r="G747">
            <v>118446.42334068801</v>
          </cell>
          <cell r="H747">
            <v>21368.957665931201</v>
          </cell>
          <cell r="I747">
            <v>235058.53432524321</v>
          </cell>
        </row>
        <row r="748">
          <cell r="C748">
            <v>933805986</v>
          </cell>
          <cell r="D748">
            <v>224589.32</v>
          </cell>
          <cell r="E748">
            <v>938508162</v>
          </cell>
          <cell r="F748">
            <v>340114.64</v>
          </cell>
          <cell r="G748">
            <v>121291.76793182823</v>
          </cell>
          <cell r="H748">
            <v>21882.287206817182</v>
          </cell>
          <cell r="I748">
            <v>240705.15927498898</v>
          </cell>
        </row>
        <row r="749">
          <cell r="C749">
            <v>933806481</v>
          </cell>
          <cell r="D749">
            <v>395602.92</v>
          </cell>
          <cell r="E749">
            <v>933806724</v>
          </cell>
          <cell r="F749">
            <v>317590</v>
          </cell>
          <cell r="G749">
            <v>113259.02518477102</v>
          </cell>
          <cell r="H749">
            <v>20433.097481522898</v>
          </cell>
          <cell r="I749">
            <v>224764.0722967519</v>
          </cell>
        </row>
        <row r="750">
          <cell r="C750">
            <v>933805605</v>
          </cell>
          <cell r="D750">
            <v>336747.09</v>
          </cell>
          <cell r="E750">
            <v>933806713</v>
          </cell>
          <cell r="F750">
            <v>1087989</v>
          </cell>
          <cell r="G750">
            <v>387998.90913364349</v>
          </cell>
          <cell r="H750">
            <v>69999.009086635648</v>
          </cell>
          <cell r="I750">
            <v>769989.09995299217</v>
          </cell>
        </row>
        <row r="751">
          <cell r="C751">
            <v>933806623</v>
          </cell>
          <cell r="D751">
            <v>178824.01</v>
          </cell>
          <cell r="E751">
            <v>933806655</v>
          </cell>
          <cell r="F751">
            <v>716476.82</v>
          </cell>
          <cell r="G751">
            <v>255510.14263888868</v>
          </cell>
          <cell r="H751">
            <v>46096.667736111121</v>
          </cell>
          <cell r="I751">
            <v>507063.34509722237</v>
          </cell>
        </row>
        <row r="752">
          <cell r="C752">
            <v>933806466</v>
          </cell>
          <cell r="D752">
            <v>172084.52</v>
          </cell>
          <cell r="E752">
            <v>933806903</v>
          </cell>
          <cell r="F752">
            <v>439329</v>
          </cell>
          <cell r="G752">
            <v>156673.61779464173</v>
          </cell>
          <cell r="H752">
            <v>28265.538220535826</v>
          </cell>
          <cell r="I752">
            <v>310920.92042589409</v>
          </cell>
        </row>
        <row r="753">
          <cell r="C753">
            <v>933806131</v>
          </cell>
          <cell r="D753">
            <v>479137.51</v>
          </cell>
          <cell r="E753">
            <v>933806725</v>
          </cell>
          <cell r="F753">
            <v>291284</v>
          </cell>
          <cell r="G753">
            <v>103877.77288932535</v>
          </cell>
          <cell r="H753">
            <v>18740.622711067466</v>
          </cell>
          <cell r="I753">
            <v>206146.84982174213</v>
          </cell>
        </row>
        <row r="754">
          <cell r="C754">
            <v>933806563</v>
          </cell>
          <cell r="D754">
            <v>275626.65999999997</v>
          </cell>
          <cell r="E754">
            <v>933805865</v>
          </cell>
          <cell r="F754">
            <v>110063</v>
          </cell>
          <cell r="G754">
            <v>39250.694571338681</v>
          </cell>
          <cell r="H754">
            <v>7081.2305428661311</v>
          </cell>
          <cell r="I754">
            <v>77893.535971527454</v>
          </cell>
        </row>
        <row r="755">
          <cell r="C755">
            <v>933806551</v>
          </cell>
          <cell r="D755">
            <v>203537.69</v>
          </cell>
          <cell r="E755">
            <v>933806647</v>
          </cell>
          <cell r="F755">
            <v>279697.90999999997</v>
          </cell>
          <cell r="G755">
            <v>99745.938577467212</v>
          </cell>
          <cell r="H755">
            <v>17995.197142253277</v>
          </cell>
          <cell r="I755">
            <v>197947.16856478603</v>
          </cell>
        </row>
        <row r="756">
          <cell r="C756">
            <v>933806190</v>
          </cell>
          <cell r="D756">
            <v>97468</v>
          </cell>
          <cell r="E756">
            <v>933806708</v>
          </cell>
          <cell r="F756">
            <v>902440</v>
          </cell>
          <cell r="G756">
            <v>321828.37837383029</v>
          </cell>
          <cell r="H756">
            <v>58061.162162616958</v>
          </cell>
          <cell r="I756">
            <v>638672.78378878662</v>
          </cell>
        </row>
        <row r="757">
          <cell r="C757">
            <v>933806408</v>
          </cell>
          <cell r="D757">
            <v>392768.03</v>
          </cell>
          <cell r="E757">
            <v>933806641</v>
          </cell>
          <cell r="F757">
            <v>603168</v>
          </cell>
          <cell r="G757">
            <v>215101.92292782507</v>
          </cell>
          <cell r="H757">
            <v>38806.607707217496</v>
          </cell>
          <cell r="I757">
            <v>426872.68477939244</v>
          </cell>
        </row>
        <row r="758">
          <cell r="C758">
            <v>933806321</v>
          </cell>
          <cell r="D758">
            <v>372270.04</v>
          </cell>
          <cell r="E758">
            <v>933806938</v>
          </cell>
          <cell r="F758">
            <v>89091</v>
          </cell>
          <cell r="G758">
            <v>31771.654689179239</v>
          </cell>
          <cell r="H758">
            <v>5731.9345310820754</v>
          </cell>
          <cell r="I758">
            <v>63051.27984190284</v>
          </cell>
        </row>
        <row r="759">
          <cell r="C759">
            <v>933806600</v>
          </cell>
          <cell r="D759">
            <v>141218.51999999999</v>
          </cell>
          <cell r="E759">
            <v>933806750</v>
          </cell>
          <cell r="F759">
            <v>602429.91</v>
          </cell>
          <cell r="G759">
            <v>214838.70508753214</v>
          </cell>
          <cell r="H759">
            <v>38759.120491246787</v>
          </cell>
          <cell r="I759">
            <v>426350.32540371467</v>
          </cell>
        </row>
        <row r="760">
          <cell r="C760">
            <v>933806658</v>
          </cell>
          <cell r="D760">
            <v>361138.44</v>
          </cell>
          <cell r="E760">
            <v>933806358</v>
          </cell>
          <cell r="F760">
            <v>192474</v>
          </cell>
          <cell r="G760">
            <v>68640.125990785658</v>
          </cell>
          <cell r="H760">
            <v>12383.387400921434</v>
          </cell>
          <cell r="I760">
            <v>136217.26141013578</v>
          </cell>
        </row>
        <row r="761">
          <cell r="C761">
            <v>933806679</v>
          </cell>
          <cell r="D761">
            <v>106870.22</v>
          </cell>
          <cell r="E761">
            <v>933806814</v>
          </cell>
          <cell r="F761">
            <v>63719</v>
          </cell>
          <cell r="G761">
            <v>22723.485707196145</v>
          </cell>
          <cell r="H761">
            <v>4099.5514292803855</v>
          </cell>
          <cell r="I761">
            <v>45095.06572208424</v>
          </cell>
        </row>
        <row r="762">
          <cell r="C762">
            <v>933806694</v>
          </cell>
          <cell r="D762">
            <v>754651.92</v>
          </cell>
          <cell r="E762">
            <v>933805747</v>
          </cell>
          <cell r="F762">
            <v>196797</v>
          </cell>
          <cell r="G762">
            <v>70181.795331362388</v>
          </cell>
          <cell r="H762">
            <v>12661.520466863762</v>
          </cell>
          <cell r="I762">
            <v>139276.72513550139</v>
          </cell>
        </row>
        <row r="763">
          <cell r="C763">
            <v>933806584</v>
          </cell>
          <cell r="D763">
            <v>692817.24</v>
          </cell>
          <cell r="E763">
            <v>933805584</v>
          </cell>
          <cell r="F763">
            <v>216239</v>
          </cell>
          <cell r="G763">
            <v>77115.206231083153</v>
          </cell>
          <cell r="H763">
            <v>13912.379376891686</v>
          </cell>
          <cell r="I763">
            <v>153036.17314580854</v>
          </cell>
        </row>
        <row r="764">
          <cell r="C764">
            <v>933806722</v>
          </cell>
          <cell r="D764">
            <v>111330.8</v>
          </cell>
          <cell r="E764">
            <v>933805136</v>
          </cell>
          <cell r="F764">
            <v>250814</v>
          </cell>
          <cell r="G764">
            <v>89445.351373447396</v>
          </cell>
          <cell r="H764">
            <v>16136.864862655262</v>
          </cell>
          <cell r="I764">
            <v>177505.51348920786</v>
          </cell>
        </row>
        <row r="765">
          <cell r="C765">
            <v>933806662</v>
          </cell>
          <cell r="D765">
            <v>478583.07</v>
          </cell>
          <cell r="E765">
            <v>933806401</v>
          </cell>
          <cell r="F765">
            <v>336151</v>
          </cell>
          <cell r="G765">
            <v>119878.25364427708</v>
          </cell>
          <cell r="H765">
            <v>21627.274635572292</v>
          </cell>
          <cell r="I765">
            <v>237900.02099129523</v>
          </cell>
        </row>
        <row r="766">
          <cell r="C766">
            <v>933806674</v>
          </cell>
          <cell r="D766">
            <v>280235.45</v>
          </cell>
          <cell r="E766">
            <v>933805927</v>
          </cell>
          <cell r="F766">
            <v>131930</v>
          </cell>
          <cell r="G766">
            <v>47048.909577212253</v>
          </cell>
          <cell r="H766">
            <v>8488.1090422787747</v>
          </cell>
          <cell r="I766">
            <v>93369.199465066515</v>
          </cell>
        </row>
        <row r="767">
          <cell r="C767">
            <v>933806814</v>
          </cell>
          <cell r="D767">
            <v>203523.53</v>
          </cell>
          <cell r="E767">
            <v>933805744</v>
          </cell>
          <cell r="F767">
            <v>106325</v>
          </cell>
          <cell r="G767">
            <v>37917.648076988502</v>
          </cell>
          <cell r="H767">
            <v>6840.7351923011502</v>
          </cell>
          <cell r="I767">
            <v>75248.08711531265</v>
          </cell>
        </row>
        <row r="768">
          <cell r="C768">
            <v>933806401</v>
          </cell>
          <cell r="D768">
            <v>121351.97</v>
          </cell>
          <cell r="E768">
            <v>933805207</v>
          </cell>
          <cell r="F768">
            <v>433192</v>
          </cell>
          <cell r="G768">
            <v>154485.0393206377</v>
          </cell>
          <cell r="H768">
            <v>27870.696067936231</v>
          </cell>
          <cell r="I768">
            <v>306577.65674729855</v>
          </cell>
        </row>
        <row r="769">
          <cell r="C769">
            <v>933806830</v>
          </cell>
          <cell r="D769">
            <v>207931.49</v>
          </cell>
          <cell r="E769">
            <v>933806490</v>
          </cell>
          <cell r="F769">
            <v>656171</v>
          </cell>
          <cell r="G769">
            <v>234003.86603645072</v>
          </cell>
          <cell r="H769">
            <v>42216.713396354935</v>
          </cell>
          <cell r="I769">
            <v>464383.8473599042</v>
          </cell>
        </row>
        <row r="770">
          <cell r="C770">
            <v>933806358</v>
          </cell>
          <cell r="D770">
            <v>364440.11</v>
          </cell>
          <cell r="E770">
            <v>933805143</v>
          </cell>
          <cell r="F770">
            <v>461876</v>
          </cell>
          <cell r="G770">
            <v>164714.33457048805</v>
          </cell>
          <cell r="H770">
            <v>29716.166542951196</v>
          </cell>
          <cell r="I770">
            <v>326877.83197246311</v>
          </cell>
        </row>
        <row r="771">
          <cell r="C771">
            <v>933806845</v>
          </cell>
          <cell r="D771">
            <v>452158.29</v>
          </cell>
          <cell r="E771">
            <v>933805204</v>
          </cell>
          <cell r="F771">
            <v>243053</v>
          </cell>
          <cell r="G771">
            <v>86677.621613508454</v>
          </cell>
          <cell r="H771">
            <v>15637.537838649156</v>
          </cell>
          <cell r="I771">
            <v>172012.91622514071</v>
          </cell>
        </row>
        <row r="772">
          <cell r="C772">
            <v>933805850</v>
          </cell>
          <cell r="D772">
            <v>184150.88</v>
          </cell>
          <cell r="E772">
            <v>933806755</v>
          </cell>
          <cell r="F772">
            <v>460460</v>
          </cell>
          <cell r="G772">
            <v>164209.36029654479</v>
          </cell>
          <cell r="H772">
            <v>29625.06397034552</v>
          </cell>
          <cell r="I772">
            <v>325875.70367380074</v>
          </cell>
        </row>
        <row r="773">
          <cell r="C773">
            <v>933806326</v>
          </cell>
          <cell r="D773">
            <v>179245.37</v>
          </cell>
          <cell r="E773">
            <v>938805301</v>
          </cell>
          <cell r="F773">
            <v>160099</v>
          </cell>
          <cell r="G773">
            <v>57094.545398333248</v>
          </cell>
          <cell r="H773">
            <v>10300.445460166675</v>
          </cell>
          <cell r="I773">
            <v>113304.90006183342</v>
          </cell>
        </row>
        <row r="774">
          <cell r="C774">
            <v>933806651</v>
          </cell>
          <cell r="D774">
            <v>194403.45</v>
          </cell>
          <cell r="E774">
            <v>938805344</v>
          </cell>
          <cell r="F774">
            <v>290305.64</v>
          </cell>
          <cell r="G774">
            <v>103528.86990157458</v>
          </cell>
          <cell r="H774">
            <v>18677.677009842544</v>
          </cell>
          <cell r="I774">
            <v>205454.44710826798</v>
          </cell>
        </row>
        <row r="775">
          <cell r="C775">
            <v>933806602</v>
          </cell>
          <cell r="D775">
            <v>380418.31</v>
          </cell>
          <cell r="E775">
            <v>938805378</v>
          </cell>
          <cell r="F775">
            <v>480565.64</v>
          </cell>
          <cell r="G775">
            <v>171379.43865894896</v>
          </cell>
          <cell r="H775">
            <v>30918.620134105106</v>
          </cell>
          <cell r="I775">
            <v>340104.82147515612</v>
          </cell>
        </row>
        <row r="776">
          <cell r="C776">
            <v>933806467</v>
          </cell>
          <cell r="D776">
            <v>471145.35</v>
          </cell>
          <cell r="E776">
            <v>938805255</v>
          </cell>
          <cell r="F776">
            <v>524567.91</v>
          </cell>
          <cell r="G776">
            <v>187071.53918515285</v>
          </cell>
          <cell r="H776">
            <v>33749.637081484718</v>
          </cell>
          <cell r="I776">
            <v>371246.0078963319</v>
          </cell>
        </row>
        <row r="777">
          <cell r="C777">
            <v>933806496</v>
          </cell>
          <cell r="D777">
            <v>644851.1</v>
          </cell>
          <cell r="E777">
            <v>938806015</v>
          </cell>
          <cell r="F777">
            <v>524455</v>
          </cell>
          <cell r="G777">
            <v>187031.27319272989</v>
          </cell>
          <cell r="H777">
            <v>33742.372680727014</v>
          </cell>
          <cell r="I777">
            <v>371166.09948799713</v>
          </cell>
        </row>
        <row r="778">
          <cell r="C778">
            <v>933806824</v>
          </cell>
          <cell r="D778">
            <v>417512.19</v>
          </cell>
          <cell r="E778">
            <v>938805362</v>
          </cell>
          <cell r="F778">
            <v>292887</v>
          </cell>
          <cell r="G778">
            <v>104449.43515001112</v>
          </cell>
          <cell r="H778">
            <v>18843.756484998888</v>
          </cell>
          <cell r="I778">
            <v>207281.32133498776</v>
          </cell>
        </row>
        <row r="779">
          <cell r="C779">
            <v>933805775</v>
          </cell>
          <cell r="D779">
            <v>568730.37</v>
          </cell>
          <cell r="E779">
            <v>938806063</v>
          </cell>
          <cell r="F779">
            <v>488916.91</v>
          </cell>
          <cell r="G779">
            <v>174357.67065383174</v>
          </cell>
          <cell r="H779">
            <v>31455.923934616825</v>
          </cell>
          <cell r="I779">
            <v>346015.16328078508</v>
          </cell>
        </row>
        <row r="780">
          <cell r="C780">
            <v>933806375</v>
          </cell>
          <cell r="D780">
            <v>131231.6</v>
          </cell>
          <cell r="E780">
            <v>938805307</v>
          </cell>
          <cell r="F780">
            <v>203032</v>
          </cell>
          <cell r="G780">
            <v>72405.322589862495</v>
          </cell>
          <cell r="H780">
            <v>13062.667741013751</v>
          </cell>
          <cell r="I780">
            <v>143689.34515115127</v>
          </cell>
        </row>
        <row r="781">
          <cell r="C781">
            <v>933806367</v>
          </cell>
          <cell r="D781">
            <v>915485.67</v>
          </cell>
          <cell r="E781">
            <v>938805173</v>
          </cell>
          <cell r="F781">
            <v>49090</v>
          </cell>
          <cell r="G781">
            <v>17506.488070532476</v>
          </cell>
          <cell r="H781">
            <v>3158.3511929467522</v>
          </cell>
          <cell r="I781">
            <v>34741.863122414274</v>
          </cell>
        </row>
        <row r="782">
          <cell r="C782">
            <v>933806347</v>
          </cell>
          <cell r="D782">
            <v>326569.71000000002</v>
          </cell>
          <cell r="E782">
            <v>938806074</v>
          </cell>
          <cell r="F782">
            <v>1022124.28</v>
          </cell>
          <cell r="G782">
            <v>364510.21622370335</v>
          </cell>
          <cell r="H782">
            <v>65761.406377629668</v>
          </cell>
          <cell r="I782">
            <v>723375.47015392641</v>
          </cell>
        </row>
        <row r="783">
          <cell r="C783">
            <v>933806421</v>
          </cell>
          <cell r="D783">
            <v>258151.73</v>
          </cell>
          <cell r="E783">
            <v>938806083</v>
          </cell>
          <cell r="F783">
            <v>465975</v>
          </cell>
          <cell r="G783">
            <v>166176.12097507375</v>
          </cell>
          <cell r="H783">
            <v>29979.887902492621</v>
          </cell>
          <cell r="I783">
            <v>329778.76692741882</v>
          </cell>
        </row>
        <row r="784">
          <cell r="C784">
            <v>933806403</v>
          </cell>
          <cell r="D784">
            <v>362065.07</v>
          </cell>
          <cell r="E784">
            <v>938806073</v>
          </cell>
          <cell r="F784">
            <v>228275</v>
          </cell>
          <cell r="G784">
            <v>81407.487559600762</v>
          </cell>
          <cell r="H784">
            <v>14686.751244039924</v>
          </cell>
          <cell r="I784">
            <v>161554.26368443915</v>
          </cell>
        </row>
        <row r="785">
          <cell r="C785">
            <v>933806337</v>
          </cell>
          <cell r="D785">
            <v>322750.23</v>
          </cell>
          <cell r="E785">
            <v>938806803</v>
          </cell>
          <cell r="F785">
            <v>367926</v>
          </cell>
          <cell r="G785">
            <v>131209.86208675354</v>
          </cell>
          <cell r="H785">
            <v>23671.613791324646</v>
          </cell>
          <cell r="I785">
            <v>260387.7517045711</v>
          </cell>
        </row>
        <row r="786">
          <cell r="C786">
            <v>933806342</v>
          </cell>
          <cell r="D786">
            <v>437968.72</v>
          </cell>
          <cell r="E786">
            <v>938806735</v>
          </cell>
          <cell r="F786">
            <v>225150</v>
          </cell>
          <cell r="G786">
            <v>80293.049278475999</v>
          </cell>
          <cell r="H786">
            <v>14485.695072152401</v>
          </cell>
          <cell r="I786">
            <v>159342.64579367641</v>
          </cell>
        </row>
        <row r="787">
          <cell r="C787">
            <v>933805928</v>
          </cell>
          <cell r="D787">
            <v>383580.96</v>
          </cell>
          <cell r="E787">
            <v>938806035</v>
          </cell>
          <cell r="F787">
            <v>299740</v>
          </cell>
          <cell r="G787">
            <v>106893.35372298645</v>
          </cell>
          <cell r="H787">
            <v>19284.664627701357</v>
          </cell>
          <cell r="I787">
            <v>212131.31090471492</v>
          </cell>
        </row>
        <row r="788">
          <cell r="C788">
            <v>933806344</v>
          </cell>
          <cell r="D788">
            <v>156873.35</v>
          </cell>
          <cell r="E788">
            <v>933806324</v>
          </cell>
          <cell r="F788">
            <v>406826</v>
          </cell>
          <cell r="G788">
            <v>145082.38981019444</v>
          </cell>
          <cell r="H788">
            <v>26174.361018980555</v>
          </cell>
          <cell r="I788">
            <v>287917.97120878613</v>
          </cell>
        </row>
        <row r="789">
          <cell r="C789">
            <v>933806288</v>
          </cell>
          <cell r="D789">
            <v>514558.14</v>
          </cell>
          <cell r="E789">
            <v>938805134</v>
          </cell>
          <cell r="F789">
            <v>277907.64</v>
          </cell>
          <cell r="G789">
            <v>99107.492042571481</v>
          </cell>
          <cell r="H789">
            <v>17880.014795742856</v>
          </cell>
          <cell r="I789">
            <v>196680.1627531714</v>
          </cell>
        </row>
        <row r="790">
          <cell r="C790">
            <v>933805977</v>
          </cell>
          <cell r="D790">
            <v>843619.38</v>
          </cell>
          <cell r="E790">
            <v>933806265</v>
          </cell>
          <cell r="F790">
            <v>283464.82</v>
          </cell>
          <cell r="G790">
            <v>101089.29496324375</v>
          </cell>
          <cell r="H790">
            <v>18237.552503675623</v>
          </cell>
          <cell r="I790">
            <v>200613.07754043187</v>
          </cell>
        </row>
        <row r="791">
          <cell r="C791">
            <v>933805364</v>
          </cell>
          <cell r="D791">
            <v>681752.91</v>
          </cell>
          <cell r="E791">
            <v>938805184</v>
          </cell>
          <cell r="F791">
            <v>835808</v>
          </cell>
          <cell r="G791">
            <v>298066.0578785009</v>
          </cell>
          <cell r="H791">
            <v>53774.194212149916</v>
          </cell>
          <cell r="I791">
            <v>591516.13633364905</v>
          </cell>
        </row>
        <row r="792">
          <cell r="C792">
            <v>933805336</v>
          </cell>
          <cell r="D792">
            <v>212524.21</v>
          </cell>
          <cell r="E792">
            <v>938805143</v>
          </cell>
          <cell r="F792">
            <v>311886</v>
          </cell>
          <cell r="G792">
            <v>111224.86327899965</v>
          </cell>
          <cell r="H792">
            <v>20066.113672100037</v>
          </cell>
          <cell r="I792">
            <v>220727.2503931004</v>
          </cell>
        </row>
        <row r="793">
          <cell r="C793">
            <v>933805352</v>
          </cell>
          <cell r="D793">
            <v>433973.76000000001</v>
          </cell>
          <cell r="E793">
            <v>938805231</v>
          </cell>
          <cell r="F793">
            <v>132691</v>
          </cell>
          <cell r="G793">
            <v>47320.297587431756</v>
          </cell>
          <cell r="H793">
            <v>8537.0702412568244</v>
          </cell>
          <cell r="I793">
            <v>93907.772653825057</v>
          </cell>
        </row>
        <row r="794">
          <cell r="C794">
            <v>933805359</v>
          </cell>
          <cell r="D794">
            <v>356210.54</v>
          </cell>
          <cell r="E794">
            <v>938805036</v>
          </cell>
          <cell r="F794">
            <v>304818</v>
          </cell>
          <cell r="G794">
            <v>108704.27135228291</v>
          </cell>
          <cell r="H794">
            <v>19611.372864771707</v>
          </cell>
          <cell r="I794">
            <v>215725.10151248879</v>
          </cell>
        </row>
        <row r="795">
          <cell r="C795">
            <v>933805274</v>
          </cell>
          <cell r="D795">
            <v>350097.32</v>
          </cell>
          <cell r="E795">
            <v>938805323</v>
          </cell>
          <cell r="F795">
            <v>520914.91</v>
          </cell>
          <cell r="G795">
            <v>185768.80541204926</v>
          </cell>
          <cell r="H795">
            <v>33514.610458795076</v>
          </cell>
          <cell r="I795">
            <v>368660.71504674584</v>
          </cell>
        </row>
        <row r="796">
          <cell r="C796">
            <v>933805284</v>
          </cell>
          <cell r="D796">
            <v>997114.74</v>
          </cell>
          <cell r="E796">
            <v>938805176</v>
          </cell>
          <cell r="F796">
            <v>1038785</v>
          </cell>
          <cell r="G796">
            <v>370451.76635461557</v>
          </cell>
          <cell r="H796">
            <v>66833.323364538432</v>
          </cell>
          <cell r="I796">
            <v>735166.55700992281</v>
          </cell>
        </row>
        <row r="797">
          <cell r="C797">
            <v>933805621</v>
          </cell>
          <cell r="D797">
            <v>264328.03999999998</v>
          </cell>
          <cell r="E797">
            <v>938805308</v>
          </cell>
          <cell r="F797">
            <v>440323</v>
          </cell>
          <cell r="G797">
            <v>157028.09832310191</v>
          </cell>
          <cell r="H797">
            <v>28329.490167689812</v>
          </cell>
          <cell r="I797">
            <v>311624.39184458792</v>
          </cell>
        </row>
        <row r="798">
          <cell r="C798">
            <v>933805171</v>
          </cell>
          <cell r="D798">
            <v>337760.1</v>
          </cell>
          <cell r="E798">
            <v>933805329</v>
          </cell>
          <cell r="F798">
            <v>190827</v>
          </cell>
          <cell r="G798">
            <v>68052.772439101667</v>
          </cell>
          <cell r="H798">
            <v>12277.422756089834</v>
          </cell>
          <cell r="I798">
            <v>135051.65031698818</v>
          </cell>
        </row>
        <row r="799">
          <cell r="C799">
            <v>938805034</v>
          </cell>
          <cell r="D799">
            <v>162489.24</v>
          </cell>
          <cell r="E799">
            <v>933806734</v>
          </cell>
          <cell r="F799">
            <v>488075</v>
          </cell>
          <cell r="G799">
            <v>174057.42849918798</v>
          </cell>
          <cell r="H799">
            <v>31401.757150081201</v>
          </cell>
          <cell r="I799">
            <v>345419.32865089324</v>
          </cell>
        </row>
        <row r="800">
          <cell r="C800">
            <v>938508138</v>
          </cell>
          <cell r="D800">
            <v>212041.53</v>
          </cell>
          <cell r="E800">
            <v>933806348</v>
          </cell>
          <cell r="F800">
            <v>423271.64</v>
          </cell>
          <cell r="G800">
            <v>150947.2380577453</v>
          </cell>
          <cell r="H800">
            <v>27232.440194225474</v>
          </cell>
          <cell r="I800">
            <v>299556.84213648021</v>
          </cell>
        </row>
        <row r="801">
          <cell r="C801">
            <v>933805913</v>
          </cell>
          <cell r="D801">
            <v>216808.52</v>
          </cell>
          <cell r="E801">
            <v>938805174</v>
          </cell>
          <cell r="F801">
            <v>59999</v>
          </cell>
          <cell r="G801">
            <v>21396.858377345245</v>
          </cell>
          <cell r="H801">
            <v>3860.2141622654758</v>
          </cell>
          <cell r="I801">
            <v>42462.355784920233</v>
          </cell>
        </row>
        <row r="802">
          <cell r="C802">
            <v>938508152</v>
          </cell>
          <cell r="D802">
            <v>200082.23</v>
          </cell>
          <cell r="E802">
            <v>938805107</v>
          </cell>
          <cell r="F802">
            <v>243095</v>
          </cell>
          <cell r="G802">
            <v>86692.599664006775</v>
          </cell>
          <cell r="H802">
            <v>15640.240033599321</v>
          </cell>
          <cell r="I802">
            <v>172042.64036959253</v>
          </cell>
        </row>
        <row r="803">
          <cell r="C803">
            <v>938508153</v>
          </cell>
          <cell r="D803">
            <v>507515.05</v>
          </cell>
          <cell r="E803">
            <v>938805140</v>
          </cell>
          <cell r="F803">
            <v>260425</v>
          </cell>
          <cell r="G803">
            <v>92872.828595812185</v>
          </cell>
          <cell r="H803">
            <v>16755.217140418779</v>
          </cell>
          <cell r="I803">
            <v>184307.38854460657</v>
          </cell>
        </row>
        <row r="804">
          <cell r="C804">
            <v>933805615</v>
          </cell>
          <cell r="D804">
            <v>561678.80000000005</v>
          </cell>
          <cell r="E804">
            <v>938805104</v>
          </cell>
          <cell r="F804">
            <v>245297</v>
          </cell>
          <cell r="G804">
            <v>87477.877454418514</v>
          </cell>
          <cell r="H804">
            <v>15781.91225455815</v>
          </cell>
          <cell r="I804">
            <v>173601.03480013963</v>
          </cell>
        </row>
        <row r="805">
          <cell r="C805">
            <v>938805247</v>
          </cell>
          <cell r="D805">
            <v>58357.96</v>
          </cell>
          <cell r="E805">
            <v>938806976</v>
          </cell>
          <cell r="F805">
            <v>616939.64</v>
          </cell>
          <cell r="G805">
            <v>220013.16862698313</v>
          </cell>
          <cell r="H805">
            <v>39692.64713730169</v>
          </cell>
          <cell r="I805">
            <v>436619.11851031857</v>
          </cell>
        </row>
        <row r="806">
          <cell r="C806">
            <v>933806945</v>
          </cell>
          <cell r="D806">
            <v>59891.11</v>
          </cell>
          <cell r="E806">
            <v>938805426</v>
          </cell>
          <cell r="F806">
            <v>557297.64</v>
          </cell>
          <cell r="G806">
            <v>198743.62367887356</v>
          </cell>
          <cell r="H806">
            <v>35855.401632112647</v>
          </cell>
          <cell r="I806">
            <v>394409.41795323911</v>
          </cell>
        </row>
        <row r="807">
          <cell r="C807">
            <v>933805778</v>
          </cell>
          <cell r="D807">
            <v>270062.49</v>
          </cell>
          <cell r="E807">
            <v>938805464</v>
          </cell>
          <cell r="F807">
            <v>720804</v>
          </cell>
          <cell r="G807">
            <v>257053.30265211026</v>
          </cell>
          <cell r="H807">
            <v>46375.069734788973</v>
          </cell>
          <cell r="I807">
            <v>510125.76708267874</v>
          </cell>
        </row>
        <row r="808">
          <cell r="C808">
            <v>933805208</v>
          </cell>
          <cell r="D808">
            <v>231496.32000000001</v>
          </cell>
          <cell r="E808">
            <v>938805467</v>
          </cell>
          <cell r="F808">
            <v>417552.64000000001</v>
          </cell>
          <cell r="G808">
            <v>148907.72684822453</v>
          </cell>
          <cell r="H808">
            <v>26864.491315177547</v>
          </cell>
          <cell r="I808">
            <v>295509.40446695301</v>
          </cell>
        </row>
        <row r="809">
          <cell r="C809">
            <v>933806821</v>
          </cell>
          <cell r="D809">
            <v>373653.88</v>
          </cell>
          <cell r="E809">
            <v>938806183</v>
          </cell>
          <cell r="F809">
            <v>302876.90999999997</v>
          </cell>
          <cell r="G809">
            <v>108012.0393512882</v>
          </cell>
          <cell r="H809">
            <v>19486.487064871177</v>
          </cell>
          <cell r="I809">
            <v>214351.35771358295</v>
          </cell>
        </row>
        <row r="810">
          <cell r="C810">
            <v>933805175</v>
          </cell>
          <cell r="D810">
            <v>194307.37</v>
          </cell>
          <cell r="E810">
            <v>938806973</v>
          </cell>
          <cell r="F810">
            <v>620378.64</v>
          </cell>
          <cell r="G810">
            <v>221239.58566659526</v>
          </cell>
          <cell r="H810">
            <v>39913.905433340471</v>
          </cell>
          <cell r="I810">
            <v>439052.95976674522</v>
          </cell>
        </row>
        <row r="811">
          <cell r="C811">
            <v>933805195</v>
          </cell>
          <cell r="D811">
            <v>327572.03999999998</v>
          </cell>
          <cell r="E811">
            <v>933806152</v>
          </cell>
          <cell r="F811">
            <v>275825</v>
          </cell>
          <cell r="G811">
            <v>98364.780445194949</v>
          </cell>
          <cell r="H811">
            <v>17746.021955480504</v>
          </cell>
          <cell r="I811">
            <v>195206.24151028556</v>
          </cell>
        </row>
        <row r="812">
          <cell r="C812">
            <v>933806000</v>
          </cell>
          <cell r="D812">
            <v>215558.27</v>
          </cell>
          <cell r="E812">
            <v>938807021</v>
          </cell>
          <cell r="F812">
            <v>1884849</v>
          </cell>
          <cell r="G812">
            <v>672175.32151670544</v>
          </cell>
          <cell r="H812">
            <v>121267.36784832945</v>
          </cell>
          <cell r="I812">
            <v>1333941.046331624</v>
          </cell>
        </row>
        <row r="813">
          <cell r="C813">
            <v>933806696</v>
          </cell>
          <cell r="D813">
            <v>616410.06000000006</v>
          </cell>
          <cell r="E813">
            <v>933805784</v>
          </cell>
          <cell r="F813">
            <v>241658</v>
          </cell>
          <cell r="G813">
            <v>86180.136364814374</v>
          </cell>
          <cell r="H813">
            <v>15547.786363518564</v>
          </cell>
          <cell r="I813">
            <v>171025.6499987042</v>
          </cell>
        </row>
        <row r="814">
          <cell r="C814">
            <v>933805888</v>
          </cell>
          <cell r="D814">
            <v>143132.39000000001</v>
          </cell>
          <cell r="E814">
            <v>938806972</v>
          </cell>
          <cell r="F814">
            <v>49090</v>
          </cell>
          <cell r="G814">
            <v>17506.488070532476</v>
          </cell>
          <cell r="H814">
            <v>3158.3511929467522</v>
          </cell>
          <cell r="I814">
            <v>34741.863122414274</v>
          </cell>
        </row>
        <row r="815">
          <cell r="C815">
            <v>933806739</v>
          </cell>
          <cell r="D815">
            <v>503520.43</v>
          </cell>
          <cell r="E815">
            <v>938806072</v>
          </cell>
          <cell r="F815">
            <v>266268.64</v>
          </cell>
          <cell r="G815">
            <v>94956.788953287978</v>
          </cell>
          <cell r="H815">
            <v>17131.185104671204</v>
          </cell>
          <cell r="I815">
            <v>188443.03615138322</v>
          </cell>
        </row>
        <row r="816">
          <cell r="C816">
            <v>933806490</v>
          </cell>
          <cell r="D816">
            <v>94228.83</v>
          </cell>
          <cell r="E816">
            <v>938805483</v>
          </cell>
          <cell r="F816">
            <v>231230</v>
          </cell>
          <cell r="G816">
            <v>82461.300398232328</v>
          </cell>
          <cell r="H816">
            <v>14876.869960176768</v>
          </cell>
          <cell r="I816">
            <v>163645.56956194443</v>
          </cell>
        </row>
        <row r="817">
          <cell r="C817">
            <v>933805217</v>
          </cell>
          <cell r="D817">
            <v>242514.68</v>
          </cell>
          <cell r="E817">
            <v>938807093</v>
          </cell>
          <cell r="F817">
            <v>150435</v>
          </cell>
          <cell r="G817">
            <v>53648.167302720576</v>
          </cell>
          <cell r="H817">
            <v>9678.6832697279424</v>
          </cell>
          <cell r="I817">
            <v>106465.51596700738</v>
          </cell>
        </row>
        <row r="818">
          <cell r="C818">
            <v>933806751</v>
          </cell>
          <cell r="D818">
            <v>813603.62</v>
          </cell>
          <cell r="E818">
            <v>933806354</v>
          </cell>
          <cell r="F818">
            <v>428126.64</v>
          </cell>
          <cell r="G818">
            <v>152678.62937130072</v>
          </cell>
          <cell r="H818">
            <v>27544.801062869934</v>
          </cell>
          <cell r="I818">
            <v>302992.81169156928</v>
          </cell>
        </row>
        <row r="819">
          <cell r="C819">
            <v>938805132</v>
          </cell>
          <cell r="D819">
            <v>212773.03</v>
          </cell>
          <cell r="E819">
            <v>938806614</v>
          </cell>
          <cell r="F819">
            <v>373454</v>
          </cell>
          <cell r="G819">
            <v>133181.25882853201</v>
          </cell>
          <cell r="H819">
            <v>24027.274117146801</v>
          </cell>
          <cell r="I819">
            <v>264300.01528861478</v>
          </cell>
        </row>
        <row r="820">
          <cell r="C820">
            <v>933806144</v>
          </cell>
          <cell r="D820">
            <v>112991.6</v>
          </cell>
          <cell r="E820">
            <v>938806217</v>
          </cell>
          <cell r="F820">
            <v>204103</v>
          </cell>
          <cell r="G820">
            <v>72787.262877569563</v>
          </cell>
          <cell r="H820">
            <v>13131.573712243044</v>
          </cell>
          <cell r="I820">
            <v>144447.31083467347</v>
          </cell>
        </row>
        <row r="821">
          <cell r="C821">
            <v>938805170</v>
          </cell>
          <cell r="D821">
            <v>44545</v>
          </cell>
          <cell r="E821">
            <v>938806182</v>
          </cell>
          <cell r="F821">
            <v>423417</v>
          </cell>
          <cell r="G821">
            <v>150999.07637727947</v>
          </cell>
          <cell r="H821">
            <v>27241.792362272052</v>
          </cell>
          <cell r="I821">
            <v>299659.71598499257</v>
          </cell>
        </row>
        <row r="822">
          <cell r="C822">
            <v>933806128</v>
          </cell>
          <cell r="D822">
            <v>174163.4</v>
          </cell>
          <cell r="E822">
            <v>938806178</v>
          </cell>
          <cell r="F822">
            <v>290690</v>
          </cell>
          <cell r="G822">
            <v>103665.94046084916</v>
          </cell>
          <cell r="H822">
            <v>18702.405953915088</v>
          </cell>
          <cell r="I822">
            <v>205726.46549306595</v>
          </cell>
        </row>
        <row r="823">
          <cell r="C823">
            <v>938805024</v>
          </cell>
          <cell r="D823">
            <v>214336.77</v>
          </cell>
          <cell r="E823">
            <v>938806243</v>
          </cell>
          <cell r="F823">
            <v>397507.64</v>
          </cell>
          <cell r="G823">
            <v>141759.27393777794</v>
          </cell>
          <cell r="H823">
            <v>25574.836606222209</v>
          </cell>
          <cell r="I823">
            <v>281323.20266844431</v>
          </cell>
        </row>
        <row r="824">
          <cell r="C824">
            <v>938805190</v>
          </cell>
          <cell r="D824">
            <v>648565.36</v>
          </cell>
          <cell r="E824">
            <v>933806087</v>
          </cell>
          <cell r="F824">
            <v>311882</v>
          </cell>
          <cell r="G824">
            <v>111223.43679799979</v>
          </cell>
          <cell r="H824">
            <v>20065.856320200022</v>
          </cell>
          <cell r="I824">
            <v>220724.41952220025</v>
          </cell>
        </row>
        <row r="825">
          <cell r="C825">
            <v>938805178</v>
          </cell>
          <cell r="D825">
            <v>165358.43</v>
          </cell>
          <cell r="E825">
            <v>938806553</v>
          </cell>
          <cell r="F825">
            <v>333632</v>
          </cell>
          <cell r="G825">
            <v>118979.92723462805</v>
          </cell>
          <cell r="H825">
            <v>21465.207276537196</v>
          </cell>
          <cell r="I825">
            <v>236117.28004190914</v>
          </cell>
        </row>
        <row r="826">
          <cell r="C826">
            <v>938805135</v>
          </cell>
          <cell r="D826">
            <v>146553.31</v>
          </cell>
          <cell r="E826">
            <v>938806225</v>
          </cell>
          <cell r="F826">
            <v>263579</v>
          </cell>
          <cell r="G826">
            <v>93997.608864185779</v>
          </cell>
          <cell r="H826">
            <v>16958.139113581423</v>
          </cell>
          <cell r="I826">
            <v>186539.53024939564</v>
          </cell>
        </row>
        <row r="827">
          <cell r="C827">
            <v>933806276</v>
          </cell>
          <cell r="D827">
            <v>49090</v>
          </cell>
          <cell r="E827">
            <v>938805384</v>
          </cell>
          <cell r="F827">
            <v>410956</v>
          </cell>
          <cell r="G827">
            <v>146555.23144252892</v>
          </cell>
          <cell r="H827">
            <v>26440.076855747113</v>
          </cell>
          <cell r="I827">
            <v>290840.84541321819</v>
          </cell>
        </row>
        <row r="828">
          <cell r="C828">
            <v>938805189</v>
          </cell>
          <cell r="D828">
            <v>462194.76</v>
          </cell>
          <cell r="E828">
            <v>933806289</v>
          </cell>
          <cell r="F828">
            <v>81172.639999999999</v>
          </cell>
          <cell r="G828">
            <v>28947.807166706607</v>
          </cell>
          <cell r="H828">
            <v>5222.4832833293385</v>
          </cell>
          <cell r="I828">
            <v>57447.316116622729</v>
          </cell>
        </row>
        <row r="829">
          <cell r="C829">
            <v>933806734</v>
          </cell>
          <cell r="D829">
            <v>327173.32</v>
          </cell>
          <cell r="E829">
            <v>938806120</v>
          </cell>
          <cell r="F829">
            <v>189262</v>
          </cell>
          <cell r="G829">
            <v>67494.66174791439</v>
          </cell>
          <cell r="H829">
            <v>12176.733825208561</v>
          </cell>
          <cell r="I829">
            <v>133944.07207729417</v>
          </cell>
        </row>
        <row r="830">
          <cell r="C830">
            <v>933806012</v>
          </cell>
          <cell r="D830">
            <v>265515.5</v>
          </cell>
          <cell r="E830">
            <v>938806134</v>
          </cell>
          <cell r="F830">
            <v>731680.64</v>
          </cell>
          <cell r="G830">
            <v>260932.13272763428</v>
          </cell>
          <cell r="H830">
            <v>47074.850727236568</v>
          </cell>
          <cell r="I830">
            <v>517823.35799960233</v>
          </cell>
        </row>
        <row r="831">
          <cell r="C831">
            <v>938805320</v>
          </cell>
          <cell r="D831">
            <v>188865.74</v>
          </cell>
          <cell r="E831">
            <v>938806152</v>
          </cell>
          <cell r="F831">
            <v>79138</v>
          </cell>
          <cell r="G831">
            <v>28222.213341328152</v>
          </cell>
          <cell r="H831">
            <v>5091.578665867185</v>
          </cell>
          <cell r="I831">
            <v>56007.365324539031</v>
          </cell>
        </row>
        <row r="832">
          <cell r="C832">
            <v>938805350</v>
          </cell>
          <cell r="D832">
            <v>610812.02</v>
          </cell>
          <cell r="E832">
            <v>938806087</v>
          </cell>
          <cell r="F832">
            <v>210761</v>
          </cell>
          <cell r="G832">
            <v>75161.640501802714</v>
          </cell>
          <cell r="H832">
            <v>13559.935949819726</v>
          </cell>
          <cell r="I832">
            <v>149159.29544801699</v>
          </cell>
        </row>
        <row r="833">
          <cell r="C833">
            <v>938805295</v>
          </cell>
          <cell r="D833">
            <v>2347048.34</v>
          </cell>
          <cell r="E833">
            <v>938806191</v>
          </cell>
          <cell r="F833">
            <v>658154.64</v>
          </cell>
          <cell r="G833">
            <v>234711.27222908119</v>
          </cell>
          <cell r="H833">
            <v>42344.336777091885</v>
          </cell>
          <cell r="I833">
            <v>465787.70454801072</v>
          </cell>
        </row>
        <row r="834">
          <cell r="C834">
            <v>938805386</v>
          </cell>
          <cell r="D834">
            <v>221874.64</v>
          </cell>
          <cell r="E834">
            <v>938807283</v>
          </cell>
          <cell r="F834">
            <v>384223</v>
          </cell>
          <cell r="G834">
            <v>137021.70230035039</v>
          </cell>
          <cell r="H834">
            <v>24720.129769964962</v>
          </cell>
          <cell r="I834">
            <v>271921.4274696146</v>
          </cell>
        </row>
        <row r="835">
          <cell r="C835">
            <v>933805329</v>
          </cell>
          <cell r="D835">
            <v>1196618.42</v>
          </cell>
          <cell r="E835">
            <v>933806006</v>
          </cell>
          <cell r="F835">
            <v>392796</v>
          </cell>
          <cell r="G835">
            <v>140079.00770325676</v>
          </cell>
          <cell r="H835">
            <v>25271.699229674326</v>
          </cell>
          <cell r="I835">
            <v>277988.69152641756</v>
          </cell>
        </row>
        <row r="836">
          <cell r="C836">
            <v>933806348</v>
          </cell>
          <cell r="D836">
            <v>415893.2</v>
          </cell>
          <cell r="E836">
            <v>938807193</v>
          </cell>
          <cell r="F836">
            <v>124555</v>
          </cell>
          <cell r="G836">
            <v>44418.83523375784</v>
          </cell>
          <cell r="H836">
            <v>8013.6164766242155</v>
          </cell>
          <cell r="I836">
            <v>88149.781242866375</v>
          </cell>
        </row>
        <row r="837">
          <cell r="C837">
            <v>938805274</v>
          </cell>
          <cell r="D837">
            <v>112125.84</v>
          </cell>
          <cell r="E837">
            <v>938807188</v>
          </cell>
          <cell r="F837">
            <v>374280</v>
          </cell>
          <cell r="G837">
            <v>133475.8271549989</v>
          </cell>
          <cell r="H837">
            <v>24080.417284500109</v>
          </cell>
          <cell r="I837">
            <v>264884.59012950119</v>
          </cell>
        </row>
        <row r="838">
          <cell r="C838">
            <v>938807141</v>
          </cell>
          <cell r="D838">
            <v>44545</v>
          </cell>
          <cell r="E838">
            <v>938806145</v>
          </cell>
          <cell r="F838">
            <v>199388</v>
          </cell>
          <cell r="G838">
            <v>71105.798399008549</v>
          </cell>
          <cell r="H838">
            <v>12828.220160099145</v>
          </cell>
          <cell r="I838">
            <v>141110.42176109061</v>
          </cell>
        </row>
        <row r="839">
          <cell r="C839">
            <v>938807942</v>
          </cell>
          <cell r="D839">
            <v>158243.43</v>
          </cell>
          <cell r="E839">
            <v>938807313</v>
          </cell>
          <cell r="F839">
            <v>188744.91</v>
          </cell>
          <cell r="G839">
            <v>67310.256982862615</v>
          </cell>
          <cell r="H839">
            <v>12143.465301713739</v>
          </cell>
          <cell r="I839">
            <v>133578.11831885113</v>
          </cell>
        </row>
        <row r="840">
          <cell r="C840">
            <v>938807635</v>
          </cell>
          <cell r="D840">
            <v>498378.51</v>
          </cell>
          <cell r="E840">
            <v>938807404</v>
          </cell>
          <cell r="F840">
            <v>130807</v>
          </cell>
          <cell r="G840">
            <v>46648.425036507266</v>
          </cell>
          <cell r="H840">
            <v>8415.8574963492738</v>
          </cell>
          <cell r="I840">
            <v>92574.432459842006</v>
          </cell>
        </row>
        <row r="841">
          <cell r="C841">
            <v>933806180</v>
          </cell>
          <cell r="D841">
            <v>195145.76</v>
          </cell>
          <cell r="E841">
            <v>938807521</v>
          </cell>
          <cell r="F841">
            <v>542749.64</v>
          </cell>
          <cell r="G841">
            <v>193555.51228245665</v>
          </cell>
          <cell r="H841">
            <v>34919.412771754338</v>
          </cell>
          <cell r="I841">
            <v>384113.54048929771</v>
          </cell>
        </row>
        <row r="842">
          <cell r="C842">
            <v>933806103</v>
          </cell>
          <cell r="D842">
            <v>953520.76</v>
          </cell>
          <cell r="E842">
            <v>938807153</v>
          </cell>
          <cell r="F842">
            <v>436584</v>
          </cell>
          <cell r="G842">
            <v>155694.69520850174</v>
          </cell>
          <cell r="H842">
            <v>28088.930479149822</v>
          </cell>
          <cell r="I842">
            <v>308978.23527064803</v>
          </cell>
        </row>
        <row r="843">
          <cell r="C843">
            <v>938806031</v>
          </cell>
          <cell r="D843">
            <v>608272.29</v>
          </cell>
          <cell r="E843">
            <v>938807127</v>
          </cell>
          <cell r="F843">
            <v>561865</v>
          </cell>
          <cell r="G843">
            <v>200372.4367437305</v>
          </cell>
          <cell r="H843">
            <v>36149.25632562695</v>
          </cell>
          <cell r="I843">
            <v>397641.81958189642</v>
          </cell>
        </row>
        <row r="844">
          <cell r="C844">
            <v>933806037</v>
          </cell>
          <cell r="D844">
            <v>197205.36</v>
          </cell>
          <cell r="E844">
            <v>938807595</v>
          </cell>
          <cell r="F844">
            <v>607055</v>
          </cell>
          <cell r="G844">
            <v>216488.10583941927</v>
          </cell>
          <cell r="H844">
            <v>39056.68941605807</v>
          </cell>
          <cell r="I844">
            <v>429623.58357663878</v>
          </cell>
        </row>
        <row r="845">
          <cell r="C845">
            <v>938807945</v>
          </cell>
          <cell r="D845">
            <v>44545</v>
          </cell>
          <cell r="E845">
            <v>938807628</v>
          </cell>
          <cell r="F845">
            <v>167361</v>
          </cell>
          <cell r="G845">
            <v>59684.321653542189</v>
          </cell>
          <cell r="H845">
            <v>10767.667834645779</v>
          </cell>
          <cell r="I845">
            <v>118444.34618110358</v>
          </cell>
        </row>
        <row r="846">
          <cell r="C846">
            <v>938807913</v>
          </cell>
          <cell r="D846">
            <v>147150.75</v>
          </cell>
          <cell r="E846">
            <v>938807631</v>
          </cell>
          <cell r="F846">
            <v>44545</v>
          </cell>
          <cell r="G846">
            <v>15885.649034464639</v>
          </cell>
          <cell r="H846">
            <v>2865.9350965535359</v>
          </cell>
          <cell r="I846">
            <v>31525.286062088897</v>
          </cell>
        </row>
        <row r="847">
          <cell r="C847">
            <v>938807914</v>
          </cell>
          <cell r="D847">
            <v>409750.02</v>
          </cell>
          <cell r="E847">
            <v>938807909</v>
          </cell>
          <cell r="F847">
            <v>735718</v>
          </cell>
          <cell r="G847">
            <v>262371.93706001248</v>
          </cell>
          <cell r="H847">
            <v>47334.606293998753</v>
          </cell>
          <cell r="I847">
            <v>520680.66923398629</v>
          </cell>
        </row>
        <row r="848">
          <cell r="C848">
            <v>938807916</v>
          </cell>
          <cell r="D848">
            <v>330346.05</v>
          </cell>
          <cell r="E848">
            <v>938807622</v>
          </cell>
          <cell r="F848">
            <v>441415</v>
          </cell>
          <cell r="G848">
            <v>157417.52763605813</v>
          </cell>
          <cell r="H848">
            <v>28399.747236394185</v>
          </cell>
          <cell r="I848">
            <v>312397.21960033604</v>
          </cell>
        </row>
        <row r="849">
          <cell r="C849">
            <v>938807625</v>
          </cell>
          <cell r="D849">
            <v>98518.8</v>
          </cell>
          <cell r="E849">
            <v>938807624</v>
          </cell>
          <cell r="F849">
            <v>153053</v>
          </cell>
          <cell r="G849">
            <v>54581.799117115639</v>
          </cell>
          <cell r="H849">
            <v>9847.120088288435</v>
          </cell>
          <cell r="I849">
            <v>108318.32097117278</v>
          </cell>
        </row>
        <row r="850">
          <cell r="C850">
            <v>938807626</v>
          </cell>
          <cell r="D850">
            <v>296416.71999999997</v>
          </cell>
          <cell r="E850">
            <v>938807610</v>
          </cell>
          <cell r="F850">
            <v>1508570</v>
          </cell>
          <cell r="G850">
            <v>537986.6104820366</v>
          </cell>
          <cell r="H850">
            <v>97058.338951796337</v>
          </cell>
          <cell r="I850">
            <v>1067641.7284697597</v>
          </cell>
        </row>
        <row r="851">
          <cell r="C851">
            <v>938807941</v>
          </cell>
          <cell r="D851">
            <v>186774.91</v>
          </cell>
          <cell r="E851">
            <v>938807912</v>
          </cell>
          <cell r="F851">
            <v>275778</v>
          </cell>
          <cell r="G851">
            <v>98348.019293446836</v>
          </cell>
          <cell r="H851">
            <v>17742.998070655318</v>
          </cell>
          <cell r="I851">
            <v>195172.97877720848</v>
          </cell>
        </row>
        <row r="852">
          <cell r="C852">
            <v>938805343</v>
          </cell>
          <cell r="D852">
            <v>241870.58</v>
          </cell>
          <cell r="E852">
            <v>938807936</v>
          </cell>
          <cell r="F852">
            <v>200958</v>
          </cell>
          <cell r="G852">
            <v>71665.692191445618</v>
          </cell>
          <cell r="H852">
            <v>12929.230780855438</v>
          </cell>
          <cell r="I852">
            <v>142221.53858940981</v>
          </cell>
        </row>
        <row r="853">
          <cell r="C853">
            <v>938807922</v>
          </cell>
          <cell r="D853">
            <v>232303.33</v>
          </cell>
          <cell r="E853">
            <v>938807615</v>
          </cell>
          <cell r="F853">
            <v>484530.1</v>
          </cell>
          <cell r="G853">
            <v>172793.24537510506</v>
          </cell>
          <cell r="H853">
            <v>31173.685462489491</v>
          </cell>
          <cell r="I853">
            <v>342910.5400873844</v>
          </cell>
        </row>
        <row r="854">
          <cell r="C854">
            <v>933806370</v>
          </cell>
          <cell r="D854">
            <v>669799.66</v>
          </cell>
          <cell r="E854">
            <v>933806605</v>
          </cell>
          <cell r="F854">
            <v>57272</v>
          </cell>
          <cell r="G854">
            <v>20424.354955704544</v>
          </cell>
          <cell r="H854">
            <v>3684.7645044295455</v>
          </cell>
          <cell r="I854">
            <v>40532.409548724994</v>
          </cell>
        </row>
        <row r="855">
          <cell r="C855">
            <v>938806803</v>
          </cell>
          <cell r="D855">
            <v>342226.04</v>
          </cell>
          <cell r="E855">
            <v>938807653</v>
          </cell>
          <cell r="F855">
            <v>424039</v>
          </cell>
          <cell r="G855">
            <v>151220.89417275455</v>
          </cell>
          <cell r="H855">
            <v>27281.810582724545</v>
          </cell>
          <cell r="I855">
            <v>300099.91640997003</v>
          </cell>
        </row>
        <row r="856">
          <cell r="C856">
            <v>938805183</v>
          </cell>
          <cell r="D856">
            <v>219062.43</v>
          </cell>
          <cell r="E856">
            <v>938807640</v>
          </cell>
          <cell r="F856">
            <v>222778</v>
          </cell>
          <cell r="G856">
            <v>79447.146045571077</v>
          </cell>
          <cell r="H856">
            <v>14333.085395442893</v>
          </cell>
          <cell r="I856">
            <v>157663.93934987183</v>
          </cell>
        </row>
        <row r="857">
          <cell r="C857">
            <v>933805276</v>
          </cell>
          <cell r="D857">
            <v>366144.59</v>
          </cell>
          <cell r="E857">
            <v>938807620</v>
          </cell>
          <cell r="F857">
            <v>813456</v>
          </cell>
          <cell r="G857">
            <v>290094.88205139677</v>
          </cell>
          <cell r="H857">
            <v>52336.111794860328</v>
          </cell>
          <cell r="I857">
            <v>575697.22974346357</v>
          </cell>
        </row>
        <row r="858">
          <cell r="C858">
            <v>938806650</v>
          </cell>
          <cell r="D858">
            <v>110200.16</v>
          </cell>
          <cell r="E858">
            <v>938807621</v>
          </cell>
          <cell r="F858">
            <v>789764</v>
          </cell>
          <cell r="G858">
            <v>281645.83508934634</v>
          </cell>
          <cell r="H858">
            <v>50811.816491065372</v>
          </cell>
          <cell r="I858">
            <v>558929.98140171904</v>
          </cell>
        </row>
        <row r="859">
          <cell r="C859">
            <v>938806058</v>
          </cell>
          <cell r="D859">
            <v>185783.02</v>
          </cell>
          <cell r="E859">
            <v>938807418</v>
          </cell>
          <cell r="F859">
            <v>494345</v>
          </cell>
          <cell r="G859">
            <v>176293.43746643671</v>
          </cell>
          <cell r="H859">
            <v>31805.156253356326</v>
          </cell>
          <cell r="I859">
            <v>349856.71878691961</v>
          </cell>
        </row>
        <row r="860">
          <cell r="C860">
            <v>938809209</v>
          </cell>
          <cell r="D860">
            <v>113672.1</v>
          </cell>
          <cell r="E860">
            <v>938807523</v>
          </cell>
          <cell r="F860">
            <v>172978</v>
          </cell>
          <cell r="G860">
            <v>61687.457597567052</v>
          </cell>
          <cell r="H860">
            <v>11129.054240243295</v>
          </cell>
          <cell r="I860">
            <v>122419.59664267623</v>
          </cell>
        </row>
        <row r="861">
          <cell r="C861">
            <v>938808150</v>
          </cell>
          <cell r="D861">
            <v>160459.54</v>
          </cell>
          <cell r="E861">
            <v>938807327</v>
          </cell>
          <cell r="F861">
            <v>270840</v>
          </cell>
          <cell r="G861">
            <v>96587.028499144755</v>
          </cell>
          <cell r="H861">
            <v>17425.29715008552</v>
          </cell>
          <cell r="I861">
            <v>191678.26865094074</v>
          </cell>
        </row>
        <row r="862">
          <cell r="C862">
            <v>938808352</v>
          </cell>
          <cell r="D862">
            <v>180188.93</v>
          </cell>
          <cell r="E862">
            <v>938807343</v>
          </cell>
          <cell r="F862">
            <v>112285.64</v>
          </cell>
          <cell r="G862">
            <v>40043.333003709602</v>
          </cell>
          <cell r="H862">
            <v>7224.2306996290399</v>
          </cell>
          <cell r="I862">
            <v>79466.53769591944</v>
          </cell>
        </row>
        <row r="863">
          <cell r="C863">
            <v>933805155</v>
          </cell>
          <cell r="D863">
            <v>120581.92</v>
          </cell>
          <cell r="E863">
            <v>938807321</v>
          </cell>
          <cell r="F863">
            <v>436817.64</v>
          </cell>
          <cell r="G863">
            <v>155778.0159637024</v>
          </cell>
          <cell r="H863">
            <v>28103.962403629761</v>
          </cell>
          <cell r="I863">
            <v>309143.58643992734</v>
          </cell>
        </row>
        <row r="864">
          <cell r="C864">
            <v>938808416</v>
          </cell>
          <cell r="D864">
            <v>273389.31</v>
          </cell>
          <cell r="E864">
            <v>938807334</v>
          </cell>
          <cell r="F864">
            <v>417745</v>
          </cell>
          <cell r="G864">
            <v>148976.32631950683</v>
          </cell>
          <cell r="H864">
            <v>26876.867368049316</v>
          </cell>
          <cell r="I864">
            <v>295645.54104854248</v>
          </cell>
        </row>
        <row r="865">
          <cell r="C865">
            <v>938808419</v>
          </cell>
          <cell r="D865">
            <v>838114.33</v>
          </cell>
          <cell r="E865">
            <v>938807518</v>
          </cell>
          <cell r="F865">
            <v>106705</v>
          </cell>
          <cell r="G865">
            <v>38053.163771973268</v>
          </cell>
          <cell r="H865">
            <v>6865.1836228026732</v>
          </cell>
          <cell r="I865">
            <v>75517.019850829412</v>
          </cell>
        </row>
        <row r="866">
          <cell r="C866">
            <v>938807607</v>
          </cell>
          <cell r="D866">
            <v>525661.96</v>
          </cell>
          <cell r="E866">
            <v>933806188</v>
          </cell>
          <cell r="F866">
            <v>145626</v>
          </cell>
          <cell r="G866">
            <v>51933.180520663322</v>
          </cell>
          <cell r="H866">
            <v>9369.2819479336667</v>
          </cell>
          <cell r="I866">
            <v>103062.10142727033</v>
          </cell>
        </row>
        <row r="867">
          <cell r="C867">
            <v>938808436</v>
          </cell>
          <cell r="D867">
            <v>159863.01</v>
          </cell>
          <cell r="E867">
            <v>938807212</v>
          </cell>
          <cell r="F867">
            <v>326902</v>
          </cell>
          <cell r="G867">
            <v>116579.87295239778</v>
          </cell>
          <cell r="H867">
            <v>21032.212704760219</v>
          </cell>
          <cell r="I867">
            <v>231354.33975236243</v>
          </cell>
        </row>
        <row r="868">
          <cell r="C868">
            <v>938808409</v>
          </cell>
          <cell r="D868">
            <v>168507.69</v>
          </cell>
          <cell r="E868">
            <v>938807472</v>
          </cell>
          <cell r="F868">
            <v>265194</v>
          </cell>
          <cell r="G868">
            <v>94573.550567871047</v>
          </cell>
          <cell r="H868">
            <v>17062.044943212895</v>
          </cell>
          <cell r="I868">
            <v>187682.49437534186</v>
          </cell>
        </row>
        <row r="869">
          <cell r="C869">
            <v>938808591</v>
          </cell>
          <cell r="D869">
            <v>102200.51</v>
          </cell>
          <cell r="E869">
            <v>938809171</v>
          </cell>
          <cell r="F869">
            <v>44545</v>
          </cell>
          <cell r="G869">
            <v>15885.649034464639</v>
          </cell>
          <cell r="H869">
            <v>2865.9350965535359</v>
          </cell>
          <cell r="I869">
            <v>31525.286062088897</v>
          </cell>
        </row>
        <row r="870">
          <cell r="C870">
            <v>938807909</v>
          </cell>
          <cell r="D870">
            <v>123952.11</v>
          </cell>
          <cell r="E870">
            <v>938807950</v>
          </cell>
          <cell r="F870">
            <v>467621</v>
          </cell>
          <cell r="G870">
            <v>166763.11790650777</v>
          </cell>
          <cell r="H870">
            <v>30085.788209349219</v>
          </cell>
          <cell r="I870">
            <v>330943.6703028414</v>
          </cell>
        </row>
        <row r="871">
          <cell r="C871">
            <v>938806174</v>
          </cell>
          <cell r="D871">
            <v>184846.93</v>
          </cell>
          <cell r="E871">
            <v>938807017</v>
          </cell>
          <cell r="F871">
            <v>264662</v>
          </cell>
          <cell r="G871">
            <v>94383.828594892373</v>
          </cell>
          <cell r="H871">
            <v>17027.817140510761</v>
          </cell>
          <cell r="I871">
            <v>187305.9885456184</v>
          </cell>
        </row>
        <row r="872">
          <cell r="C872">
            <v>933805310</v>
          </cell>
          <cell r="D872">
            <v>8908.98</v>
          </cell>
          <cell r="E872">
            <v>938807960</v>
          </cell>
          <cell r="F872">
            <v>464025</v>
          </cell>
          <cell r="G872">
            <v>165480.71148765189</v>
          </cell>
          <cell r="H872">
            <v>29854.42885123481</v>
          </cell>
          <cell r="I872">
            <v>328398.71736358287</v>
          </cell>
        </row>
        <row r="873">
          <cell r="C873">
            <v>938806295</v>
          </cell>
          <cell r="D873">
            <v>41575.24</v>
          </cell>
          <cell r="E873">
            <v>938809454</v>
          </cell>
          <cell r="F873">
            <v>215093</v>
          </cell>
          <cell r="G873">
            <v>76706.519424629078</v>
          </cell>
          <cell r="H873">
            <v>13838.648057537093</v>
          </cell>
          <cell r="I873">
            <v>152225.12863290802</v>
          </cell>
        </row>
        <row r="874">
          <cell r="C874">
            <v>938806229</v>
          </cell>
          <cell r="D874">
            <v>8908.98</v>
          </cell>
          <cell r="E874">
            <v>938808253</v>
          </cell>
          <cell r="F874">
            <v>315124</v>
          </cell>
          <cell r="G874">
            <v>112379.59964836984</v>
          </cell>
          <cell r="H874">
            <v>20274.440035163017</v>
          </cell>
          <cell r="I874">
            <v>223018.84038679319</v>
          </cell>
        </row>
        <row r="875">
          <cell r="C875">
            <v>938806215</v>
          </cell>
          <cell r="D875">
            <v>43060.07</v>
          </cell>
          <cell r="E875">
            <v>938807656</v>
          </cell>
          <cell r="F875">
            <v>238632</v>
          </cell>
          <cell r="G875">
            <v>85101.003488435643</v>
          </cell>
          <cell r="H875">
            <v>15353.099651156435</v>
          </cell>
          <cell r="I875">
            <v>168884.09616272079</v>
          </cell>
        </row>
        <row r="876">
          <cell r="C876">
            <v>933806264</v>
          </cell>
          <cell r="D876">
            <v>9782.7099999999991</v>
          </cell>
          <cell r="E876">
            <v>938807953</v>
          </cell>
          <cell r="F876">
            <v>517651.55</v>
          </cell>
          <cell r="G876">
            <v>184605.02515314007</v>
          </cell>
          <cell r="H876">
            <v>33304.65248468599</v>
          </cell>
          <cell r="I876">
            <v>366351.17733154591</v>
          </cell>
        </row>
        <row r="877">
          <cell r="C877">
            <v>933805665</v>
          </cell>
          <cell r="D877">
            <v>8908.98</v>
          </cell>
          <cell r="E877">
            <v>938808247</v>
          </cell>
          <cell r="F877">
            <v>746861</v>
          </cell>
          <cell r="G877">
            <v>266345.75650531583</v>
          </cell>
          <cell r="H877">
            <v>48051.524349468418</v>
          </cell>
          <cell r="I877">
            <v>528566.76784415264</v>
          </cell>
        </row>
        <row r="878">
          <cell r="C878">
            <v>938806245</v>
          </cell>
          <cell r="D878">
            <v>148263.88</v>
          </cell>
          <cell r="E878">
            <v>933805797</v>
          </cell>
          <cell r="F878">
            <v>238473</v>
          </cell>
          <cell r="G878">
            <v>85044.300868692022</v>
          </cell>
          <cell r="H878">
            <v>15342.869913130799</v>
          </cell>
          <cell r="I878">
            <v>168771.56904443877</v>
          </cell>
        </row>
        <row r="879">
          <cell r="C879">
            <v>933805936</v>
          </cell>
          <cell r="D879">
            <v>294158.78999999998</v>
          </cell>
          <cell r="E879">
            <v>933806030</v>
          </cell>
          <cell r="F879">
            <v>490654</v>
          </cell>
          <cell r="G879">
            <v>174977.15212383462</v>
          </cell>
          <cell r="H879">
            <v>31567.684787616545</v>
          </cell>
          <cell r="I879">
            <v>347244.53266378195</v>
          </cell>
        </row>
        <row r="880">
          <cell r="C880">
            <v>938806208</v>
          </cell>
          <cell r="D880">
            <v>122658.2</v>
          </cell>
          <cell r="E880">
            <v>933806106</v>
          </cell>
          <cell r="F880">
            <v>407232</v>
          </cell>
          <cell r="G880">
            <v>145227.17763167818</v>
          </cell>
          <cell r="H880">
            <v>26200.482236832184</v>
          </cell>
          <cell r="I880">
            <v>288205.30460515403</v>
          </cell>
        </row>
        <row r="881">
          <cell r="C881">
            <v>938806219</v>
          </cell>
          <cell r="D881">
            <v>698124.29</v>
          </cell>
          <cell r="E881">
            <v>933806159</v>
          </cell>
          <cell r="F881">
            <v>131255</v>
          </cell>
          <cell r="G881">
            <v>46808.190908489312</v>
          </cell>
          <cell r="H881">
            <v>8444.6809091510695</v>
          </cell>
          <cell r="I881">
            <v>92891.490000661754</v>
          </cell>
        </row>
        <row r="882">
          <cell r="C882">
            <v>933805822</v>
          </cell>
          <cell r="D882">
            <v>187699.55</v>
          </cell>
          <cell r="E882">
            <v>933806073</v>
          </cell>
          <cell r="F882">
            <v>585778.64</v>
          </cell>
          <cell r="G882">
            <v>208900.52501798206</v>
          </cell>
          <cell r="H882">
            <v>37687.811498201794</v>
          </cell>
          <cell r="I882">
            <v>414565.92648021976</v>
          </cell>
        </row>
        <row r="883">
          <cell r="C883">
            <v>938806242</v>
          </cell>
          <cell r="D883">
            <v>197705.01</v>
          </cell>
          <cell r="E883">
            <v>933806109</v>
          </cell>
          <cell r="F883">
            <v>314554</v>
          </cell>
          <cell r="G883">
            <v>112176.32610589269</v>
          </cell>
          <cell r="H883">
            <v>20237.767389410732</v>
          </cell>
          <cell r="I883">
            <v>222615.44128351804</v>
          </cell>
        </row>
        <row r="884">
          <cell r="C884">
            <v>938806182</v>
          </cell>
          <cell r="D884">
            <v>315990.7</v>
          </cell>
          <cell r="E884">
            <v>933805938</v>
          </cell>
          <cell r="F884">
            <v>44545</v>
          </cell>
          <cell r="G884">
            <v>15885.649034464639</v>
          </cell>
          <cell r="H884">
            <v>2865.9350965535359</v>
          </cell>
          <cell r="I884">
            <v>31525.286062088897</v>
          </cell>
        </row>
        <row r="885">
          <cell r="C885">
            <v>938805427</v>
          </cell>
          <cell r="D885">
            <v>568182.87</v>
          </cell>
          <cell r="E885">
            <v>933806141</v>
          </cell>
          <cell r="F885">
            <v>115514</v>
          </cell>
          <cell r="G885">
            <v>41194.631553870211</v>
          </cell>
          <cell r="H885">
            <v>7431.9368446129783</v>
          </cell>
          <cell r="I885">
            <v>81751.305290742763</v>
          </cell>
        </row>
        <row r="886">
          <cell r="C886">
            <v>938806243</v>
          </cell>
          <cell r="D886">
            <v>1124569.4099999999</v>
          </cell>
          <cell r="E886">
            <v>933805657</v>
          </cell>
          <cell r="F886">
            <v>108160</v>
          </cell>
          <cell r="G886">
            <v>38572.046235664959</v>
          </cell>
          <cell r="H886">
            <v>6958.7953764335043</v>
          </cell>
          <cell r="I886">
            <v>76546.749140768559</v>
          </cell>
        </row>
        <row r="887">
          <cell r="C887">
            <v>938805423</v>
          </cell>
          <cell r="D887">
            <v>373182.56</v>
          </cell>
          <cell r="E887">
            <v>933805846</v>
          </cell>
          <cell r="F887">
            <v>348289</v>
          </cell>
          <cell r="G887">
            <v>124206.91023829058</v>
          </cell>
          <cell r="H887">
            <v>22408.208976170943</v>
          </cell>
          <cell r="I887">
            <v>246490.29873788037</v>
          </cell>
        </row>
        <row r="888">
          <cell r="C888">
            <v>938807002</v>
          </cell>
          <cell r="D888">
            <v>231172.5</v>
          </cell>
          <cell r="E888">
            <v>933805736</v>
          </cell>
          <cell r="F888">
            <v>204923</v>
          </cell>
          <cell r="G888">
            <v>73079.691482536698</v>
          </cell>
          <cell r="H888">
            <v>13184.33085174633</v>
          </cell>
          <cell r="I888">
            <v>145027.63936920965</v>
          </cell>
        </row>
        <row r="889">
          <cell r="C889">
            <v>938807270</v>
          </cell>
          <cell r="D889">
            <v>440269.61</v>
          </cell>
          <cell r="E889">
            <v>933805740</v>
          </cell>
          <cell r="F889">
            <v>620595</v>
          </cell>
          <cell r="G889">
            <v>221316.74402387661</v>
          </cell>
          <cell r="H889">
            <v>39927.825597612333</v>
          </cell>
          <cell r="I889">
            <v>439206.08157373569</v>
          </cell>
        </row>
        <row r="890">
          <cell r="C890">
            <v>933806451</v>
          </cell>
          <cell r="D890">
            <v>1138725.8400000001</v>
          </cell>
          <cell r="E890">
            <v>933805663</v>
          </cell>
          <cell r="F890">
            <v>449332</v>
          </cell>
          <cell r="G890">
            <v>160240.8901549908</v>
          </cell>
          <cell r="H890">
            <v>28909.110984500916</v>
          </cell>
          <cell r="I890">
            <v>318000.22082951007</v>
          </cell>
        </row>
        <row r="891">
          <cell r="C891">
            <v>933806289</v>
          </cell>
          <cell r="D891">
            <v>441521.82</v>
          </cell>
          <cell r="E891">
            <v>933805671</v>
          </cell>
          <cell r="F891">
            <v>242348</v>
          </cell>
          <cell r="G891">
            <v>86426.204337286719</v>
          </cell>
          <cell r="H891">
            <v>15592.179566271328</v>
          </cell>
          <cell r="I891">
            <v>171513.97522898464</v>
          </cell>
        </row>
        <row r="892">
          <cell r="C892">
            <v>938806270</v>
          </cell>
          <cell r="D892">
            <v>333660.14</v>
          </cell>
          <cell r="E892">
            <v>933805799</v>
          </cell>
          <cell r="F892">
            <v>126252</v>
          </cell>
          <cell r="G892">
            <v>45024.019797939829</v>
          </cell>
          <cell r="H892">
            <v>8122.7980202060171</v>
          </cell>
          <cell r="I892">
            <v>89350.778222266177</v>
          </cell>
        </row>
        <row r="893">
          <cell r="C893">
            <v>938806195</v>
          </cell>
          <cell r="D893">
            <v>147076.76</v>
          </cell>
          <cell r="E893">
            <v>933805813</v>
          </cell>
          <cell r="F893">
            <v>178019</v>
          </cell>
          <cell r="G893">
            <v>63485.180277615007</v>
          </cell>
          <cell r="H893">
            <v>11453.381972238501</v>
          </cell>
          <cell r="I893">
            <v>125987.20169462351</v>
          </cell>
        </row>
        <row r="894">
          <cell r="C894">
            <v>938805242</v>
          </cell>
          <cell r="D894">
            <v>499875.09</v>
          </cell>
          <cell r="E894">
            <v>933805669</v>
          </cell>
          <cell r="F894">
            <v>410748.27</v>
          </cell>
          <cell r="G894">
            <v>146481.15071800473</v>
          </cell>
          <cell r="H894">
            <v>26426.711928199529</v>
          </cell>
          <cell r="I894">
            <v>290693.8312101948</v>
          </cell>
        </row>
        <row r="895">
          <cell r="C895">
            <v>938806274</v>
          </cell>
          <cell r="D895">
            <v>340475.19</v>
          </cell>
          <cell r="E895">
            <v>933805996</v>
          </cell>
          <cell r="F895">
            <v>155760</v>
          </cell>
          <cell r="G895">
            <v>55547.17013375715</v>
          </cell>
          <cell r="H895">
            <v>10021.282986624285</v>
          </cell>
          <cell r="I895">
            <v>110234.11285286714</v>
          </cell>
        </row>
        <row r="896">
          <cell r="C896">
            <v>938806796</v>
          </cell>
          <cell r="D896">
            <v>409870.64</v>
          </cell>
          <cell r="E896">
            <v>933800009</v>
          </cell>
          <cell r="F896">
            <v>253689</v>
          </cell>
          <cell r="G896">
            <v>90470.634592082162</v>
          </cell>
          <cell r="H896">
            <v>16321.836540791783</v>
          </cell>
          <cell r="I896">
            <v>179540.20194870961</v>
          </cell>
        </row>
        <row r="897">
          <cell r="C897">
            <v>938806218</v>
          </cell>
          <cell r="D897">
            <v>762233.14</v>
          </cell>
          <cell r="E897">
            <v>933800456</v>
          </cell>
          <cell r="F897">
            <v>103296</v>
          </cell>
          <cell r="G897">
            <v>36837.445339859907</v>
          </cell>
          <cell r="H897">
            <v>6645.8554660140098</v>
          </cell>
          <cell r="I897">
            <v>73104.410126154107</v>
          </cell>
        </row>
        <row r="898">
          <cell r="C898">
            <v>938806213</v>
          </cell>
          <cell r="D898">
            <v>416145.82</v>
          </cell>
          <cell r="E898">
            <v>937206996</v>
          </cell>
          <cell r="F898">
            <v>124038</v>
          </cell>
          <cell r="G898">
            <v>44234.462564528571</v>
          </cell>
          <cell r="H898">
            <v>7980.3537435471426</v>
          </cell>
          <cell r="I898">
            <v>87783.891179018567</v>
          </cell>
        </row>
        <row r="899">
          <cell r="C899">
            <v>938806035</v>
          </cell>
          <cell r="D899">
            <v>472911.04</v>
          </cell>
          <cell r="E899">
            <v>933805969</v>
          </cell>
          <cell r="F899">
            <v>330985</v>
          </cell>
          <cell r="G899">
            <v>118035.95343298414</v>
          </cell>
          <cell r="H899">
            <v>21294.904656701587</v>
          </cell>
          <cell r="I899">
            <v>234243.95122371745</v>
          </cell>
        </row>
        <row r="900">
          <cell r="C900">
            <v>938805138</v>
          </cell>
          <cell r="D900">
            <v>3004714.25</v>
          </cell>
          <cell r="E900">
            <v>933805905</v>
          </cell>
          <cell r="F900">
            <v>574420</v>
          </cell>
          <cell r="G900">
            <v>204849.80398197731</v>
          </cell>
          <cell r="H900">
            <v>36957.019601802269</v>
          </cell>
          <cell r="I900">
            <v>406527.215619825</v>
          </cell>
        </row>
        <row r="901">
          <cell r="C901">
            <v>938806281</v>
          </cell>
          <cell r="D901">
            <v>175391.95</v>
          </cell>
          <cell r="E901">
            <v>933805603</v>
          </cell>
          <cell r="F901">
            <v>244522</v>
          </cell>
          <cell r="G901">
            <v>87201.496760699578</v>
          </cell>
          <cell r="H901">
            <v>15732.050323930043</v>
          </cell>
          <cell r="I901">
            <v>173052.55356323047</v>
          </cell>
        </row>
        <row r="902">
          <cell r="C902">
            <v>938805392</v>
          </cell>
          <cell r="D902">
            <v>499185.82</v>
          </cell>
          <cell r="E902">
            <v>933805635</v>
          </cell>
          <cell r="F902">
            <v>453180.64</v>
          </cell>
          <cell r="G902">
            <v>161613.39311379654</v>
          </cell>
          <cell r="H902">
            <v>29156.72468862035</v>
          </cell>
          <cell r="I902">
            <v>320723.97157482384</v>
          </cell>
        </row>
        <row r="903">
          <cell r="C903">
            <v>938807926</v>
          </cell>
          <cell r="D903">
            <v>256299.68</v>
          </cell>
          <cell r="E903">
            <v>933805853</v>
          </cell>
          <cell r="F903">
            <v>286013</v>
          </cell>
          <cell r="G903">
            <v>101998.02755178662</v>
          </cell>
          <cell r="H903">
            <v>18401.497244821338</v>
          </cell>
          <cell r="I903">
            <v>202416.46969303471</v>
          </cell>
        </row>
        <row r="904">
          <cell r="C904">
            <v>933805717</v>
          </cell>
          <cell r="D904">
            <v>396572.27</v>
          </cell>
          <cell r="E904">
            <v>933805880</v>
          </cell>
          <cell r="F904">
            <v>251375</v>
          </cell>
          <cell r="G904">
            <v>89645.415333674915</v>
          </cell>
          <cell r="H904">
            <v>16172.958466632506</v>
          </cell>
          <cell r="I904">
            <v>177902.54313295757</v>
          </cell>
        </row>
        <row r="905">
          <cell r="C905">
            <v>933805304</v>
          </cell>
          <cell r="D905">
            <v>1263361.56</v>
          </cell>
          <cell r="E905">
            <v>933805767</v>
          </cell>
          <cell r="F905">
            <v>519796</v>
          </cell>
          <cell r="G905">
            <v>185369.77944816661</v>
          </cell>
          <cell r="H905">
            <v>33442.622055183339</v>
          </cell>
          <cell r="I905">
            <v>367868.84260701673</v>
          </cell>
        </row>
        <row r="906">
          <cell r="C906">
            <v>938807634</v>
          </cell>
          <cell r="D906">
            <v>310841.42</v>
          </cell>
          <cell r="E906">
            <v>933805900</v>
          </cell>
          <cell r="F906">
            <v>231217</v>
          </cell>
          <cell r="G906">
            <v>82456.664334982837</v>
          </cell>
          <cell r="H906">
            <v>14876.033566501716</v>
          </cell>
          <cell r="I906">
            <v>163636.36923151888</v>
          </cell>
        </row>
        <row r="907">
          <cell r="C907">
            <v>933806640</v>
          </cell>
          <cell r="D907">
            <v>729859.12</v>
          </cell>
          <cell r="E907">
            <v>933805895</v>
          </cell>
          <cell r="F907">
            <v>580746</v>
          </cell>
          <cell r="G907">
            <v>207105.78368322374</v>
          </cell>
          <cell r="H907">
            <v>37364.021631677628</v>
          </cell>
          <cell r="I907">
            <v>411004.23794845387</v>
          </cell>
        </row>
        <row r="908">
          <cell r="C908">
            <v>938807020</v>
          </cell>
          <cell r="D908">
            <v>388267.19</v>
          </cell>
          <cell r="E908">
            <v>933805786</v>
          </cell>
          <cell r="F908">
            <v>364881</v>
          </cell>
          <cell r="G908">
            <v>130123.9534256256</v>
          </cell>
          <cell r="H908">
            <v>23475.70465743744</v>
          </cell>
          <cell r="I908">
            <v>258232.75123181182</v>
          </cell>
        </row>
        <row r="909">
          <cell r="C909">
            <v>933806827</v>
          </cell>
          <cell r="D909">
            <v>339427.41</v>
          </cell>
          <cell r="E909">
            <v>933805682</v>
          </cell>
          <cell r="F909">
            <v>435377.64</v>
          </cell>
          <cell r="G909">
            <v>155264.4828037601</v>
          </cell>
          <cell r="H909">
            <v>28011.315719623995</v>
          </cell>
          <cell r="I909">
            <v>308124.47291586391</v>
          </cell>
        </row>
        <row r="910">
          <cell r="C910">
            <v>938807046</v>
          </cell>
          <cell r="D910">
            <v>459439.19</v>
          </cell>
          <cell r="E910">
            <v>933805881</v>
          </cell>
          <cell r="F910">
            <v>475919</v>
          </cell>
          <cell r="G910">
            <v>169722.35274067518</v>
          </cell>
          <cell r="H910">
            <v>30619.664725932478</v>
          </cell>
          <cell r="I910">
            <v>336816.31198525726</v>
          </cell>
        </row>
        <row r="911">
          <cell r="C911">
            <v>938805145</v>
          </cell>
          <cell r="D911">
            <v>276706.55</v>
          </cell>
          <cell r="E911">
            <v>933805894</v>
          </cell>
          <cell r="F911">
            <v>252052</v>
          </cell>
          <cell r="G911">
            <v>89886.847242897784</v>
          </cell>
          <cell r="H911">
            <v>16216.515275710221</v>
          </cell>
          <cell r="I911">
            <v>178381.66803281245</v>
          </cell>
        </row>
        <row r="912">
          <cell r="C912">
            <v>938805481</v>
          </cell>
          <cell r="D912">
            <v>957099.73</v>
          </cell>
          <cell r="E912">
            <v>933805921</v>
          </cell>
          <cell r="F912">
            <v>118951</v>
          </cell>
          <cell r="G912">
            <v>42420.335352982453</v>
          </cell>
          <cell r="H912">
            <v>7653.0664647017547</v>
          </cell>
          <cell r="I912">
            <v>84183.731111719302</v>
          </cell>
        </row>
        <row r="913">
          <cell r="C913">
            <v>938805467</v>
          </cell>
          <cell r="D913">
            <v>358017.72</v>
          </cell>
          <cell r="E913">
            <v>933805781</v>
          </cell>
          <cell r="F913">
            <v>591414</v>
          </cell>
          <cell r="G913">
            <v>210910.20850979618</v>
          </cell>
          <cell r="H913">
            <v>38050.37914902038</v>
          </cell>
          <cell r="I913">
            <v>418554.17063922418</v>
          </cell>
        </row>
        <row r="914">
          <cell r="C914">
            <v>938806973</v>
          </cell>
          <cell r="D914">
            <v>589863.61</v>
          </cell>
          <cell r="E914">
            <v>933805622</v>
          </cell>
          <cell r="F914">
            <v>227289</v>
          </cell>
          <cell r="G914">
            <v>81055.859993140271</v>
          </cell>
          <cell r="H914">
            <v>14623.314000685974</v>
          </cell>
          <cell r="I914">
            <v>160856.45400754569</v>
          </cell>
        </row>
        <row r="915">
          <cell r="C915">
            <v>933806717</v>
          </cell>
          <cell r="D915">
            <v>685048.74</v>
          </cell>
          <cell r="E915">
            <v>933805655</v>
          </cell>
          <cell r="F915">
            <v>216316</v>
          </cell>
          <cell r="G915">
            <v>77142.665990330061</v>
          </cell>
          <cell r="H915">
            <v>13917.333400966996</v>
          </cell>
          <cell r="I915">
            <v>153090.66741063696</v>
          </cell>
        </row>
        <row r="916">
          <cell r="C916">
            <v>938807052</v>
          </cell>
          <cell r="D916">
            <v>467056.43</v>
          </cell>
          <cell r="E916">
            <v>933805847</v>
          </cell>
          <cell r="F916">
            <v>216660</v>
          </cell>
          <cell r="G916">
            <v>77265.343356316283</v>
          </cell>
          <cell r="H916">
            <v>13939.465664368374</v>
          </cell>
          <cell r="I916">
            <v>153334.12230805212</v>
          </cell>
        </row>
        <row r="917">
          <cell r="C917">
            <v>938807169</v>
          </cell>
          <cell r="D917">
            <v>86340.36</v>
          </cell>
          <cell r="E917">
            <v>933805743</v>
          </cell>
          <cell r="F917">
            <v>356347</v>
          </cell>
          <cell r="G917">
            <v>127080.55621246764</v>
          </cell>
          <cell r="H917">
            <v>22926.644378753233</v>
          </cell>
          <cell r="I917">
            <v>252193.0881662856</v>
          </cell>
        </row>
        <row r="918">
          <cell r="C918">
            <v>938807182</v>
          </cell>
          <cell r="D918">
            <v>268564.15999999997</v>
          </cell>
          <cell r="E918">
            <v>933805745</v>
          </cell>
          <cell r="F918">
            <v>94070</v>
          </cell>
          <cell r="G918">
            <v>33547.266913729683</v>
          </cell>
          <cell r="H918">
            <v>6052.2733086270318</v>
          </cell>
          <cell r="I918">
            <v>66575.006394897355</v>
          </cell>
        </row>
        <row r="919">
          <cell r="C919">
            <v>938806184</v>
          </cell>
          <cell r="D919">
            <v>226417.68</v>
          </cell>
          <cell r="E919">
            <v>933805719</v>
          </cell>
          <cell r="F919">
            <v>471336</v>
          </cell>
          <cell r="G919">
            <v>168087.96213510889</v>
          </cell>
          <cell r="H919">
            <v>30324.803786489112</v>
          </cell>
          <cell r="I919">
            <v>333572.84165138024</v>
          </cell>
        </row>
        <row r="920">
          <cell r="C920">
            <v>938807190</v>
          </cell>
          <cell r="D920">
            <v>377201.59</v>
          </cell>
          <cell r="E920">
            <v>933805929</v>
          </cell>
          <cell r="F920">
            <v>112213</v>
          </cell>
          <cell r="G920">
            <v>40017.428108752509</v>
          </cell>
          <cell r="H920">
            <v>7219.55718912475</v>
          </cell>
          <cell r="I920">
            <v>79415.129080372251</v>
          </cell>
        </row>
        <row r="921">
          <cell r="C921">
            <v>938807159</v>
          </cell>
          <cell r="D921">
            <v>611004.43000000005</v>
          </cell>
          <cell r="E921">
            <v>933805970</v>
          </cell>
          <cell r="F921">
            <v>376761</v>
          </cell>
          <cell r="G921">
            <v>134360.60199514945</v>
          </cell>
          <cell r="H921">
            <v>24240.039800485058</v>
          </cell>
          <cell r="I921">
            <v>266640.43780533562</v>
          </cell>
        </row>
        <row r="922">
          <cell r="C922">
            <v>938807405</v>
          </cell>
          <cell r="D922">
            <v>578699.02</v>
          </cell>
          <cell r="E922">
            <v>933806197</v>
          </cell>
          <cell r="F922">
            <v>160872</v>
          </cell>
          <cell r="G922">
            <v>57370.212851552271</v>
          </cell>
          <cell r="H922">
            <v>10350.178714844773</v>
          </cell>
          <cell r="I922">
            <v>113851.96586329251</v>
          </cell>
        </row>
        <row r="923">
          <cell r="C923">
            <v>938807435</v>
          </cell>
          <cell r="D923">
            <v>621136.02</v>
          </cell>
          <cell r="E923">
            <v>933806411</v>
          </cell>
          <cell r="F923">
            <v>155059</v>
          </cell>
          <cell r="G923">
            <v>55297.179338535243</v>
          </cell>
          <cell r="H923">
            <v>9976.1820661464772</v>
          </cell>
          <cell r="I923">
            <v>109738.00272761124</v>
          </cell>
        </row>
        <row r="924">
          <cell r="C924">
            <v>933806483</v>
          </cell>
          <cell r="D924">
            <v>290145.26</v>
          </cell>
          <cell r="E924">
            <v>933805586</v>
          </cell>
          <cell r="F924">
            <v>772666</v>
          </cell>
          <cell r="G924">
            <v>275548.34205553163</v>
          </cell>
          <cell r="H924">
            <v>49711.765794446837</v>
          </cell>
          <cell r="I924">
            <v>546829.42373891524</v>
          </cell>
        </row>
        <row r="925">
          <cell r="C925">
            <v>938807416</v>
          </cell>
          <cell r="D925">
            <v>483295.44</v>
          </cell>
          <cell r="E925">
            <v>933806395</v>
          </cell>
          <cell r="F925">
            <v>174205</v>
          </cell>
          <cell r="G925">
            <v>62125.030644267878</v>
          </cell>
          <cell r="H925">
            <v>11207.99693557321</v>
          </cell>
          <cell r="I925">
            <v>123287.96629130532</v>
          </cell>
        </row>
        <row r="926">
          <cell r="C926">
            <v>933805897</v>
          </cell>
          <cell r="D926">
            <v>113078.77</v>
          </cell>
          <cell r="E926">
            <v>933806405</v>
          </cell>
          <cell r="F926">
            <v>399042</v>
          </cell>
          <cell r="G926">
            <v>142306.45778450643</v>
          </cell>
          <cell r="H926">
            <v>25673.554221549355</v>
          </cell>
          <cell r="I926">
            <v>282409.09643704293</v>
          </cell>
        </row>
        <row r="927">
          <cell r="C927">
            <v>938807648</v>
          </cell>
          <cell r="D927">
            <v>427563.59</v>
          </cell>
          <cell r="E927">
            <v>933806472</v>
          </cell>
          <cell r="F927">
            <v>367580</v>
          </cell>
          <cell r="G927">
            <v>131086.47148026741</v>
          </cell>
          <cell r="H927">
            <v>23649.352851973261</v>
          </cell>
          <cell r="I927">
            <v>260142.88137170585</v>
          </cell>
        </row>
        <row r="928">
          <cell r="C928">
            <v>938806489</v>
          </cell>
          <cell r="D928">
            <v>315236.52</v>
          </cell>
          <cell r="E928">
            <v>933806470</v>
          </cell>
          <cell r="F928">
            <v>212257</v>
          </cell>
          <cell r="G928">
            <v>75695.144395742755</v>
          </cell>
          <cell r="H928">
            <v>13656.185560425725</v>
          </cell>
          <cell r="I928">
            <v>150218.04116468297</v>
          </cell>
        </row>
        <row r="929">
          <cell r="C929">
            <v>938807332</v>
          </cell>
          <cell r="D929">
            <v>95098.58</v>
          </cell>
          <cell r="E929">
            <v>933806463</v>
          </cell>
          <cell r="F929">
            <v>109348</v>
          </cell>
          <cell r="G929">
            <v>38995.711092617341</v>
          </cell>
          <cell r="H929">
            <v>7035.2288907382663</v>
          </cell>
          <cell r="I929">
            <v>77387.517798120927</v>
          </cell>
        </row>
        <row r="930">
          <cell r="C930">
            <v>938807548</v>
          </cell>
          <cell r="D930">
            <v>208736.81</v>
          </cell>
          <cell r="E930">
            <v>933806452</v>
          </cell>
          <cell r="F930">
            <v>192528</v>
          </cell>
          <cell r="G930">
            <v>68659.383484283491</v>
          </cell>
          <cell r="H930">
            <v>12386.861651571651</v>
          </cell>
          <cell r="I930">
            <v>136255.47816728815</v>
          </cell>
        </row>
        <row r="931">
          <cell r="C931">
            <v>933805311</v>
          </cell>
          <cell r="D931">
            <v>145663.56</v>
          </cell>
          <cell r="E931">
            <v>933806541</v>
          </cell>
          <cell r="F931">
            <v>411755.64</v>
          </cell>
          <cell r="G931">
            <v>146840.39925920687</v>
          </cell>
          <cell r="H931">
            <v>26491.52407407932</v>
          </cell>
          <cell r="I931">
            <v>291406.76481487247</v>
          </cell>
        </row>
        <row r="932">
          <cell r="C932">
            <v>938807565</v>
          </cell>
          <cell r="D932">
            <v>497495.13</v>
          </cell>
          <cell r="E932">
            <v>933806439</v>
          </cell>
          <cell r="F932">
            <v>618564</v>
          </cell>
          <cell r="G932">
            <v>220592.44829620799</v>
          </cell>
          <cell r="H932">
            <v>39797.155170379199</v>
          </cell>
          <cell r="I932">
            <v>437768.70687417121</v>
          </cell>
        </row>
        <row r="933">
          <cell r="C933">
            <v>938808935</v>
          </cell>
          <cell r="D933">
            <v>683267.69</v>
          </cell>
          <cell r="E933">
            <v>933806453</v>
          </cell>
          <cell r="F933">
            <v>44545</v>
          </cell>
          <cell r="G933">
            <v>15885.649034464639</v>
          </cell>
          <cell r="H933">
            <v>2865.9350965535359</v>
          </cell>
          <cell r="I933">
            <v>31525.286062088897</v>
          </cell>
        </row>
        <row r="934">
          <cell r="C934">
            <v>938809044</v>
          </cell>
          <cell r="D934">
            <v>622610.96</v>
          </cell>
          <cell r="E934">
            <v>933806231</v>
          </cell>
          <cell r="F934">
            <v>44545</v>
          </cell>
          <cell r="G934">
            <v>15885.649034464639</v>
          </cell>
          <cell r="H934">
            <v>2865.9350965535359</v>
          </cell>
          <cell r="I934">
            <v>31525.286062088897</v>
          </cell>
        </row>
        <row r="935">
          <cell r="C935">
            <v>938808539</v>
          </cell>
          <cell r="D935">
            <v>289695.78000000003</v>
          </cell>
          <cell r="E935">
            <v>933806053</v>
          </cell>
          <cell r="F935">
            <v>44545</v>
          </cell>
          <cell r="G935">
            <v>15885.649034464639</v>
          </cell>
          <cell r="H935">
            <v>2865.9350965535359</v>
          </cell>
          <cell r="I935">
            <v>31525.286062088897</v>
          </cell>
        </row>
        <row r="936">
          <cell r="C936">
            <v>933806153</v>
          </cell>
          <cell r="D936">
            <v>220037.41</v>
          </cell>
          <cell r="E936">
            <v>933806075</v>
          </cell>
          <cell r="F936">
            <v>399738</v>
          </cell>
          <cell r="G936">
            <v>142554.66547847854</v>
          </cell>
          <cell r="H936">
            <v>25718.333452152143</v>
          </cell>
          <cell r="I936">
            <v>282901.66797367361</v>
          </cell>
        </row>
        <row r="937">
          <cell r="C937">
            <v>938808612</v>
          </cell>
          <cell r="D937">
            <v>511815.6</v>
          </cell>
          <cell r="E937">
            <v>933806220</v>
          </cell>
          <cell r="F937">
            <v>44545</v>
          </cell>
          <cell r="G937">
            <v>15885.649034464639</v>
          </cell>
          <cell r="H937">
            <v>2865.9350965535359</v>
          </cell>
          <cell r="I937">
            <v>31525.286062088897</v>
          </cell>
        </row>
        <row r="938">
          <cell r="C938">
            <v>938808523</v>
          </cell>
          <cell r="D938">
            <v>234300.91</v>
          </cell>
          <cell r="E938">
            <v>933806244</v>
          </cell>
          <cell r="F938">
            <v>148511</v>
          </cell>
          <cell r="G938">
            <v>52962.029941797686</v>
          </cell>
          <cell r="H938">
            <v>9554.8970058202303</v>
          </cell>
          <cell r="I938">
            <v>105103.86706402253</v>
          </cell>
        </row>
        <row r="939">
          <cell r="C939">
            <v>938808526</v>
          </cell>
          <cell r="D939">
            <v>248763.67</v>
          </cell>
          <cell r="E939">
            <v>933806149</v>
          </cell>
          <cell r="F939">
            <v>230248</v>
          </cell>
          <cell r="G939">
            <v>82111.099312771679</v>
          </cell>
          <cell r="H939">
            <v>14813.69006872283</v>
          </cell>
          <cell r="I939">
            <v>162950.59075595113</v>
          </cell>
        </row>
        <row r="940">
          <cell r="C940">
            <v>938808548</v>
          </cell>
          <cell r="D940">
            <v>690071.21</v>
          </cell>
          <cell r="E940">
            <v>933806251</v>
          </cell>
          <cell r="F940">
            <v>251857</v>
          </cell>
          <cell r="G940">
            <v>89817.306294155584</v>
          </cell>
          <cell r="H940">
            <v>16203.969370584442</v>
          </cell>
          <cell r="I940">
            <v>178243.66307642884</v>
          </cell>
        </row>
        <row r="941">
          <cell r="C941">
            <v>938808613</v>
          </cell>
          <cell r="D941">
            <v>52726</v>
          </cell>
          <cell r="E941">
            <v>933806215</v>
          </cell>
          <cell r="F941">
            <v>44545</v>
          </cell>
          <cell r="G941">
            <v>15885.649034464639</v>
          </cell>
          <cell r="H941">
            <v>2865.9350965535359</v>
          </cell>
          <cell r="I941">
            <v>31525.286062088897</v>
          </cell>
        </row>
        <row r="942">
          <cell r="C942">
            <v>938808531</v>
          </cell>
          <cell r="D942">
            <v>414790.04</v>
          </cell>
          <cell r="E942">
            <v>933806240</v>
          </cell>
          <cell r="F942">
            <v>63686</v>
          </cell>
          <cell r="G942">
            <v>22711.717238947469</v>
          </cell>
          <cell r="H942">
            <v>4097.4282761052527</v>
          </cell>
          <cell r="I942">
            <v>45071.71103715778</v>
          </cell>
        </row>
        <row r="943">
          <cell r="C943">
            <v>938809127</v>
          </cell>
          <cell r="D943">
            <v>206210.8</v>
          </cell>
          <cell r="E943">
            <v>933806306</v>
          </cell>
          <cell r="F943">
            <v>44545</v>
          </cell>
          <cell r="G943">
            <v>15885.649034464639</v>
          </cell>
          <cell r="H943">
            <v>2865.9350965535359</v>
          </cell>
          <cell r="I943">
            <v>31525.286062088897</v>
          </cell>
        </row>
        <row r="944">
          <cell r="C944">
            <v>933805964</v>
          </cell>
          <cell r="D944">
            <v>294382.28000000003</v>
          </cell>
          <cell r="E944">
            <v>938516767</v>
          </cell>
          <cell r="F944">
            <v>437202.64</v>
          </cell>
          <cell r="G944">
            <v>155915.31475993697</v>
          </cell>
          <cell r="H944">
            <v>28128.7325240063</v>
          </cell>
          <cell r="I944">
            <v>309416.05776406929</v>
          </cell>
        </row>
        <row r="945">
          <cell r="C945">
            <v>938808913</v>
          </cell>
          <cell r="D945">
            <v>234634.58</v>
          </cell>
          <cell r="E945">
            <v>933806248</v>
          </cell>
          <cell r="F945">
            <v>44545</v>
          </cell>
          <cell r="G945">
            <v>15885.649034464639</v>
          </cell>
          <cell r="H945">
            <v>2865.9350965535359</v>
          </cell>
          <cell r="I945">
            <v>31525.286062088897</v>
          </cell>
        </row>
        <row r="946">
          <cell r="C946">
            <v>933805630</v>
          </cell>
          <cell r="D946">
            <v>236927.62</v>
          </cell>
          <cell r="E946">
            <v>933806340</v>
          </cell>
          <cell r="F946">
            <v>119531</v>
          </cell>
          <cell r="G946">
            <v>42627.175097959211</v>
          </cell>
          <cell r="H946">
            <v>7690.3824902040787</v>
          </cell>
          <cell r="I946">
            <v>84594.207392244876</v>
          </cell>
        </row>
        <row r="947">
          <cell r="C947">
            <v>933805694</v>
          </cell>
          <cell r="D947">
            <v>578608.91</v>
          </cell>
          <cell r="E947">
            <v>933806315</v>
          </cell>
          <cell r="F947">
            <v>378690</v>
          </cell>
          <cell r="G947">
            <v>135048.52245732213</v>
          </cell>
          <cell r="H947">
            <v>24364.147754267786</v>
          </cell>
          <cell r="I947">
            <v>268005.62529694563</v>
          </cell>
        </row>
        <row r="948">
          <cell r="C948">
            <v>933805594</v>
          </cell>
          <cell r="D948">
            <v>147406.01</v>
          </cell>
          <cell r="E948">
            <v>933806304</v>
          </cell>
          <cell r="F948">
            <v>334506</v>
          </cell>
          <cell r="G948">
            <v>119291.61333309303</v>
          </cell>
          <cell r="H948">
            <v>21521.438666690694</v>
          </cell>
          <cell r="I948">
            <v>236735.82533359766</v>
          </cell>
        </row>
        <row r="949">
          <cell r="C949">
            <v>933805831</v>
          </cell>
          <cell r="D949">
            <v>496588.53</v>
          </cell>
          <cell r="E949">
            <v>933805816</v>
          </cell>
          <cell r="F949">
            <v>243349</v>
          </cell>
          <cell r="G949">
            <v>86783.181207496586</v>
          </cell>
          <cell r="H949">
            <v>15656.581879250341</v>
          </cell>
          <cell r="I949">
            <v>172222.40067175374</v>
          </cell>
        </row>
        <row r="950">
          <cell r="C950">
            <v>933805947</v>
          </cell>
          <cell r="D950">
            <v>284798.99</v>
          </cell>
          <cell r="E950">
            <v>933806355</v>
          </cell>
          <cell r="F950">
            <v>128022</v>
          </cell>
          <cell r="G950">
            <v>45655.237640368883</v>
          </cell>
          <cell r="H950">
            <v>8236.676235963112</v>
          </cell>
          <cell r="I950">
            <v>90603.438595594227</v>
          </cell>
        </row>
        <row r="951">
          <cell r="C951">
            <v>933805950</v>
          </cell>
          <cell r="D951">
            <v>190974.85</v>
          </cell>
          <cell r="E951">
            <v>933806317</v>
          </cell>
          <cell r="F951">
            <v>104957</v>
          </cell>
          <cell r="G951">
            <v>37429.791575043331</v>
          </cell>
          <cell r="H951">
            <v>6752.7208424956661</v>
          </cell>
          <cell r="I951">
            <v>74279.929267452331</v>
          </cell>
        </row>
        <row r="952">
          <cell r="C952">
            <v>933805949</v>
          </cell>
          <cell r="D952">
            <v>593301.43000000005</v>
          </cell>
          <cell r="E952">
            <v>933805301</v>
          </cell>
          <cell r="F952">
            <v>136935</v>
          </cell>
          <cell r="G952">
            <v>48833.793928261657</v>
          </cell>
          <cell r="H952">
            <v>8810.1206071738343</v>
          </cell>
          <cell r="I952">
            <v>96911.326678912184</v>
          </cell>
        </row>
        <row r="953">
          <cell r="C953">
            <v>933800888</v>
          </cell>
          <cell r="D953">
            <v>154246.78</v>
          </cell>
          <cell r="E953">
            <v>933805367</v>
          </cell>
          <cell r="F953">
            <v>1054914</v>
          </cell>
          <cell r="G953">
            <v>376203.6943662191</v>
          </cell>
          <cell r="H953">
            <v>67871.030563378095</v>
          </cell>
          <cell r="I953">
            <v>746581.33619715902</v>
          </cell>
        </row>
        <row r="954">
          <cell r="C954">
            <v>933800456</v>
          </cell>
          <cell r="D954">
            <v>546645.53</v>
          </cell>
          <cell r="E954">
            <v>933805349</v>
          </cell>
          <cell r="F954">
            <v>611307</v>
          </cell>
          <cell r="G954">
            <v>218004.45514224886</v>
          </cell>
          <cell r="H954">
            <v>39330.254485775113</v>
          </cell>
          <cell r="I954">
            <v>432632.79934352625</v>
          </cell>
        </row>
        <row r="955">
          <cell r="C955">
            <v>933806688</v>
          </cell>
          <cell r="D955">
            <v>103181.85</v>
          </cell>
          <cell r="E955">
            <v>933805352</v>
          </cell>
          <cell r="F955">
            <v>1084840</v>
          </cell>
          <cell r="G955">
            <v>386875.91196651966</v>
          </cell>
          <cell r="H955">
            <v>69796.408803348037</v>
          </cell>
          <cell r="I955">
            <v>767760.49683682842</v>
          </cell>
        </row>
        <row r="956">
          <cell r="C956">
            <v>933805999</v>
          </cell>
          <cell r="D956">
            <v>194009.39</v>
          </cell>
          <cell r="E956">
            <v>933805315</v>
          </cell>
          <cell r="F956">
            <v>341640.64</v>
          </cell>
          <cell r="G956">
            <v>121835.97043326708</v>
          </cell>
          <cell r="H956">
            <v>21980.466956673292</v>
          </cell>
          <cell r="I956">
            <v>241785.13652340625</v>
          </cell>
        </row>
        <row r="957">
          <cell r="C957">
            <v>933800088</v>
          </cell>
          <cell r="D957">
            <v>506200.59</v>
          </cell>
          <cell r="E957">
            <v>933805336</v>
          </cell>
          <cell r="F957">
            <v>284977</v>
          </cell>
          <cell r="G957">
            <v>101628.56897282814</v>
          </cell>
          <cell r="H957">
            <v>18334.843102717186</v>
          </cell>
          <cell r="I957">
            <v>201683.27412988903</v>
          </cell>
        </row>
        <row r="958">
          <cell r="C958">
            <v>933805680</v>
          </cell>
          <cell r="D958">
            <v>269659.14</v>
          </cell>
          <cell r="E958">
            <v>933805836</v>
          </cell>
          <cell r="F958">
            <v>341584</v>
          </cell>
          <cell r="G958">
            <v>121815.77146230933</v>
          </cell>
          <cell r="H958">
            <v>21976.822853769063</v>
          </cell>
          <cell r="I958">
            <v>241745.05139145971</v>
          </cell>
        </row>
        <row r="959">
          <cell r="C959">
            <v>933805754</v>
          </cell>
          <cell r="D959">
            <v>239579.1</v>
          </cell>
          <cell r="E959">
            <v>938508160</v>
          </cell>
          <cell r="F959">
            <v>141028</v>
          </cell>
          <cell r="G959">
            <v>50293.440611347607</v>
          </cell>
          <cell r="H959">
            <v>9073.4559388652378</v>
          </cell>
          <cell r="I959">
            <v>99808.015327517627</v>
          </cell>
        </row>
        <row r="960">
          <cell r="C960">
            <v>933805763</v>
          </cell>
          <cell r="D960">
            <v>228861.62</v>
          </cell>
          <cell r="E960">
            <v>933805362</v>
          </cell>
          <cell r="F960">
            <v>589875</v>
          </cell>
          <cell r="G960">
            <v>210361.36994510787</v>
          </cell>
          <cell r="H960">
            <v>37951.363005489213</v>
          </cell>
          <cell r="I960">
            <v>417464.99306038138</v>
          </cell>
        </row>
        <row r="961">
          <cell r="C961">
            <v>933805585</v>
          </cell>
          <cell r="D961">
            <v>251438.3</v>
          </cell>
          <cell r="E961">
            <v>933805616</v>
          </cell>
          <cell r="F961">
            <v>476908</v>
          </cell>
          <cell r="G961">
            <v>170075.05016788555</v>
          </cell>
          <cell r="H961">
            <v>30683.294983211443</v>
          </cell>
          <cell r="I961">
            <v>337516.24481532589</v>
          </cell>
        </row>
        <row r="962">
          <cell r="C962">
            <v>933805877</v>
          </cell>
          <cell r="D962">
            <v>286596.93</v>
          </cell>
          <cell r="E962">
            <v>933805984</v>
          </cell>
          <cell r="F962">
            <v>188464</v>
          </cell>
          <cell r="G962">
            <v>67210.078788446379</v>
          </cell>
          <cell r="H962">
            <v>12125.392121155362</v>
          </cell>
          <cell r="I962">
            <v>133379.31333270899</v>
          </cell>
        </row>
        <row r="963">
          <cell r="C963">
            <v>933805903</v>
          </cell>
          <cell r="D963">
            <v>355033.34</v>
          </cell>
          <cell r="E963">
            <v>933805271</v>
          </cell>
          <cell r="F963">
            <v>492547</v>
          </cell>
          <cell r="G963">
            <v>175652.23425700876</v>
          </cell>
          <cell r="H963">
            <v>31689.476574299122</v>
          </cell>
          <cell r="I963">
            <v>348584.24231729034</v>
          </cell>
        </row>
        <row r="964">
          <cell r="C964">
            <v>933805926</v>
          </cell>
          <cell r="D964">
            <v>218031.19</v>
          </cell>
          <cell r="E964">
            <v>933805312</v>
          </cell>
          <cell r="F964">
            <v>350739</v>
          </cell>
          <cell r="G964">
            <v>125080.62985069241</v>
          </cell>
          <cell r="H964">
            <v>22565.837014930759</v>
          </cell>
          <cell r="I964">
            <v>248224.20716423835</v>
          </cell>
        </row>
        <row r="965">
          <cell r="C965">
            <v>933805891</v>
          </cell>
          <cell r="D965">
            <v>319949.18</v>
          </cell>
          <cell r="E965">
            <v>933806937</v>
          </cell>
          <cell r="F965">
            <v>87781</v>
          </cell>
          <cell r="G965">
            <v>31304.482161731743</v>
          </cell>
          <cell r="H965">
            <v>5647.6517838268264</v>
          </cell>
          <cell r="I965">
            <v>62124.169622095083</v>
          </cell>
        </row>
        <row r="966">
          <cell r="C966">
            <v>933805941</v>
          </cell>
          <cell r="D966">
            <v>343152.31</v>
          </cell>
          <cell r="E966">
            <v>933806455</v>
          </cell>
          <cell r="F966">
            <v>348548</v>
          </cell>
          <cell r="G966">
            <v>124299.27488303022</v>
          </cell>
          <cell r="H966">
            <v>22424.87251169698</v>
          </cell>
          <cell r="I966">
            <v>246673.59762866676</v>
          </cell>
        </row>
        <row r="967">
          <cell r="C967">
            <v>933805943</v>
          </cell>
          <cell r="D967">
            <v>342735.52</v>
          </cell>
          <cell r="E967">
            <v>933805860</v>
          </cell>
          <cell r="F967">
            <v>935951.64</v>
          </cell>
          <cell r="G967">
            <v>333779.30780719715</v>
          </cell>
          <cell r="H967">
            <v>60217.233219280279</v>
          </cell>
          <cell r="I967">
            <v>662389.56541208306</v>
          </cell>
        </row>
        <row r="968">
          <cell r="C968">
            <v>933805683</v>
          </cell>
          <cell r="D968">
            <v>354057.51</v>
          </cell>
          <cell r="E968">
            <v>933806651</v>
          </cell>
          <cell r="F968">
            <v>285079</v>
          </cell>
          <cell r="G968">
            <v>101664.94423832405</v>
          </cell>
          <cell r="H968">
            <v>18341.405576167592</v>
          </cell>
          <cell r="I968">
            <v>201755.46133784353</v>
          </cell>
        </row>
        <row r="969">
          <cell r="C969">
            <v>933805758</v>
          </cell>
          <cell r="D969">
            <v>85694.75</v>
          </cell>
          <cell r="E969">
            <v>933806754</v>
          </cell>
          <cell r="F969">
            <v>311987.64</v>
          </cell>
          <cell r="G969">
            <v>111261.11016120556</v>
          </cell>
          <cell r="H969">
            <v>20072.652983879441</v>
          </cell>
          <cell r="I969">
            <v>220799.18282267387</v>
          </cell>
        </row>
        <row r="970">
          <cell r="C970">
            <v>933805743</v>
          </cell>
          <cell r="D970">
            <v>208955.62</v>
          </cell>
          <cell r="E970">
            <v>933806735</v>
          </cell>
          <cell r="F970">
            <v>162081</v>
          </cell>
          <cell r="G970">
            <v>57801.366733753806</v>
          </cell>
          <cell r="H970">
            <v>10427.963326624618</v>
          </cell>
          <cell r="I970">
            <v>114707.59659287082</v>
          </cell>
        </row>
        <row r="971">
          <cell r="C971">
            <v>933805713</v>
          </cell>
          <cell r="D971">
            <v>290992.48</v>
          </cell>
          <cell r="E971">
            <v>933806810</v>
          </cell>
          <cell r="F971">
            <v>359350.64</v>
          </cell>
          <cell r="G971">
            <v>128151.71506005725</v>
          </cell>
          <cell r="H971">
            <v>23119.892493994277</v>
          </cell>
          <cell r="I971">
            <v>254318.81743393705</v>
          </cell>
        </row>
        <row r="972">
          <cell r="C972">
            <v>933805719</v>
          </cell>
          <cell r="D972">
            <v>942665.41</v>
          </cell>
          <cell r="E972">
            <v>933805345</v>
          </cell>
          <cell r="F972">
            <v>228685</v>
          </cell>
          <cell r="G972">
            <v>81553.701862084316</v>
          </cell>
          <cell r="H972">
            <v>14713.129813791567</v>
          </cell>
          <cell r="I972">
            <v>161844.42795170724</v>
          </cell>
        </row>
        <row r="973">
          <cell r="C973">
            <v>933805620</v>
          </cell>
          <cell r="D973">
            <v>261594.23</v>
          </cell>
          <cell r="E973">
            <v>933806559</v>
          </cell>
          <cell r="F973">
            <v>744783</v>
          </cell>
          <cell r="G973">
            <v>265604.69962589914</v>
          </cell>
          <cell r="H973">
            <v>47917.83003741008</v>
          </cell>
          <cell r="I973">
            <v>527096.13041151094</v>
          </cell>
        </row>
        <row r="974">
          <cell r="C974">
            <v>933805738</v>
          </cell>
          <cell r="D974">
            <v>202199.83</v>
          </cell>
          <cell r="E974">
            <v>933806715</v>
          </cell>
          <cell r="F974">
            <v>408427</v>
          </cell>
          <cell r="G974">
            <v>145653.33883038029</v>
          </cell>
          <cell r="H974">
            <v>26277.366116961974</v>
          </cell>
          <cell r="I974">
            <v>289051.0272865817</v>
          </cell>
        </row>
        <row r="975">
          <cell r="C975">
            <v>933805746</v>
          </cell>
          <cell r="D975">
            <v>266543.14</v>
          </cell>
          <cell r="E975">
            <v>933806556</v>
          </cell>
          <cell r="F975">
            <v>91455</v>
          </cell>
          <cell r="G975">
            <v>32614.704960084491</v>
          </cell>
          <cell r="H975">
            <v>5884.02950399155</v>
          </cell>
          <cell r="I975">
            <v>64724.32454390706</v>
          </cell>
        </row>
        <row r="976">
          <cell r="C976">
            <v>933805718</v>
          </cell>
          <cell r="D976">
            <v>364321.87</v>
          </cell>
          <cell r="E976">
            <v>933806687</v>
          </cell>
          <cell r="F976">
            <v>433037</v>
          </cell>
          <cell r="G976">
            <v>154429.76318189391</v>
          </cell>
          <cell r="H976">
            <v>27860.72368181061</v>
          </cell>
          <cell r="I976">
            <v>306467.96049991669</v>
          </cell>
        </row>
        <row r="977">
          <cell r="C977">
            <v>933806019</v>
          </cell>
          <cell r="D977">
            <v>358560.63</v>
          </cell>
          <cell r="E977">
            <v>933805165</v>
          </cell>
          <cell r="F977">
            <v>501547</v>
          </cell>
          <cell r="G977">
            <v>178861.81650664803</v>
          </cell>
          <cell r="H977">
            <v>32268.518349335198</v>
          </cell>
          <cell r="I977">
            <v>354953.70184268715</v>
          </cell>
        </row>
        <row r="978">
          <cell r="C978">
            <v>933805929</v>
          </cell>
          <cell r="D978">
            <v>684194.57</v>
          </cell>
          <cell r="E978">
            <v>933806825</v>
          </cell>
          <cell r="F978">
            <v>510525.28</v>
          </cell>
          <cell r="G978">
            <v>182063.65296445819</v>
          </cell>
          <cell r="H978">
            <v>32846.162703554182</v>
          </cell>
          <cell r="I978">
            <v>361307.78973909601</v>
          </cell>
        </row>
        <row r="979">
          <cell r="C979">
            <v>933805642</v>
          </cell>
          <cell r="D979">
            <v>131625.65</v>
          </cell>
          <cell r="E979">
            <v>933806326</v>
          </cell>
          <cell r="F979">
            <v>1126230</v>
          </cell>
          <cell r="G979">
            <v>401636.42411236081</v>
          </cell>
          <cell r="H979">
            <v>72459.357588763916</v>
          </cell>
          <cell r="I979">
            <v>797052.93347640312</v>
          </cell>
        </row>
        <row r="980">
          <cell r="C980">
            <v>908004239</v>
          </cell>
          <cell r="D980">
            <v>482115.11</v>
          </cell>
          <cell r="E980">
            <v>933806905</v>
          </cell>
          <cell r="F980">
            <v>279033</v>
          </cell>
          <cell r="G980">
            <v>99508.818207066375</v>
          </cell>
          <cell r="H980">
            <v>17952.41817929336</v>
          </cell>
          <cell r="I980">
            <v>197476.59997222698</v>
          </cell>
        </row>
        <row r="981">
          <cell r="C981">
            <v>933806155</v>
          </cell>
          <cell r="D981">
            <v>462513.44</v>
          </cell>
          <cell r="E981">
            <v>933806693</v>
          </cell>
          <cell r="F981">
            <v>259591</v>
          </cell>
          <cell r="G981">
            <v>92575.407307345609</v>
          </cell>
          <cell r="H981">
            <v>16701.559269265439</v>
          </cell>
          <cell r="I981">
            <v>183717.15196191985</v>
          </cell>
        </row>
        <row r="982">
          <cell r="C982">
            <v>933806149</v>
          </cell>
          <cell r="D982">
            <v>167942.95</v>
          </cell>
          <cell r="E982">
            <v>933806736</v>
          </cell>
          <cell r="F982">
            <v>145485</v>
          </cell>
          <cell r="G982">
            <v>51882.897065418969</v>
          </cell>
          <cell r="H982">
            <v>9360.2102934581017</v>
          </cell>
          <cell r="I982">
            <v>102962.31322803913</v>
          </cell>
        </row>
        <row r="983">
          <cell r="C983">
            <v>933806150</v>
          </cell>
          <cell r="D983">
            <v>164026.69</v>
          </cell>
          <cell r="E983">
            <v>933806822</v>
          </cell>
          <cell r="F983">
            <v>762744</v>
          </cell>
          <cell r="G983">
            <v>272009.95593542926</v>
          </cell>
          <cell r="H983">
            <v>49073.404406457077</v>
          </cell>
          <cell r="I983">
            <v>539807.44847102778</v>
          </cell>
        </row>
        <row r="984">
          <cell r="C984">
            <v>933806073</v>
          </cell>
          <cell r="D984">
            <v>156361.91</v>
          </cell>
          <cell r="E984">
            <v>933805794</v>
          </cell>
          <cell r="F984">
            <v>129346</v>
          </cell>
          <cell r="G984">
            <v>46127.402851315819</v>
          </cell>
          <cell r="H984">
            <v>8321.8597148684185</v>
          </cell>
          <cell r="I984">
            <v>91540.456863552594</v>
          </cell>
        </row>
        <row r="985">
          <cell r="C985">
            <v>933806048</v>
          </cell>
          <cell r="D985">
            <v>49090</v>
          </cell>
          <cell r="E985">
            <v>933806823</v>
          </cell>
          <cell r="F985">
            <v>271456</v>
          </cell>
          <cell r="G985">
            <v>96806.706573120056</v>
          </cell>
          <cell r="H985">
            <v>17464.929342687992</v>
          </cell>
          <cell r="I985">
            <v>192114.22276956795</v>
          </cell>
        </row>
        <row r="986">
          <cell r="C986">
            <v>933806051</v>
          </cell>
          <cell r="D986">
            <v>499366.91</v>
          </cell>
          <cell r="E986">
            <v>933805693</v>
          </cell>
          <cell r="F986">
            <v>454878</v>
          </cell>
          <cell r="G986">
            <v>162218.70606126855</v>
          </cell>
          <cell r="H986">
            <v>29265.929393873139</v>
          </cell>
          <cell r="I986">
            <v>321925.22333260457</v>
          </cell>
        </row>
        <row r="987">
          <cell r="C987">
            <v>933806122</v>
          </cell>
          <cell r="D987">
            <v>442881.45</v>
          </cell>
          <cell r="E987">
            <v>933806642</v>
          </cell>
          <cell r="F987">
            <v>265652</v>
          </cell>
          <cell r="G987">
            <v>94736.882642352692</v>
          </cell>
          <cell r="H987">
            <v>17091.511735764729</v>
          </cell>
          <cell r="I987">
            <v>188006.62909341205</v>
          </cell>
        </row>
        <row r="988">
          <cell r="C988">
            <v>933806095</v>
          </cell>
          <cell r="D988">
            <v>307927.34999999998</v>
          </cell>
          <cell r="E988">
            <v>933806712</v>
          </cell>
          <cell r="F988">
            <v>636127</v>
          </cell>
          <cell r="G988">
            <v>226855.76974625408</v>
          </cell>
          <cell r="H988">
            <v>40927.123025374589</v>
          </cell>
          <cell r="I988">
            <v>450198.35327912052</v>
          </cell>
        </row>
        <row r="989">
          <cell r="C989">
            <v>933806098</v>
          </cell>
          <cell r="D989">
            <v>361977.83</v>
          </cell>
          <cell r="E989">
            <v>933806241</v>
          </cell>
          <cell r="F989">
            <v>1450212.64</v>
          </cell>
          <cell r="G989">
            <v>517175.19417183555</v>
          </cell>
          <cell r="H989">
            <v>93303.744582816435</v>
          </cell>
          <cell r="I989">
            <v>1026341.1904109807</v>
          </cell>
        </row>
        <row r="990">
          <cell r="C990">
            <v>933806109</v>
          </cell>
          <cell r="D990">
            <v>289477.01</v>
          </cell>
          <cell r="E990">
            <v>933806664</v>
          </cell>
          <cell r="F990">
            <v>309144</v>
          </cell>
          <cell r="G990">
            <v>110247.01055360954</v>
          </cell>
          <cell r="H990">
            <v>19889.698944639047</v>
          </cell>
          <cell r="I990">
            <v>218786.68839102951</v>
          </cell>
        </row>
        <row r="991">
          <cell r="C991">
            <v>933805876</v>
          </cell>
          <cell r="D991">
            <v>267695.09000000003</v>
          </cell>
          <cell r="E991">
            <v>933805218</v>
          </cell>
          <cell r="F991">
            <v>52727</v>
          </cell>
          <cell r="G991">
            <v>18803.515919636706</v>
          </cell>
          <cell r="H991">
            <v>3392.3484080363296</v>
          </cell>
          <cell r="I991">
            <v>37315.832488399625</v>
          </cell>
        </row>
        <row r="992">
          <cell r="C992">
            <v>933806224</v>
          </cell>
          <cell r="D992">
            <v>259075.81</v>
          </cell>
          <cell r="E992">
            <v>933805197</v>
          </cell>
          <cell r="F992">
            <v>218827</v>
          </cell>
          <cell r="G992">
            <v>78038.139437979422</v>
          </cell>
          <cell r="H992">
            <v>14078.886056202056</v>
          </cell>
          <cell r="I992">
            <v>154867.74661822262</v>
          </cell>
        </row>
        <row r="993">
          <cell r="C993">
            <v>933805968</v>
          </cell>
          <cell r="D993">
            <v>171973.45</v>
          </cell>
          <cell r="E993">
            <v>933805206</v>
          </cell>
          <cell r="F993">
            <v>617354</v>
          </cell>
          <cell r="G993">
            <v>220160.93779375649</v>
          </cell>
          <cell r="H993">
            <v>39719.306220624356</v>
          </cell>
          <cell r="I993">
            <v>436912.36842686788</v>
          </cell>
        </row>
        <row r="994">
          <cell r="C994">
            <v>933806340</v>
          </cell>
          <cell r="D994">
            <v>588541.89</v>
          </cell>
          <cell r="E994">
            <v>933805205</v>
          </cell>
          <cell r="F994">
            <v>219379</v>
          </cell>
          <cell r="G994">
            <v>78234.993815957307</v>
          </cell>
          <cell r="H994">
            <v>14114.400618404268</v>
          </cell>
          <cell r="I994">
            <v>155258.40680244696</v>
          </cell>
        </row>
        <row r="995">
          <cell r="C995">
            <v>933806553</v>
          </cell>
          <cell r="D995">
            <v>168326.85</v>
          </cell>
          <cell r="E995">
            <v>933806850</v>
          </cell>
          <cell r="F995">
            <v>152927</v>
          </cell>
          <cell r="G995">
            <v>54536.864965620698</v>
          </cell>
          <cell r="H995">
            <v>9839.0135034379309</v>
          </cell>
          <cell r="I995">
            <v>108229.14853781724</v>
          </cell>
        </row>
        <row r="996">
          <cell r="C996">
            <v>933806613</v>
          </cell>
          <cell r="D996">
            <v>172448.4</v>
          </cell>
          <cell r="E996">
            <v>933805185</v>
          </cell>
          <cell r="F996">
            <v>141814</v>
          </cell>
          <cell r="G996">
            <v>50573.744127816106</v>
          </cell>
          <cell r="H996">
            <v>9124.025587218388</v>
          </cell>
          <cell r="I996">
            <v>100364.28145940228</v>
          </cell>
        </row>
        <row r="997">
          <cell r="C997">
            <v>933806405</v>
          </cell>
          <cell r="D997">
            <v>291845.48</v>
          </cell>
          <cell r="E997">
            <v>938805260</v>
          </cell>
          <cell r="F997">
            <v>125268</v>
          </cell>
          <cell r="G997">
            <v>44673.105471979266</v>
          </cell>
          <cell r="H997">
            <v>8059.4894528020732</v>
          </cell>
          <cell r="I997">
            <v>88654.383980822793</v>
          </cell>
        </row>
        <row r="998">
          <cell r="C998">
            <v>933806493</v>
          </cell>
          <cell r="D998">
            <v>107698.92</v>
          </cell>
          <cell r="E998">
            <v>938805389</v>
          </cell>
          <cell r="F998">
            <v>65454</v>
          </cell>
          <cell r="G998">
            <v>23342.221840876609</v>
          </cell>
          <cell r="H998">
            <v>4211.1778159123387</v>
          </cell>
          <cell r="I998">
            <v>46322.955975035729</v>
          </cell>
        </row>
        <row r="999">
          <cell r="C999">
            <v>933806488</v>
          </cell>
          <cell r="D999">
            <v>958664.9</v>
          </cell>
          <cell r="E999">
            <v>938806054</v>
          </cell>
          <cell r="F999">
            <v>432908</v>
          </cell>
          <cell r="G999">
            <v>154383.75916964907</v>
          </cell>
          <cell r="H999">
            <v>27852.42408303509</v>
          </cell>
          <cell r="I999">
            <v>306376.66491338599</v>
          </cell>
        </row>
        <row r="1000">
          <cell r="C1000">
            <v>933806472</v>
          </cell>
          <cell r="D1000">
            <v>169714.95</v>
          </cell>
          <cell r="E1000">
            <v>938806977</v>
          </cell>
          <cell r="F1000">
            <v>623180</v>
          </cell>
          <cell r="G1000">
            <v>222238.607370023</v>
          </cell>
          <cell r="H1000">
            <v>40094.139262997691</v>
          </cell>
          <cell r="I1000">
            <v>441035.53189297463</v>
          </cell>
        </row>
        <row r="1001">
          <cell r="C1001">
            <v>933806618</v>
          </cell>
          <cell r="D1001">
            <v>745345.53</v>
          </cell>
          <cell r="E1001">
            <v>938805182</v>
          </cell>
          <cell r="F1001">
            <v>338181.64</v>
          </cell>
          <cell r="G1001">
            <v>120602.42098865571</v>
          </cell>
          <cell r="H1001">
            <v>21757.921901134428</v>
          </cell>
          <cell r="I1001">
            <v>239337.14091247873</v>
          </cell>
        </row>
        <row r="1002">
          <cell r="C1002">
            <v>933806621</v>
          </cell>
          <cell r="D1002">
            <v>299133.52</v>
          </cell>
          <cell r="E1002">
            <v>933805985</v>
          </cell>
          <cell r="F1002">
            <v>52727</v>
          </cell>
          <cell r="G1002">
            <v>18803.515919636706</v>
          </cell>
          <cell r="H1002">
            <v>3392.3484080363296</v>
          </cell>
          <cell r="I1002">
            <v>37315.832488399625</v>
          </cell>
        </row>
        <row r="1003">
          <cell r="C1003">
            <v>933806546</v>
          </cell>
          <cell r="D1003">
            <v>515819.19</v>
          </cell>
          <cell r="E1003">
            <v>933805631</v>
          </cell>
          <cell r="F1003">
            <v>256139</v>
          </cell>
          <cell r="G1003">
            <v>91344.354204483971</v>
          </cell>
          <cell r="H1003">
            <v>16479.464579551601</v>
          </cell>
          <cell r="I1003">
            <v>181274.11037506763</v>
          </cell>
        </row>
        <row r="1004">
          <cell r="C1004">
            <v>933805693</v>
          </cell>
          <cell r="D1004">
            <v>138569.43</v>
          </cell>
          <cell r="E1004">
            <v>938805031</v>
          </cell>
          <cell r="F1004">
            <v>616534.64</v>
          </cell>
          <cell r="G1004">
            <v>219868.73742574934</v>
          </cell>
          <cell r="H1004">
            <v>39666.590257425072</v>
          </cell>
          <cell r="I1004">
            <v>436332.4928316758</v>
          </cell>
        </row>
        <row r="1005">
          <cell r="C1005">
            <v>933806473</v>
          </cell>
          <cell r="D1005">
            <v>386503.08</v>
          </cell>
          <cell r="E1005">
            <v>938805026</v>
          </cell>
          <cell r="F1005">
            <v>627096</v>
          </cell>
          <cell r="G1005">
            <v>223635.132268866</v>
          </cell>
          <cell r="H1005">
            <v>40346.086773113399</v>
          </cell>
          <cell r="I1005">
            <v>443806.95450424741</v>
          </cell>
        </row>
        <row r="1006">
          <cell r="C1006">
            <v>933806653</v>
          </cell>
          <cell r="D1006">
            <v>546862.78</v>
          </cell>
          <cell r="E1006">
            <v>938805247</v>
          </cell>
          <cell r="F1006">
            <v>208501</v>
          </cell>
          <cell r="G1006">
            <v>74355.6787368933</v>
          </cell>
          <cell r="H1006">
            <v>13414.532126310673</v>
          </cell>
          <cell r="I1006">
            <v>147559.85338941737</v>
          </cell>
        </row>
        <row r="1007">
          <cell r="C1007">
            <v>933806614</v>
          </cell>
          <cell r="D1007">
            <v>766266.44</v>
          </cell>
          <cell r="E1007">
            <v>938805121</v>
          </cell>
          <cell r="F1007">
            <v>196108</v>
          </cell>
          <cell r="G1007">
            <v>69936.083979140007</v>
          </cell>
          <cell r="H1007">
            <v>12617.191602085999</v>
          </cell>
          <cell r="I1007">
            <v>138789.107622946</v>
          </cell>
        </row>
        <row r="1008">
          <cell r="C1008">
            <v>933806849</v>
          </cell>
          <cell r="D1008">
            <v>315373.18</v>
          </cell>
          <cell r="E1008">
            <v>933805879</v>
          </cell>
          <cell r="F1008">
            <v>244943</v>
          </cell>
          <cell r="G1008">
            <v>87351.633885932708</v>
          </cell>
          <cell r="H1008">
            <v>15759.136611406728</v>
          </cell>
          <cell r="I1008">
            <v>173350.50272547401</v>
          </cell>
        </row>
        <row r="1009">
          <cell r="C1009">
            <v>933806693</v>
          </cell>
          <cell r="D1009">
            <v>156680.85999999999</v>
          </cell>
          <cell r="E1009">
            <v>938805372</v>
          </cell>
          <cell r="F1009">
            <v>570082</v>
          </cell>
          <cell r="G1009">
            <v>203302.78533765115</v>
          </cell>
          <cell r="H1009">
            <v>36677.921466234882</v>
          </cell>
          <cell r="I1009">
            <v>403457.13612858375</v>
          </cell>
        </row>
        <row r="1010">
          <cell r="C1010">
            <v>933806556</v>
          </cell>
          <cell r="D1010">
            <v>262813.05</v>
          </cell>
          <cell r="E1010">
            <v>938805167</v>
          </cell>
          <cell r="F1010">
            <v>304611.94</v>
          </cell>
          <cell r="G1010">
            <v>108630.78618357617</v>
          </cell>
          <cell r="H1010">
            <v>19598.115381642383</v>
          </cell>
          <cell r="I1010">
            <v>215579.26919806623</v>
          </cell>
        </row>
        <row r="1011">
          <cell r="C1011">
            <v>933806477</v>
          </cell>
          <cell r="D1011">
            <v>149428.87</v>
          </cell>
          <cell r="E1011">
            <v>938805257</v>
          </cell>
          <cell r="F1011">
            <v>103496</v>
          </cell>
          <cell r="G1011">
            <v>36908.769389851885</v>
          </cell>
          <cell r="H1011">
            <v>6658.7230610148108</v>
          </cell>
          <cell r="I1011">
            <v>73245.953671162919</v>
          </cell>
        </row>
        <row r="1012">
          <cell r="C1012">
            <v>933806705</v>
          </cell>
          <cell r="D1012">
            <v>369018.92</v>
          </cell>
          <cell r="E1012">
            <v>933806144</v>
          </cell>
          <cell r="F1012">
            <v>694160</v>
          </cell>
          <cell r="G1012">
            <v>247551.51271217814</v>
          </cell>
          <cell r="H1012">
            <v>44660.848728782177</v>
          </cell>
          <cell r="I1012">
            <v>491269.33601660398</v>
          </cell>
        </row>
        <row r="1013">
          <cell r="C1013">
            <v>933806642</v>
          </cell>
          <cell r="D1013">
            <v>49090</v>
          </cell>
          <cell r="E1013">
            <v>938806013</v>
          </cell>
          <cell r="F1013">
            <v>301758</v>
          </cell>
          <cell r="G1013">
            <v>107613.01338740556</v>
          </cell>
          <cell r="H1013">
            <v>19414.498661259444</v>
          </cell>
          <cell r="I1013">
            <v>213559.4852738539</v>
          </cell>
        </row>
        <row r="1014">
          <cell r="C1014">
            <v>933806390</v>
          </cell>
          <cell r="D1014">
            <v>724865.83</v>
          </cell>
          <cell r="E1014">
            <v>933805780</v>
          </cell>
          <cell r="F1014">
            <v>415227</v>
          </cell>
          <cell r="G1014">
            <v>148078.35653010773</v>
          </cell>
          <cell r="H1014">
            <v>26714.864346989227</v>
          </cell>
          <cell r="I1014">
            <v>293863.50781688152</v>
          </cell>
        </row>
        <row r="1015">
          <cell r="C1015">
            <v>933806247</v>
          </cell>
          <cell r="D1015">
            <v>420410.38</v>
          </cell>
          <cell r="E1015">
            <v>938805274</v>
          </cell>
          <cell r="F1015">
            <v>218988</v>
          </cell>
          <cell r="G1015">
            <v>78095.555298222986</v>
          </cell>
          <cell r="H1015">
            <v>14089.244470177702</v>
          </cell>
          <cell r="I1015">
            <v>154981.68917195473</v>
          </cell>
        </row>
        <row r="1016">
          <cell r="C1016">
            <v>933806266</v>
          </cell>
          <cell r="D1016">
            <v>581097.46</v>
          </cell>
          <cell r="E1016">
            <v>938805162</v>
          </cell>
          <cell r="F1016">
            <v>358401</v>
          </cell>
          <cell r="G1016">
            <v>127813.05420588532</v>
          </cell>
          <cell r="H1016">
            <v>23058.794579411464</v>
          </cell>
          <cell r="I1016">
            <v>253646.74037352612</v>
          </cell>
        </row>
        <row r="1017">
          <cell r="C1017">
            <v>933806306</v>
          </cell>
          <cell r="D1017">
            <v>149580.41</v>
          </cell>
          <cell r="E1017">
            <v>938805337</v>
          </cell>
          <cell r="F1017">
            <v>333432</v>
          </cell>
          <cell r="G1017">
            <v>118908.60318463607</v>
          </cell>
          <cell r="H1017">
            <v>21452.339681536392</v>
          </cell>
          <cell r="I1017">
            <v>235975.73649690032</v>
          </cell>
        </row>
        <row r="1018">
          <cell r="C1018">
            <v>933805357</v>
          </cell>
          <cell r="D1018">
            <v>116175.02</v>
          </cell>
          <cell r="E1018">
            <v>938805166</v>
          </cell>
          <cell r="F1018">
            <v>353360.64000000001</v>
          </cell>
          <cell r="G1018">
            <v>126015.55976279733</v>
          </cell>
          <cell r="H1018">
            <v>22734.508023720271</v>
          </cell>
          <cell r="I1018">
            <v>250079.58826092296</v>
          </cell>
        </row>
        <row r="1019">
          <cell r="C1019">
            <v>933805344</v>
          </cell>
          <cell r="D1019">
            <v>134846.25</v>
          </cell>
          <cell r="E1019">
            <v>938805431</v>
          </cell>
          <cell r="F1019">
            <v>677126</v>
          </cell>
          <cell r="G1019">
            <v>241476.84337436085</v>
          </cell>
          <cell r="H1019">
            <v>43564.915662563915</v>
          </cell>
          <cell r="I1019">
            <v>479214.07228820311</v>
          </cell>
        </row>
        <row r="1020">
          <cell r="C1020">
            <v>933805367</v>
          </cell>
          <cell r="D1020">
            <v>147243.9</v>
          </cell>
          <cell r="E1020">
            <v>938805395</v>
          </cell>
          <cell r="F1020">
            <v>194850</v>
          </cell>
          <cell r="G1020">
            <v>69487.455704690423</v>
          </cell>
          <cell r="H1020">
            <v>12536.254429530958</v>
          </cell>
          <cell r="I1020">
            <v>137898.79872484054</v>
          </cell>
        </row>
        <row r="1021">
          <cell r="C1021">
            <v>933805184</v>
          </cell>
          <cell r="D1021">
            <v>287742.84999999998</v>
          </cell>
          <cell r="E1021">
            <v>938806065</v>
          </cell>
          <cell r="F1021">
            <v>392099</v>
          </cell>
          <cell r="G1021">
            <v>139830.44338903468</v>
          </cell>
          <cell r="H1021">
            <v>25226.855661096532</v>
          </cell>
          <cell r="I1021">
            <v>277495.41227206186</v>
          </cell>
        </row>
        <row r="1022">
          <cell r="C1022">
            <v>933805203</v>
          </cell>
          <cell r="D1022">
            <v>311995.24</v>
          </cell>
          <cell r="E1022">
            <v>938807043</v>
          </cell>
          <cell r="F1022">
            <v>76490</v>
          </cell>
          <cell r="G1022">
            <v>27277.882919434287</v>
          </cell>
          <cell r="H1022">
            <v>4921.2117080565713</v>
          </cell>
          <cell r="I1022">
            <v>54133.32878862229</v>
          </cell>
        </row>
        <row r="1023">
          <cell r="C1023">
            <v>933805347</v>
          </cell>
          <cell r="D1023">
            <v>44545</v>
          </cell>
          <cell r="E1023">
            <v>938806158</v>
          </cell>
          <cell r="F1023">
            <v>153418</v>
          </cell>
          <cell r="G1023">
            <v>54711.965508351015</v>
          </cell>
          <cell r="H1023">
            <v>9870.6034491648988</v>
          </cell>
          <cell r="I1023">
            <v>108576.63794081389</v>
          </cell>
        </row>
        <row r="1024">
          <cell r="C1024">
            <v>933805299</v>
          </cell>
          <cell r="D1024">
            <v>495717.66</v>
          </cell>
          <cell r="E1024">
            <v>933806005</v>
          </cell>
          <cell r="F1024">
            <v>305988</v>
          </cell>
          <cell r="G1024">
            <v>109121.51704473601</v>
          </cell>
          <cell r="H1024">
            <v>19686.648295526396</v>
          </cell>
          <cell r="I1024">
            <v>216553.13125079038</v>
          </cell>
        </row>
        <row r="1025">
          <cell r="C1025">
            <v>933805361</v>
          </cell>
          <cell r="D1025">
            <v>54913.56</v>
          </cell>
          <cell r="E1025">
            <v>938805393</v>
          </cell>
          <cell r="F1025">
            <v>334608</v>
          </cell>
          <cell r="G1025">
            <v>119327.98859858893</v>
          </cell>
          <cell r="H1025">
            <v>21528.00114014111</v>
          </cell>
          <cell r="I1025">
            <v>236808.01254155219</v>
          </cell>
        </row>
        <row r="1026">
          <cell r="C1026">
            <v>933805256</v>
          </cell>
          <cell r="D1026">
            <v>465996.32</v>
          </cell>
          <cell r="E1026">
            <v>938805130</v>
          </cell>
          <cell r="F1026">
            <v>185815</v>
          </cell>
          <cell r="G1026">
            <v>66265.391746302543</v>
          </cell>
          <cell r="H1026">
            <v>11954.960825369744</v>
          </cell>
          <cell r="I1026">
            <v>131504.56907906721</v>
          </cell>
        </row>
        <row r="1027">
          <cell r="C1027">
            <v>933805185</v>
          </cell>
          <cell r="D1027">
            <v>212023.67</v>
          </cell>
          <cell r="E1027">
            <v>938805443</v>
          </cell>
          <cell r="F1027">
            <v>265059</v>
          </cell>
          <cell r="G1027">
            <v>94525.40683412645</v>
          </cell>
          <cell r="H1027">
            <v>17053.359316587354</v>
          </cell>
          <cell r="I1027">
            <v>187586.95248246091</v>
          </cell>
        </row>
        <row r="1028">
          <cell r="C1028">
            <v>933805602</v>
          </cell>
          <cell r="D1028">
            <v>686055.99</v>
          </cell>
          <cell r="E1028">
            <v>938805482</v>
          </cell>
          <cell r="F1028">
            <v>52727</v>
          </cell>
          <cell r="G1028">
            <v>18803.515919636706</v>
          </cell>
          <cell r="H1028">
            <v>3392.3484080363296</v>
          </cell>
          <cell r="I1028">
            <v>37315.832488399625</v>
          </cell>
        </row>
        <row r="1029">
          <cell r="C1029">
            <v>933805628</v>
          </cell>
          <cell r="D1029">
            <v>229593.06</v>
          </cell>
          <cell r="E1029">
            <v>938805487</v>
          </cell>
          <cell r="F1029">
            <v>565261</v>
          </cell>
          <cell r="G1029">
            <v>201583.5191125944</v>
          </cell>
          <cell r="H1029">
            <v>36367.748088740555</v>
          </cell>
          <cell r="I1029">
            <v>400045.22897614614</v>
          </cell>
        </row>
        <row r="1030">
          <cell r="C1030">
            <v>933805583</v>
          </cell>
          <cell r="D1030">
            <v>128159.32</v>
          </cell>
          <cell r="E1030">
            <v>933806636</v>
          </cell>
          <cell r="F1030">
            <v>57272</v>
          </cell>
          <cell r="G1030">
            <v>20424.354955704544</v>
          </cell>
          <cell r="H1030">
            <v>3684.7645044295455</v>
          </cell>
          <cell r="I1030">
            <v>40532.409548724994</v>
          </cell>
        </row>
        <row r="1031">
          <cell r="C1031">
            <v>933806628</v>
          </cell>
          <cell r="D1031">
            <v>258793.49</v>
          </cell>
          <cell r="E1031">
            <v>938806085</v>
          </cell>
          <cell r="F1031">
            <v>420171.55</v>
          </cell>
          <cell r="G1031">
            <v>149841.68318704705</v>
          </cell>
          <cell r="H1031">
            <v>27032.98668129529</v>
          </cell>
          <cell r="I1031">
            <v>297362.85349424818</v>
          </cell>
        </row>
        <row r="1032">
          <cell r="C1032">
            <v>938805045</v>
          </cell>
          <cell r="D1032">
            <v>561496.06000000006</v>
          </cell>
          <cell r="E1032">
            <v>933805936</v>
          </cell>
          <cell r="F1032">
            <v>250926.27</v>
          </cell>
          <cell r="G1032">
            <v>89485.389128910392</v>
          </cell>
          <cell r="H1032">
            <v>16144.088087108959</v>
          </cell>
          <cell r="I1032">
            <v>177584.96895819853</v>
          </cell>
        </row>
        <row r="1033">
          <cell r="C1033">
            <v>938805031</v>
          </cell>
          <cell r="D1033">
            <v>152957.69</v>
          </cell>
          <cell r="E1033">
            <v>938805427</v>
          </cell>
          <cell r="F1033">
            <v>44545</v>
          </cell>
          <cell r="G1033">
            <v>15885.649034464639</v>
          </cell>
          <cell r="H1033">
            <v>2865.9350965535359</v>
          </cell>
          <cell r="I1033">
            <v>31525.286062088897</v>
          </cell>
        </row>
        <row r="1034">
          <cell r="C1034">
            <v>933805836</v>
          </cell>
          <cell r="D1034">
            <v>229940.01</v>
          </cell>
          <cell r="E1034">
            <v>938805376</v>
          </cell>
          <cell r="F1034">
            <v>412148.45</v>
          </cell>
          <cell r="G1034">
            <v>146980.48325959363</v>
          </cell>
          <cell r="H1034">
            <v>26516.796674040634</v>
          </cell>
          <cell r="I1034">
            <v>291684.76341444696</v>
          </cell>
        </row>
        <row r="1035">
          <cell r="C1035">
            <v>933806156</v>
          </cell>
          <cell r="D1035">
            <v>403737.79</v>
          </cell>
          <cell r="E1035">
            <v>938806223</v>
          </cell>
          <cell r="F1035">
            <v>269236.64</v>
          </cell>
          <cell r="G1035">
            <v>96015.23785516902</v>
          </cell>
          <cell r="H1035">
            <v>17322.140214483101</v>
          </cell>
          <cell r="I1035">
            <v>190543.5423593141</v>
          </cell>
        </row>
        <row r="1036">
          <cell r="C1036">
            <v>938508137</v>
          </cell>
          <cell r="D1036">
            <v>785242.82</v>
          </cell>
          <cell r="E1036">
            <v>938805245</v>
          </cell>
          <cell r="F1036">
            <v>297123</v>
          </cell>
          <cell r="G1036">
            <v>105960.07852884133</v>
          </cell>
          <cell r="H1036">
            <v>19116.29214711587</v>
          </cell>
          <cell r="I1036">
            <v>210279.21361827455</v>
          </cell>
        </row>
        <row r="1037">
          <cell r="C1037">
            <v>933805271</v>
          </cell>
          <cell r="D1037">
            <v>44545</v>
          </cell>
          <cell r="E1037">
            <v>938806117</v>
          </cell>
          <cell r="F1037">
            <v>346388</v>
          </cell>
          <cell r="G1037">
            <v>123528.97514311681</v>
          </cell>
          <cell r="H1037">
            <v>22285.902485688319</v>
          </cell>
          <cell r="I1037">
            <v>245144.92734257149</v>
          </cell>
        </row>
        <row r="1038">
          <cell r="C1038">
            <v>933805984</v>
          </cell>
          <cell r="D1038">
            <v>113025.8</v>
          </cell>
          <cell r="E1038">
            <v>938806213</v>
          </cell>
          <cell r="F1038">
            <v>231029</v>
          </cell>
          <cell r="G1038">
            <v>82389.619727990372</v>
          </cell>
          <cell r="H1038">
            <v>14863.938027200964</v>
          </cell>
          <cell r="I1038">
            <v>163503.3182992106</v>
          </cell>
        </row>
        <row r="1039">
          <cell r="C1039">
            <v>938805073</v>
          </cell>
          <cell r="D1039">
            <v>57271</v>
          </cell>
          <cell r="E1039">
            <v>933806154</v>
          </cell>
          <cell r="F1039">
            <v>250963</v>
          </cell>
          <cell r="G1039">
            <v>89498.487790691419</v>
          </cell>
          <cell r="H1039">
            <v>16146.451220930856</v>
          </cell>
          <cell r="I1039">
            <v>177610.96343023941</v>
          </cell>
        </row>
        <row r="1040">
          <cell r="C1040">
            <v>933806727</v>
          </cell>
          <cell r="D1040">
            <v>300280.59000000003</v>
          </cell>
          <cell r="E1040">
            <v>933806554</v>
          </cell>
          <cell r="F1040">
            <v>59999</v>
          </cell>
          <cell r="G1040">
            <v>21396.858377345245</v>
          </cell>
          <cell r="H1040">
            <v>3860.2141622654758</v>
          </cell>
          <cell r="I1040">
            <v>42462.355784920233</v>
          </cell>
        </row>
        <row r="1041">
          <cell r="C1041">
            <v>933806744</v>
          </cell>
          <cell r="D1041">
            <v>183616.77</v>
          </cell>
          <cell r="E1041">
            <v>938806283</v>
          </cell>
          <cell r="F1041">
            <v>235316</v>
          </cell>
          <cell r="G1041">
            <v>83918.45073956855</v>
          </cell>
          <cell r="H1041">
            <v>15139.754926043144</v>
          </cell>
          <cell r="I1041">
            <v>166537.30418647459</v>
          </cell>
        </row>
        <row r="1042">
          <cell r="C1042">
            <v>933805194</v>
          </cell>
          <cell r="D1042">
            <v>283594.56</v>
          </cell>
          <cell r="E1042">
            <v>938806227</v>
          </cell>
          <cell r="F1042">
            <v>346312</v>
          </cell>
          <cell r="G1042">
            <v>123501.87200411984</v>
          </cell>
          <cell r="H1042">
            <v>22281.012799588014</v>
          </cell>
          <cell r="I1042">
            <v>245091.14079546815</v>
          </cell>
        </row>
        <row r="1043">
          <cell r="C1043">
            <v>933805165</v>
          </cell>
          <cell r="D1043">
            <v>108685.51</v>
          </cell>
          <cell r="E1043">
            <v>938806187</v>
          </cell>
          <cell r="F1043">
            <v>400384</v>
          </cell>
          <cell r="G1043">
            <v>142785.04215995266</v>
          </cell>
          <cell r="H1043">
            <v>25759.895784004737</v>
          </cell>
          <cell r="I1043">
            <v>283358.85362405208</v>
          </cell>
        </row>
        <row r="1044">
          <cell r="C1044">
            <v>933800567</v>
          </cell>
          <cell r="D1044">
            <v>114648.77</v>
          </cell>
          <cell r="E1044">
            <v>938806210</v>
          </cell>
          <cell r="F1044">
            <v>548129.55000000005</v>
          </cell>
          <cell r="G1044">
            <v>195474.09713141853</v>
          </cell>
          <cell r="H1044">
            <v>35265.545286858149</v>
          </cell>
          <cell r="I1044">
            <v>387920.99815543968</v>
          </cell>
        </row>
        <row r="1045">
          <cell r="C1045">
            <v>933806825</v>
          </cell>
          <cell r="D1045">
            <v>290632.81</v>
          </cell>
          <cell r="E1045">
            <v>938806287</v>
          </cell>
          <cell r="F1045">
            <v>590645.64</v>
          </cell>
          <cell r="G1045">
            <v>210636.19577453699</v>
          </cell>
          <cell r="H1045">
            <v>38000.944422546301</v>
          </cell>
          <cell r="I1045">
            <v>418010.38864800934</v>
          </cell>
        </row>
        <row r="1046">
          <cell r="C1046">
            <v>933806730</v>
          </cell>
          <cell r="D1046">
            <v>423817.36</v>
          </cell>
          <cell r="E1046">
            <v>938806100</v>
          </cell>
          <cell r="F1046">
            <v>457269.55</v>
          </cell>
          <cell r="G1046">
            <v>163071.58122006015</v>
          </cell>
          <cell r="H1046">
            <v>29419.79687799398</v>
          </cell>
          <cell r="I1046">
            <v>323617.76565793378</v>
          </cell>
        </row>
        <row r="1047">
          <cell r="C1047">
            <v>933806664</v>
          </cell>
          <cell r="D1047">
            <v>306261.78999999998</v>
          </cell>
          <cell r="E1047">
            <v>938806121</v>
          </cell>
          <cell r="F1047">
            <v>342905.64</v>
          </cell>
          <cell r="G1047">
            <v>122287.09504946638</v>
          </cell>
          <cell r="H1047">
            <v>22061.854495053361</v>
          </cell>
          <cell r="I1047">
            <v>242680.39944558698</v>
          </cell>
        </row>
        <row r="1048">
          <cell r="C1048">
            <v>933805192</v>
          </cell>
          <cell r="D1048">
            <v>211190.51</v>
          </cell>
          <cell r="E1048">
            <v>938806156</v>
          </cell>
          <cell r="F1048">
            <v>160621</v>
          </cell>
          <cell r="G1048">
            <v>57280.701168812317</v>
          </cell>
          <cell r="H1048">
            <v>10334.029883118768</v>
          </cell>
          <cell r="I1048">
            <v>113674.32871430645</v>
          </cell>
        </row>
        <row r="1049">
          <cell r="C1049">
            <v>933805139</v>
          </cell>
          <cell r="D1049">
            <v>316973.42</v>
          </cell>
          <cell r="E1049">
            <v>938806174</v>
          </cell>
          <cell r="F1049">
            <v>301691</v>
          </cell>
          <cell r="G1049">
            <v>107589.11983065824</v>
          </cell>
          <cell r="H1049">
            <v>19410.188016934175</v>
          </cell>
          <cell r="I1049">
            <v>213512.06818627592</v>
          </cell>
        </row>
        <row r="1050">
          <cell r="C1050">
            <v>933806907</v>
          </cell>
          <cell r="D1050">
            <v>145987.98000000001</v>
          </cell>
          <cell r="E1050">
            <v>938806119</v>
          </cell>
          <cell r="F1050">
            <v>357213</v>
          </cell>
          <cell r="G1050">
            <v>127389.38934893293</v>
          </cell>
          <cell r="H1050">
            <v>22982.361065106703</v>
          </cell>
          <cell r="I1050">
            <v>252805.97171617375</v>
          </cell>
        </row>
        <row r="1051">
          <cell r="C1051">
            <v>933806811</v>
          </cell>
          <cell r="D1051">
            <v>149788.1</v>
          </cell>
          <cell r="E1051">
            <v>938806163</v>
          </cell>
          <cell r="F1051">
            <v>442974</v>
          </cell>
          <cell r="G1051">
            <v>157973.49860574564</v>
          </cell>
          <cell r="H1051">
            <v>28500.050139425439</v>
          </cell>
          <cell r="I1051">
            <v>313500.55153367983</v>
          </cell>
        </row>
        <row r="1052">
          <cell r="C1052">
            <v>933806948</v>
          </cell>
          <cell r="D1052">
            <v>369967.4</v>
          </cell>
          <cell r="E1052">
            <v>938806184</v>
          </cell>
          <cell r="F1052">
            <v>224127</v>
          </cell>
          <cell r="G1052">
            <v>79928.226762767008</v>
          </cell>
          <cell r="H1052">
            <v>14419.8773237233</v>
          </cell>
          <cell r="I1052">
            <v>158618.6505609563</v>
          </cell>
        </row>
        <row r="1053">
          <cell r="C1053">
            <v>933805144</v>
          </cell>
          <cell r="D1053">
            <v>8043556.4000000004</v>
          </cell>
          <cell r="E1053">
            <v>938805346</v>
          </cell>
          <cell r="F1053">
            <v>272668</v>
          </cell>
          <cell r="G1053">
            <v>97238.930316071492</v>
          </cell>
          <cell r="H1053">
            <v>17542.90696839285</v>
          </cell>
          <cell r="I1053">
            <v>192971.97665232135</v>
          </cell>
        </row>
        <row r="1054">
          <cell r="C1054">
            <v>933805188</v>
          </cell>
          <cell r="D1054">
            <v>135670.57999999999</v>
          </cell>
          <cell r="E1054">
            <v>938807165</v>
          </cell>
          <cell r="F1054">
            <v>273653</v>
          </cell>
          <cell r="G1054">
            <v>97590.201262282004</v>
          </cell>
          <cell r="H1054">
            <v>17606.2798737718</v>
          </cell>
          <cell r="I1054">
            <v>193669.07861148979</v>
          </cell>
        </row>
        <row r="1055">
          <cell r="C1055">
            <v>933806910</v>
          </cell>
          <cell r="D1055">
            <v>113552.06</v>
          </cell>
          <cell r="E1055">
            <v>938807200</v>
          </cell>
          <cell r="F1055">
            <v>359617</v>
          </cell>
          <cell r="G1055">
            <v>128246.70442983658</v>
          </cell>
          <cell r="H1055">
            <v>23137.029557016343</v>
          </cell>
          <cell r="I1055">
            <v>254507.32512717973</v>
          </cell>
        </row>
        <row r="1056">
          <cell r="C1056">
            <v>933805164</v>
          </cell>
          <cell r="D1056">
            <v>312675.52</v>
          </cell>
          <cell r="E1056">
            <v>933805667</v>
          </cell>
          <cell r="F1056">
            <v>637810.51</v>
          </cell>
          <cell r="G1056">
            <v>227456.14350326412</v>
          </cell>
          <cell r="H1056">
            <v>41035.436649673589</v>
          </cell>
          <cell r="I1056">
            <v>451389.80314640945</v>
          </cell>
        </row>
        <row r="1057">
          <cell r="C1057">
            <v>938805139</v>
          </cell>
          <cell r="D1057">
            <v>126808.79</v>
          </cell>
          <cell r="E1057">
            <v>938807162</v>
          </cell>
          <cell r="F1057">
            <v>465445</v>
          </cell>
          <cell r="G1057">
            <v>165987.112242595</v>
          </cell>
          <cell r="H1057">
            <v>29945.788775740497</v>
          </cell>
          <cell r="I1057">
            <v>329403.67653314548</v>
          </cell>
        </row>
        <row r="1058">
          <cell r="C1058">
            <v>933806265</v>
          </cell>
          <cell r="D1058">
            <v>296194.61</v>
          </cell>
          <cell r="E1058">
            <v>933806085</v>
          </cell>
          <cell r="F1058">
            <v>624400</v>
          </cell>
          <cell r="G1058">
            <v>222673.68407497407</v>
          </cell>
          <cell r="H1058">
            <v>40172.631592502592</v>
          </cell>
          <cell r="I1058">
            <v>441898.94751752855</v>
          </cell>
        </row>
        <row r="1059">
          <cell r="C1059">
            <v>938805036</v>
          </cell>
          <cell r="D1059">
            <v>159191.84</v>
          </cell>
          <cell r="E1059">
            <v>933806717</v>
          </cell>
          <cell r="F1059">
            <v>312314</v>
          </cell>
          <cell r="G1059">
            <v>111377.49674598248</v>
          </cell>
          <cell r="H1059">
            <v>20093.650325401752</v>
          </cell>
          <cell r="I1059">
            <v>221030.15357941925</v>
          </cell>
        </row>
        <row r="1060">
          <cell r="C1060">
            <v>938805126</v>
          </cell>
          <cell r="D1060">
            <v>253385.83</v>
          </cell>
          <cell r="E1060">
            <v>938807136</v>
          </cell>
          <cell r="F1060">
            <v>138881</v>
          </cell>
          <cell r="G1060">
            <v>49527.776934683658</v>
          </cell>
          <cell r="H1060">
            <v>8935.3223065316342</v>
          </cell>
          <cell r="I1060">
            <v>98288.545371847984</v>
          </cell>
        </row>
        <row r="1061">
          <cell r="C1061">
            <v>938805250</v>
          </cell>
          <cell r="D1061">
            <v>160160</v>
          </cell>
          <cell r="E1061">
            <v>938807139</v>
          </cell>
          <cell r="F1061">
            <v>884541</v>
          </cell>
          <cell r="G1061">
            <v>315445.23251979763</v>
          </cell>
          <cell r="H1061">
            <v>56909.576748020241</v>
          </cell>
          <cell r="I1061">
            <v>626005.34422822262</v>
          </cell>
        </row>
        <row r="1062">
          <cell r="C1062">
            <v>933805843</v>
          </cell>
          <cell r="D1062">
            <v>148362.76999999999</v>
          </cell>
          <cell r="E1062">
            <v>938807135</v>
          </cell>
          <cell r="F1062">
            <v>340471</v>
          </cell>
          <cell r="G1062">
            <v>121418.85312410396</v>
          </cell>
          <cell r="H1062">
            <v>21905.214687589603</v>
          </cell>
          <cell r="I1062">
            <v>240957.36156348564</v>
          </cell>
        </row>
        <row r="1063">
          <cell r="C1063">
            <v>938805310</v>
          </cell>
          <cell r="D1063">
            <v>290383.53000000003</v>
          </cell>
          <cell r="E1063">
            <v>933806151</v>
          </cell>
          <cell r="F1063">
            <v>372459</v>
          </cell>
          <cell r="G1063">
            <v>132826.42167982188</v>
          </cell>
          <cell r="H1063">
            <v>23963.257832017811</v>
          </cell>
          <cell r="I1063">
            <v>263595.83615219593</v>
          </cell>
        </row>
        <row r="1064">
          <cell r="C1064">
            <v>938805366</v>
          </cell>
          <cell r="D1064">
            <v>590286.36</v>
          </cell>
          <cell r="E1064">
            <v>933805699</v>
          </cell>
          <cell r="F1064">
            <v>227064.27</v>
          </cell>
          <cell r="G1064">
            <v>80975.716724366779</v>
          </cell>
          <cell r="H1064">
            <v>14608.855327563318</v>
          </cell>
          <cell r="I1064">
            <v>160697.40860319653</v>
          </cell>
        </row>
        <row r="1065">
          <cell r="C1065">
            <v>938805257</v>
          </cell>
          <cell r="D1065">
            <v>49090</v>
          </cell>
          <cell r="E1065">
            <v>933805270</v>
          </cell>
          <cell r="F1065">
            <v>234481</v>
          </cell>
          <cell r="G1065">
            <v>83620.672830852011</v>
          </cell>
          <cell r="H1065">
            <v>15086.0327169148</v>
          </cell>
          <cell r="I1065">
            <v>165946.3598860628</v>
          </cell>
        </row>
        <row r="1066">
          <cell r="C1066">
            <v>938805344</v>
          </cell>
          <cell r="D1066">
            <v>103169.78</v>
          </cell>
          <cell r="E1066">
            <v>938807597</v>
          </cell>
          <cell r="F1066">
            <v>222592</v>
          </cell>
          <cell r="G1066">
            <v>79380.814679078525</v>
          </cell>
          <cell r="H1066">
            <v>14321.118532092147</v>
          </cell>
          <cell r="I1066">
            <v>157532.30385301361</v>
          </cell>
        </row>
        <row r="1067">
          <cell r="C1067">
            <v>938805347</v>
          </cell>
          <cell r="D1067">
            <v>437186.17</v>
          </cell>
          <cell r="E1067">
            <v>933806180</v>
          </cell>
          <cell r="F1067">
            <v>234596</v>
          </cell>
          <cell r="G1067">
            <v>83661.684159597411</v>
          </cell>
          <cell r="H1067">
            <v>15093.43158404026</v>
          </cell>
          <cell r="I1067">
            <v>166027.74742444284</v>
          </cell>
        </row>
        <row r="1068">
          <cell r="C1068">
            <v>938805276</v>
          </cell>
          <cell r="D1068">
            <v>46402.07</v>
          </cell>
          <cell r="E1068">
            <v>938807911</v>
          </cell>
          <cell r="F1068">
            <v>779397.64</v>
          </cell>
          <cell r="G1068">
            <v>277948.98119497183</v>
          </cell>
          <cell r="H1068">
            <v>50144.865880502817</v>
          </cell>
          <cell r="I1068">
            <v>551593.52468553104</v>
          </cell>
        </row>
        <row r="1069">
          <cell r="C1069">
            <v>938805317</v>
          </cell>
          <cell r="D1069">
            <v>200534.44</v>
          </cell>
          <cell r="E1069">
            <v>938806214</v>
          </cell>
          <cell r="F1069">
            <v>288749</v>
          </cell>
          <cell r="G1069">
            <v>102973.74055567697</v>
          </cell>
          <cell r="H1069">
            <v>18577.525944432302</v>
          </cell>
          <cell r="I1069">
            <v>204352.78538875532</v>
          </cell>
        </row>
        <row r="1070">
          <cell r="C1070">
            <v>938805372</v>
          </cell>
          <cell r="D1070">
            <v>697140.76</v>
          </cell>
          <cell r="E1070">
            <v>933806037</v>
          </cell>
          <cell r="F1070">
            <v>211399.64</v>
          </cell>
          <cell r="G1070">
            <v>75389.392458237126</v>
          </cell>
          <cell r="H1070">
            <v>13601.024754176289</v>
          </cell>
          <cell r="I1070">
            <v>149611.27229593918</v>
          </cell>
        </row>
        <row r="1071">
          <cell r="C1071">
            <v>933805945</v>
          </cell>
          <cell r="D1071">
            <v>252290.18</v>
          </cell>
          <cell r="E1071">
            <v>938807925</v>
          </cell>
          <cell r="F1071">
            <v>49090</v>
          </cell>
          <cell r="G1071">
            <v>17506.488070532476</v>
          </cell>
          <cell r="H1071">
            <v>3158.3511929467522</v>
          </cell>
          <cell r="I1071">
            <v>34741.863122414274</v>
          </cell>
        </row>
        <row r="1072">
          <cell r="C1072">
            <v>938807908</v>
          </cell>
          <cell r="D1072">
            <v>44545</v>
          </cell>
          <cell r="E1072">
            <v>938807910</v>
          </cell>
          <cell r="F1072">
            <v>241302</v>
          </cell>
          <cell r="G1072">
            <v>86053.179555828639</v>
          </cell>
          <cell r="H1072">
            <v>15524.882044417136</v>
          </cell>
          <cell r="I1072">
            <v>170773.70248858852</v>
          </cell>
        </row>
        <row r="1073">
          <cell r="C1073">
            <v>938807918</v>
          </cell>
          <cell r="D1073">
            <v>563699.19999999995</v>
          </cell>
          <cell r="E1073">
            <v>938807927</v>
          </cell>
          <cell r="F1073">
            <v>134242</v>
          </cell>
          <cell r="G1073">
            <v>47873.415595119593</v>
          </cell>
          <cell r="H1073">
            <v>8636.8584404880421</v>
          </cell>
          <cell r="I1073">
            <v>95005.442845368452</v>
          </cell>
        </row>
        <row r="1074">
          <cell r="C1074">
            <v>938807902</v>
          </cell>
          <cell r="D1074">
            <v>112899.28</v>
          </cell>
          <cell r="E1074">
            <v>938807932</v>
          </cell>
          <cell r="F1074">
            <v>182761</v>
          </cell>
          <cell r="G1074">
            <v>65176.273502924945</v>
          </cell>
          <cell r="H1074">
            <v>11758.472649707506</v>
          </cell>
          <cell r="I1074">
            <v>129343.19914678256</v>
          </cell>
        </row>
        <row r="1075">
          <cell r="C1075">
            <v>938807615</v>
          </cell>
          <cell r="D1075">
            <v>113840.11</v>
          </cell>
          <cell r="E1075">
            <v>938807645</v>
          </cell>
          <cell r="F1075">
            <v>313760</v>
          </cell>
          <cell r="G1075">
            <v>111893.16962742452</v>
          </cell>
          <cell r="H1075">
            <v>20186.68303725755</v>
          </cell>
          <cell r="I1075">
            <v>222053.51340983305</v>
          </cell>
        </row>
        <row r="1076">
          <cell r="C1076">
            <v>933806291</v>
          </cell>
          <cell r="D1076">
            <v>365000.36</v>
          </cell>
          <cell r="E1076">
            <v>938807917</v>
          </cell>
          <cell r="F1076">
            <v>373426</v>
          </cell>
          <cell r="G1076">
            <v>133171.2734615331</v>
          </cell>
          <cell r="H1076">
            <v>24025.472653846689</v>
          </cell>
          <cell r="I1076">
            <v>264280.19919231359</v>
          </cell>
        </row>
        <row r="1077">
          <cell r="C1077">
            <v>938807944</v>
          </cell>
          <cell r="D1077">
            <v>109439.01</v>
          </cell>
          <cell r="E1077">
            <v>938807903</v>
          </cell>
          <cell r="F1077">
            <v>87370</v>
          </cell>
          <cell r="G1077">
            <v>31157.911238998215</v>
          </cell>
          <cell r="H1077">
            <v>5621.2088761001778</v>
          </cell>
          <cell r="I1077">
            <v>61833.297637101961</v>
          </cell>
        </row>
        <row r="1078">
          <cell r="C1078">
            <v>938806063</v>
          </cell>
          <cell r="D1078">
            <v>360960.24</v>
          </cell>
          <cell r="E1078">
            <v>938807546</v>
          </cell>
          <cell r="F1078">
            <v>629155</v>
          </cell>
          <cell r="G1078">
            <v>224369.41336353353</v>
          </cell>
          <cell r="H1078">
            <v>40478.558663646647</v>
          </cell>
          <cell r="I1078">
            <v>445264.14530011307</v>
          </cell>
        </row>
        <row r="1079">
          <cell r="C1079">
            <v>938809272</v>
          </cell>
          <cell r="D1079">
            <v>144082.09</v>
          </cell>
          <cell r="E1079">
            <v>938807434</v>
          </cell>
          <cell r="F1079">
            <v>54326</v>
          </cell>
          <cell r="G1079">
            <v>19373.751699322616</v>
          </cell>
          <cell r="H1079">
            <v>3495.2248300677388</v>
          </cell>
          <cell r="I1079">
            <v>38447.473130745122</v>
          </cell>
        </row>
        <row r="1080">
          <cell r="C1080">
            <v>938808433</v>
          </cell>
          <cell r="D1080">
            <v>231234.56</v>
          </cell>
          <cell r="E1080">
            <v>938807401</v>
          </cell>
          <cell r="F1080">
            <v>137807</v>
          </cell>
          <cell r="G1080">
            <v>49144.766786226704</v>
          </cell>
          <cell r="H1080">
            <v>8866.2233213773288</v>
          </cell>
          <cell r="I1080">
            <v>97528.456535150617</v>
          </cell>
        </row>
        <row r="1081">
          <cell r="C1081">
            <v>938808437</v>
          </cell>
          <cell r="D1081">
            <v>431477.92</v>
          </cell>
          <cell r="E1081">
            <v>938807530</v>
          </cell>
          <cell r="F1081">
            <v>239069</v>
          </cell>
          <cell r="G1081">
            <v>85256.846537668127</v>
          </cell>
          <cell r="H1081">
            <v>15381.215346233186</v>
          </cell>
          <cell r="I1081">
            <v>169193.36880856505</v>
          </cell>
        </row>
        <row r="1082">
          <cell r="C1082">
            <v>938807271</v>
          </cell>
          <cell r="D1082">
            <v>303874.96999999997</v>
          </cell>
          <cell r="E1082">
            <v>933806423</v>
          </cell>
          <cell r="F1082">
            <v>142330</v>
          </cell>
          <cell r="G1082">
            <v>50757.760176795426</v>
          </cell>
          <cell r="H1082">
            <v>9157.2239823204582</v>
          </cell>
          <cell r="I1082">
            <v>100729.46380552504</v>
          </cell>
        </row>
        <row r="1083">
          <cell r="C1083">
            <v>938808147</v>
          </cell>
          <cell r="D1083">
            <v>206844.37</v>
          </cell>
          <cell r="E1083">
            <v>938807330</v>
          </cell>
          <cell r="F1083">
            <v>342648</v>
          </cell>
          <cell r="G1083">
            <v>122195.2154082667</v>
          </cell>
          <cell r="H1083">
            <v>22045.278459173329</v>
          </cell>
          <cell r="I1083">
            <v>242498.06305090664</v>
          </cell>
        </row>
        <row r="1084">
          <cell r="C1084">
            <v>933806148</v>
          </cell>
          <cell r="D1084">
            <v>78452.539999999994</v>
          </cell>
          <cell r="E1084">
            <v>938807414</v>
          </cell>
          <cell r="F1084">
            <v>293154.64</v>
          </cell>
          <cell r="G1084">
            <v>104544.88099371038</v>
          </cell>
          <cell r="H1084">
            <v>18860.975900628964</v>
          </cell>
          <cell r="I1084">
            <v>207470.7349069186</v>
          </cell>
        </row>
        <row r="1085">
          <cell r="C1085">
            <v>933805618</v>
          </cell>
          <cell r="D1085">
            <v>44545</v>
          </cell>
          <cell r="E1085">
            <v>938807386</v>
          </cell>
          <cell r="F1085">
            <v>549757.64</v>
          </cell>
          <cell r="G1085">
            <v>196054.70699417577</v>
          </cell>
          <cell r="H1085">
            <v>35370.293300582423</v>
          </cell>
          <cell r="I1085">
            <v>389073.22630640666</v>
          </cell>
        </row>
        <row r="1086">
          <cell r="C1086">
            <v>938806156</v>
          </cell>
          <cell r="D1086">
            <v>110731.27</v>
          </cell>
          <cell r="E1086">
            <v>938807561</v>
          </cell>
          <cell r="F1086">
            <v>194892</v>
          </cell>
          <cell r="G1086">
            <v>69502.433755188744</v>
          </cell>
          <cell r="H1086">
            <v>12538.956624481127</v>
          </cell>
          <cell r="I1086">
            <v>137928.52286929238</v>
          </cell>
        </row>
        <row r="1087">
          <cell r="C1087">
            <v>938805376</v>
          </cell>
          <cell r="D1087">
            <v>510435.37</v>
          </cell>
          <cell r="E1087">
            <v>933805304</v>
          </cell>
          <cell r="F1087">
            <v>230136</v>
          </cell>
          <cell r="G1087">
            <v>82071.157844776171</v>
          </cell>
          <cell r="H1087">
            <v>14806.484215522383</v>
          </cell>
          <cell r="I1087">
            <v>162871.32637074622</v>
          </cell>
        </row>
        <row r="1088">
          <cell r="C1088">
            <v>938806106</v>
          </cell>
          <cell r="D1088">
            <v>219687.13</v>
          </cell>
          <cell r="E1088">
            <v>938807061</v>
          </cell>
          <cell r="F1088">
            <v>216346</v>
          </cell>
          <cell r="G1088">
            <v>77153.36459782887</v>
          </cell>
          <cell r="H1088">
            <v>13919.263540217113</v>
          </cell>
          <cell r="I1088">
            <v>153111.89894238822</v>
          </cell>
        </row>
        <row r="1089">
          <cell r="C1089">
            <v>938806162</v>
          </cell>
          <cell r="D1089">
            <v>165035.70000000001</v>
          </cell>
          <cell r="E1089">
            <v>938807636</v>
          </cell>
          <cell r="F1089">
            <v>153315</v>
          </cell>
          <cell r="G1089">
            <v>54675.233622605148</v>
          </cell>
          <cell r="H1089">
            <v>9863.9766377394844</v>
          </cell>
          <cell r="I1089">
            <v>108503.74301513433</v>
          </cell>
        </row>
        <row r="1090">
          <cell r="C1090">
            <v>938806287</v>
          </cell>
          <cell r="D1090">
            <v>171715.24</v>
          </cell>
          <cell r="E1090">
            <v>933806640</v>
          </cell>
          <cell r="F1090">
            <v>402393</v>
          </cell>
          <cell r="G1090">
            <v>143501.49224212213</v>
          </cell>
          <cell r="H1090">
            <v>25889.150775787788</v>
          </cell>
          <cell r="I1090">
            <v>284780.65853366564</v>
          </cell>
        </row>
        <row r="1091">
          <cell r="C1091">
            <v>938806294</v>
          </cell>
          <cell r="D1091">
            <v>90125.01</v>
          </cell>
          <cell r="E1091">
            <v>933805899</v>
          </cell>
          <cell r="F1091">
            <v>420354</v>
          </cell>
          <cell r="G1091">
            <v>149906.74855165224</v>
          </cell>
          <cell r="H1091">
            <v>27044.725144834774</v>
          </cell>
          <cell r="I1091">
            <v>297491.97659318254</v>
          </cell>
        </row>
        <row r="1092">
          <cell r="C1092">
            <v>938806092</v>
          </cell>
          <cell r="D1092">
            <v>43060.07</v>
          </cell>
          <cell r="E1092">
            <v>938807207</v>
          </cell>
          <cell r="F1092">
            <v>212961</v>
          </cell>
          <cell r="G1092">
            <v>75946.20505171454</v>
          </cell>
          <cell r="H1092">
            <v>13701.479494828545</v>
          </cell>
          <cell r="I1092">
            <v>150716.274443114</v>
          </cell>
        </row>
        <row r="1093">
          <cell r="C1093">
            <v>933806927</v>
          </cell>
          <cell r="D1093">
            <v>43060.07</v>
          </cell>
          <cell r="E1093">
            <v>938807607</v>
          </cell>
          <cell r="F1093">
            <v>126603</v>
          </cell>
          <cell r="G1093">
            <v>45149.193505675757</v>
          </cell>
          <cell r="H1093">
            <v>8145.3806494324235</v>
          </cell>
          <cell r="I1093">
            <v>89599.187143756659</v>
          </cell>
        </row>
        <row r="1094">
          <cell r="C1094">
            <v>938806247</v>
          </cell>
          <cell r="D1094">
            <v>8908.98</v>
          </cell>
          <cell r="E1094">
            <v>938808243</v>
          </cell>
          <cell r="F1094">
            <v>226580</v>
          </cell>
          <cell r="G1094">
            <v>80803.016235918694</v>
          </cell>
          <cell r="H1094">
            <v>14577.698376408131</v>
          </cell>
          <cell r="I1094">
            <v>160354.68214048946</v>
          </cell>
        </row>
        <row r="1095">
          <cell r="C1095">
            <v>938806192</v>
          </cell>
          <cell r="D1095">
            <v>43060.07</v>
          </cell>
          <cell r="E1095">
            <v>938807010</v>
          </cell>
          <cell r="F1095">
            <v>332704</v>
          </cell>
          <cell r="G1095">
            <v>118648.98364266525</v>
          </cell>
          <cell r="H1095">
            <v>21405.501635733475</v>
          </cell>
          <cell r="I1095">
            <v>235460.51799306821</v>
          </cell>
        </row>
        <row r="1096">
          <cell r="C1096">
            <v>938805328</v>
          </cell>
          <cell r="D1096">
            <v>138148.15</v>
          </cell>
          <cell r="E1096">
            <v>938807242</v>
          </cell>
          <cell r="F1096">
            <v>786163</v>
          </cell>
          <cell r="G1096">
            <v>280361.64556924067</v>
          </cell>
          <cell r="H1096">
            <v>50580.135443075931</v>
          </cell>
          <cell r="I1096">
            <v>556381.48987383523</v>
          </cell>
        </row>
        <row r="1097">
          <cell r="C1097">
            <v>938805398</v>
          </cell>
          <cell r="D1097">
            <v>112613.42</v>
          </cell>
          <cell r="E1097">
            <v>938809202</v>
          </cell>
          <cell r="F1097">
            <v>276360</v>
          </cell>
          <cell r="G1097">
            <v>98555.572278923501</v>
          </cell>
          <cell r="H1097">
            <v>17780.44277210765</v>
          </cell>
          <cell r="I1097">
            <v>195584.87049318413</v>
          </cell>
        </row>
        <row r="1098">
          <cell r="C1098">
            <v>938806114</v>
          </cell>
          <cell r="D1098">
            <v>8908.98</v>
          </cell>
          <cell r="E1098">
            <v>938808149</v>
          </cell>
          <cell r="F1098">
            <v>389342</v>
          </cell>
          <cell r="G1098">
            <v>138847.24135989521</v>
          </cell>
          <cell r="H1098">
            <v>25049.475864010481</v>
          </cell>
          <cell r="I1098">
            <v>275544.23450411524</v>
          </cell>
        </row>
        <row r="1099">
          <cell r="C1099">
            <v>938807727</v>
          </cell>
          <cell r="D1099">
            <v>8908.98</v>
          </cell>
          <cell r="E1099">
            <v>938807963</v>
          </cell>
          <cell r="F1099">
            <v>110462</v>
          </cell>
          <cell r="G1099">
            <v>39392.986051072694</v>
          </cell>
          <cell r="H1099">
            <v>7106.9013948927304</v>
          </cell>
          <cell r="I1099">
            <v>78175.915343820045</v>
          </cell>
        </row>
        <row r="1100">
          <cell r="C1100">
            <v>933805832</v>
          </cell>
          <cell r="D1100">
            <v>112731.6</v>
          </cell>
          <cell r="E1100">
            <v>938807959</v>
          </cell>
          <cell r="F1100">
            <v>632176.64000000001</v>
          </cell>
          <cell r="G1100">
            <v>225446.9913756224</v>
          </cell>
          <cell r="H1100">
            <v>40672.964862437759</v>
          </cell>
          <cell r="I1100">
            <v>447402.61348681536</v>
          </cell>
        </row>
        <row r="1101">
          <cell r="C1101">
            <v>933806154</v>
          </cell>
          <cell r="D1101">
            <v>41575.24</v>
          </cell>
          <cell r="E1101">
            <v>938809727</v>
          </cell>
          <cell r="F1101">
            <v>57272</v>
          </cell>
          <cell r="G1101">
            <v>20424.354955704544</v>
          </cell>
          <cell r="H1101">
            <v>3684.7645044295455</v>
          </cell>
          <cell r="I1101">
            <v>40532.409548724994</v>
          </cell>
        </row>
        <row r="1102">
          <cell r="C1102">
            <v>938806731</v>
          </cell>
          <cell r="D1102">
            <v>804780.95</v>
          </cell>
          <cell r="E1102">
            <v>933805832</v>
          </cell>
          <cell r="F1102">
            <v>150655.64000000001</v>
          </cell>
          <cell r="G1102">
            <v>53726.851994671735</v>
          </cell>
          <cell r="H1102">
            <v>9692.8788005328279</v>
          </cell>
          <cell r="I1102">
            <v>106621.6668058611</v>
          </cell>
        </row>
        <row r="1103">
          <cell r="C1103">
            <v>938806203</v>
          </cell>
          <cell r="D1103">
            <v>396383.61</v>
          </cell>
          <cell r="E1103">
            <v>933806059</v>
          </cell>
          <cell r="F1103">
            <v>82768</v>
          </cell>
          <cell r="G1103">
            <v>29516.744848682665</v>
          </cell>
          <cell r="H1103">
            <v>5325.1255151317337</v>
          </cell>
          <cell r="I1103">
            <v>58576.380666449069</v>
          </cell>
        </row>
        <row r="1104">
          <cell r="C1104">
            <v>938806282</v>
          </cell>
          <cell r="D1104">
            <v>276194.40999999997</v>
          </cell>
          <cell r="E1104">
            <v>933806126</v>
          </cell>
          <cell r="F1104">
            <v>241827</v>
          </cell>
          <cell r="G1104">
            <v>86240.405187057593</v>
          </cell>
          <cell r="H1104">
            <v>15558.659481294242</v>
          </cell>
          <cell r="I1104">
            <v>171145.25429423666</v>
          </cell>
        </row>
        <row r="1105">
          <cell r="C1105">
            <v>938806709</v>
          </cell>
          <cell r="D1105">
            <v>433647.7</v>
          </cell>
          <cell r="E1105">
            <v>933805848</v>
          </cell>
          <cell r="F1105">
            <v>466092.27</v>
          </cell>
          <cell r="G1105">
            <v>166217.94183178656</v>
          </cell>
          <cell r="H1105">
            <v>29987.432816821347</v>
          </cell>
          <cell r="I1105">
            <v>329861.76098503481</v>
          </cell>
        </row>
        <row r="1106">
          <cell r="C1106">
            <v>933806087</v>
          </cell>
          <cell r="D1106">
            <v>209856.71</v>
          </cell>
          <cell r="E1106">
            <v>933805732</v>
          </cell>
          <cell r="F1106">
            <v>647044.64</v>
          </cell>
          <cell r="G1106">
            <v>230749.22125202647</v>
          </cell>
          <cell r="H1106">
            <v>41629.541874797353</v>
          </cell>
          <cell r="I1106">
            <v>457924.96062277089</v>
          </cell>
        </row>
        <row r="1107">
          <cell r="C1107">
            <v>938806732</v>
          </cell>
          <cell r="D1107">
            <v>65746.16</v>
          </cell>
          <cell r="E1107">
            <v>933805746</v>
          </cell>
          <cell r="F1107">
            <v>584351.64</v>
          </cell>
          <cell r="G1107">
            <v>208391.62792128921</v>
          </cell>
          <cell r="H1107">
            <v>37596.001207871086</v>
          </cell>
          <cell r="I1107">
            <v>413556.0132865819</v>
          </cell>
        </row>
        <row r="1108">
          <cell r="C1108">
            <v>933805326</v>
          </cell>
          <cell r="D1108">
            <v>422155.94</v>
          </cell>
          <cell r="E1108">
            <v>933805660</v>
          </cell>
          <cell r="F1108">
            <v>44545</v>
          </cell>
          <cell r="G1108">
            <v>15885.649034464639</v>
          </cell>
          <cell r="H1108">
            <v>2865.9350965535359</v>
          </cell>
          <cell r="I1108">
            <v>31525.286062088897</v>
          </cell>
        </row>
        <row r="1109">
          <cell r="C1109">
            <v>938807935</v>
          </cell>
          <cell r="D1109">
            <v>387137.67</v>
          </cell>
          <cell r="E1109">
            <v>933805704</v>
          </cell>
          <cell r="F1109">
            <v>121010</v>
          </cell>
          <cell r="G1109">
            <v>43154.616447649933</v>
          </cell>
          <cell r="H1109">
            <v>7785.5383552350077</v>
          </cell>
          <cell r="I1109">
            <v>85640.921907585085</v>
          </cell>
        </row>
        <row r="1110">
          <cell r="C1110">
            <v>938807925</v>
          </cell>
          <cell r="D1110">
            <v>381951.77</v>
          </cell>
          <cell r="E1110">
            <v>933805803</v>
          </cell>
          <cell r="F1110">
            <v>230608</v>
          </cell>
          <cell r="G1110">
            <v>82239.482602757256</v>
          </cell>
          <cell r="H1110">
            <v>14836.851739724274</v>
          </cell>
          <cell r="I1110">
            <v>163205.36913696703</v>
          </cell>
        </row>
        <row r="1111">
          <cell r="C1111">
            <v>938807647</v>
          </cell>
          <cell r="D1111">
            <v>139832.39000000001</v>
          </cell>
          <cell r="E1111">
            <v>933805796</v>
          </cell>
          <cell r="F1111">
            <v>408450</v>
          </cell>
          <cell r="G1111">
            <v>145661.54109612937</v>
          </cell>
          <cell r="H1111">
            <v>26278.845890387063</v>
          </cell>
          <cell r="I1111">
            <v>289067.30479425774</v>
          </cell>
        </row>
        <row r="1112">
          <cell r="C1112">
            <v>938807598</v>
          </cell>
          <cell r="D1112">
            <v>185606.59</v>
          </cell>
          <cell r="E1112">
            <v>933805829</v>
          </cell>
          <cell r="F1112">
            <v>181610</v>
          </cell>
          <cell r="G1112">
            <v>64765.803595221085</v>
          </cell>
          <cell r="H1112">
            <v>11684.41964047789</v>
          </cell>
          <cell r="I1112">
            <v>128528.61604525681</v>
          </cell>
        </row>
        <row r="1113">
          <cell r="C1113">
            <v>938807639</v>
          </cell>
          <cell r="D1113">
            <v>503792.84</v>
          </cell>
          <cell r="E1113">
            <v>933805617</v>
          </cell>
          <cell r="F1113">
            <v>390447</v>
          </cell>
          <cell r="G1113">
            <v>139241.30673610093</v>
          </cell>
          <cell r="H1113">
            <v>25120.569326389908</v>
          </cell>
          <cell r="I1113">
            <v>276326.262590289</v>
          </cell>
        </row>
        <row r="1114">
          <cell r="C1114">
            <v>938805393</v>
          </cell>
          <cell r="D1114">
            <v>308031</v>
          </cell>
          <cell r="E1114">
            <v>933805793</v>
          </cell>
          <cell r="F1114">
            <v>88328</v>
          </cell>
          <cell r="G1114">
            <v>31499.553438459818</v>
          </cell>
          <cell r="H1114">
            <v>5682.8446561540186</v>
          </cell>
          <cell r="I1114">
            <v>62511.291217694205</v>
          </cell>
        </row>
        <row r="1115">
          <cell r="C1115">
            <v>938806972</v>
          </cell>
          <cell r="D1115">
            <v>167174.98000000001</v>
          </cell>
          <cell r="E1115">
            <v>933805810</v>
          </cell>
          <cell r="F1115">
            <v>185578</v>
          </cell>
          <cell r="G1115">
            <v>66180.872747062036</v>
          </cell>
          <cell r="H1115">
            <v>11939.712725293797</v>
          </cell>
          <cell r="I1115">
            <v>131336.83997823176</v>
          </cell>
        </row>
        <row r="1116">
          <cell r="C1116">
            <v>938807089</v>
          </cell>
          <cell r="D1116">
            <v>701061.5</v>
          </cell>
          <cell r="E1116">
            <v>933805818</v>
          </cell>
          <cell r="F1116">
            <v>279077</v>
          </cell>
          <cell r="G1116">
            <v>99524.50949806461</v>
          </cell>
          <cell r="H1116">
            <v>17955.249050193539</v>
          </cell>
          <cell r="I1116">
            <v>197507.73955212894</v>
          </cell>
        </row>
        <row r="1117">
          <cell r="C1117">
            <v>938806970</v>
          </cell>
          <cell r="D1117">
            <v>308664.93</v>
          </cell>
          <cell r="E1117">
            <v>933805819</v>
          </cell>
          <cell r="F1117">
            <v>290490</v>
          </cell>
          <cell r="G1117">
            <v>103594.61641085718</v>
          </cell>
          <cell r="H1117">
            <v>18689.53835891428</v>
          </cell>
          <cell r="I1117">
            <v>205584.9219480571</v>
          </cell>
        </row>
        <row r="1118">
          <cell r="C1118">
            <v>938805487</v>
          </cell>
          <cell r="D1118">
            <v>1021182.62</v>
          </cell>
          <cell r="E1118">
            <v>933805821</v>
          </cell>
          <cell r="F1118">
            <v>239126</v>
          </cell>
          <cell r="G1118">
            <v>85277.173891915852</v>
          </cell>
          <cell r="H1118">
            <v>15384.882610808416</v>
          </cell>
          <cell r="I1118">
            <v>169233.70871889257</v>
          </cell>
        </row>
        <row r="1119">
          <cell r="C1119">
            <v>938805046</v>
          </cell>
          <cell r="D1119">
            <v>410290.62</v>
          </cell>
          <cell r="E1119">
            <v>933806015</v>
          </cell>
          <cell r="F1119">
            <v>160777</v>
          </cell>
          <cell r="G1119">
            <v>57336.333927806074</v>
          </cell>
          <cell r="H1119">
            <v>10344.066607219393</v>
          </cell>
          <cell r="I1119">
            <v>113784.73267941331</v>
          </cell>
        </row>
        <row r="1120">
          <cell r="C1120">
            <v>933805750</v>
          </cell>
          <cell r="D1120">
            <v>747650.19</v>
          </cell>
          <cell r="E1120">
            <v>933805954</v>
          </cell>
          <cell r="F1120">
            <v>440167</v>
          </cell>
          <cell r="G1120">
            <v>156972.46556410813</v>
          </cell>
          <cell r="H1120">
            <v>28319.453443589191</v>
          </cell>
          <cell r="I1120">
            <v>311513.98787948111</v>
          </cell>
        </row>
        <row r="1121">
          <cell r="C1121">
            <v>938807056</v>
          </cell>
          <cell r="D1121">
            <v>532824.31999999995</v>
          </cell>
          <cell r="E1121">
            <v>933605050</v>
          </cell>
          <cell r="F1121">
            <v>877533</v>
          </cell>
          <cell r="G1121">
            <v>312946.03780807857</v>
          </cell>
          <cell r="H1121">
            <v>56458.696219192148</v>
          </cell>
          <cell r="I1121">
            <v>621045.65841111355</v>
          </cell>
        </row>
        <row r="1122">
          <cell r="C1122">
            <v>938806185</v>
          </cell>
          <cell r="D1122">
            <v>298491.69</v>
          </cell>
          <cell r="E1122">
            <v>933805570</v>
          </cell>
          <cell r="F1122">
            <v>85673</v>
          </cell>
          <cell r="G1122">
            <v>30552.726674816229</v>
          </cell>
          <cell r="H1122">
            <v>5512.0273325183771</v>
          </cell>
          <cell r="I1122">
            <v>60632.300657702144</v>
          </cell>
        </row>
        <row r="1123">
          <cell r="C1123">
            <v>938806237</v>
          </cell>
          <cell r="D1123">
            <v>903556.09</v>
          </cell>
          <cell r="E1123">
            <v>933806019</v>
          </cell>
          <cell r="F1123">
            <v>154948</v>
          </cell>
          <cell r="G1123">
            <v>55257.594490789692</v>
          </cell>
          <cell r="H1123">
            <v>9969.0405509210304</v>
          </cell>
          <cell r="I1123">
            <v>109659.44606013133</v>
          </cell>
        </row>
        <row r="1124">
          <cell r="C1124">
            <v>938807152</v>
          </cell>
          <cell r="D1124">
            <v>225002.08</v>
          </cell>
          <cell r="E1124">
            <v>933805982</v>
          </cell>
          <cell r="F1124">
            <v>91957</v>
          </cell>
          <cell r="G1124">
            <v>32793.728325564371</v>
          </cell>
          <cell r="H1124">
            <v>5916.3271674435637</v>
          </cell>
          <cell r="I1124">
            <v>65079.598841879197</v>
          </cell>
        </row>
        <row r="1125">
          <cell r="C1125">
            <v>938807193</v>
          </cell>
          <cell r="D1125">
            <v>497882.67</v>
          </cell>
          <cell r="E1125">
            <v>933805572</v>
          </cell>
          <cell r="F1125">
            <v>473115</v>
          </cell>
          <cell r="G1125">
            <v>168722.38955978758</v>
          </cell>
          <cell r="H1125">
            <v>30439.261044021241</v>
          </cell>
          <cell r="I1125">
            <v>334831.87148423365</v>
          </cell>
        </row>
        <row r="1126">
          <cell r="C1126">
            <v>938807303</v>
          </cell>
          <cell r="D1126">
            <v>213137.3</v>
          </cell>
          <cell r="E1126">
            <v>933805761</v>
          </cell>
          <cell r="F1126">
            <v>258411</v>
          </cell>
          <cell r="G1126">
            <v>92154.595412392911</v>
          </cell>
          <cell r="H1126">
            <v>16625.64045876071</v>
          </cell>
          <cell r="I1126">
            <v>182882.0450463678</v>
          </cell>
        </row>
        <row r="1127">
          <cell r="C1127">
            <v>938807287</v>
          </cell>
          <cell r="D1127">
            <v>494964.43</v>
          </cell>
          <cell r="E1127">
            <v>933805855</v>
          </cell>
          <cell r="F1127">
            <v>484845.64</v>
          </cell>
          <cell r="G1127">
            <v>172905.77332877743</v>
          </cell>
          <cell r="H1127">
            <v>31193.986667122263</v>
          </cell>
          <cell r="I1127">
            <v>343133.8533383449</v>
          </cell>
        </row>
        <row r="1128">
          <cell r="C1128">
            <v>938807309</v>
          </cell>
          <cell r="D1128">
            <v>292530.19</v>
          </cell>
          <cell r="E1128">
            <v>933805886</v>
          </cell>
          <cell r="F1128">
            <v>274996</v>
          </cell>
          <cell r="G1128">
            <v>98069.142257978179</v>
          </cell>
          <cell r="H1128">
            <v>17692.685774202182</v>
          </cell>
          <cell r="I1128">
            <v>194619.54351622402</v>
          </cell>
        </row>
        <row r="1129">
          <cell r="C1129">
            <v>938807327</v>
          </cell>
          <cell r="D1129">
            <v>550469.22</v>
          </cell>
          <cell r="E1129">
            <v>933805910</v>
          </cell>
          <cell r="F1129">
            <v>277463.64</v>
          </cell>
          <cell r="G1129">
            <v>98949.152651589277</v>
          </cell>
          <cell r="H1129">
            <v>17851.448734841073</v>
          </cell>
          <cell r="I1129">
            <v>196365.93608325181</v>
          </cell>
        </row>
        <row r="1130">
          <cell r="C1130">
            <v>938807434</v>
          </cell>
          <cell r="D1130">
            <v>715679.02</v>
          </cell>
          <cell r="E1130">
            <v>933805912</v>
          </cell>
          <cell r="F1130">
            <v>72110</v>
          </cell>
          <cell r="G1130">
            <v>25715.886224609836</v>
          </cell>
          <cell r="H1130">
            <v>4639.4113775390169</v>
          </cell>
          <cell r="I1130">
            <v>51033.525152929178</v>
          </cell>
        </row>
        <row r="1131">
          <cell r="C1131">
            <v>938807414</v>
          </cell>
          <cell r="D1131">
            <v>465022.15</v>
          </cell>
          <cell r="E1131">
            <v>933805937</v>
          </cell>
          <cell r="F1131">
            <v>89313</v>
          </cell>
          <cell r="G1131">
            <v>31850.824384670337</v>
          </cell>
          <cell r="H1131">
            <v>5746.2175615329652</v>
          </cell>
          <cell r="I1131">
            <v>63208.393176862621</v>
          </cell>
        </row>
        <row r="1132">
          <cell r="C1132">
            <v>938807515</v>
          </cell>
          <cell r="D1132">
            <v>433208.24</v>
          </cell>
          <cell r="E1132">
            <v>933805677</v>
          </cell>
          <cell r="F1132">
            <v>316935</v>
          </cell>
          <cell r="G1132">
            <v>113025.43892104727</v>
          </cell>
          <cell r="H1132">
            <v>20390.956107895276</v>
          </cell>
          <cell r="I1132">
            <v>224300.51718684801</v>
          </cell>
        </row>
        <row r="1133">
          <cell r="C1133">
            <v>938807509</v>
          </cell>
          <cell r="D1133">
            <v>121415.45</v>
          </cell>
          <cell r="E1133">
            <v>933805791</v>
          </cell>
          <cell r="F1133">
            <v>118651</v>
          </cell>
          <cell r="G1133">
            <v>42313.349277994479</v>
          </cell>
          <cell r="H1133">
            <v>7633.7650722005519</v>
          </cell>
          <cell r="I1133">
            <v>83971.41579420607</v>
          </cell>
        </row>
        <row r="1134">
          <cell r="C1134">
            <v>933806111</v>
          </cell>
          <cell r="D1134">
            <v>1246769.57</v>
          </cell>
          <cell r="E1134">
            <v>933805649</v>
          </cell>
          <cell r="F1134">
            <v>676520.91</v>
          </cell>
          <cell r="G1134">
            <v>241261.05602731259</v>
          </cell>
          <cell r="H1134">
            <v>43525.985397268749</v>
          </cell>
          <cell r="I1134">
            <v>478785.83936995617</v>
          </cell>
        </row>
        <row r="1135">
          <cell r="C1135">
            <v>933806742</v>
          </cell>
          <cell r="D1135">
            <v>55453</v>
          </cell>
          <cell r="E1135">
            <v>933805833</v>
          </cell>
          <cell r="F1135">
            <v>411712</v>
          </cell>
          <cell r="G1135">
            <v>146824.83635149861</v>
          </cell>
          <cell r="H1135">
            <v>26488.716364850141</v>
          </cell>
          <cell r="I1135">
            <v>291375.8800133515</v>
          </cell>
        </row>
        <row r="1136">
          <cell r="C1136">
            <v>938807436</v>
          </cell>
          <cell r="D1136">
            <v>510683.58</v>
          </cell>
          <cell r="E1136">
            <v>933805845</v>
          </cell>
          <cell r="F1136">
            <v>237086</v>
          </cell>
          <cell r="G1136">
            <v>84549.668581997612</v>
          </cell>
          <cell r="H1136">
            <v>15253.633141800237</v>
          </cell>
          <cell r="I1136">
            <v>167789.96455980261</v>
          </cell>
        </row>
        <row r="1137">
          <cell r="C1137">
            <v>933804204</v>
          </cell>
          <cell r="D1137">
            <v>555217.80000000005</v>
          </cell>
          <cell r="E1137">
            <v>933805858</v>
          </cell>
          <cell r="F1137">
            <v>304128</v>
          </cell>
          <cell r="G1137">
            <v>108458.20337981057</v>
          </cell>
          <cell r="H1137">
            <v>19566.979662018945</v>
          </cell>
          <cell r="I1137">
            <v>215236.77628220839</v>
          </cell>
        </row>
        <row r="1138">
          <cell r="C1138">
            <v>933805919</v>
          </cell>
          <cell r="D1138">
            <v>290357.90999999997</v>
          </cell>
          <cell r="E1138">
            <v>933805731</v>
          </cell>
          <cell r="F1138">
            <v>328323.64</v>
          </cell>
          <cell r="G1138">
            <v>117086.85856455081</v>
          </cell>
          <cell r="H1138">
            <v>21123.678143544919</v>
          </cell>
          <cell r="I1138">
            <v>232360.45957899411</v>
          </cell>
        </row>
        <row r="1139">
          <cell r="C1139">
            <v>938807542</v>
          </cell>
          <cell r="D1139">
            <v>267485.84000000003</v>
          </cell>
          <cell r="E1139">
            <v>933805610</v>
          </cell>
          <cell r="F1139">
            <v>284397</v>
          </cell>
          <cell r="G1139">
            <v>101421.72922785139</v>
          </cell>
          <cell r="H1139">
            <v>18297.527077214861</v>
          </cell>
          <cell r="I1139">
            <v>201272.79784936347</v>
          </cell>
        </row>
        <row r="1140">
          <cell r="C1140">
            <v>933806719</v>
          </cell>
          <cell r="D1140">
            <v>193752.97</v>
          </cell>
          <cell r="E1140">
            <v>933806025</v>
          </cell>
          <cell r="F1140">
            <v>257465</v>
          </cell>
          <cell r="G1140">
            <v>91817.232655930828</v>
          </cell>
          <cell r="H1140">
            <v>16564.776734406918</v>
          </cell>
          <cell r="I1140">
            <v>182212.54407847609</v>
          </cell>
        </row>
        <row r="1141">
          <cell r="C1141">
            <v>938807644</v>
          </cell>
          <cell r="D1141">
            <v>937486.32</v>
          </cell>
          <cell r="E1141">
            <v>933806402</v>
          </cell>
          <cell r="F1141">
            <v>44545</v>
          </cell>
          <cell r="G1141">
            <v>15885.649034464639</v>
          </cell>
          <cell r="H1141">
            <v>2865.9350965535359</v>
          </cell>
          <cell r="I1141">
            <v>31525.286062088897</v>
          </cell>
        </row>
        <row r="1142">
          <cell r="C1142">
            <v>933805270</v>
          </cell>
          <cell r="D1142">
            <v>445550.58</v>
          </cell>
          <cell r="E1142">
            <v>933806390</v>
          </cell>
          <cell r="F1142">
            <v>49090</v>
          </cell>
          <cell r="G1142">
            <v>17506.488070532476</v>
          </cell>
          <cell r="H1142">
            <v>3158.3511929467522</v>
          </cell>
          <cell r="I1142">
            <v>34741.863122414274</v>
          </cell>
        </row>
        <row r="1143">
          <cell r="C1143">
            <v>938807604</v>
          </cell>
          <cell r="D1143">
            <v>306486.59999999998</v>
          </cell>
          <cell r="E1143">
            <v>933806389</v>
          </cell>
          <cell r="F1143">
            <v>332313.64</v>
          </cell>
          <cell r="G1143">
            <v>118509.77336189088</v>
          </cell>
          <cell r="H1143">
            <v>21380.386663810914</v>
          </cell>
          <cell r="I1143">
            <v>235184.25330192005</v>
          </cell>
        </row>
        <row r="1144">
          <cell r="C1144">
            <v>938807595</v>
          </cell>
          <cell r="D1144">
            <v>546713.93000000005</v>
          </cell>
          <cell r="E1144">
            <v>933806190</v>
          </cell>
          <cell r="F1144">
            <v>169494</v>
          </cell>
          <cell r="G1144">
            <v>60444.992646706698</v>
          </cell>
          <cell r="H1144">
            <v>10904.900735329329</v>
          </cell>
          <cell r="I1144">
            <v>119953.90808862263</v>
          </cell>
        </row>
        <row r="1145">
          <cell r="C1145">
            <v>938807539</v>
          </cell>
          <cell r="D1145">
            <v>1047636.24</v>
          </cell>
          <cell r="E1145">
            <v>933806331</v>
          </cell>
          <cell r="F1145">
            <v>221068</v>
          </cell>
          <cell r="G1145">
            <v>78837.325418139604</v>
          </cell>
          <cell r="H1145">
            <v>14223.06745818604</v>
          </cell>
          <cell r="I1145">
            <v>156453.74204004643</v>
          </cell>
        </row>
        <row r="1146">
          <cell r="C1146">
            <v>938806145</v>
          </cell>
          <cell r="D1146">
            <v>192276.69</v>
          </cell>
          <cell r="E1146">
            <v>933805978</v>
          </cell>
          <cell r="F1146">
            <v>44545</v>
          </cell>
          <cell r="G1146">
            <v>15885.649034464639</v>
          </cell>
          <cell r="H1146">
            <v>2865.9350965535359</v>
          </cell>
          <cell r="I1146">
            <v>31525.286062088897</v>
          </cell>
        </row>
        <row r="1147">
          <cell r="C1147">
            <v>938807158</v>
          </cell>
          <cell r="D1147">
            <v>322034.93</v>
          </cell>
          <cell r="E1147">
            <v>933806409</v>
          </cell>
          <cell r="F1147">
            <v>1052248</v>
          </cell>
          <cell r="G1147">
            <v>375252.94477982598</v>
          </cell>
          <cell r="H1147">
            <v>67699.505522017411</v>
          </cell>
          <cell r="I1147">
            <v>744694.56074219139</v>
          </cell>
        </row>
        <row r="1148">
          <cell r="C1148">
            <v>938807424</v>
          </cell>
          <cell r="D1148">
            <v>870941.78</v>
          </cell>
          <cell r="E1148">
            <v>933805917</v>
          </cell>
          <cell r="F1148">
            <v>231750</v>
          </cell>
          <cell r="G1148">
            <v>82646.742928211475</v>
          </cell>
          <cell r="H1148">
            <v>14910.325707178854</v>
          </cell>
          <cell r="I1148">
            <v>164013.58277896739</v>
          </cell>
        </row>
        <row r="1149">
          <cell r="C1149">
            <v>938807521</v>
          </cell>
          <cell r="D1149">
            <v>285438.84999999998</v>
          </cell>
          <cell r="E1149">
            <v>933806543</v>
          </cell>
          <cell r="F1149">
            <v>325519</v>
          </cell>
          <cell r="G1149">
            <v>116086.66714670323</v>
          </cell>
          <cell r="H1149">
            <v>20943.233285329676</v>
          </cell>
          <cell r="I1149">
            <v>230375.56613862645</v>
          </cell>
        </row>
        <row r="1150">
          <cell r="C1150">
            <v>938808917</v>
          </cell>
          <cell r="D1150">
            <v>399140.86</v>
          </cell>
          <cell r="E1150">
            <v>933806614</v>
          </cell>
          <cell r="F1150">
            <v>44545</v>
          </cell>
          <cell r="G1150">
            <v>15885.649034464639</v>
          </cell>
          <cell r="H1150">
            <v>2865.9350965535359</v>
          </cell>
          <cell r="I1150">
            <v>31525.286062088897</v>
          </cell>
        </row>
        <row r="1151">
          <cell r="C1151">
            <v>938808763</v>
          </cell>
          <cell r="D1151">
            <v>401677.16</v>
          </cell>
          <cell r="E1151">
            <v>933806602</v>
          </cell>
          <cell r="F1151">
            <v>44545</v>
          </cell>
          <cell r="G1151">
            <v>15885.649034464639</v>
          </cell>
          <cell r="H1151">
            <v>2865.9350965535359</v>
          </cell>
          <cell r="I1151">
            <v>31525.286062088897</v>
          </cell>
        </row>
        <row r="1152">
          <cell r="C1152">
            <v>938808607</v>
          </cell>
          <cell r="D1152">
            <v>227077.02</v>
          </cell>
          <cell r="E1152">
            <v>933806625</v>
          </cell>
          <cell r="F1152">
            <v>200007</v>
          </cell>
          <cell r="G1152">
            <v>71326.546333733728</v>
          </cell>
          <cell r="H1152">
            <v>12868.045366626626</v>
          </cell>
          <cell r="I1152">
            <v>141548.4990328929</v>
          </cell>
        </row>
        <row r="1153">
          <cell r="C1153">
            <v>938808517</v>
          </cell>
          <cell r="D1153">
            <v>243986.04</v>
          </cell>
          <cell r="E1153">
            <v>933806487</v>
          </cell>
          <cell r="F1153">
            <v>200849</v>
          </cell>
          <cell r="G1153">
            <v>71626.820584199988</v>
          </cell>
          <cell r="H1153">
            <v>12922.21794158</v>
          </cell>
          <cell r="I1153">
            <v>142144.39735738002</v>
          </cell>
        </row>
        <row r="1154">
          <cell r="C1154">
            <v>938808543</v>
          </cell>
          <cell r="D1154">
            <v>697912.63</v>
          </cell>
          <cell r="E1154">
            <v>933806437</v>
          </cell>
          <cell r="F1154">
            <v>278393</v>
          </cell>
          <cell r="G1154">
            <v>99280.581247092021</v>
          </cell>
          <cell r="H1154">
            <v>17911.241875290798</v>
          </cell>
          <cell r="I1154">
            <v>197023.66062819876</v>
          </cell>
        </row>
        <row r="1155">
          <cell r="C1155">
            <v>938809043</v>
          </cell>
          <cell r="D1155">
            <v>496171.76</v>
          </cell>
          <cell r="E1155">
            <v>933806544</v>
          </cell>
          <cell r="F1155">
            <v>44545</v>
          </cell>
          <cell r="G1155">
            <v>15885.649034464639</v>
          </cell>
          <cell r="H1155">
            <v>2865.9350965535359</v>
          </cell>
          <cell r="I1155">
            <v>31525.286062088897</v>
          </cell>
        </row>
        <row r="1156">
          <cell r="C1156">
            <v>938808957</v>
          </cell>
          <cell r="D1156">
            <v>418786.53</v>
          </cell>
          <cell r="E1156">
            <v>933806594</v>
          </cell>
          <cell r="F1156">
            <v>44545</v>
          </cell>
          <cell r="G1156">
            <v>15885.649034464639</v>
          </cell>
          <cell r="H1156">
            <v>2865.9350965535359</v>
          </cell>
          <cell r="I1156">
            <v>31525.286062088897</v>
          </cell>
        </row>
        <row r="1157">
          <cell r="C1157">
            <v>933805668</v>
          </cell>
          <cell r="D1157">
            <v>697106.38</v>
          </cell>
          <cell r="E1157">
            <v>933806467</v>
          </cell>
          <cell r="F1157">
            <v>530297.64</v>
          </cell>
          <cell r="G1157">
            <v>189114.87692995573</v>
          </cell>
          <cell r="H1157">
            <v>34118.276307004431</v>
          </cell>
          <cell r="I1157">
            <v>375301.03937704873</v>
          </cell>
        </row>
        <row r="1158">
          <cell r="C1158">
            <v>933805692</v>
          </cell>
          <cell r="D1158">
            <v>378549.79</v>
          </cell>
          <cell r="E1158">
            <v>933806438</v>
          </cell>
          <cell r="F1158">
            <v>261214</v>
          </cell>
          <cell r="G1158">
            <v>93154.201973030562</v>
          </cell>
          <cell r="H1158">
            <v>16805.979802696944</v>
          </cell>
          <cell r="I1158">
            <v>184865.77782966636</v>
          </cell>
        </row>
        <row r="1159">
          <cell r="C1159">
            <v>933805813</v>
          </cell>
          <cell r="D1159">
            <v>249259.16</v>
          </cell>
          <cell r="E1159">
            <v>933806425</v>
          </cell>
          <cell r="F1159">
            <v>156658.64000000001</v>
          </cell>
          <cell r="G1159">
            <v>55867.643355181135</v>
          </cell>
          <cell r="H1159">
            <v>10079.099664481888</v>
          </cell>
          <cell r="I1159">
            <v>110870.09630930077</v>
          </cell>
        </row>
        <row r="1160">
          <cell r="C1160">
            <v>933805830</v>
          </cell>
          <cell r="D1160">
            <v>436298.11</v>
          </cell>
          <cell r="E1160">
            <v>933806185</v>
          </cell>
          <cell r="F1160">
            <v>209477</v>
          </cell>
          <cell r="G1160">
            <v>74703.740100854178</v>
          </cell>
          <cell r="H1160">
            <v>13477.325989914581</v>
          </cell>
          <cell r="I1160">
            <v>148250.5858890604</v>
          </cell>
        </row>
        <row r="1161">
          <cell r="C1161">
            <v>933805829</v>
          </cell>
          <cell r="D1161">
            <v>276119.09000000003</v>
          </cell>
          <cell r="E1161">
            <v>933806189</v>
          </cell>
          <cell r="F1161">
            <v>204898</v>
          </cell>
          <cell r="G1161">
            <v>73070.775976287696</v>
          </cell>
          <cell r="H1161">
            <v>13182.722402371232</v>
          </cell>
          <cell r="I1161">
            <v>145009.94642608354</v>
          </cell>
        </row>
        <row r="1162">
          <cell r="C1162">
            <v>933805614</v>
          </cell>
          <cell r="D1162">
            <v>298999.76</v>
          </cell>
          <cell r="E1162">
            <v>933806337</v>
          </cell>
          <cell r="F1162">
            <v>413115</v>
          </cell>
          <cell r="G1162">
            <v>147325.17456219238</v>
          </cell>
          <cell r="H1162">
            <v>26578.982543780756</v>
          </cell>
          <cell r="I1162">
            <v>292368.80798158835</v>
          </cell>
        </row>
        <row r="1163">
          <cell r="C1163">
            <v>933805819</v>
          </cell>
          <cell r="D1163">
            <v>626604.88</v>
          </cell>
          <cell r="E1163">
            <v>933806313</v>
          </cell>
          <cell r="F1163">
            <v>232836</v>
          </cell>
          <cell r="G1163">
            <v>83034.032519667948</v>
          </cell>
          <cell r="H1163">
            <v>14980.196748033208</v>
          </cell>
          <cell r="I1163">
            <v>164782.16422836526</v>
          </cell>
        </row>
        <row r="1164">
          <cell r="C1164">
            <v>933805996</v>
          </cell>
          <cell r="D1164">
            <v>191108.98</v>
          </cell>
          <cell r="E1164">
            <v>933806284</v>
          </cell>
          <cell r="F1164">
            <v>160746</v>
          </cell>
          <cell r="G1164">
            <v>57325.278700057315</v>
          </cell>
          <cell r="H1164">
            <v>10342.072129994269</v>
          </cell>
          <cell r="I1164">
            <v>113762.79342993695</v>
          </cell>
        </row>
        <row r="1165">
          <cell r="C1165">
            <v>933805805</v>
          </cell>
          <cell r="D1165">
            <v>148776.89000000001</v>
          </cell>
          <cell r="E1165">
            <v>933806254</v>
          </cell>
          <cell r="F1165">
            <v>677941</v>
          </cell>
          <cell r="G1165">
            <v>241767.48887807821</v>
          </cell>
          <cell r="H1165">
            <v>43617.351112192177</v>
          </cell>
          <cell r="I1165">
            <v>479790.86223411397</v>
          </cell>
        </row>
        <row r="1166">
          <cell r="C1166">
            <v>933805572</v>
          </cell>
          <cell r="D1166">
            <v>260621.16</v>
          </cell>
          <cell r="E1166">
            <v>933805977</v>
          </cell>
          <cell r="F1166">
            <v>387067</v>
          </cell>
          <cell r="G1166">
            <v>138035.93029123638</v>
          </cell>
          <cell r="H1166">
            <v>24903.106970876361</v>
          </cell>
          <cell r="I1166">
            <v>273934.17667963996</v>
          </cell>
        </row>
        <row r="1167">
          <cell r="C1167">
            <v>933805603</v>
          </cell>
          <cell r="D1167">
            <v>429702.41</v>
          </cell>
          <cell r="E1167">
            <v>933805711</v>
          </cell>
          <cell r="F1167">
            <v>233461.64</v>
          </cell>
          <cell r="G1167">
            <v>83257.148412852883</v>
          </cell>
          <cell r="H1167">
            <v>15020.449158714711</v>
          </cell>
          <cell r="I1167">
            <v>165224.94074586182</v>
          </cell>
        </row>
        <row r="1168">
          <cell r="C1168">
            <v>933805756</v>
          </cell>
          <cell r="D1168">
            <v>60579.51</v>
          </cell>
          <cell r="E1168">
            <v>933806327</v>
          </cell>
          <cell r="F1168">
            <v>107202</v>
          </cell>
          <cell r="G1168">
            <v>38230.404036203348</v>
          </cell>
          <cell r="H1168">
            <v>6897.1595963796663</v>
          </cell>
          <cell r="I1168">
            <v>75868.755560176331</v>
          </cell>
        </row>
        <row r="1169">
          <cell r="C1169">
            <v>933805764</v>
          </cell>
          <cell r="D1169">
            <v>509172.05</v>
          </cell>
          <cell r="E1169">
            <v>933805618</v>
          </cell>
          <cell r="F1169">
            <v>260925</v>
          </cell>
          <cell r="G1169">
            <v>93051.138720792151</v>
          </cell>
          <cell r="H1169">
            <v>16787.386127920785</v>
          </cell>
          <cell r="I1169">
            <v>184661.24740712866</v>
          </cell>
        </row>
        <row r="1170">
          <cell r="C1170">
            <v>933805766</v>
          </cell>
          <cell r="D1170">
            <v>295431.82</v>
          </cell>
          <cell r="E1170">
            <v>933806233</v>
          </cell>
          <cell r="F1170">
            <v>269755.64</v>
          </cell>
          <cell r="G1170">
            <v>96200.323764898218</v>
          </cell>
          <cell r="H1170">
            <v>17355.531623510178</v>
          </cell>
          <cell r="I1170">
            <v>190910.84785861196</v>
          </cell>
        </row>
        <row r="1171">
          <cell r="C1171">
            <v>933805867</v>
          </cell>
          <cell r="D1171">
            <v>381467.32</v>
          </cell>
          <cell r="E1171">
            <v>933806247</v>
          </cell>
          <cell r="F1171">
            <v>634024</v>
          </cell>
          <cell r="G1171">
            <v>226105.79736058833</v>
          </cell>
          <cell r="H1171">
            <v>40791.820263941168</v>
          </cell>
          <cell r="I1171">
            <v>448710.02290335286</v>
          </cell>
        </row>
        <row r="1172">
          <cell r="C1172">
            <v>933805767</v>
          </cell>
          <cell r="D1172">
            <v>210095.47</v>
          </cell>
          <cell r="E1172">
            <v>933806312</v>
          </cell>
          <cell r="F1172">
            <v>1297952</v>
          </cell>
          <cell r="G1172">
            <v>462875.96667597821</v>
          </cell>
          <cell r="H1172">
            <v>83507.603332402185</v>
          </cell>
          <cell r="I1172">
            <v>918583.63665642403</v>
          </cell>
        </row>
        <row r="1173">
          <cell r="C1173">
            <v>933805930</v>
          </cell>
          <cell r="D1173">
            <v>190096.86</v>
          </cell>
          <cell r="E1173">
            <v>933805351</v>
          </cell>
          <cell r="F1173">
            <v>443228</v>
          </cell>
          <cell r="G1173">
            <v>158064.08014923547</v>
          </cell>
          <cell r="H1173">
            <v>28516.391985076458</v>
          </cell>
          <cell r="I1173">
            <v>313680.31183584104</v>
          </cell>
        </row>
        <row r="1174">
          <cell r="C1174">
            <v>933805786</v>
          </cell>
          <cell r="D1174">
            <v>445701.12</v>
          </cell>
          <cell r="E1174">
            <v>933805269</v>
          </cell>
          <cell r="F1174">
            <v>202968</v>
          </cell>
          <cell r="G1174">
            <v>72382.498893865064</v>
          </cell>
          <cell r="H1174">
            <v>13058.550110613494</v>
          </cell>
          <cell r="I1174">
            <v>143644.05121674843</v>
          </cell>
        </row>
        <row r="1175">
          <cell r="C1175">
            <v>933805852</v>
          </cell>
          <cell r="D1175">
            <v>475101.91</v>
          </cell>
          <cell r="E1175">
            <v>933805321</v>
          </cell>
          <cell r="F1175">
            <v>255999.64</v>
          </cell>
          <cell r="G1175">
            <v>91294.655606449567</v>
          </cell>
          <cell r="H1175">
            <v>16470.498439355044</v>
          </cell>
          <cell r="I1175">
            <v>181175.48283290549</v>
          </cell>
        </row>
        <row r="1176">
          <cell r="C1176">
            <v>933805878</v>
          </cell>
          <cell r="D1176">
            <v>567225.76</v>
          </cell>
          <cell r="E1176">
            <v>933805331</v>
          </cell>
          <cell r="F1176">
            <v>253178</v>
          </cell>
          <cell r="G1176">
            <v>90288.401644352634</v>
          </cell>
          <cell r="H1176">
            <v>16288.959835564736</v>
          </cell>
          <cell r="I1176">
            <v>179178.5581912121</v>
          </cell>
        </row>
        <row r="1177">
          <cell r="C1177">
            <v>933805881</v>
          </cell>
          <cell r="D1177">
            <v>328175.18</v>
          </cell>
          <cell r="E1177">
            <v>933805250</v>
          </cell>
          <cell r="F1177">
            <v>513211.09</v>
          </cell>
          <cell r="G1177">
            <v>183021.46719800305</v>
          </cell>
          <cell r="H1177">
            <v>33018.962280199703</v>
          </cell>
          <cell r="I1177">
            <v>363208.58508219669</v>
          </cell>
        </row>
        <row r="1178">
          <cell r="C1178">
            <v>933805894</v>
          </cell>
          <cell r="D1178">
            <v>337541.75</v>
          </cell>
          <cell r="E1178">
            <v>933805266</v>
          </cell>
          <cell r="F1178">
            <v>335396.64</v>
          </cell>
          <cell r="G1178">
            <v>119609.23359251732</v>
          </cell>
          <cell r="H1178">
            <v>21578.74064074827</v>
          </cell>
          <cell r="I1178">
            <v>237366.14704823095</v>
          </cell>
        </row>
        <row r="1179">
          <cell r="C1179">
            <v>933805921</v>
          </cell>
          <cell r="D1179">
            <v>368671.39</v>
          </cell>
          <cell r="E1179">
            <v>938508143</v>
          </cell>
          <cell r="F1179">
            <v>808422.64</v>
          </cell>
          <cell r="G1179">
            <v>288299.88395005849</v>
          </cell>
          <cell r="H1179">
            <v>52012.275604994145</v>
          </cell>
          <cell r="I1179">
            <v>572135.03165493568</v>
          </cell>
        </row>
        <row r="1180">
          <cell r="C1180">
            <v>933805934</v>
          </cell>
          <cell r="D1180">
            <v>347919.62</v>
          </cell>
          <cell r="E1180">
            <v>938508146</v>
          </cell>
          <cell r="F1180">
            <v>629629.28</v>
          </cell>
          <cell r="G1180">
            <v>224538.55121568454</v>
          </cell>
          <cell r="H1180">
            <v>40509.072878431551</v>
          </cell>
          <cell r="I1180">
            <v>445599.80166274705</v>
          </cell>
        </row>
        <row r="1181">
          <cell r="C1181">
            <v>933805870</v>
          </cell>
          <cell r="D1181">
            <v>449034.8</v>
          </cell>
          <cell r="E1181">
            <v>938805067</v>
          </cell>
          <cell r="F1181">
            <v>423530</v>
          </cell>
          <cell r="G1181">
            <v>151039.37446552495</v>
          </cell>
          <cell r="H1181">
            <v>27249.062553447508</v>
          </cell>
          <cell r="I1181">
            <v>299739.68808792258</v>
          </cell>
        </row>
        <row r="1182">
          <cell r="C1182">
            <v>933805720</v>
          </cell>
          <cell r="D1182">
            <v>187034.67</v>
          </cell>
          <cell r="E1182">
            <v>938508155</v>
          </cell>
          <cell r="F1182">
            <v>795920.64</v>
          </cell>
          <cell r="G1182">
            <v>283841.41758505959</v>
          </cell>
          <cell r="H1182">
            <v>51207.922241494038</v>
          </cell>
          <cell r="I1182">
            <v>563287.14465643442</v>
          </cell>
        </row>
        <row r="1183">
          <cell r="C1183">
            <v>933806002</v>
          </cell>
          <cell r="D1183">
            <v>319875.25</v>
          </cell>
          <cell r="E1183">
            <v>933806156</v>
          </cell>
          <cell r="F1183">
            <v>1003007</v>
          </cell>
          <cell r="G1183">
            <v>357692.60705154954</v>
          </cell>
          <cell r="H1183">
            <v>64531.439294845055</v>
          </cell>
          <cell r="I1183">
            <v>709845.83224329562</v>
          </cell>
        </row>
        <row r="1184">
          <cell r="C1184">
            <v>933805837</v>
          </cell>
          <cell r="D1184">
            <v>515195.11</v>
          </cell>
          <cell r="E1184">
            <v>938508134</v>
          </cell>
          <cell r="F1184">
            <v>135600</v>
          </cell>
          <cell r="G1184">
            <v>48357.705894565166</v>
          </cell>
          <cell r="H1184">
            <v>8724.229410543483</v>
          </cell>
          <cell r="I1184">
            <v>95966.523515978319</v>
          </cell>
        </row>
        <row r="1185">
          <cell r="C1185">
            <v>933805849</v>
          </cell>
          <cell r="D1185">
            <v>423416.97</v>
          </cell>
          <cell r="E1185">
            <v>938508152</v>
          </cell>
          <cell r="F1185">
            <v>306487.64</v>
          </cell>
          <cell r="G1185">
            <v>109299.698786426</v>
          </cell>
          <cell r="H1185">
            <v>19718.794121357401</v>
          </cell>
          <cell r="I1185">
            <v>216906.73533493144</v>
          </cell>
        </row>
        <row r="1186">
          <cell r="C1186">
            <v>933805709</v>
          </cell>
          <cell r="D1186">
            <v>376393.99</v>
          </cell>
          <cell r="E1186">
            <v>933806024</v>
          </cell>
          <cell r="F1186">
            <v>306749</v>
          </cell>
          <cell r="G1186">
            <v>109392.90505495554</v>
          </cell>
          <cell r="H1186">
            <v>19735.609494504446</v>
          </cell>
          <cell r="I1186">
            <v>217091.70443954889</v>
          </cell>
        </row>
        <row r="1187">
          <cell r="C1187">
            <v>933805624</v>
          </cell>
          <cell r="D1187">
            <v>1150678.02</v>
          </cell>
          <cell r="E1187">
            <v>933806820</v>
          </cell>
          <cell r="F1187">
            <v>202871</v>
          </cell>
          <cell r="G1187">
            <v>72347.906729618946</v>
          </cell>
          <cell r="H1187">
            <v>13052.309327038105</v>
          </cell>
          <cell r="I1187">
            <v>143575.40259741916</v>
          </cell>
        </row>
        <row r="1188">
          <cell r="C1188">
            <v>933805658</v>
          </cell>
          <cell r="D1188">
            <v>342213.85</v>
          </cell>
          <cell r="E1188">
            <v>933806718</v>
          </cell>
          <cell r="F1188">
            <v>689719</v>
          </cell>
          <cell r="G1188">
            <v>245967.76218210612</v>
          </cell>
          <cell r="H1188">
            <v>44375.123781789385</v>
          </cell>
          <cell r="I1188">
            <v>488126.36159968324</v>
          </cell>
        </row>
        <row r="1189">
          <cell r="C1189">
            <v>933805848</v>
          </cell>
          <cell r="D1189">
            <v>335080.46999999997</v>
          </cell>
          <cell r="E1189">
            <v>933806824</v>
          </cell>
          <cell r="F1189">
            <v>345207</v>
          </cell>
          <cell r="G1189">
            <v>123107.80662791412</v>
          </cell>
          <cell r="H1189">
            <v>22209.919337208587</v>
          </cell>
          <cell r="I1189">
            <v>244309.11270929445</v>
          </cell>
        </row>
        <row r="1190">
          <cell r="C1190">
            <v>933805859</v>
          </cell>
          <cell r="D1190">
            <v>333727.65999999997</v>
          </cell>
          <cell r="E1190">
            <v>933806731</v>
          </cell>
          <cell r="F1190">
            <v>345960.09</v>
          </cell>
          <cell r="G1190">
            <v>123376.37377195645</v>
          </cell>
          <cell r="H1190">
            <v>22258.371622804356</v>
          </cell>
          <cell r="I1190">
            <v>244842.08785084792</v>
          </cell>
        </row>
        <row r="1191">
          <cell r="C1191">
            <v>933805732</v>
          </cell>
          <cell r="D1191">
            <v>310262.01</v>
          </cell>
          <cell r="E1191">
            <v>933806257</v>
          </cell>
          <cell r="F1191">
            <v>237866</v>
          </cell>
          <cell r="G1191">
            <v>84827.832376966355</v>
          </cell>
          <cell r="H1191">
            <v>15303.816762303362</v>
          </cell>
          <cell r="I1191">
            <v>168341.98438533698</v>
          </cell>
        </row>
        <row r="1192">
          <cell r="C1192">
            <v>933805841</v>
          </cell>
          <cell r="D1192">
            <v>553447.15</v>
          </cell>
          <cell r="E1192">
            <v>933806648</v>
          </cell>
          <cell r="F1192">
            <v>72256</v>
          </cell>
          <cell r="G1192">
            <v>25767.952781103984</v>
          </cell>
          <cell r="H1192">
            <v>4648.8047218896008</v>
          </cell>
          <cell r="I1192">
            <v>51136.851940785615</v>
          </cell>
        </row>
        <row r="1193">
          <cell r="C1193">
            <v>933805644</v>
          </cell>
          <cell r="D1193">
            <v>215886.7</v>
          </cell>
          <cell r="E1193">
            <v>933806695</v>
          </cell>
          <cell r="F1193">
            <v>372664</v>
          </cell>
          <cell r="G1193">
            <v>132899.52883106365</v>
          </cell>
          <cell r="H1193">
            <v>23976.447116893632</v>
          </cell>
          <cell r="I1193">
            <v>263740.91828583</v>
          </cell>
        </row>
        <row r="1194">
          <cell r="C1194">
            <v>933805783</v>
          </cell>
          <cell r="D1194">
            <v>313453.18</v>
          </cell>
          <cell r="E1194">
            <v>933806729</v>
          </cell>
          <cell r="F1194">
            <v>225076</v>
          </cell>
          <cell r="G1194">
            <v>80266.65937997897</v>
          </cell>
          <cell r="H1194">
            <v>14480.934062002105</v>
          </cell>
          <cell r="I1194">
            <v>159290.27468202316</v>
          </cell>
        </row>
        <row r="1195">
          <cell r="C1195">
            <v>933806132</v>
          </cell>
          <cell r="D1195">
            <v>308021.5</v>
          </cell>
          <cell r="E1195">
            <v>933806907</v>
          </cell>
          <cell r="F1195">
            <v>102392.64</v>
          </cell>
          <cell r="G1195">
            <v>36515.288870856108</v>
          </cell>
          <cell r="H1195">
            <v>6587.7351129143899</v>
          </cell>
          <cell r="I1195">
            <v>72465.086242058285</v>
          </cell>
        </row>
        <row r="1196">
          <cell r="C1196">
            <v>933806082</v>
          </cell>
          <cell r="D1196">
            <v>426059.22</v>
          </cell>
          <cell r="E1196">
            <v>933806645</v>
          </cell>
          <cell r="F1196">
            <v>327178</v>
          </cell>
          <cell r="G1196">
            <v>116678.30014138673</v>
          </cell>
          <cell r="H1196">
            <v>21049.969985861328</v>
          </cell>
          <cell r="I1196">
            <v>231549.66984447459</v>
          </cell>
        </row>
        <row r="1197">
          <cell r="C1197">
            <v>933806091</v>
          </cell>
          <cell r="D1197">
            <v>297627.75</v>
          </cell>
          <cell r="E1197">
            <v>933806752</v>
          </cell>
          <cell r="F1197">
            <v>173437</v>
          </cell>
          <cell r="G1197">
            <v>61851.146292298654</v>
          </cell>
          <cell r="H1197">
            <v>11158.585370770134</v>
          </cell>
          <cell r="I1197">
            <v>122744.43907847148</v>
          </cell>
        </row>
        <row r="1198">
          <cell r="C1198">
            <v>933806125</v>
          </cell>
          <cell r="D1198">
            <v>319769.21000000002</v>
          </cell>
          <cell r="E1198">
            <v>933806732</v>
          </cell>
          <cell r="F1198">
            <v>49090</v>
          </cell>
          <cell r="G1198">
            <v>17506.488070532476</v>
          </cell>
          <cell r="H1198">
            <v>3158.3511929467522</v>
          </cell>
          <cell r="I1198">
            <v>34741.863122414274</v>
          </cell>
        </row>
        <row r="1199">
          <cell r="C1199">
            <v>933806074</v>
          </cell>
          <cell r="D1199">
            <v>1217747.95</v>
          </cell>
          <cell r="E1199">
            <v>933805627</v>
          </cell>
          <cell r="F1199">
            <v>361207</v>
          </cell>
          <cell r="G1199">
            <v>128813.73062727285</v>
          </cell>
          <cell r="H1199">
            <v>23239.326937272715</v>
          </cell>
          <cell r="I1199">
            <v>255632.59630999985</v>
          </cell>
        </row>
        <row r="1200">
          <cell r="C1200">
            <v>933806108</v>
          </cell>
          <cell r="D1200">
            <v>167208.41</v>
          </cell>
          <cell r="E1200">
            <v>933805222</v>
          </cell>
          <cell r="F1200">
            <v>278993</v>
          </cell>
          <cell r="G1200">
            <v>99494.553397067983</v>
          </cell>
          <cell r="H1200">
            <v>17949.844660293198</v>
          </cell>
          <cell r="I1200">
            <v>197448.2912632252</v>
          </cell>
        </row>
        <row r="1201">
          <cell r="C1201">
            <v>933806016</v>
          </cell>
          <cell r="D1201">
            <v>388947.51</v>
          </cell>
          <cell r="E1201">
            <v>933806357</v>
          </cell>
          <cell r="F1201">
            <v>535144</v>
          </cell>
          <cell r="G1201">
            <v>190843.18704455145</v>
          </cell>
          <cell r="H1201">
            <v>34430.081295544849</v>
          </cell>
          <cell r="I1201">
            <v>378730.89425099338</v>
          </cell>
        </row>
        <row r="1202">
          <cell r="C1202">
            <v>933806186</v>
          </cell>
          <cell r="D1202">
            <v>357563.57</v>
          </cell>
          <cell r="E1202">
            <v>933805145</v>
          </cell>
          <cell r="F1202">
            <v>466014</v>
          </cell>
          <cell r="G1202">
            <v>166190.02916482219</v>
          </cell>
          <cell r="H1202">
            <v>29982.397083517779</v>
          </cell>
          <cell r="I1202">
            <v>329806.36791869561</v>
          </cell>
        </row>
        <row r="1203">
          <cell r="C1203">
            <v>933806195</v>
          </cell>
          <cell r="D1203">
            <v>234919.84</v>
          </cell>
          <cell r="E1203">
            <v>933805193</v>
          </cell>
          <cell r="F1203">
            <v>434813</v>
          </cell>
          <cell r="G1203">
            <v>155063.12074582273</v>
          </cell>
          <cell r="H1203">
            <v>27974.987925417725</v>
          </cell>
          <cell r="I1203">
            <v>307724.86717959499</v>
          </cell>
        </row>
        <row r="1204">
          <cell r="C1204">
            <v>933806208</v>
          </cell>
          <cell r="D1204">
            <v>254709.53</v>
          </cell>
          <cell r="E1204">
            <v>933806910</v>
          </cell>
          <cell r="F1204">
            <v>468806</v>
          </cell>
          <cell r="G1204">
            <v>167185.71290271031</v>
          </cell>
          <cell r="H1204">
            <v>30162.028709728969</v>
          </cell>
          <cell r="I1204">
            <v>331782.31580701866</v>
          </cell>
        </row>
        <row r="1205">
          <cell r="C1205">
            <v>933806307</v>
          </cell>
          <cell r="D1205">
            <v>608115.25</v>
          </cell>
          <cell r="E1205">
            <v>933806721</v>
          </cell>
          <cell r="F1205">
            <v>563578</v>
          </cell>
          <cell r="G1205">
            <v>200983.32723191183</v>
          </cell>
          <cell r="H1205">
            <v>36259.467276808813</v>
          </cell>
          <cell r="I1205">
            <v>398854.14004489698</v>
          </cell>
        </row>
        <row r="1206">
          <cell r="C1206">
            <v>933806215</v>
          </cell>
          <cell r="D1206">
            <v>133541.31</v>
          </cell>
          <cell r="E1206">
            <v>933806746</v>
          </cell>
          <cell r="F1206">
            <v>52727</v>
          </cell>
          <cell r="G1206">
            <v>18803.515919636706</v>
          </cell>
          <cell r="H1206">
            <v>3392.3484080363296</v>
          </cell>
          <cell r="I1206">
            <v>37315.832488399625</v>
          </cell>
        </row>
        <row r="1207">
          <cell r="C1207">
            <v>933806212</v>
          </cell>
          <cell r="D1207">
            <v>250330.47</v>
          </cell>
          <cell r="E1207">
            <v>933805194</v>
          </cell>
          <cell r="F1207">
            <v>296849.64</v>
          </cell>
          <cell r="G1207">
            <v>105862.5928173123</v>
          </cell>
          <cell r="H1207">
            <v>19098.704718268775</v>
          </cell>
          <cell r="I1207">
            <v>210085.7519009565</v>
          </cell>
        </row>
        <row r="1208">
          <cell r="C1208">
            <v>933806240</v>
          </cell>
          <cell r="D1208">
            <v>391770.81</v>
          </cell>
          <cell r="E1208">
            <v>933805158</v>
          </cell>
          <cell r="F1208">
            <v>418812</v>
          </cell>
          <cell r="G1208">
            <v>149356.84012621405</v>
          </cell>
          <cell r="H1208">
            <v>26945.515987378592</v>
          </cell>
          <cell r="I1208">
            <v>296400.67586116452</v>
          </cell>
        </row>
        <row r="1209">
          <cell r="C1209">
            <v>933806437</v>
          </cell>
          <cell r="D1209">
            <v>281024.23</v>
          </cell>
          <cell r="E1209">
            <v>933806433</v>
          </cell>
          <cell r="F1209">
            <v>365171</v>
          </cell>
          <cell r="G1209">
            <v>130227.37329811398</v>
          </cell>
          <cell r="H1209">
            <v>23494.362670188602</v>
          </cell>
          <cell r="I1209">
            <v>258437.9893720746</v>
          </cell>
        </row>
        <row r="1210">
          <cell r="C1210">
            <v>933806205</v>
          </cell>
          <cell r="D1210">
            <v>1349561.08</v>
          </cell>
          <cell r="E1210">
            <v>933806000</v>
          </cell>
          <cell r="F1210">
            <v>253356</v>
          </cell>
          <cell r="G1210">
            <v>90351.880048845502</v>
          </cell>
          <cell r="H1210">
            <v>16300.411995115452</v>
          </cell>
          <cell r="I1210">
            <v>179304.53194626997</v>
          </cell>
        </row>
        <row r="1211">
          <cell r="C1211">
            <v>933806432</v>
          </cell>
          <cell r="D1211">
            <v>210039.33</v>
          </cell>
          <cell r="E1211">
            <v>933805140</v>
          </cell>
          <cell r="F1211">
            <v>283892</v>
          </cell>
          <cell r="G1211">
            <v>101241.63600162163</v>
          </cell>
          <cell r="H1211">
            <v>18265.036399837838</v>
          </cell>
          <cell r="I1211">
            <v>200915.40039821621</v>
          </cell>
        </row>
        <row r="1212">
          <cell r="C1212">
            <v>933806435</v>
          </cell>
          <cell r="D1212">
            <v>431311.42</v>
          </cell>
          <cell r="E1212">
            <v>933805159</v>
          </cell>
          <cell r="F1212">
            <v>719475</v>
          </cell>
          <cell r="G1212">
            <v>256579.35433991349</v>
          </cell>
          <cell r="H1212">
            <v>46289.564566008652</v>
          </cell>
          <cell r="I1212">
            <v>509185.21022609517</v>
          </cell>
        </row>
        <row r="1213">
          <cell r="C1213">
            <v>933806482</v>
          </cell>
          <cell r="D1213">
            <v>367548.63</v>
          </cell>
          <cell r="E1213">
            <v>933806821</v>
          </cell>
          <cell r="F1213">
            <v>399188</v>
          </cell>
          <cell r="G1213">
            <v>142358.52434100059</v>
          </cell>
          <cell r="H1213">
            <v>25682.94756589994</v>
          </cell>
          <cell r="I1213">
            <v>282512.42322489934</v>
          </cell>
        </row>
        <row r="1214">
          <cell r="C1214">
            <v>933806544</v>
          </cell>
          <cell r="D1214">
            <v>279047.64</v>
          </cell>
          <cell r="E1214">
            <v>933806758</v>
          </cell>
          <cell r="F1214">
            <v>351378</v>
          </cell>
          <cell r="G1214">
            <v>125308.51019041681</v>
          </cell>
          <cell r="H1214">
            <v>22606.948980958317</v>
          </cell>
          <cell r="I1214">
            <v>248676.43879054149</v>
          </cell>
        </row>
        <row r="1215">
          <cell r="C1215">
            <v>933806562</v>
          </cell>
          <cell r="D1215">
            <v>281901.32</v>
          </cell>
          <cell r="E1215">
            <v>933805133</v>
          </cell>
          <cell r="F1215">
            <v>125903</v>
          </cell>
          <cell r="G1215">
            <v>44899.559330703814</v>
          </cell>
          <cell r="H1215">
            <v>8100.3440669296197</v>
          </cell>
          <cell r="I1215">
            <v>89103.784736225818</v>
          </cell>
        </row>
        <row r="1216">
          <cell r="C1216">
            <v>933806462</v>
          </cell>
          <cell r="D1216">
            <v>451447.09</v>
          </cell>
          <cell r="E1216">
            <v>933805138</v>
          </cell>
          <cell r="F1216">
            <v>436643</v>
          </cell>
          <cell r="G1216">
            <v>155715.73580324938</v>
          </cell>
          <cell r="H1216">
            <v>28092.726419675062</v>
          </cell>
          <cell r="I1216">
            <v>309019.99061642564</v>
          </cell>
        </row>
        <row r="1217">
          <cell r="C1217">
            <v>933805792</v>
          </cell>
          <cell r="D1217">
            <v>295189.58</v>
          </cell>
          <cell r="E1217">
            <v>938805342</v>
          </cell>
          <cell r="F1217">
            <v>704989</v>
          </cell>
          <cell r="G1217">
            <v>251413.35339899408</v>
          </cell>
          <cell r="H1217">
            <v>45357.564660100594</v>
          </cell>
          <cell r="I1217">
            <v>498933.21126110654</v>
          </cell>
        </row>
        <row r="1218">
          <cell r="C1218">
            <v>933806710</v>
          </cell>
          <cell r="D1218">
            <v>252794.37</v>
          </cell>
          <cell r="E1218">
            <v>938805171</v>
          </cell>
          <cell r="F1218">
            <v>209501.64</v>
          </cell>
          <cell r="G1218">
            <v>74712.527223813187</v>
          </cell>
          <cell r="H1218">
            <v>13478.911277618683</v>
          </cell>
          <cell r="I1218">
            <v>148268.02405380554</v>
          </cell>
        </row>
        <row r="1219">
          <cell r="C1219">
            <v>933806820</v>
          </cell>
          <cell r="D1219">
            <v>218509.08</v>
          </cell>
          <cell r="E1219">
            <v>938806077</v>
          </cell>
          <cell r="F1219">
            <v>1202529</v>
          </cell>
          <cell r="G1219">
            <v>428846.19256405276</v>
          </cell>
          <cell r="H1219">
            <v>77368.280743594732</v>
          </cell>
          <cell r="I1219">
            <v>851051.08817954198</v>
          </cell>
        </row>
        <row r="1220">
          <cell r="C1220">
            <v>933805917</v>
          </cell>
          <cell r="D1220">
            <v>364838.92</v>
          </cell>
          <cell r="E1220">
            <v>938805253</v>
          </cell>
          <cell r="F1220">
            <v>594090</v>
          </cell>
          <cell r="G1220">
            <v>211864.52429868892</v>
          </cell>
          <cell r="H1220">
            <v>38222.547570131108</v>
          </cell>
          <cell r="I1220">
            <v>420448.02327144216</v>
          </cell>
        </row>
        <row r="1221">
          <cell r="C1221">
            <v>933806470</v>
          </cell>
          <cell r="D1221">
            <v>208162.72</v>
          </cell>
          <cell r="E1221">
            <v>938805269</v>
          </cell>
          <cell r="F1221">
            <v>555649</v>
          </cell>
          <cell r="G1221">
            <v>198155.68526997964</v>
          </cell>
          <cell r="H1221">
            <v>35749.331473002036</v>
          </cell>
          <cell r="I1221">
            <v>393242.64620302239</v>
          </cell>
        </row>
        <row r="1222">
          <cell r="C1222">
            <v>933806718</v>
          </cell>
          <cell r="D1222">
            <v>274248.08</v>
          </cell>
          <cell r="E1222">
            <v>938806700</v>
          </cell>
          <cell r="F1222">
            <v>355819.8</v>
          </cell>
          <cell r="G1222">
            <v>126892.54601668876</v>
          </cell>
          <cell r="H1222">
            <v>22892.725398331128</v>
          </cell>
          <cell r="I1222">
            <v>251819.97938164236</v>
          </cell>
        </row>
        <row r="1223">
          <cell r="C1223">
            <v>933806940</v>
          </cell>
          <cell r="D1223">
            <v>167886.11</v>
          </cell>
          <cell r="E1223">
            <v>938806075</v>
          </cell>
          <cell r="F1223">
            <v>785565.64</v>
          </cell>
          <cell r="G1223">
            <v>280148.61489672464</v>
          </cell>
          <cell r="H1223">
            <v>50541.702510327537</v>
          </cell>
          <cell r="I1223">
            <v>555958.72761360288</v>
          </cell>
        </row>
        <row r="1224">
          <cell r="C1224">
            <v>933806735</v>
          </cell>
          <cell r="D1224">
            <v>322710.78000000003</v>
          </cell>
          <cell r="E1224">
            <v>938806081</v>
          </cell>
          <cell r="F1224">
            <v>250846.64</v>
          </cell>
          <cell r="G1224">
            <v>89456.99145840609</v>
          </cell>
          <cell r="H1224">
            <v>16138.964854159392</v>
          </cell>
          <cell r="I1224">
            <v>177528.61339575332</v>
          </cell>
        </row>
        <row r="1225">
          <cell r="C1225">
            <v>933806625</v>
          </cell>
          <cell r="D1225">
            <v>209776.08</v>
          </cell>
          <cell r="E1225">
            <v>938806603</v>
          </cell>
          <cell r="F1225">
            <v>172353</v>
          </cell>
          <cell r="G1225">
            <v>61464.569941342103</v>
          </cell>
          <cell r="H1225">
            <v>11088.843005865789</v>
          </cell>
          <cell r="I1225">
            <v>121977.27306452367</v>
          </cell>
        </row>
        <row r="1226">
          <cell r="C1226">
            <v>933806647</v>
          </cell>
          <cell r="D1226">
            <v>421526.56</v>
          </cell>
          <cell r="E1226">
            <v>938805181</v>
          </cell>
          <cell r="F1226">
            <v>178372</v>
          </cell>
          <cell r="G1226">
            <v>63611.067225850857</v>
          </cell>
          <cell r="H1226">
            <v>11476.093277414913</v>
          </cell>
          <cell r="I1226">
            <v>126237.02605156405</v>
          </cell>
        </row>
        <row r="1227">
          <cell r="C1227">
            <v>933806626</v>
          </cell>
          <cell r="D1227">
            <v>173655.9</v>
          </cell>
          <cell r="E1227">
            <v>933800236</v>
          </cell>
          <cell r="F1227">
            <v>434215</v>
          </cell>
          <cell r="G1227">
            <v>154849.86183634668</v>
          </cell>
          <cell r="H1227">
            <v>27936.513816365328</v>
          </cell>
          <cell r="I1227">
            <v>307301.65198001865</v>
          </cell>
        </row>
        <row r="1228">
          <cell r="C1228">
            <v>933806733</v>
          </cell>
          <cell r="D1228">
            <v>353025.53</v>
          </cell>
          <cell r="E1228">
            <v>933806270</v>
          </cell>
          <cell r="F1228">
            <v>206738.64</v>
          </cell>
          <cell r="G1228">
            <v>73727.185473173944</v>
          </cell>
          <cell r="H1228">
            <v>13301.145452682606</v>
          </cell>
          <cell r="I1228">
            <v>146312.59997950867</v>
          </cell>
        </row>
        <row r="1229">
          <cell r="C1229">
            <v>933806412</v>
          </cell>
          <cell r="D1229">
            <v>433136.88</v>
          </cell>
          <cell r="E1229">
            <v>933806627</v>
          </cell>
          <cell r="F1229">
            <v>361401</v>
          </cell>
          <cell r="G1229">
            <v>128882.91495576508</v>
          </cell>
          <cell r="H1229">
            <v>23251.808504423494</v>
          </cell>
          <cell r="I1229">
            <v>255769.89354865844</v>
          </cell>
        </row>
        <row r="1230">
          <cell r="C1230">
            <v>933806056</v>
          </cell>
          <cell r="D1230">
            <v>255456.15</v>
          </cell>
          <cell r="E1230">
            <v>938805248</v>
          </cell>
          <cell r="F1230">
            <v>150312</v>
          </cell>
          <cell r="G1230">
            <v>53604.303011975506</v>
          </cell>
          <cell r="H1230">
            <v>9670.7696988024491</v>
          </cell>
          <cell r="I1230">
            <v>106378.46668682694</v>
          </cell>
        </row>
        <row r="1231">
          <cell r="C1231">
            <v>933805581</v>
          </cell>
          <cell r="D1231">
            <v>563134.89</v>
          </cell>
          <cell r="E1231">
            <v>933806366</v>
          </cell>
          <cell r="F1231">
            <v>456146</v>
          </cell>
          <cell r="G1231">
            <v>162670.90053821771</v>
          </cell>
          <cell r="H1231">
            <v>29347.509946178227</v>
          </cell>
          <cell r="I1231">
            <v>322822.6094079605</v>
          </cell>
        </row>
        <row r="1232">
          <cell r="C1232">
            <v>933805652</v>
          </cell>
          <cell r="D1232">
            <v>491510.48</v>
          </cell>
          <cell r="E1232">
            <v>933805887</v>
          </cell>
          <cell r="F1232">
            <v>489345.91</v>
          </cell>
          <cell r="G1232">
            <v>174510.66074106455</v>
          </cell>
          <cell r="H1232">
            <v>31483.524925893544</v>
          </cell>
          <cell r="I1232">
            <v>346318.77418482897</v>
          </cell>
        </row>
        <row r="1233">
          <cell r="C1233">
            <v>933806285</v>
          </cell>
          <cell r="D1233">
            <v>624698.22</v>
          </cell>
          <cell r="E1233">
            <v>933806635</v>
          </cell>
          <cell r="F1233">
            <v>548752</v>
          </cell>
          <cell r="G1233">
            <v>195696.07540600607</v>
          </cell>
          <cell r="H1233">
            <v>35305.592459399391</v>
          </cell>
          <cell r="I1233">
            <v>388361.5170533933</v>
          </cell>
        </row>
        <row r="1234">
          <cell r="C1234">
            <v>933805666</v>
          </cell>
          <cell r="D1234">
            <v>563664.47</v>
          </cell>
          <cell r="E1234">
            <v>938805246</v>
          </cell>
          <cell r="F1234">
            <v>1017754</v>
          </cell>
          <cell r="G1234">
            <v>362951.68587770849</v>
          </cell>
          <cell r="H1234">
            <v>65480.23141222915</v>
          </cell>
          <cell r="I1234">
            <v>720282.54553452064</v>
          </cell>
        </row>
        <row r="1235">
          <cell r="C1235">
            <v>933805251</v>
          </cell>
          <cell r="D1235">
            <v>265535.65000000002</v>
          </cell>
          <cell r="E1235">
            <v>938508140</v>
          </cell>
          <cell r="F1235">
            <v>299784</v>
          </cell>
          <cell r="G1235">
            <v>106909.04501398468</v>
          </cell>
          <cell r="H1235">
            <v>19287.495498601533</v>
          </cell>
          <cell r="I1235">
            <v>212162.45048461686</v>
          </cell>
        </row>
        <row r="1236">
          <cell r="C1236">
            <v>933805254</v>
          </cell>
          <cell r="D1236">
            <v>527342.43999999994</v>
          </cell>
          <cell r="E1236">
            <v>938805340</v>
          </cell>
          <cell r="F1236">
            <v>355132</v>
          </cell>
          <cell r="G1236">
            <v>126647.26260876632</v>
          </cell>
          <cell r="H1236">
            <v>22848.473739123368</v>
          </cell>
          <cell r="I1236">
            <v>251333.21113035706</v>
          </cell>
        </row>
        <row r="1237">
          <cell r="C1237">
            <v>933805285</v>
          </cell>
          <cell r="D1237">
            <v>968636.79</v>
          </cell>
          <cell r="E1237">
            <v>938805275</v>
          </cell>
          <cell r="F1237">
            <v>301227</v>
          </cell>
          <cell r="G1237">
            <v>107423.64803467685</v>
          </cell>
          <cell r="H1237">
            <v>19380.335196532313</v>
          </cell>
          <cell r="I1237">
            <v>213183.68716185546</v>
          </cell>
        </row>
        <row r="1238">
          <cell r="C1238">
            <v>933805288</v>
          </cell>
          <cell r="D1238">
            <v>461105.62</v>
          </cell>
          <cell r="E1238">
            <v>938805290</v>
          </cell>
          <cell r="F1238">
            <v>66362.91</v>
          </cell>
          <cell r="G1238">
            <v>23666.35755226768</v>
          </cell>
          <cell r="H1238">
            <v>4269.655244773232</v>
          </cell>
          <cell r="I1238">
            <v>46966.207692505552</v>
          </cell>
        </row>
        <row r="1239">
          <cell r="C1239">
            <v>933805277</v>
          </cell>
          <cell r="D1239">
            <v>500888.37</v>
          </cell>
          <cell r="E1239">
            <v>938805106</v>
          </cell>
          <cell r="F1239">
            <v>65397</v>
          </cell>
          <cell r="G1239">
            <v>23321.894486628895</v>
          </cell>
          <cell r="H1239">
            <v>4207.5105513371109</v>
          </cell>
          <cell r="I1239">
            <v>46282.616064708214</v>
          </cell>
        </row>
        <row r="1240">
          <cell r="C1240">
            <v>933805346</v>
          </cell>
          <cell r="D1240">
            <v>601164.67000000004</v>
          </cell>
          <cell r="E1240">
            <v>938805304</v>
          </cell>
          <cell r="F1240">
            <v>52727</v>
          </cell>
          <cell r="G1240">
            <v>18803.515919636706</v>
          </cell>
          <cell r="H1240">
            <v>3392.3484080363296</v>
          </cell>
          <cell r="I1240">
            <v>37315.832488399625</v>
          </cell>
        </row>
        <row r="1241">
          <cell r="C1241">
            <v>933805297</v>
          </cell>
          <cell r="D1241">
            <v>195664.64000000001</v>
          </cell>
          <cell r="E1241">
            <v>938805348</v>
          </cell>
          <cell r="F1241">
            <v>109396</v>
          </cell>
          <cell r="G1241">
            <v>39012.828864615418</v>
          </cell>
          <cell r="H1241">
            <v>7038.3171135384591</v>
          </cell>
          <cell r="I1241">
            <v>77421.488248923051</v>
          </cell>
        </row>
        <row r="1242">
          <cell r="C1242">
            <v>933805593</v>
          </cell>
          <cell r="D1242">
            <v>481012.59</v>
          </cell>
          <cell r="E1242">
            <v>938805146</v>
          </cell>
          <cell r="F1242">
            <v>395751</v>
          </cell>
          <cell r="G1242">
            <v>141132.82054188833</v>
          </cell>
          <cell r="H1242">
            <v>25461.817945811166</v>
          </cell>
          <cell r="I1242">
            <v>280079.99740392284</v>
          </cell>
        </row>
        <row r="1243">
          <cell r="C1243">
            <v>933805314</v>
          </cell>
          <cell r="D1243">
            <v>340045.04</v>
          </cell>
          <cell r="E1243">
            <v>938805386</v>
          </cell>
          <cell r="F1243">
            <v>198686</v>
          </cell>
          <cell r="G1243">
            <v>70855.450983536677</v>
          </cell>
          <cell r="H1243">
            <v>12783.054901646332</v>
          </cell>
          <cell r="I1243">
            <v>140613.60391810964</v>
          </cell>
        </row>
        <row r="1244">
          <cell r="C1244">
            <v>933805349</v>
          </cell>
          <cell r="D1244">
            <v>415437.47</v>
          </cell>
          <cell r="E1244">
            <v>938805135</v>
          </cell>
          <cell r="F1244">
            <v>488948</v>
          </cell>
          <cell r="G1244">
            <v>174368.757977403</v>
          </cell>
          <cell r="H1244">
            <v>31457.924202259699</v>
          </cell>
          <cell r="I1244">
            <v>346037.16622485669</v>
          </cell>
        </row>
        <row r="1245">
          <cell r="C1245">
            <v>933806420</v>
          </cell>
          <cell r="D1245">
            <v>517758.75</v>
          </cell>
          <cell r="E1245">
            <v>938805112</v>
          </cell>
          <cell r="F1245">
            <v>131937</v>
          </cell>
          <cell r="G1245">
            <v>47051.405918961973</v>
          </cell>
          <cell r="H1245">
            <v>8488.5594081038034</v>
          </cell>
          <cell r="I1245">
            <v>93374.153489141827</v>
          </cell>
        </row>
        <row r="1246">
          <cell r="C1246">
            <v>933805250</v>
          </cell>
          <cell r="D1246">
            <v>86248.34</v>
          </cell>
          <cell r="E1246">
            <v>938805195</v>
          </cell>
          <cell r="F1246">
            <v>201597</v>
          </cell>
          <cell r="G1246">
            <v>71893.572531170008</v>
          </cell>
          <cell r="H1246">
            <v>12970.342746883</v>
          </cell>
          <cell r="I1246">
            <v>142673.77021571298</v>
          </cell>
        </row>
        <row r="1247">
          <cell r="C1247">
            <v>933805287</v>
          </cell>
          <cell r="D1247">
            <v>454786.87</v>
          </cell>
          <cell r="E1247">
            <v>938805108</v>
          </cell>
          <cell r="F1247">
            <v>159017</v>
          </cell>
          <cell r="G1247">
            <v>56708.682287876611</v>
          </cell>
          <cell r="H1247">
            <v>10230.831771212339</v>
          </cell>
          <cell r="I1247">
            <v>112539.14948333573</v>
          </cell>
        </row>
        <row r="1248">
          <cell r="C1248">
            <v>933805176</v>
          </cell>
          <cell r="D1248">
            <v>199223.9</v>
          </cell>
          <cell r="E1248">
            <v>938805430</v>
          </cell>
          <cell r="F1248">
            <v>76191</v>
          </cell>
          <cell r="G1248">
            <v>27171.25346469627</v>
          </cell>
          <cell r="H1248">
            <v>4901.9746535303721</v>
          </cell>
          <cell r="I1248">
            <v>53921.721188834097</v>
          </cell>
        </row>
        <row r="1249">
          <cell r="C1249">
            <v>933805337</v>
          </cell>
          <cell r="D1249">
            <v>44545</v>
          </cell>
          <cell r="E1249">
            <v>938805481</v>
          </cell>
          <cell r="F1249">
            <v>418591</v>
          </cell>
          <cell r="G1249">
            <v>149278.02705097292</v>
          </cell>
          <cell r="H1249">
            <v>26931.29729490271</v>
          </cell>
          <cell r="I1249">
            <v>296244.27024392982</v>
          </cell>
        </row>
        <row r="1250">
          <cell r="C1250">
            <v>933800236</v>
          </cell>
          <cell r="D1250">
            <v>71533.820000000007</v>
          </cell>
          <cell r="E1250">
            <v>938806181</v>
          </cell>
          <cell r="F1250">
            <v>197431</v>
          </cell>
          <cell r="G1250">
            <v>70407.892569836971</v>
          </cell>
          <cell r="H1250">
            <v>12702.310743016302</v>
          </cell>
          <cell r="I1250">
            <v>139725.41817317932</v>
          </cell>
        </row>
        <row r="1251">
          <cell r="C1251">
            <v>938805067</v>
          </cell>
          <cell r="D1251">
            <v>516290.8</v>
          </cell>
          <cell r="E1251">
            <v>938807020</v>
          </cell>
          <cell r="F1251">
            <v>491606.91</v>
          </cell>
          <cell r="G1251">
            <v>175316.97912622392</v>
          </cell>
          <cell r="H1251">
            <v>31628.99308737761</v>
          </cell>
          <cell r="I1251">
            <v>347918.92396115372</v>
          </cell>
        </row>
        <row r="1252">
          <cell r="C1252">
            <v>908826231</v>
          </cell>
          <cell r="D1252">
            <v>222109.5</v>
          </cell>
          <cell r="E1252">
            <v>938805375</v>
          </cell>
          <cell r="F1252">
            <v>215905.64</v>
          </cell>
          <cell r="G1252">
            <v>76996.323304556528</v>
          </cell>
          <cell r="H1252">
            <v>13890.931669544347</v>
          </cell>
          <cell r="I1252">
            <v>152800.24836498781</v>
          </cell>
        </row>
        <row r="1253">
          <cell r="C1253">
            <v>933805312</v>
          </cell>
          <cell r="D1253">
            <v>88104.88</v>
          </cell>
          <cell r="E1253">
            <v>938806185</v>
          </cell>
          <cell r="F1253">
            <v>139609</v>
          </cell>
          <cell r="G1253">
            <v>49787.396476654481</v>
          </cell>
          <cell r="H1253">
            <v>8982.160352334553</v>
          </cell>
          <cell r="I1253">
            <v>98803.763875680073</v>
          </cell>
        </row>
        <row r="1254">
          <cell r="C1254">
            <v>933806310</v>
          </cell>
          <cell r="D1254">
            <v>189286.44</v>
          </cell>
          <cell r="E1254">
            <v>938806095</v>
          </cell>
          <cell r="F1254">
            <v>168651</v>
          </cell>
          <cell r="G1254">
            <v>60144.361775990481</v>
          </cell>
          <cell r="H1254">
            <v>10850.663822400951</v>
          </cell>
          <cell r="I1254">
            <v>119357.30204641046</v>
          </cell>
        </row>
        <row r="1255">
          <cell r="C1255">
            <v>933805143</v>
          </cell>
          <cell r="D1255">
            <v>235431.17</v>
          </cell>
          <cell r="E1255">
            <v>933806560</v>
          </cell>
          <cell r="F1255">
            <v>431036</v>
          </cell>
          <cell r="G1255">
            <v>153716.16606172413</v>
          </cell>
          <cell r="H1255">
            <v>27731.983393827588</v>
          </cell>
          <cell r="I1255">
            <v>305051.81733210344</v>
          </cell>
        </row>
        <row r="1256">
          <cell r="C1256">
            <v>933805162</v>
          </cell>
          <cell r="D1256">
            <v>629787.85</v>
          </cell>
          <cell r="E1256">
            <v>933806067</v>
          </cell>
          <cell r="F1256">
            <v>159387</v>
          </cell>
          <cell r="G1256">
            <v>56840.631780361779</v>
          </cell>
          <cell r="H1256">
            <v>10254.636821963823</v>
          </cell>
          <cell r="I1256">
            <v>112801.00504160204</v>
          </cell>
        </row>
        <row r="1257">
          <cell r="C1257">
            <v>933805145</v>
          </cell>
          <cell r="D1257">
            <v>226973.67</v>
          </cell>
          <cell r="E1257">
            <v>938806130</v>
          </cell>
          <cell r="F1257">
            <v>624034</v>
          </cell>
          <cell r="G1257">
            <v>222543.16106348875</v>
          </cell>
          <cell r="H1257">
            <v>40149.083893651121</v>
          </cell>
          <cell r="I1257">
            <v>441639.9228301624</v>
          </cell>
        </row>
        <row r="1258">
          <cell r="C1258">
            <v>933805156</v>
          </cell>
          <cell r="D1258">
            <v>1135802.99</v>
          </cell>
          <cell r="E1258">
            <v>938807056</v>
          </cell>
          <cell r="F1258">
            <v>190773</v>
          </cell>
          <cell r="G1258">
            <v>68033.514945603834</v>
          </cell>
          <cell r="H1258">
            <v>12273.948505439615</v>
          </cell>
          <cell r="I1258">
            <v>135013.43355983577</v>
          </cell>
        </row>
        <row r="1259">
          <cell r="C1259">
            <v>933805183</v>
          </cell>
          <cell r="D1259">
            <v>200426.38</v>
          </cell>
          <cell r="E1259">
            <v>938806970</v>
          </cell>
          <cell r="F1259">
            <v>217464</v>
          </cell>
          <cell r="G1259">
            <v>77552.066037284065</v>
          </cell>
          <cell r="H1259">
            <v>13991.193396271592</v>
          </cell>
          <cell r="I1259">
            <v>153903.12735898752</v>
          </cell>
        </row>
        <row r="1260">
          <cell r="C1260">
            <v>933806084</v>
          </cell>
          <cell r="D1260">
            <v>569934.21</v>
          </cell>
          <cell r="E1260">
            <v>933806827</v>
          </cell>
          <cell r="F1260">
            <v>415008</v>
          </cell>
          <cell r="G1260">
            <v>148000.25669536649</v>
          </cell>
          <cell r="H1260">
            <v>26700.774330463355</v>
          </cell>
          <cell r="I1260">
            <v>293708.51763509691</v>
          </cell>
        </row>
        <row r="1261">
          <cell r="C1261">
            <v>933803366</v>
          </cell>
          <cell r="D1261">
            <v>434877.2</v>
          </cell>
          <cell r="E1261">
            <v>938806265</v>
          </cell>
          <cell r="F1261">
            <v>862004</v>
          </cell>
          <cell r="G1261">
            <v>307408.08194645093</v>
          </cell>
          <cell r="H1261">
            <v>55459.591805354896</v>
          </cell>
          <cell r="I1261">
            <v>610055.50985890394</v>
          </cell>
        </row>
        <row r="1262">
          <cell r="C1262">
            <v>933806661</v>
          </cell>
          <cell r="D1262">
            <v>269818.83</v>
          </cell>
          <cell r="E1262">
            <v>938806252</v>
          </cell>
          <cell r="F1262">
            <v>235170</v>
          </cell>
          <cell r="G1262">
            <v>83866.384183074406</v>
          </cell>
          <cell r="H1262">
            <v>15130.361581692561</v>
          </cell>
          <cell r="I1262">
            <v>166433.97739861815</v>
          </cell>
        </row>
        <row r="1263">
          <cell r="C1263">
            <v>938805191</v>
          </cell>
          <cell r="D1263">
            <v>67970.820000000007</v>
          </cell>
          <cell r="E1263">
            <v>938806171</v>
          </cell>
          <cell r="F1263">
            <v>489653</v>
          </cell>
          <cell r="G1263">
            <v>174620.17525362474</v>
          </cell>
          <cell r="H1263">
            <v>31503.282474637526</v>
          </cell>
          <cell r="I1263">
            <v>346536.10722101282</v>
          </cell>
        </row>
        <row r="1264">
          <cell r="C1264">
            <v>938805113</v>
          </cell>
          <cell r="D1264">
            <v>85453</v>
          </cell>
          <cell r="E1264">
            <v>938806690</v>
          </cell>
          <cell r="F1264">
            <v>213753</v>
          </cell>
          <cell r="G1264">
            <v>76228.648289682795</v>
          </cell>
          <cell r="H1264">
            <v>13752.435171031719</v>
          </cell>
          <cell r="I1264">
            <v>151276.7868813489</v>
          </cell>
        </row>
        <row r="1265">
          <cell r="C1265">
            <v>938805121</v>
          </cell>
          <cell r="D1265">
            <v>564144.15</v>
          </cell>
          <cell r="E1265">
            <v>933805665</v>
          </cell>
          <cell r="F1265">
            <v>483449</v>
          </cell>
          <cell r="G1265">
            <v>172407.70322287339</v>
          </cell>
          <cell r="H1265">
            <v>31104.129677712663</v>
          </cell>
          <cell r="I1265">
            <v>342145.4264548393</v>
          </cell>
        </row>
        <row r="1266">
          <cell r="C1266">
            <v>938805249</v>
          </cell>
          <cell r="D1266">
            <v>397103.17</v>
          </cell>
          <cell r="E1266">
            <v>938806094</v>
          </cell>
          <cell r="F1266">
            <v>266922</v>
          </cell>
          <cell r="G1266">
            <v>95189.790359801787</v>
          </cell>
          <cell r="H1266">
            <v>17173.22096401982</v>
          </cell>
          <cell r="I1266">
            <v>188905.43060421804</v>
          </cell>
        </row>
        <row r="1267">
          <cell r="C1267">
            <v>938805148</v>
          </cell>
          <cell r="D1267">
            <v>212968.05</v>
          </cell>
          <cell r="E1267">
            <v>938806858</v>
          </cell>
          <cell r="F1267">
            <v>314201</v>
          </cell>
          <cell r="G1267">
            <v>112050.43915765685</v>
          </cell>
          <cell r="H1267">
            <v>20215.056084234315</v>
          </cell>
          <cell r="I1267">
            <v>222365.61692657747</v>
          </cell>
        </row>
        <row r="1268">
          <cell r="C1268">
            <v>938805125</v>
          </cell>
          <cell r="D1268">
            <v>235027.67</v>
          </cell>
          <cell r="E1268">
            <v>938806175</v>
          </cell>
          <cell r="F1268">
            <v>628498</v>
          </cell>
          <cell r="G1268">
            <v>224135.11385930984</v>
          </cell>
          <cell r="H1268">
            <v>40436.288614069017</v>
          </cell>
          <cell r="I1268">
            <v>444799.17475475918</v>
          </cell>
        </row>
        <row r="1269">
          <cell r="C1269">
            <v>938805248</v>
          </cell>
          <cell r="D1269">
            <v>204467.13</v>
          </cell>
          <cell r="E1269">
            <v>933806394</v>
          </cell>
          <cell r="F1269">
            <v>80908.639999999999</v>
          </cell>
          <cell r="G1269">
            <v>28853.659420717187</v>
          </cell>
          <cell r="H1269">
            <v>5205.498057928281</v>
          </cell>
          <cell r="I1269">
            <v>57260.47863721109</v>
          </cell>
        </row>
        <row r="1270">
          <cell r="C1270">
            <v>933805706</v>
          </cell>
          <cell r="D1270">
            <v>236621.8</v>
          </cell>
          <cell r="E1270">
            <v>933806264</v>
          </cell>
          <cell r="F1270">
            <v>199364</v>
          </cell>
          <cell r="G1270">
            <v>71097.23951300951</v>
          </cell>
          <cell r="H1270">
            <v>12826.67604869905</v>
          </cell>
          <cell r="I1270">
            <v>141093.43653568954</v>
          </cell>
        </row>
        <row r="1271">
          <cell r="C1271">
            <v>933805300</v>
          </cell>
          <cell r="D1271">
            <v>173215.59</v>
          </cell>
          <cell r="E1271">
            <v>938805421</v>
          </cell>
          <cell r="F1271">
            <v>59999</v>
          </cell>
          <cell r="G1271">
            <v>21396.858377345245</v>
          </cell>
          <cell r="H1271">
            <v>3860.2141622654758</v>
          </cell>
          <cell r="I1271">
            <v>42462.355784920233</v>
          </cell>
        </row>
        <row r="1272">
          <cell r="C1272">
            <v>933806253</v>
          </cell>
          <cell r="D1272">
            <v>607664.68000000005</v>
          </cell>
          <cell r="E1272">
            <v>938806196</v>
          </cell>
          <cell r="F1272">
            <v>243779</v>
          </cell>
          <cell r="G1272">
            <v>86936.527914979364</v>
          </cell>
          <cell r="H1272">
            <v>15684.247208502062</v>
          </cell>
          <cell r="I1272">
            <v>172526.71929352268</v>
          </cell>
        </row>
        <row r="1273">
          <cell r="C1273">
            <v>938805270</v>
          </cell>
          <cell r="D1273">
            <v>427554.7</v>
          </cell>
          <cell r="E1273">
            <v>938806176</v>
          </cell>
          <cell r="F1273">
            <v>266681</v>
          </cell>
          <cell r="G1273">
            <v>95103.844879561439</v>
          </cell>
          <cell r="H1273">
            <v>17157.715512043855</v>
          </cell>
          <cell r="I1273">
            <v>188734.8706324824</v>
          </cell>
        </row>
        <row r="1274">
          <cell r="C1274">
            <v>933806007</v>
          </cell>
          <cell r="D1274">
            <v>300263.34000000003</v>
          </cell>
          <cell r="E1274">
            <v>938806195</v>
          </cell>
          <cell r="F1274">
            <v>513531.91</v>
          </cell>
          <cell r="G1274">
            <v>183135.87810659516</v>
          </cell>
          <cell r="H1274">
            <v>33039.603189340472</v>
          </cell>
          <cell r="I1274">
            <v>363435.63508274523</v>
          </cell>
        </row>
        <row r="1275">
          <cell r="C1275">
            <v>938805367</v>
          </cell>
          <cell r="D1275">
            <v>167432.71</v>
          </cell>
          <cell r="E1275">
            <v>938805371</v>
          </cell>
          <cell r="F1275">
            <v>106801</v>
          </cell>
          <cell r="G1275">
            <v>38087.399315969422</v>
          </cell>
          <cell r="H1275">
            <v>6871.3600684030571</v>
          </cell>
          <cell r="I1275">
            <v>75584.960752433632</v>
          </cell>
        </row>
        <row r="1276">
          <cell r="C1276">
            <v>938805293</v>
          </cell>
          <cell r="D1276">
            <v>219936</v>
          </cell>
          <cell r="E1276">
            <v>933805587</v>
          </cell>
          <cell r="F1276">
            <v>346009</v>
          </cell>
          <cell r="G1276">
            <v>123393.81606838197</v>
          </cell>
          <cell r="H1276">
            <v>22261.518393161805</v>
          </cell>
          <cell r="I1276">
            <v>244876.70232477982</v>
          </cell>
        </row>
        <row r="1277">
          <cell r="C1277">
            <v>938805323</v>
          </cell>
          <cell r="D1277">
            <v>304718.3</v>
          </cell>
          <cell r="E1277">
            <v>938807183</v>
          </cell>
          <cell r="F1277">
            <v>229047</v>
          </cell>
          <cell r="G1277">
            <v>81682.798392569821</v>
          </cell>
          <cell r="H1277">
            <v>14736.420160743017</v>
          </cell>
          <cell r="I1277">
            <v>162100.62176817321</v>
          </cell>
        </row>
        <row r="1278">
          <cell r="C1278">
            <v>938805334</v>
          </cell>
          <cell r="D1278">
            <v>222615.98</v>
          </cell>
          <cell r="E1278">
            <v>938807182</v>
          </cell>
          <cell r="F1278">
            <v>351489</v>
          </cell>
          <cell r="G1278">
            <v>125348.09503816234</v>
          </cell>
          <cell r="H1278">
            <v>22614.090496183766</v>
          </cell>
          <cell r="I1278">
            <v>248754.99545802141</v>
          </cell>
        </row>
        <row r="1279">
          <cell r="C1279">
            <v>938805360</v>
          </cell>
          <cell r="D1279">
            <v>174078.76</v>
          </cell>
          <cell r="E1279">
            <v>938807186</v>
          </cell>
          <cell r="F1279">
            <v>249136</v>
          </cell>
          <cell r="G1279">
            <v>88846.942594014647</v>
          </cell>
          <cell r="H1279">
            <v>16028.905740598539</v>
          </cell>
          <cell r="I1279">
            <v>176317.9631465839</v>
          </cell>
        </row>
        <row r="1280">
          <cell r="C1280">
            <v>938805271</v>
          </cell>
          <cell r="D1280">
            <v>368699.99</v>
          </cell>
          <cell r="E1280">
            <v>938807164</v>
          </cell>
          <cell r="F1280">
            <v>277064</v>
          </cell>
          <cell r="G1280">
            <v>98806.6329348953</v>
          </cell>
          <cell r="H1280">
            <v>17825.73670651047</v>
          </cell>
          <cell r="I1280">
            <v>196083.10377161519</v>
          </cell>
        </row>
        <row r="1281">
          <cell r="C1281">
            <v>938805389</v>
          </cell>
          <cell r="D1281">
            <v>637699.9</v>
          </cell>
          <cell r="E1281">
            <v>938807121</v>
          </cell>
          <cell r="F1281">
            <v>287861</v>
          </cell>
          <cell r="G1281">
            <v>102657.06177371254</v>
          </cell>
          <cell r="H1281">
            <v>18520.393822628746</v>
          </cell>
          <cell r="I1281">
            <v>203724.3320489162</v>
          </cell>
        </row>
        <row r="1282">
          <cell r="C1282">
            <v>938807140</v>
          </cell>
          <cell r="D1282">
            <v>745171.61</v>
          </cell>
          <cell r="E1282">
            <v>933805990</v>
          </cell>
          <cell r="F1282">
            <v>160381</v>
          </cell>
          <cell r="G1282">
            <v>57195.112308821946</v>
          </cell>
          <cell r="H1282">
            <v>10318.588769117805</v>
          </cell>
          <cell r="I1282">
            <v>113504.47646029586</v>
          </cell>
        </row>
        <row r="1283">
          <cell r="C1283">
            <v>938807642</v>
          </cell>
          <cell r="D1283">
            <v>49090</v>
          </cell>
          <cell r="E1283">
            <v>933805945</v>
          </cell>
          <cell r="F1283">
            <v>165010</v>
          </cell>
          <cell r="G1283">
            <v>58845.90744588642</v>
          </cell>
          <cell r="H1283">
            <v>10616.409255411358</v>
          </cell>
          <cell r="I1283">
            <v>116780.50180952494</v>
          </cell>
        </row>
        <row r="1284">
          <cell r="C1284">
            <v>938807349</v>
          </cell>
          <cell r="D1284">
            <v>131500.01999999999</v>
          </cell>
          <cell r="E1284">
            <v>938807141</v>
          </cell>
          <cell r="F1284">
            <v>224540</v>
          </cell>
          <cell r="G1284">
            <v>80075.510926000454</v>
          </cell>
          <cell r="H1284">
            <v>14446.448907399956</v>
          </cell>
          <cell r="I1284">
            <v>158910.9379813995</v>
          </cell>
        </row>
        <row r="1285">
          <cell r="C1285">
            <v>933806714</v>
          </cell>
          <cell r="D1285">
            <v>287061.32</v>
          </cell>
          <cell r="E1285">
            <v>933805823</v>
          </cell>
          <cell r="F1285">
            <v>309023</v>
          </cell>
          <cell r="G1285">
            <v>110203.85950336439</v>
          </cell>
          <cell r="H1285">
            <v>19881.914049663559</v>
          </cell>
          <cell r="I1285">
            <v>218701.05454629916</v>
          </cell>
        </row>
        <row r="1286">
          <cell r="C1286">
            <v>938807934</v>
          </cell>
          <cell r="D1286">
            <v>292282.49</v>
          </cell>
          <cell r="E1286">
            <v>938807608</v>
          </cell>
          <cell r="F1286">
            <v>362017.64</v>
          </cell>
          <cell r="G1286">
            <v>129102.82126670037</v>
          </cell>
          <cell r="H1286">
            <v>23291.481873329965</v>
          </cell>
          <cell r="I1286">
            <v>256206.30060662961</v>
          </cell>
        </row>
        <row r="1287">
          <cell r="C1287">
            <v>938807653</v>
          </cell>
          <cell r="D1287">
            <v>933202.26</v>
          </cell>
          <cell r="E1287">
            <v>933805606</v>
          </cell>
          <cell r="F1287">
            <v>458058</v>
          </cell>
          <cell r="G1287">
            <v>163352.75845614108</v>
          </cell>
          <cell r="H1287">
            <v>29470.524154385887</v>
          </cell>
          <cell r="I1287">
            <v>324175.7656982448</v>
          </cell>
        </row>
        <row r="1288">
          <cell r="C1288">
            <v>933806123</v>
          </cell>
          <cell r="D1288">
            <v>140243.73000000001</v>
          </cell>
          <cell r="E1288">
            <v>938807598</v>
          </cell>
          <cell r="F1288">
            <v>57272</v>
          </cell>
          <cell r="G1288">
            <v>20424.354955704544</v>
          </cell>
          <cell r="H1288">
            <v>3684.7645044295455</v>
          </cell>
          <cell r="I1288">
            <v>40532.409548724994</v>
          </cell>
        </row>
        <row r="1289">
          <cell r="C1289">
            <v>938806469</v>
          </cell>
          <cell r="D1289">
            <v>254977.71</v>
          </cell>
          <cell r="E1289">
            <v>938807349</v>
          </cell>
          <cell r="F1289">
            <v>300295</v>
          </cell>
          <cell r="G1289">
            <v>107091.27796171421</v>
          </cell>
          <cell r="H1289">
            <v>19320.372203828581</v>
          </cell>
          <cell r="I1289">
            <v>212524.0942421144</v>
          </cell>
        </row>
        <row r="1290">
          <cell r="C1290">
            <v>938806083</v>
          </cell>
          <cell r="D1290">
            <v>592543.56999999995</v>
          </cell>
          <cell r="E1290">
            <v>933806624</v>
          </cell>
          <cell r="F1290">
            <v>339150</v>
          </cell>
          <cell r="G1290">
            <v>120947.75777390688</v>
          </cell>
          <cell r="H1290">
            <v>21820.224222609311</v>
          </cell>
          <cell r="I1290">
            <v>240022.46644870244</v>
          </cell>
        </row>
        <row r="1291">
          <cell r="C1291">
            <v>938807656</v>
          </cell>
          <cell r="D1291">
            <v>511315.52</v>
          </cell>
          <cell r="E1291">
            <v>938807639</v>
          </cell>
          <cell r="F1291">
            <v>334318</v>
          </cell>
          <cell r="G1291">
            <v>119224.56872610055</v>
          </cell>
          <cell r="H1291">
            <v>21509.343127389948</v>
          </cell>
          <cell r="I1291">
            <v>236602.77440128941</v>
          </cell>
        </row>
        <row r="1292">
          <cell r="C1292">
            <v>938808251</v>
          </cell>
          <cell r="D1292">
            <v>158404.88</v>
          </cell>
          <cell r="E1292">
            <v>938807901</v>
          </cell>
          <cell r="F1292">
            <v>168777</v>
          </cell>
          <cell r="G1292">
            <v>60189.295927485437</v>
          </cell>
          <cell r="H1292">
            <v>10858.770407251457</v>
          </cell>
          <cell r="I1292">
            <v>119446.47447976602</v>
          </cell>
        </row>
        <row r="1293">
          <cell r="C1293">
            <v>938807207</v>
          </cell>
          <cell r="D1293">
            <v>191148.17</v>
          </cell>
          <cell r="E1293">
            <v>938806276</v>
          </cell>
          <cell r="F1293">
            <v>44545</v>
          </cell>
          <cell r="G1293">
            <v>15885.649034464639</v>
          </cell>
          <cell r="H1293">
            <v>2865.9350965535359</v>
          </cell>
          <cell r="I1293">
            <v>31525.286062088897</v>
          </cell>
        </row>
        <row r="1294">
          <cell r="C1294">
            <v>938809055</v>
          </cell>
          <cell r="D1294">
            <v>306179.14</v>
          </cell>
          <cell r="E1294">
            <v>933806291</v>
          </cell>
          <cell r="F1294">
            <v>405364</v>
          </cell>
          <cell r="G1294">
            <v>144561.01100475303</v>
          </cell>
          <cell r="H1294">
            <v>26080.298899524696</v>
          </cell>
          <cell r="I1294">
            <v>286883.28789477167</v>
          </cell>
        </row>
        <row r="1295">
          <cell r="C1295">
            <v>938808453</v>
          </cell>
          <cell r="D1295">
            <v>68098.28</v>
          </cell>
          <cell r="E1295">
            <v>938807940</v>
          </cell>
          <cell r="F1295">
            <v>80396</v>
          </cell>
          <cell r="G1295">
            <v>28670.841615777736</v>
          </cell>
          <cell r="H1295">
            <v>5172.5158384222259</v>
          </cell>
          <cell r="I1295">
            <v>56897.674222644484</v>
          </cell>
        </row>
        <row r="1296">
          <cell r="C1296">
            <v>938808455</v>
          </cell>
          <cell r="D1296">
            <v>67355.48</v>
          </cell>
          <cell r="E1296">
            <v>938807902</v>
          </cell>
          <cell r="F1296">
            <v>381988</v>
          </cell>
          <cell r="G1296">
            <v>136224.65604168994</v>
          </cell>
          <cell r="H1296">
            <v>24576.334395831003</v>
          </cell>
          <cell r="I1296">
            <v>270339.67835414107</v>
          </cell>
        </row>
        <row r="1297">
          <cell r="C1297">
            <v>938807067</v>
          </cell>
          <cell r="D1297">
            <v>1150980.55</v>
          </cell>
          <cell r="E1297">
            <v>938807626</v>
          </cell>
          <cell r="F1297">
            <v>294730</v>
          </cell>
          <cell r="G1297">
            <v>105106.68627068723</v>
          </cell>
          <cell r="H1297">
            <v>18962.331372931276</v>
          </cell>
          <cell r="I1297">
            <v>208585.64510224405</v>
          </cell>
        </row>
        <row r="1298">
          <cell r="C1298">
            <v>938808412</v>
          </cell>
          <cell r="D1298">
            <v>101348.48</v>
          </cell>
          <cell r="E1298">
            <v>938807919</v>
          </cell>
          <cell r="F1298">
            <v>125955</v>
          </cell>
          <cell r="G1298">
            <v>44918.103583701733</v>
          </cell>
          <cell r="H1298">
            <v>8103.689641629825</v>
          </cell>
          <cell r="I1298">
            <v>89140.586057928085</v>
          </cell>
        </row>
        <row r="1299">
          <cell r="C1299">
            <v>938808149</v>
          </cell>
          <cell r="D1299">
            <v>51274.59</v>
          </cell>
          <cell r="E1299">
            <v>938807913</v>
          </cell>
          <cell r="F1299">
            <v>44545</v>
          </cell>
          <cell r="G1299">
            <v>15885.649034464639</v>
          </cell>
          <cell r="H1299">
            <v>2865.9350965535359</v>
          </cell>
          <cell r="I1299">
            <v>31525.286062088897</v>
          </cell>
        </row>
        <row r="1300">
          <cell r="C1300">
            <v>938808143</v>
          </cell>
          <cell r="D1300">
            <v>262486.51</v>
          </cell>
          <cell r="E1300">
            <v>933806110</v>
          </cell>
          <cell r="F1300">
            <v>142692.64000000001</v>
          </cell>
          <cell r="G1300">
            <v>50887.084944240894</v>
          </cell>
          <cell r="H1300">
            <v>9180.5555055759123</v>
          </cell>
          <cell r="I1300">
            <v>100986.11056133504</v>
          </cell>
        </row>
        <row r="1301">
          <cell r="C1301">
            <v>938807960</v>
          </cell>
          <cell r="D1301">
            <v>60908</v>
          </cell>
          <cell r="E1301">
            <v>938807635</v>
          </cell>
          <cell r="F1301">
            <v>44545</v>
          </cell>
          <cell r="G1301">
            <v>15885.649034464639</v>
          </cell>
          <cell r="H1301">
            <v>2865.9350965535359</v>
          </cell>
          <cell r="I1301">
            <v>31525.286062088897</v>
          </cell>
        </row>
        <row r="1302">
          <cell r="C1302">
            <v>938808145</v>
          </cell>
          <cell r="D1302">
            <v>165108.68</v>
          </cell>
          <cell r="E1302">
            <v>938806019</v>
          </cell>
          <cell r="F1302">
            <v>107866</v>
          </cell>
          <cell r="G1302">
            <v>38467.199882176741</v>
          </cell>
          <cell r="H1302">
            <v>6939.8800117823275</v>
          </cell>
          <cell r="I1302">
            <v>76338.680129605593</v>
          </cell>
        </row>
        <row r="1303">
          <cell r="C1303">
            <v>938808741</v>
          </cell>
          <cell r="D1303">
            <v>127788.24</v>
          </cell>
          <cell r="E1303">
            <v>938807945</v>
          </cell>
          <cell r="F1303">
            <v>62198</v>
          </cell>
          <cell r="G1303">
            <v>22181.06630700711</v>
          </cell>
          <cell r="H1303">
            <v>4001.6933692992893</v>
          </cell>
          <cell r="I1303">
            <v>44018.62706229218</v>
          </cell>
        </row>
        <row r="1304">
          <cell r="C1304">
            <v>938808358</v>
          </cell>
          <cell r="D1304">
            <v>166975.03</v>
          </cell>
          <cell r="E1304">
            <v>938807562</v>
          </cell>
          <cell r="F1304">
            <v>510873.64</v>
          </cell>
          <cell r="G1304">
            <v>182187.8851947342</v>
          </cell>
          <cell r="H1304">
            <v>32868.575480526582</v>
          </cell>
          <cell r="I1304">
            <v>361554.33028579241</v>
          </cell>
        </row>
        <row r="1305">
          <cell r="C1305">
            <v>933806878</v>
          </cell>
          <cell r="D1305">
            <v>283001.33</v>
          </cell>
          <cell r="E1305">
            <v>938807319</v>
          </cell>
          <cell r="F1305">
            <v>636745.64</v>
          </cell>
          <cell r="G1305">
            <v>227076.38929768925</v>
          </cell>
          <cell r="H1305">
            <v>40966.925070231075</v>
          </cell>
          <cell r="I1305">
            <v>450636.17577254184</v>
          </cell>
        </row>
        <row r="1306">
          <cell r="C1306">
            <v>938806227</v>
          </cell>
          <cell r="D1306">
            <v>111427.91</v>
          </cell>
          <cell r="E1306">
            <v>938807548</v>
          </cell>
          <cell r="F1306">
            <v>192767</v>
          </cell>
          <cell r="G1306">
            <v>68744.615724023912</v>
          </cell>
          <cell r="H1306">
            <v>12402.238427597607</v>
          </cell>
          <cell r="I1306">
            <v>136424.6227035737</v>
          </cell>
        </row>
        <row r="1307">
          <cell r="C1307">
            <v>938806291</v>
          </cell>
          <cell r="D1307">
            <v>265209.24</v>
          </cell>
          <cell r="E1307">
            <v>938807347</v>
          </cell>
          <cell r="F1307">
            <v>161920</v>
          </cell>
          <cell r="G1307">
            <v>57743.950873510265</v>
          </cell>
          <cell r="H1307">
            <v>10417.604912648972</v>
          </cell>
          <cell r="I1307">
            <v>114593.6540391387</v>
          </cell>
        </row>
        <row r="1308">
          <cell r="C1308">
            <v>938806135</v>
          </cell>
          <cell r="D1308">
            <v>290626.59000000003</v>
          </cell>
          <cell r="E1308">
            <v>938807515</v>
          </cell>
          <cell r="F1308">
            <v>70874</v>
          </cell>
          <cell r="G1308">
            <v>25275.103595659373</v>
          </cell>
          <cell r="H1308">
            <v>4559.889640434063</v>
          </cell>
          <cell r="I1308">
            <v>50158.786044774693</v>
          </cell>
        </row>
        <row r="1309">
          <cell r="C1309">
            <v>938806284</v>
          </cell>
          <cell r="D1309">
            <v>161657.74</v>
          </cell>
          <cell r="E1309">
            <v>938807320</v>
          </cell>
          <cell r="F1309">
            <v>185435</v>
          </cell>
          <cell r="G1309">
            <v>66129.876051317784</v>
          </cell>
          <cell r="H1309">
            <v>11930.512394868221</v>
          </cell>
          <cell r="I1309">
            <v>131235.63634355043</v>
          </cell>
        </row>
        <row r="1310">
          <cell r="C1310">
            <v>938805420</v>
          </cell>
          <cell r="D1310">
            <v>131142.92000000001</v>
          </cell>
          <cell r="E1310">
            <v>938807415</v>
          </cell>
          <cell r="F1310">
            <v>492660</v>
          </cell>
          <cell r="G1310">
            <v>175692.53234525421</v>
          </cell>
          <cell r="H1310">
            <v>31696.746765474578</v>
          </cell>
          <cell r="I1310">
            <v>348664.21442022035</v>
          </cell>
        </row>
        <row r="1311">
          <cell r="C1311">
            <v>938806224</v>
          </cell>
          <cell r="D1311">
            <v>78982.33</v>
          </cell>
          <cell r="E1311">
            <v>938807542</v>
          </cell>
          <cell r="F1311">
            <v>44545</v>
          </cell>
          <cell r="G1311">
            <v>15885.649034464639</v>
          </cell>
          <cell r="H1311">
            <v>2865.9350965535359</v>
          </cell>
          <cell r="I1311">
            <v>31525.286062088897</v>
          </cell>
        </row>
        <row r="1312">
          <cell r="C1312">
            <v>938806253</v>
          </cell>
          <cell r="D1312">
            <v>109068.03</v>
          </cell>
          <cell r="E1312">
            <v>938807509</v>
          </cell>
          <cell r="F1312">
            <v>327231</v>
          </cell>
          <cell r="G1312">
            <v>116697.20101463461</v>
          </cell>
          <cell r="H1312">
            <v>21053.379898536536</v>
          </cell>
          <cell r="I1312">
            <v>231587.17888390191</v>
          </cell>
        </row>
        <row r="1313">
          <cell r="C1313">
            <v>938806100</v>
          </cell>
          <cell r="D1313">
            <v>85844.2</v>
          </cell>
          <cell r="E1313">
            <v>933806815</v>
          </cell>
          <cell r="F1313">
            <v>287967</v>
          </cell>
          <cell r="G1313">
            <v>102694.86352020831</v>
          </cell>
          <cell r="H1313">
            <v>18527.21364797917</v>
          </cell>
          <cell r="I1313">
            <v>203799.35012777086</v>
          </cell>
        </row>
        <row r="1314">
          <cell r="C1314">
            <v>938809434</v>
          </cell>
          <cell r="D1314">
            <v>212030.01</v>
          </cell>
          <cell r="E1314">
            <v>938807638</v>
          </cell>
          <cell r="F1314">
            <v>152408</v>
          </cell>
          <cell r="G1314">
            <v>54351.7790558915</v>
          </cell>
          <cell r="H1314">
            <v>9805.62209441085</v>
          </cell>
          <cell r="I1314">
            <v>107861.84303851935</v>
          </cell>
        </row>
        <row r="1315">
          <cell r="C1315">
            <v>933806049</v>
          </cell>
          <cell r="D1315">
            <v>270040.78000000003</v>
          </cell>
          <cell r="E1315">
            <v>938807512</v>
          </cell>
          <cell r="F1315">
            <v>580499</v>
          </cell>
          <cell r="G1315">
            <v>207017.69848148365</v>
          </cell>
          <cell r="H1315">
            <v>37348.130151851641</v>
          </cell>
          <cell r="I1315">
            <v>410829.43167036801</v>
          </cell>
        </row>
        <row r="1316">
          <cell r="C1316">
            <v>938805382</v>
          </cell>
          <cell r="D1316">
            <v>52451.32</v>
          </cell>
          <cell r="E1316">
            <v>938807246</v>
          </cell>
          <cell r="F1316">
            <v>644644</v>
          </cell>
          <cell r="G1316">
            <v>229893.1044151627</v>
          </cell>
          <cell r="H1316">
            <v>41475.089558483727</v>
          </cell>
          <cell r="I1316">
            <v>456225.98514332104</v>
          </cell>
        </row>
        <row r="1317">
          <cell r="C1317">
            <v>933805586</v>
          </cell>
          <cell r="D1317">
            <v>41575.24</v>
          </cell>
          <cell r="E1317">
            <v>938809209</v>
          </cell>
          <cell r="F1317">
            <v>418965.64</v>
          </cell>
          <cell r="G1317">
            <v>149411.6312614179</v>
          </cell>
          <cell r="H1317">
            <v>26955.400873858212</v>
          </cell>
          <cell r="I1317">
            <v>296509.40961244033</v>
          </cell>
        </row>
        <row r="1318">
          <cell r="C1318">
            <v>938807910</v>
          </cell>
          <cell r="D1318">
            <v>124000.6</v>
          </cell>
          <cell r="E1318">
            <v>938807271</v>
          </cell>
          <cell r="F1318">
            <v>185644</v>
          </cell>
          <cell r="G1318">
            <v>66204.40968355941</v>
          </cell>
          <cell r="H1318">
            <v>11943.959031644059</v>
          </cell>
          <cell r="I1318">
            <v>131383.54934808466</v>
          </cell>
        </row>
        <row r="1319">
          <cell r="C1319">
            <v>938805383</v>
          </cell>
          <cell r="D1319">
            <v>41575.24</v>
          </cell>
          <cell r="E1319">
            <v>938809545</v>
          </cell>
          <cell r="F1319">
            <v>417428</v>
          </cell>
          <cell r="G1319">
            <v>148863.27770026951</v>
          </cell>
          <cell r="H1319">
            <v>26856.472229973049</v>
          </cell>
          <cell r="I1319">
            <v>295421.19452970359</v>
          </cell>
        </row>
        <row r="1320">
          <cell r="C1320">
            <v>938806148</v>
          </cell>
          <cell r="D1320">
            <v>41575.24</v>
          </cell>
          <cell r="E1320">
            <v>938809434</v>
          </cell>
          <cell r="F1320">
            <v>202776</v>
          </cell>
          <cell r="G1320">
            <v>72314.027805872756</v>
          </cell>
          <cell r="H1320">
            <v>13046.197219412725</v>
          </cell>
          <cell r="I1320">
            <v>143508.16941353996</v>
          </cell>
        </row>
        <row r="1321">
          <cell r="C1321">
            <v>938806216</v>
          </cell>
          <cell r="D1321">
            <v>43060.07</v>
          </cell>
          <cell r="E1321">
            <v>938807727</v>
          </cell>
          <cell r="F1321">
            <v>304825</v>
          </cell>
          <cell r="G1321">
            <v>108706.76769403263</v>
          </cell>
          <cell r="H1321">
            <v>19611.823230596736</v>
          </cell>
          <cell r="I1321">
            <v>215730.05553656409</v>
          </cell>
        </row>
        <row r="1322">
          <cell r="C1322">
            <v>938805430</v>
          </cell>
          <cell r="D1322">
            <v>8908.98</v>
          </cell>
          <cell r="E1322">
            <v>938808250</v>
          </cell>
          <cell r="F1322">
            <v>234429</v>
          </cell>
          <cell r="G1322">
            <v>83602.128577854106</v>
          </cell>
          <cell r="H1322">
            <v>15082.687142214589</v>
          </cell>
          <cell r="I1322">
            <v>165909.55856436049</v>
          </cell>
        </row>
        <row r="1323">
          <cell r="C1323">
            <v>938806737</v>
          </cell>
          <cell r="D1323">
            <v>16529.36</v>
          </cell>
          <cell r="E1323">
            <v>938808148</v>
          </cell>
          <cell r="F1323">
            <v>357122</v>
          </cell>
          <cell r="G1323">
            <v>127356.93690618659</v>
          </cell>
          <cell r="H1323">
            <v>22976.506309381341</v>
          </cell>
          <cell r="I1323">
            <v>252741.56940319476</v>
          </cell>
        </row>
        <row r="1324">
          <cell r="C1324">
            <v>938805384</v>
          </cell>
          <cell r="D1324">
            <v>44545</v>
          </cell>
          <cell r="E1324">
            <v>938805042</v>
          </cell>
          <cell r="F1324">
            <v>49090</v>
          </cell>
          <cell r="G1324">
            <v>17506.488070532476</v>
          </cell>
          <cell r="H1324">
            <v>3158.3511929467522</v>
          </cell>
          <cell r="I1324">
            <v>34741.863122414274</v>
          </cell>
        </row>
        <row r="1325">
          <cell r="C1325">
            <v>938806858</v>
          </cell>
          <cell r="D1325">
            <v>141116.4</v>
          </cell>
          <cell r="E1325">
            <v>933806032</v>
          </cell>
          <cell r="F1325">
            <v>130535</v>
          </cell>
          <cell r="G1325">
            <v>46551.424328518166</v>
          </cell>
          <cell r="H1325">
            <v>8398.3575671481849</v>
          </cell>
          <cell r="I1325">
            <v>92381.933238630023</v>
          </cell>
        </row>
        <row r="1326">
          <cell r="C1326">
            <v>938806181</v>
          </cell>
          <cell r="D1326">
            <v>375074.66</v>
          </cell>
          <cell r="E1326">
            <v>933806048</v>
          </cell>
          <cell r="F1326">
            <v>95736</v>
          </cell>
          <cell r="G1326">
            <v>34141.396250162914</v>
          </cell>
          <cell r="H1326">
            <v>6159.4603749837088</v>
          </cell>
          <cell r="I1326">
            <v>67754.064124820798</v>
          </cell>
        </row>
        <row r="1327">
          <cell r="C1327">
            <v>938806738</v>
          </cell>
          <cell r="D1327">
            <v>226261.15</v>
          </cell>
          <cell r="E1327">
            <v>933806129</v>
          </cell>
          <cell r="F1327">
            <v>315310</v>
          </cell>
          <cell r="G1327">
            <v>112445.93101486239</v>
          </cell>
          <cell r="H1327">
            <v>20286.406898513764</v>
          </cell>
          <cell r="I1327">
            <v>223150.47588365138</v>
          </cell>
        </row>
        <row r="1328">
          <cell r="C1328">
            <v>933806554</v>
          </cell>
          <cell r="D1328">
            <v>503759.1</v>
          </cell>
          <cell r="E1328">
            <v>933806146</v>
          </cell>
          <cell r="F1328">
            <v>375922</v>
          </cell>
          <cell r="G1328">
            <v>134061.39760543307</v>
          </cell>
          <cell r="H1328">
            <v>24186.060239456692</v>
          </cell>
          <cell r="I1328">
            <v>266046.66263402364</v>
          </cell>
        </row>
        <row r="1329">
          <cell r="C1329">
            <v>938807189</v>
          </cell>
          <cell r="D1329">
            <v>980701.52</v>
          </cell>
          <cell r="E1329">
            <v>933806094</v>
          </cell>
          <cell r="F1329">
            <v>227595</v>
          </cell>
          <cell r="G1329">
            <v>81164.985789628015</v>
          </cell>
          <cell r="H1329">
            <v>14643.001421037199</v>
          </cell>
          <cell r="I1329">
            <v>161073.01563140919</v>
          </cell>
        </row>
        <row r="1330">
          <cell r="C1330">
            <v>933805906</v>
          </cell>
          <cell r="D1330">
            <v>658927.38</v>
          </cell>
          <cell r="E1330">
            <v>933806043</v>
          </cell>
          <cell r="F1330">
            <v>688738.64</v>
          </cell>
          <cell r="G1330">
            <v>245618.14595385542</v>
          </cell>
          <cell r="H1330">
            <v>44312.049404614459</v>
          </cell>
          <cell r="I1330">
            <v>487432.54345075903</v>
          </cell>
        </row>
        <row r="1331">
          <cell r="C1331">
            <v>938807912</v>
          </cell>
          <cell r="D1331">
            <v>118865.46</v>
          </cell>
          <cell r="E1331">
            <v>933806057</v>
          </cell>
          <cell r="F1331">
            <v>262568</v>
          </cell>
          <cell r="G1331">
            <v>93637.0657914763</v>
          </cell>
          <cell r="H1331">
            <v>16893.093420852372</v>
          </cell>
          <cell r="I1331">
            <v>185824.0276293761</v>
          </cell>
        </row>
        <row r="1332">
          <cell r="C1332">
            <v>938805466</v>
          </cell>
          <cell r="D1332">
            <v>222086.64</v>
          </cell>
          <cell r="E1332">
            <v>933806076</v>
          </cell>
          <cell r="F1332">
            <v>9594130</v>
          </cell>
          <cell r="G1332">
            <v>3421461.0387479682</v>
          </cell>
          <cell r="H1332">
            <v>617266.89612520323</v>
          </cell>
          <cell r="I1332">
            <v>6789935.8573772348</v>
          </cell>
        </row>
        <row r="1333">
          <cell r="C1333">
            <v>933806756</v>
          </cell>
          <cell r="D1333">
            <v>258274.41</v>
          </cell>
          <cell r="E1333">
            <v>933806148</v>
          </cell>
          <cell r="F1333">
            <v>295389</v>
          </cell>
          <cell r="G1333">
            <v>105341.69901541082</v>
          </cell>
          <cell r="H1333">
            <v>19004.730098458916</v>
          </cell>
          <cell r="I1333">
            <v>209052.03108304809</v>
          </cell>
        </row>
        <row r="1334">
          <cell r="C1334">
            <v>933805258</v>
          </cell>
          <cell r="D1334">
            <v>200958.45</v>
          </cell>
          <cell r="E1334">
            <v>933806072</v>
          </cell>
          <cell r="F1334">
            <v>170853.64</v>
          </cell>
          <cell r="G1334">
            <v>60929.867803362205</v>
          </cell>
          <cell r="H1334">
            <v>10992.377219663782</v>
          </cell>
          <cell r="I1334">
            <v>120916.1494163016</v>
          </cell>
        </row>
        <row r="1335">
          <cell r="C1335">
            <v>933806152</v>
          </cell>
          <cell r="D1335">
            <v>93189.51</v>
          </cell>
          <cell r="E1335">
            <v>933806042</v>
          </cell>
          <cell r="F1335">
            <v>350131</v>
          </cell>
          <cell r="G1335">
            <v>124863.80473871678</v>
          </cell>
          <cell r="H1335">
            <v>22526.719526128323</v>
          </cell>
          <cell r="I1335">
            <v>247793.91478741154</v>
          </cell>
        </row>
        <row r="1336">
          <cell r="C1336">
            <v>933805825</v>
          </cell>
          <cell r="D1336">
            <v>89305.01</v>
          </cell>
          <cell r="E1336">
            <v>933806047</v>
          </cell>
          <cell r="F1336">
            <v>501999</v>
          </cell>
          <cell r="G1336">
            <v>179023.00885962992</v>
          </cell>
          <cell r="H1336">
            <v>32297.599114037006</v>
          </cell>
          <cell r="I1336">
            <v>355273.59025440709</v>
          </cell>
        </row>
        <row r="1337">
          <cell r="C1337">
            <v>938807058</v>
          </cell>
          <cell r="D1337">
            <v>337540.39</v>
          </cell>
          <cell r="E1337">
            <v>933806023</v>
          </cell>
          <cell r="F1337">
            <v>272742</v>
          </cell>
          <cell r="G1337">
            <v>97265.320214568521</v>
          </cell>
          <cell r="H1337">
            <v>17547.667978543148</v>
          </cell>
          <cell r="I1337">
            <v>193024.34776397463</v>
          </cell>
        </row>
        <row r="1338">
          <cell r="C1338">
            <v>933805935</v>
          </cell>
          <cell r="D1338">
            <v>487210.45</v>
          </cell>
          <cell r="E1338">
            <v>933805991</v>
          </cell>
          <cell r="F1338">
            <v>225831</v>
          </cell>
          <cell r="G1338">
            <v>80535.90766869871</v>
          </cell>
          <cell r="H1338">
            <v>14529.509233130131</v>
          </cell>
          <cell r="I1338">
            <v>159824.60156443145</v>
          </cell>
        </row>
        <row r="1339">
          <cell r="C1339">
            <v>938807137</v>
          </cell>
          <cell r="D1339">
            <v>135446.81</v>
          </cell>
          <cell r="E1339">
            <v>933805630</v>
          </cell>
          <cell r="F1339">
            <v>219373</v>
          </cell>
          <cell r="G1339">
            <v>78232.854094457551</v>
          </cell>
          <cell r="H1339">
            <v>14114.014590554245</v>
          </cell>
          <cell r="I1339">
            <v>155254.16049609671</v>
          </cell>
        </row>
        <row r="1340">
          <cell r="C1340">
            <v>938807127</v>
          </cell>
          <cell r="D1340">
            <v>252030.81</v>
          </cell>
          <cell r="E1340">
            <v>933805692</v>
          </cell>
          <cell r="F1340">
            <v>412464</v>
          </cell>
          <cell r="G1340">
            <v>147093.01477946847</v>
          </cell>
          <cell r="H1340">
            <v>26537.098522053151</v>
          </cell>
          <cell r="I1340">
            <v>291908.08374258468</v>
          </cell>
        </row>
        <row r="1341">
          <cell r="C1341">
            <v>938807120</v>
          </cell>
          <cell r="D1341">
            <v>102535.17</v>
          </cell>
          <cell r="E1341">
            <v>933805696</v>
          </cell>
          <cell r="F1341">
            <v>274650</v>
          </cell>
          <cell r="G1341">
            <v>97945.751651492043</v>
          </cell>
          <cell r="H1341">
            <v>17670.424834850797</v>
          </cell>
          <cell r="I1341">
            <v>194374.67318335877</v>
          </cell>
        </row>
        <row r="1342">
          <cell r="C1342">
            <v>933805587</v>
          </cell>
          <cell r="D1342">
            <v>407621.07</v>
          </cell>
          <cell r="E1342">
            <v>933805712</v>
          </cell>
          <cell r="F1342">
            <v>225620</v>
          </cell>
          <cell r="G1342">
            <v>80460.66079595717</v>
          </cell>
          <cell r="H1342">
            <v>14515.933920404283</v>
          </cell>
          <cell r="I1342">
            <v>159675.27312444712</v>
          </cell>
        </row>
        <row r="1343">
          <cell r="C1343">
            <v>938807188</v>
          </cell>
          <cell r="D1343">
            <v>204778.01</v>
          </cell>
          <cell r="E1343">
            <v>933805828</v>
          </cell>
          <cell r="F1343">
            <v>177556</v>
          </cell>
          <cell r="G1343">
            <v>63320.065101883578</v>
          </cell>
          <cell r="H1343">
            <v>11423.593489811641</v>
          </cell>
          <cell r="I1343">
            <v>125659.52838792806</v>
          </cell>
        </row>
        <row r="1344">
          <cell r="C1344">
            <v>938807199</v>
          </cell>
          <cell r="D1344">
            <v>663860.5</v>
          </cell>
          <cell r="E1344">
            <v>933805668</v>
          </cell>
          <cell r="F1344">
            <v>44545</v>
          </cell>
          <cell r="G1344">
            <v>15885.649034464639</v>
          </cell>
          <cell r="H1344">
            <v>2865.9350965535359</v>
          </cell>
          <cell r="I1344">
            <v>31525.286062088897</v>
          </cell>
        </row>
        <row r="1345">
          <cell r="C1345">
            <v>938807390</v>
          </cell>
          <cell r="D1345">
            <v>188394.64</v>
          </cell>
          <cell r="E1345">
            <v>933805619</v>
          </cell>
          <cell r="F1345">
            <v>77572</v>
          </cell>
          <cell r="G1345">
            <v>27663.746029890917</v>
          </cell>
          <cell r="H1345">
            <v>4990.825397010909</v>
          </cell>
          <cell r="I1345">
            <v>54899.079367119994</v>
          </cell>
        </row>
        <row r="1346">
          <cell r="C1346">
            <v>938807340</v>
          </cell>
          <cell r="D1346">
            <v>261572.46</v>
          </cell>
          <cell r="E1346">
            <v>933805594</v>
          </cell>
          <cell r="F1346">
            <v>133093</v>
          </cell>
          <cell r="G1346">
            <v>47463.658927915647</v>
          </cell>
          <cell r="H1346">
            <v>8562.9341072084353</v>
          </cell>
          <cell r="I1346">
            <v>94192.275179292788</v>
          </cell>
        </row>
        <row r="1347">
          <cell r="C1347">
            <v>938807517</v>
          </cell>
          <cell r="D1347">
            <v>195932.45</v>
          </cell>
          <cell r="E1347">
            <v>933805695</v>
          </cell>
          <cell r="F1347">
            <v>296461</v>
          </cell>
          <cell r="G1347">
            <v>105723.99592336787</v>
          </cell>
          <cell r="H1347">
            <v>19073.700407663215</v>
          </cell>
          <cell r="I1347">
            <v>209810.70448429536</v>
          </cell>
        </row>
        <row r="1348">
          <cell r="C1348">
            <v>933805193</v>
          </cell>
          <cell r="D1348">
            <v>638597.09</v>
          </cell>
          <cell r="E1348">
            <v>933805787</v>
          </cell>
          <cell r="F1348">
            <v>306625.45</v>
          </cell>
          <cell r="G1348">
            <v>109348.84462307299</v>
          </cell>
          <cell r="H1348">
            <v>19727.6605376927</v>
          </cell>
          <cell r="I1348">
            <v>217004.2659146197</v>
          </cell>
        </row>
        <row r="1349">
          <cell r="C1349">
            <v>938807334</v>
          </cell>
          <cell r="D1349">
            <v>1201547.44</v>
          </cell>
          <cell r="E1349">
            <v>933805656</v>
          </cell>
          <cell r="F1349">
            <v>312234</v>
          </cell>
          <cell r="G1349">
            <v>111348.96712598568</v>
          </cell>
          <cell r="H1349">
            <v>20088.503287401432</v>
          </cell>
          <cell r="I1349">
            <v>220973.53616141574</v>
          </cell>
        </row>
        <row r="1350">
          <cell r="C1350">
            <v>938807523</v>
          </cell>
          <cell r="D1350">
            <v>416134.61</v>
          </cell>
          <cell r="E1350">
            <v>933805698</v>
          </cell>
          <cell r="F1350">
            <v>147475</v>
          </cell>
          <cell r="G1350">
            <v>52592.571362839211</v>
          </cell>
          <cell r="H1350">
            <v>9488.2428637160792</v>
          </cell>
          <cell r="I1350">
            <v>104370.67150087687</v>
          </cell>
        </row>
        <row r="1351">
          <cell r="C1351">
            <v>938807546</v>
          </cell>
          <cell r="D1351">
            <v>511967.37</v>
          </cell>
          <cell r="E1351">
            <v>933805966</v>
          </cell>
          <cell r="F1351">
            <v>345520</v>
          </cell>
          <cell r="G1351">
            <v>123219.42876615158</v>
          </cell>
          <cell r="H1351">
            <v>22230.057123384839</v>
          </cell>
          <cell r="I1351">
            <v>244530.62835723325</v>
          </cell>
        </row>
        <row r="1352">
          <cell r="C1352">
            <v>933805699</v>
          </cell>
          <cell r="D1352">
            <v>204169.22</v>
          </cell>
          <cell r="E1352">
            <v>933805988</v>
          </cell>
          <cell r="F1352">
            <v>318753.64</v>
          </cell>
          <cell r="G1352">
            <v>113674.00277243438</v>
          </cell>
          <cell r="H1352">
            <v>20507.963722756562</v>
          </cell>
          <cell r="I1352">
            <v>225587.6009503222</v>
          </cell>
        </row>
        <row r="1353">
          <cell r="C1353">
            <v>938807652</v>
          </cell>
          <cell r="D1353">
            <v>339645.69</v>
          </cell>
          <cell r="E1353">
            <v>933805604</v>
          </cell>
          <cell r="F1353">
            <v>150714</v>
          </cell>
          <cell r="G1353">
            <v>53747.664352459396</v>
          </cell>
          <cell r="H1353">
            <v>9696.6335647540618</v>
          </cell>
          <cell r="I1353">
            <v>106662.96921229467</v>
          </cell>
        </row>
        <row r="1354">
          <cell r="C1354">
            <v>938807632</v>
          </cell>
          <cell r="D1354">
            <v>87670.96</v>
          </cell>
          <cell r="E1354">
            <v>933805756</v>
          </cell>
          <cell r="F1354">
            <v>111337</v>
          </cell>
          <cell r="G1354">
            <v>39705.028769787619</v>
          </cell>
          <cell r="H1354">
            <v>7163.1971230212375</v>
          </cell>
          <cell r="I1354">
            <v>78795.168353233617</v>
          </cell>
        </row>
        <row r="1355">
          <cell r="C1355">
            <v>938807314</v>
          </cell>
          <cell r="D1355">
            <v>336676.72</v>
          </cell>
          <cell r="E1355">
            <v>933805772</v>
          </cell>
          <cell r="F1355">
            <v>44545</v>
          </cell>
          <cell r="G1355">
            <v>15885.649034464639</v>
          </cell>
          <cell r="H1355">
            <v>2865.9350965535359</v>
          </cell>
          <cell r="I1355">
            <v>31525.286062088897</v>
          </cell>
        </row>
        <row r="1356">
          <cell r="C1356">
            <v>938807341</v>
          </cell>
          <cell r="D1356">
            <v>318730.37</v>
          </cell>
          <cell r="E1356">
            <v>933805751</v>
          </cell>
          <cell r="F1356">
            <v>139620</v>
          </cell>
          <cell r="G1356">
            <v>49791.319299404044</v>
          </cell>
          <cell r="H1356">
            <v>8982.868070059596</v>
          </cell>
          <cell r="I1356">
            <v>98811.548770655558</v>
          </cell>
        </row>
        <row r="1357">
          <cell r="C1357">
            <v>938807342</v>
          </cell>
          <cell r="D1357">
            <v>469313.94</v>
          </cell>
          <cell r="E1357">
            <v>933805753</v>
          </cell>
          <cell r="F1357">
            <v>333151</v>
          </cell>
          <cell r="G1357">
            <v>118808.39289439733</v>
          </cell>
          <cell r="H1357">
            <v>21434.260710560269</v>
          </cell>
          <cell r="I1357">
            <v>235776.86781616297</v>
          </cell>
        </row>
        <row r="1358">
          <cell r="C1358">
            <v>938808597</v>
          </cell>
          <cell r="D1358">
            <v>414920.38</v>
          </cell>
          <cell r="E1358">
            <v>933805920</v>
          </cell>
          <cell r="F1358">
            <v>44545</v>
          </cell>
          <cell r="G1358">
            <v>15885.649034464639</v>
          </cell>
          <cell r="H1358">
            <v>2865.9350965535359</v>
          </cell>
          <cell r="I1358">
            <v>31525.286062088897</v>
          </cell>
        </row>
        <row r="1359">
          <cell r="C1359">
            <v>938808528</v>
          </cell>
          <cell r="D1359">
            <v>384624.39</v>
          </cell>
          <cell r="E1359">
            <v>933805930</v>
          </cell>
          <cell r="F1359">
            <v>44545</v>
          </cell>
          <cell r="G1359">
            <v>15885.649034464639</v>
          </cell>
          <cell r="H1359">
            <v>2865.9350965535359</v>
          </cell>
          <cell r="I1359">
            <v>31525.286062088897</v>
          </cell>
        </row>
        <row r="1360">
          <cell r="C1360">
            <v>938808956</v>
          </cell>
          <cell r="D1360">
            <v>456013.79</v>
          </cell>
          <cell r="E1360">
            <v>933805807</v>
          </cell>
          <cell r="F1360">
            <v>44545</v>
          </cell>
          <cell r="G1360">
            <v>15885.649034464639</v>
          </cell>
          <cell r="H1360">
            <v>2865.9350965535359</v>
          </cell>
          <cell r="I1360">
            <v>31525.286062088897</v>
          </cell>
        </row>
        <row r="1361">
          <cell r="C1361">
            <v>938809047</v>
          </cell>
          <cell r="D1361">
            <v>430927.45</v>
          </cell>
          <cell r="E1361">
            <v>933805987</v>
          </cell>
          <cell r="F1361">
            <v>44545</v>
          </cell>
          <cell r="G1361">
            <v>15885.649034464639</v>
          </cell>
          <cell r="H1361">
            <v>2865.9350965535359</v>
          </cell>
          <cell r="I1361">
            <v>31525.286062088897</v>
          </cell>
        </row>
        <row r="1362">
          <cell r="C1362">
            <v>938808758</v>
          </cell>
          <cell r="D1362">
            <v>177309.68</v>
          </cell>
          <cell r="E1362">
            <v>933805578</v>
          </cell>
          <cell r="F1362">
            <v>44545</v>
          </cell>
          <cell r="G1362">
            <v>15885.649034464639</v>
          </cell>
          <cell r="H1362">
            <v>2865.9350965535359</v>
          </cell>
          <cell r="I1362">
            <v>31525.286062088897</v>
          </cell>
        </row>
        <row r="1363">
          <cell r="C1363">
            <v>938808932</v>
          </cell>
          <cell r="D1363">
            <v>426590.26</v>
          </cell>
          <cell r="E1363">
            <v>933805592</v>
          </cell>
          <cell r="F1363">
            <v>44545</v>
          </cell>
          <cell r="G1363">
            <v>15885.649034464639</v>
          </cell>
          <cell r="H1363">
            <v>2865.9350965535359</v>
          </cell>
          <cell r="I1363">
            <v>31525.286062088897</v>
          </cell>
        </row>
        <row r="1364">
          <cell r="C1364">
            <v>938809153</v>
          </cell>
          <cell r="D1364">
            <v>738250.9</v>
          </cell>
          <cell r="E1364">
            <v>933805620</v>
          </cell>
          <cell r="F1364">
            <v>44545</v>
          </cell>
          <cell r="G1364">
            <v>15885.649034464639</v>
          </cell>
          <cell r="H1364">
            <v>2865.9350965535359</v>
          </cell>
          <cell r="I1364">
            <v>31525.286062088897</v>
          </cell>
        </row>
        <row r="1365">
          <cell r="C1365">
            <v>938809048</v>
          </cell>
          <cell r="D1365">
            <v>336330.18</v>
          </cell>
          <cell r="E1365">
            <v>933805851</v>
          </cell>
          <cell r="F1365">
            <v>44545</v>
          </cell>
          <cell r="G1365">
            <v>15885.649034464639</v>
          </cell>
          <cell r="H1365">
            <v>2865.9350965535359</v>
          </cell>
          <cell r="I1365">
            <v>31525.286062088897</v>
          </cell>
        </row>
        <row r="1366">
          <cell r="C1366">
            <v>938809145</v>
          </cell>
          <cell r="D1366">
            <v>190422.96</v>
          </cell>
          <cell r="E1366">
            <v>933805703</v>
          </cell>
          <cell r="F1366">
            <v>44545</v>
          </cell>
          <cell r="G1366">
            <v>15885.649034464639</v>
          </cell>
          <cell r="H1366">
            <v>2865.9350965535359</v>
          </cell>
          <cell r="I1366">
            <v>31525.286062088897</v>
          </cell>
        </row>
        <row r="1367">
          <cell r="C1367">
            <v>938809155</v>
          </cell>
          <cell r="D1367">
            <v>475243.67</v>
          </cell>
          <cell r="E1367">
            <v>933805608</v>
          </cell>
          <cell r="F1367">
            <v>44545</v>
          </cell>
          <cell r="G1367">
            <v>15885.649034464639</v>
          </cell>
          <cell r="H1367">
            <v>2865.9350965535359</v>
          </cell>
          <cell r="I1367">
            <v>31525.286062088897</v>
          </cell>
        </row>
        <row r="1368">
          <cell r="C1368">
            <v>938808746</v>
          </cell>
          <cell r="D1368">
            <v>253696.58</v>
          </cell>
          <cell r="E1368">
            <v>933805707</v>
          </cell>
          <cell r="F1368">
            <v>44545</v>
          </cell>
          <cell r="G1368">
            <v>15885.649034464639</v>
          </cell>
          <cell r="H1368">
            <v>2865.9350965535359</v>
          </cell>
          <cell r="I1368">
            <v>31525.286062088897</v>
          </cell>
        </row>
        <row r="1369">
          <cell r="C1369">
            <v>933805887</v>
          </cell>
          <cell r="D1369">
            <v>163066.65</v>
          </cell>
          <cell r="E1369">
            <v>933806320</v>
          </cell>
          <cell r="F1369">
            <v>586460</v>
          </cell>
          <cell r="G1369">
            <v>209143.51179149473</v>
          </cell>
          <cell r="H1369">
            <v>37731.648820850525</v>
          </cell>
          <cell r="I1369">
            <v>415048.1370293558</v>
          </cell>
        </row>
        <row r="1370">
          <cell r="C1370">
            <v>933805673</v>
          </cell>
          <cell r="D1370">
            <v>205452.17</v>
          </cell>
          <cell r="E1370">
            <v>933806398</v>
          </cell>
          <cell r="F1370">
            <v>653116</v>
          </cell>
          <cell r="G1370">
            <v>232914.39117282315</v>
          </cell>
          <cell r="H1370">
            <v>42020.16088271769</v>
          </cell>
          <cell r="I1370">
            <v>462221.76970989455</v>
          </cell>
        </row>
        <row r="1371">
          <cell r="C1371">
            <v>933805796</v>
          </cell>
          <cell r="D1371">
            <v>511151.64</v>
          </cell>
          <cell r="E1371">
            <v>933806377</v>
          </cell>
          <cell r="F1371">
            <v>179258</v>
          </cell>
          <cell r="G1371">
            <v>63927.032767315352</v>
          </cell>
          <cell r="H1371">
            <v>11533.096723268465</v>
          </cell>
          <cell r="I1371">
            <v>126864.06395595311</v>
          </cell>
        </row>
        <row r="1372">
          <cell r="C1372">
            <v>933805799</v>
          </cell>
          <cell r="D1372">
            <v>547151.6</v>
          </cell>
          <cell r="E1372">
            <v>933806408</v>
          </cell>
          <cell r="F1372">
            <v>775608</v>
          </cell>
          <cell r="G1372">
            <v>276597.5188309137</v>
          </cell>
          <cell r="H1372">
            <v>49901.048116908634</v>
          </cell>
          <cell r="I1372">
            <v>548911.52928599494</v>
          </cell>
        </row>
        <row r="1373">
          <cell r="C1373">
            <v>933805809</v>
          </cell>
          <cell r="D1373">
            <v>106330.34</v>
          </cell>
          <cell r="E1373">
            <v>933805591</v>
          </cell>
          <cell r="F1373">
            <v>379161</v>
          </cell>
          <cell r="G1373">
            <v>135216.49059505327</v>
          </cell>
          <cell r="H1373">
            <v>24394.450940494673</v>
          </cell>
          <cell r="I1373">
            <v>268338.96034544142</v>
          </cell>
        </row>
        <row r="1374">
          <cell r="C1374">
            <v>933805664</v>
          </cell>
          <cell r="D1374">
            <v>388067.45</v>
          </cell>
          <cell r="E1374">
            <v>933806376</v>
          </cell>
          <cell r="F1374">
            <v>222790</v>
          </cell>
          <cell r="G1374">
            <v>79451.425488570589</v>
          </cell>
          <cell r="H1374">
            <v>14333.857451142941</v>
          </cell>
          <cell r="I1374">
            <v>157672.43196257236</v>
          </cell>
        </row>
        <row r="1375">
          <cell r="C1375">
            <v>933805669</v>
          </cell>
          <cell r="D1375">
            <v>359353.7</v>
          </cell>
          <cell r="E1375">
            <v>933806410</v>
          </cell>
          <cell r="F1375">
            <v>824004</v>
          </cell>
          <cell r="G1375">
            <v>293856.512447974</v>
          </cell>
          <cell r="H1375">
            <v>53014.748755202607</v>
          </cell>
          <cell r="I1375">
            <v>583162.23630722868</v>
          </cell>
        </row>
        <row r="1376">
          <cell r="C1376">
            <v>933805672</v>
          </cell>
          <cell r="D1376">
            <v>443615.15</v>
          </cell>
          <cell r="E1376">
            <v>933806421</v>
          </cell>
          <cell r="F1376">
            <v>246243.28</v>
          </cell>
          <cell r="G1376">
            <v>87815.34006455059</v>
          </cell>
          <cell r="H1376">
            <v>15842.793993544939</v>
          </cell>
          <cell r="I1376">
            <v>174270.73392899433</v>
          </cell>
        </row>
        <row r="1377">
          <cell r="C1377">
            <v>933800345</v>
          </cell>
          <cell r="D1377">
            <v>365453.8</v>
          </cell>
          <cell r="E1377">
            <v>933806457</v>
          </cell>
          <cell r="F1377">
            <v>1320198.28</v>
          </cell>
          <cell r="G1377">
            <v>470809.44061025657</v>
          </cell>
          <cell r="H1377">
            <v>84938.883938974352</v>
          </cell>
          <cell r="I1377">
            <v>934327.72332871787</v>
          </cell>
        </row>
        <row r="1378">
          <cell r="C1378">
            <v>933805974</v>
          </cell>
          <cell r="D1378">
            <v>320618.33</v>
          </cell>
          <cell r="E1378">
            <v>933806498</v>
          </cell>
          <cell r="F1378">
            <v>389882</v>
          </cell>
          <cell r="G1378">
            <v>139039.81629487357</v>
          </cell>
          <cell r="H1378">
            <v>25084.218370512644</v>
          </cell>
          <cell r="I1378">
            <v>275926.40207563905</v>
          </cell>
        </row>
        <row r="1379">
          <cell r="C1379">
            <v>933805678</v>
          </cell>
          <cell r="D1379">
            <v>412396.11</v>
          </cell>
          <cell r="E1379">
            <v>933806426</v>
          </cell>
          <cell r="F1379">
            <v>1902503</v>
          </cell>
          <cell r="G1379">
            <v>678471.09540949785</v>
          </cell>
          <cell r="H1379">
            <v>122403.19045905022</v>
          </cell>
          <cell r="I1379">
            <v>1346435.0950495524</v>
          </cell>
        </row>
        <row r="1380">
          <cell r="C1380">
            <v>933800111</v>
          </cell>
          <cell r="D1380">
            <v>238556.66</v>
          </cell>
          <cell r="E1380">
            <v>933806584</v>
          </cell>
          <cell r="F1380">
            <v>303230.64</v>
          </cell>
          <cell r="G1380">
            <v>108138.18663230655</v>
          </cell>
          <cell r="H1380">
            <v>19509.245336769345</v>
          </cell>
          <cell r="I1380">
            <v>214601.69870446282</v>
          </cell>
        </row>
        <row r="1381">
          <cell r="C1381">
            <v>933805939</v>
          </cell>
          <cell r="D1381">
            <v>383352.99</v>
          </cell>
          <cell r="E1381">
            <v>933806485</v>
          </cell>
          <cell r="F1381">
            <v>800131.64</v>
          </cell>
          <cell r="G1381">
            <v>285343.14545764081</v>
          </cell>
          <cell r="H1381">
            <v>51478.849454235919</v>
          </cell>
          <cell r="I1381">
            <v>566267.34399659513</v>
          </cell>
        </row>
        <row r="1382">
          <cell r="C1382">
            <v>937206996</v>
          </cell>
          <cell r="D1382">
            <v>124582.81</v>
          </cell>
          <cell r="E1382">
            <v>933806477</v>
          </cell>
          <cell r="F1382">
            <v>497313</v>
          </cell>
          <cell r="G1382">
            <v>177351.88636831773</v>
          </cell>
          <cell r="H1382">
            <v>31996.111363168224</v>
          </cell>
          <cell r="I1382">
            <v>351957.22499485046</v>
          </cell>
        </row>
        <row r="1383">
          <cell r="C1383">
            <v>933603344</v>
          </cell>
          <cell r="D1383">
            <v>52726</v>
          </cell>
          <cell r="E1383">
            <v>933806621</v>
          </cell>
          <cell r="F1383">
            <v>314929.27</v>
          </cell>
          <cell r="G1383">
            <v>112310.15498709516</v>
          </cell>
          <cell r="H1383">
            <v>20261.911501290488</v>
          </cell>
          <cell r="I1383">
            <v>222881.02651419534</v>
          </cell>
        </row>
        <row r="1384">
          <cell r="C1384">
            <v>933805770</v>
          </cell>
          <cell r="D1384">
            <v>500775.1</v>
          </cell>
          <cell r="E1384">
            <v>933805605</v>
          </cell>
          <cell r="F1384">
            <v>964115.64</v>
          </cell>
          <cell r="G1384">
            <v>343823.16052706831</v>
          </cell>
          <cell r="H1384">
            <v>62029.247947293166</v>
          </cell>
          <cell r="I1384">
            <v>682321.72742022492</v>
          </cell>
        </row>
        <row r="1385">
          <cell r="C1385">
            <v>933805769</v>
          </cell>
          <cell r="D1385">
            <v>473139.32</v>
          </cell>
          <cell r="E1385">
            <v>933806045</v>
          </cell>
          <cell r="F1385">
            <v>489114</v>
          </cell>
          <cell r="G1385">
            <v>174427.95693889636</v>
          </cell>
          <cell r="H1385">
            <v>31468.604306110366</v>
          </cell>
          <cell r="I1385">
            <v>346154.64736721403</v>
          </cell>
        </row>
        <row r="1386">
          <cell r="C1386">
            <v>933805771</v>
          </cell>
          <cell r="D1386">
            <v>555338.81999999995</v>
          </cell>
          <cell r="E1386">
            <v>933806617</v>
          </cell>
          <cell r="F1386">
            <v>309694</v>
          </cell>
          <cell r="G1386">
            <v>110443.15169108748</v>
          </cell>
          <cell r="H1386">
            <v>19925.084830891254</v>
          </cell>
          <cell r="I1386">
            <v>219175.93313980379</v>
          </cell>
        </row>
        <row r="1387">
          <cell r="C1387">
            <v>933806777</v>
          </cell>
          <cell r="D1387">
            <v>732587.18</v>
          </cell>
          <cell r="E1387">
            <v>933805876</v>
          </cell>
          <cell r="F1387">
            <v>1594078</v>
          </cell>
          <cell r="G1387">
            <v>568480.49481560953</v>
          </cell>
          <cell r="H1387">
            <v>102559.75051843905</v>
          </cell>
          <cell r="I1387">
            <v>1128157.2557028295</v>
          </cell>
        </row>
        <row r="1388">
          <cell r="C1388">
            <v>933805808</v>
          </cell>
          <cell r="D1388">
            <v>528750.54</v>
          </cell>
          <cell r="E1388">
            <v>933806153</v>
          </cell>
          <cell r="F1388">
            <v>561607</v>
          </cell>
          <cell r="G1388">
            <v>200280.42871924085</v>
          </cell>
          <cell r="H1388">
            <v>36132.657128075924</v>
          </cell>
          <cell r="I1388">
            <v>397459.22840883513</v>
          </cell>
        </row>
        <row r="1389">
          <cell r="C1389">
            <v>933805912</v>
          </cell>
          <cell r="D1389">
            <v>210498.53</v>
          </cell>
          <cell r="E1389">
            <v>933806074</v>
          </cell>
          <cell r="F1389">
            <v>445192</v>
          </cell>
          <cell r="G1389">
            <v>158764.48232015673</v>
          </cell>
          <cell r="H1389">
            <v>28642.751767984322</v>
          </cell>
          <cell r="I1389">
            <v>315070.26944782754</v>
          </cell>
        </row>
        <row r="1390">
          <cell r="C1390">
            <v>933805922</v>
          </cell>
          <cell r="D1390">
            <v>78473.460000000006</v>
          </cell>
          <cell r="E1390">
            <v>933800222</v>
          </cell>
          <cell r="F1390">
            <v>512996.64</v>
          </cell>
          <cell r="G1390">
            <v>182944.98998539912</v>
          </cell>
          <cell r="H1390">
            <v>33005.165001460089</v>
          </cell>
          <cell r="I1390">
            <v>363056.81501606095</v>
          </cell>
        </row>
        <row r="1391">
          <cell r="C1391">
            <v>933805937</v>
          </cell>
          <cell r="D1391">
            <v>1010587.97</v>
          </cell>
          <cell r="E1391">
            <v>933806096</v>
          </cell>
          <cell r="F1391">
            <v>516181.64</v>
          </cell>
          <cell r="G1391">
            <v>184080.82548152149</v>
          </cell>
          <cell r="H1391">
            <v>33210.081451847851</v>
          </cell>
          <cell r="I1391">
            <v>365310.89597032638</v>
          </cell>
        </row>
        <row r="1392">
          <cell r="C1392">
            <v>908635555</v>
          </cell>
          <cell r="D1392">
            <v>124145.53</v>
          </cell>
          <cell r="E1392">
            <v>933806135</v>
          </cell>
          <cell r="F1392">
            <v>53635</v>
          </cell>
          <cell r="G1392">
            <v>19127.327106600314</v>
          </cell>
          <cell r="H1392">
            <v>3450.7672893399686</v>
          </cell>
          <cell r="I1392">
            <v>37958.44018273965</v>
          </cell>
        </row>
        <row r="1393">
          <cell r="C1393">
            <v>933805677</v>
          </cell>
          <cell r="D1393">
            <v>203216.94</v>
          </cell>
          <cell r="E1393">
            <v>933806137</v>
          </cell>
          <cell r="F1393">
            <v>350320</v>
          </cell>
          <cell r="G1393">
            <v>124931.20596595919</v>
          </cell>
          <cell r="H1393">
            <v>22538.87940340408</v>
          </cell>
          <cell r="I1393">
            <v>247927.6734374449</v>
          </cell>
        </row>
        <row r="1394">
          <cell r="C1394">
            <v>933805904</v>
          </cell>
          <cell r="D1394">
            <v>290105.78000000003</v>
          </cell>
          <cell r="E1394">
            <v>933806356</v>
          </cell>
          <cell r="F1394">
            <v>1092586</v>
          </cell>
          <cell r="G1394">
            <v>389638.29242270923</v>
          </cell>
          <cell r="H1394">
            <v>70294.770757729071</v>
          </cell>
          <cell r="I1394">
            <v>773242.47833501978</v>
          </cell>
        </row>
        <row r="1395">
          <cell r="C1395">
            <v>933805907</v>
          </cell>
          <cell r="D1395">
            <v>310223.86</v>
          </cell>
          <cell r="E1395">
            <v>933806250</v>
          </cell>
          <cell r="F1395">
            <v>852523</v>
          </cell>
          <cell r="G1395">
            <v>304026.96535658091</v>
          </cell>
          <cell r="H1395">
            <v>54849.603464341912</v>
          </cell>
          <cell r="I1395">
            <v>603345.63810776104</v>
          </cell>
        </row>
        <row r="1396">
          <cell r="C1396">
            <v>933805987</v>
          </cell>
          <cell r="D1396">
            <v>427427.01</v>
          </cell>
          <cell r="E1396">
            <v>933806307</v>
          </cell>
          <cell r="F1396">
            <v>362699</v>
          </cell>
          <cell r="G1396">
            <v>129345.80804021306</v>
          </cell>
          <cell r="H1396">
            <v>23335.319195978693</v>
          </cell>
          <cell r="I1396">
            <v>256688.51115576562</v>
          </cell>
        </row>
        <row r="1397">
          <cell r="C1397">
            <v>933805675</v>
          </cell>
          <cell r="D1397">
            <v>287903.45</v>
          </cell>
          <cell r="E1397">
            <v>933806319</v>
          </cell>
          <cell r="F1397">
            <v>697380</v>
          </cell>
          <cell r="G1397">
            <v>248699.82991704906</v>
          </cell>
          <cell r="H1397">
            <v>44868.017008295094</v>
          </cell>
          <cell r="I1397">
            <v>493548.18709124607</v>
          </cell>
        </row>
        <row r="1398">
          <cell r="C1398">
            <v>933806023</v>
          </cell>
          <cell r="D1398">
            <v>615929.48</v>
          </cell>
          <cell r="E1398">
            <v>933806269</v>
          </cell>
          <cell r="F1398">
            <v>336132.64</v>
          </cell>
          <cell r="G1398">
            <v>119871.70609648782</v>
          </cell>
          <cell r="H1398">
            <v>21626.093390351216</v>
          </cell>
          <cell r="I1398">
            <v>237887.02729386342</v>
          </cell>
        </row>
        <row r="1399">
          <cell r="C1399">
            <v>933805724</v>
          </cell>
          <cell r="D1399">
            <v>81506.880000000005</v>
          </cell>
          <cell r="E1399">
            <v>933806367</v>
          </cell>
          <cell r="F1399">
            <v>102443</v>
          </cell>
          <cell r="G1399">
            <v>36533.248266644092</v>
          </cell>
          <cell r="H1399">
            <v>6590.9751733355915</v>
          </cell>
          <cell r="I1399">
            <v>72500.726906691503</v>
          </cell>
        </row>
        <row r="1400">
          <cell r="C1400">
            <v>933805737</v>
          </cell>
          <cell r="D1400">
            <v>499694.01</v>
          </cell>
          <cell r="E1400">
            <v>933806029</v>
          </cell>
          <cell r="F1400">
            <v>494080.92</v>
          </cell>
          <cell r="G1400">
            <v>176199.26119082727</v>
          </cell>
          <cell r="H1400">
            <v>31788.16588091727</v>
          </cell>
          <cell r="I1400">
            <v>349669.82469008997</v>
          </cell>
        </row>
        <row r="1401">
          <cell r="C1401">
            <v>933805622</v>
          </cell>
          <cell r="D1401">
            <v>619294.78</v>
          </cell>
          <cell r="E1401">
            <v>933806303</v>
          </cell>
          <cell r="F1401">
            <v>566731</v>
          </cell>
          <cell r="G1401">
            <v>202107.75088003546</v>
          </cell>
          <cell r="H1401">
            <v>36462.324911996453</v>
          </cell>
          <cell r="I1401">
            <v>401085.57403196098</v>
          </cell>
        </row>
        <row r="1402">
          <cell r="C1402">
            <v>933805645</v>
          </cell>
          <cell r="D1402">
            <v>607454.62</v>
          </cell>
          <cell r="E1402">
            <v>933806297</v>
          </cell>
          <cell r="F1402">
            <v>405010</v>
          </cell>
          <cell r="G1402">
            <v>144434.76743626723</v>
          </cell>
          <cell r="H1402">
            <v>26057.523256373275</v>
          </cell>
          <cell r="I1402">
            <v>286632.75582010607</v>
          </cell>
        </row>
        <row r="1403">
          <cell r="C1403">
            <v>933806776</v>
          </cell>
          <cell r="D1403">
            <v>206322.2</v>
          </cell>
          <cell r="E1403">
            <v>933806252</v>
          </cell>
          <cell r="F1403">
            <v>628136</v>
          </cell>
          <cell r="G1403">
            <v>224006.01732882438</v>
          </cell>
          <cell r="H1403">
            <v>40412.99826711756</v>
          </cell>
          <cell r="I1403">
            <v>444542.98093829316</v>
          </cell>
        </row>
        <row r="1404">
          <cell r="C1404">
            <v>933805736</v>
          </cell>
          <cell r="D1404">
            <v>151176.48000000001</v>
          </cell>
          <cell r="E1404">
            <v>933806056</v>
          </cell>
          <cell r="F1404">
            <v>304557</v>
          </cell>
          <cell r="G1404">
            <v>108611.19346704337</v>
          </cell>
          <cell r="H1404">
            <v>19594.580653295663</v>
          </cell>
          <cell r="I1404">
            <v>215540.38718625228</v>
          </cell>
        </row>
        <row r="1405">
          <cell r="C1405">
            <v>933805721</v>
          </cell>
          <cell r="D1405">
            <v>190174.37</v>
          </cell>
          <cell r="E1405">
            <v>933806236</v>
          </cell>
          <cell r="F1405">
            <v>389284</v>
          </cell>
          <cell r="G1405">
            <v>138826.55738539752</v>
          </cell>
          <cell r="H1405">
            <v>25045.744261460248</v>
          </cell>
          <cell r="I1405">
            <v>275503.18687606271</v>
          </cell>
        </row>
        <row r="1406">
          <cell r="C1406">
            <v>933806032</v>
          </cell>
          <cell r="D1406">
            <v>536424.41</v>
          </cell>
          <cell r="E1406">
            <v>933805337</v>
          </cell>
          <cell r="F1406">
            <v>168618</v>
          </cell>
          <cell r="G1406">
            <v>60132.593307741794</v>
          </cell>
          <cell r="H1406">
            <v>10848.54066922582</v>
          </cell>
          <cell r="I1406">
            <v>119333.94736148402</v>
          </cell>
        </row>
        <row r="1407">
          <cell r="C1407">
            <v>933806096</v>
          </cell>
          <cell r="D1407">
            <v>353303.34</v>
          </cell>
          <cell r="E1407">
            <v>933805330</v>
          </cell>
          <cell r="F1407">
            <v>699088.64</v>
          </cell>
          <cell r="G1407">
            <v>249309.16554094059</v>
          </cell>
          <cell r="H1407">
            <v>44977.947445905942</v>
          </cell>
          <cell r="I1407">
            <v>494757.42190496536</v>
          </cell>
        </row>
        <row r="1408">
          <cell r="C1408">
            <v>933806137</v>
          </cell>
          <cell r="D1408">
            <v>163554.96</v>
          </cell>
          <cell r="E1408">
            <v>933805325</v>
          </cell>
          <cell r="F1408">
            <v>175946</v>
          </cell>
          <cell r="G1408">
            <v>62745.906499448101</v>
          </cell>
          <cell r="H1408">
            <v>11320.00935005519</v>
          </cell>
          <cell r="I1408">
            <v>124520.10285060709</v>
          </cell>
        </row>
        <row r="1409">
          <cell r="C1409">
            <v>933806097</v>
          </cell>
          <cell r="D1409">
            <v>506978.93</v>
          </cell>
          <cell r="E1409">
            <v>933805254</v>
          </cell>
          <cell r="F1409">
            <v>287061</v>
          </cell>
          <cell r="G1409">
            <v>102371.76557374462</v>
          </cell>
          <cell r="H1409">
            <v>18468.923442625539</v>
          </cell>
          <cell r="I1409">
            <v>203158.15786888092</v>
          </cell>
        </row>
        <row r="1410">
          <cell r="C1410">
            <v>933806115</v>
          </cell>
          <cell r="D1410">
            <v>66361.91</v>
          </cell>
          <cell r="E1410">
            <v>933805288</v>
          </cell>
          <cell r="F1410">
            <v>458007</v>
          </cell>
          <cell r="G1410">
            <v>163334.57082339312</v>
          </cell>
          <cell r="H1410">
            <v>29467.242917660689</v>
          </cell>
          <cell r="I1410">
            <v>324139.67209426756</v>
          </cell>
        </row>
        <row r="1411">
          <cell r="C1411">
            <v>933806189</v>
          </cell>
          <cell r="D1411">
            <v>647154.12</v>
          </cell>
          <cell r="E1411">
            <v>933805344</v>
          </cell>
          <cell r="F1411">
            <v>375030</v>
          </cell>
          <cell r="G1411">
            <v>133743.29234246881</v>
          </cell>
          <cell r="H1411">
            <v>24128.670765753119</v>
          </cell>
          <cell r="I1411">
            <v>265415.37842328433</v>
          </cell>
        </row>
        <row r="1412">
          <cell r="C1412">
            <v>933806159</v>
          </cell>
          <cell r="D1412">
            <v>286435.58</v>
          </cell>
          <cell r="E1412">
            <v>933805342</v>
          </cell>
          <cell r="F1412">
            <v>600373</v>
          </cell>
          <cell r="G1412">
            <v>214105.16932918711</v>
          </cell>
          <cell r="H1412">
            <v>38626.783067081284</v>
          </cell>
          <cell r="I1412">
            <v>424894.61373789416</v>
          </cell>
        </row>
        <row r="1413">
          <cell r="C1413">
            <v>933805938</v>
          </cell>
          <cell r="D1413">
            <v>332259.53999999998</v>
          </cell>
          <cell r="E1413">
            <v>933805306</v>
          </cell>
          <cell r="F1413">
            <v>495383</v>
          </cell>
          <cell r="G1413">
            <v>176663.60928589507</v>
          </cell>
          <cell r="H1413">
            <v>31871.939071410496</v>
          </cell>
          <cell r="I1413">
            <v>350591.32978551544</v>
          </cell>
        </row>
        <row r="1414">
          <cell r="C1414">
            <v>933806059</v>
          </cell>
          <cell r="D1414">
            <v>270036.51</v>
          </cell>
          <cell r="E1414">
            <v>933805296</v>
          </cell>
          <cell r="F1414">
            <v>344946.64</v>
          </cell>
          <cell r="G1414">
            <v>123014.95697963457</v>
          </cell>
          <cell r="H1414">
            <v>22193.168302036542</v>
          </cell>
          <cell r="I1414">
            <v>244124.85132240196</v>
          </cell>
        </row>
        <row r="1415">
          <cell r="C1415">
            <v>933806057</v>
          </cell>
          <cell r="D1415">
            <v>268122.81</v>
          </cell>
          <cell r="E1415">
            <v>933805365</v>
          </cell>
          <cell r="F1415">
            <v>136908</v>
          </cell>
          <cell r="G1415">
            <v>48824.165181512733</v>
          </cell>
          <cell r="H1415">
            <v>8808.3834818487267</v>
          </cell>
          <cell r="I1415">
            <v>96892.218300335982</v>
          </cell>
        </row>
        <row r="1416">
          <cell r="C1416">
            <v>933806058</v>
          </cell>
          <cell r="D1416">
            <v>127736.91</v>
          </cell>
          <cell r="E1416">
            <v>933805347</v>
          </cell>
          <cell r="F1416">
            <v>451171.54</v>
          </cell>
          <cell r="G1416">
            <v>160896.90736960206</v>
          </cell>
          <cell r="H1416">
            <v>29027.463263039794</v>
          </cell>
          <cell r="I1416">
            <v>319302.09589343768</v>
          </cell>
        </row>
        <row r="1417">
          <cell r="C1417">
            <v>933805691</v>
          </cell>
          <cell r="D1417">
            <v>136875.06</v>
          </cell>
          <cell r="E1417">
            <v>933805309</v>
          </cell>
          <cell r="F1417">
            <v>811122</v>
          </cell>
          <cell r="G1417">
            <v>289262.53038799029</v>
          </cell>
          <cell r="H1417">
            <v>52185.946961200971</v>
          </cell>
          <cell r="I1417">
            <v>574045.41657321062</v>
          </cell>
        </row>
        <row r="1418">
          <cell r="C1418">
            <v>933800722</v>
          </cell>
          <cell r="D1418">
            <v>284357.02</v>
          </cell>
          <cell r="E1418">
            <v>933805341</v>
          </cell>
          <cell r="F1418">
            <v>706433</v>
          </cell>
          <cell r="G1418">
            <v>251928.31303993624</v>
          </cell>
          <cell r="H1418">
            <v>45450.468696006377</v>
          </cell>
          <cell r="I1418">
            <v>499955.15565607016</v>
          </cell>
        </row>
        <row r="1419">
          <cell r="C1419">
            <v>933806211</v>
          </cell>
          <cell r="D1419">
            <v>656290.57999999996</v>
          </cell>
          <cell r="E1419">
            <v>933805274</v>
          </cell>
          <cell r="F1419">
            <v>464909</v>
          </cell>
          <cell r="G1419">
            <v>165795.96378861647</v>
          </cell>
          <cell r="H1419">
            <v>29911.303621138351</v>
          </cell>
          <cell r="I1419">
            <v>329024.33983252186</v>
          </cell>
        </row>
        <row r="1420">
          <cell r="C1420">
            <v>933806243</v>
          </cell>
          <cell r="D1420">
            <v>265067.56</v>
          </cell>
          <cell r="E1420">
            <v>933805348</v>
          </cell>
          <cell r="F1420">
            <v>234245</v>
          </cell>
          <cell r="G1420">
            <v>83536.510451861483</v>
          </cell>
          <cell r="H1420">
            <v>15070.848954813853</v>
          </cell>
          <cell r="I1420">
            <v>165779.33850295236</v>
          </cell>
        </row>
        <row r="1421">
          <cell r="C1421">
            <v>933806304</v>
          </cell>
          <cell r="D1421">
            <v>285067.61</v>
          </cell>
          <cell r="E1421">
            <v>938805023</v>
          </cell>
          <cell r="F1421">
            <v>118013</v>
          </cell>
          <cell r="G1421">
            <v>42085.825558520046</v>
          </cell>
          <cell r="H1421">
            <v>7592.7174441479965</v>
          </cell>
          <cell r="I1421">
            <v>83519.891885627963</v>
          </cell>
        </row>
        <row r="1422">
          <cell r="C1422">
            <v>933806184</v>
          </cell>
          <cell r="D1422">
            <v>146974.29</v>
          </cell>
          <cell r="E1422">
            <v>933806271</v>
          </cell>
          <cell r="F1422">
            <v>557507</v>
          </cell>
          <cell r="G1422">
            <v>198818.28569440515</v>
          </cell>
          <cell r="H1422">
            <v>35868.871430559484</v>
          </cell>
          <cell r="I1422">
            <v>394557.58573615435</v>
          </cell>
        </row>
        <row r="1423">
          <cell r="C1423">
            <v>933806244</v>
          </cell>
          <cell r="D1423">
            <v>184408.55</v>
          </cell>
          <cell r="E1423">
            <v>938508130</v>
          </cell>
          <cell r="F1423">
            <v>154116</v>
          </cell>
          <cell r="G1423">
            <v>54960.886442823044</v>
          </cell>
          <cell r="H1423">
            <v>9915.5113557176956</v>
          </cell>
          <cell r="I1423">
            <v>109070.62491289465</v>
          </cell>
        </row>
        <row r="1424">
          <cell r="C1424">
            <v>933806236</v>
          </cell>
          <cell r="D1424">
            <v>398919.05</v>
          </cell>
          <cell r="E1424">
            <v>933805850</v>
          </cell>
          <cell r="F1424">
            <v>226172</v>
          </cell>
          <cell r="G1424">
            <v>80657.51517393504</v>
          </cell>
          <cell r="H1424">
            <v>14551.448482606495</v>
          </cell>
          <cell r="I1424">
            <v>160065.93330867146</v>
          </cell>
        </row>
        <row r="1425">
          <cell r="C1425">
            <v>933806210</v>
          </cell>
          <cell r="D1425">
            <v>168256.3</v>
          </cell>
          <cell r="E1425">
            <v>933806653</v>
          </cell>
          <cell r="F1425">
            <v>264716</v>
          </cell>
          <cell r="G1425">
            <v>94403.086088390206</v>
          </cell>
          <cell r="H1425">
            <v>17031.291391160979</v>
          </cell>
          <cell r="I1425">
            <v>187344.20530277077</v>
          </cell>
        </row>
        <row r="1426">
          <cell r="C1426">
            <v>933806209</v>
          </cell>
          <cell r="D1426">
            <v>262207.58</v>
          </cell>
          <cell r="E1426">
            <v>933806546</v>
          </cell>
          <cell r="F1426">
            <v>131388</v>
          </cell>
          <cell r="G1426">
            <v>46855.621401733981</v>
          </cell>
          <cell r="H1426">
            <v>8453.2378598266023</v>
          </cell>
          <cell r="I1426">
            <v>92985.616458092627</v>
          </cell>
        </row>
        <row r="1427">
          <cell r="C1427">
            <v>933806259</v>
          </cell>
          <cell r="D1427">
            <v>134003.10999999999</v>
          </cell>
          <cell r="E1427">
            <v>933806670</v>
          </cell>
          <cell r="F1427">
            <v>565675</v>
          </cell>
          <cell r="G1427">
            <v>201731.15989607779</v>
          </cell>
          <cell r="H1427">
            <v>36394.384010392219</v>
          </cell>
          <cell r="I1427">
            <v>400338.22411431442</v>
          </cell>
        </row>
        <row r="1428">
          <cell r="C1428">
            <v>933806365</v>
          </cell>
          <cell r="D1428">
            <v>613255.44999999995</v>
          </cell>
          <cell r="E1428">
            <v>933806629</v>
          </cell>
          <cell r="F1428">
            <v>392959.64</v>
          </cell>
          <cell r="G1428">
            <v>140137.36504096023</v>
          </cell>
          <cell r="H1428">
            <v>25282.227495903979</v>
          </cell>
          <cell r="I1428">
            <v>278104.50245494378</v>
          </cell>
        </row>
        <row r="1429">
          <cell r="C1429">
            <v>933805967</v>
          </cell>
          <cell r="D1429">
            <v>95109.119999999995</v>
          </cell>
          <cell r="E1429">
            <v>933806707</v>
          </cell>
          <cell r="F1429">
            <v>397278</v>
          </cell>
          <cell r="G1429">
            <v>141677.37966357713</v>
          </cell>
          <cell r="H1429">
            <v>25560.062033642287</v>
          </cell>
          <cell r="I1429">
            <v>281160.68237006513</v>
          </cell>
        </row>
        <row r="1430">
          <cell r="C1430">
            <v>933806430</v>
          </cell>
          <cell r="D1430">
            <v>300573.07</v>
          </cell>
          <cell r="E1430">
            <v>933806632</v>
          </cell>
          <cell r="F1430">
            <v>531759.64</v>
          </cell>
          <cell r="G1430">
            <v>189636.25573539711</v>
          </cell>
          <cell r="H1430">
            <v>34212.338426460286</v>
          </cell>
          <cell r="I1430">
            <v>376335.72269106319</v>
          </cell>
        </row>
        <row r="1431">
          <cell r="C1431">
            <v>933806069</v>
          </cell>
          <cell r="D1431">
            <v>94217.45</v>
          </cell>
          <cell r="E1431">
            <v>933806849</v>
          </cell>
          <cell r="F1431">
            <v>177903.45</v>
          </cell>
          <cell r="G1431">
            <v>63443.972807732149</v>
          </cell>
          <cell r="H1431">
            <v>11445.947719226788</v>
          </cell>
          <cell r="I1431">
            <v>125905.42491149466</v>
          </cell>
        </row>
        <row r="1432">
          <cell r="C1432">
            <v>933806457</v>
          </cell>
          <cell r="D1432">
            <v>1536014.37</v>
          </cell>
          <cell r="E1432">
            <v>933805775</v>
          </cell>
          <cell r="F1432">
            <v>420673</v>
          </cell>
          <cell r="G1432">
            <v>150020.51041138946</v>
          </cell>
          <cell r="H1432">
            <v>27065.248958861055</v>
          </cell>
          <cell r="I1432">
            <v>297717.73854747158</v>
          </cell>
        </row>
        <row r="1433">
          <cell r="C1433">
            <v>933806426</v>
          </cell>
          <cell r="D1433">
            <v>74336.33</v>
          </cell>
          <cell r="E1433">
            <v>933806679</v>
          </cell>
          <cell r="F1433">
            <v>281762</v>
          </cell>
          <cell r="G1433">
            <v>100482.034869207</v>
          </cell>
          <cell r="H1433">
            <v>18127.996513079299</v>
          </cell>
          <cell r="I1433">
            <v>199407.96164387229</v>
          </cell>
        </row>
        <row r="1434">
          <cell r="C1434">
            <v>933806105</v>
          </cell>
          <cell r="D1434">
            <v>44545</v>
          </cell>
          <cell r="E1434">
            <v>933806637</v>
          </cell>
          <cell r="F1434">
            <v>73392</v>
          </cell>
          <cell r="G1434">
            <v>26173.073385058455</v>
          </cell>
          <cell r="H1434">
            <v>4721.8926614941556</v>
          </cell>
          <cell r="I1434">
            <v>51940.819276435708</v>
          </cell>
        </row>
        <row r="1435">
          <cell r="C1435">
            <v>933806547</v>
          </cell>
          <cell r="D1435">
            <v>940777.44</v>
          </cell>
          <cell r="E1435">
            <v>933803366</v>
          </cell>
          <cell r="F1435">
            <v>236802</v>
          </cell>
          <cell r="G1435">
            <v>84448.388431008992</v>
          </cell>
          <cell r="H1435">
            <v>15235.3611568991</v>
          </cell>
          <cell r="I1435">
            <v>167588.97272589011</v>
          </cell>
        </row>
        <row r="1436">
          <cell r="C1436">
            <v>933806979</v>
          </cell>
          <cell r="D1436">
            <v>129871.86</v>
          </cell>
          <cell r="E1436">
            <v>933805162</v>
          </cell>
          <cell r="F1436">
            <v>643873</v>
          </cell>
          <cell r="G1436">
            <v>229618.15020244362</v>
          </cell>
          <cell r="H1436">
            <v>41425.484979755638</v>
          </cell>
          <cell r="I1436">
            <v>455680.33477731206</v>
          </cell>
        </row>
        <row r="1437">
          <cell r="C1437">
            <v>933806471</v>
          </cell>
          <cell r="D1437">
            <v>530429.81999999995</v>
          </cell>
          <cell r="E1437">
            <v>933805208</v>
          </cell>
          <cell r="F1437">
            <v>183209.91</v>
          </cell>
          <cell r="G1437">
            <v>65336.363899334465</v>
          </cell>
          <cell r="H1437">
            <v>11787.354610066554</v>
          </cell>
          <cell r="I1437">
            <v>129660.90071073209</v>
          </cell>
        </row>
        <row r="1438">
          <cell r="C1438">
            <v>933806630</v>
          </cell>
          <cell r="D1438">
            <v>577424.85</v>
          </cell>
          <cell r="E1438">
            <v>933805175</v>
          </cell>
          <cell r="F1438">
            <v>179481</v>
          </cell>
          <cell r="G1438">
            <v>64006.559083056411</v>
          </cell>
          <cell r="H1438">
            <v>11547.44409169436</v>
          </cell>
          <cell r="I1438">
            <v>127021.88500863795</v>
          </cell>
        </row>
        <row r="1439">
          <cell r="C1439">
            <v>933806812</v>
          </cell>
          <cell r="D1439">
            <v>154867.6</v>
          </cell>
          <cell r="E1439">
            <v>933806316</v>
          </cell>
          <cell r="F1439">
            <v>44545</v>
          </cell>
          <cell r="G1439">
            <v>15885.649034464639</v>
          </cell>
          <cell r="H1439">
            <v>2865.9350965535359</v>
          </cell>
          <cell r="I1439">
            <v>31525.286062088897</v>
          </cell>
        </row>
        <row r="1440">
          <cell r="C1440">
            <v>933806695</v>
          </cell>
          <cell r="D1440">
            <v>205062.98</v>
          </cell>
          <cell r="E1440">
            <v>933806745</v>
          </cell>
          <cell r="F1440">
            <v>241648</v>
          </cell>
          <cell r="G1440">
            <v>86176.570162314762</v>
          </cell>
          <cell r="H1440">
            <v>15547.142983768526</v>
          </cell>
          <cell r="I1440">
            <v>171018.57282145377</v>
          </cell>
        </row>
        <row r="1441">
          <cell r="C1441">
            <v>933806938</v>
          </cell>
          <cell r="D1441">
            <v>1340219.32</v>
          </cell>
          <cell r="E1441">
            <v>933806418</v>
          </cell>
          <cell r="F1441">
            <v>214223</v>
          </cell>
          <cell r="G1441">
            <v>76396.259807163951</v>
          </cell>
          <cell r="H1441">
            <v>13782.674019283604</v>
          </cell>
          <cell r="I1441">
            <v>151609.41421211965</v>
          </cell>
        </row>
        <row r="1442">
          <cell r="C1442">
            <v>933806637</v>
          </cell>
          <cell r="D1442">
            <v>722687.51</v>
          </cell>
          <cell r="E1442">
            <v>933805164</v>
          </cell>
          <cell r="F1442">
            <v>44545</v>
          </cell>
          <cell r="G1442">
            <v>15885.649034464639</v>
          </cell>
          <cell r="H1442">
            <v>2865.9350965535359</v>
          </cell>
          <cell r="I1442">
            <v>31525.286062088897</v>
          </cell>
        </row>
        <row r="1443">
          <cell r="C1443">
            <v>933806950</v>
          </cell>
          <cell r="D1443">
            <v>292810.03999999998</v>
          </cell>
          <cell r="E1443">
            <v>933806084</v>
          </cell>
          <cell r="F1443">
            <v>190667.02</v>
          </cell>
          <cell r="G1443">
            <v>67995.720331513076</v>
          </cell>
          <cell r="H1443">
            <v>12267.12996684869</v>
          </cell>
          <cell r="I1443">
            <v>134938.4296353356</v>
          </cell>
        </row>
        <row r="1444">
          <cell r="C1444">
            <v>933806257</v>
          </cell>
          <cell r="D1444">
            <v>229461.22</v>
          </cell>
          <cell r="E1444">
            <v>933805171</v>
          </cell>
          <cell r="F1444">
            <v>296148.64</v>
          </cell>
          <cell r="G1444">
            <v>105612.60202209039</v>
          </cell>
          <cell r="H1444">
            <v>19053.603797790962</v>
          </cell>
          <cell r="I1444">
            <v>209589.64177570058</v>
          </cell>
        </row>
        <row r="1445">
          <cell r="C1445">
            <v>933805794</v>
          </cell>
          <cell r="D1445">
            <v>68489.570000000007</v>
          </cell>
          <cell r="E1445">
            <v>933805176</v>
          </cell>
          <cell r="F1445">
            <v>262726.82</v>
          </cell>
          <cell r="G1445">
            <v>93693.704219574924</v>
          </cell>
          <cell r="H1445">
            <v>16903.311578042507</v>
          </cell>
          <cell r="I1445">
            <v>185936.4273584676</v>
          </cell>
        </row>
        <row r="1446">
          <cell r="C1446">
            <v>933806549</v>
          </cell>
          <cell r="D1446">
            <v>578338.43000000005</v>
          </cell>
          <cell r="E1446">
            <v>933806941</v>
          </cell>
          <cell r="F1446">
            <v>270245.19</v>
          </cell>
          <cell r="G1446">
            <v>96374.907208266086</v>
          </cell>
          <cell r="H1446">
            <v>17387.028279173392</v>
          </cell>
          <cell r="I1446">
            <v>191257.31107090731</v>
          </cell>
        </row>
        <row r="1447">
          <cell r="C1447">
            <v>933806648</v>
          </cell>
          <cell r="D1447">
            <v>229342.32</v>
          </cell>
          <cell r="E1447">
            <v>938805238</v>
          </cell>
          <cell r="F1447">
            <v>420165</v>
          </cell>
          <cell r="G1447">
            <v>149839.34732440981</v>
          </cell>
          <cell r="H1447">
            <v>27032.565267559021</v>
          </cell>
          <cell r="I1447">
            <v>297358.21794314921</v>
          </cell>
        </row>
        <row r="1448">
          <cell r="C1448">
            <v>933806670</v>
          </cell>
          <cell r="D1448">
            <v>447973.2</v>
          </cell>
          <cell r="E1448">
            <v>938806079</v>
          </cell>
          <cell r="F1448">
            <v>120568.92</v>
          </cell>
          <cell r="G1448">
            <v>42997.318387797604</v>
          </cell>
          <cell r="H1448">
            <v>7757.1601612202385</v>
          </cell>
          <cell r="I1448">
            <v>85328.761773422622</v>
          </cell>
        </row>
        <row r="1449">
          <cell r="C1449">
            <v>933805601</v>
          </cell>
          <cell r="D1449">
            <v>232027.75</v>
          </cell>
          <cell r="E1449">
            <v>938805374</v>
          </cell>
          <cell r="F1449">
            <v>57272</v>
          </cell>
          <cell r="G1449">
            <v>20424.354955704544</v>
          </cell>
          <cell r="H1449">
            <v>3684.7645044295455</v>
          </cell>
          <cell r="I1449">
            <v>40532.409548724994</v>
          </cell>
        </row>
        <row r="1450">
          <cell r="C1450">
            <v>933805908</v>
          </cell>
          <cell r="D1450">
            <v>440122.76</v>
          </cell>
          <cell r="E1450">
            <v>933806726</v>
          </cell>
          <cell r="F1450">
            <v>244975</v>
          </cell>
          <cell r="G1450">
            <v>87363.045733931416</v>
          </cell>
          <cell r="H1450">
            <v>15761.195426606857</v>
          </cell>
          <cell r="I1450">
            <v>173373.14969267545</v>
          </cell>
        </row>
        <row r="1451">
          <cell r="C1451">
            <v>933806410</v>
          </cell>
          <cell r="D1451">
            <v>465207.11</v>
          </cell>
          <cell r="E1451">
            <v>938806113</v>
          </cell>
          <cell r="F1451">
            <v>202339</v>
          </cell>
          <cell r="G1451">
            <v>72158.184756640272</v>
          </cell>
          <cell r="H1451">
            <v>13018.081524335972</v>
          </cell>
          <cell r="I1451">
            <v>143198.8967676957</v>
          </cell>
        </row>
        <row r="1452">
          <cell r="C1452">
            <v>933805749</v>
          </cell>
          <cell r="D1452">
            <v>224950.55</v>
          </cell>
          <cell r="E1452">
            <v>933806145</v>
          </cell>
          <cell r="F1452">
            <v>140614</v>
          </cell>
          <cell r="G1452">
            <v>50145.799827864197</v>
          </cell>
          <cell r="H1452">
            <v>9046.8200172135821</v>
          </cell>
          <cell r="I1452">
            <v>99515.020189349394</v>
          </cell>
        </row>
        <row r="1453">
          <cell r="C1453">
            <v>933806284</v>
          </cell>
          <cell r="D1453">
            <v>248331.66</v>
          </cell>
          <cell r="E1453">
            <v>938806895</v>
          </cell>
          <cell r="F1453">
            <v>230002</v>
          </cell>
          <cell r="G1453">
            <v>82023.370731281539</v>
          </cell>
          <cell r="H1453">
            <v>14797.862926871847</v>
          </cell>
          <cell r="I1453">
            <v>162776.49219559031</v>
          </cell>
        </row>
        <row r="1454">
          <cell r="C1454">
            <v>933806293</v>
          </cell>
          <cell r="D1454">
            <v>180893.74</v>
          </cell>
          <cell r="E1454">
            <v>938806084</v>
          </cell>
          <cell r="F1454">
            <v>178708</v>
          </cell>
          <cell r="G1454">
            <v>63730.891629837402</v>
          </cell>
          <cell r="H1454">
            <v>11497.710837016259</v>
          </cell>
          <cell r="I1454">
            <v>126474.81920717887</v>
          </cell>
        </row>
        <row r="1455">
          <cell r="C1455">
            <v>933806397</v>
          </cell>
          <cell r="D1455">
            <v>644165.43999999994</v>
          </cell>
          <cell r="E1455">
            <v>933805276</v>
          </cell>
          <cell r="F1455">
            <v>258203</v>
          </cell>
          <cell r="G1455">
            <v>92080.41840040125</v>
          </cell>
          <cell r="H1455">
            <v>16612.258159959874</v>
          </cell>
          <cell r="I1455">
            <v>182734.83975955861</v>
          </cell>
        </row>
        <row r="1456">
          <cell r="C1456">
            <v>933806249</v>
          </cell>
          <cell r="D1456">
            <v>238701.16</v>
          </cell>
          <cell r="E1456">
            <v>938805025</v>
          </cell>
          <cell r="F1456">
            <v>336601.64</v>
          </cell>
          <cell r="G1456">
            <v>120038.96099371904</v>
          </cell>
          <cell r="H1456">
            <v>21656.267900628092</v>
          </cell>
          <cell r="I1456">
            <v>238218.94690690906</v>
          </cell>
        </row>
        <row r="1457">
          <cell r="C1457">
            <v>933806287</v>
          </cell>
          <cell r="D1457">
            <v>170056.33</v>
          </cell>
          <cell r="E1457">
            <v>938805072</v>
          </cell>
          <cell r="F1457">
            <v>631437</v>
          </cell>
          <cell r="G1457">
            <v>225183.22077394204</v>
          </cell>
          <cell r="H1457">
            <v>40625.377922605796</v>
          </cell>
          <cell r="I1457">
            <v>446879.15714866371</v>
          </cell>
        </row>
        <row r="1458">
          <cell r="C1458">
            <v>933806374</v>
          </cell>
          <cell r="D1458">
            <v>199203.24</v>
          </cell>
          <cell r="E1458">
            <v>938805233</v>
          </cell>
          <cell r="F1458">
            <v>313735</v>
          </cell>
          <cell r="G1458">
            <v>111884.25412117553</v>
          </cell>
          <cell r="H1458">
            <v>20185.074587882449</v>
          </cell>
          <cell r="I1458">
            <v>222035.82046670691</v>
          </cell>
        </row>
        <row r="1459">
          <cell r="C1459">
            <v>933805342</v>
          </cell>
          <cell r="D1459">
            <v>304479.38</v>
          </cell>
          <cell r="E1459">
            <v>933805573</v>
          </cell>
          <cell r="F1459">
            <v>225981</v>
          </cell>
          <cell r="G1459">
            <v>80589.400706192697</v>
          </cell>
          <cell r="H1459">
            <v>14539.159929380728</v>
          </cell>
          <cell r="I1459">
            <v>159930.75922318801</v>
          </cell>
        </row>
        <row r="1460">
          <cell r="C1460">
            <v>933805306</v>
          </cell>
          <cell r="D1460">
            <v>120165.84</v>
          </cell>
          <cell r="E1460">
            <v>938805128</v>
          </cell>
          <cell r="F1460">
            <v>327928</v>
          </cell>
          <cell r="G1460">
            <v>116945.76532885668</v>
          </cell>
          <cell r="H1460">
            <v>21098.223467114331</v>
          </cell>
          <cell r="I1460">
            <v>232080.45813825764</v>
          </cell>
        </row>
        <row r="1461">
          <cell r="C1461">
            <v>933805206</v>
          </cell>
          <cell r="D1461">
            <v>949853.52</v>
          </cell>
          <cell r="E1461">
            <v>938805190</v>
          </cell>
          <cell r="F1461">
            <v>195623</v>
          </cell>
          <cell r="G1461">
            <v>69763.123157909446</v>
          </cell>
          <cell r="H1461">
            <v>12585.987684209056</v>
          </cell>
          <cell r="I1461">
            <v>138445.86452629961</v>
          </cell>
        </row>
        <row r="1462">
          <cell r="C1462">
            <v>933805178</v>
          </cell>
          <cell r="D1462">
            <v>404937.23</v>
          </cell>
          <cell r="E1462">
            <v>938805136</v>
          </cell>
          <cell r="F1462">
            <v>318207</v>
          </cell>
          <cell r="G1462">
            <v>113479.0598789963</v>
          </cell>
          <cell r="H1462">
            <v>20472.79401210037</v>
          </cell>
          <cell r="I1462">
            <v>225200.7341331041</v>
          </cell>
        </row>
        <row r="1463">
          <cell r="C1463">
            <v>933805317</v>
          </cell>
          <cell r="D1463">
            <v>492170.36</v>
          </cell>
          <cell r="E1463">
            <v>938805109</v>
          </cell>
          <cell r="F1463">
            <v>333615</v>
          </cell>
          <cell r="G1463">
            <v>118973.86469037873</v>
          </cell>
          <cell r="H1463">
            <v>21464.113530962128</v>
          </cell>
          <cell r="I1463">
            <v>236105.2488405834</v>
          </cell>
        </row>
        <row r="1464">
          <cell r="C1464">
            <v>933805341</v>
          </cell>
          <cell r="D1464">
            <v>299232.46999999997</v>
          </cell>
          <cell r="E1464">
            <v>938805113</v>
          </cell>
          <cell r="F1464">
            <v>184455</v>
          </cell>
          <cell r="G1464">
            <v>65780.388206357064</v>
          </cell>
          <cell r="H1464">
            <v>11867.461179364293</v>
          </cell>
          <cell r="I1464">
            <v>130542.07297300723</v>
          </cell>
        </row>
        <row r="1465">
          <cell r="C1465">
            <v>933805844</v>
          </cell>
          <cell r="D1465">
            <v>235556.52</v>
          </cell>
          <cell r="E1465">
            <v>938805161</v>
          </cell>
          <cell r="F1465">
            <v>232429</v>
          </cell>
          <cell r="G1465">
            <v>82888.888077934273</v>
          </cell>
          <cell r="H1465">
            <v>14954.011192206573</v>
          </cell>
          <cell r="I1465">
            <v>164494.12311427231</v>
          </cell>
        </row>
        <row r="1466">
          <cell r="C1466">
            <v>938805023</v>
          </cell>
          <cell r="D1466">
            <v>446540.81</v>
          </cell>
          <cell r="E1466">
            <v>938805148</v>
          </cell>
          <cell r="F1466">
            <v>298721</v>
          </cell>
          <cell r="G1466">
            <v>106529.95768827728</v>
          </cell>
          <cell r="H1466">
            <v>19219.10423117227</v>
          </cell>
          <cell r="I1466">
            <v>211410.14654289497</v>
          </cell>
        </row>
        <row r="1467">
          <cell r="C1467">
            <v>938508156</v>
          </cell>
          <cell r="D1467">
            <v>308093</v>
          </cell>
          <cell r="E1467">
            <v>938805132</v>
          </cell>
          <cell r="F1467">
            <v>97085.64</v>
          </cell>
          <cell r="G1467">
            <v>34622.705204318816</v>
          </cell>
          <cell r="H1467">
            <v>6246.2934795681176</v>
          </cell>
          <cell r="I1467">
            <v>68709.228275249305</v>
          </cell>
        </row>
        <row r="1468">
          <cell r="C1468">
            <v>933805972</v>
          </cell>
          <cell r="D1468">
            <v>480292.72</v>
          </cell>
          <cell r="E1468">
            <v>933806253</v>
          </cell>
          <cell r="F1468">
            <v>138555</v>
          </cell>
          <cell r="G1468">
            <v>49411.518733196724</v>
          </cell>
          <cell r="H1468">
            <v>8914.3481266803283</v>
          </cell>
          <cell r="I1468">
            <v>98057.829393483611</v>
          </cell>
        </row>
        <row r="1469">
          <cell r="C1469">
            <v>938508143</v>
          </cell>
          <cell r="D1469">
            <v>415465.16</v>
          </cell>
          <cell r="E1469">
            <v>938805144</v>
          </cell>
          <cell r="F1469">
            <v>398806</v>
          </cell>
          <cell r="G1469">
            <v>142222.29540551588</v>
          </cell>
          <cell r="H1469">
            <v>25658.370459448412</v>
          </cell>
          <cell r="I1469">
            <v>282242.07505393255</v>
          </cell>
        </row>
        <row r="1470">
          <cell r="C1470">
            <v>938508159</v>
          </cell>
          <cell r="D1470">
            <v>173938.95</v>
          </cell>
          <cell r="E1470">
            <v>938805352</v>
          </cell>
          <cell r="F1470">
            <v>1147638</v>
          </cell>
          <cell r="G1470">
            <v>409270.95042350277</v>
          </cell>
          <cell r="H1470">
            <v>73836.704957649723</v>
          </cell>
          <cell r="I1470">
            <v>812203.75453414686</v>
          </cell>
        </row>
        <row r="1471">
          <cell r="C1471">
            <v>933805267</v>
          </cell>
          <cell r="D1471">
            <v>295558.08</v>
          </cell>
          <cell r="E1471">
            <v>938805355</v>
          </cell>
          <cell r="F1471">
            <v>185804</v>
          </cell>
          <cell r="G1471">
            <v>66261.468923552995</v>
          </cell>
          <cell r="H1471">
            <v>11954.253107644701</v>
          </cell>
          <cell r="I1471">
            <v>131496.7841840917</v>
          </cell>
        </row>
        <row r="1472">
          <cell r="C1472">
            <v>938805136</v>
          </cell>
          <cell r="D1472">
            <v>640714.32999999996</v>
          </cell>
          <cell r="E1472">
            <v>933805882</v>
          </cell>
          <cell r="F1472">
            <v>620198</v>
          </cell>
          <cell r="G1472">
            <v>221175.16578464251</v>
          </cell>
          <cell r="H1472">
            <v>39902.283421535751</v>
          </cell>
          <cell r="I1472">
            <v>438925.11763689324</v>
          </cell>
        </row>
        <row r="1473">
          <cell r="C1473">
            <v>933805901</v>
          </cell>
          <cell r="D1473">
            <v>623142.97</v>
          </cell>
          <cell r="E1473">
            <v>933806214</v>
          </cell>
          <cell r="F1473">
            <v>856346</v>
          </cell>
          <cell r="G1473">
            <v>305390.32457217772</v>
          </cell>
          <cell r="H1473">
            <v>55095.567542782228</v>
          </cell>
          <cell r="I1473">
            <v>606051.24297060445</v>
          </cell>
        </row>
        <row r="1474">
          <cell r="C1474">
            <v>933805259</v>
          </cell>
          <cell r="D1474">
            <v>377996.76</v>
          </cell>
          <cell r="E1474">
            <v>938807058</v>
          </cell>
          <cell r="F1474">
            <v>193198</v>
          </cell>
          <cell r="G1474">
            <v>68898.31905175664</v>
          </cell>
          <cell r="H1474">
            <v>12429.968094824337</v>
          </cell>
          <cell r="I1474">
            <v>136729.64904306771</v>
          </cell>
        </row>
        <row r="1475">
          <cell r="C1475">
            <v>933805744</v>
          </cell>
          <cell r="D1475">
            <v>339750.62</v>
          </cell>
          <cell r="E1475">
            <v>933805257</v>
          </cell>
          <cell r="F1475">
            <v>222839</v>
          </cell>
          <cell r="G1475">
            <v>79468.89988081863</v>
          </cell>
          <cell r="H1475">
            <v>14337.010011918139</v>
          </cell>
          <cell r="I1475">
            <v>157707.11013109953</v>
          </cell>
        </row>
        <row r="1476">
          <cell r="C1476">
            <v>933806706</v>
          </cell>
          <cell r="D1476">
            <v>559298.12</v>
          </cell>
          <cell r="E1476">
            <v>933805825</v>
          </cell>
          <cell r="F1476">
            <v>512310</v>
          </cell>
          <cell r="G1476">
            <v>182700.12025696665</v>
          </cell>
          <cell r="H1476">
            <v>32960.987974303331</v>
          </cell>
          <cell r="I1476">
            <v>362570.86771733663</v>
          </cell>
        </row>
        <row r="1477">
          <cell r="C1477">
            <v>933806758</v>
          </cell>
          <cell r="D1477">
            <v>234310.69</v>
          </cell>
          <cell r="E1477">
            <v>933806308</v>
          </cell>
          <cell r="F1477">
            <v>207728</v>
          </cell>
          <cell r="G1477">
            <v>74080.011283674277</v>
          </cell>
          <cell r="H1477">
            <v>13364.798871632573</v>
          </cell>
          <cell r="I1477">
            <v>147012.7875879583</v>
          </cell>
        </row>
        <row r="1478">
          <cell r="C1478">
            <v>933806691</v>
          </cell>
          <cell r="D1478">
            <v>9083474.5399999991</v>
          </cell>
          <cell r="E1478">
            <v>938805466</v>
          </cell>
          <cell r="F1478">
            <v>375288.64</v>
          </cell>
          <cell r="G1478">
            <v>133835.52860391847</v>
          </cell>
          <cell r="H1478">
            <v>24145.311139608155</v>
          </cell>
          <cell r="I1478">
            <v>265598.42253568972</v>
          </cell>
        </row>
        <row r="1479">
          <cell r="C1479">
            <v>933806745</v>
          </cell>
          <cell r="D1479">
            <v>407082.78</v>
          </cell>
          <cell r="E1479">
            <v>938805472</v>
          </cell>
          <cell r="F1479">
            <v>247335</v>
          </cell>
          <cell r="G1479">
            <v>88204.669523836841</v>
          </cell>
          <cell r="H1479">
            <v>15913.033047616316</v>
          </cell>
          <cell r="I1479">
            <v>175043.36352377947</v>
          </cell>
        </row>
        <row r="1480">
          <cell r="C1480">
            <v>933806947</v>
          </cell>
          <cell r="D1480">
            <v>1088370.6200000001</v>
          </cell>
          <cell r="E1480">
            <v>933801234</v>
          </cell>
          <cell r="F1480">
            <v>65736</v>
          </cell>
          <cell r="G1480">
            <v>23442.788751365304</v>
          </cell>
          <cell r="H1480">
            <v>4229.3211248634698</v>
          </cell>
          <cell r="I1480">
            <v>46522.532373498165</v>
          </cell>
        </row>
        <row r="1481">
          <cell r="C1481">
            <v>933806716</v>
          </cell>
          <cell r="D1481">
            <v>526120.23</v>
          </cell>
          <cell r="E1481">
            <v>938807051</v>
          </cell>
          <cell r="F1481">
            <v>406299</v>
          </cell>
          <cell r="G1481">
            <v>144894.45093846557</v>
          </cell>
          <cell r="H1481">
            <v>26140.454906153442</v>
          </cell>
          <cell r="I1481">
            <v>287545.0039676879</v>
          </cell>
        </row>
        <row r="1482">
          <cell r="C1482">
            <v>933805218</v>
          </cell>
          <cell r="D1482">
            <v>559910.13</v>
          </cell>
          <cell r="E1482">
            <v>938806277</v>
          </cell>
          <cell r="F1482">
            <v>233760</v>
          </cell>
          <cell r="G1482">
            <v>83363.549630630907</v>
          </cell>
          <cell r="H1482">
            <v>15039.64503693691</v>
          </cell>
          <cell r="I1482">
            <v>165436.09540630601</v>
          </cell>
        </row>
        <row r="1483">
          <cell r="C1483">
            <v>933806660</v>
          </cell>
          <cell r="D1483">
            <v>445829.97</v>
          </cell>
          <cell r="E1483">
            <v>938806106</v>
          </cell>
          <cell r="F1483">
            <v>109863</v>
          </cell>
          <cell r="G1483">
            <v>39179.370521346704</v>
          </cell>
          <cell r="H1483">
            <v>7068.3629478653302</v>
          </cell>
          <cell r="I1483">
            <v>77751.992426518627</v>
          </cell>
        </row>
        <row r="1484">
          <cell r="C1484">
            <v>933806316</v>
          </cell>
          <cell r="D1484">
            <v>471604.7</v>
          </cell>
          <cell r="E1484">
            <v>938806656</v>
          </cell>
          <cell r="F1484">
            <v>345791</v>
          </cell>
          <cell r="G1484">
            <v>123316.07285389073</v>
          </cell>
          <cell r="H1484">
            <v>22247.492714610929</v>
          </cell>
          <cell r="I1484">
            <v>244722.41986072023</v>
          </cell>
        </row>
        <row r="1485">
          <cell r="C1485">
            <v>933805159</v>
          </cell>
          <cell r="D1485">
            <v>324347.67</v>
          </cell>
          <cell r="E1485">
            <v>938806236</v>
          </cell>
          <cell r="F1485">
            <v>168357</v>
          </cell>
          <cell r="G1485">
            <v>60039.515422502271</v>
          </cell>
          <cell r="H1485">
            <v>10831.748457749773</v>
          </cell>
          <cell r="I1485">
            <v>119149.2330352475</v>
          </cell>
        </row>
        <row r="1486">
          <cell r="C1486">
            <v>933806721</v>
          </cell>
          <cell r="D1486">
            <v>253963.36</v>
          </cell>
          <cell r="E1486">
            <v>938806220</v>
          </cell>
          <cell r="F1486">
            <v>514623</v>
          </cell>
          <cell r="G1486">
            <v>183524.98289512395</v>
          </cell>
          <cell r="H1486">
            <v>33109.801710487605</v>
          </cell>
          <cell r="I1486">
            <v>364207.81881536369</v>
          </cell>
        </row>
        <row r="1487">
          <cell r="C1487">
            <v>938805169</v>
          </cell>
          <cell r="D1487">
            <v>690371.35</v>
          </cell>
          <cell r="E1487">
            <v>938805242</v>
          </cell>
          <cell r="F1487">
            <v>474056.64</v>
          </cell>
          <cell r="G1487">
            <v>169058.19745195986</v>
          </cell>
          <cell r="H1487">
            <v>30499.844254804022</v>
          </cell>
          <cell r="I1487">
            <v>335498.2868028442</v>
          </cell>
        </row>
        <row r="1488">
          <cell r="C1488">
            <v>933805573</v>
          </cell>
          <cell r="D1488">
            <v>465819.48</v>
          </cell>
          <cell r="E1488">
            <v>933805310</v>
          </cell>
          <cell r="F1488">
            <v>246357</v>
          </cell>
          <cell r="G1488">
            <v>87855.894919376035</v>
          </cell>
          <cell r="H1488">
            <v>15850.110508062397</v>
          </cell>
          <cell r="I1488">
            <v>174351.21558868635</v>
          </cell>
        </row>
        <row r="1489">
          <cell r="C1489">
            <v>938805109</v>
          </cell>
          <cell r="D1489">
            <v>605938.34</v>
          </cell>
          <cell r="E1489">
            <v>938805420</v>
          </cell>
          <cell r="F1489">
            <v>614028</v>
          </cell>
          <cell r="G1489">
            <v>218974.8188423898</v>
          </cell>
          <cell r="H1489">
            <v>39505.318115761016</v>
          </cell>
          <cell r="I1489">
            <v>434558.49927337124</v>
          </cell>
        </row>
        <row r="1490">
          <cell r="C1490">
            <v>938805144</v>
          </cell>
          <cell r="D1490">
            <v>433300.67</v>
          </cell>
          <cell r="E1490">
            <v>938806730</v>
          </cell>
          <cell r="F1490">
            <v>308678</v>
          </cell>
          <cell r="G1490">
            <v>110080.82551712821</v>
          </cell>
          <cell r="H1490">
            <v>19859.717448287178</v>
          </cell>
          <cell r="I1490">
            <v>218456.89193115896</v>
          </cell>
        </row>
        <row r="1491">
          <cell r="C1491">
            <v>933806366</v>
          </cell>
          <cell r="D1491">
            <v>173565.62</v>
          </cell>
          <cell r="E1491">
            <v>938806737</v>
          </cell>
          <cell r="F1491">
            <v>548233.64</v>
          </cell>
          <cell r="G1491">
            <v>195511.21773323684</v>
          </cell>
          <cell r="H1491">
            <v>35272.242226676317</v>
          </cell>
          <cell r="I1491">
            <v>387994.66449343949</v>
          </cell>
        </row>
        <row r="1492">
          <cell r="C1492">
            <v>933806635</v>
          </cell>
          <cell r="D1492">
            <v>311188.09000000003</v>
          </cell>
          <cell r="E1492">
            <v>938806796</v>
          </cell>
          <cell r="F1492">
            <v>68181</v>
          </cell>
          <cell r="G1492">
            <v>24314.725262517313</v>
          </cell>
          <cell r="H1492">
            <v>4386.627473748269</v>
          </cell>
          <cell r="I1492">
            <v>48252.902211230954</v>
          </cell>
        </row>
        <row r="1493">
          <cell r="C1493">
            <v>938805108</v>
          </cell>
          <cell r="D1493">
            <v>115280.37</v>
          </cell>
          <cell r="E1493">
            <v>938806160</v>
          </cell>
          <cell r="F1493">
            <v>450997</v>
          </cell>
          <cell r="G1493">
            <v>160834.66287117408</v>
          </cell>
          <cell r="H1493">
            <v>29016.233712882597</v>
          </cell>
          <cell r="I1493">
            <v>319178.57084170857</v>
          </cell>
        </row>
        <row r="1494">
          <cell r="C1494">
            <v>938805133</v>
          </cell>
          <cell r="D1494">
            <v>297817.67</v>
          </cell>
          <cell r="E1494">
            <v>938806098</v>
          </cell>
          <cell r="F1494">
            <v>203583</v>
          </cell>
          <cell r="G1494">
            <v>72601.820347590401</v>
          </cell>
          <cell r="H1494">
            <v>13098.117965240961</v>
          </cell>
          <cell r="I1494">
            <v>144079.29761765056</v>
          </cell>
        </row>
        <row r="1495">
          <cell r="C1495">
            <v>938805134</v>
          </cell>
          <cell r="D1495">
            <v>546972.81999999995</v>
          </cell>
          <cell r="E1495">
            <v>933805931</v>
          </cell>
          <cell r="F1495">
            <v>739535.72</v>
          </cell>
          <cell r="G1495">
            <v>263733.41332068946</v>
          </cell>
          <cell r="H1495">
            <v>47580.23066793105</v>
          </cell>
          <cell r="I1495">
            <v>523382.53734724154</v>
          </cell>
        </row>
        <row r="1496">
          <cell r="C1496">
            <v>933805631</v>
          </cell>
          <cell r="D1496">
            <v>327595.18</v>
          </cell>
          <cell r="E1496">
            <v>938806216</v>
          </cell>
          <cell r="F1496">
            <v>431293.91</v>
          </cell>
          <cell r="G1496">
            <v>153808.14199039128</v>
          </cell>
          <cell r="H1496">
            <v>27748.576800960869</v>
          </cell>
          <cell r="I1496">
            <v>305234.3448105696</v>
          </cell>
        </row>
        <row r="1497">
          <cell r="C1497">
            <v>938805200</v>
          </cell>
          <cell r="D1497">
            <v>130384.52</v>
          </cell>
          <cell r="E1497">
            <v>938806274</v>
          </cell>
          <cell r="F1497">
            <v>148584</v>
          </cell>
          <cell r="G1497">
            <v>52988.063220044765</v>
          </cell>
          <cell r="H1497">
            <v>9559.5936779955227</v>
          </cell>
          <cell r="I1497">
            <v>105155.53045795075</v>
          </cell>
        </row>
        <row r="1498">
          <cell r="C1498">
            <v>933806362</v>
          </cell>
          <cell r="D1498">
            <v>251610.55</v>
          </cell>
          <cell r="E1498">
            <v>933805636</v>
          </cell>
          <cell r="F1498">
            <v>490631</v>
          </cell>
          <cell r="G1498">
            <v>174968.94985808554</v>
          </cell>
          <cell r="H1498">
            <v>31566.205014191448</v>
          </cell>
          <cell r="I1498">
            <v>347228.25515610591</v>
          </cell>
        </row>
        <row r="1499">
          <cell r="C1499">
            <v>938805131</v>
          </cell>
          <cell r="D1499">
            <v>213638.65</v>
          </cell>
          <cell r="E1499">
            <v>938806157</v>
          </cell>
          <cell r="F1499">
            <v>379246</v>
          </cell>
          <cell r="G1499">
            <v>135246.80331629986</v>
          </cell>
          <cell r="H1499">
            <v>24399.919668370014</v>
          </cell>
          <cell r="I1499">
            <v>268399.11635207012</v>
          </cell>
        </row>
        <row r="1500">
          <cell r="C1500">
            <v>938805185</v>
          </cell>
          <cell r="D1500">
            <v>580861.93000000005</v>
          </cell>
          <cell r="E1500">
            <v>938806242</v>
          </cell>
          <cell r="F1500">
            <v>184579</v>
          </cell>
          <cell r="G1500">
            <v>65824.609117352084</v>
          </cell>
          <cell r="H1500">
            <v>11875.439088264793</v>
          </cell>
          <cell r="I1500">
            <v>130629.82997091272</v>
          </cell>
        </row>
        <row r="1501">
          <cell r="C1501">
            <v>938805171</v>
          </cell>
          <cell r="D1501">
            <v>65604.5</v>
          </cell>
          <cell r="E1501">
            <v>938806167</v>
          </cell>
          <cell r="F1501">
            <v>52727</v>
          </cell>
          <cell r="G1501">
            <v>18803.515919636706</v>
          </cell>
          <cell r="H1501">
            <v>3392.3484080363296</v>
          </cell>
          <cell r="I1501">
            <v>37315.832488399625</v>
          </cell>
        </row>
        <row r="1502">
          <cell r="C1502">
            <v>938805251</v>
          </cell>
          <cell r="D1502">
            <v>321488.2</v>
          </cell>
          <cell r="E1502">
            <v>938806192</v>
          </cell>
          <cell r="F1502">
            <v>243513</v>
          </cell>
          <cell r="G1502">
            <v>86841.666928490013</v>
          </cell>
          <cell r="H1502">
            <v>15667.133307150998</v>
          </cell>
          <cell r="I1502">
            <v>172338.46637866099</v>
          </cell>
        </row>
        <row r="1503">
          <cell r="C1503">
            <v>938805255</v>
          </cell>
          <cell r="D1503">
            <v>1112646.08</v>
          </cell>
          <cell r="E1503">
            <v>938806101</v>
          </cell>
          <cell r="F1503">
            <v>438183.27</v>
          </cell>
          <cell r="G1503">
            <v>156265.02727565516</v>
          </cell>
          <cell r="H1503">
            <v>28191.824272434482</v>
          </cell>
          <cell r="I1503">
            <v>310110.06699677929</v>
          </cell>
        </row>
        <row r="1504">
          <cell r="C1504">
            <v>938805260</v>
          </cell>
          <cell r="D1504">
            <v>1037895.44</v>
          </cell>
          <cell r="E1504">
            <v>938807198</v>
          </cell>
          <cell r="F1504">
            <v>276448</v>
          </cell>
          <cell r="G1504">
            <v>98586.954860919985</v>
          </cell>
          <cell r="H1504">
            <v>17786.104513908002</v>
          </cell>
          <cell r="I1504">
            <v>195647.14965298804</v>
          </cell>
        </row>
        <row r="1505">
          <cell r="C1505">
            <v>938805265</v>
          </cell>
          <cell r="D1505">
            <v>312198.42</v>
          </cell>
          <cell r="E1505">
            <v>938807192</v>
          </cell>
          <cell r="F1505">
            <v>249557</v>
          </cell>
          <cell r="G1505">
            <v>88997.079719247777</v>
          </cell>
          <cell r="H1505">
            <v>16055.992028075223</v>
          </cell>
          <cell r="I1505">
            <v>176615.91230882745</v>
          </cell>
        </row>
        <row r="1506">
          <cell r="C1506">
            <v>938805305</v>
          </cell>
          <cell r="D1506">
            <v>456392.01</v>
          </cell>
          <cell r="E1506">
            <v>938807169</v>
          </cell>
          <cell r="F1506">
            <v>223989</v>
          </cell>
          <cell r="G1506">
            <v>79879.013168272533</v>
          </cell>
          <cell r="H1506">
            <v>14410.998683172746</v>
          </cell>
          <cell r="I1506">
            <v>158520.98551490021</v>
          </cell>
        </row>
        <row r="1507">
          <cell r="C1507">
            <v>938805325</v>
          </cell>
          <cell r="D1507">
            <v>102347.87</v>
          </cell>
          <cell r="E1507">
            <v>938807163</v>
          </cell>
          <cell r="F1507">
            <v>114378</v>
          </cell>
          <cell r="G1507">
            <v>40789.510949915741</v>
          </cell>
          <cell r="H1507">
            <v>7358.8489050084263</v>
          </cell>
          <cell r="I1507">
            <v>80947.337955092691</v>
          </cell>
        </row>
        <row r="1508">
          <cell r="C1508">
            <v>938805195</v>
          </cell>
          <cell r="D1508">
            <v>539782.74</v>
          </cell>
          <cell r="E1508">
            <v>938807187</v>
          </cell>
          <cell r="F1508">
            <v>96821</v>
          </cell>
          <cell r="G1508">
            <v>34528.329221369422</v>
          </cell>
          <cell r="H1508">
            <v>6229.2670778630581</v>
          </cell>
          <cell r="I1508">
            <v>68521.937856493634</v>
          </cell>
        </row>
        <row r="1509">
          <cell r="C1509">
            <v>938805341</v>
          </cell>
          <cell r="D1509">
            <v>515507.77</v>
          </cell>
          <cell r="E1509">
            <v>938807158</v>
          </cell>
          <cell r="F1509">
            <v>284305.64</v>
          </cell>
          <cell r="G1509">
            <v>101389.14840181505</v>
          </cell>
          <cell r="H1509">
            <v>18291.649159818495</v>
          </cell>
          <cell r="I1509">
            <v>201208.14075800346</v>
          </cell>
        </row>
        <row r="1510">
          <cell r="C1510">
            <v>938805304</v>
          </cell>
          <cell r="D1510">
            <v>600709.6</v>
          </cell>
          <cell r="E1510">
            <v>933805629</v>
          </cell>
          <cell r="F1510">
            <v>390029</v>
          </cell>
          <cell r="G1510">
            <v>139092.23947161768</v>
          </cell>
          <cell r="H1510">
            <v>25093.676052838233</v>
          </cell>
          <cell r="I1510">
            <v>276030.43658122054</v>
          </cell>
        </row>
        <row r="1511">
          <cell r="C1511">
            <v>933805800</v>
          </cell>
          <cell r="D1511">
            <v>278350.84999999998</v>
          </cell>
          <cell r="E1511">
            <v>933805366</v>
          </cell>
          <cell r="F1511">
            <v>1105986</v>
          </cell>
          <cell r="G1511">
            <v>394417.00377217215</v>
          </cell>
          <cell r="H1511">
            <v>71156.899622782788</v>
          </cell>
          <cell r="I1511">
            <v>782725.89585061069</v>
          </cell>
        </row>
        <row r="1512">
          <cell r="C1512">
            <v>938806013</v>
          </cell>
          <cell r="D1512">
            <v>208167.92</v>
          </cell>
          <cell r="E1512">
            <v>938807157</v>
          </cell>
          <cell r="F1512">
            <v>295281</v>
          </cell>
          <cell r="G1512">
            <v>105303.18402841515</v>
          </cell>
          <cell r="H1512">
            <v>18997.781597158486</v>
          </cell>
          <cell r="I1512">
            <v>208975.59756874334</v>
          </cell>
        </row>
        <row r="1513">
          <cell r="C1513">
            <v>938805381</v>
          </cell>
          <cell r="D1513">
            <v>251306.05</v>
          </cell>
          <cell r="E1513">
            <v>933805311</v>
          </cell>
          <cell r="F1513">
            <v>284500</v>
          </cell>
          <cell r="G1513">
            <v>101458.46111359727</v>
          </cell>
          <cell r="H1513">
            <v>18304.153888640274</v>
          </cell>
          <cell r="I1513">
            <v>201345.69277504302</v>
          </cell>
        </row>
        <row r="1514">
          <cell r="C1514">
            <v>938807094</v>
          </cell>
          <cell r="D1514">
            <v>476869.16</v>
          </cell>
          <cell r="E1514">
            <v>933806035</v>
          </cell>
          <cell r="F1514">
            <v>160131</v>
          </cell>
          <cell r="G1514">
            <v>57105.957246331956</v>
          </cell>
          <cell r="H1514">
            <v>10302.504275366804</v>
          </cell>
          <cell r="I1514">
            <v>113327.54702903485</v>
          </cell>
        </row>
        <row r="1515">
          <cell r="C1515">
            <v>938807142</v>
          </cell>
          <cell r="D1515">
            <v>217652.37</v>
          </cell>
          <cell r="E1515">
            <v>938807140</v>
          </cell>
          <cell r="F1515">
            <v>217650</v>
          </cell>
          <cell r="G1515">
            <v>77618.397403776602</v>
          </cell>
          <cell r="H1515">
            <v>14003.16025962234</v>
          </cell>
          <cell r="I1515">
            <v>154034.76285584577</v>
          </cell>
        </row>
        <row r="1516">
          <cell r="C1516">
            <v>938807620</v>
          </cell>
          <cell r="D1516">
            <v>770790.79</v>
          </cell>
          <cell r="E1516">
            <v>938845329</v>
          </cell>
          <cell r="F1516">
            <v>357236</v>
          </cell>
          <cell r="G1516">
            <v>127397.59161468201</v>
          </cell>
          <cell r="H1516">
            <v>22983.8408385318</v>
          </cell>
          <cell r="I1516">
            <v>252822.24922384979</v>
          </cell>
        </row>
        <row r="1517">
          <cell r="C1517">
            <v>933806031</v>
          </cell>
          <cell r="D1517">
            <v>239067.65</v>
          </cell>
          <cell r="E1517">
            <v>933806277</v>
          </cell>
          <cell r="F1517">
            <v>530808</v>
          </cell>
          <cell r="G1517">
            <v>189296.88164072527</v>
          </cell>
          <cell r="H1517">
            <v>34151.11183592747</v>
          </cell>
          <cell r="I1517">
            <v>375662.23019520217</v>
          </cell>
        </row>
        <row r="1518">
          <cell r="C1518">
            <v>938807096</v>
          </cell>
          <cell r="D1518">
            <v>44545</v>
          </cell>
          <cell r="E1518">
            <v>938807643</v>
          </cell>
          <cell r="F1518">
            <v>380834</v>
          </cell>
          <cell r="G1518">
            <v>135813.1162732362</v>
          </cell>
          <cell r="H1518">
            <v>24502.088372676382</v>
          </cell>
          <cell r="I1518">
            <v>269522.97209944017</v>
          </cell>
        </row>
        <row r="1519">
          <cell r="C1519">
            <v>938807906</v>
          </cell>
          <cell r="D1519">
            <v>153549.04</v>
          </cell>
          <cell r="E1519">
            <v>938807648</v>
          </cell>
          <cell r="F1519">
            <v>397877</v>
          </cell>
          <cell r="G1519">
            <v>141890.99519330313</v>
          </cell>
          <cell r="H1519">
            <v>25598.600480669687</v>
          </cell>
          <cell r="I1519">
            <v>281584.60528736655</v>
          </cell>
        </row>
        <row r="1520">
          <cell r="C1520">
            <v>938806019</v>
          </cell>
          <cell r="D1520">
            <v>279751.59000000003</v>
          </cell>
          <cell r="E1520">
            <v>933805776</v>
          </cell>
          <cell r="F1520">
            <v>304383.64</v>
          </cell>
          <cell r="G1520">
            <v>108549.36978051033</v>
          </cell>
          <cell r="H1520">
            <v>19583.42702194897</v>
          </cell>
          <cell r="I1520">
            <v>215417.69724143867</v>
          </cell>
        </row>
        <row r="1521">
          <cell r="C1521">
            <v>938807940</v>
          </cell>
          <cell r="D1521">
            <v>205554.19</v>
          </cell>
          <cell r="E1521">
            <v>938807908</v>
          </cell>
          <cell r="F1521">
            <v>103702</v>
          </cell>
          <cell r="G1521">
            <v>36982.233161343633</v>
          </cell>
          <cell r="H1521">
            <v>6671.9766838656369</v>
          </cell>
          <cell r="I1521">
            <v>73391.743522521996</v>
          </cell>
        </row>
        <row r="1522">
          <cell r="C1522">
            <v>938807901</v>
          </cell>
          <cell r="D1522">
            <v>186937.47</v>
          </cell>
          <cell r="E1522">
            <v>938807630</v>
          </cell>
          <cell r="F1522">
            <v>287603.64</v>
          </cell>
          <cell r="G1522">
            <v>102565.28198618288</v>
          </cell>
          <cell r="H1522">
            <v>18503.835801381712</v>
          </cell>
          <cell r="I1522">
            <v>203542.19381519884</v>
          </cell>
        </row>
        <row r="1523">
          <cell r="C1523">
            <v>938806076</v>
          </cell>
          <cell r="D1523">
            <v>891727.15</v>
          </cell>
          <cell r="E1523">
            <v>938807619</v>
          </cell>
          <cell r="F1523">
            <v>126345</v>
          </cell>
          <cell r="G1523">
            <v>45057.185481186105</v>
          </cell>
          <cell r="H1523">
            <v>8128.7814518813884</v>
          </cell>
          <cell r="I1523">
            <v>89416.595970695271</v>
          </cell>
        </row>
        <row r="1524">
          <cell r="C1524">
            <v>938805269</v>
          </cell>
          <cell r="D1524">
            <v>84512.93</v>
          </cell>
          <cell r="E1524">
            <v>938807915</v>
          </cell>
          <cell r="F1524">
            <v>202430</v>
          </cell>
          <cell r="G1524">
            <v>72190.63719938662</v>
          </cell>
          <cell r="H1524">
            <v>13023.936280061338</v>
          </cell>
          <cell r="I1524">
            <v>143263.29908067471</v>
          </cell>
        </row>
        <row r="1525">
          <cell r="C1525">
            <v>938806074</v>
          </cell>
          <cell r="D1525">
            <v>230319.54</v>
          </cell>
          <cell r="E1525">
            <v>938807904</v>
          </cell>
          <cell r="F1525">
            <v>199507</v>
          </cell>
          <cell r="G1525">
            <v>71148.236208753777</v>
          </cell>
          <cell r="H1525">
            <v>12835.876379124622</v>
          </cell>
          <cell r="I1525">
            <v>141194.64017037084</v>
          </cell>
        </row>
        <row r="1526">
          <cell r="C1526">
            <v>938805364</v>
          </cell>
          <cell r="D1526">
            <v>187406.94</v>
          </cell>
          <cell r="E1526">
            <v>938807625</v>
          </cell>
          <cell r="F1526">
            <v>335674</v>
          </cell>
          <cell r="G1526">
            <v>119708.1457850462</v>
          </cell>
          <cell r="H1526">
            <v>21596.585421495376</v>
          </cell>
          <cell r="I1526">
            <v>237562.43963644915</v>
          </cell>
        </row>
        <row r="1527">
          <cell r="C1527">
            <v>938806075</v>
          </cell>
          <cell r="D1527">
            <v>423871.28</v>
          </cell>
          <cell r="E1527">
            <v>938807921</v>
          </cell>
          <cell r="F1527">
            <v>92850</v>
          </cell>
          <cell r="G1527">
            <v>33112.190208778578</v>
          </cell>
          <cell r="H1527">
            <v>5973.7809791221425</v>
          </cell>
          <cell r="I1527">
            <v>65711.590770343566</v>
          </cell>
        </row>
        <row r="1528">
          <cell r="C1528">
            <v>933805899</v>
          </cell>
          <cell r="D1528">
            <v>229994.42</v>
          </cell>
          <cell r="E1528">
            <v>938805343</v>
          </cell>
          <cell r="F1528">
            <v>272483</v>
          </cell>
          <cell r="G1528">
            <v>97172.955569828904</v>
          </cell>
          <cell r="H1528">
            <v>17531.004443017111</v>
          </cell>
          <cell r="I1528">
            <v>192841.04887318821</v>
          </cell>
        </row>
        <row r="1529">
          <cell r="C1529">
            <v>938807672</v>
          </cell>
          <cell r="D1529">
            <v>862734.47</v>
          </cell>
          <cell r="E1529">
            <v>933805898</v>
          </cell>
          <cell r="F1529">
            <v>230224</v>
          </cell>
          <cell r="G1529">
            <v>82102.540426772641</v>
          </cell>
          <cell r="H1529">
            <v>14812.145957322735</v>
          </cell>
          <cell r="I1529">
            <v>162933.60553055009</v>
          </cell>
        </row>
        <row r="1530">
          <cell r="C1530">
            <v>938808359</v>
          </cell>
          <cell r="D1530">
            <v>288625.71000000002</v>
          </cell>
          <cell r="E1530">
            <v>933805919</v>
          </cell>
          <cell r="F1530">
            <v>125131</v>
          </cell>
          <cell r="G1530">
            <v>44624.248497734763</v>
          </cell>
          <cell r="H1530">
            <v>8050.6751502265233</v>
          </cell>
          <cell r="I1530">
            <v>88557.426652491762</v>
          </cell>
        </row>
        <row r="1531">
          <cell r="C1531">
            <v>938806064</v>
          </cell>
          <cell r="D1531">
            <v>179813.17</v>
          </cell>
          <cell r="E1531">
            <v>938807382</v>
          </cell>
          <cell r="F1531">
            <v>104245</v>
          </cell>
          <cell r="G1531">
            <v>37175.877957071862</v>
          </cell>
          <cell r="H1531">
            <v>6706.9122042928138</v>
          </cell>
          <cell r="I1531">
            <v>73776.03424722096</v>
          </cell>
        </row>
        <row r="1532">
          <cell r="C1532">
            <v>938808361</v>
          </cell>
          <cell r="D1532">
            <v>291765.11</v>
          </cell>
          <cell r="E1532">
            <v>938807517</v>
          </cell>
          <cell r="F1532">
            <v>147193</v>
          </cell>
          <cell r="G1532">
            <v>52492.004452350513</v>
          </cell>
          <cell r="H1532">
            <v>9470.0995547649472</v>
          </cell>
          <cell r="I1532">
            <v>104171.09510241443</v>
          </cell>
        </row>
        <row r="1533">
          <cell r="C1533">
            <v>938807017</v>
          </cell>
          <cell r="D1533">
            <v>488260.47</v>
          </cell>
          <cell r="E1533">
            <v>933805302</v>
          </cell>
          <cell r="F1533">
            <v>356267</v>
          </cell>
          <cell r="G1533">
            <v>127052.02659247084</v>
          </cell>
          <cell r="H1533">
            <v>22921.497340752921</v>
          </cell>
          <cell r="I1533">
            <v>252136.4707482821</v>
          </cell>
        </row>
        <row r="1534">
          <cell r="C1534">
            <v>938807246</v>
          </cell>
          <cell r="D1534">
            <v>567603.15</v>
          </cell>
          <cell r="E1534">
            <v>938807539</v>
          </cell>
          <cell r="F1534">
            <v>71878</v>
          </cell>
          <cell r="G1534">
            <v>25633.150326619136</v>
          </cell>
          <cell r="H1534">
            <v>4624.4849673380868</v>
          </cell>
          <cell r="I1534">
            <v>50869.334640718953</v>
          </cell>
        </row>
        <row r="1535">
          <cell r="C1535">
            <v>938808250</v>
          </cell>
          <cell r="D1535">
            <v>522643.89</v>
          </cell>
          <cell r="E1535">
            <v>938807422</v>
          </cell>
          <cell r="F1535">
            <v>671670</v>
          </cell>
          <cell r="G1535">
            <v>239531.1232905795</v>
          </cell>
          <cell r="H1535">
            <v>43213.887670942044</v>
          </cell>
          <cell r="I1535">
            <v>475352.76438036253</v>
          </cell>
        </row>
        <row r="1536">
          <cell r="C1536">
            <v>938809202</v>
          </cell>
          <cell r="D1536">
            <v>241135.92</v>
          </cell>
          <cell r="E1536">
            <v>938807419</v>
          </cell>
          <cell r="F1536">
            <v>397949</v>
          </cell>
          <cell r="G1536">
            <v>141916.67185130023</v>
          </cell>
          <cell r="H1536">
            <v>25603.232814869978</v>
          </cell>
          <cell r="I1536">
            <v>281635.56096356973</v>
          </cell>
        </row>
        <row r="1537">
          <cell r="C1537">
            <v>938808520</v>
          </cell>
          <cell r="D1537">
            <v>102810.54</v>
          </cell>
          <cell r="E1537">
            <v>938807431</v>
          </cell>
          <cell r="F1537">
            <v>170412</v>
          </cell>
          <cell r="G1537">
            <v>60772.370036169894</v>
          </cell>
          <cell r="H1537">
            <v>10963.962996383012</v>
          </cell>
          <cell r="I1537">
            <v>120603.59296021312</v>
          </cell>
        </row>
        <row r="1538">
          <cell r="C1538">
            <v>938806154</v>
          </cell>
          <cell r="D1538">
            <v>240867.65</v>
          </cell>
          <cell r="E1538">
            <v>933806294</v>
          </cell>
          <cell r="F1538">
            <v>114927</v>
          </cell>
          <cell r="G1538">
            <v>40985.29546714374</v>
          </cell>
          <cell r="H1538">
            <v>7394.1704532856265</v>
          </cell>
          <cell r="I1538">
            <v>81335.874986141891</v>
          </cell>
        </row>
        <row r="1539">
          <cell r="C1539">
            <v>938806252</v>
          </cell>
          <cell r="D1539">
            <v>351582.75</v>
          </cell>
          <cell r="E1539">
            <v>938806031</v>
          </cell>
          <cell r="F1539">
            <v>210467</v>
          </cell>
          <cell r="G1539">
            <v>75056.794148314497</v>
          </cell>
          <cell r="H1539">
            <v>13541.02058516855</v>
          </cell>
          <cell r="I1539">
            <v>148951.22643685405</v>
          </cell>
        </row>
        <row r="1540">
          <cell r="C1540">
            <v>933806394</v>
          </cell>
          <cell r="D1540">
            <v>945080.08</v>
          </cell>
          <cell r="E1540">
            <v>933806298</v>
          </cell>
          <cell r="F1540">
            <v>192472</v>
          </cell>
          <cell r="G1540">
            <v>68639.41275028573</v>
          </cell>
          <cell r="H1540">
            <v>12383.258724971427</v>
          </cell>
          <cell r="I1540">
            <v>136215.84597468568</v>
          </cell>
        </row>
        <row r="1541">
          <cell r="C1541">
            <v>938806248</v>
          </cell>
          <cell r="D1541">
            <v>115615.21</v>
          </cell>
          <cell r="E1541">
            <v>938807935</v>
          </cell>
          <cell r="F1541">
            <v>275737</v>
          </cell>
          <cell r="G1541">
            <v>98333.397863198479</v>
          </cell>
          <cell r="H1541">
            <v>17740.360213680149</v>
          </cell>
          <cell r="I1541">
            <v>195143.96235048166</v>
          </cell>
        </row>
        <row r="1542">
          <cell r="C1542">
            <v>938806138</v>
          </cell>
          <cell r="D1542">
            <v>412854.14</v>
          </cell>
          <cell r="E1542">
            <v>933805717</v>
          </cell>
          <cell r="F1542">
            <v>109446</v>
          </cell>
          <cell r="G1542">
            <v>39030.659877113416</v>
          </cell>
          <cell r="H1542">
            <v>7041.5340122886582</v>
          </cell>
          <cell r="I1542">
            <v>77456.87413517524</v>
          </cell>
        </row>
        <row r="1543">
          <cell r="C1543">
            <v>938806045</v>
          </cell>
          <cell r="D1543">
            <v>58027.49</v>
          </cell>
          <cell r="E1543">
            <v>938809121</v>
          </cell>
          <cell r="F1543">
            <v>278026</v>
          </cell>
          <cell r="G1543">
            <v>99149.701615356738</v>
          </cell>
          <cell r="H1543">
            <v>17887.629838464327</v>
          </cell>
          <cell r="I1543">
            <v>196763.92822310759</v>
          </cell>
        </row>
        <row r="1544">
          <cell r="C1544">
            <v>933805931</v>
          </cell>
          <cell r="D1544">
            <v>41575.24</v>
          </cell>
          <cell r="E1544">
            <v>938809272</v>
          </cell>
          <cell r="F1544">
            <v>55454</v>
          </cell>
          <cell r="G1544">
            <v>19776.019341277406</v>
          </cell>
          <cell r="H1544">
            <v>3567.7980658722586</v>
          </cell>
          <cell r="I1544">
            <v>39245.778724594849</v>
          </cell>
        </row>
        <row r="1545">
          <cell r="C1545">
            <v>938806283</v>
          </cell>
          <cell r="D1545">
            <v>149889.74</v>
          </cell>
          <cell r="E1545">
            <v>938809277</v>
          </cell>
          <cell r="F1545">
            <v>184903</v>
          </cell>
          <cell r="G1545">
            <v>65940.15407833911</v>
          </cell>
          <cell r="H1545">
            <v>11896.284592166088</v>
          </cell>
          <cell r="I1545">
            <v>130859.13051382698</v>
          </cell>
        </row>
        <row r="1546">
          <cell r="C1546">
            <v>938806152</v>
          </cell>
          <cell r="D1546">
            <v>9657.6200000000008</v>
          </cell>
          <cell r="E1546">
            <v>938808147</v>
          </cell>
          <cell r="F1546">
            <v>278060</v>
          </cell>
          <cell r="G1546">
            <v>99161.826703855375</v>
          </cell>
          <cell r="H1546">
            <v>17889.817329614467</v>
          </cell>
          <cell r="I1546">
            <v>196787.99062575912</v>
          </cell>
        </row>
        <row r="1547">
          <cell r="C1547">
            <v>933805879</v>
          </cell>
          <cell r="D1547">
            <v>95165.52</v>
          </cell>
          <cell r="E1547">
            <v>938807949</v>
          </cell>
          <cell r="F1547">
            <v>386115.64</v>
          </cell>
          <cell r="G1547">
            <v>137696.65605023451</v>
          </cell>
          <cell r="H1547">
            <v>24841.898394976553</v>
          </cell>
          <cell r="I1547">
            <v>273260.88234474207</v>
          </cell>
        </row>
        <row r="1548">
          <cell r="C1548">
            <v>902858868</v>
          </cell>
          <cell r="D1548">
            <v>42702.87</v>
          </cell>
          <cell r="E1548">
            <v>938809055</v>
          </cell>
          <cell r="F1548">
            <v>444842</v>
          </cell>
          <cell r="G1548">
            <v>158639.66523267078</v>
          </cell>
          <cell r="H1548">
            <v>28620.233476732923</v>
          </cell>
          <cell r="I1548">
            <v>314822.56824406213</v>
          </cell>
        </row>
        <row r="1549">
          <cell r="C1549">
            <v>938809454</v>
          </cell>
          <cell r="D1549">
            <v>137613.43</v>
          </cell>
          <cell r="E1549">
            <v>933806431</v>
          </cell>
          <cell r="F1549">
            <v>152302</v>
          </cell>
          <cell r="G1549">
            <v>54313.977309395748</v>
          </cell>
          <cell r="H1549">
            <v>9798.8022690604248</v>
          </cell>
          <cell r="I1549">
            <v>107786.82495966468</v>
          </cell>
        </row>
        <row r="1550">
          <cell r="C1550">
            <v>938806198</v>
          </cell>
          <cell r="D1550">
            <v>223784.82</v>
          </cell>
          <cell r="E1550">
            <v>933805783</v>
          </cell>
          <cell r="F1550">
            <v>423412</v>
          </cell>
          <cell r="G1550">
            <v>150997.29327602967</v>
          </cell>
          <cell r="H1550">
            <v>27241.470672397038</v>
          </cell>
          <cell r="I1550">
            <v>299656.17739636742</v>
          </cell>
        </row>
        <row r="1551">
          <cell r="C1551">
            <v>938806278</v>
          </cell>
          <cell r="D1551">
            <v>232272.72</v>
          </cell>
          <cell r="E1551">
            <v>933806122</v>
          </cell>
          <cell r="F1551">
            <v>50752</v>
          </cell>
          <cell r="G1551">
            <v>18099.190925965864</v>
          </cell>
          <cell r="H1551">
            <v>3265.2809074034135</v>
          </cell>
          <cell r="I1551">
            <v>35918.089981437552</v>
          </cell>
        </row>
        <row r="1552">
          <cell r="C1552">
            <v>938806158</v>
          </cell>
          <cell r="D1552">
            <v>297204.46000000002</v>
          </cell>
          <cell r="E1552">
            <v>933806140</v>
          </cell>
          <cell r="F1552">
            <v>47593</v>
          </cell>
          <cell r="G1552">
            <v>16972.627556342475</v>
          </cell>
          <cell r="H1552">
            <v>3062.0372443657525</v>
          </cell>
          <cell r="I1552">
            <v>33682.409688023276</v>
          </cell>
        </row>
        <row r="1553">
          <cell r="C1553">
            <v>938806617</v>
          </cell>
          <cell r="D1553">
            <v>587822.56000000006</v>
          </cell>
          <cell r="E1553">
            <v>933806095</v>
          </cell>
          <cell r="F1553">
            <v>299621.55</v>
          </cell>
          <cell r="G1553">
            <v>106851.11205437868</v>
          </cell>
          <cell r="H1553">
            <v>19277.043794562131</v>
          </cell>
          <cell r="I1553">
            <v>212047.48174018346</v>
          </cell>
        </row>
        <row r="1554">
          <cell r="C1554">
            <v>938806132</v>
          </cell>
          <cell r="D1554">
            <v>170504.08</v>
          </cell>
          <cell r="E1554">
            <v>933806120</v>
          </cell>
          <cell r="F1554">
            <v>189493</v>
          </cell>
          <cell r="G1554">
            <v>67577.041025655126</v>
          </cell>
          <cell r="H1554">
            <v>12191.595897434487</v>
          </cell>
          <cell r="I1554">
            <v>134107.55487177937</v>
          </cell>
        </row>
        <row r="1555">
          <cell r="C1555">
            <v>938806176</v>
          </cell>
          <cell r="D1555">
            <v>393593.54</v>
          </cell>
          <cell r="E1555">
            <v>933805640</v>
          </cell>
          <cell r="F1555">
            <v>372902</v>
          </cell>
          <cell r="G1555">
            <v>132984.40445055414</v>
          </cell>
          <cell r="H1555">
            <v>23991.759554944587</v>
          </cell>
          <cell r="I1555">
            <v>263909.35510439047</v>
          </cell>
        </row>
        <row r="1556">
          <cell r="C1556">
            <v>933806214</v>
          </cell>
          <cell r="D1556">
            <v>401663.83</v>
          </cell>
          <cell r="E1556">
            <v>933806132</v>
          </cell>
          <cell r="F1556">
            <v>740047</v>
          </cell>
          <cell r="G1556">
            <v>263915.74612208898</v>
          </cell>
          <cell r="H1556">
            <v>47613.1253877911</v>
          </cell>
          <cell r="I1556">
            <v>523744.3792657021</v>
          </cell>
        </row>
        <row r="1557">
          <cell r="C1557">
            <v>938806044</v>
          </cell>
          <cell r="D1557">
            <v>237917.21</v>
          </cell>
          <cell r="E1557">
            <v>933806155</v>
          </cell>
          <cell r="F1557">
            <v>644807</v>
          </cell>
          <cell r="G1557">
            <v>229951.23351590618</v>
          </cell>
          <cell r="H1557">
            <v>41485.576648409384</v>
          </cell>
          <cell r="I1557">
            <v>456341.34313250321</v>
          </cell>
        </row>
        <row r="1558">
          <cell r="C1558">
            <v>933805883</v>
          </cell>
          <cell r="D1558">
            <v>1838265.26</v>
          </cell>
          <cell r="E1558">
            <v>933805642</v>
          </cell>
          <cell r="F1558">
            <v>537701.91</v>
          </cell>
          <cell r="G1558">
            <v>191755.38954812646</v>
          </cell>
          <cell r="H1558">
            <v>34594.652045187351</v>
          </cell>
          <cell r="I1558">
            <v>380541.17249706091</v>
          </cell>
        </row>
        <row r="1559">
          <cell r="C1559">
            <v>933806352</v>
          </cell>
          <cell r="D1559">
            <v>1166287.3999999999</v>
          </cell>
          <cell r="E1559">
            <v>933805859</v>
          </cell>
          <cell r="F1559">
            <v>545615</v>
          </cell>
          <cell r="G1559">
            <v>194577.35768188178</v>
          </cell>
          <cell r="H1559">
            <v>35103.764231811831</v>
          </cell>
          <cell r="I1559">
            <v>386141.40654993011</v>
          </cell>
        </row>
        <row r="1560">
          <cell r="C1560">
            <v>933805797</v>
          </cell>
          <cell r="D1560">
            <v>936509.77</v>
          </cell>
          <cell r="E1560">
            <v>933806022</v>
          </cell>
          <cell r="F1560">
            <v>225333</v>
          </cell>
          <cell r="G1560">
            <v>80358.310784218673</v>
          </cell>
          <cell r="H1560">
            <v>14497.468921578135</v>
          </cell>
          <cell r="I1560">
            <v>159472.15813735948</v>
          </cell>
        </row>
        <row r="1561">
          <cell r="C1561">
            <v>938807630</v>
          </cell>
          <cell r="D1561">
            <v>645398.28</v>
          </cell>
          <cell r="E1561">
            <v>933805684</v>
          </cell>
          <cell r="F1561">
            <v>299202</v>
          </cell>
          <cell r="G1561">
            <v>106701.492028508</v>
          </cell>
          <cell r="H1561">
            <v>19250.050797149201</v>
          </cell>
          <cell r="I1561">
            <v>211750.5587686412</v>
          </cell>
        </row>
        <row r="1562">
          <cell r="C1562">
            <v>938807650</v>
          </cell>
          <cell r="D1562">
            <v>458623.88</v>
          </cell>
          <cell r="E1562">
            <v>933805689</v>
          </cell>
          <cell r="F1562">
            <v>44545</v>
          </cell>
          <cell r="G1562">
            <v>15885.649034464639</v>
          </cell>
          <cell r="H1562">
            <v>2865.9350965535359</v>
          </cell>
          <cell r="I1562">
            <v>31525.286062088897</v>
          </cell>
        </row>
        <row r="1563">
          <cell r="C1563">
            <v>938805483</v>
          </cell>
          <cell r="D1563">
            <v>236671.41</v>
          </cell>
          <cell r="E1563">
            <v>933805694</v>
          </cell>
          <cell r="F1563">
            <v>79645</v>
          </cell>
          <cell r="G1563">
            <v>28403.019808057838</v>
          </cell>
          <cell r="H1563">
            <v>5124.1980191942157</v>
          </cell>
          <cell r="I1563">
            <v>56366.178211136372</v>
          </cell>
        </row>
        <row r="1564">
          <cell r="C1564">
            <v>938807063</v>
          </cell>
          <cell r="D1564">
            <v>447311.55</v>
          </cell>
          <cell r="E1564">
            <v>933805702</v>
          </cell>
          <cell r="F1564">
            <v>264818</v>
          </cell>
          <cell r="G1564">
            <v>94439.461353886116</v>
          </cell>
          <cell r="H1564">
            <v>17037.853864611388</v>
          </cell>
          <cell r="I1564">
            <v>187416.39251072527</v>
          </cell>
        </row>
        <row r="1565">
          <cell r="C1565">
            <v>933805595</v>
          </cell>
          <cell r="D1565">
            <v>133795.54999999999</v>
          </cell>
          <cell r="E1565">
            <v>933805710</v>
          </cell>
          <cell r="F1565">
            <v>460721.64</v>
          </cell>
          <cell r="G1565">
            <v>164302.66641874431</v>
          </cell>
          <cell r="H1565">
            <v>29641.89735812557</v>
          </cell>
          <cell r="I1565">
            <v>326060.8709393813</v>
          </cell>
        </row>
        <row r="1566">
          <cell r="C1566">
            <v>938806130</v>
          </cell>
          <cell r="D1566">
            <v>219620.45</v>
          </cell>
          <cell r="E1566">
            <v>933805672</v>
          </cell>
          <cell r="F1566">
            <v>225868</v>
          </cell>
          <cell r="G1566">
            <v>80549.102617947225</v>
          </cell>
          <cell r="H1566">
            <v>14531.88973820528</v>
          </cell>
          <cell r="I1566">
            <v>159850.78712025806</v>
          </cell>
        </row>
        <row r="1567">
          <cell r="C1567">
            <v>938807021</v>
          </cell>
          <cell r="D1567">
            <v>1001821.02</v>
          </cell>
          <cell r="E1567">
            <v>933805687</v>
          </cell>
          <cell r="F1567">
            <v>44545</v>
          </cell>
          <cell r="G1567">
            <v>15885.649034464639</v>
          </cell>
          <cell r="H1567">
            <v>2865.9350965535359</v>
          </cell>
          <cell r="I1567">
            <v>31525.286062088897</v>
          </cell>
        </row>
        <row r="1568">
          <cell r="C1568">
            <v>938807057</v>
          </cell>
          <cell r="D1568">
            <v>172411.1</v>
          </cell>
          <cell r="E1568">
            <v>933805841</v>
          </cell>
          <cell r="F1568">
            <v>358749</v>
          </cell>
          <cell r="G1568">
            <v>127937.15805287137</v>
          </cell>
          <cell r="H1568">
            <v>23081.184194712863</v>
          </cell>
          <cell r="I1568">
            <v>253893.02614184152</v>
          </cell>
        </row>
        <row r="1569">
          <cell r="C1569">
            <v>938805464</v>
          </cell>
          <cell r="D1569">
            <v>44545</v>
          </cell>
          <cell r="E1569">
            <v>933805779</v>
          </cell>
          <cell r="F1569">
            <v>180957</v>
          </cell>
          <cell r="G1569">
            <v>64532.930571997254</v>
          </cell>
          <cell r="H1569">
            <v>11642.406942800275</v>
          </cell>
          <cell r="I1569">
            <v>128066.47637080302</v>
          </cell>
        </row>
        <row r="1570">
          <cell r="C1570">
            <v>938805130</v>
          </cell>
          <cell r="D1570">
            <v>137170.78</v>
          </cell>
          <cell r="E1570">
            <v>933805831</v>
          </cell>
          <cell r="F1570">
            <v>299059</v>
          </cell>
          <cell r="G1570">
            <v>106650.49533276373</v>
          </cell>
          <cell r="H1570">
            <v>19240.850466723627</v>
          </cell>
          <cell r="I1570">
            <v>211649.35513395991</v>
          </cell>
        </row>
        <row r="1571">
          <cell r="C1571">
            <v>938805431</v>
          </cell>
          <cell r="D1571">
            <v>1107627.1200000001</v>
          </cell>
          <cell r="E1571">
            <v>933800345</v>
          </cell>
          <cell r="F1571">
            <v>128119</v>
          </cell>
          <cell r="G1571">
            <v>45689.829804615001</v>
          </cell>
          <cell r="H1571">
            <v>8242.9170195384995</v>
          </cell>
          <cell r="I1571">
            <v>90672.087214923493</v>
          </cell>
        </row>
        <row r="1572">
          <cell r="C1572">
            <v>933806039</v>
          </cell>
          <cell r="D1572">
            <v>182900.15</v>
          </cell>
          <cell r="E1572">
            <v>933805688</v>
          </cell>
          <cell r="F1572">
            <v>438276</v>
          </cell>
          <cell r="G1572">
            <v>156298.09667143394</v>
          </cell>
          <cell r="H1572">
            <v>28197.790332856606</v>
          </cell>
          <cell r="I1572">
            <v>310175.69366142264</v>
          </cell>
        </row>
        <row r="1573">
          <cell r="C1573">
            <v>938807149</v>
          </cell>
          <cell r="D1573">
            <v>181012.84</v>
          </cell>
          <cell r="E1573">
            <v>933806018</v>
          </cell>
          <cell r="F1573">
            <v>348035</v>
          </cell>
          <cell r="G1573">
            <v>124116.32869480079</v>
          </cell>
          <cell r="H1573">
            <v>22391.86713051992</v>
          </cell>
          <cell r="I1573">
            <v>246310.53843571912</v>
          </cell>
        </row>
        <row r="1574">
          <cell r="C1574">
            <v>938805468</v>
          </cell>
          <cell r="D1574">
            <v>440094.83</v>
          </cell>
          <cell r="E1574">
            <v>933805870</v>
          </cell>
          <cell r="F1574">
            <v>227931.64</v>
          </cell>
          <cell r="G1574">
            <v>81285.038430574525</v>
          </cell>
          <cell r="H1574">
            <v>14664.660156942549</v>
          </cell>
          <cell r="I1574">
            <v>161311.26172636804</v>
          </cell>
        </row>
        <row r="1575">
          <cell r="C1575">
            <v>933805902</v>
          </cell>
          <cell r="D1575">
            <v>514780.31</v>
          </cell>
          <cell r="E1575">
            <v>933805600</v>
          </cell>
          <cell r="F1575">
            <v>664385</v>
          </cell>
          <cell r="G1575">
            <v>236933.14476962149</v>
          </cell>
          <cell r="H1575">
            <v>42745.185523037857</v>
          </cell>
          <cell r="I1575">
            <v>470197.04075341637</v>
          </cell>
        </row>
        <row r="1576">
          <cell r="C1576">
            <v>938807027</v>
          </cell>
          <cell r="D1576">
            <v>294384.7</v>
          </cell>
          <cell r="E1576">
            <v>933805976</v>
          </cell>
          <cell r="F1576">
            <v>219733</v>
          </cell>
          <cell r="G1576">
            <v>78361.237384443128</v>
          </cell>
          <cell r="H1576">
            <v>14137.176261555687</v>
          </cell>
          <cell r="I1576">
            <v>155508.93887711258</v>
          </cell>
        </row>
        <row r="1577">
          <cell r="C1577">
            <v>938807153</v>
          </cell>
          <cell r="D1577">
            <v>57271</v>
          </cell>
          <cell r="E1577">
            <v>933805981</v>
          </cell>
          <cell r="F1577">
            <v>44545</v>
          </cell>
          <cell r="G1577">
            <v>15885.649034464639</v>
          </cell>
          <cell r="H1577">
            <v>2865.9350965535359</v>
          </cell>
          <cell r="I1577">
            <v>31525.286062088897</v>
          </cell>
        </row>
        <row r="1578">
          <cell r="C1578">
            <v>938807025</v>
          </cell>
          <cell r="D1578">
            <v>231648.61</v>
          </cell>
          <cell r="E1578">
            <v>933805993</v>
          </cell>
          <cell r="F1578">
            <v>250733</v>
          </cell>
          <cell r="G1578">
            <v>89416.465133200647</v>
          </cell>
          <cell r="H1578">
            <v>16131.653486679937</v>
          </cell>
          <cell r="I1578">
            <v>177448.18835347932</v>
          </cell>
        </row>
        <row r="1579">
          <cell r="C1579">
            <v>938807164</v>
          </cell>
          <cell r="D1579">
            <v>343826.05</v>
          </cell>
          <cell r="E1579">
            <v>933800888</v>
          </cell>
          <cell r="F1579">
            <v>274396</v>
          </cell>
          <cell r="G1579">
            <v>97855.170108002232</v>
          </cell>
          <cell r="H1579">
            <v>17654.082989199775</v>
          </cell>
          <cell r="I1579">
            <v>194194.91288119755</v>
          </cell>
        </row>
        <row r="1580">
          <cell r="C1580">
            <v>938807528</v>
          </cell>
          <cell r="D1580">
            <v>194641.27</v>
          </cell>
          <cell r="E1580">
            <v>933806017</v>
          </cell>
          <cell r="F1580">
            <v>357990</v>
          </cell>
          <cell r="G1580">
            <v>127666.48328315179</v>
          </cell>
          <cell r="H1580">
            <v>23032.351671684821</v>
          </cell>
          <cell r="I1580">
            <v>253355.86838853304</v>
          </cell>
        </row>
        <row r="1581">
          <cell r="C1581">
            <v>938807315</v>
          </cell>
          <cell r="D1581">
            <v>282345.64</v>
          </cell>
          <cell r="E1581">
            <v>933805951</v>
          </cell>
          <cell r="F1581">
            <v>135717</v>
          </cell>
          <cell r="G1581">
            <v>48399.430463810473</v>
          </cell>
          <cell r="H1581">
            <v>8731.756953618953</v>
          </cell>
          <cell r="I1581">
            <v>96049.326489808474</v>
          </cell>
        </row>
        <row r="1582">
          <cell r="C1582">
            <v>938807347</v>
          </cell>
          <cell r="D1582">
            <v>304647.96000000002</v>
          </cell>
          <cell r="E1582">
            <v>933805962</v>
          </cell>
          <cell r="F1582">
            <v>209471</v>
          </cell>
          <cell r="G1582">
            <v>74701.600379354408</v>
          </cell>
          <cell r="H1582">
            <v>13476.939962064558</v>
          </cell>
          <cell r="I1582">
            <v>148246.33958271015</v>
          </cell>
        </row>
        <row r="1583">
          <cell r="C1583">
            <v>933805757</v>
          </cell>
          <cell r="D1583">
            <v>369910.17</v>
          </cell>
          <cell r="E1583">
            <v>933805980</v>
          </cell>
          <cell r="F1583">
            <v>355927.64</v>
          </cell>
          <cell r="G1583">
            <v>126931.00394444444</v>
          </cell>
          <cell r="H1583">
            <v>22899.663605555557</v>
          </cell>
          <cell r="I1583">
            <v>251896.29966111114</v>
          </cell>
        </row>
        <row r="1584">
          <cell r="C1584">
            <v>938807320</v>
          </cell>
          <cell r="D1584">
            <v>341707.86</v>
          </cell>
          <cell r="E1584">
            <v>933805680</v>
          </cell>
          <cell r="F1584">
            <v>113855</v>
          </cell>
          <cell r="G1584">
            <v>40602.998559186701</v>
          </cell>
          <cell r="H1584">
            <v>7325.2001440813301</v>
          </cell>
          <cell r="I1584">
            <v>80577.201584894632</v>
          </cell>
        </row>
        <row r="1585">
          <cell r="C1585">
            <v>938807518</v>
          </cell>
          <cell r="D1585">
            <v>460834.89</v>
          </cell>
          <cell r="E1585">
            <v>933805763</v>
          </cell>
          <cell r="F1585">
            <v>609173</v>
          </cell>
          <cell r="G1585">
            <v>217243.42752883441</v>
          </cell>
          <cell r="H1585">
            <v>39192.957247116559</v>
          </cell>
          <cell r="I1585">
            <v>431122.52971828211</v>
          </cell>
        </row>
        <row r="1586">
          <cell r="C1586">
            <v>933805823</v>
          </cell>
          <cell r="D1586">
            <v>188215.12</v>
          </cell>
          <cell r="E1586">
            <v>933805764</v>
          </cell>
          <cell r="F1586">
            <v>424687</v>
          </cell>
          <cell r="G1586">
            <v>151451.98409472857</v>
          </cell>
          <cell r="H1586">
            <v>27323.501590527139</v>
          </cell>
          <cell r="I1586">
            <v>300558.51749579853</v>
          </cell>
        </row>
        <row r="1587">
          <cell r="C1587">
            <v>938807631</v>
          </cell>
          <cell r="D1587">
            <v>778270.71999999997</v>
          </cell>
          <cell r="E1587">
            <v>933805867</v>
          </cell>
          <cell r="F1587">
            <v>301273</v>
          </cell>
          <cell r="G1587">
            <v>107440.052566175</v>
          </cell>
          <cell r="H1587">
            <v>19383.294743382499</v>
          </cell>
          <cell r="I1587">
            <v>213216.24217720749</v>
          </cell>
        </row>
        <row r="1588">
          <cell r="C1588">
            <v>938807633</v>
          </cell>
          <cell r="D1588">
            <v>203018.77</v>
          </cell>
          <cell r="E1588">
            <v>933805585</v>
          </cell>
          <cell r="F1588">
            <v>83136</v>
          </cell>
          <cell r="G1588">
            <v>29647.981100667916</v>
          </cell>
          <cell r="H1588">
            <v>5348.8018899332083</v>
          </cell>
          <cell r="I1588">
            <v>58836.820789265294</v>
          </cell>
        </row>
        <row r="1589">
          <cell r="C1589">
            <v>938807608</v>
          </cell>
          <cell r="D1589">
            <v>295389.11</v>
          </cell>
          <cell r="E1589">
            <v>933805924</v>
          </cell>
          <cell r="F1589">
            <v>53635</v>
          </cell>
          <cell r="G1589">
            <v>19127.327106600314</v>
          </cell>
          <cell r="H1589">
            <v>3450.7672893399686</v>
          </cell>
          <cell r="I1589">
            <v>37958.44018273965</v>
          </cell>
        </row>
        <row r="1590">
          <cell r="C1590">
            <v>938807606</v>
          </cell>
          <cell r="D1590">
            <v>306601.93</v>
          </cell>
          <cell r="E1590">
            <v>933805723</v>
          </cell>
          <cell r="F1590">
            <v>248435</v>
          </cell>
          <cell r="G1590">
            <v>88596.951798792754</v>
          </cell>
          <cell r="H1590">
            <v>15983.804820120726</v>
          </cell>
          <cell r="I1590">
            <v>175821.85302132796</v>
          </cell>
        </row>
        <row r="1591">
          <cell r="C1591">
            <v>938807352</v>
          </cell>
          <cell r="D1591">
            <v>314714.94</v>
          </cell>
          <cell r="E1591">
            <v>933805852</v>
          </cell>
          <cell r="F1591">
            <v>44545</v>
          </cell>
          <cell r="G1591">
            <v>15885.649034464639</v>
          </cell>
          <cell r="H1591">
            <v>2865.9350965535359</v>
          </cell>
          <cell r="I1591">
            <v>31525.286062088897</v>
          </cell>
        </row>
        <row r="1592">
          <cell r="C1592">
            <v>938807157</v>
          </cell>
          <cell r="D1592">
            <v>1230135.6599999999</v>
          </cell>
          <cell r="E1592">
            <v>933805861</v>
          </cell>
          <cell r="F1592">
            <v>213810.28</v>
          </cell>
          <cell r="G1592">
            <v>76249.075497600497</v>
          </cell>
          <cell r="H1592">
            <v>13756.120450239951</v>
          </cell>
          <cell r="I1592">
            <v>151317.32495263944</v>
          </cell>
        </row>
        <row r="1593">
          <cell r="C1593">
            <v>938807348</v>
          </cell>
          <cell r="D1593">
            <v>215649.11</v>
          </cell>
          <cell r="E1593">
            <v>933805884</v>
          </cell>
          <cell r="F1593">
            <v>81510</v>
          </cell>
          <cell r="G1593">
            <v>29068.116574233085</v>
          </cell>
          <cell r="H1593">
            <v>5244.1883425766919</v>
          </cell>
          <cell r="I1593">
            <v>57686.071768343609</v>
          </cell>
        </row>
        <row r="1594">
          <cell r="C1594">
            <v>938805235</v>
          </cell>
          <cell r="D1594">
            <v>601107.36</v>
          </cell>
          <cell r="E1594">
            <v>933805893</v>
          </cell>
          <cell r="F1594">
            <v>281081</v>
          </cell>
          <cell r="G1594">
            <v>100239.17647898429</v>
          </cell>
          <cell r="H1594">
            <v>18084.182352101569</v>
          </cell>
          <cell r="I1594">
            <v>198926.00587311728</v>
          </cell>
        </row>
        <row r="1595">
          <cell r="C1595">
            <v>938808463</v>
          </cell>
          <cell r="D1595">
            <v>869637.38</v>
          </cell>
          <cell r="E1595">
            <v>933805904</v>
          </cell>
          <cell r="F1595">
            <v>165477</v>
          </cell>
          <cell r="G1595">
            <v>59012.449102617691</v>
          </cell>
          <cell r="H1595">
            <v>10646.455089738232</v>
          </cell>
          <cell r="I1595">
            <v>117111.00598712054</v>
          </cell>
        </row>
        <row r="1596">
          <cell r="C1596">
            <v>938808530</v>
          </cell>
          <cell r="D1596">
            <v>1120547.06</v>
          </cell>
          <cell r="E1596">
            <v>933805934</v>
          </cell>
          <cell r="F1596">
            <v>44545</v>
          </cell>
          <cell r="G1596">
            <v>15885.649034464639</v>
          </cell>
          <cell r="H1596">
            <v>2865.9350965535359</v>
          </cell>
          <cell r="I1596">
            <v>31525.286062088897</v>
          </cell>
        </row>
        <row r="1597">
          <cell r="C1597">
            <v>938808521</v>
          </cell>
          <cell r="D1597">
            <v>278190.08000000002</v>
          </cell>
          <cell r="E1597">
            <v>933805788</v>
          </cell>
          <cell r="F1597">
            <v>159194</v>
          </cell>
          <cell r="G1597">
            <v>56771.804072119514</v>
          </cell>
          <cell r="H1597">
            <v>10242.219592788048</v>
          </cell>
          <cell r="I1597">
            <v>112664.41552066854</v>
          </cell>
        </row>
        <row r="1598">
          <cell r="C1598">
            <v>933805886</v>
          </cell>
          <cell r="D1598">
            <v>447822.88</v>
          </cell>
          <cell r="E1598">
            <v>933805759</v>
          </cell>
          <cell r="F1598">
            <v>439094</v>
          </cell>
          <cell r="G1598">
            <v>156589.81203590115</v>
          </cell>
          <cell r="H1598">
            <v>28250.418796409889</v>
          </cell>
          <cell r="I1598">
            <v>310754.60676050879</v>
          </cell>
        </row>
        <row r="1599">
          <cell r="C1599">
            <v>938808522</v>
          </cell>
          <cell r="D1599">
            <v>772787.86</v>
          </cell>
          <cell r="E1599">
            <v>933805726</v>
          </cell>
          <cell r="F1599">
            <v>45481</v>
          </cell>
          <cell r="G1599">
            <v>16219.445588427123</v>
          </cell>
          <cell r="H1599">
            <v>2926.1554411572874</v>
          </cell>
          <cell r="I1599">
            <v>32187.709852730164</v>
          </cell>
        </row>
        <row r="1600">
          <cell r="C1600">
            <v>933806004</v>
          </cell>
          <cell r="D1600">
            <v>393966.66</v>
          </cell>
          <cell r="E1600">
            <v>933805940</v>
          </cell>
          <cell r="F1600">
            <v>226472</v>
          </cell>
          <cell r="G1600">
            <v>80764.501248923014</v>
          </cell>
          <cell r="H1600">
            <v>14570.749875107698</v>
          </cell>
          <cell r="I1600">
            <v>160278.24862618468</v>
          </cell>
        </row>
        <row r="1601">
          <cell r="C1601">
            <v>938809124</v>
          </cell>
          <cell r="D1601">
            <v>665510.41</v>
          </cell>
          <cell r="E1601">
            <v>933805658</v>
          </cell>
          <cell r="F1601">
            <v>44545</v>
          </cell>
          <cell r="G1601">
            <v>15885.649034464639</v>
          </cell>
          <cell r="H1601">
            <v>2865.9350965535359</v>
          </cell>
          <cell r="I1601">
            <v>31525.286062088897</v>
          </cell>
        </row>
        <row r="1602">
          <cell r="C1602">
            <v>938805244</v>
          </cell>
          <cell r="D1602">
            <v>157714.26999999999</v>
          </cell>
          <cell r="E1602">
            <v>933805650</v>
          </cell>
          <cell r="F1602">
            <v>255398.64</v>
          </cell>
          <cell r="G1602">
            <v>91080.326836223656</v>
          </cell>
          <cell r="H1602">
            <v>16431.831316377637</v>
          </cell>
          <cell r="I1602">
            <v>180750.14448015401</v>
          </cell>
        </row>
        <row r="1603">
          <cell r="C1603">
            <v>938808936</v>
          </cell>
          <cell r="D1603">
            <v>180698.15</v>
          </cell>
          <cell r="E1603">
            <v>933805837</v>
          </cell>
          <cell r="F1603">
            <v>44545</v>
          </cell>
          <cell r="G1603">
            <v>15885.649034464639</v>
          </cell>
          <cell r="H1603">
            <v>2865.9350965535359</v>
          </cell>
          <cell r="I1603">
            <v>31525.286062088897</v>
          </cell>
        </row>
        <row r="1604">
          <cell r="C1604">
            <v>933805815</v>
          </cell>
          <cell r="D1604">
            <v>171084.04</v>
          </cell>
          <cell r="E1604">
            <v>933805733</v>
          </cell>
          <cell r="F1604">
            <v>265908</v>
          </cell>
          <cell r="G1604">
            <v>94828.17742634243</v>
          </cell>
          <cell r="H1604">
            <v>17107.982257365758</v>
          </cell>
          <cell r="I1604">
            <v>188187.80483102333</v>
          </cell>
        </row>
        <row r="1605">
          <cell r="C1605">
            <v>938808759</v>
          </cell>
          <cell r="D1605">
            <v>425002.62</v>
          </cell>
          <cell r="E1605">
            <v>933805739</v>
          </cell>
          <cell r="F1605">
            <v>44545</v>
          </cell>
          <cell r="G1605">
            <v>15885.649034464639</v>
          </cell>
          <cell r="H1605">
            <v>2865.9350965535359</v>
          </cell>
          <cell r="I1605">
            <v>31525.286062088897</v>
          </cell>
        </row>
        <row r="1606">
          <cell r="C1606">
            <v>938807903</v>
          </cell>
          <cell r="D1606">
            <v>749942.86</v>
          </cell>
          <cell r="E1606">
            <v>933805715</v>
          </cell>
          <cell r="F1606">
            <v>321130</v>
          </cell>
          <cell r="G1606">
            <v>114521.46086962914</v>
          </cell>
          <cell r="H1606">
            <v>20660.853913037085</v>
          </cell>
          <cell r="I1606">
            <v>227269.39304340794</v>
          </cell>
        </row>
        <row r="1607">
          <cell r="C1607">
            <v>933805690</v>
          </cell>
          <cell r="D1607">
            <v>224640.41</v>
          </cell>
          <cell r="E1607">
            <v>933806375</v>
          </cell>
          <cell r="F1607">
            <v>434428</v>
          </cell>
          <cell r="G1607">
            <v>154925.82194958813</v>
          </cell>
          <cell r="H1607">
            <v>27950.217805041186</v>
          </cell>
          <cell r="I1607">
            <v>307452.39585545304</v>
          </cell>
        </row>
        <row r="1608">
          <cell r="C1608">
            <v>933805811</v>
          </cell>
          <cell r="D1608">
            <v>153595.48000000001</v>
          </cell>
          <cell r="E1608">
            <v>933806187</v>
          </cell>
          <cell r="F1608">
            <v>182322</v>
          </cell>
          <cell r="G1608">
            <v>65019.717213192554</v>
          </cell>
          <cell r="H1608">
            <v>11730.228278680746</v>
          </cell>
          <cell r="I1608">
            <v>129032.5110654882</v>
          </cell>
        </row>
        <row r="1609">
          <cell r="C1609">
            <v>933805826</v>
          </cell>
          <cell r="D1609">
            <v>506971.14</v>
          </cell>
          <cell r="E1609">
            <v>933806473</v>
          </cell>
          <cell r="F1609">
            <v>552599</v>
          </cell>
          <cell r="G1609">
            <v>197067.99350760187</v>
          </cell>
          <cell r="H1609">
            <v>35553.100649239816</v>
          </cell>
          <cell r="I1609">
            <v>391084.10714163794</v>
          </cell>
        </row>
        <row r="1610">
          <cell r="C1610">
            <v>933805617</v>
          </cell>
          <cell r="D1610">
            <v>141561.87</v>
          </cell>
          <cell r="E1610">
            <v>933806563</v>
          </cell>
          <cell r="F1610">
            <v>281653</v>
          </cell>
          <cell r="G1610">
            <v>100443.16326196138</v>
          </cell>
          <cell r="H1610">
            <v>18120.983673803861</v>
          </cell>
          <cell r="I1610">
            <v>199330.82041184249</v>
          </cell>
        </row>
        <row r="1611">
          <cell r="C1611">
            <v>933805798</v>
          </cell>
          <cell r="D1611">
            <v>399059.15</v>
          </cell>
          <cell r="E1611">
            <v>933806482</v>
          </cell>
          <cell r="F1611">
            <v>488798</v>
          </cell>
          <cell r="G1611">
            <v>174315.26493990902</v>
          </cell>
          <cell r="H1611">
            <v>31448.273506009104</v>
          </cell>
          <cell r="I1611">
            <v>345931.00856610009</v>
          </cell>
        </row>
        <row r="1612">
          <cell r="C1612">
            <v>933805812</v>
          </cell>
          <cell r="D1612">
            <v>147557.71</v>
          </cell>
          <cell r="E1612">
            <v>933806475</v>
          </cell>
          <cell r="F1612">
            <v>280357</v>
          </cell>
          <cell r="G1612">
            <v>99980.983418013304</v>
          </cell>
          <cell r="H1612">
            <v>18037.60165819867</v>
          </cell>
          <cell r="I1612">
            <v>198413.61824018534</v>
          </cell>
        </row>
        <row r="1613">
          <cell r="C1613">
            <v>933805707</v>
          </cell>
          <cell r="D1613">
            <v>631957</v>
          </cell>
          <cell r="E1613">
            <v>933806466</v>
          </cell>
          <cell r="F1613">
            <v>233539</v>
          </cell>
          <cell r="G1613">
            <v>83284.736555389769</v>
          </cell>
          <cell r="H1613">
            <v>15025.426344461022</v>
          </cell>
          <cell r="I1613">
            <v>165279.68978907124</v>
          </cell>
        </row>
        <row r="1614">
          <cell r="C1614">
            <v>933806025</v>
          </cell>
          <cell r="D1614">
            <v>173526.89</v>
          </cell>
          <cell r="E1614">
            <v>933806552</v>
          </cell>
          <cell r="F1614">
            <v>231112.64</v>
          </cell>
          <cell r="G1614">
            <v>82419.447445697035</v>
          </cell>
          <cell r="H1614">
            <v>14869.319255430299</v>
          </cell>
          <cell r="I1614">
            <v>163562.51180973329</v>
          </cell>
        </row>
        <row r="1615">
          <cell r="C1615">
            <v>933805944</v>
          </cell>
          <cell r="D1615">
            <v>248850.61</v>
          </cell>
          <cell r="E1615">
            <v>933806476</v>
          </cell>
          <cell r="F1615">
            <v>102727</v>
          </cell>
          <cell r="G1615">
            <v>36634.528417632711</v>
          </cell>
          <cell r="H1615">
            <v>6609.2471582367298</v>
          </cell>
          <cell r="I1615">
            <v>72701.718740604018</v>
          </cell>
        </row>
        <row r="1616">
          <cell r="C1616">
            <v>933805961</v>
          </cell>
          <cell r="D1616">
            <v>399207.1</v>
          </cell>
          <cell r="E1616">
            <v>933806429</v>
          </cell>
          <cell r="F1616">
            <v>410795.64</v>
          </cell>
          <cell r="G1616">
            <v>146498.04381924533</v>
          </cell>
          <cell r="H1616">
            <v>26429.75961807547</v>
          </cell>
          <cell r="I1616">
            <v>290727.35579883016</v>
          </cell>
        </row>
        <row r="1617">
          <cell r="C1617">
            <v>933805963</v>
          </cell>
          <cell r="D1617">
            <v>621344.68000000005</v>
          </cell>
          <cell r="E1617">
            <v>933806451</v>
          </cell>
          <cell r="F1617">
            <v>360597</v>
          </cell>
          <cell r="G1617">
            <v>128596.1922747973</v>
          </cell>
          <cell r="H1617">
            <v>23200.080772520272</v>
          </cell>
          <cell r="I1617">
            <v>255200.88849772298</v>
          </cell>
        </row>
        <row r="1618">
          <cell r="C1618">
            <v>933805993</v>
          </cell>
          <cell r="D1618">
            <v>230301.55</v>
          </cell>
          <cell r="E1618">
            <v>933806489</v>
          </cell>
          <cell r="F1618">
            <v>464493</v>
          </cell>
          <cell r="G1618">
            <v>165647.60976463315</v>
          </cell>
          <cell r="H1618">
            <v>29884.539023536687</v>
          </cell>
          <cell r="I1618">
            <v>328729.92925890355</v>
          </cell>
        </row>
        <row r="1619">
          <cell r="C1619">
            <v>933803803</v>
          </cell>
          <cell r="D1619">
            <v>329145.02</v>
          </cell>
          <cell r="E1619">
            <v>933806564</v>
          </cell>
          <cell r="F1619">
            <v>583523</v>
          </cell>
          <cell r="G1619">
            <v>208096.11811736244</v>
          </cell>
          <cell r="H1619">
            <v>37542.688188263754</v>
          </cell>
          <cell r="I1619">
            <v>412969.5700709013</v>
          </cell>
        </row>
        <row r="1620">
          <cell r="C1620">
            <v>933800009</v>
          </cell>
          <cell r="D1620">
            <v>371341.47</v>
          </cell>
          <cell r="E1620">
            <v>933806205</v>
          </cell>
          <cell r="F1620">
            <v>438291</v>
          </cell>
          <cell r="G1620">
            <v>156303.44597518333</v>
          </cell>
          <cell r="H1620">
            <v>28198.755402481667</v>
          </cell>
          <cell r="I1620">
            <v>310186.30942729831</v>
          </cell>
        </row>
        <row r="1621">
          <cell r="C1621">
            <v>933805571</v>
          </cell>
          <cell r="D1621">
            <v>500547.51</v>
          </cell>
          <cell r="E1621">
            <v>933806124</v>
          </cell>
          <cell r="F1621">
            <v>381587.64</v>
          </cell>
          <cell r="G1621">
            <v>136081.879558416</v>
          </cell>
          <cell r="H1621">
            <v>24550.576044158399</v>
          </cell>
          <cell r="I1621">
            <v>270056.33648574242</v>
          </cell>
        </row>
        <row r="1622">
          <cell r="C1622">
            <v>933805953</v>
          </cell>
          <cell r="D1622">
            <v>1009173</v>
          </cell>
          <cell r="E1622">
            <v>933805499</v>
          </cell>
          <cell r="F1622">
            <v>644126.64</v>
          </cell>
          <cell r="G1622">
            <v>229708.60336264342</v>
          </cell>
          <cell r="H1622">
            <v>41441.803663735656</v>
          </cell>
          <cell r="I1622">
            <v>455859.84030109225</v>
          </cell>
        </row>
        <row r="1623">
          <cell r="C1623">
            <v>933805905</v>
          </cell>
          <cell r="D1623">
            <v>49090</v>
          </cell>
          <cell r="E1623">
            <v>933806237</v>
          </cell>
          <cell r="F1623">
            <v>3937012.54</v>
          </cell>
          <cell r="G1623">
            <v>1404018.3961101398</v>
          </cell>
          <cell r="H1623">
            <v>253299.41438898601</v>
          </cell>
          <cell r="I1623">
            <v>2786293.5582788461</v>
          </cell>
        </row>
        <row r="1624">
          <cell r="C1624">
            <v>933805753</v>
          </cell>
          <cell r="D1624">
            <v>520391.62</v>
          </cell>
          <cell r="E1624">
            <v>933806186</v>
          </cell>
          <cell r="F1624">
            <v>412195</v>
          </cell>
          <cell r="G1624">
            <v>146997.08393222926</v>
          </cell>
          <cell r="H1624">
            <v>26519.791606777071</v>
          </cell>
          <cell r="I1624">
            <v>291717.7076745478</v>
          </cell>
        </row>
        <row r="1625">
          <cell r="C1625">
            <v>933805762</v>
          </cell>
          <cell r="D1625">
            <v>213428.49</v>
          </cell>
          <cell r="E1625">
            <v>933806108</v>
          </cell>
          <cell r="F1625">
            <v>322288</v>
          </cell>
          <cell r="G1625">
            <v>114934.42711908273</v>
          </cell>
          <cell r="H1625">
            <v>20735.357288091727</v>
          </cell>
          <cell r="I1625">
            <v>228088.93016900902</v>
          </cell>
        </row>
        <row r="1626">
          <cell r="C1626">
            <v>933805855</v>
          </cell>
          <cell r="D1626">
            <v>622009.21</v>
          </cell>
          <cell r="E1626">
            <v>933806191</v>
          </cell>
          <cell r="F1626">
            <v>378532</v>
          </cell>
          <cell r="G1626">
            <v>134992.17645782846</v>
          </cell>
          <cell r="H1626">
            <v>24353.982354217154</v>
          </cell>
          <cell r="I1626">
            <v>267893.80589638872</v>
          </cell>
        </row>
        <row r="1627">
          <cell r="C1627">
            <v>933805890</v>
          </cell>
          <cell r="D1627">
            <v>556744.24</v>
          </cell>
          <cell r="E1627">
            <v>933806258</v>
          </cell>
          <cell r="F1627">
            <v>483038</v>
          </cell>
          <cell r="G1627">
            <v>172261.13230013987</v>
          </cell>
          <cell r="H1627">
            <v>31077.686769986012</v>
          </cell>
          <cell r="I1627">
            <v>341854.55446984613</v>
          </cell>
        </row>
        <row r="1628">
          <cell r="C1628">
            <v>933805910</v>
          </cell>
          <cell r="D1628">
            <v>821146.48</v>
          </cell>
          <cell r="E1628">
            <v>933805968</v>
          </cell>
          <cell r="F1628">
            <v>61817</v>
          </cell>
          <cell r="G1628">
            <v>22045.193991772379</v>
          </cell>
          <cell r="H1628">
            <v>3977.1806008227622</v>
          </cell>
          <cell r="I1628">
            <v>43748.986609050386</v>
          </cell>
        </row>
        <row r="1629">
          <cell r="C1629">
            <v>933805918</v>
          </cell>
          <cell r="D1629">
            <v>478277.83</v>
          </cell>
          <cell r="E1629">
            <v>933806274</v>
          </cell>
          <cell r="F1629">
            <v>1116922</v>
          </cell>
          <cell r="G1629">
            <v>398317.00282573386</v>
          </cell>
          <cell r="H1629">
            <v>71860.499717426617</v>
          </cell>
          <cell r="I1629">
            <v>790465.49689169275</v>
          </cell>
        </row>
        <row r="1630">
          <cell r="C1630">
            <v>933805942</v>
          </cell>
          <cell r="D1630">
            <v>155876.75</v>
          </cell>
          <cell r="E1630">
            <v>933806217</v>
          </cell>
          <cell r="F1630">
            <v>354280</v>
          </cell>
          <cell r="G1630">
            <v>126343.42215580048</v>
          </cell>
          <cell r="H1630">
            <v>22793.657784419953</v>
          </cell>
          <cell r="I1630">
            <v>250730.23562861947</v>
          </cell>
        </row>
        <row r="1631">
          <cell r="C1631">
            <v>933805723</v>
          </cell>
          <cell r="D1631">
            <v>187973.19</v>
          </cell>
          <cell r="E1631">
            <v>933806242</v>
          </cell>
          <cell r="F1631">
            <v>209278</v>
          </cell>
          <cell r="G1631">
            <v>74632.77267111215</v>
          </cell>
          <cell r="H1631">
            <v>13464.522732888787</v>
          </cell>
          <cell r="I1631">
            <v>148109.75006177663</v>
          </cell>
        </row>
        <row r="1632">
          <cell r="C1632">
            <v>933805637</v>
          </cell>
          <cell r="D1632">
            <v>72024.210000000006</v>
          </cell>
          <cell r="E1632">
            <v>933805581</v>
          </cell>
          <cell r="F1632">
            <v>356279.64</v>
          </cell>
          <cell r="G1632">
            <v>127056.53427243035</v>
          </cell>
          <cell r="H1632">
            <v>22922.310572756967</v>
          </cell>
          <cell r="I1632">
            <v>252145.41630032664</v>
          </cell>
        </row>
        <row r="1633">
          <cell r="C1633">
            <v>933805861</v>
          </cell>
          <cell r="D1633">
            <v>739546.33</v>
          </cell>
          <cell r="E1633">
            <v>933806259</v>
          </cell>
          <cell r="F1633">
            <v>2228012.64</v>
          </cell>
          <cell r="G1633">
            <v>794554.42459066154</v>
          </cell>
          <cell r="H1633">
            <v>143345.82154093386</v>
          </cell>
          <cell r="I1633">
            <v>1576804.0369502723</v>
          </cell>
        </row>
        <row r="1634">
          <cell r="C1634">
            <v>933805872</v>
          </cell>
          <cell r="D1634">
            <v>204928.44</v>
          </cell>
          <cell r="E1634">
            <v>933806243</v>
          </cell>
          <cell r="F1634">
            <v>222519.64</v>
          </cell>
          <cell r="G1634">
            <v>79355.009637791431</v>
          </cell>
          <cell r="H1634">
            <v>14316.463036220859</v>
          </cell>
          <cell r="I1634">
            <v>157481.09339842945</v>
          </cell>
        </row>
        <row r="1635">
          <cell r="C1635">
            <v>937253366</v>
          </cell>
          <cell r="D1635">
            <v>366540.71</v>
          </cell>
          <cell r="E1635">
            <v>933806341</v>
          </cell>
          <cell r="F1635">
            <v>109864</v>
          </cell>
          <cell r="G1635">
            <v>39179.727141596661</v>
          </cell>
          <cell r="H1635">
            <v>7068.4272858403328</v>
          </cell>
          <cell r="I1635">
            <v>77752.700144243659</v>
          </cell>
        </row>
        <row r="1636">
          <cell r="C1636">
            <v>933805923</v>
          </cell>
          <cell r="D1636">
            <v>267250.44</v>
          </cell>
          <cell r="E1636">
            <v>933805308</v>
          </cell>
          <cell r="F1636">
            <v>600243.64</v>
          </cell>
          <cell r="G1636">
            <v>214059.03693365227</v>
          </cell>
          <cell r="H1636">
            <v>38618.460306634777</v>
          </cell>
          <cell r="I1636">
            <v>424803.06337298255</v>
          </cell>
        </row>
        <row r="1637">
          <cell r="C1637">
            <v>933805781</v>
          </cell>
          <cell r="D1637">
            <v>52726</v>
          </cell>
          <cell r="E1637">
            <v>933805346</v>
          </cell>
          <cell r="F1637">
            <v>438862</v>
          </cell>
          <cell r="G1637">
            <v>156507.07613791045</v>
          </cell>
          <cell r="H1637">
            <v>28235.492386208949</v>
          </cell>
          <cell r="I1637">
            <v>310590.41624829848</v>
          </cell>
        </row>
        <row r="1638">
          <cell r="C1638">
            <v>933806022</v>
          </cell>
          <cell r="D1638">
            <v>512017.12</v>
          </cell>
          <cell r="E1638">
            <v>933805357</v>
          </cell>
          <cell r="F1638">
            <v>606661</v>
          </cell>
          <cell r="G1638">
            <v>216347.59746093507</v>
          </cell>
          <cell r="H1638">
            <v>39031.340253906492</v>
          </cell>
          <cell r="I1638">
            <v>429344.74279297143</v>
          </cell>
        </row>
        <row r="1639">
          <cell r="C1639">
            <v>933805840</v>
          </cell>
          <cell r="D1639">
            <v>451041.78</v>
          </cell>
          <cell r="E1639">
            <v>933805844</v>
          </cell>
          <cell r="F1639">
            <v>1281227.9099999999</v>
          </cell>
          <cell r="G1639">
            <v>456911.817519826</v>
          </cell>
          <cell r="H1639">
            <v>82431.609248017383</v>
          </cell>
          <cell r="I1639">
            <v>906747.70172819134</v>
          </cell>
        </row>
        <row r="1640">
          <cell r="C1640">
            <v>933805789</v>
          </cell>
          <cell r="D1640">
            <v>489380.33</v>
          </cell>
          <cell r="E1640">
            <v>933805621</v>
          </cell>
          <cell r="F1640">
            <v>594192</v>
          </cell>
          <cell r="G1640">
            <v>211900.89956418483</v>
          </cell>
          <cell r="H1640">
            <v>38229.110043581517</v>
          </cell>
          <cell r="I1640">
            <v>420520.21047939669</v>
          </cell>
        </row>
        <row r="1641">
          <cell r="C1641">
            <v>933805729</v>
          </cell>
          <cell r="D1641">
            <v>848575.21</v>
          </cell>
          <cell r="E1641">
            <v>933805364</v>
          </cell>
          <cell r="F1641">
            <v>254551.64</v>
          </cell>
          <cell r="G1641">
            <v>90778.269484507589</v>
          </cell>
          <cell r="H1641">
            <v>16377.337051549242</v>
          </cell>
          <cell r="I1641">
            <v>180150.70756704168</v>
          </cell>
        </row>
        <row r="1642">
          <cell r="C1642">
            <v>933805703</v>
          </cell>
          <cell r="D1642">
            <v>293862.07</v>
          </cell>
          <cell r="E1642">
            <v>933805361</v>
          </cell>
          <cell r="F1642">
            <v>135713</v>
          </cell>
          <cell r="G1642">
            <v>48398.003982810631</v>
          </cell>
          <cell r="H1642">
            <v>8731.4996017189369</v>
          </cell>
          <cell r="I1642">
            <v>96046.495618908317</v>
          </cell>
        </row>
        <row r="1643">
          <cell r="C1643">
            <v>933805722</v>
          </cell>
          <cell r="D1643">
            <v>310859.27</v>
          </cell>
          <cell r="E1643">
            <v>933805602</v>
          </cell>
          <cell r="F1643">
            <v>436272</v>
          </cell>
          <cell r="G1643">
            <v>155583.42969051425</v>
          </cell>
          <cell r="H1643">
            <v>28068.857030948577</v>
          </cell>
          <cell r="I1643">
            <v>308757.42734043434</v>
          </cell>
        </row>
        <row r="1644">
          <cell r="C1644">
            <v>933805592</v>
          </cell>
          <cell r="D1644">
            <v>366464.72</v>
          </cell>
          <cell r="E1644">
            <v>933805359</v>
          </cell>
          <cell r="F1644">
            <v>248200</v>
          </cell>
          <cell r="G1644">
            <v>88513.146040052161</v>
          </cell>
          <cell r="H1644">
            <v>15968.685395994782</v>
          </cell>
          <cell r="I1644">
            <v>175655.5393559426</v>
          </cell>
        </row>
        <row r="1645">
          <cell r="C1645">
            <v>933805626</v>
          </cell>
          <cell r="D1645">
            <v>477005.61</v>
          </cell>
          <cell r="E1645">
            <v>933805327</v>
          </cell>
          <cell r="F1645">
            <v>418959.64</v>
          </cell>
          <cell r="G1645">
            <v>149409.49153991815</v>
          </cell>
          <cell r="H1645">
            <v>26955.014846008187</v>
          </cell>
          <cell r="I1645">
            <v>296505.16330609011</v>
          </cell>
        </row>
        <row r="1646">
          <cell r="C1646">
            <v>933805734</v>
          </cell>
          <cell r="D1646">
            <v>595841.56000000006</v>
          </cell>
          <cell r="E1646">
            <v>938508148</v>
          </cell>
          <cell r="F1646">
            <v>364248</v>
          </cell>
          <cell r="G1646">
            <v>129898.21280740097</v>
          </cell>
          <cell r="H1646">
            <v>23434.9787192599</v>
          </cell>
          <cell r="I1646">
            <v>257784.76591185894</v>
          </cell>
        </row>
        <row r="1647">
          <cell r="C1647">
            <v>933805575</v>
          </cell>
          <cell r="D1647">
            <v>413291.45</v>
          </cell>
          <cell r="E1647">
            <v>933806628</v>
          </cell>
          <cell r="F1647">
            <v>386775</v>
          </cell>
          <cell r="G1647">
            <v>137931.79717824809</v>
          </cell>
          <cell r="H1647">
            <v>24884.320282175191</v>
          </cell>
          <cell r="I1647">
            <v>273727.52310392709</v>
          </cell>
        </row>
        <row r="1648">
          <cell r="C1648">
            <v>933805708</v>
          </cell>
          <cell r="D1648">
            <v>431116.23</v>
          </cell>
          <cell r="E1648">
            <v>933805583</v>
          </cell>
          <cell r="F1648">
            <v>285411</v>
          </cell>
          <cell r="G1648">
            <v>101783.34216131075</v>
          </cell>
          <cell r="H1648">
            <v>18362.765783868927</v>
          </cell>
          <cell r="I1648">
            <v>201990.42362255818</v>
          </cell>
        </row>
        <row r="1649">
          <cell r="C1649">
            <v>933805710</v>
          </cell>
          <cell r="D1649">
            <v>505786.19</v>
          </cell>
          <cell r="E1649">
            <v>908826231</v>
          </cell>
          <cell r="F1649">
            <v>124631</v>
          </cell>
          <cell r="G1649">
            <v>44445.938372754797</v>
          </cell>
          <cell r="H1649">
            <v>8018.5061627245204</v>
          </cell>
          <cell r="I1649">
            <v>88203.567789969718</v>
          </cell>
        </row>
        <row r="1650">
          <cell r="C1650">
            <v>933805657</v>
          </cell>
          <cell r="D1650">
            <v>189602.46</v>
          </cell>
          <cell r="E1650">
            <v>933805267</v>
          </cell>
          <cell r="F1650">
            <v>761985.64</v>
          </cell>
          <cell r="G1650">
            <v>271739.50940266968</v>
          </cell>
          <cell r="H1650">
            <v>49024.613059733034</v>
          </cell>
          <cell r="I1650">
            <v>539270.74365706334</v>
          </cell>
        </row>
        <row r="1651">
          <cell r="C1651">
            <v>933805659</v>
          </cell>
          <cell r="D1651">
            <v>3406316.29</v>
          </cell>
          <cell r="E1651">
            <v>933803838</v>
          </cell>
          <cell r="F1651">
            <v>570715</v>
          </cell>
          <cell r="G1651">
            <v>203528.52595587578</v>
          </cell>
          <cell r="H1651">
            <v>36718.647404412419</v>
          </cell>
          <cell r="I1651">
            <v>403905.12144853664</v>
          </cell>
        </row>
        <row r="1652">
          <cell r="C1652">
            <v>933806158</v>
          </cell>
          <cell r="D1652">
            <v>249256.72</v>
          </cell>
          <cell r="E1652">
            <v>933805356</v>
          </cell>
          <cell r="F1652">
            <v>237764</v>
          </cell>
          <cell r="G1652">
            <v>84791.45711147043</v>
          </cell>
          <cell r="H1652">
            <v>15297.254288852957</v>
          </cell>
          <cell r="I1652">
            <v>168269.79717738251</v>
          </cell>
        </row>
        <row r="1653">
          <cell r="C1653">
            <v>933806042</v>
          </cell>
          <cell r="D1653">
            <v>266452.11</v>
          </cell>
          <cell r="E1653">
            <v>938508156</v>
          </cell>
          <cell r="F1653">
            <v>120136</v>
          </cell>
          <cell r="G1653">
            <v>42842.930349184957</v>
          </cell>
          <cell r="H1653">
            <v>7729.3069650815041</v>
          </cell>
          <cell r="I1653">
            <v>85022.376615896545</v>
          </cell>
        </row>
        <row r="1654">
          <cell r="C1654">
            <v>933806104</v>
          </cell>
          <cell r="F1654">
            <v>118101</v>
          </cell>
          <cell r="G1654">
            <v>42117.208140516523</v>
          </cell>
          <cell r="H1654">
            <v>7598.3791859483472</v>
          </cell>
          <cell r="I1654">
            <v>83582.171045431824</v>
          </cell>
        </row>
        <row r="1655">
          <cell r="C1655">
            <v>933806134</v>
          </cell>
          <cell r="F1655">
            <v>337121</v>
          </cell>
          <cell r="G1655">
            <v>120224.17528673822</v>
          </cell>
          <cell r="H1655">
            <v>21689.682471326181</v>
          </cell>
          <cell r="I1655">
            <v>238586.50718458797</v>
          </cell>
        </row>
        <row r="1656">
          <cell r="C1656">
            <v>933806147</v>
          </cell>
          <cell r="F1656">
            <v>258408</v>
          </cell>
          <cell r="G1656">
            <v>92153.525551643019</v>
          </cell>
          <cell r="H1656">
            <v>16625.4474448357</v>
          </cell>
          <cell r="I1656">
            <v>182879.92189319269</v>
          </cell>
        </row>
        <row r="1657">
          <cell r="C1657">
            <v>933806075</v>
          </cell>
          <cell r="F1657">
            <v>337131</v>
          </cell>
          <cell r="G1657">
            <v>120227.74148923783</v>
          </cell>
          <cell r="H1657">
            <v>21690.325851076217</v>
          </cell>
          <cell r="I1657">
            <v>238593.58436183841</v>
          </cell>
        </row>
        <row r="1658">
          <cell r="C1658">
            <v>933807486</v>
          </cell>
          <cell r="F1658">
            <v>232736</v>
          </cell>
          <cell r="G1658">
            <v>82998.370494671952</v>
          </cell>
          <cell r="H1658">
            <v>14973.762950532804</v>
          </cell>
          <cell r="I1658">
            <v>164711.39245586086</v>
          </cell>
        </row>
        <row r="1659">
          <cell r="C1659">
            <v>933806055</v>
          </cell>
          <cell r="F1659">
            <v>279115</v>
          </cell>
          <cell r="G1659">
            <v>99538.061067563103</v>
          </cell>
          <cell r="H1659">
            <v>17957.69389324369</v>
          </cell>
          <cell r="I1659">
            <v>197534.6328256806</v>
          </cell>
        </row>
        <row r="1660">
          <cell r="C1660">
            <v>933805499</v>
          </cell>
          <cell r="F1660">
            <v>881997</v>
          </cell>
          <cell r="G1660">
            <v>314537.99060389964</v>
          </cell>
          <cell r="H1660">
            <v>56745.900939610045</v>
          </cell>
          <cell r="I1660">
            <v>624204.91033571051</v>
          </cell>
        </row>
        <row r="1661">
          <cell r="C1661">
            <v>933806355</v>
          </cell>
          <cell r="F1661">
            <v>304344</v>
          </cell>
          <cell r="G1661">
            <v>108535.23335380192</v>
          </cell>
          <cell r="H1661">
            <v>19580.876664619809</v>
          </cell>
          <cell r="I1661">
            <v>215389.64331081789</v>
          </cell>
        </row>
        <row r="1662">
          <cell r="C1662">
            <v>933806237</v>
          </cell>
          <cell r="F1662">
            <v>181369</v>
          </cell>
          <cell r="G1662">
            <v>64679.858114980751</v>
          </cell>
          <cell r="H1662">
            <v>11668.914188501925</v>
          </cell>
          <cell r="I1662">
            <v>128358.05607352118</v>
          </cell>
        </row>
        <row r="1663">
          <cell r="C1663">
            <v>933806191</v>
          </cell>
          <cell r="F1663">
            <v>667667</v>
          </cell>
          <cell r="G1663">
            <v>238103.57242998993</v>
          </cell>
          <cell r="H1663">
            <v>42956.34275700101</v>
          </cell>
          <cell r="I1663">
            <v>472519.77032701107</v>
          </cell>
        </row>
        <row r="1664">
          <cell r="C1664">
            <v>933806269</v>
          </cell>
          <cell r="F1664">
            <v>535961</v>
          </cell>
          <cell r="G1664">
            <v>191134.54578876871</v>
          </cell>
          <cell r="H1664">
            <v>34482.645421123132</v>
          </cell>
          <cell r="I1664">
            <v>379309.09963235445</v>
          </cell>
        </row>
        <row r="1665">
          <cell r="C1665">
            <v>933806453</v>
          </cell>
          <cell r="F1665">
            <v>726436.64</v>
          </cell>
          <cell r="G1665">
            <v>259062.01613684447</v>
          </cell>
          <cell r="H1665">
            <v>46737.462386315558</v>
          </cell>
          <cell r="I1665">
            <v>514112.08624947112</v>
          </cell>
        </row>
        <row r="1666">
          <cell r="C1666">
            <v>933806486</v>
          </cell>
          <cell r="F1666">
            <v>57272</v>
          </cell>
          <cell r="G1666">
            <v>20424.354955704544</v>
          </cell>
          <cell r="H1666">
            <v>3684.7645044295455</v>
          </cell>
          <cell r="I1666">
            <v>40532.409548724994</v>
          </cell>
        </row>
        <row r="1667">
          <cell r="C1667">
            <v>933806439</v>
          </cell>
          <cell r="F1667">
            <v>402320</v>
          </cell>
          <cell r="G1667">
            <v>143475.45896387505</v>
          </cell>
          <cell r="H1667">
            <v>25884.454103612494</v>
          </cell>
          <cell r="I1667">
            <v>284728.99513973744</v>
          </cell>
        </row>
        <row r="1668">
          <cell r="C1668">
            <v>933806391</v>
          </cell>
          <cell r="F1668">
            <v>286953</v>
          </cell>
          <cell r="G1668">
            <v>102333.25058674894</v>
          </cell>
          <cell r="H1668">
            <v>18461.974941325105</v>
          </cell>
          <cell r="I1668">
            <v>203081.72435457617</v>
          </cell>
        </row>
        <row r="1669">
          <cell r="C1669">
            <v>933806409</v>
          </cell>
          <cell r="F1669">
            <v>178771.64</v>
          </cell>
          <cell r="G1669">
            <v>63753.586942544855</v>
          </cell>
          <cell r="H1669">
            <v>11501.805305745518</v>
          </cell>
          <cell r="I1669">
            <v>126519.85836320068</v>
          </cell>
        </row>
        <row r="1670">
          <cell r="C1670">
            <v>933806561</v>
          </cell>
          <cell r="F1670">
            <v>193050.64</v>
          </cell>
          <cell r="G1670">
            <v>68845.767491722538</v>
          </cell>
          <cell r="H1670">
            <v>12420.487250827746</v>
          </cell>
          <cell r="I1670">
            <v>136625.35975910522</v>
          </cell>
        </row>
        <row r="1671">
          <cell r="C1671">
            <v>933806497</v>
          </cell>
          <cell r="F1671">
            <v>347819</v>
          </cell>
          <cell r="G1671">
            <v>124039.29872080944</v>
          </cell>
          <cell r="H1671">
            <v>22377.970127919056</v>
          </cell>
          <cell r="I1671">
            <v>246157.67140710959</v>
          </cell>
        </row>
        <row r="1672">
          <cell r="C1672">
            <v>933806197</v>
          </cell>
          <cell r="F1672">
            <v>489249.64</v>
          </cell>
          <cell r="G1672">
            <v>174476.32890960091</v>
          </cell>
          <cell r="H1672">
            <v>31477.331109039907</v>
          </cell>
          <cell r="I1672">
            <v>346250.642199439</v>
          </cell>
        </row>
        <row r="1673">
          <cell r="C1673">
            <v>933805955</v>
          </cell>
          <cell r="F1673">
            <v>446498</v>
          </cell>
          <cell r="G1673">
            <v>159230.22836660439</v>
          </cell>
          <cell r="H1673">
            <v>28726.777163339557</v>
          </cell>
          <cell r="I1673">
            <v>315994.54879673512</v>
          </cell>
        </row>
        <row r="1674">
          <cell r="C1674">
            <v>933806632</v>
          </cell>
          <cell r="F1674">
            <v>325235</v>
          </cell>
          <cell r="G1674">
            <v>115985.38699571461</v>
          </cell>
          <cell r="H1674">
            <v>20924.961300428538</v>
          </cell>
          <cell r="I1674">
            <v>230174.57430471393</v>
          </cell>
        </row>
        <row r="1675">
          <cell r="C1675">
            <v>933805806</v>
          </cell>
          <cell r="F1675">
            <v>344237</v>
          </cell>
          <cell r="G1675">
            <v>122761.884985453</v>
          </cell>
          <cell r="H1675">
            <v>22147.511501454701</v>
          </cell>
          <cell r="I1675">
            <v>243622.62651600171</v>
          </cell>
        </row>
        <row r="1676">
          <cell r="C1676">
            <v>933806461</v>
          </cell>
          <cell r="F1676">
            <v>984691.64</v>
          </cell>
          <cell r="G1676">
            <v>351160.97879024368</v>
          </cell>
          <cell r="H1676">
            <v>63353.066120975629</v>
          </cell>
          <cell r="I1676">
            <v>696883.72733073193</v>
          </cell>
        </row>
        <row r="1677">
          <cell r="C1677">
            <v>933806712</v>
          </cell>
          <cell r="F1677">
            <v>491274</v>
          </cell>
          <cell r="G1677">
            <v>175198.25667880979</v>
          </cell>
          <cell r="H1677">
            <v>31607.57433211902</v>
          </cell>
          <cell r="I1677">
            <v>347683.31765330926</v>
          </cell>
        </row>
        <row r="1678">
          <cell r="C1678">
            <v>933805345</v>
          </cell>
          <cell r="F1678">
            <v>738832</v>
          </cell>
          <cell r="G1678">
            <v>263482.45251838764</v>
          </cell>
          <cell r="H1678">
            <v>47534.954748161239</v>
          </cell>
          <cell r="I1678">
            <v>522884.50222977361</v>
          </cell>
        </row>
        <row r="1679">
          <cell r="C1679">
            <v>933806708</v>
          </cell>
          <cell r="F1679">
            <v>110134</v>
          </cell>
          <cell r="G1679">
            <v>39276.01460908584</v>
          </cell>
          <cell r="H1679">
            <v>7085.7985390914164</v>
          </cell>
          <cell r="I1679">
            <v>77943.783930005578</v>
          </cell>
        </row>
        <row r="1680">
          <cell r="C1680">
            <v>933806687</v>
          </cell>
          <cell r="F1680">
            <v>735358.64</v>
          </cell>
          <cell r="G1680">
            <v>262243.78200698685</v>
          </cell>
          <cell r="H1680">
            <v>47311.485799301314</v>
          </cell>
          <cell r="I1680">
            <v>520426.34379231447</v>
          </cell>
        </row>
        <row r="1681">
          <cell r="C1681">
            <v>933806552</v>
          </cell>
          <cell r="F1681">
            <v>110105</v>
          </cell>
          <cell r="G1681">
            <v>39265.672621837002</v>
          </cell>
          <cell r="H1681">
            <v>7083.9327378162998</v>
          </cell>
          <cell r="I1681">
            <v>77923.260115979298</v>
          </cell>
        </row>
        <row r="1682">
          <cell r="C1682">
            <v>933806736</v>
          </cell>
          <cell r="F1682">
            <v>145265</v>
          </cell>
          <cell r="G1682">
            <v>51804.440610427788</v>
          </cell>
          <cell r="H1682">
            <v>9346.0559389572227</v>
          </cell>
          <cell r="I1682">
            <v>102806.61532852944</v>
          </cell>
        </row>
        <row r="1683">
          <cell r="C1683">
            <v>933806489</v>
          </cell>
          <cell r="F1683">
            <v>586754</v>
          </cell>
          <cell r="G1683">
            <v>209248.35814498295</v>
          </cell>
          <cell r="H1683">
            <v>37750.564185501702</v>
          </cell>
          <cell r="I1683">
            <v>415256.20604051877</v>
          </cell>
        </row>
        <row r="1684">
          <cell r="C1684">
            <v>933806942</v>
          </cell>
          <cell r="F1684">
            <v>334064.45</v>
          </cell>
          <cell r="G1684">
            <v>119134.14766172323</v>
          </cell>
          <cell r="H1684">
            <v>21493.030233827682</v>
          </cell>
          <cell r="I1684">
            <v>236423.33257210447</v>
          </cell>
        </row>
        <row r="1685">
          <cell r="C1685">
            <v>933806641</v>
          </cell>
          <cell r="F1685">
            <v>44545</v>
          </cell>
          <cell r="G1685">
            <v>15885.649034464639</v>
          </cell>
          <cell r="H1685">
            <v>2865.9350965535359</v>
          </cell>
          <cell r="I1685">
            <v>31525.286062088897</v>
          </cell>
        </row>
        <row r="1686">
          <cell r="C1686">
            <v>933806631</v>
          </cell>
          <cell r="F1686">
            <v>665225</v>
          </cell>
          <cell r="G1686">
            <v>237232.70577958785</v>
          </cell>
          <cell r="H1686">
            <v>42799.229422041215</v>
          </cell>
          <cell r="I1686">
            <v>470791.52364245337</v>
          </cell>
        </row>
        <row r="1687">
          <cell r="C1687">
            <v>933805959</v>
          </cell>
          <cell r="F1687">
            <v>690431</v>
          </cell>
          <cell r="G1687">
            <v>246221.67580007759</v>
          </cell>
          <cell r="H1687">
            <v>44420.932419992241</v>
          </cell>
          <cell r="I1687">
            <v>488630.25661991461</v>
          </cell>
        </row>
        <row r="1688">
          <cell r="C1688">
            <v>933805591</v>
          </cell>
          <cell r="F1688">
            <v>90872</v>
          </cell>
          <cell r="G1688">
            <v>32406.795354357855</v>
          </cell>
          <cell r="H1688">
            <v>5846.5204645642152</v>
          </cell>
          <cell r="I1688">
            <v>64311.72511020636</v>
          </cell>
        </row>
        <row r="1689">
          <cell r="C1689">
            <v>933806411</v>
          </cell>
          <cell r="F1689">
            <v>300691</v>
          </cell>
          <cell r="G1689">
            <v>107232.49958069834</v>
          </cell>
          <cell r="H1689">
            <v>19345.850041930167</v>
          </cell>
          <cell r="I1689">
            <v>212804.35046123184</v>
          </cell>
        </row>
        <row r="1690">
          <cell r="C1690">
            <v>933806312</v>
          </cell>
          <cell r="F1690">
            <v>227680</v>
          </cell>
          <cell r="G1690">
            <v>81195.298510874607</v>
          </cell>
          <cell r="H1690">
            <v>14648.470148912538</v>
          </cell>
          <cell r="I1690">
            <v>161133.17163803792</v>
          </cell>
        </row>
        <row r="1691">
          <cell r="C1691">
            <v>933806252</v>
          </cell>
          <cell r="F1691">
            <v>189952</v>
          </cell>
          <cell r="G1691">
            <v>67740.729720386735</v>
          </cell>
          <cell r="H1691">
            <v>12221.127027961327</v>
          </cell>
          <cell r="I1691">
            <v>134432.3973075746</v>
          </cell>
        </row>
        <row r="1692">
          <cell r="C1692">
            <v>933806349</v>
          </cell>
          <cell r="F1692">
            <v>206828</v>
          </cell>
          <cell r="G1692">
            <v>73759.053058710357</v>
          </cell>
          <cell r="H1692">
            <v>13306.894694128963</v>
          </cell>
          <cell r="I1692">
            <v>146375.84163541862</v>
          </cell>
        </row>
        <row r="1693">
          <cell r="C1693">
            <v>933806251</v>
          </cell>
          <cell r="F1693">
            <v>595126</v>
          </cell>
          <cell r="G1693">
            <v>212233.98287764739</v>
          </cell>
          <cell r="H1693">
            <v>38289.201712235255</v>
          </cell>
          <cell r="I1693">
            <v>421181.21883458784</v>
          </cell>
        </row>
        <row r="1694">
          <cell r="C1694">
            <v>933805301</v>
          </cell>
          <cell r="F1694">
            <v>356088</v>
          </cell>
          <cell r="G1694">
            <v>126988.191567728</v>
          </cell>
          <cell r="H1694">
            <v>22909.980843227197</v>
          </cell>
          <cell r="I1694">
            <v>252009.78927549918</v>
          </cell>
        </row>
        <row r="1695">
          <cell r="C1695">
            <v>933805296</v>
          </cell>
          <cell r="F1695">
            <v>262750</v>
          </cell>
          <cell r="G1695">
            <v>93701.970676969009</v>
          </cell>
          <cell r="H1695">
            <v>16904.802932303097</v>
          </cell>
          <cell r="I1695">
            <v>185952.8322553341</v>
          </cell>
        </row>
        <row r="1696">
          <cell r="C1696">
            <v>933805315</v>
          </cell>
          <cell r="F1696">
            <v>620360.44999999995</v>
          </cell>
          <cell r="G1696">
            <v>221233.09874424848</v>
          </cell>
          <cell r="H1696">
            <v>39912.735125575142</v>
          </cell>
          <cell r="I1696">
            <v>439040.0863813266</v>
          </cell>
        </row>
        <row r="1697">
          <cell r="C1697">
            <v>933805320</v>
          </cell>
          <cell r="F1697">
            <v>262051</v>
          </cell>
          <cell r="G1697">
            <v>93452.693122247016</v>
          </cell>
          <cell r="H1697">
            <v>16859.830687775298</v>
          </cell>
          <cell r="I1697">
            <v>185458.1375655283</v>
          </cell>
        </row>
        <row r="1698">
          <cell r="C1698">
            <v>933805365</v>
          </cell>
          <cell r="F1698">
            <v>260601</v>
          </cell>
          <cell r="G1698">
            <v>92935.593759805139</v>
          </cell>
          <cell r="H1698">
            <v>16766.540624019486</v>
          </cell>
          <cell r="I1698">
            <v>184431.94686421435</v>
          </cell>
        </row>
        <row r="1699">
          <cell r="C1699">
            <v>933805331</v>
          </cell>
          <cell r="F1699">
            <v>684391</v>
          </cell>
          <cell r="G1699">
            <v>244067.68949031964</v>
          </cell>
          <cell r="H1699">
            <v>44032.331050968038</v>
          </cell>
          <cell r="I1699">
            <v>484355.64156064839</v>
          </cell>
        </row>
        <row r="1700">
          <cell r="C1700">
            <v>933805177</v>
          </cell>
          <cell r="F1700">
            <v>254822</v>
          </cell>
          <cell r="G1700">
            <v>90874.685335286747</v>
          </cell>
          <cell r="H1700">
            <v>16394.731466471323</v>
          </cell>
          <cell r="I1700">
            <v>180342.04613118459</v>
          </cell>
        </row>
        <row r="1701">
          <cell r="C1701">
            <v>933805283</v>
          </cell>
          <cell r="F1701">
            <v>137665</v>
          </cell>
          <cell r="G1701">
            <v>49094.126710732395</v>
          </cell>
          <cell r="H1701">
            <v>8857.0873289267602</v>
          </cell>
          <cell r="I1701">
            <v>97427.960618194367</v>
          </cell>
        </row>
        <row r="1702">
          <cell r="C1702">
            <v>933805298</v>
          </cell>
          <cell r="F1702">
            <v>409176.64</v>
          </cell>
          <cell r="G1702">
            <v>145920.67563456023</v>
          </cell>
          <cell r="H1702">
            <v>26325.596436543976</v>
          </cell>
          <cell r="I1702">
            <v>289581.56080198375</v>
          </cell>
        </row>
        <row r="1703">
          <cell r="C1703">
            <v>933805328</v>
          </cell>
          <cell r="F1703">
            <v>353039</v>
          </cell>
          <cell r="G1703">
            <v>125900.85642560023</v>
          </cell>
          <cell r="H1703">
            <v>22713.814357439976</v>
          </cell>
          <cell r="I1703">
            <v>249851.95793183974</v>
          </cell>
        </row>
        <row r="1704">
          <cell r="C1704">
            <v>933805309</v>
          </cell>
          <cell r="F1704">
            <v>141465</v>
          </cell>
          <cell r="G1704">
            <v>50449.283660580091</v>
          </cell>
          <cell r="H1704">
            <v>9101.5716339419923</v>
          </cell>
          <cell r="I1704">
            <v>100117.2879733619</v>
          </cell>
        </row>
        <row r="1705">
          <cell r="C1705">
            <v>933805266</v>
          </cell>
          <cell r="F1705">
            <v>264246</v>
          </cell>
          <cell r="G1705">
            <v>94235.474570909035</v>
          </cell>
          <cell r="H1705">
            <v>17001.052542909096</v>
          </cell>
          <cell r="I1705">
            <v>187011.57797200006</v>
          </cell>
        </row>
        <row r="1706">
          <cell r="C1706">
            <v>933805334</v>
          </cell>
          <cell r="F1706">
            <v>313308</v>
          </cell>
          <cell r="G1706">
            <v>111731.97727444264</v>
          </cell>
          <cell r="H1706">
            <v>20157.602272555734</v>
          </cell>
          <cell r="I1706">
            <v>221733.62499811308</v>
          </cell>
        </row>
        <row r="1707">
          <cell r="C1707">
            <v>933805330</v>
          </cell>
          <cell r="F1707">
            <v>567343</v>
          </cell>
          <cell r="G1707">
            <v>202326.00247301094</v>
          </cell>
          <cell r="H1707">
            <v>36501.699752698907</v>
          </cell>
          <cell r="I1707">
            <v>401518.69727968797</v>
          </cell>
        </row>
        <row r="1708">
          <cell r="C1708">
            <v>933806649</v>
          </cell>
          <cell r="F1708">
            <v>162443</v>
          </cell>
          <cell r="G1708">
            <v>57930.463264239297</v>
          </cell>
          <cell r="H1708">
            <v>10451.25367357607</v>
          </cell>
          <cell r="I1708">
            <v>114963.79040933677</v>
          </cell>
        </row>
        <row r="1709">
          <cell r="C1709">
            <v>933806024</v>
          </cell>
          <cell r="F1709">
            <v>235699</v>
          </cell>
          <cell r="G1709">
            <v>84055.036295303202</v>
          </cell>
          <cell r="H1709">
            <v>15164.396370469682</v>
          </cell>
          <cell r="I1709">
            <v>166808.36007516648</v>
          </cell>
        </row>
        <row r="1710">
          <cell r="C1710">
            <v>933805327</v>
          </cell>
          <cell r="F1710">
            <v>627888</v>
          </cell>
          <cell r="G1710">
            <v>223917.57550683431</v>
          </cell>
          <cell r="H1710">
            <v>40397.04244931657</v>
          </cell>
          <cell r="I1710">
            <v>444367.46694248228</v>
          </cell>
        </row>
        <row r="1711">
          <cell r="C1711">
            <v>938508148</v>
          </cell>
          <cell r="F1711">
            <v>364752</v>
          </cell>
          <cell r="G1711">
            <v>130077.94941338076</v>
          </cell>
          <cell r="H1711">
            <v>23467.405058661923</v>
          </cell>
          <cell r="I1711">
            <v>258141.45564528115</v>
          </cell>
        </row>
        <row r="1712">
          <cell r="C1712">
            <v>938508160</v>
          </cell>
          <cell r="F1712">
            <v>636981</v>
          </cell>
          <cell r="G1712">
            <v>227160.32343971982</v>
          </cell>
          <cell r="H1712">
            <v>40982.067656028012</v>
          </cell>
          <cell r="I1712">
            <v>450802.74421630817</v>
          </cell>
        </row>
        <row r="1713">
          <cell r="C1713">
            <v>938508166</v>
          </cell>
          <cell r="F1713">
            <v>583409</v>
          </cell>
          <cell r="G1713">
            <v>208055.46340886701</v>
          </cell>
          <cell r="H1713">
            <v>37535.353659113302</v>
          </cell>
          <cell r="I1713">
            <v>412888.89025024627</v>
          </cell>
        </row>
        <row r="1714">
          <cell r="C1714">
            <v>938805035</v>
          </cell>
          <cell r="F1714">
            <v>364896</v>
          </cell>
          <cell r="G1714">
            <v>130129.30272937501</v>
          </cell>
          <cell r="H1714">
            <v>23476.669727062501</v>
          </cell>
          <cell r="I1714">
            <v>258243.3669976875</v>
          </cell>
        </row>
        <row r="1715">
          <cell r="C1715">
            <v>938805186</v>
          </cell>
          <cell r="F1715">
            <v>263742</v>
          </cell>
          <cell r="G1715">
            <v>94055.737964929242</v>
          </cell>
          <cell r="H1715">
            <v>16968.626203507072</v>
          </cell>
          <cell r="I1715">
            <v>186654.88823857781</v>
          </cell>
        </row>
        <row r="1716">
          <cell r="C1716">
            <v>933805616</v>
          </cell>
          <cell r="F1716">
            <v>213198</v>
          </cell>
          <cell r="G1716">
            <v>76030.724050955047</v>
          </cell>
          <cell r="H1716">
            <v>13716.727594904496</v>
          </cell>
          <cell r="I1716">
            <v>150884.00354394945</v>
          </cell>
        </row>
        <row r="1717">
          <cell r="C1717">
            <v>933806941</v>
          </cell>
          <cell r="F1717">
            <v>584341.64</v>
          </cell>
          <cell r="G1717">
            <v>208388.06171878963</v>
          </cell>
          <cell r="H1717">
            <v>37595.357828121036</v>
          </cell>
          <cell r="I1717">
            <v>413548.93610933144</v>
          </cell>
        </row>
        <row r="1718">
          <cell r="C1718">
            <v>933806458</v>
          </cell>
          <cell r="F1718">
            <v>147835</v>
          </cell>
          <cell r="G1718">
            <v>52720.954652824788</v>
          </cell>
          <cell r="H1718">
            <v>9511.4045347175215</v>
          </cell>
          <cell r="I1718">
            <v>104625.44988189274</v>
          </cell>
        </row>
        <row r="1719">
          <cell r="C1719">
            <v>933806905</v>
          </cell>
          <cell r="F1719">
            <v>359246</v>
          </cell>
          <cell r="G1719">
            <v>128114.39831710144</v>
          </cell>
          <cell r="H1719">
            <v>23113.160168289854</v>
          </cell>
          <cell r="I1719">
            <v>254244.76185118841</v>
          </cell>
        </row>
        <row r="1720">
          <cell r="C1720">
            <v>933805204</v>
          </cell>
          <cell r="F1720">
            <v>297538</v>
          </cell>
          <cell r="G1720">
            <v>106108.07593257469</v>
          </cell>
          <cell r="H1720">
            <v>19142.992406742531</v>
          </cell>
          <cell r="I1720">
            <v>210572.91647416784</v>
          </cell>
        </row>
        <row r="1721">
          <cell r="C1721">
            <v>933805137</v>
          </cell>
          <cell r="F1721">
            <v>288460</v>
          </cell>
          <cell r="G1721">
            <v>102870.67730343854</v>
          </cell>
          <cell r="H1721">
            <v>18558.932269656147</v>
          </cell>
          <cell r="I1721">
            <v>204148.25496621762</v>
          </cell>
        </row>
        <row r="1722">
          <cell r="C1722">
            <v>933805186</v>
          </cell>
          <cell r="F1722">
            <v>568512</v>
          </cell>
          <cell r="G1722">
            <v>202742.89154521408</v>
          </cell>
          <cell r="H1722">
            <v>36576.910845478589</v>
          </cell>
          <cell r="I1722">
            <v>402346.01930026448</v>
          </cell>
        </row>
        <row r="1723">
          <cell r="C1723">
            <v>933805133</v>
          </cell>
          <cell r="F1723">
            <v>181389</v>
          </cell>
          <cell r="G1723">
            <v>64686.99051997994</v>
          </cell>
          <cell r="H1723">
            <v>11670.200948002006</v>
          </cell>
          <cell r="I1723">
            <v>128372.21042802207</v>
          </cell>
        </row>
        <row r="1724">
          <cell r="C1724">
            <v>933805222</v>
          </cell>
          <cell r="F1724">
            <v>272965</v>
          </cell>
          <cell r="G1724">
            <v>97344.846530309587</v>
          </cell>
          <cell r="H1724">
            <v>17562.015346969041</v>
          </cell>
          <cell r="I1724">
            <v>193182.16881665945</v>
          </cell>
        </row>
        <row r="1725">
          <cell r="C1725">
            <v>933806746</v>
          </cell>
          <cell r="F1725">
            <v>220892</v>
          </cell>
          <cell r="G1725">
            <v>78774.560254146665</v>
          </cell>
          <cell r="H1725">
            <v>14211.743974585333</v>
          </cell>
          <cell r="I1725">
            <v>156329.18372043868</v>
          </cell>
        </row>
        <row r="1726">
          <cell r="C1726">
            <v>933805153</v>
          </cell>
          <cell r="F1726">
            <v>345345</v>
          </cell>
          <cell r="G1726">
            <v>123157.02022240861</v>
          </cell>
          <cell r="H1726">
            <v>22218.797977759139</v>
          </cell>
          <cell r="I1726">
            <v>244406.77775535051</v>
          </cell>
        </row>
        <row r="1727">
          <cell r="C1727">
            <v>933805865</v>
          </cell>
          <cell r="F1727">
            <v>281401</v>
          </cell>
          <cell r="G1727">
            <v>100353.29495897147</v>
          </cell>
          <cell r="H1727">
            <v>18104.770504102853</v>
          </cell>
          <cell r="I1727">
            <v>199152.47554513137</v>
          </cell>
        </row>
        <row r="1728">
          <cell r="C1728">
            <v>938805137</v>
          </cell>
          <cell r="F1728">
            <v>193984</v>
          </cell>
          <cell r="G1728">
            <v>69178.622568225139</v>
          </cell>
          <cell r="H1728">
            <v>12480.537743177487</v>
          </cell>
          <cell r="I1728">
            <v>137285.91517495236</v>
          </cell>
        </row>
        <row r="1729">
          <cell r="C1729">
            <v>938805163</v>
          </cell>
          <cell r="F1729">
            <v>670214</v>
          </cell>
          <cell r="G1729">
            <v>239011.88420663789</v>
          </cell>
          <cell r="H1729">
            <v>43120.211579336217</v>
          </cell>
          <cell r="I1729">
            <v>474322.32737269835</v>
          </cell>
        </row>
        <row r="1730">
          <cell r="C1730">
            <v>938805025</v>
          </cell>
          <cell r="F1730">
            <v>259623</v>
          </cell>
          <cell r="G1730">
            <v>92586.819155344332</v>
          </cell>
          <cell r="H1730">
            <v>16703.618084465568</v>
          </cell>
          <cell r="I1730">
            <v>183739.79892912123</v>
          </cell>
        </row>
        <row r="1731">
          <cell r="C1731">
            <v>938805102</v>
          </cell>
          <cell r="F1731">
            <v>139408.64000000001</v>
          </cell>
          <cell r="G1731">
            <v>49715.944043372518</v>
          </cell>
          <cell r="H1731">
            <v>8969.2695956627485</v>
          </cell>
          <cell r="I1731">
            <v>98661.965552290232</v>
          </cell>
        </row>
        <row r="1732">
          <cell r="C1732">
            <v>938805127</v>
          </cell>
          <cell r="F1732">
            <v>356266</v>
          </cell>
          <cell r="G1732">
            <v>127051.66997222087</v>
          </cell>
          <cell r="H1732">
            <v>22921.433002777914</v>
          </cell>
          <cell r="I1732">
            <v>252135.76303055705</v>
          </cell>
        </row>
        <row r="1733">
          <cell r="C1733">
            <v>938805184</v>
          </cell>
          <cell r="F1733">
            <v>652784</v>
          </cell>
          <cell r="G1733">
            <v>232795.99324983644</v>
          </cell>
          <cell r="H1733">
            <v>41998.800675016355</v>
          </cell>
          <cell r="I1733">
            <v>461986.80742517993</v>
          </cell>
        </row>
        <row r="1734">
          <cell r="C1734">
            <v>938805165</v>
          </cell>
          <cell r="F1734">
            <v>102272</v>
          </cell>
          <cell r="G1734">
            <v>36472.266203900945</v>
          </cell>
          <cell r="H1734">
            <v>6579.9733796099063</v>
          </cell>
          <cell r="I1734">
            <v>72379.707175708958</v>
          </cell>
        </row>
        <row r="1735">
          <cell r="C1735">
            <v>938805233</v>
          </cell>
          <cell r="F1735">
            <v>217490</v>
          </cell>
          <cell r="G1735">
            <v>77561.338163783017</v>
          </cell>
          <cell r="H1735">
            <v>13992.866183621698</v>
          </cell>
          <cell r="I1735">
            <v>153921.52801983868</v>
          </cell>
        </row>
        <row r="1736">
          <cell r="C1736">
            <v>938805110</v>
          </cell>
          <cell r="F1736">
            <v>411257</v>
          </cell>
          <cell r="G1736">
            <v>146662.57413776685</v>
          </cell>
          <cell r="H1736">
            <v>26459.442586223315</v>
          </cell>
          <cell r="I1736">
            <v>291053.86844845646</v>
          </cell>
        </row>
        <row r="1737">
          <cell r="C1737">
            <v>938805181</v>
          </cell>
          <cell r="F1737">
            <v>404519</v>
          </cell>
          <cell r="G1737">
            <v>144259.66689353689</v>
          </cell>
          <cell r="H1737">
            <v>26025.933310646313</v>
          </cell>
          <cell r="I1737">
            <v>286285.26641710941</v>
          </cell>
        </row>
        <row r="1738">
          <cell r="C1738">
            <v>938805147</v>
          </cell>
          <cell r="F1738">
            <v>385316</v>
          </cell>
          <cell r="G1738">
            <v>137411.48823355656</v>
          </cell>
          <cell r="H1738">
            <v>24790.451176644347</v>
          </cell>
          <cell r="I1738">
            <v>272694.9629430878</v>
          </cell>
        </row>
        <row r="1739">
          <cell r="C1739">
            <v>938805239</v>
          </cell>
          <cell r="F1739">
            <v>351739</v>
          </cell>
          <cell r="G1739">
            <v>125437.25010065234</v>
          </cell>
          <cell r="H1739">
            <v>22630.174989934767</v>
          </cell>
          <cell r="I1739">
            <v>248931.92488928244</v>
          </cell>
        </row>
        <row r="1740">
          <cell r="C1740">
            <v>938805387</v>
          </cell>
          <cell r="F1740">
            <v>397469</v>
          </cell>
          <cell r="G1740">
            <v>141745.49413131946</v>
          </cell>
          <cell r="H1740">
            <v>25572.350586868055</v>
          </cell>
          <cell r="I1740">
            <v>281295.85645554861</v>
          </cell>
        </row>
        <row r="1741">
          <cell r="C1741">
            <v>938805362</v>
          </cell>
          <cell r="F1741">
            <v>221696</v>
          </cell>
          <cell r="G1741">
            <v>79061.282935114432</v>
          </cell>
          <cell r="H1741">
            <v>14263.471706488555</v>
          </cell>
          <cell r="I1741">
            <v>156898.18877137412</v>
          </cell>
        </row>
        <row r="1742">
          <cell r="C1742">
            <v>938805166</v>
          </cell>
          <cell r="F1742">
            <v>197233</v>
          </cell>
          <cell r="G1742">
            <v>70337.281760344922</v>
          </cell>
          <cell r="H1742">
            <v>12689.571823965507</v>
          </cell>
          <cell r="I1742">
            <v>139585.29006362057</v>
          </cell>
        </row>
        <row r="1743">
          <cell r="C1743">
            <v>938805340</v>
          </cell>
          <cell r="F1743">
            <v>447268</v>
          </cell>
          <cell r="G1743">
            <v>159504.82595907353</v>
          </cell>
          <cell r="H1743">
            <v>28776.317404092653</v>
          </cell>
          <cell r="I1743">
            <v>316539.49144501914</v>
          </cell>
        </row>
        <row r="1744">
          <cell r="C1744">
            <v>938805342</v>
          </cell>
          <cell r="F1744">
            <v>345656</v>
          </cell>
          <cell r="G1744">
            <v>123267.92912014613</v>
          </cell>
          <cell r="H1744">
            <v>22238.807087985384</v>
          </cell>
          <cell r="I1744">
            <v>244626.87796783925</v>
          </cell>
        </row>
        <row r="1745">
          <cell r="C1745">
            <v>938806113</v>
          </cell>
          <cell r="F1745">
            <v>181875</v>
          </cell>
          <cell r="G1745">
            <v>64860.307961460458</v>
          </cell>
          <cell r="H1745">
            <v>11701.469203853954</v>
          </cell>
          <cell r="I1745">
            <v>128716.16124239349</v>
          </cell>
        </row>
        <row r="1746">
          <cell r="C1746">
            <v>938805116</v>
          </cell>
          <cell r="F1746">
            <v>830963.27</v>
          </cell>
          <cell r="G1746">
            <v>296338.32905491255</v>
          </cell>
          <cell r="H1746">
            <v>53462.494094508744</v>
          </cell>
          <cell r="I1746">
            <v>588087.43503959617</v>
          </cell>
        </row>
        <row r="1747">
          <cell r="C1747">
            <v>938805368</v>
          </cell>
          <cell r="F1747">
            <v>748473.64</v>
          </cell>
          <cell r="G1747">
            <v>266920.85658521124</v>
          </cell>
          <cell r="H1747">
            <v>48155.278341478872</v>
          </cell>
          <cell r="I1747">
            <v>529708.06175626768</v>
          </cell>
        </row>
        <row r="1748">
          <cell r="C1748">
            <v>938805308</v>
          </cell>
          <cell r="F1748">
            <v>346324</v>
          </cell>
          <cell r="G1748">
            <v>123506.15144711937</v>
          </cell>
          <cell r="H1748">
            <v>22281.78485528806</v>
          </cell>
          <cell r="I1748">
            <v>245099.63340816868</v>
          </cell>
        </row>
        <row r="1749">
          <cell r="C1749">
            <v>938807295</v>
          </cell>
          <cell r="F1749">
            <v>175747</v>
          </cell>
          <cell r="G1749">
            <v>62674.939069706073</v>
          </cell>
          <cell r="H1749">
            <v>11307.206093029394</v>
          </cell>
          <cell r="I1749">
            <v>124379.26702332332</v>
          </cell>
        </row>
        <row r="1750">
          <cell r="C1750">
            <v>938845329</v>
          </cell>
          <cell r="F1750">
            <v>676016</v>
          </cell>
          <cell r="G1750">
            <v>241080.99489690535</v>
          </cell>
          <cell r="H1750">
            <v>43493.500510309459</v>
          </cell>
          <cell r="I1750">
            <v>478428.50561340409</v>
          </cell>
        </row>
        <row r="1751">
          <cell r="C1751">
            <v>933806093</v>
          </cell>
          <cell r="F1751">
            <v>656704</v>
          </cell>
          <cell r="G1751">
            <v>234193.94462967938</v>
          </cell>
          <cell r="H1751">
            <v>42251.005537032062</v>
          </cell>
          <cell r="I1751">
            <v>464761.06090735272</v>
          </cell>
        </row>
        <row r="1752">
          <cell r="C1752">
            <v>938806276</v>
          </cell>
          <cell r="F1752">
            <v>462888</v>
          </cell>
          <cell r="G1752">
            <v>165075.23426344749</v>
          </cell>
          <cell r="H1752">
            <v>29781.27657365525</v>
          </cell>
          <cell r="I1752">
            <v>327594.04231020779</v>
          </cell>
        </row>
        <row r="1753">
          <cell r="C1753">
            <v>933806624</v>
          </cell>
          <cell r="F1753">
            <v>736307</v>
          </cell>
          <cell r="G1753">
            <v>262581.98638723884</v>
          </cell>
          <cell r="H1753">
            <v>47372.501361276118</v>
          </cell>
          <cell r="I1753">
            <v>521097.5149740373</v>
          </cell>
        </row>
        <row r="1754">
          <cell r="C1754">
            <v>938807619</v>
          </cell>
          <cell r="F1754">
            <v>1224762.55</v>
          </cell>
          <cell r="G1754">
            <v>436775.12672254909</v>
          </cell>
          <cell r="H1754">
            <v>78798.742327745087</v>
          </cell>
          <cell r="I1754">
            <v>866786.16560519603</v>
          </cell>
        </row>
        <row r="1755">
          <cell r="C1755">
            <v>938807621</v>
          </cell>
          <cell r="F1755">
            <v>137129</v>
          </cell>
          <cell r="G1755">
            <v>48902.978256753879</v>
          </cell>
          <cell r="H1755">
            <v>8822.6021743246129</v>
          </cell>
          <cell r="I1755">
            <v>97048.623917570731</v>
          </cell>
        </row>
        <row r="1756">
          <cell r="C1756">
            <v>938806552</v>
          </cell>
          <cell r="F1756">
            <v>298397</v>
          </cell>
          <cell r="G1756">
            <v>106414.41272729027</v>
          </cell>
          <cell r="H1756">
            <v>19198.258727270972</v>
          </cell>
          <cell r="I1756">
            <v>211180.84599998069</v>
          </cell>
        </row>
        <row r="1757">
          <cell r="C1757">
            <v>938805175</v>
          </cell>
          <cell r="F1757">
            <v>181721.64</v>
          </cell>
          <cell r="G1757">
            <v>64805.616679926607</v>
          </cell>
          <cell r="H1757">
            <v>11691.60233200734</v>
          </cell>
          <cell r="I1757">
            <v>128607.62565208075</v>
          </cell>
        </row>
        <row r="1758">
          <cell r="C1758">
            <v>938805194</v>
          </cell>
          <cell r="F1758">
            <v>483160</v>
          </cell>
          <cell r="G1758">
            <v>172304.63997063498</v>
          </cell>
          <cell r="H1758">
            <v>31085.536002936504</v>
          </cell>
          <cell r="I1758">
            <v>341940.89603230153</v>
          </cell>
        </row>
        <row r="1759">
          <cell r="C1759">
            <v>938805361</v>
          </cell>
          <cell r="F1759">
            <v>344829</v>
          </cell>
          <cell r="G1759">
            <v>122973.00417342928</v>
          </cell>
          <cell r="H1759">
            <v>22185.599582657072</v>
          </cell>
          <cell r="I1759">
            <v>244041.5954092278</v>
          </cell>
        </row>
        <row r="1760">
          <cell r="C1760">
            <v>938805253</v>
          </cell>
          <cell r="F1760">
            <v>296802</v>
          </cell>
          <cell r="G1760">
            <v>105845.6034286042</v>
          </cell>
          <cell r="H1760">
            <v>19095.639657139582</v>
          </cell>
          <cell r="I1760">
            <v>210052.03622853538</v>
          </cell>
        </row>
        <row r="1761">
          <cell r="C1761">
            <v>938806048</v>
          </cell>
          <cell r="F1761">
            <v>281402</v>
          </cell>
          <cell r="G1761">
            <v>100353.65157922142</v>
          </cell>
          <cell r="H1761">
            <v>18104.834842077857</v>
          </cell>
          <cell r="I1761">
            <v>199153.18326285644</v>
          </cell>
        </row>
        <row r="1762">
          <cell r="C1762">
            <v>938809121</v>
          </cell>
          <cell r="F1762">
            <v>155347</v>
          </cell>
          <cell r="G1762">
            <v>55399.885970523705</v>
          </cell>
          <cell r="H1762">
            <v>9994.7114029476306</v>
          </cell>
          <cell r="I1762">
            <v>109941.82543242394</v>
          </cell>
        </row>
        <row r="1763">
          <cell r="C1763">
            <v>938809277</v>
          </cell>
          <cell r="F1763">
            <v>462592</v>
          </cell>
          <cell r="G1763">
            <v>164969.67466945935</v>
          </cell>
          <cell r="H1763">
            <v>29762.232533054063</v>
          </cell>
          <cell r="I1763">
            <v>327384.55786359473</v>
          </cell>
        </row>
        <row r="1764">
          <cell r="C1764">
            <v>933806231</v>
          </cell>
          <cell r="F1764">
            <v>602846</v>
          </cell>
          <cell r="G1764">
            <v>214987.09120733797</v>
          </cell>
          <cell r="H1764">
            <v>38785.890879266204</v>
          </cell>
          <cell r="I1764">
            <v>426644.79967192822</v>
          </cell>
        </row>
        <row r="1765">
          <cell r="C1765">
            <v>938808248</v>
          </cell>
          <cell r="F1765">
            <v>430087</v>
          </cell>
          <cell r="G1765">
            <v>153377.73344451212</v>
          </cell>
          <cell r="H1765">
            <v>27670.926655548788</v>
          </cell>
          <cell r="I1765">
            <v>304380.19321103668</v>
          </cell>
        </row>
        <row r="1766">
          <cell r="C1766">
            <v>938808362</v>
          </cell>
          <cell r="F1766">
            <v>414425</v>
          </cell>
          <cell r="G1766">
            <v>147792.34708963986</v>
          </cell>
          <cell r="H1766">
            <v>26663.265291036012</v>
          </cell>
          <cell r="I1766">
            <v>293295.91820139613</v>
          </cell>
        </row>
        <row r="1767">
          <cell r="C1767">
            <v>938807055</v>
          </cell>
          <cell r="F1767">
            <v>226049</v>
          </cell>
          <cell r="G1767">
            <v>80613.65088318997</v>
          </cell>
          <cell r="H1767">
            <v>14543.534911681001</v>
          </cell>
          <cell r="I1767">
            <v>159978.88402849101</v>
          </cell>
        </row>
        <row r="1768">
          <cell r="C1768">
            <v>938807957</v>
          </cell>
          <cell r="F1768">
            <v>386086</v>
          </cell>
          <cell r="G1768">
            <v>137686.08582602569</v>
          </cell>
          <cell r="H1768">
            <v>24839.991417397428</v>
          </cell>
          <cell r="I1768">
            <v>273239.90559137176</v>
          </cell>
        </row>
        <row r="1769">
          <cell r="C1769">
            <v>938809727</v>
          </cell>
          <cell r="F1769">
            <v>387552</v>
          </cell>
          <cell r="G1769">
            <v>138208.89111246695</v>
          </cell>
          <cell r="H1769">
            <v>24934.310888753305</v>
          </cell>
          <cell r="I1769">
            <v>274277.41977628635</v>
          </cell>
        </row>
        <row r="1770">
          <cell r="C1770">
            <v>938807242</v>
          </cell>
          <cell r="F1770">
            <v>44545</v>
          </cell>
          <cell r="G1770">
            <v>15885.649034464639</v>
          </cell>
          <cell r="H1770">
            <v>2865.9350965535359</v>
          </cell>
          <cell r="I1770">
            <v>31525.286062088897</v>
          </cell>
        </row>
        <row r="1771">
          <cell r="C1771">
            <v>938807010</v>
          </cell>
          <cell r="F1771">
            <v>336027</v>
          </cell>
          <cell r="G1771">
            <v>119834.03273328207</v>
          </cell>
          <cell r="H1771">
            <v>21619.296726671793</v>
          </cell>
          <cell r="I1771">
            <v>237812.26399338973</v>
          </cell>
        </row>
        <row r="1772">
          <cell r="C1772">
            <v>938808247</v>
          </cell>
          <cell r="F1772">
            <v>61094</v>
          </cell>
          <cell r="G1772">
            <v>21787.357551051358</v>
          </cell>
          <cell r="H1772">
            <v>3930.6642448948637</v>
          </cell>
          <cell r="I1772">
            <v>43237.3066938435</v>
          </cell>
        </row>
        <row r="1773">
          <cell r="C1773">
            <v>938808410</v>
          </cell>
          <cell r="F1773">
            <v>114901</v>
          </cell>
          <cell r="G1773">
            <v>40976.023340644781</v>
          </cell>
          <cell r="H1773">
            <v>7392.4976659355216</v>
          </cell>
          <cell r="I1773">
            <v>81317.474325290736</v>
          </cell>
        </row>
        <row r="1774">
          <cell r="C1774">
            <v>938809045</v>
          </cell>
          <cell r="F1774">
            <v>343371</v>
          </cell>
          <cell r="G1774">
            <v>122453.05184898773</v>
          </cell>
          <cell r="H1774">
            <v>22091.794815101228</v>
          </cell>
          <cell r="I1774">
            <v>243009.7429661135</v>
          </cell>
        </row>
        <row r="1775">
          <cell r="C1775">
            <v>938808243</v>
          </cell>
          <cell r="F1775">
            <v>235360</v>
          </cell>
          <cell r="G1775">
            <v>83934.142030566785</v>
          </cell>
          <cell r="H1775">
            <v>15142.58579694332</v>
          </cell>
          <cell r="I1775">
            <v>166568.44376637653</v>
          </cell>
        </row>
        <row r="1776">
          <cell r="C1776">
            <v>938806241</v>
          </cell>
          <cell r="F1776">
            <v>125490</v>
          </cell>
          <cell r="G1776">
            <v>44752.275167470369</v>
          </cell>
          <cell r="H1776">
            <v>8073.7724832529648</v>
          </cell>
          <cell r="I1776">
            <v>88811.497315782603</v>
          </cell>
        </row>
        <row r="1777">
          <cell r="C1777">
            <v>933806636</v>
          </cell>
          <cell r="F1777">
            <v>250811</v>
          </cell>
          <cell r="G1777">
            <v>89444.281512697518</v>
          </cell>
          <cell r="H1777">
            <v>16136.67184873025</v>
          </cell>
          <cell r="I1777">
            <v>177503.39033603272</v>
          </cell>
        </row>
        <row r="1778">
          <cell r="C1778">
            <v>938806173</v>
          </cell>
          <cell r="F1778">
            <v>56375</v>
          </cell>
          <cell r="G1778">
            <v>20104.466591490494</v>
          </cell>
          <cell r="H1778">
            <v>3627.0533408509509</v>
          </cell>
          <cell r="I1778">
            <v>39897.58674936046</v>
          </cell>
        </row>
        <row r="1779">
          <cell r="C1779">
            <v>938806223</v>
          </cell>
          <cell r="F1779">
            <v>123649</v>
          </cell>
          <cell r="G1779">
            <v>44095.737287294156</v>
          </cell>
          <cell r="H1779">
            <v>7955.3262712705855</v>
          </cell>
          <cell r="I1779">
            <v>87508.588983976442</v>
          </cell>
        </row>
        <row r="1780">
          <cell r="C1780">
            <v>933805983</v>
          </cell>
          <cell r="F1780">
            <v>218732</v>
          </cell>
          <cell r="G1780">
            <v>78004.260514233232</v>
          </cell>
          <cell r="H1780">
            <v>14072.773948576676</v>
          </cell>
          <cell r="I1780">
            <v>154800.51343434345</v>
          </cell>
        </row>
        <row r="1781">
          <cell r="C1781">
            <v>933806256</v>
          </cell>
          <cell r="F1781">
            <v>281013</v>
          </cell>
          <cell r="G1781">
            <v>100214.92630198701</v>
          </cell>
          <cell r="H1781">
            <v>18079.807369801296</v>
          </cell>
          <cell r="I1781">
            <v>198877.88106781428</v>
          </cell>
        </row>
        <row r="1782">
          <cell r="C1782">
            <v>938806196</v>
          </cell>
          <cell r="F1782">
            <v>409965</v>
          </cell>
          <cell r="G1782">
            <v>146201.82077481863</v>
          </cell>
          <cell r="H1782">
            <v>26376.317922518134</v>
          </cell>
          <cell r="I1782">
            <v>290139.49714769947</v>
          </cell>
        </row>
        <row r="1783">
          <cell r="C1783">
            <v>938806082</v>
          </cell>
          <cell r="F1783">
            <v>448135</v>
          </cell>
          <cell r="G1783">
            <v>159814.01571578876</v>
          </cell>
          <cell r="H1783">
            <v>28832.098428421123</v>
          </cell>
          <cell r="I1783">
            <v>317153.08271263237</v>
          </cell>
        </row>
        <row r="1784">
          <cell r="C1784">
            <v>938806165</v>
          </cell>
          <cell r="F1784">
            <v>200699</v>
          </cell>
          <cell r="G1784">
            <v>71573.327546706001</v>
          </cell>
          <cell r="H1784">
            <v>12912.567245329399</v>
          </cell>
          <cell r="I1784">
            <v>142038.23969862339</v>
          </cell>
        </row>
        <row r="1785">
          <cell r="C1785">
            <v>938806736</v>
          </cell>
          <cell r="F1785">
            <v>448319.64</v>
          </cell>
          <cell r="G1785">
            <v>159879.86207874137</v>
          </cell>
          <cell r="H1785">
            <v>28843.977792125865</v>
          </cell>
          <cell r="I1785">
            <v>317283.75571338448</v>
          </cell>
        </row>
        <row r="1786">
          <cell r="C1786">
            <v>938806810</v>
          </cell>
          <cell r="F1786">
            <v>712996</v>
          </cell>
          <cell r="G1786">
            <v>254268.81174042315</v>
          </cell>
          <cell r="H1786">
            <v>45872.71882595768</v>
          </cell>
          <cell r="I1786">
            <v>504599.90708553453</v>
          </cell>
        </row>
        <row r="1787">
          <cell r="C1787">
            <v>938805395</v>
          </cell>
          <cell r="F1787">
            <v>202681</v>
          </cell>
          <cell r="G1787">
            <v>72280.148882126567</v>
          </cell>
          <cell r="H1787">
            <v>13040.085111787343</v>
          </cell>
          <cell r="I1787">
            <v>143440.93622966079</v>
          </cell>
        </row>
        <row r="1788">
          <cell r="C1788">
            <v>938805397</v>
          </cell>
          <cell r="F1788">
            <v>106726</v>
          </cell>
          <cell r="G1788">
            <v>38060.652797222428</v>
          </cell>
          <cell r="H1788">
            <v>6866.5347202777575</v>
          </cell>
          <cell r="I1788">
            <v>75531.881923055334</v>
          </cell>
        </row>
        <row r="1789">
          <cell r="C1789">
            <v>938805421</v>
          </cell>
          <cell r="F1789">
            <v>188786</v>
          </cell>
          <cell r="G1789">
            <v>67324.910508933477</v>
          </cell>
          <cell r="H1789">
            <v>12146.108949106652</v>
          </cell>
          <cell r="I1789">
            <v>133607.19844017318</v>
          </cell>
        </row>
        <row r="1790">
          <cell r="C1790">
            <v>938807624</v>
          </cell>
          <cell r="F1790">
            <v>161781</v>
          </cell>
          <cell r="G1790">
            <v>57694.380658765833</v>
          </cell>
          <cell r="H1790">
            <v>10408.661934123416</v>
          </cell>
          <cell r="I1790">
            <v>114495.28127535759</v>
          </cell>
        </row>
        <row r="1791">
          <cell r="C1791">
            <v>938807923</v>
          </cell>
          <cell r="F1791">
            <v>326428</v>
          </cell>
          <cell r="G1791">
            <v>116410.83495391678</v>
          </cell>
          <cell r="H1791">
            <v>21001.716504608325</v>
          </cell>
          <cell r="I1791">
            <v>231018.88155069156</v>
          </cell>
        </row>
        <row r="1792">
          <cell r="C1792">
            <v>938807915</v>
          </cell>
          <cell r="F1792">
            <v>332599</v>
          </cell>
          <cell r="G1792">
            <v>118611.53851641946</v>
          </cell>
          <cell r="H1792">
            <v>21398.746148358052</v>
          </cell>
          <cell r="I1792">
            <v>235386.20763193857</v>
          </cell>
        </row>
        <row r="1793">
          <cell r="C1793">
            <v>938807637</v>
          </cell>
          <cell r="F1793">
            <v>154727</v>
          </cell>
          <cell r="G1793">
            <v>55178.781415548547</v>
          </cell>
          <cell r="H1793">
            <v>9954.8218584451461</v>
          </cell>
          <cell r="I1793">
            <v>109503.0404428966</v>
          </cell>
        </row>
        <row r="1794">
          <cell r="C1794">
            <v>938807512</v>
          </cell>
          <cell r="F1794">
            <v>153746</v>
          </cell>
          <cell r="G1794">
            <v>54828.936950337869</v>
          </cell>
          <cell r="H1794">
            <v>9891.7063049662138</v>
          </cell>
          <cell r="I1794">
            <v>108808.76935462834</v>
          </cell>
        </row>
        <row r="1795">
          <cell r="C1795">
            <v>938807904</v>
          </cell>
          <cell r="F1795">
            <v>456007</v>
          </cell>
          <cell r="G1795">
            <v>162621.33032347326</v>
          </cell>
          <cell r="H1795">
            <v>29338.566967652674</v>
          </cell>
          <cell r="I1795">
            <v>322724.23664417944</v>
          </cell>
        </row>
        <row r="1796">
          <cell r="C1796">
            <v>938807024</v>
          </cell>
          <cell r="F1796">
            <v>44545</v>
          </cell>
          <cell r="G1796">
            <v>15885.649034464639</v>
          </cell>
          <cell r="H1796">
            <v>2865.9350965535359</v>
          </cell>
          <cell r="I1796">
            <v>31525.286062088897</v>
          </cell>
        </row>
        <row r="1797">
          <cell r="C1797">
            <v>938807043</v>
          </cell>
          <cell r="F1797">
            <v>253602</v>
          </cell>
          <cell r="G1797">
            <v>90439.608630335657</v>
          </cell>
          <cell r="H1797">
            <v>16316.239136966435</v>
          </cell>
          <cell r="I1797">
            <v>179478.63050663078</v>
          </cell>
        </row>
        <row r="1798">
          <cell r="C1798">
            <v>933806741</v>
          </cell>
          <cell r="F1798">
            <v>414049</v>
          </cell>
          <cell r="G1798">
            <v>147658.25787565496</v>
          </cell>
          <cell r="H1798">
            <v>26639.074212434505</v>
          </cell>
          <cell r="I1798">
            <v>293029.81633677956</v>
          </cell>
        </row>
        <row r="1799">
          <cell r="C1799">
            <v>933805916</v>
          </cell>
          <cell r="F1799">
            <v>223602.64</v>
          </cell>
          <cell r="G1799">
            <v>79741.229368498025</v>
          </cell>
          <cell r="H1799">
            <v>14386.1410631502</v>
          </cell>
          <cell r="I1799">
            <v>158247.55169465218</v>
          </cell>
        </row>
        <row r="1800">
          <cell r="C1800">
            <v>938806095</v>
          </cell>
          <cell r="F1800">
            <v>162733</v>
          </cell>
          <cell r="G1800">
            <v>58033.883136727665</v>
          </cell>
          <cell r="H1800">
            <v>10469.911686327232</v>
          </cell>
          <cell r="I1800">
            <v>115169.02854959956</v>
          </cell>
        </row>
        <row r="1801">
          <cell r="C1801">
            <v>938806976</v>
          </cell>
          <cell r="F1801">
            <v>114264</v>
          </cell>
          <cell r="G1801">
            <v>40748.856241420304</v>
          </cell>
          <cell r="H1801">
            <v>7351.5143758579688</v>
          </cell>
          <cell r="I1801">
            <v>80866.658134437661</v>
          </cell>
        </row>
        <row r="1802">
          <cell r="C1802">
            <v>938807124</v>
          </cell>
          <cell r="F1802">
            <v>264675</v>
          </cell>
          <cell r="G1802">
            <v>94388.464658141835</v>
          </cell>
          <cell r="H1802">
            <v>17028.653534185818</v>
          </cell>
          <cell r="I1802">
            <v>187315.18887604398</v>
          </cell>
        </row>
        <row r="1803">
          <cell r="C1803">
            <v>933806006</v>
          </cell>
          <cell r="F1803">
            <v>1014895</v>
          </cell>
          <cell r="G1803">
            <v>361932.10858307307</v>
          </cell>
          <cell r="H1803">
            <v>65296.289141692687</v>
          </cell>
          <cell r="I1803">
            <v>718259.18055861956</v>
          </cell>
        </row>
        <row r="1804">
          <cell r="C1804">
            <v>933805629</v>
          </cell>
          <cell r="F1804">
            <v>425691</v>
          </cell>
          <cell r="G1804">
            <v>151810.03082568836</v>
          </cell>
          <cell r="H1804">
            <v>27388.096917431158</v>
          </cell>
          <cell r="I1804">
            <v>301269.06609174277</v>
          </cell>
        </row>
        <row r="1805">
          <cell r="C1805">
            <v>938807313</v>
          </cell>
          <cell r="F1805">
            <v>183944</v>
          </cell>
          <cell r="G1805">
            <v>65598.155258627536</v>
          </cell>
          <cell r="H1805">
            <v>11834.584474137246</v>
          </cell>
          <cell r="I1805">
            <v>130180.42921550971</v>
          </cell>
        </row>
        <row r="1806">
          <cell r="C1806">
            <v>938807566</v>
          </cell>
          <cell r="F1806">
            <v>358186</v>
          </cell>
          <cell r="G1806">
            <v>127736.38085214394</v>
          </cell>
          <cell r="H1806">
            <v>23044.961914785606</v>
          </cell>
          <cell r="I1806">
            <v>253494.58106264169</v>
          </cell>
        </row>
        <row r="1807">
          <cell r="C1807">
            <v>933805198</v>
          </cell>
          <cell r="F1807">
            <v>246118</v>
          </cell>
          <cell r="G1807">
            <v>87770.662679635614</v>
          </cell>
          <cell r="H1807">
            <v>15834.733732036437</v>
          </cell>
          <cell r="I1807">
            <v>174182.0710524008</v>
          </cell>
        </row>
        <row r="1808">
          <cell r="C1808">
            <v>933806188</v>
          </cell>
          <cell r="F1808">
            <v>315403.64</v>
          </cell>
          <cell r="G1808">
            <v>112479.32493506865</v>
          </cell>
          <cell r="H1808">
            <v>20292.431506493132</v>
          </cell>
          <cell r="I1808">
            <v>223216.74657142448</v>
          </cell>
        </row>
        <row r="1809">
          <cell r="C1809">
            <v>938807425</v>
          </cell>
          <cell r="F1809">
            <v>118951</v>
          </cell>
          <cell r="G1809">
            <v>42420.335352982453</v>
          </cell>
          <cell r="H1809">
            <v>7653.0664647017547</v>
          </cell>
          <cell r="I1809">
            <v>84183.731111719302</v>
          </cell>
        </row>
        <row r="1810">
          <cell r="C1810">
            <v>933805302</v>
          </cell>
          <cell r="F1810">
            <v>300895.64</v>
          </cell>
          <cell r="G1810">
            <v>107305.47834865014</v>
          </cell>
          <cell r="H1810">
            <v>19359.016165134984</v>
          </cell>
          <cell r="I1810">
            <v>212949.17781648485</v>
          </cell>
        </row>
        <row r="1811">
          <cell r="C1811">
            <v>938807415</v>
          </cell>
          <cell r="F1811">
            <v>152802</v>
          </cell>
          <cell r="G1811">
            <v>54492.287434375707</v>
          </cell>
          <cell r="H1811">
            <v>9830.9712565624286</v>
          </cell>
          <cell r="I1811">
            <v>108140.68382218672</v>
          </cell>
        </row>
        <row r="1812">
          <cell r="C1812">
            <v>938807421</v>
          </cell>
          <cell r="F1812">
            <v>326804</v>
          </cell>
          <cell r="G1812">
            <v>116544.92416790171</v>
          </cell>
          <cell r="H1812">
            <v>21025.907583209832</v>
          </cell>
          <cell r="I1812">
            <v>231284.98341530812</v>
          </cell>
        </row>
        <row r="1813">
          <cell r="C1813">
            <v>938807628</v>
          </cell>
          <cell r="F1813">
            <v>265322</v>
          </cell>
          <cell r="G1813">
            <v>94619.197959865909</v>
          </cell>
          <cell r="H1813">
            <v>17070.280204013408</v>
          </cell>
          <cell r="I1813">
            <v>187773.08224414749</v>
          </cell>
        </row>
        <row r="1814">
          <cell r="C1814">
            <v>938807592</v>
          </cell>
          <cell r="F1814">
            <v>407051</v>
          </cell>
          <cell r="G1814">
            <v>145162.62936643543</v>
          </cell>
          <cell r="H1814">
            <v>26188.837063356455</v>
          </cell>
          <cell r="I1814">
            <v>288077.20769692102</v>
          </cell>
        </row>
        <row r="1815">
          <cell r="C1815">
            <v>938807325</v>
          </cell>
          <cell r="F1815">
            <v>144979</v>
          </cell>
          <cell r="G1815">
            <v>51702.447218939255</v>
          </cell>
          <cell r="H1815">
            <v>9327.6552781060745</v>
          </cell>
          <cell r="I1815">
            <v>102604.20805916682</v>
          </cell>
        </row>
        <row r="1816">
          <cell r="C1816">
            <v>938807401</v>
          </cell>
          <cell r="F1816">
            <v>204421</v>
          </cell>
          <cell r="G1816">
            <v>72900.668117056819</v>
          </cell>
          <cell r="H1816">
            <v>13152.033188294317</v>
          </cell>
          <cell r="I1816">
            <v>144672.36507123749</v>
          </cell>
        </row>
        <row r="1817">
          <cell r="C1817">
            <v>938807162</v>
          </cell>
          <cell r="F1817">
            <v>108645</v>
          </cell>
          <cell r="G1817">
            <v>38745.00705689552</v>
          </cell>
          <cell r="H1817">
            <v>6989.9992943104471</v>
          </cell>
          <cell r="I1817">
            <v>76889.992237414917</v>
          </cell>
        </row>
        <row r="1818">
          <cell r="C1818">
            <v>933806043</v>
          </cell>
          <cell r="F1818">
            <v>330411.64</v>
          </cell>
          <cell r="G1818">
            <v>117831.48164646715</v>
          </cell>
          <cell r="H1818">
            <v>21258.015835353286</v>
          </cell>
          <cell r="I1818">
            <v>233838.17418888616</v>
          </cell>
        </row>
        <row r="1819">
          <cell r="C1819">
            <v>933805596</v>
          </cell>
          <cell r="F1819">
            <v>267666</v>
          </cell>
          <cell r="G1819">
            <v>95455.115825771965</v>
          </cell>
          <cell r="H1819">
            <v>17221.088417422805</v>
          </cell>
          <cell r="I1819">
            <v>189431.97259165085</v>
          </cell>
        </row>
        <row r="1820">
          <cell r="C1820">
            <v>938808462</v>
          </cell>
          <cell r="F1820">
            <v>176320</v>
          </cell>
          <cell r="G1820">
            <v>62879.282472933111</v>
          </cell>
          <cell r="H1820">
            <v>11344.071752706686</v>
          </cell>
          <cell r="I1820">
            <v>124784.78927977357</v>
          </cell>
        </row>
        <row r="1821">
          <cell r="C1821">
            <v>938808532</v>
          </cell>
          <cell r="F1821">
            <v>63265</v>
          </cell>
          <cell r="G1821">
            <v>22561.580113714343</v>
          </cell>
          <cell r="H1821">
            <v>4070.341988628566</v>
          </cell>
          <cell r="I1821">
            <v>44773.76187491422</v>
          </cell>
        </row>
        <row r="1822">
          <cell r="C1822">
            <v>938808519</v>
          </cell>
          <cell r="F1822">
            <v>260467.64</v>
          </cell>
          <cell r="G1822">
            <v>92888.034883270477</v>
          </cell>
          <cell r="H1822">
            <v>16757.960511672954</v>
          </cell>
          <cell r="I1822">
            <v>184337.56562840249</v>
          </cell>
        </row>
        <row r="1823">
          <cell r="C1823">
            <v>938808546</v>
          </cell>
          <cell r="F1823">
            <v>149953</v>
          </cell>
          <cell r="G1823">
            <v>53476.2763422399</v>
          </cell>
          <cell r="H1823">
            <v>9647.6723657760085</v>
          </cell>
          <cell r="I1823">
            <v>106124.3960235361</v>
          </cell>
        </row>
        <row r="1824">
          <cell r="C1824">
            <v>938808551</v>
          </cell>
          <cell r="F1824">
            <v>377212</v>
          </cell>
          <cell r="G1824">
            <v>134521.43772788139</v>
          </cell>
          <cell r="H1824">
            <v>24269.056227211859</v>
          </cell>
          <cell r="I1824">
            <v>266959.61849933048</v>
          </cell>
        </row>
        <row r="1825">
          <cell r="C1825">
            <v>933806065</v>
          </cell>
          <cell r="F1825">
            <v>268564.64</v>
          </cell>
          <cell r="G1825">
            <v>95775.589047195943</v>
          </cell>
          <cell r="H1825">
            <v>17278.905095280406</v>
          </cell>
          <cell r="I1825">
            <v>190067.95604808448</v>
          </cell>
        </row>
        <row r="1826">
          <cell r="C1826">
            <v>938808593</v>
          </cell>
          <cell r="D1826">
            <v>174030.15</v>
          </cell>
          <cell r="E1826">
            <v>933806674</v>
          </cell>
          <cell r="F1826">
            <v>477854</v>
          </cell>
          <cell r="G1826">
            <v>170412.41292434765</v>
          </cell>
          <cell r="H1826">
            <v>30744.158707565231</v>
          </cell>
          <cell r="I1826">
            <v>338185.74578321754</v>
          </cell>
        </row>
        <row r="1827">
          <cell r="C1827">
            <v>938809041</v>
          </cell>
          <cell r="D1827">
            <v>415441.57</v>
          </cell>
          <cell r="E1827">
            <v>933805137</v>
          </cell>
          <cell r="F1827">
            <v>44545</v>
          </cell>
          <cell r="G1827">
            <v>15885.649034464639</v>
          </cell>
          <cell r="H1827">
            <v>2865.9350965535359</v>
          </cell>
          <cell r="I1827">
            <v>31525.286062088897</v>
          </cell>
        </row>
        <row r="1828">
          <cell r="C1828">
            <v>938809154</v>
          </cell>
          <cell r="D1828">
            <v>125703.63</v>
          </cell>
          <cell r="E1828">
            <v>933806710</v>
          </cell>
          <cell r="F1828">
            <v>44545</v>
          </cell>
          <cell r="G1828">
            <v>15885.649034464639</v>
          </cell>
          <cell r="H1828">
            <v>2865.9350965535359</v>
          </cell>
          <cell r="I1828">
            <v>31525.286062088897</v>
          </cell>
        </row>
        <row r="1829">
          <cell r="C1829">
            <v>938809049</v>
          </cell>
          <cell r="D1829">
            <v>446554.32</v>
          </cell>
          <cell r="E1829">
            <v>933806626</v>
          </cell>
          <cell r="F1829">
            <v>44545</v>
          </cell>
          <cell r="G1829">
            <v>15885.649034464639</v>
          </cell>
          <cell r="H1829">
            <v>2865.9350965535359</v>
          </cell>
          <cell r="I1829">
            <v>31525.286062088897</v>
          </cell>
        </row>
        <row r="1830">
          <cell r="C1830">
            <v>938809054</v>
          </cell>
          <cell r="D1830">
            <v>212895.79</v>
          </cell>
          <cell r="E1830">
            <v>933806658</v>
          </cell>
          <cell r="F1830">
            <v>44545</v>
          </cell>
          <cell r="G1830">
            <v>15885.649034464639</v>
          </cell>
          <cell r="H1830">
            <v>2865.9350965535359</v>
          </cell>
          <cell r="I1830">
            <v>31525.286062088897</v>
          </cell>
        </row>
        <row r="1831">
          <cell r="C1831">
            <v>938809056</v>
          </cell>
          <cell r="D1831">
            <v>265119.65000000002</v>
          </cell>
          <cell r="E1831">
            <v>933806950</v>
          </cell>
          <cell r="F1831">
            <v>44545</v>
          </cell>
          <cell r="G1831">
            <v>15885.649034464639</v>
          </cell>
          <cell r="H1831">
            <v>2865.9350965535359</v>
          </cell>
          <cell r="I1831">
            <v>31525.286062088897</v>
          </cell>
        </row>
        <row r="1832">
          <cell r="C1832" t="str">
            <v>THỰC TẾ</v>
          </cell>
          <cell r="D1832" t="str">
            <v>THỰC TẾ - THACO</v>
          </cell>
          <cell r="E1832" t="str">
            <v>CONG</v>
          </cell>
          <cell r="F1832">
            <v>626614994.2699976</v>
          </cell>
          <cell r="G1832">
            <v>223463595.88520139</v>
          </cell>
          <cell r="H1832">
            <v>40315139.838479951</v>
          </cell>
          <cell r="I1832">
            <v>443466538.22327673</v>
          </cell>
        </row>
        <row r="1833">
          <cell r="C1833" t="str">
            <v>ĐỐI CHIẾU</v>
          </cell>
          <cell r="D1833" t="str">
            <v>ĐỐI CHIẾU - THACO</v>
          </cell>
          <cell r="E1833" t="str">
            <v>DOI CHIEU</v>
          </cell>
          <cell r="F1833">
            <v>626710554</v>
          </cell>
          <cell r="G1833">
            <v>223497674.41999999</v>
          </cell>
          <cell r="H1833">
            <v>41850087.340000004</v>
          </cell>
          <cell r="I1833">
            <v>473984674</v>
          </cell>
        </row>
        <row r="1835">
          <cell r="C1835">
            <v>1821</v>
          </cell>
          <cell r="D1835">
            <v>1648</v>
          </cell>
          <cell r="E1835">
            <v>1648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>
        <row r="10">
          <cell r="C10" t="str">
            <v>SỐ Đ.THOẠI</v>
          </cell>
        </row>
      </sheetData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K2."/>
      <sheetName val="CK HDQT"/>
      <sheetName val="GUI NGAN HANG KY 2 THANG 06"/>
      <sheetName val="Danh sach"/>
      <sheetName val="Ds"/>
      <sheetName val="CK2_"/>
      <sheetName val="CK_HDQT"/>
      <sheetName val="GUI_NGAN_HANG_KY_2_THANG_06"/>
      <sheetName val="Danh_sach"/>
      <sheetName val="GUI_NGAN_HANG_KY_2_THANG_061"/>
      <sheetName val="GUI_NGAN_HANG_KY_2_THANG_062"/>
      <sheetName val="GUI_NGAN_HANG_KY_2_THANG_063"/>
      <sheetName val="GUI_NGAN_HANG_KY_2_THANG_064"/>
      <sheetName val="GUI_NGAN_HANG_KY_2_THANG_065"/>
      <sheetName val="CK2_1"/>
      <sheetName val="CK_HDQT1"/>
      <sheetName val="Danh_sach1"/>
      <sheetName val="GUI_NGAN_HANG_KY_2_THANG_066"/>
      <sheetName val="GUI_NGAN_HANG_KY_2_THANG_067"/>
      <sheetName val="GUI_NGAN_HANG_KY_2_THANG_069"/>
      <sheetName val="GUI_NGAN_HANG_KY_2_THANG_068"/>
      <sheetName val="GUI_NGAN_HANG_KY_2_THANG_0610"/>
      <sheetName val="GUI_NGAN_HANG_KY_2_THANG_0611"/>
      <sheetName val="GUI_NGAN_HANG_KY_2_THANG_0612"/>
      <sheetName val="CK2_2"/>
      <sheetName val="CK_HDQT2"/>
      <sheetName val="Danh_sach2"/>
      <sheetName val="GUI_NGAN_HANG_KY_2_THANG_0613"/>
      <sheetName val="GUI_NGAN_HANG_KY_2_THANG_0614"/>
      <sheetName val="GUI_NGAN_HANG_KY_2_THANG_0615"/>
      <sheetName val="CK2_3"/>
      <sheetName val="CK_HDQT3"/>
      <sheetName val="Danh_sach3"/>
      <sheetName val="GUI_NGAN_HANG_KY_2_THANG_0616"/>
      <sheetName val="GUI_NGAN_HANG_KY_2_THANG_0617"/>
      <sheetName val="GUI_NGAN_HANG_KY_2_THANG_0618"/>
      <sheetName val="GUI_NGAN_HANG_KY_2_THANG_0619"/>
      <sheetName val="GUI_NGAN_HANG_KY_2_THANG_0620"/>
      <sheetName val="CK2_4"/>
      <sheetName val="CK_HDQT4"/>
      <sheetName val="Danh_sach4"/>
      <sheetName val="CK2_5"/>
      <sheetName val="CK_HDQT5"/>
      <sheetName val="Danh_sach5"/>
      <sheetName val="THƯ VIỆN"/>
      <sheetName val="INNOVA"/>
      <sheetName val="CK2_6"/>
      <sheetName val="CK_HDQT6"/>
      <sheetName val="GUI_NGAN_HANG_KY_2_THANG_0621"/>
      <sheetName val="Danh_sach6"/>
      <sheetName val="Data"/>
      <sheetName val="HSXL"/>
      <sheetName val="CP suamaybom"/>
      <sheetName val="Giá TB"/>
      <sheetName val="CAUDIT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CK2_7"/>
      <sheetName val="CK_HDQT7"/>
      <sheetName val="GUI_NGAN_HANG_KY_2_THANG_0622"/>
      <sheetName val="Danh_sach7"/>
      <sheetName val="THƯ_VIỆN"/>
      <sheetName val="CP_suamaybom"/>
      <sheetName val="Giá_TB"/>
      <sheetName val="Lcau_-_Lxuc"/>
      <sheetName val="CK2_8"/>
      <sheetName val="CK_HDQT8"/>
      <sheetName val="GUI_NGAN_HANG_KY_2_THANG_0623"/>
      <sheetName val="Danh_sach8"/>
      <sheetName val="THƯ_VIỆN1"/>
      <sheetName val="CP_suamaybom1"/>
      <sheetName val="Giá_TB1"/>
      <sheetName val="Danh sách thép"/>
      <sheetName val="HC cbnv"/>
      <sheetName val="Phu cap"/>
    </sheetNames>
    <definedNames>
      <definedName name="_a1O"/>
      <definedName name="_a2O"/>
      <definedName name="_a3O"/>
    </definedNames>
    <sheetDataSet>
      <sheetData sheetId="0" refreshError="1"/>
      <sheetData sheetId="1">
        <row r="20">
          <cell r="D20">
            <v>522000000</v>
          </cell>
        </row>
      </sheetData>
      <sheetData sheetId="2" refreshError="1"/>
      <sheetData sheetId="3" refreshError="1"/>
      <sheetData sheetId="4" refreshError="1"/>
      <sheetData sheetId="5">
        <row r="20">
          <cell r="D20">
            <v>522000000</v>
          </cell>
        </row>
      </sheetData>
      <sheetData sheetId="6">
        <row r="20">
          <cell r="D20">
            <v>522000000</v>
          </cell>
        </row>
      </sheetData>
      <sheetData sheetId="7">
        <row r="20">
          <cell r="D20">
            <v>522000000</v>
          </cell>
        </row>
      </sheetData>
      <sheetData sheetId="8">
        <row r="20">
          <cell r="D20">
            <v>522000000</v>
          </cell>
        </row>
      </sheetData>
      <sheetData sheetId="9">
        <row r="20">
          <cell r="D20">
            <v>522000000</v>
          </cell>
        </row>
      </sheetData>
      <sheetData sheetId="10">
        <row r="20">
          <cell r="D20">
            <v>522000000</v>
          </cell>
        </row>
      </sheetData>
      <sheetData sheetId="11">
        <row r="20">
          <cell r="D20">
            <v>522000000</v>
          </cell>
        </row>
      </sheetData>
      <sheetData sheetId="12">
        <row r="20">
          <cell r="D20">
            <v>522000000</v>
          </cell>
        </row>
      </sheetData>
      <sheetData sheetId="13">
        <row r="20">
          <cell r="D20">
            <v>522000000</v>
          </cell>
        </row>
      </sheetData>
      <sheetData sheetId="14">
        <row r="20">
          <cell r="D20">
            <v>522000000</v>
          </cell>
        </row>
      </sheetData>
      <sheetData sheetId="15">
        <row r="20">
          <cell r="D20">
            <v>522000000</v>
          </cell>
        </row>
      </sheetData>
      <sheetData sheetId="16">
        <row r="20">
          <cell r="D20">
            <v>522000000</v>
          </cell>
        </row>
      </sheetData>
      <sheetData sheetId="17">
        <row r="20">
          <cell r="D20">
            <v>522000000</v>
          </cell>
        </row>
      </sheetData>
      <sheetData sheetId="18">
        <row r="20">
          <cell r="D20">
            <v>522000000</v>
          </cell>
        </row>
      </sheetData>
      <sheetData sheetId="19"/>
      <sheetData sheetId="20"/>
      <sheetData sheetId="21">
        <row r="20">
          <cell r="D20">
            <v>522000000</v>
          </cell>
        </row>
      </sheetData>
      <sheetData sheetId="22">
        <row r="20">
          <cell r="D20">
            <v>522000000</v>
          </cell>
        </row>
      </sheetData>
      <sheetData sheetId="23">
        <row r="20">
          <cell r="D20">
            <v>522000000</v>
          </cell>
        </row>
      </sheetData>
      <sheetData sheetId="24">
        <row r="20">
          <cell r="D20">
            <v>522000000</v>
          </cell>
        </row>
      </sheetData>
      <sheetData sheetId="25">
        <row r="20">
          <cell r="D20">
            <v>522000000</v>
          </cell>
        </row>
      </sheetData>
      <sheetData sheetId="26">
        <row r="20">
          <cell r="D20">
            <v>522000000</v>
          </cell>
        </row>
      </sheetData>
      <sheetData sheetId="27">
        <row r="20">
          <cell r="D20">
            <v>522000000</v>
          </cell>
        </row>
      </sheetData>
      <sheetData sheetId="28">
        <row r="20">
          <cell r="D20">
            <v>522000000</v>
          </cell>
        </row>
      </sheetData>
      <sheetData sheetId="29">
        <row r="20">
          <cell r="D20">
            <v>522000000</v>
          </cell>
        </row>
      </sheetData>
      <sheetData sheetId="30">
        <row r="20">
          <cell r="D20">
            <v>522000000</v>
          </cell>
        </row>
      </sheetData>
      <sheetData sheetId="31">
        <row r="20">
          <cell r="D20">
            <v>522000000</v>
          </cell>
        </row>
      </sheetData>
      <sheetData sheetId="32">
        <row r="20">
          <cell r="D20">
            <v>522000000</v>
          </cell>
        </row>
      </sheetData>
      <sheetData sheetId="33">
        <row r="20">
          <cell r="D20">
            <v>522000000</v>
          </cell>
        </row>
      </sheetData>
      <sheetData sheetId="34">
        <row r="20">
          <cell r="D20">
            <v>522000000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>
        <row r="20">
          <cell r="D20">
            <v>522000000</v>
          </cell>
        </row>
      </sheetData>
      <sheetData sheetId="47">
        <row r="20">
          <cell r="D20">
            <v>522000000</v>
          </cell>
        </row>
      </sheetData>
      <sheetData sheetId="48">
        <row r="20">
          <cell r="D20">
            <v>522000000</v>
          </cell>
        </row>
      </sheetData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>
        <row r="20">
          <cell r="D20">
            <v>522000000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>
        <row r="20">
          <cell r="D20">
            <v>522000000</v>
          </cell>
        </row>
      </sheetData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Probation Time"/>
      <sheetName val="23.8 - 15.9"/>
      <sheetName val="Check luong 13"/>
      <sheetName val="Lương vùng F0,F1 (2)"/>
      <sheetName val="OT "/>
      <sheetName val="OT Detail "/>
      <sheetName val="Sheet1"/>
      <sheetName val="Sheet2"/>
      <sheetName val="NS"/>
      <sheetName val="PV"/>
      <sheetName val="Night shift Detail"/>
      <sheetName val="tien com truc dem"/>
      <sheetName val="Sales Incentive Official 11.21"/>
      <sheetName val="THÂM NIÊN"/>
      <sheetName val="DATA"/>
      <sheetName val="PP incentive"/>
      <sheetName val="TIME TABLE 06.2021"/>
      <sheetName val="TIME TABLE 11.2021"/>
      <sheetName val="TIME TABLE 12.1.2021"/>
    </sheetNames>
    <sheetDataSet>
      <sheetData sheetId="0">
        <row r="7">
          <cell r="B7" t="str">
            <v>Emp.Code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2">
          <cell r="C22">
            <v>1500066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metable_T03"/>
    </sheetNames>
    <sheetDataSet>
      <sheetData sheetId="0">
        <row r="9">
          <cell r="B9" t="str">
            <v>PVT2400209</v>
          </cell>
          <cell r="C9" t="str">
            <v>Nguyen Thi Ngoc Phuong</v>
          </cell>
          <cell r="D9" t="str">
            <v>22/04/2024</v>
          </cell>
          <cell r="E9" t="str">
            <v xml:space="preserve">Cashier </v>
          </cell>
          <cell r="F9" t="str">
            <v xml:space="preserve">Cashier </v>
          </cell>
          <cell r="G9" t="str">
            <v>Cashier Staff</v>
          </cell>
          <cell r="I9" t="str">
            <v>NOT</v>
          </cell>
          <cell r="J9" t="str">
            <v>NOT</v>
          </cell>
          <cell r="K9" t="str">
            <v>NOT</v>
          </cell>
          <cell r="L9" t="str">
            <v>NOT</v>
          </cell>
          <cell r="M9" t="str">
            <v>NOT</v>
          </cell>
          <cell r="N9" t="str">
            <v>NOT</v>
          </cell>
          <cell r="O9" t="str">
            <v>NOT</v>
          </cell>
          <cell r="P9" t="str">
            <v>NOT</v>
          </cell>
          <cell r="Q9" t="str">
            <v>NOT</v>
          </cell>
          <cell r="R9" t="str">
            <v>NOT</v>
          </cell>
          <cell r="S9" t="str">
            <v>NOT</v>
          </cell>
          <cell r="T9" t="str">
            <v>NOT</v>
          </cell>
          <cell r="U9" t="str">
            <v>NOT</v>
          </cell>
          <cell r="V9" t="str">
            <v>NOT</v>
          </cell>
          <cell r="W9" t="str">
            <v>NOT</v>
          </cell>
          <cell r="X9" t="str">
            <v>NOT</v>
          </cell>
          <cell r="Y9" t="str">
            <v>NOT</v>
          </cell>
          <cell r="Z9" t="str">
            <v>NOT</v>
          </cell>
          <cell r="AA9" t="str">
            <v>NOT</v>
          </cell>
          <cell r="AB9" t="str">
            <v>NOT</v>
          </cell>
          <cell r="AC9" t="str">
            <v>NOT</v>
          </cell>
          <cell r="AD9" t="str">
            <v>NOT</v>
          </cell>
          <cell r="AE9" t="str">
            <v>NOT</v>
          </cell>
          <cell r="AF9" t="str">
            <v>NOT</v>
          </cell>
          <cell r="AG9" t="str">
            <v>NOT</v>
          </cell>
          <cell r="AH9" t="str">
            <v>NOT</v>
          </cell>
          <cell r="AI9" t="str">
            <v>NOT</v>
          </cell>
          <cell r="AJ9" t="str">
            <v>X</v>
          </cell>
          <cell r="AK9" t="str">
            <v>NOT</v>
          </cell>
          <cell r="AL9" t="str">
            <v>NOT</v>
          </cell>
          <cell r="AM9" t="str">
            <v>NOT</v>
          </cell>
          <cell r="AP9">
            <v>0</v>
          </cell>
          <cell r="AQ9">
            <v>0</v>
          </cell>
          <cell r="AR9">
            <v>0</v>
          </cell>
          <cell r="AS9">
            <v>1</v>
          </cell>
        </row>
        <row r="10">
          <cell r="B10" t="str">
            <v>PVT2400208</v>
          </cell>
          <cell r="C10" t="str">
            <v>Luu Han Nom</v>
          </cell>
          <cell r="D10" t="str">
            <v>22/04/2024</v>
          </cell>
          <cell r="E10" t="str">
            <v>Fresh Food</v>
          </cell>
          <cell r="F10" t="str">
            <v>Dried food</v>
          </cell>
          <cell r="G10" t="str">
            <v>Dried food Staff</v>
          </cell>
          <cell r="I10" t="str">
            <v>NOT</v>
          </cell>
          <cell r="J10" t="str">
            <v>NOT</v>
          </cell>
          <cell r="K10" t="str">
            <v>NOT</v>
          </cell>
          <cell r="L10" t="str">
            <v>NOT</v>
          </cell>
          <cell r="M10" t="str">
            <v>NOT</v>
          </cell>
          <cell r="N10" t="str">
            <v>NOT</v>
          </cell>
          <cell r="O10" t="str">
            <v>NOT</v>
          </cell>
          <cell r="P10" t="str">
            <v>NOT</v>
          </cell>
          <cell r="Q10" t="str">
            <v>NOT</v>
          </cell>
          <cell r="R10" t="str">
            <v>NOT</v>
          </cell>
          <cell r="S10" t="str">
            <v>NOT</v>
          </cell>
          <cell r="T10" t="str">
            <v>NOT</v>
          </cell>
          <cell r="U10" t="str">
            <v>NOT</v>
          </cell>
          <cell r="V10" t="str">
            <v>NOT</v>
          </cell>
          <cell r="W10" t="str">
            <v>NOT</v>
          </cell>
          <cell r="X10" t="str">
            <v>NOT</v>
          </cell>
          <cell r="Y10" t="str">
            <v>NOT</v>
          </cell>
          <cell r="Z10" t="str">
            <v>NOT</v>
          </cell>
          <cell r="AA10" t="str">
            <v>NOT</v>
          </cell>
          <cell r="AB10" t="str">
            <v>NOT</v>
          </cell>
          <cell r="AC10" t="str">
            <v>NOT</v>
          </cell>
          <cell r="AD10" t="str">
            <v>NOT</v>
          </cell>
          <cell r="AE10" t="str">
            <v>NOT</v>
          </cell>
          <cell r="AF10" t="str">
            <v>NOT</v>
          </cell>
          <cell r="AG10" t="str">
            <v>NOT</v>
          </cell>
          <cell r="AH10" t="str">
            <v>NOT</v>
          </cell>
          <cell r="AI10" t="str">
            <v>NOT</v>
          </cell>
          <cell r="AJ10" t="str">
            <v>X</v>
          </cell>
          <cell r="AK10" t="str">
            <v>X</v>
          </cell>
          <cell r="AL10" t="str">
            <v>X</v>
          </cell>
          <cell r="AM10" t="str">
            <v>OFF</v>
          </cell>
          <cell r="AP10">
            <v>1</v>
          </cell>
          <cell r="AQ10">
            <v>0</v>
          </cell>
          <cell r="AR10">
            <v>0</v>
          </cell>
          <cell r="AS10">
            <v>3</v>
          </cell>
        </row>
        <row r="11">
          <cell r="B11" t="str">
            <v>PVT2400212</v>
          </cell>
          <cell r="C11" t="str">
            <v>Nguyen Thi Hong Nhung</v>
          </cell>
          <cell r="D11" t="str">
            <v>23/04/2024</v>
          </cell>
          <cell r="E11" t="str">
            <v xml:space="preserve">Cashier </v>
          </cell>
          <cell r="F11" t="str">
            <v xml:space="preserve">Cashier </v>
          </cell>
          <cell r="G11" t="str">
            <v>Cashier Staff</v>
          </cell>
          <cell r="I11" t="str">
            <v>NOT</v>
          </cell>
          <cell r="J11" t="str">
            <v>NOT</v>
          </cell>
          <cell r="K11" t="str">
            <v>NOT</v>
          </cell>
          <cell r="L11" t="str">
            <v>NOT</v>
          </cell>
          <cell r="M11" t="str">
            <v>NOT</v>
          </cell>
          <cell r="N11" t="str">
            <v>NOT</v>
          </cell>
          <cell r="O11" t="str">
            <v>NOT</v>
          </cell>
          <cell r="P11" t="str">
            <v>NOT</v>
          </cell>
          <cell r="Q11" t="str">
            <v>NOT</v>
          </cell>
          <cell r="R11" t="str">
            <v>NOT</v>
          </cell>
          <cell r="S11" t="str">
            <v>NOT</v>
          </cell>
          <cell r="T11" t="str">
            <v>NOT</v>
          </cell>
          <cell r="U11" t="str">
            <v>NOT</v>
          </cell>
          <cell r="V11" t="str">
            <v>NOT</v>
          </cell>
          <cell r="W11" t="str">
            <v>NOT</v>
          </cell>
          <cell r="X11" t="str">
            <v>NOT</v>
          </cell>
          <cell r="Y11" t="str">
            <v>NOT</v>
          </cell>
          <cell r="Z11" t="str">
            <v>NOT</v>
          </cell>
          <cell r="AA11" t="str">
            <v>NOT</v>
          </cell>
          <cell r="AB11" t="str">
            <v>NOT</v>
          </cell>
          <cell r="AC11" t="str">
            <v>NOT</v>
          </cell>
          <cell r="AD11" t="str">
            <v>NOT</v>
          </cell>
          <cell r="AE11" t="str">
            <v>NOT</v>
          </cell>
          <cell r="AF11" t="str">
            <v>NOT</v>
          </cell>
          <cell r="AG11" t="str">
            <v>NOT</v>
          </cell>
          <cell r="AH11" t="str">
            <v>NOT</v>
          </cell>
          <cell r="AI11" t="str">
            <v>NOT</v>
          </cell>
          <cell r="AJ11" t="str">
            <v>NOT</v>
          </cell>
          <cell r="AK11" t="str">
            <v>X</v>
          </cell>
          <cell r="AL11" t="str">
            <v>X</v>
          </cell>
          <cell r="AM11" t="str">
            <v>OFF</v>
          </cell>
          <cell r="AP11">
            <v>1</v>
          </cell>
          <cell r="AQ11">
            <v>0</v>
          </cell>
          <cell r="AR11">
            <v>0</v>
          </cell>
          <cell r="AS11">
            <v>2</v>
          </cell>
        </row>
        <row r="12">
          <cell r="B12" t="str">
            <v>PVT2400213</v>
          </cell>
          <cell r="C12" t="str">
            <v>Nguyen Phi Chau</v>
          </cell>
          <cell r="D12" t="str">
            <v>23/04/2024</v>
          </cell>
          <cell r="E12" t="str">
            <v xml:space="preserve">Cashier </v>
          </cell>
          <cell r="F12" t="str">
            <v xml:space="preserve">Cashier </v>
          </cell>
          <cell r="G12" t="str">
            <v>Cashier Staff</v>
          </cell>
          <cell r="I12" t="str">
            <v>NOT</v>
          </cell>
          <cell r="J12" t="str">
            <v>NOT</v>
          </cell>
          <cell r="K12" t="str">
            <v>NOT</v>
          </cell>
          <cell r="L12" t="str">
            <v>NOT</v>
          </cell>
          <cell r="M12" t="str">
            <v>NOT</v>
          </cell>
          <cell r="N12" t="str">
            <v>NOT</v>
          </cell>
          <cell r="O12" t="str">
            <v>NOT</v>
          </cell>
          <cell r="P12" t="str">
            <v>NOT</v>
          </cell>
          <cell r="Q12" t="str">
            <v>NOT</v>
          </cell>
          <cell r="R12" t="str">
            <v>NOT</v>
          </cell>
          <cell r="S12" t="str">
            <v>NOT</v>
          </cell>
          <cell r="T12" t="str">
            <v>NOT</v>
          </cell>
          <cell r="U12" t="str">
            <v>NOT</v>
          </cell>
          <cell r="V12" t="str">
            <v>NOT</v>
          </cell>
          <cell r="W12" t="str">
            <v>NOT</v>
          </cell>
          <cell r="X12" t="str">
            <v>NOT</v>
          </cell>
          <cell r="Y12" t="str">
            <v>NOT</v>
          </cell>
          <cell r="Z12" t="str">
            <v>NOT</v>
          </cell>
          <cell r="AA12" t="str">
            <v>NOT</v>
          </cell>
          <cell r="AB12" t="str">
            <v>NOT</v>
          </cell>
          <cell r="AC12" t="str">
            <v>NOT</v>
          </cell>
          <cell r="AD12" t="str">
            <v>NOT</v>
          </cell>
          <cell r="AE12" t="str">
            <v>NOT</v>
          </cell>
          <cell r="AF12" t="str">
            <v>NOT</v>
          </cell>
          <cell r="AG12" t="str">
            <v>NOT</v>
          </cell>
          <cell r="AH12" t="str">
            <v>NOT</v>
          </cell>
          <cell r="AI12" t="str">
            <v>NOT</v>
          </cell>
          <cell r="AJ12" t="str">
            <v>NOT</v>
          </cell>
          <cell r="AK12" t="str">
            <v>X</v>
          </cell>
          <cell r="AL12" t="str">
            <v>X</v>
          </cell>
          <cell r="AM12" t="str">
            <v>X</v>
          </cell>
          <cell r="AP12">
            <v>0</v>
          </cell>
          <cell r="AQ12">
            <v>0</v>
          </cell>
          <cell r="AR12">
            <v>0</v>
          </cell>
          <cell r="AS12">
            <v>3</v>
          </cell>
        </row>
        <row r="13">
          <cell r="B13" t="str">
            <v>PVT2400214</v>
          </cell>
          <cell r="C13" t="str">
            <v>Nguyen Minh Nhu</v>
          </cell>
          <cell r="D13" t="str">
            <v>23/04/2024</v>
          </cell>
          <cell r="E13" t="str">
            <v>Non Food</v>
          </cell>
          <cell r="F13" t="str">
            <v>Fashion (Baby &amp; Children)</v>
          </cell>
          <cell r="G13" t="str">
            <v>Fashion (Baby &amp; Children) Staff</v>
          </cell>
          <cell r="I13" t="str">
            <v>NOT</v>
          </cell>
          <cell r="J13" t="str">
            <v>NOT</v>
          </cell>
          <cell r="K13" t="str">
            <v>NOT</v>
          </cell>
          <cell r="L13" t="str">
            <v>NOT</v>
          </cell>
          <cell r="M13" t="str">
            <v>NOT</v>
          </cell>
          <cell r="N13" t="str">
            <v>NOT</v>
          </cell>
          <cell r="O13" t="str">
            <v>NOT</v>
          </cell>
          <cell r="P13" t="str">
            <v>NOT</v>
          </cell>
          <cell r="Q13" t="str">
            <v>NOT</v>
          </cell>
          <cell r="R13" t="str">
            <v>NOT</v>
          </cell>
          <cell r="S13" t="str">
            <v>NOT</v>
          </cell>
          <cell r="T13" t="str">
            <v>NOT</v>
          </cell>
          <cell r="U13" t="str">
            <v>NOT</v>
          </cell>
          <cell r="V13" t="str">
            <v>NOT</v>
          </cell>
          <cell r="W13" t="str">
            <v>NOT</v>
          </cell>
          <cell r="X13" t="str">
            <v>NOT</v>
          </cell>
          <cell r="Y13" t="str">
            <v>NOT</v>
          </cell>
          <cell r="Z13" t="str">
            <v>NOT</v>
          </cell>
          <cell r="AA13" t="str">
            <v>NOT</v>
          </cell>
          <cell r="AB13" t="str">
            <v>NOT</v>
          </cell>
          <cell r="AC13" t="str">
            <v>NOT</v>
          </cell>
          <cell r="AD13" t="str">
            <v>NOT</v>
          </cell>
          <cell r="AE13" t="str">
            <v>NOT</v>
          </cell>
          <cell r="AF13" t="str">
            <v>NOT</v>
          </cell>
          <cell r="AG13" t="str">
            <v>NOT</v>
          </cell>
          <cell r="AH13" t="str">
            <v>NOT</v>
          </cell>
          <cell r="AI13" t="str">
            <v>NOT</v>
          </cell>
          <cell r="AJ13" t="str">
            <v>NOT</v>
          </cell>
          <cell r="AK13" t="str">
            <v>X</v>
          </cell>
          <cell r="AL13" t="str">
            <v>X</v>
          </cell>
          <cell r="AM13" t="str">
            <v>X</v>
          </cell>
          <cell r="AP13">
            <v>0</v>
          </cell>
          <cell r="AQ13">
            <v>0</v>
          </cell>
          <cell r="AR13">
            <v>0</v>
          </cell>
          <cell r="AS13">
            <v>3</v>
          </cell>
        </row>
        <row r="14">
          <cell r="B14" t="str">
            <v>PVT2400215</v>
          </cell>
          <cell r="C14" t="str">
            <v>Nguyen Lam Truong</v>
          </cell>
          <cell r="D14" t="str">
            <v>23/04/2024</v>
          </cell>
          <cell r="E14" t="str">
            <v>Fresh Food</v>
          </cell>
          <cell r="F14" t="str">
            <v>Fruit &amp; Vegetable</v>
          </cell>
          <cell r="G14" t="str">
            <v>Fruit &amp; Vegetable Staff</v>
          </cell>
          <cell r="I14" t="str">
            <v>NOT</v>
          </cell>
          <cell r="J14" t="str">
            <v>NOT</v>
          </cell>
          <cell r="K14" t="str">
            <v>NOT</v>
          </cell>
          <cell r="L14" t="str">
            <v>NOT</v>
          </cell>
          <cell r="M14" t="str">
            <v>NOT</v>
          </cell>
          <cell r="N14" t="str">
            <v>NOT</v>
          </cell>
          <cell r="O14" t="str">
            <v>NOT</v>
          </cell>
          <cell r="P14" t="str">
            <v>NOT</v>
          </cell>
          <cell r="Q14" t="str">
            <v>NOT</v>
          </cell>
          <cell r="R14" t="str">
            <v>NOT</v>
          </cell>
          <cell r="S14" t="str">
            <v>NOT</v>
          </cell>
          <cell r="T14" t="str">
            <v>NOT</v>
          </cell>
          <cell r="U14" t="str">
            <v>NOT</v>
          </cell>
          <cell r="V14" t="str">
            <v>NOT</v>
          </cell>
          <cell r="W14" t="str">
            <v>NOT</v>
          </cell>
          <cell r="X14" t="str">
            <v>NOT</v>
          </cell>
          <cell r="Y14" t="str">
            <v>NOT</v>
          </cell>
          <cell r="Z14" t="str">
            <v>NOT</v>
          </cell>
          <cell r="AA14" t="str">
            <v>NOT</v>
          </cell>
          <cell r="AB14" t="str">
            <v>NOT</v>
          </cell>
          <cell r="AC14" t="str">
            <v>NOT</v>
          </cell>
          <cell r="AD14" t="str">
            <v>NOT</v>
          </cell>
          <cell r="AE14" t="str">
            <v>NOT</v>
          </cell>
          <cell r="AF14" t="str">
            <v>NOT</v>
          </cell>
          <cell r="AG14" t="str">
            <v>NOT</v>
          </cell>
          <cell r="AH14" t="str">
            <v>NOT</v>
          </cell>
          <cell r="AI14" t="str">
            <v>NOT</v>
          </cell>
          <cell r="AJ14" t="str">
            <v>NOT</v>
          </cell>
          <cell r="AK14" t="str">
            <v>X</v>
          </cell>
          <cell r="AL14" t="str">
            <v>NOT</v>
          </cell>
          <cell r="AM14" t="str">
            <v>NOT</v>
          </cell>
          <cell r="AP14">
            <v>0</v>
          </cell>
          <cell r="AQ14">
            <v>0</v>
          </cell>
          <cell r="AR14">
            <v>0</v>
          </cell>
          <cell r="AS14">
            <v>1</v>
          </cell>
        </row>
        <row r="15">
          <cell r="B15" t="str">
            <v>PVT2400216</v>
          </cell>
          <cell r="C15" t="str">
            <v>Nguyen Van Nghia</v>
          </cell>
          <cell r="D15" t="str">
            <v>23/04/2024</v>
          </cell>
          <cell r="E15" t="str">
            <v>Fresh Food</v>
          </cell>
          <cell r="F15" t="str">
            <v>Fruit &amp; Vegetable</v>
          </cell>
          <cell r="G15" t="str">
            <v>Fruit &amp; Vegetable Staff</v>
          </cell>
          <cell r="I15" t="str">
            <v>NOT</v>
          </cell>
          <cell r="J15" t="str">
            <v>NOT</v>
          </cell>
          <cell r="K15" t="str">
            <v>NOT</v>
          </cell>
          <cell r="L15" t="str">
            <v>NOT</v>
          </cell>
          <cell r="M15" t="str">
            <v>NOT</v>
          </cell>
          <cell r="N15" t="str">
            <v>NOT</v>
          </cell>
          <cell r="O15" t="str">
            <v>NOT</v>
          </cell>
          <cell r="P15" t="str">
            <v>NOT</v>
          </cell>
          <cell r="Q15" t="str">
            <v>NOT</v>
          </cell>
          <cell r="R15" t="str">
            <v>NOT</v>
          </cell>
          <cell r="S15" t="str">
            <v>NOT</v>
          </cell>
          <cell r="T15" t="str">
            <v>NOT</v>
          </cell>
          <cell r="U15" t="str">
            <v>NOT</v>
          </cell>
          <cell r="V15" t="str">
            <v>NOT</v>
          </cell>
          <cell r="W15" t="str">
            <v>NOT</v>
          </cell>
          <cell r="X15" t="str">
            <v>NOT</v>
          </cell>
          <cell r="Y15" t="str">
            <v>NOT</v>
          </cell>
          <cell r="Z15" t="str">
            <v>NOT</v>
          </cell>
          <cell r="AA15" t="str">
            <v>NOT</v>
          </cell>
          <cell r="AB15" t="str">
            <v>NOT</v>
          </cell>
          <cell r="AC15" t="str">
            <v>NOT</v>
          </cell>
          <cell r="AD15" t="str">
            <v>NOT</v>
          </cell>
          <cell r="AE15" t="str">
            <v>NOT</v>
          </cell>
          <cell r="AF15" t="str">
            <v>NOT</v>
          </cell>
          <cell r="AG15" t="str">
            <v>NOT</v>
          </cell>
          <cell r="AH15" t="str">
            <v>NOT</v>
          </cell>
          <cell r="AI15" t="str">
            <v>NOT</v>
          </cell>
          <cell r="AJ15" t="str">
            <v>NOT</v>
          </cell>
          <cell r="AK15" t="str">
            <v>X</v>
          </cell>
          <cell r="AL15" t="str">
            <v>X</v>
          </cell>
          <cell r="AM15" t="str">
            <v>X</v>
          </cell>
          <cell r="AP15">
            <v>0</v>
          </cell>
          <cell r="AQ15">
            <v>0</v>
          </cell>
          <cell r="AR15">
            <v>0</v>
          </cell>
          <cell r="AS15">
            <v>3</v>
          </cell>
        </row>
        <row r="16">
          <cell r="B16" t="str">
            <v>PVT2400217</v>
          </cell>
          <cell r="C16" t="str">
            <v>Le Nha Thi</v>
          </cell>
          <cell r="D16" t="str">
            <v>24/04/2024</v>
          </cell>
          <cell r="E16" t="str">
            <v>Operation</v>
          </cell>
          <cell r="F16" t="str">
            <v>PP. Center</v>
          </cell>
          <cell r="G16" t="str">
            <v>Picker &amp; Packer Staff</v>
          </cell>
          <cell r="I16" t="str">
            <v>NOT</v>
          </cell>
          <cell r="J16" t="str">
            <v>NOT</v>
          </cell>
          <cell r="K16" t="str">
            <v>NOT</v>
          </cell>
          <cell r="L16" t="str">
            <v>NOT</v>
          </cell>
          <cell r="M16" t="str">
            <v>NOT</v>
          </cell>
          <cell r="N16" t="str">
            <v>NOT</v>
          </cell>
          <cell r="O16" t="str">
            <v>NOT</v>
          </cell>
          <cell r="P16" t="str">
            <v>NOT</v>
          </cell>
          <cell r="Q16" t="str">
            <v>NOT</v>
          </cell>
          <cell r="R16" t="str">
            <v>NOT</v>
          </cell>
          <cell r="S16" t="str">
            <v>NOT</v>
          </cell>
          <cell r="T16" t="str">
            <v>NOT</v>
          </cell>
          <cell r="U16" t="str">
            <v>NOT</v>
          </cell>
          <cell r="V16" t="str">
            <v>NOT</v>
          </cell>
          <cell r="W16" t="str">
            <v>NOT</v>
          </cell>
          <cell r="X16" t="str">
            <v>NOT</v>
          </cell>
          <cell r="Y16" t="str">
            <v>NOT</v>
          </cell>
          <cell r="Z16" t="str">
            <v>NOT</v>
          </cell>
          <cell r="AA16" t="str">
            <v>NOT</v>
          </cell>
          <cell r="AB16" t="str">
            <v>NOT</v>
          </cell>
          <cell r="AC16" t="str">
            <v>NOT</v>
          </cell>
          <cell r="AD16" t="str">
            <v>NOT</v>
          </cell>
          <cell r="AE16" t="str">
            <v>NOT</v>
          </cell>
          <cell r="AF16" t="str">
            <v>NOT</v>
          </cell>
          <cell r="AG16" t="str">
            <v>NOT</v>
          </cell>
          <cell r="AH16" t="str">
            <v>NOT</v>
          </cell>
          <cell r="AI16" t="str">
            <v>NOT</v>
          </cell>
          <cell r="AJ16" t="str">
            <v>NOT</v>
          </cell>
          <cell r="AK16" t="str">
            <v>NOT</v>
          </cell>
          <cell r="AL16" t="str">
            <v>X</v>
          </cell>
          <cell r="AM16" t="str">
            <v>X</v>
          </cell>
          <cell r="AP16">
            <v>0</v>
          </cell>
          <cell r="AQ16">
            <v>0</v>
          </cell>
          <cell r="AR16">
            <v>0</v>
          </cell>
          <cell r="AS16">
            <v>2</v>
          </cell>
        </row>
        <row r="17">
          <cell r="B17" t="str">
            <v>PVT2400218</v>
          </cell>
          <cell r="C17" t="str">
            <v>Nguyen Van Hau</v>
          </cell>
          <cell r="D17" t="str">
            <v>24/04/2024</v>
          </cell>
          <cell r="E17" t="str">
            <v>Non Food</v>
          </cell>
          <cell r="F17" t="str">
            <v>Home Décor</v>
          </cell>
          <cell r="G17" t="str">
            <v>Home Décor Staff</v>
          </cell>
          <cell r="I17" t="str">
            <v>NOT</v>
          </cell>
          <cell r="J17" t="str">
            <v>NOT</v>
          </cell>
          <cell r="K17" t="str">
            <v>NOT</v>
          </cell>
          <cell r="L17" t="str">
            <v>NOT</v>
          </cell>
          <cell r="M17" t="str">
            <v>NOT</v>
          </cell>
          <cell r="N17" t="str">
            <v>NOT</v>
          </cell>
          <cell r="O17" t="str">
            <v>NOT</v>
          </cell>
          <cell r="P17" t="str">
            <v>NOT</v>
          </cell>
          <cell r="Q17" t="str">
            <v>NOT</v>
          </cell>
          <cell r="R17" t="str">
            <v>NOT</v>
          </cell>
          <cell r="S17" t="str">
            <v>NOT</v>
          </cell>
          <cell r="T17" t="str">
            <v>NOT</v>
          </cell>
          <cell r="U17" t="str">
            <v>NOT</v>
          </cell>
          <cell r="V17" t="str">
            <v>NOT</v>
          </cell>
          <cell r="W17" t="str">
            <v>NOT</v>
          </cell>
          <cell r="X17" t="str">
            <v>NOT</v>
          </cell>
          <cell r="Y17" t="str">
            <v>NOT</v>
          </cell>
          <cell r="Z17" t="str">
            <v>NOT</v>
          </cell>
          <cell r="AA17" t="str">
            <v>NOT</v>
          </cell>
          <cell r="AB17" t="str">
            <v>NOT</v>
          </cell>
          <cell r="AC17" t="str">
            <v>NOT</v>
          </cell>
          <cell r="AD17" t="str">
            <v>NOT</v>
          </cell>
          <cell r="AE17" t="str">
            <v>NOT</v>
          </cell>
          <cell r="AF17" t="str">
            <v>NOT</v>
          </cell>
          <cell r="AG17" t="str">
            <v>NOT</v>
          </cell>
          <cell r="AH17" t="str">
            <v>NOT</v>
          </cell>
          <cell r="AI17" t="str">
            <v>NOT</v>
          </cell>
          <cell r="AJ17" t="str">
            <v>NOT</v>
          </cell>
          <cell r="AK17" t="str">
            <v>NOT</v>
          </cell>
          <cell r="AL17" t="str">
            <v>X</v>
          </cell>
          <cell r="AM17" t="str">
            <v>X</v>
          </cell>
          <cell r="AP17">
            <v>0</v>
          </cell>
          <cell r="AQ17">
            <v>0</v>
          </cell>
          <cell r="AR17">
            <v>0</v>
          </cell>
          <cell r="AS17">
            <v>2</v>
          </cell>
        </row>
        <row r="18">
          <cell r="B18" t="str">
            <v>PVT2400219</v>
          </cell>
          <cell r="C18" t="str">
            <v>Nguyen Hoang Quoc Bao</v>
          </cell>
          <cell r="D18" t="str">
            <v>24/04/2024</v>
          </cell>
          <cell r="E18" t="str">
            <v>FMCG</v>
          </cell>
          <cell r="F18" t="str">
            <v>Salted Grocery</v>
          </cell>
          <cell r="G18" t="str">
            <v>Salted Grocery Staff</v>
          </cell>
          <cell r="I18" t="str">
            <v>NOT</v>
          </cell>
          <cell r="J18" t="str">
            <v>NOT</v>
          </cell>
          <cell r="K18" t="str">
            <v>NOT</v>
          </cell>
          <cell r="L18" t="str">
            <v>NOT</v>
          </cell>
          <cell r="M18" t="str">
            <v>NOT</v>
          </cell>
          <cell r="N18" t="str">
            <v>NOT</v>
          </cell>
          <cell r="O18" t="str">
            <v>NOT</v>
          </cell>
          <cell r="P18" t="str">
            <v>NOT</v>
          </cell>
          <cell r="Q18" t="str">
            <v>NOT</v>
          </cell>
          <cell r="R18" t="str">
            <v>NOT</v>
          </cell>
          <cell r="S18" t="str">
            <v>NOT</v>
          </cell>
          <cell r="T18" t="str">
            <v>NOT</v>
          </cell>
          <cell r="U18" t="str">
            <v>NOT</v>
          </cell>
          <cell r="V18" t="str">
            <v>NOT</v>
          </cell>
          <cell r="W18" t="str">
            <v>NOT</v>
          </cell>
          <cell r="X18" t="str">
            <v>NOT</v>
          </cell>
          <cell r="Y18" t="str">
            <v>NOT</v>
          </cell>
          <cell r="Z18" t="str">
            <v>NOT</v>
          </cell>
          <cell r="AA18" t="str">
            <v>NOT</v>
          </cell>
          <cell r="AB18" t="str">
            <v>NOT</v>
          </cell>
          <cell r="AC18" t="str">
            <v>NOT</v>
          </cell>
          <cell r="AD18" t="str">
            <v>NOT</v>
          </cell>
          <cell r="AE18" t="str">
            <v>NOT</v>
          </cell>
          <cell r="AF18" t="str">
            <v>NOT</v>
          </cell>
          <cell r="AG18" t="str">
            <v>NOT</v>
          </cell>
          <cell r="AH18" t="str">
            <v>NOT</v>
          </cell>
          <cell r="AI18" t="str">
            <v>NOT</v>
          </cell>
          <cell r="AJ18" t="str">
            <v>NOT</v>
          </cell>
          <cell r="AK18" t="str">
            <v>NOT</v>
          </cell>
          <cell r="AL18" t="str">
            <v>X</v>
          </cell>
          <cell r="AM18" t="str">
            <v>X</v>
          </cell>
          <cell r="AP18">
            <v>0</v>
          </cell>
          <cell r="AQ18">
            <v>0</v>
          </cell>
          <cell r="AR18">
            <v>0</v>
          </cell>
          <cell r="AS18">
            <v>2</v>
          </cell>
        </row>
        <row r="19">
          <cell r="B19" t="str">
            <v>PVT2400220</v>
          </cell>
          <cell r="C19" t="str">
            <v>Lam Nhat Minh Quan</v>
          </cell>
          <cell r="D19" t="str">
            <v>24/04/2024</v>
          </cell>
          <cell r="E19" t="str">
            <v>FMCG</v>
          </cell>
          <cell r="F19" t="str">
            <v>D&amp;F</v>
          </cell>
          <cell r="G19" t="str">
            <v>D&amp;F Staff</v>
          </cell>
          <cell r="I19" t="str">
            <v>NOT</v>
          </cell>
          <cell r="J19" t="str">
            <v>NOT</v>
          </cell>
          <cell r="K19" t="str">
            <v>NOT</v>
          </cell>
          <cell r="L19" t="str">
            <v>NOT</v>
          </cell>
          <cell r="M19" t="str">
            <v>NOT</v>
          </cell>
          <cell r="N19" t="str">
            <v>NOT</v>
          </cell>
          <cell r="O19" t="str">
            <v>NOT</v>
          </cell>
          <cell r="P19" t="str">
            <v>NOT</v>
          </cell>
          <cell r="Q19" t="str">
            <v>NOT</v>
          </cell>
          <cell r="R19" t="str">
            <v>NOT</v>
          </cell>
          <cell r="S19" t="str">
            <v>NOT</v>
          </cell>
          <cell r="T19" t="str">
            <v>NOT</v>
          </cell>
          <cell r="U19" t="str">
            <v>NOT</v>
          </cell>
          <cell r="V19" t="str">
            <v>NOT</v>
          </cell>
          <cell r="W19" t="str">
            <v>NOT</v>
          </cell>
          <cell r="X19" t="str">
            <v>NOT</v>
          </cell>
          <cell r="Y19" t="str">
            <v>NOT</v>
          </cell>
          <cell r="Z19" t="str">
            <v>NOT</v>
          </cell>
          <cell r="AA19" t="str">
            <v>NOT</v>
          </cell>
          <cell r="AB19" t="str">
            <v>NOT</v>
          </cell>
          <cell r="AC19" t="str">
            <v>NOT</v>
          </cell>
          <cell r="AD19" t="str">
            <v>NOT</v>
          </cell>
          <cell r="AE19" t="str">
            <v>NOT</v>
          </cell>
          <cell r="AF19" t="str">
            <v>NOT</v>
          </cell>
          <cell r="AG19" t="str">
            <v>NOT</v>
          </cell>
          <cell r="AH19" t="str">
            <v>NOT</v>
          </cell>
          <cell r="AI19" t="str">
            <v>NOT</v>
          </cell>
          <cell r="AJ19" t="str">
            <v>NOT</v>
          </cell>
          <cell r="AK19" t="str">
            <v>NOT</v>
          </cell>
          <cell r="AL19" t="str">
            <v>X</v>
          </cell>
          <cell r="AM19" t="str">
            <v>X</v>
          </cell>
          <cell r="AP19">
            <v>0</v>
          </cell>
          <cell r="AQ19">
            <v>0</v>
          </cell>
          <cell r="AR19">
            <v>0</v>
          </cell>
          <cell r="AS19">
            <v>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5567C-224D-4C12-935F-73BDB291D854}">
  <sheetPr>
    <tabColor rgb="FF00B0F0"/>
  </sheetPr>
  <dimension ref="A1:CH25"/>
  <sheetViews>
    <sheetView tabSelected="1" zoomScale="130" zoomScaleNormal="130" zoomScaleSheetLayoutView="80" workbookViewId="0">
      <pane xSplit="4" ySplit="4" topLeftCell="AQ5" activePane="bottomRight" state="frozen"/>
      <selection activeCell="D16" sqref="D16"/>
      <selection pane="topRight" activeCell="D16" sqref="D16"/>
      <selection pane="bottomLeft" activeCell="D16" sqref="D16"/>
      <selection pane="bottomRight" activeCell="B4" sqref="B4"/>
    </sheetView>
  </sheetViews>
  <sheetFormatPr baseColWidth="10" defaultColWidth="9.33203125" defaultRowHeight="14" outlineLevelCol="1"/>
  <cols>
    <col min="1" max="1" width="5.6640625" style="32" customWidth="1"/>
    <col min="2" max="2" width="14.1640625" style="32" customWidth="1"/>
    <col min="3" max="3" width="12.5" style="32" customWidth="1" outlineLevel="1"/>
    <col min="4" max="4" width="19.5" style="33" customWidth="1"/>
    <col min="5" max="5" width="15.6640625" style="32" customWidth="1"/>
    <col min="6" max="6" width="26.1640625" style="32" customWidth="1" outlineLevel="1"/>
    <col min="7" max="7" width="17.5" style="32" customWidth="1"/>
    <col min="8" max="8" width="13" style="32" customWidth="1"/>
    <col min="9" max="9" width="15.33203125" style="32" customWidth="1" outlineLevel="1"/>
    <col min="10" max="12" width="15.83203125" style="32" customWidth="1"/>
    <col min="13" max="13" width="9.5" style="32" customWidth="1"/>
    <col min="14" max="14" width="16" style="32" customWidth="1"/>
    <col min="15" max="15" width="9.33203125" style="32" customWidth="1" outlineLevel="1"/>
    <col min="16" max="16" width="13.33203125" style="32" customWidth="1" outlineLevel="1"/>
    <col min="17" max="17" width="17.1640625" style="32" customWidth="1" outlineLevel="1"/>
    <col min="18" max="18" width="17.6640625" style="32" customWidth="1"/>
    <col min="19" max="19" width="12.83203125" style="32" customWidth="1" outlineLevel="1"/>
    <col min="20" max="20" width="14.5" style="32" customWidth="1" outlineLevel="1"/>
    <col min="21" max="21" width="16.5" style="32" customWidth="1"/>
    <col min="22" max="22" width="15" style="34" customWidth="1" outlineLevel="1"/>
    <col min="23" max="23" width="14.83203125" style="34" customWidth="1" outlineLevel="1"/>
    <col min="24" max="24" width="12.5" style="34" customWidth="1" outlineLevel="1"/>
    <col min="25" max="25" width="13.33203125" style="32" customWidth="1"/>
    <col min="26" max="26" width="13.5" style="32" customWidth="1" outlineLevel="1"/>
    <col min="27" max="27" width="12.6640625" style="32" customWidth="1"/>
    <col min="28" max="28" width="12.5" style="32" customWidth="1"/>
    <col min="29" max="29" width="12" style="32" customWidth="1" outlineLevel="1"/>
    <col min="30" max="30" width="12.33203125" style="32" customWidth="1"/>
    <col min="31" max="31" width="8.5" style="32" customWidth="1"/>
    <col min="32" max="33" width="13.5" style="32" customWidth="1"/>
    <col min="34" max="34" width="12.5" style="32" customWidth="1"/>
    <col min="35" max="35" width="11.83203125" style="32" customWidth="1"/>
    <col min="36" max="37" width="14.6640625" style="32" customWidth="1"/>
    <col min="38" max="38" width="13.5" style="32" customWidth="1"/>
    <col min="39" max="39" width="13" style="32" customWidth="1"/>
    <col min="40" max="40" width="15.1640625" style="32" customWidth="1"/>
    <col min="41" max="41" width="6" style="32" customWidth="1"/>
    <col min="42" max="42" width="18.1640625" style="32" bestFit="1" customWidth="1"/>
    <col min="43" max="43" width="14.5" style="32" customWidth="1" outlineLevel="1"/>
    <col min="44" max="44" width="12.5" style="32" customWidth="1" outlineLevel="1"/>
    <col min="45" max="45" width="13.6640625" style="32" customWidth="1" outlineLevel="1"/>
    <col min="46" max="46" width="15.5" style="32" customWidth="1"/>
    <col min="47" max="49" width="13" style="32" customWidth="1"/>
    <col min="50" max="50" width="9.1640625" style="32" customWidth="1"/>
    <col min="51" max="51" width="11.5" style="32" customWidth="1"/>
    <col min="52" max="52" width="14" style="32" customWidth="1"/>
    <col min="53" max="53" width="12.5" style="32" customWidth="1" outlineLevel="1"/>
    <col min="54" max="54" width="12.33203125" style="32" customWidth="1" outlineLevel="1"/>
    <col min="55" max="55" width="12.5" style="32" customWidth="1" outlineLevel="1"/>
    <col min="56" max="56" width="15.33203125" style="32" customWidth="1" outlineLevel="1"/>
    <col min="57" max="57" width="15" style="32" customWidth="1"/>
    <col min="58" max="59" width="15.83203125" style="32" bestFit="1" customWidth="1"/>
    <col min="60" max="60" width="12.1640625" style="32" customWidth="1"/>
    <col min="61" max="61" width="11" style="32" customWidth="1"/>
    <col min="62" max="62" width="13" style="32" customWidth="1"/>
    <col min="63" max="63" width="14" style="32" customWidth="1"/>
    <col min="64" max="64" width="12.1640625" style="32" customWidth="1"/>
    <col min="65" max="65" width="18.6640625" style="32" customWidth="1"/>
    <col min="66" max="66" width="13.83203125" style="32" customWidth="1"/>
    <col min="67" max="67" width="14.5" style="32" customWidth="1" outlineLevel="1"/>
    <col min="68" max="68" width="14.33203125" style="32" customWidth="1" outlineLevel="1"/>
    <col min="69" max="69" width="15.6640625" style="32" customWidth="1" outlineLevel="1"/>
    <col min="70" max="75" width="13.6640625" style="32" customWidth="1" outlineLevel="1"/>
    <col min="76" max="76" width="15.5" style="32" customWidth="1" outlineLevel="1"/>
    <col min="77" max="77" width="18.1640625" style="32" bestFit="1" customWidth="1"/>
    <col min="78" max="78" width="9.33203125" style="32" customWidth="1"/>
    <col min="79" max="80" width="9.33203125" style="32"/>
    <col min="81" max="81" width="11.33203125" style="32" bestFit="1" customWidth="1"/>
    <col min="82" max="84" width="9.33203125" style="32"/>
    <col min="85" max="85" width="18.5" style="32" bestFit="1" customWidth="1"/>
    <col min="86" max="86" width="13.5" style="32" bestFit="1" customWidth="1"/>
    <col min="87" max="16384" width="9.33203125" style="32"/>
  </cols>
  <sheetData>
    <row r="1" spans="1:86" ht="35">
      <c r="A1" s="87" t="s">
        <v>180</v>
      </c>
      <c r="B1" s="87"/>
    </row>
    <row r="2" spans="1:86" ht="22.5" customHeight="1">
      <c r="A2" s="35" t="s">
        <v>0</v>
      </c>
      <c r="C2" s="88"/>
      <c r="D2" s="89">
        <v>45773</v>
      </c>
      <c r="Y2" s="36"/>
      <c r="Z2" s="90"/>
      <c r="AA2" s="90"/>
      <c r="AB2" s="90"/>
      <c r="AC2" s="90"/>
      <c r="AK2" s="308"/>
      <c r="AL2" s="308"/>
      <c r="AM2" s="308"/>
      <c r="AN2" s="308"/>
      <c r="AO2" s="308"/>
      <c r="AP2" s="308"/>
      <c r="AQ2" s="35"/>
      <c r="AR2" s="35"/>
      <c r="AS2" s="35"/>
      <c r="AT2" s="35"/>
    </row>
    <row r="3" spans="1:86" s="276" customFormat="1" ht="48" customHeight="1">
      <c r="A3" s="273"/>
      <c r="B3" s="273"/>
      <c r="C3" s="273"/>
      <c r="D3" s="274"/>
      <c r="E3" s="273"/>
      <c r="F3" s="273"/>
      <c r="G3" s="273"/>
      <c r="H3" s="273"/>
      <c r="I3" s="273"/>
      <c r="J3" s="275"/>
      <c r="K3" s="273"/>
      <c r="M3" s="273"/>
      <c r="N3" s="275"/>
      <c r="O3" s="275"/>
      <c r="P3" s="275"/>
      <c r="Q3" s="275"/>
      <c r="R3" s="275"/>
      <c r="V3" s="275"/>
      <c r="W3" s="275"/>
      <c r="X3" s="275"/>
      <c r="Y3" s="275"/>
      <c r="Z3" s="275"/>
      <c r="AA3" s="275"/>
      <c r="AB3" s="275"/>
      <c r="AC3" s="275"/>
      <c r="AD3" s="275"/>
      <c r="AE3" s="275"/>
      <c r="AF3" s="275"/>
      <c r="AG3" s="275"/>
      <c r="AH3" s="275"/>
      <c r="AJ3" s="273"/>
      <c r="AK3" s="277"/>
      <c r="AL3" s="277"/>
      <c r="AN3" s="277"/>
      <c r="AO3" s="277"/>
      <c r="AT3" s="280"/>
      <c r="AU3" s="277"/>
      <c r="AV3" s="277"/>
      <c r="AW3" s="277"/>
      <c r="AX3" s="277"/>
      <c r="AY3" s="281"/>
      <c r="AZ3" s="277"/>
      <c r="BE3" s="280"/>
      <c r="BH3" s="285"/>
      <c r="BI3" s="285"/>
      <c r="BJ3" s="277"/>
      <c r="BK3" s="277"/>
      <c r="BM3" s="281"/>
      <c r="BN3" s="277"/>
      <c r="BO3" s="277"/>
      <c r="BP3" s="277"/>
      <c r="BQ3" s="277"/>
      <c r="BR3" s="277"/>
      <c r="BS3" s="277"/>
      <c r="BT3" s="277"/>
      <c r="BU3" s="277"/>
      <c r="BV3" s="277"/>
      <c r="BW3" s="277"/>
      <c r="BX3" s="277"/>
    </row>
    <row r="4" spans="1:86" s="31" customFormat="1" ht="75.75" customHeight="1">
      <c r="A4" s="92" t="s">
        <v>23</v>
      </c>
      <c r="B4" s="92" t="s">
        <v>26</v>
      </c>
      <c r="C4" s="92" t="s">
        <v>131</v>
      </c>
      <c r="D4" s="93" t="s">
        <v>27</v>
      </c>
      <c r="E4" s="92" t="s">
        <v>132</v>
      </c>
      <c r="F4" s="92" t="s">
        <v>11</v>
      </c>
      <c r="G4" s="92" t="s">
        <v>28</v>
      </c>
      <c r="H4" s="92" t="s">
        <v>13</v>
      </c>
      <c r="I4" s="92" t="s">
        <v>107</v>
      </c>
      <c r="J4" s="283" t="s">
        <v>116</v>
      </c>
      <c r="K4" s="283" t="s">
        <v>133</v>
      </c>
      <c r="L4" s="283" t="s">
        <v>117</v>
      </c>
      <c r="M4" s="92" t="s">
        <v>134</v>
      </c>
      <c r="N4" s="92" t="s">
        <v>120</v>
      </c>
      <c r="O4" s="92" t="s">
        <v>118</v>
      </c>
      <c r="P4" s="92" t="s">
        <v>121</v>
      </c>
      <c r="Q4" s="92" t="s">
        <v>170</v>
      </c>
      <c r="R4" s="92" t="s">
        <v>119</v>
      </c>
      <c r="S4" s="92" t="s">
        <v>122</v>
      </c>
      <c r="T4" s="92" t="s">
        <v>171</v>
      </c>
      <c r="U4" s="92" t="s">
        <v>123</v>
      </c>
      <c r="V4" s="283" t="s">
        <v>14</v>
      </c>
      <c r="W4" s="283" t="s">
        <v>15</v>
      </c>
      <c r="X4" s="283" t="s">
        <v>16</v>
      </c>
      <c r="Y4" s="92" t="s">
        <v>17</v>
      </c>
      <c r="Z4" s="92" t="s">
        <v>114</v>
      </c>
      <c r="AA4" s="92" t="s">
        <v>18</v>
      </c>
      <c r="AB4" s="92" t="s">
        <v>135</v>
      </c>
      <c r="AC4" s="283" t="s">
        <v>108</v>
      </c>
      <c r="AD4" s="283" t="s">
        <v>136</v>
      </c>
      <c r="AE4" s="92" t="s">
        <v>109</v>
      </c>
      <c r="AF4" s="92" t="s">
        <v>110</v>
      </c>
      <c r="AG4" s="92" t="s">
        <v>111</v>
      </c>
      <c r="AH4" s="92" t="s">
        <v>137</v>
      </c>
      <c r="AI4" s="283" t="s">
        <v>124</v>
      </c>
      <c r="AJ4" s="92" t="s">
        <v>125</v>
      </c>
      <c r="AK4" s="92" t="s">
        <v>100</v>
      </c>
      <c r="AL4" s="92" t="s">
        <v>126</v>
      </c>
      <c r="AM4" s="92" t="s">
        <v>138</v>
      </c>
      <c r="AN4" s="92" t="s">
        <v>46</v>
      </c>
      <c r="AO4" s="283" t="s">
        <v>1</v>
      </c>
      <c r="AP4" s="92" t="s">
        <v>128</v>
      </c>
      <c r="AQ4" s="94" t="s">
        <v>139</v>
      </c>
      <c r="AR4" s="94" t="s">
        <v>140</v>
      </c>
      <c r="AS4" s="94" t="s">
        <v>141</v>
      </c>
      <c r="AT4" s="94" t="s">
        <v>142</v>
      </c>
      <c r="AU4" s="92" t="s">
        <v>143</v>
      </c>
      <c r="AV4" s="92" t="s">
        <v>144</v>
      </c>
      <c r="AW4" s="92" t="s">
        <v>145</v>
      </c>
      <c r="AX4" s="92" t="s">
        <v>2</v>
      </c>
      <c r="AY4" s="92" t="s">
        <v>3</v>
      </c>
      <c r="AZ4" s="92" t="s">
        <v>146</v>
      </c>
      <c r="BA4" s="94" t="s">
        <v>147</v>
      </c>
      <c r="BB4" s="94" t="s">
        <v>148</v>
      </c>
      <c r="BC4" s="94" t="s">
        <v>141</v>
      </c>
      <c r="BD4" s="94" t="s">
        <v>149</v>
      </c>
      <c r="BE4" s="94" t="s">
        <v>150</v>
      </c>
      <c r="BF4" s="95" t="s">
        <v>151</v>
      </c>
      <c r="BG4" s="95" t="s">
        <v>152</v>
      </c>
      <c r="BH4" s="284" t="s">
        <v>101</v>
      </c>
      <c r="BI4" s="284" t="s">
        <v>102</v>
      </c>
      <c r="BJ4" s="92" t="s">
        <v>103</v>
      </c>
      <c r="BK4" s="92" t="s">
        <v>104</v>
      </c>
      <c r="BL4" s="92" t="s">
        <v>127</v>
      </c>
      <c r="BM4" s="92" t="s">
        <v>4</v>
      </c>
      <c r="BN4" s="92" t="s">
        <v>153</v>
      </c>
      <c r="BO4" s="283" t="s">
        <v>105</v>
      </c>
      <c r="BP4" s="283" t="s">
        <v>106</v>
      </c>
      <c r="BQ4" s="92" t="s">
        <v>5</v>
      </c>
      <c r="BR4" s="92" t="s">
        <v>6</v>
      </c>
      <c r="BS4" s="92" t="s">
        <v>234</v>
      </c>
      <c r="BT4" s="92" t="s">
        <v>235</v>
      </c>
      <c r="BU4" s="92" t="s">
        <v>236</v>
      </c>
      <c r="BV4" s="92" t="s">
        <v>237</v>
      </c>
      <c r="BW4" s="283" t="s">
        <v>238</v>
      </c>
      <c r="BX4" s="96" t="s">
        <v>7</v>
      </c>
    </row>
    <row r="5" spans="1:86" s="295" customFormat="1" ht="35">
      <c r="A5" s="287"/>
      <c r="B5" s="287"/>
      <c r="C5" s="287"/>
      <c r="D5" s="288"/>
      <c r="E5" s="287"/>
      <c r="F5" s="287"/>
      <c r="G5" s="287"/>
      <c r="H5" s="287"/>
      <c r="I5" s="287"/>
      <c r="J5" s="289"/>
      <c r="K5" s="290"/>
      <c r="L5" s="290"/>
      <c r="M5" s="287"/>
      <c r="N5" s="287"/>
      <c r="O5" s="287"/>
      <c r="P5" s="287"/>
      <c r="Q5" s="287"/>
      <c r="R5" s="287"/>
      <c r="S5" s="287"/>
      <c r="T5" s="287"/>
      <c r="U5" s="287"/>
      <c r="V5" s="290"/>
      <c r="W5" s="290"/>
      <c r="X5" s="290"/>
      <c r="Y5" s="287"/>
      <c r="Z5" s="287"/>
      <c r="AA5" s="287"/>
      <c r="AB5" s="287"/>
      <c r="AC5" s="290"/>
      <c r="AD5" s="290"/>
      <c r="AE5" s="287"/>
      <c r="AF5" s="287"/>
      <c r="AG5" s="287"/>
      <c r="AH5" s="287"/>
      <c r="AI5" s="290"/>
      <c r="AJ5" s="287"/>
      <c r="AK5" s="287"/>
      <c r="AL5" s="287"/>
      <c r="AM5" s="287"/>
      <c r="AN5" s="287"/>
      <c r="AO5" s="290"/>
      <c r="AP5" s="287"/>
      <c r="AQ5" s="291"/>
      <c r="AR5" s="291"/>
      <c r="AS5" s="291"/>
      <c r="AT5" s="291"/>
      <c r="AU5" s="287"/>
      <c r="AV5" s="287"/>
      <c r="AW5" s="287"/>
      <c r="AX5" s="287"/>
      <c r="AY5" s="287"/>
      <c r="AZ5" s="287"/>
      <c r="BA5" s="291"/>
      <c r="BB5" s="291"/>
      <c r="BC5" s="291"/>
      <c r="BD5" s="291"/>
      <c r="BE5" s="291"/>
      <c r="BF5" s="292"/>
      <c r="BG5" s="292"/>
      <c r="BH5" s="293"/>
      <c r="BI5" s="293"/>
      <c r="BJ5" s="287"/>
      <c r="BK5" s="287"/>
      <c r="BL5" s="287"/>
      <c r="BM5" s="287"/>
      <c r="BN5" s="287"/>
      <c r="BO5" s="290"/>
      <c r="BP5" s="290"/>
      <c r="BQ5" s="287"/>
      <c r="BR5" s="287"/>
      <c r="BS5" s="287"/>
      <c r="BT5" s="287"/>
      <c r="BU5" s="287"/>
      <c r="BV5" s="287"/>
      <c r="BW5" s="290"/>
      <c r="BX5" s="294"/>
      <c r="BY5" s="278">
        <v>6200000</v>
      </c>
      <c r="BZ5" s="279">
        <v>0.08</v>
      </c>
      <c r="CA5" s="279">
        <v>1.4999999999999999E-2</v>
      </c>
      <c r="CB5" s="279">
        <v>0.01</v>
      </c>
      <c r="CC5" s="279">
        <v>0.17</v>
      </c>
      <c r="CD5" s="279">
        <v>0.03</v>
      </c>
      <c r="CE5" s="279">
        <v>0.01</v>
      </c>
      <c r="CF5" s="279">
        <v>5.0000000000000001E-3</v>
      </c>
      <c r="CG5" s="282">
        <f>2340000*20</f>
        <v>46800000</v>
      </c>
      <c r="CH5" s="282">
        <f>4960000*20</f>
        <v>99200000</v>
      </c>
    </row>
    <row r="6" spans="1:86" s="85" customFormat="1" ht="22.5" customHeight="1">
      <c r="A6" s="97">
        <v>1</v>
      </c>
      <c r="B6" s="97" t="s">
        <v>173</v>
      </c>
      <c r="C6" s="97"/>
      <c r="D6" s="98" t="s">
        <v>181</v>
      </c>
      <c r="E6" s="99" t="s">
        <v>98</v>
      </c>
      <c r="F6" s="99" t="s">
        <v>162</v>
      </c>
      <c r="G6" s="100" t="s">
        <v>154</v>
      </c>
      <c r="H6" s="100" t="s">
        <v>19</v>
      </c>
      <c r="I6" s="100" t="s">
        <v>112</v>
      </c>
      <c r="J6" s="101">
        <v>47000000</v>
      </c>
      <c r="K6" s="102">
        <v>10870000</v>
      </c>
      <c r="L6" s="102">
        <f t="shared" ref="L6:L13" si="0">J6-K6</f>
        <v>36130000</v>
      </c>
      <c r="M6" s="102">
        <v>26</v>
      </c>
      <c r="N6" s="103">
        <f>IFERROR(VLOOKUP(B6,' TimeTB 1'!$B$4:$AT$5,5,0),0)</f>
        <v>0</v>
      </c>
      <c r="O6" s="103">
        <f>VLOOKUP(B6,'TimeTB 2'!$B$4:$O$11,14,0)</f>
        <v>26</v>
      </c>
      <c r="P6" s="104">
        <f>ROUND(K6/M6*N6,0)</f>
        <v>0</v>
      </c>
      <c r="Q6" s="104">
        <f t="shared" ref="Q6:Q13" si="1">ROUND(K6/M6*O6,0)</f>
        <v>10870000</v>
      </c>
      <c r="R6" s="102">
        <f t="shared" ref="R6:R12" si="2">SUM(P6:Q6)</f>
        <v>10870000</v>
      </c>
      <c r="S6" s="104">
        <f t="shared" ref="S6:S13" si="3">ROUND(L6/26*N6,0)</f>
        <v>0</v>
      </c>
      <c r="T6" s="104">
        <f t="shared" ref="T6:T13" si="4">ROUND(L6/26*O6,0)</f>
        <v>36130000</v>
      </c>
      <c r="U6" s="102">
        <f t="shared" ref="U6:U13" si="5">SUM(S6:T6)</f>
        <v>36130000</v>
      </c>
      <c r="V6" s="102">
        <v>0</v>
      </c>
      <c r="W6" s="102">
        <v>0</v>
      </c>
      <c r="X6" s="102">
        <v>0</v>
      </c>
      <c r="Y6" s="102">
        <f>VLOOKUP(B6,'PC cơm '!$A$3:$K$11,11,0)</f>
        <v>1000000</v>
      </c>
      <c r="Z6" s="102">
        <f>SUM(V6:Y6)</f>
        <v>1000000</v>
      </c>
      <c r="AA6" s="102">
        <f>VLOOKUP(B6,OT!$A$3:$S$10,17,0)</f>
        <v>0</v>
      </c>
      <c r="AB6" s="102">
        <f>VLOOKUP(B6,NS!$A$2:$F$5,6,0)</f>
        <v>135577</v>
      </c>
      <c r="AC6" s="102">
        <v>0</v>
      </c>
      <c r="AD6" s="102">
        <v>0</v>
      </c>
      <c r="AE6" s="103">
        <v>0</v>
      </c>
      <c r="AF6" s="105">
        <f t="shared" ref="AF6:AF13" si="6">ROUND(J6/26*AE6,0)</f>
        <v>0</v>
      </c>
      <c r="AG6" s="105">
        <f>IFERROR(VLOOKUP(B6,Incentive!$A$2:$J$8,7,0),0)</f>
        <v>0</v>
      </c>
      <c r="AH6" s="105">
        <f>SUMIF(Others!$B$3:$B$9,$B6,Others!$F$3:$F$9)</f>
        <v>0</v>
      </c>
      <c r="AI6" s="105">
        <v>0</v>
      </c>
      <c r="AJ6" s="102">
        <f>AI6+AH6+AG6+AF6+AD6+AC6+AB6+AA6+Z6+U6+R6+BN6</f>
        <v>48335577</v>
      </c>
      <c r="AK6" s="102">
        <f>VLOOKUP(B6,OT!$A$3:$S$12,19,0)</f>
        <v>0</v>
      </c>
      <c r="AL6" s="102">
        <f>VLOOKUP(B6,NS!$A$2:$H$10,8,0)</f>
        <v>135577</v>
      </c>
      <c r="AM6" s="102">
        <f>AI6</f>
        <v>0</v>
      </c>
      <c r="AN6" s="102">
        <f>IF(BT6=1,0,15500000)</f>
        <v>15500000</v>
      </c>
      <c r="AO6" s="103">
        <v>4</v>
      </c>
      <c r="AP6" s="102">
        <f t="shared" ref="AP6:AP13" si="7">AO6*$BY$5</f>
        <v>24800000</v>
      </c>
      <c r="AQ6" s="102">
        <f t="shared" ref="AQ6:AQ13" si="8">BF6*$BZ$5</f>
        <v>869600</v>
      </c>
      <c r="AR6" s="102">
        <f t="shared" ref="AR6:AR13" si="9">BF6*$CA$5</f>
        <v>163050</v>
      </c>
      <c r="AS6" s="102">
        <f t="shared" ref="AS6:AS13" si="10">BG6*$CB$5</f>
        <v>108700</v>
      </c>
      <c r="AT6" s="105">
        <f>+AS6+AR6+AQ6</f>
        <v>1141350</v>
      </c>
      <c r="AU6" s="105">
        <f>IF(BT6=1,0,MIN(Y6,730000))</f>
        <v>730000</v>
      </c>
      <c r="AV6" s="105">
        <f>AJ6-AK6-AL6-AM6-AU6</f>
        <v>47470000</v>
      </c>
      <c r="AW6" s="105">
        <f>MAX(AV6-AN6-AP6-AT6,0)</f>
        <v>6028650</v>
      </c>
      <c r="AX6" s="106">
        <f t="shared" ref="AX6:AX13" si="11">IF(BT6=1,10%,IF(AW6&gt;0,IF(AW6&gt;80000000,0.35,IF(AW6&gt;52000000,0.3,IF(AW6&gt;32000000,0.25,IF(AW6&gt;18000000,0.2,IF(AW6&gt;10000000,0.15,IF(AW6&gt;5000000,0.1,0.05)))))),0))</f>
        <v>0.1</v>
      </c>
      <c r="AY6" s="107">
        <f>IF(BT6=1,0,IF(AW6&gt;80000000,9850000,IF(AW6&gt;52000000,5850000,IF(AW6&gt;32000000,3250000,IF(AW6&gt;18000000,1650000,IF(AW6&gt;10000000,750000,IF(AW6&gt;5000000,250000,0)))))))</f>
        <v>250000</v>
      </c>
      <c r="AZ6" s="108">
        <f>ROUND(AW6*AX6-AY6,0)</f>
        <v>352865</v>
      </c>
      <c r="BA6" s="102">
        <f t="shared" ref="BA6:BA13" si="12">BF6*$CC$5</f>
        <v>1847900.0000000002</v>
      </c>
      <c r="BB6" s="102">
        <f t="shared" ref="BB6:BB13" si="13">BF6*$CD$5</f>
        <v>326100</v>
      </c>
      <c r="BC6" s="102">
        <f t="shared" ref="BC6:BC13" si="14">BG6*$CE$5</f>
        <v>108700</v>
      </c>
      <c r="BD6" s="102">
        <f t="shared" ref="BD6:BD13" si="15">BG6*$CF$5</f>
        <v>54350</v>
      </c>
      <c r="BE6" s="102">
        <f>SUM(BA6:BD6)</f>
        <v>2337050</v>
      </c>
      <c r="BF6" s="102">
        <f t="shared" ref="BF6:BF13" si="16">MIN((IF(BS6=1,K6,0)),$CG$5)</f>
        <v>10870000</v>
      </c>
      <c r="BG6" s="102">
        <f t="shared" ref="BG6:BG13" si="17">MIN((IF(BS6=1,K6,0)),$CH$5)</f>
        <v>10870000</v>
      </c>
      <c r="BH6" s="102">
        <v>0</v>
      </c>
      <c r="BI6" s="102">
        <v>0</v>
      </c>
      <c r="BJ6" s="102">
        <f>IF(BS6=1,BF6*2%,0)</f>
        <v>217400</v>
      </c>
      <c r="BK6" s="102">
        <f>IF(BU6=1,40000,0)</f>
        <v>40000</v>
      </c>
      <c r="BL6" s="102">
        <f t="shared" ref="BL6:BL13" si="18">IF(BV6=0,0,IF(J6&lt;11000000,5000,IF(J6&lt;25000000,10000,IF(J6&lt;40000000,15000,20000)))*BW6)</f>
        <v>0</v>
      </c>
      <c r="BM6" s="109">
        <f>AJ6-AT6-AZ6-BK6-BL6-BN6-BO6-BP6</f>
        <v>46601362</v>
      </c>
      <c r="BN6" s="105">
        <f>IFERROR(VLOOKUP(B6,'Benefit tính thuế'!$A$2:$G$12,7,0),0)</f>
        <v>200000</v>
      </c>
      <c r="BO6" s="109">
        <v>0</v>
      </c>
      <c r="BP6" s="109">
        <v>0</v>
      </c>
      <c r="BQ6" s="110">
        <f>AN6+AP6+AU6</f>
        <v>41030000</v>
      </c>
      <c r="BR6" s="110">
        <f>+AZ6+AT6</f>
        <v>1494215</v>
      </c>
      <c r="BS6" s="110">
        <v>1</v>
      </c>
      <c r="BT6" s="111">
        <v>0</v>
      </c>
      <c r="BU6" s="110">
        <v>1</v>
      </c>
      <c r="BV6" s="110">
        <v>0</v>
      </c>
      <c r="BW6" s="110">
        <v>20</v>
      </c>
      <c r="BX6" s="112"/>
    </row>
    <row r="7" spans="1:86" s="85" customFormat="1" ht="22.5" customHeight="1">
      <c r="A7" s="70">
        <v>1</v>
      </c>
      <c r="B7" s="70" t="s">
        <v>174</v>
      </c>
      <c r="C7" s="70"/>
      <c r="D7" s="71" t="s">
        <v>182</v>
      </c>
      <c r="E7" s="72" t="s">
        <v>80</v>
      </c>
      <c r="F7" s="72" t="s">
        <v>163</v>
      </c>
      <c r="G7" s="73" t="s">
        <v>155</v>
      </c>
      <c r="H7" s="73" t="s">
        <v>19</v>
      </c>
      <c r="I7" s="73" t="s">
        <v>99</v>
      </c>
      <c r="J7" s="74">
        <v>31000000</v>
      </c>
      <c r="K7" s="74">
        <v>8350000</v>
      </c>
      <c r="L7" s="74">
        <f t="shared" si="0"/>
        <v>22650000</v>
      </c>
      <c r="M7" s="74">
        <v>26</v>
      </c>
      <c r="N7" s="75">
        <f>IFERROR(VLOOKUP(B7,' TimeTB 1'!$B$4:$AT$5,5,0),0)</f>
        <v>0</v>
      </c>
      <c r="O7" s="75">
        <f>VLOOKUP(B7,'TimeTB 2'!$B$4:$O$11,14,0)</f>
        <v>26</v>
      </c>
      <c r="P7" s="76">
        <f t="shared" ref="P7:P13" si="19">ROUND((K7/M7*N7),0)</f>
        <v>0</v>
      </c>
      <c r="Q7" s="76">
        <f t="shared" si="1"/>
        <v>8350000</v>
      </c>
      <c r="R7" s="74">
        <f t="shared" si="2"/>
        <v>8350000</v>
      </c>
      <c r="S7" s="76">
        <f t="shared" si="3"/>
        <v>0</v>
      </c>
      <c r="T7" s="76">
        <f t="shared" si="4"/>
        <v>22650000</v>
      </c>
      <c r="U7" s="74">
        <f t="shared" si="5"/>
        <v>22650000</v>
      </c>
      <c r="V7" s="74">
        <v>0</v>
      </c>
      <c r="W7" s="74">
        <v>0</v>
      </c>
      <c r="X7" s="74">
        <v>0</v>
      </c>
      <c r="Y7" s="74">
        <f>VLOOKUP(B7,'PC cơm '!$A$3:$K$11,11,0)</f>
        <v>1120000</v>
      </c>
      <c r="Z7" s="74">
        <f>SUM(V7:Y7)</f>
        <v>1120000</v>
      </c>
      <c r="AA7" s="74">
        <f>VLOOKUP(B7,OT!$A$3:$S$10,17,0)</f>
        <v>5827403</v>
      </c>
      <c r="AB7" s="74">
        <f>VLOOKUP(B7,NS!$A$2:$H$9,6,0)</f>
        <v>134135</v>
      </c>
      <c r="AC7" s="74">
        <v>0</v>
      </c>
      <c r="AD7" s="74">
        <v>0</v>
      </c>
      <c r="AE7" s="75">
        <v>0</v>
      </c>
      <c r="AF7" s="77">
        <f t="shared" si="6"/>
        <v>0</v>
      </c>
      <c r="AG7" s="77">
        <f>IFERROR(VLOOKUP(B7,Incentive!$A$2:$J$8,7,0),0)</f>
        <v>0</v>
      </c>
      <c r="AH7" s="77">
        <f>SUMIF(Others!$B$3:$B$9,$B7,Others!$F$3:$F$9)</f>
        <v>0</v>
      </c>
      <c r="AI7" s="77">
        <v>0</v>
      </c>
      <c r="AJ7" s="74">
        <f>AI7+AH7+AG7+AF7+AD7+AC7+AB7+AA7+Z7+U7+R7+BN7</f>
        <v>40081538</v>
      </c>
      <c r="AK7" s="74">
        <f>VLOOKUP(B7,OT!$A$3:$S$12,19,0)</f>
        <v>3740865</v>
      </c>
      <c r="AL7" s="74">
        <f>VLOOKUP(B7,NS!$A$2:$H$10,8,0)</f>
        <v>134135</v>
      </c>
      <c r="AM7" s="74">
        <f>AI7</f>
        <v>0</v>
      </c>
      <c r="AN7" s="74">
        <f t="shared" ref="AN7:AN12" si="20">IF(BT7=1,0,15500000)</f>
        <v>15500000</v>
      </c>
      <c r="AO7" s="75">
        <v>1</v>
      </c>
      <c r="AP7" s="74">
        <f t="shared" si="7"/>
        <v>6200000</v>
      </c>
      <c r="AQ7" s="74">
        <f t="shared" si="8"/>
        <v>668000</v>
      </c>
      <c r="AR7" s="74">
        <f t="shared" si="9"/>
        <v>125250</v>
      </c>
      <c r="AS7" s="74">
        <f t="shared" si="10"/>
        <v>83500</v>
      </c>
      <c r="AT7" s="77">
        <f>+AS7+AR7+AQ7</f>
        <v>876750</v>
      </c>
      <c r="AU7" s="77">
        <f>IF(BT7=1,0,MIN(Y7,730000))</f>
        <v>730000</v>
      </c>
      <c r="AV7" s="77">
        <f>AJ7-AK7-AL7-AM7-AU7</f>
        <v>35476538</v>
      </c>
      <c r="AW7" s="77">
        <f>MAX(AV7-AN7-AP7-AT7,0)</f>
        <v>12899788</v>
      </c>
      <c r="AX7" s="78">
        <f t="shared" si="11"/>
        <v>0.15</v>
      </c>
      <c r="AY7" s="79">
        <f>IF(BT7=1,0,IF(AW7&gt;80000000,9850000,IF(AW7&gt;52000000,5850000,IF(AW7&gt;32000000,3250000,IF(AW7&gt;18000000,1650000,IF(AW7&gt;10000000,750000,IF(AW7&gt;5000000,250000,0)))))))</f>
        <v>750000</v>
      </c>
      <c r="AZ7" s="80">
        <f>ROUND(AW7*AX7-AY7,0)</f>
        <v>1184968</v>
      </c>
      <c r="BA7" s="74">
        <f t="shared" si="12"/>
        <v>1419500</v>
      </c>
      <c r="BB7" s="74">
        <f t="shared" si="13"/>
        <v>250500</v>
      </c>
      <c r="BC7" s="74">
        <f t="shared" si="14"/>
        <v>83500</v>
      </c>
      <c r="BD7" s="74">
        <f t="shared" si="15"/>
        <v>41750</v>
      </c>
      <c r="BE7" s="74">
        <f>SUM(BA7:BD7)</f>
        <v>1795250</v>
      </c>
      <c r="BF7" s="74">
        <f t="shared" si="16"/>
        <v>8350000</v>
      </c>
      <c r="BG7" s="74">
        <f t="shared" si="17"/>
        <v>8350000</v>
      </c>
      <c r="BH7" s="74">
        <v>0</v>
      </c>
      <c r="BI7" s="74">
        <v>0</v>
      </c>
      <c r="BJ7" s="74">
        <f>IF(BS7=1,BF7*2%,0)</f>
        <v>167000</v>
      </c>
      <c r="BK7" s="74">
        <f>IF(BU7=1,40000,0)</f>
        <v>40000</v>
      </c>
      <c r="BL7" s="74">
        <f t="shared" si="18"/>
        <v>300000</v>
      </c>
      <c r="BM7" s="81">
        <f>AJ7-AT7-AZ7-BK7-BL7-BN7-BO7-BP7</f>
        <v>35679820</v>
      </c>
      <c r="BN7" s="77">
        <f>IFERROR(VLOOKUP(B7,'Benefit tính thuế'!$A$2:$G$12,7,0),0)</f>
        <v>2000000</v>
      </c>
      <c r="BO7" s="81">
        <v>0</v>
      </c>
      <c r="BP7" s="81">
        <v>0</v>
      </c>
      <c r="BQ7" s="82">
        <f>AN7+AP7+AU7</f>
        <v>22430000</v>
      </c>
      <c r="BR7" s="82">
        <f>+AZ7+AT7</f>
        <v>2061718</v>
      </c>
      <c r="BS7" s="82">
        <v>1</v>
      </c>
      <c r="BT7" s="83">
        <v>0</v>
      </c>
      <c r="BU7" s="82">
        <v>1</v>
      </c>
      <c r="BV7" s="83">
        <v>1</v>
      </c>
      <c r="BW7" s="82">
        <v>20</v>
      </c>
      <c r="BX7" s="84"/>
    </row>
    <row r="8" spans="1:86" s="85" customFormat="1" ht="22.5" customHeight="1">
      <c r="A8" s="70">
        <v>1</v>
      </c>
      <c r="B8" s="70" t="s">
        <v>157</v>
      </c>
      <c r="C8" s="70"/>
      <c r="D8" s="71" t="s">
        <v>183</v>
      </c>
      <c r="E8" s="72" t="s">
        <v>78</v>
      </c>
      <c r="F8" s="72" t="s">
        <v>166</v>
      </c>
      <c r="G8" s="73" t="s">
        <v>49</v>
      </c>
      <c r="H8" s="73" t="s">
        <v>22</v>
      </c>
      <c r="I8" s="73" t="s">
        <v>97</v>
      </c>
      <c r="J8" s="74">
        <v>10448000</v>
      </c>
      <c r="K8" s="74">
        <v>7570000</v>
      </c>
      <c r="L8" s="74">
        <f>J8-K8</f>
        <v>2878000</v>
      </c>
      <c r="M8" s="74">
        <v>26</v>
      </c>
      <c r="N8" s="75">
        <f>IFERROR(VLOOKUP(B8,' TimeTB 1'!$B$4:$AT$5,5,0),0)</f>
        <v>0</v>
      </c>
      <c r="O8" s="75">
        <f>VLOOKUP(B8,'TimeTB 2'!$B$4:$O$11,14,0)</f>
        <v>25</v>
      </c>
      <c r="P8" s="76">
        <f>ROUND((K8/M8*N8),0)</f>
        <v>0</v>
      </c>
      <c r="Q8" s="76">
        <f>ROUND(K8/M8*O8,0)</f>
        <v>7278846</v>
      </c>
      <c r="R8" s="74">
        <f>SUM(P8:Q8)</f>
        <v>7278846</v>
      </c>
      <c r="S8" s="76">
        <f>ROUND(L8/26*N8,0)</f>
        <v>0</v>
      </c>
      <c r="T8" s="76">
        <f>ROUND(L8/26*O8,0)</f>
        <v>2767308</v>
      </c>
      <c r="U8" s="74">
        <f>SUM(S8:T8)</f>
        <v>2767308</v>
      </c>
      <c r="V8" s="74">
        <v>0</v>
      </c>
      <c r="W8" s="74">
        <v>0</v>
      </c>
      <c r="X8" s="74">
        <v>0</v>
      </c>
      <c r="Y8" s="74">
        <f>VLOOKUP(B8,'PC cơm '!$A$3:$K$11,11,0)</f>
        <v>960000</v>
      </c>
      <c r="Z8" s="74">
        <f>SUM(V8:Y8)</f>
        <v>960000</v>
      </c>
      <c r="AA8" s="74">
        <f>VLOOKUP(B8,OT!$A$3:$S$10,17,0)</f>
        <v>307663</v>
      </c>
      <c r="AB8" s="74">
        <f>VLOOKUP(B8,NS!$A$2:$H$9,6,0)</f>
        <v>60277</v>
      </c>
      <c r="AC8" s="74">
        <v>0</v>
      </c>
      <c r="AD8" s="74">
        <v>0</v>
      </c>
      <c r="AE8" s="75">
        <v>0</v>
      </c>
      <c r="AF8" s="77">
        <f>ROUND(J8/26*AE8,0)</f>
        <v>0</v>
      </c>
      <c r="AG8" s="77">
        <f>IFERROR(VLOOKUP(B8,Incentive!$A$2:$J$8,7,0),0)</f>
        <v>0</v>
      </c>
      <c r="AH8" s="77">
        <f>SUMIF(Others!$B$3:$B$9,$B8,Others!$F$3:$F$9)</f>
        <v>1923076.923076923</v>
      </c>
      <c r="AI8" s="77">
        <v>0</v>
      </c>
      <c r="AJ8" s="74">
        <f>AI8+AH8+AG8+AF8+AD8+AC8+AB8+AA8+Z8+U8+R8+BN8</f>
        <v>14297170.923076924</v>
      </c>
      <c r="AK8" s="74">
        <f>VLOOKUP(B8,OT!$A$3:$S$12,19,0)</f>
        <v>156971</v>
      </c>
      <c r="AL8" s="74">
        <f>VLOOKUP(B8,NS!$A$2:$H$10,8,0)</f>
        <v>60277</v>
      </c>
      <c r="AM8" s="74">
        <f>AI8</f>
        <v>0</v>
      </c>
      <c r="AN8" s="74">
        <f t="shared" si="20"/>
        <v>15500000</v>
      </c>
      <c r="AO8" s="75">
        <v>0</v>
      </c>
      <c r="AP8" s="74">
        <f t="shared" si="7"/>
        <v>0</v>
      </c>
      <c r="AQ8" s="74">
        <f t="shared" si="8"/>
        <v>605600</v>
      </c>
      <c r="AR8" s="74">
        <f t="shared" si="9"/>
        <v>113550</v>
      </c>
      <c r="AS8" s="74">
        <f t="shared" si="10"/>
        <v>75700</v>
      </c>
      <c r="AT8" s="77">
        <f>+AS8+AR8+AQ8</f>
        <v>794850</v>
      </c>
      <c r="AU8" s="77">
        <f>IF(BT8=1,0,MIN(Y8,730000))</f>
        <v>730000</v>
      </c>
      <c r="AV8" s="77">
        <f>AJ8-AK8-AL8-AM8-AU8</f>
        <v>13349922.923076924</v>
      </c>
      <c r="AW8" s="77">
        <f>MAX(AV8-AN8-AP8-AT8,0)</f>
        <v>0</v>
      </c>
      <c r="AX8" s="78">
        <f>IF(BT8=1,10%,IF(AW8&gt;0,IF(AW8&gt;80000000,0.35,IF(AW8&gt;52000000,0.3,IF(AW8&gt;32000000,0.25,IF(AW8&gt;18000000,0.2,IF(AW8&gt;10000000,0.15,IF(AW8&gt;5000000,0.1,0.05)))))),0))</f>
        <v>0</v>
      </c>
      <c r="AY8" s="79">
        <f>IF(BT8=1,0,IF(AW8&gt;80000000,9850000,IF(AW8&gt;52000000,5850000,IF(AW8&gt;32000000,3250000,IF(AW8&gt;18000000,1650000,IF(AW8&gt;10000000,750000,IF(AW8&gt;5000000,250000,0)))))))</f>
        <v>0</v>
      </c>
      <c r="AZ8" s="80">
        <f>ROUND(AW8*AX8-AY8,0)</f>
        <v>0</v>
      </c>
      <c r="BA8" s="74">
        <f t="shared" si="12"/>
        <v>1286900</v>
      </c>
      <c r="BB8" s="74">
        <f t="shared" si="13"/>
        <v>227100</v>
      </c>
      <c r="BC8" s="74">
        <f t="shared" si="14"/>
        <v>75700</v>
      </c>
      <c r="BD8" s="74">
        <f t="shared" si="15"/>
        <v>37850</v>
      </c>
      <c r="BE8" s="74">
        <f>SUM(BA8:BD8)</f>
        <v>1627550</v>
      </c>
      <c r="BF8" s="74">
        <f t="shared" si="16"/>
        <v>7570000</v>
      </c>
      <c r="BG8" s="74">
        <f t="shared" si="17"/>
        <v>7570000</v>
      </c>
      <c r="BH8" s="74">
        <v>0</v>
      </c>
      <c r="BI8" s="74">
        <v>0</v>
      </c>
      <c r="BJ8" s="74">
        <f>IF(BS8=1,BF8*2%,0)</f>
        <v>151400</v>
      </c>
      <c r="BK8" s="74">
        <f>IF(BU8=1,40000,0)</f>
        <v>40000</v>
      </c>
      <c r="BL8" s="74">
        <f>IF(BV8=0,0,IF(J8&lt;11000000,5000,IF(J8&lt;25000000,10000,IF(J8&lt;40000000,15000,20000)))*BW8)</f>
        <v>0</v>
      </c>
      <c r="BM8" s="81">
        <f>AJ8-AT8-AZ8-BK8-BL8-BN8-BO8-BP8</f>
        <v>12462320.923076924</v>
      </c>
      <c r="BN8" s="77">
        <f>IFERROR(VLOOKUP(B8,'Benefit tính thuế'!$A$2:$G$12,7,0),0)</f>
        <v>1000000</v>
      </c>
      <c r="BO8" s="81">
        <v>0</v>
      </c>
      <c r="BP8" s="81">
        <v>0</v>
      </c>
      <c r="BQ8" s="82">
        <f>AN8+AP8+AU8</f>
        <v>16230000</v>
      </c>
      <c r="BR8" s="82">
        <f>+AZ8+AT8</f>
        <v>794850</v>
      </c>
      <c r="BS8" s="82">
        <v>1</v>
      </c>
      <c r="BT8" s="83">
        <v>0</v>
      </c>
      <c r="BU8" s="82">
        <v>1</v>
      </c>
      <c r="BV8" s="83">
        <v>0</v>
      </c>
      <c r="BW8" s="82">
        <v>20</v>
      </c>
      <c r="BX8" s="84"/>
    </row>
    <row r="9" spans="1:86" s="85" customFormat="1" ht="22.5" customHeight="1">
      <c r="A9" s="70">
        <v>2</v>
      </c>
      <c r="B9" s="70" t="s">
        <v>158</v>
      </c>
      <c r="C9" s="70"/>
      <c r="D9" s="71" t="s">
        <v>184</v>
      </c>
      <c r="E9" s="91">
        <v>44562</v>
      </c>
      <c r="F9" s="72" t="s">
        <v>169</v>
      </c>
      <c r="G9" s="73" t="s">
        <v>58</v>
      </c>
      <c r="H9" s="73" t="s">
        <v>22</v>
      </c>
      <c r="I9" s="73" t="s">
        <v>70</v>
      </c>
      <c r="J9" s="74">
        <v>8000000</v>
      </c>
      <c r="K9" s="74">
        <v>5310000</v>
      </c>
      <c r="L9" s="74">
        <f t="shared" si="0"/>
        <v>2690000</v>
      </c>
      <c r="M9" s="74">
        <v>26</v>
      </c>
      <c r="N9" s="75">
        <f>IFERROR(VLOOKUP(B9,' TimeTB 1'!$B$4:$AT$5,5,0),0)</f>
        <v>0</v>
      </c>
      <c r="O9" s="75">
        <f>VLOOKUP(B9,'TimeTB 2'!$B$4:$O$11,14,0)</f>
        <v>16</v>
      </c>
      <c r="P9" s="76">
        <f t="shared" si="19"/>
        <v>0</v>
      </c>
      <c r="Q9" s="76">
        <f t="shared" si="1"/>
        <v>3267692</v>
      </c>
      <c r="R9" s="74">
        <f t="shared" si="2"/>
        <v>3267692</v>
      </c>
      <c r="S9" s="76">
        <f t="shared" si="3"/>
        <v>0</v>
      </c>
      <c r="T9" s="76">
        <f t="shared" si="4"/>
        <v>1655385</v>
      </c>
      <c r="U9" s="74">
        <f t="shared" si="5"/>
        <v>1655385</v>
      </c>
      <c r="V9" s="74">
        <v>0</v>
      </c>
      <c r="W9" s="74">
        <v>0</v>
      </c>
      <c r="X9" s="74">
        <v>0</v>
      </c>
      <c r="Y9" s="74">
        <f>VLOOKUP(B9,'PC cơm '!$A$3:$K$11,11,0)</f>
        <v>720000</v>
      </c>
      <c r="Z9" s="74">
        <f t="shared" ref="Z9:Z10" si="21">SUM(V9:Y9)</f>
        <v>720000</v>
      </c>
      <c r="AA9" s="74">
        <f>VLOOKUP(B9,OT!$A$3:$S$10,17,0)</f>
        <v>965384</v>
      </c>
      <c r="AB9" s="74">
        <f>VLOOKUP(B9,NS!$A$2:$H$9,6,0)</f>
        <v>17308</v>
      </c>
      <c r="AC9" s="74">
        <v>0</v>
      </c>
      <c r="AD9" s="74">
        <v>0</v>
      </c>
      <c r="AE9" s="75">
        <v>4</v>
      </c>
      <c r="AF9" s="77">
        <f t="shared" si="6"/>
        <v>1230769</v>
      </c>
      <c r="AG9" s="77">
        <f>IFERROR(VLOOKUP(B9,Incentive!$A$2:$J$8,7,0),0)</f>
        <v>0</v>
      </c>
      <c r="AH9" s="77">
        <f>SUMIF(Others!$B$3:$B$9,$B9,Others!$F$3:$F$9)</f>
        <v>307692.30769230769</v>
      </c>
      <c r="AI9" s="77">
        <v>0</v>
      </c>
      <c r="AJ9" s="74">
        <f t="shared" ref="AJ9:AJ10" si="22">AI9+AH9+AG9+AF9+AD9+AC9+AB9+AA9+Z9+U9+R9+BN9</f>
        <v>9414230.307692308</v>
      </c>
      <c r="AK9" s="74">
        <f>VLOOKUP(B9,OT!$A$3:$S$12,19,0)</f>
        <v>657692</v>
      </c>
      <c r="AL9" s="74">
        <f>VLOOKUP(B9,NS!$A$2:$H$10,8,0)</f>
        <v>17308</v>
      </c>
      <c r="AM9" s="74">
        <f t="shared" ref="AM9:AM10" si="23">AI9</f>
        <v>0</v>
      </c>
      <c r="AN9" s="74">
        <f t="shared" si="20"/>
        <v>15500000</v>
      </c>
      <c r="AO9" s="75">
        <v>0</v>
      </c>
      <c r="AP9" s="74">
        <f t="shared" si="7"/>
        <v>0</v>
      </c>
      <c r="AQ9" s="74">
        <f t="shared" si="8"/>
        <v>0</v>
      </c>
      <c r="AR9" s="74">
        <f t="shared" si="9"/>
        <v>0</v>
      </c>
      <c r="AS9" s="74">
        <f t="shared" si="10"/>
        <v>0</v>
      </c>
      <c r="AT9" s="77">
        <f t="shared" ref="AT9:AT10" si="24">+AS9+AR9+AQ9</f>
        <v>0</v>
      </c>
      <c r="AU9" s="77">
        <f t="shared" ref="AU9:AU10" si="25">IF(BT9=1,0,MIN(Y9,730000))</f>
        <v>720000</v>
      </c>
      <c r="AV9" s="77">
        <f>AJ9-AK9-AL9-AM9-AU9</f>
        <v>8019230.307692308</v>
      </c>
      <c r="AW9" s="77">
        <f t="shared" ref="AW9:AW10" si="26">MAX(AV9-AN9-AP9-AT9,0)</f>
        <v>0</v>
      </c>
      <c r="AX9" s="78">
        <f t="shared" si="11"/>
        <v>0</v>
      </c>
      <c r="AY9" s="79">
        <f t="shared" ref="AY9" si="27">IF(BT9=1,0,IF(AW9&gt;80000000,9850000,IF(AW9&gt;52000000,5850000,IF(AW9&gt;32000000,3250000,IF(AW9&gt;18000000,1650000,IF(AW9&gt;10000000,750000,IF(AW9&gt;5000000,250000,0)))))))</f>
        <v>0</v>
      </c>
      <c r="AZ9" s="80">
        <f t="shared" ref="AZ9:AZ10" si="28">ROUND(AW9*AX9-AY9,0)</f>
        <v>0</v>
      </c>
      <c r="BA9" s="74">
        <f t="shared" si="12"/>
        <v>0</v>
      </c>
      <c r="BB9" s="74">
        <f t="shared" si="13"/>
        <v>0</v>
      </c>
      <c r="BC9" s="74">
        <f t="shared" si="14"/>
        <v>0</v>
      </c>
      <c r="BD9" s="74">
        <f t="shared" si="15"/>
        <v>0</v>
      </c>
      <c r="BE9" s="74">
        <f t="shared" ref="BE9:BE10" si="29">SUM(BA9:BD9)</f>
        <v>0</v>
      </c>
      <c r="BF9" s="74">
        <f t="shared" si="16"/>
        <v>0</v>
      </c>
      <c r="BG9" s="74">
        <f t="shared" si="17"/>
        <v>0</v>
      </c>
      <c r="BH9" s="74">
        <v>0</v>
      </c>
      <c r="BI9" s="74">
        <v>0</v>
      </c>
      <c r="BJ9" s="74">
        <f t="shared" ref="BJ9:BJ10" si="30">IF(BS9=1,BF9*2%,0)</f>
        <v>0</v>
      </c>
      <c r="BK9" s="74">
        <f t="shared" ref="BK9:BK10" si="31">IF(BU9=1,40000,0)</f>
        <v>0</v>
      </c>
      <c r="BL9" s="74">
        <f t="shared" si="18"/>
        <v>0</v>
      </c>
      <c r="BM9" s="81">
        <f t="shared" ref="BM9:BM10" si="32">AJ9-AT9-AZ9-BK9-BL9-BN9-BO9-BP9</f>
        <v>8164230.307692308</v>
      </c>
      <c r="BN9" s="77">
        <f>IFERROR(VLOOKUP(B9,'Benefit tính thuế'!$A$2:$G$12,7,0),0)</f>
        <v>1250000</v>
      </c>
      <c r="BO9" s="81">
        <v>0</v>
      </c>
      <c r="BP9" s="81">
        <v>0</v>
      </c>
      <c r="BQ9" s="82">
        <f t="shared" ref="BQ9:BQ10" si="33">AN9+AP9+AU9</f>
        <v>16220000</v>
      </c>
      <c r="BR9" s="82">
        <f t="shared" ref="BR9:BR10" si="34">+AZ9+AT9</f>
        <v>0</v>
      </c>
      <c r="BS9" s="83">
        <v>0</v>
      </c>
      <c r="BT9" s="83">
        <v>0</v>
      </c>
      <c r="BU9" s="83">
        <v>0</v>
      </c>
      <c r="BV9" s="83">
        <v>0</v>
      </c>
      <c r="BW9" s="82">
        <v>20</v>
      </c>
      <c r="BX9" s="84"/>
    </row>
    <row r="10" spans="1:86" s="85" customFormat="1" ht="22.5" customHeight="1">
      <c r="A10" s="70">
        <v>3</v>
      </c>
      <c r="B10" s="70" t="s">
        <v>159</v>
      </c>
      <c r="C10" s="70"/>
      <c r="D10" s="71" t="s">
        <v>185</v>
      </c>
      <c r="E10" s="91">
        <v>45740</v>
      </c>
      <c r="F10" s="72" t="s">
        <v>169</v>
      </c>
      <c r="G10" s="73" t="s">
        <v>58</v>
      </c>
      <c r="H10" s="73" t="s">
        <v>22</v>
      </c>
      <c r="I10" s="73" t="s">
        <v>70</v>
      </c>
      <c r="J10" s="74">
        <v>8500000</v>
      </c>
      <c r="K10" s="74">
        <v>5310000</v>
      </c>
      <c r="L10" s="74">
        <f t="shared" si="0"/>
        <v>3190000</v>
      </c>
      <c r="M10" s="74">
        <v>26</v>
      </c>
      <c r="N10" s="75">
        <f>IFERROR(VLOOKUP(B10,' TimeTB 1'!$B$4:$AT$5,5,0),0)</f>
        <v>2</v>
      </c>
      <c r="O10" s="75">
        <f>VLOOKUP(B10,'TimeTB 2'!$B$4:$O$11,14,0)</f>
        <v>26</v>
      </c>
      <c r="P10" s="76">
        <f t="shared" si="19"/>
        <v>408462</v>
      </c>
      <c r="Q10" s="76">
        <f t="shared" si="1"/>
        <v>5310000</v>
      </c>
      <c r="R10" s="74">
        <f t="shared" si="2"/>
        <v>5718462</v>
      </c>
      <c r="S10" s="76">
        <f t="shared" si="3"/>
        <v>245385</v>
      </c>
      <c r="T10" s="76">
        <f t="shared" si="4"/>
        <v>3190000</v>
      </c>
      <c r="U10" s="74">
        <f t="shared" si="5"/>
        <v>3435385</v>
      </c>
      <c r="V10" s="74">
        <v>0</v>
      </c>
      <c r="W10" s="74">
        <v>0</v>
      </c>
      <c r="X10" s="74">
        <v>0</v>
      </c>
      <c r="Y10" s="74">
        <f>VLOOKUP(B10,'PC cơm '!$A$3:$K$11,11,0)</f>
        <v>1120000</v>
      </c>
      <c r="Z10" s="74">
        <f t="shared" si="21"/>
        <v>1120000</v>
      </c>
      <c r="AA10" s="74">
        <f>VLOOKUP(B10,OT!$A$3:$S$10,17,0)</f>
        <v>980769</v>
      </c>
      <c r="AB10" s="74">
        <f>VLOOKUP(B10,NS!$A$2:$H$9,6,0)</f>
        <v>6130</v>
      </c>
      <c r="AC10" s="74">
        <v>0</v>
      </c>
      <c r="AD10" s="74">
        <v>0</v>
      </c>
      <c r="AE10" s="75">
        <v>0</v>
      </c>
      <c r="AF10" s="77">
        <f t="shared" si="6"/>
        <v>0</v>
      </c>
      <c r="AG10" s="77">
        <f>IFERROR(VLOOKUP(B10,Incentive!$A$2:$J$8,7,0),0)</f>
        <v>0</v>
      </c>
      <c r="AH10" s="77">
        <f>SUMIF(Others!$B$3:$B$9,$B10,Others!$F$3:$F$9)</f>
        <v>500000</v>
      </c>
      <c r="AI10" s="77">
        <v>0</v>
      </c>
      <c r="AJ10" s="74">
        <f t="shared" si="22"/>
        <v>11760746</v>
      </c>
      <c r="AK10" s="74">
        <f>VLOOKUP(B10,OT!$A$3:$S$12,19,0)</f>
        <v>653846</v>
      </c>
      <c r="AL10" s="74">
        <f>VLOOKUP(B10,NS!$A$2:$H$10,8,0)</f>
        <v>6130</v>
      </c>
      <c r="AM10" s="74">
        <f t="shared" si="23"/>
        <v>0</v>
      </c>
      <c r="AN10" s="74">
        <f t="shared" si="20"/>
        <v>0</v>
      </c>
      <c r="AO10" s="75">
        <v>0</v>
      </c>
      <c r="AP10" s="74">
        <f t="shared" si="7"/>
        <v>0</v>
      </c>
      <c r="AQ10" s="74">
        <f t="shared" si="8"/>
        <v>0</v>
      </c>
      <c r="AR10" s="74">
        <f t="shared" si="9"/>
        <v>0</v>
      </c>
      <c r="AS10" s="74">
        <f t="shared" si="10"/>
        <v>0</v>
      </c>
      <c r="AT10" s="77">
        <f t="shared" si="24"/>
        <v>0</v>
      </c>
      <c r="AU10" s="77">
        <f t="shared" si="25"/>
        <v>0</v>
      </c>
      <c r="AV10" s="77">
        <f t="shared" ref="AV10" si="35">AJ10-AK10-AL10-AM10-AU10</f>
        <v>11100770</v>
      </c>
      <c r="AW10" s="77">
        <f t="shared" si="26"/>
        <v>11100770</v>
      </c>
      <c r="AX10" s="78">
        <f t="shared" si="11"/>
        <v>0.1</v>
      </c>
      <c r="AY10" s="79">
        <f>IF(BT10=1,0,IF(AW10&gt;80000000,9850000,IF(AW10&gt;52000000,5850000,IF(AW10&gt;32000000,3250000,IF(AW10&gt;18000000,1650000,IF(AW10&gt;10000000,750000,IF(AW10&gt;5000000,250000,0)))))))</f>
        <v>0</v>
      </c>
      <c r="AZ10" s="80">
        <f t="shared" si="28"/>
        <v>1110077</v>
      </c>
      <c r="BA10" s="74">
        <f t="shared" si="12"/>
        <v>0</v>
      </c>
      <c r="BB10" s="74">
        <f t="shared" si="13"/>
        <v>0</v>
      </c>
      <c r="BC10" s="74">
        <f t="shared" si="14"/>
        <v>0</v>
      </c>
      <c r="BD10" s="74">
        <f t="shared" si="15"/>
        <v>0</v>
      </c>
      <c r="BE10" s="74">
        <f t="shared" si="29"/>
        <v>0</v>
      </c>
      <c r="BF10" s="74">
        <f t="shared" si="16"/>
        <v>0</v>
      </c>
      <c r="BG10" s="74">
        <f t="shared" si="17"/>
        <v>0</v>
      </c>
      <c r="BH10" s="74">
        <v>0</v>
      </c>
      <c r="BI10" s="74">
        <v>0</v>
      </c>
      <c r="BJ10" s="74">
        <f t="shared" si="30"/>
        <v>0</v>
      </c>
      <c r="BK10" s="74">
        <f t="shared" si="31"/>
        <v>0</v>
      </c>
      <c r="BL10" s="74">
        <f t="shared" si="18"/>
        <v>0</v>
      </c>
      <c r="BM10" s="81">
        <f t="shared" si="32"/>
        <v>10650669</v>
      </c>
      <c r="BN10" s="77">
        <f>IFERROR(VLOOKUP(B10,'Benefit tính thuế'!$A$2:$G$12,7,0),0)</f>
        <v>0</v>
      </c>
      <c r="BO10" s="81">
        <v>0</v>
      </c>
      <c r="BP10" s="81">
        <v>0</v>
      </c>
      <c r="BQ10" s="82">
        <f t="shared" si="33"/>
        <v>0</v>
      </c>
      <c r="BR10" s="82">
        <f t="shared" si="34"/>
        <v>1110077</v>
      </c>
      <c r="BS10" s="83">
        <v>0</v>
      </c>
      <c r="BT10" s="82">
        <v>1</v>
      </c>
      <c r="BU10" s="83">
        <v>0</v>
      </c>
      <c r="BV10" s="83">
        <v>0</v>
      </c>
      <c r="BW10" s="82">
        <v>20</v>
      </c>
      <c r="BX10" s="84"/>
    </row>
    <row r="11" spans="1:86" s="85" customFormat="1" ht="22.5" customHeight="1">
      <c r="A11" s="70">
        <v>1</v>
      </c>
      <c r="B11" s="70" t="s">
        <v>160</v>
      </c>
      <c r="C11" s="70"/>
      <c r="D11" s="71" t="s">
        <v>186</v>
      </c>
      <c r="E11" s="72" t="s">
        <v>79</v>
      </c>
      <c r="F11" s="72" t="s">
        <v>164</v>
      </c>
      <c r="G11" s="73" t="s">
        <v>156</v>
      </c>
      <c r="H11" s="73" t="s">
        <v>21</v>
      </c>
      <c r="I11" s="86" t="s">
        <v>113</v>
      </c>
      <c r="J11" s="74">
        <v>7056000</v>
      </c>
      <c r="K11" s="74">
        <v>5310000</v>
      </c>
      <c r="L11" s="74">
        <f t="shared" si="0"/>
        <v>1746000</v>
      </c>
      <c r="M11" s="74">
        <v>26</v>
      </c>
      <c r="N11" s="75">
        <f>IFERROR(VLOOKUP(B11,' TimeTB 1'!$B$4:$AT$5,5,0),0)</f>
        <v>0</v>
      </c>
      <c r="O11" s="75">
        <f>VLOOKUP(B11,'TimeTB 2'!$B$4:$O$11,14,0)</f>
        <v>26</v>
      </c>
      <c r="P11" s="76">
        <f t="shared" si="19"/>
        <v>0</v>
      </c>
      <c r="Q11" s="76">
        <f t="shared" si="1"/>
        <v>5310000</v>
      </c>
      <c r="R11" s="74">
        <f t="shared" si="2"/>
        <v>5310000</v>
      </c>
      <c r="S11" s="76">
        <f t="shared" si="3"/>
        <v>0</v>
      </c>
      <c r="T11" s="76">
        <f t="shared" si="4"/>
        <v>1746000</v>
      </c>
      <c r="U11" s="74">
        <f t="shared" si="5"/>
        <v>1746000</v>
      </c>
      <c r="V11" s="74">
        <v>0</v>
      </c>
      <c r="W11" s="74">
        <v>0</v>
      </c>
      <c r="X11" s="74">
        <v>0</v>
      </c>
      <c r="Y11" s="74">
        <f>VLOOKUP(B11,'PC cơm '!$A$3:$K$11,11,0)</f>
        <v>1120000</v>
      </c>
      <c r="Z11" s="74">
        <f>SUM(V11:Y11)</f>
        <v>1120000</v>
      </c>
      <c r="AA11" s="74">
        <f>VLOOKUP(B11,OT!$A$3:$S$10,17,0)</f>
        <v>1596081</v>
      </c>
      <c r="AB11" s="74">
        <f>VLOOKUP(B11,NS!$A$2:$H$9,6,0)</f>
        <v>10177</v>
      </c>
      <c r="AC11" s="74">
        <v>0</v>
      </c>
      <c r="AD11" s="74">
        <v>0</v>
      </c>
      <c r="AE11" s="75">
        <v>0</v>
      </c>
      <c r="AF11" s="77">
        <f t="shared" si="6"/>
        <v>0</v>
      </c>
      <c r="AG11" s="77">
        <f>IFERROR(VLOOKUP(B11,Incentive!$A$2:$J$8,7,0),0)</f>
        <v>2000000</v>
      </c>
      <c r="AH11" s="77">
        <f>SUMIF(Others!$B$3:$B$9,$B11,Others!$F$3:$F$9)</f>
        <v>0</v>
      </c>
      <c r="AI11" s="77">
        <v>0</v>
      </c>
      <c r="AJ11" s="74">
        <f>AI11+AH11+AG11+AF11+AD11+AC11+AB11+AA11+Z11+U11+R11+BN11</f>
        <v>11782258</v>
      </c>
      <c r="AK11" s="74">
        <f>VLOOKUP(B11,OT!$A$3:$S$12,19,0)</f>
        <v>985466</v>
      </c>
      <c r="AL11" s="74">
        <f>VLOOKUP(B11,NS!$A$2:$H$10,8,0)</f>
        <v>10177</v>
      </c>
      <c r="AM11" s="74">
        <f>AI11</f>
        <v>0</v>
      </c>
      <c r="AN11" s="74">
        <f t="shared" si="20"/>
        <v>15500000</v>
      </c>
      <c r="AO11" s="75">
        <v>0</v>
      </c>
      <c r="AP11" s="74">
        <f t="shared" si="7"/>
        <v>0</v>
      </c>
      <c r="AQ11" s="74">
        <f t="shared" si="8"/>
        <v>424800</v>
      </c>
      <c r="AR11" s="74">
        <f t="shared" si="9"/>
        <v>79650</v>
      </c>
      <c r="AS11" s="74">
        <f t="shared" si="10"/>
        <v>53100</v>
      </c>
      <c r="AT11" s="77">
        <f>+AS11+AR11+AQ11</f>
        <v>557550</v>
      </c>
      <c r="AU11" s="77">
        <f>IF(BT11=1,0,MIN(Y11,730000))</f>
        <v>730000</v>
      </c>
      <c r="AV11" s="77">
        <f>AJ11-AK11-AL11-AM11-AU11</f>
        <v>10056615</v>
      </c>
      <c r="AW11" s="77">
        <f>MAX(AV11-AN11-AP11-AT11,0)</f>
        <v>0</v>
      </c>
      <c r="AX11" s="78">
        <f t="shared" si="11"/>
        <v>0</v>
      </c>
      <c r="AY11" s="79">
        <f>IF(BT11=1,0,IF(AW11&gt;80000000,9850000,IF(AW11&gt;52000000,5850000,IF(AW11&gt;32000000,3250000,IF(AW11&gt;18000000,1650000,IF(AW11&gt;10000000,750000,IF(AW11&gt;5000000,250000,0)))))))</f>
        <v>0</v>
      </c>
      <c r="AZ11" s="80">
        <f>ROUND(AW11*AX11-AY11,0)</f>
        <v>0</v>
      </c>
      <c r="BA11" s="74">
        <f t="shared" si="12"/>
        <v>902700.00000000012</v>
      </c>
      <c r="BB11" s="74">
        <f t="shared" si="13"/>
        <v>159300</v>
      </c>
      <c r="BC11" s="74">
        <f t="shared" si="14"/>
        <v>53100</v>
      </c>
      <c r="BD11" s="74">
        <f t="shared" si="15"/>
        <v>26550</v>
      </c>
      <c r="BE11" s="74">
        <f>SUM(BA11:BD11)</f>
        <v>1141650</v>
      </c>
      <c r="BF11" s="74">
        <f t="shared" si="16"/>
        <v>5310000</v>
      </c>
      <c r="BG11" s="74">
        <f t="shared" si="17"/>
        <v>5310000</v>
      </c>
      <c r="BH11" s="74">
        <v>0</v>
      </c>
      <c r="BI11" s="74">
        <v>0</v>
      </c>
      <c r="BJ11" s="74">
        <f>IF(BS11=1,BF11*2%,0)</f>
        <v>106200</v>
      </c>
      <c r="BK11" s="74">
        <f>IF(BU11=1,40000,0)</f>
        <v>40000</v>
      </c>
      <c r="BL11" s="74">
        <f t="shared" si="18"/>
        <v>100000</v>
      </c>
      <c r="BM11" s="81">
        <f>AJ11-AT11-AZ11-BK11-BL11-BN11-BO11-BP11</f>
        <v>11084708</v>
      </c>
      <c r="BN11" s="77">
        <f>IFERROR(VLOOKUP(B11,'Benefit tính thuế'!$A$2:$G$12,7,0),0)</f>
        <v>0</v>
      </c>
      <c r="BO11" s="81">
        <v>0</v>
      </c>
      <c r="BP11" s="81">
        <v>0</v>
      </c>
      <c r="BQ11" s="82">
        <f>AN11+AP11+AU11</f>
        <v>16230000</v>
      </c>
      <c r="BR11" s="82">
        <f>+AZ11+AT11</f>
        <v>557550</v>
      </c>
      <c r="BS11" s="82">
        <v>1</v>
      </c>
      <c r="BT11" s="83">
        <v>0</v>
      </c>
      <c r="BU11" s="82">
        <v>1</v>
      </c>
      <c r="BV11" s="82">
        <v>1</v>
      </c>
      <c r="BW11" s="82">
        <v>20</v>
      </c>
      <c r="BX11" s="84"/>
    </row>
    <row r="12" spans="1:86" s="85" customFormat="1" ht="22.5" customHeight="1">
      <c r="A12" s="70">
        <v>1</v>
      </c>
      <c r="B12" s="70" t="s">
        <v>161</v>
      </c>
      <c r="C12" s="70"/>
      <c r="D12" s="71" t="s">
        <v>187</v>
      </c>
      <c r="E12" s="72" t="s">
        <v>81</v>
      </c>
      <c r="F12" s="72" t="s">
        <v>165</v>
      </c>
      <c r="G12" s="73" t="s">
        <v>20</v>
      </c>
      <c r="H12" s="73" t="s">
        <v>22</v>
      </c>
      <c r="I12" s="86" t="s">
        <v>74</v>
      </c>
      <c r="J12" s="74">
        <v>6841000</v>
      </c>
      <c r="K12" s="74">
        <v>5310000</v>
      </c>
      <c r="L12" s="74">
        <f t="shared" si="0"/>
        <v>1531000</v>
      </c>
      <c r="M12" s="74">
        <v>26</v>
      </c>
      <c r="N12" s="75">
        <f>IFERROR(VLOOKUP(B12,' TimeTB 1'!$B$4:$AT$5,5,0),0)</f>
        <v>0</v>
      </c>
      <c r="O12" s="75">
        <f>VLOOKUP(B12,'TimeTB 2'!$B$4:$O$11,14,0)</f>
        <v>26</v>
      </c>
      <c r="P12" s="76">
        <f t="shared" si="19"/>
        <v>0</v>
      </c>
      <c r="Q12" s="76">
        <f t="shared" si="1"/>
        <v>5310000</v>
      </c>
      <c r="R12" s="74">
        <f t="shared" si="2"/>
        <v>5310000</v>
      </c>
      <c r="S12" s="76">
        <f t="shared" si="3"/>
        <v>0</v>
      </c>
      <c r="T12" s="76">
        <f t="shared" si="4"/>
        <v>1531000</v>
      </c>
      <c r="U12" s="74">
        <f t="shared" si="5"/>
        <v>1531000</v>
      </c>
      <c r="V12" s="74">
        <v>0</v>
      </c>
      <c r="W12" s="74">
        <v>0</v>
      </c>
      <c r="X12" s="74">
        <v>0</v>
      </c>
      <c r="Y12" s="74">
        <f>VLOOKUP(B12,'PC cơm '!$A$3:$K$11,11,0)</f>
        <v>960000</v>
      </c>
      <c r="Z12" s="74">
        <f>SUM(V12:Y12)</f>
        <v>960000</v>
      </c>
      <c r="AA12" s="74">
        <f>VLOOKUP(B12,OT!$A$3:$S$10,17,0)</f>
        <v>0</v>
      </c>
      <c r="AB12" s="74">
        <f>VLOOKUP(B12,NS!$A$2:$H$9,6,0)</f>
        <v>49334</v>
      </c>
      <c r="AC12" s="74">
        <v>0</v>
      </c>
      <c r="AD12" s="74">
        <v>0</v>
      </c>
      <c r="AE12" s="75">
        <v>0</v>
      </c>
      <c r="AF12" s="77">
        <f t="shared" si="6"/>
        <v>0</v>
      </c>
      <c r="AG12" s="77">
        <f>IFERROR(VLOOKUP(B12,Incentive!$A$2:$J$8,7,0),0)</f>
        <v>2600000</v>
      </c>
      <c r="AH12" s="77">
        <f>SUMIF(Others!$B$3:$B$9,$B12,Others!$F$3:$F$9)</f>
        <v>0</v>
      </c>
      <c r="AI12" s="77">
        <v>0</v>
      </c>
      <c r="AJ12" s="74">
        <f>AI12+AH12+AG12+AF12+AD12+AC12+AB12+AA12+Z12+U12+R12+BN12</f>
        <v>10450334</v>
      </c>
      <c r="AK12" s="74">
        <f>VLOOKUP(B12,OT!$A$3:$S$12,19,0)</f>
        <v>0</v>
      </c>
      <c r="AL12" s="74">
        <f>VLOOKUP(B12,NS!$A$2:$H$10,8,0)</f>
        <v>49334</v>
      </c>
      <c r="AM12" s="74">
        <f>AI12</f>
        <v>0</v>
      </c>
      <c r="AN12" s="74">
        <f t="shared" si="20"/>
        <v>15500000</v>
      </c>
      <c r="AO12" s="75">
        <v>0</v>
      </c>
      <c r="AP12" s="74">
        <f t="shared" si="7"/>
        <v>0</v>
      </c>
      <c r="AQ12" s="74">
        <f t="shared" si="8"/>
        <v>424800</v>
      </c>
      <c r="AR12" s="74">
        <f t="shared" si="9"/>
        <v>79650</v>
      </c>
      <c r="AS12" s="74">
        <f t="shared" si="10"/>
        <v>53100</v>
      </c>
      <c r="AT12" s="77">
        <f>+AS12+AR12+AQ12</f>
        <v>557550</v>
      </c>
      <c r="AU12" s="77">
        <f>IF(BT12=1,0,MIN(Y12,730000))</f>
        <v>730000</v>
      </c>
      <c r="AV12" s="77">
        <f>AJ12-AK12-AL12-AM12-AU12</f>
        <v>9671000</v>
      </c>
      <c r="AW12" s="77">
        <f>MAX(AV12-AN12-AP12-AT12,0)</f>
        <v>0</v>
      </c>
      <c r="AX12" s="78">
        <f t="shared" si="11"/>
        <v>0</v>
      </c>
      <c r="AY12" s="79">
        <f>IF(BT12=1,0,IF(AW12&gt;80000000,9850000,IF(AW12&gt;52000000,5850000,IF(AW12&gt;32000000,3250000,IF(AW12&gt;18000000,1650000,IF(AW12&gt;10000000,750000,IF(AW12&gt;5000000,250000,0)))))))</f>
        <v>0</v>
      </c>
      <c r="AZ12" s="80">
        <f>ROUND(AW12*AX12-AY12,0)</f>
        <v>0</v>
      </c>
      <c r="BA12" s="74">
        <f t="shared" si="12"/>
        <v>902700.00000000012</v>
      </c>
      <c r="BB12" s="74">
        <f t="shared" si="13"/>
        <v>159300</v>
      </c>
      <c r="BC12" s="74">
        <f t="shared" si="14"/>
        <v>53100</v>
      </c>
      <c r="BD12" s="74">
        <f t="shared" si="15"/>
        <v>26550</v>
      </c>
      <c r="BE12" s="74">
        <f>SUM(BA12:BD12)</f>
        <v>1141650</v>
      </c>
      <c r="BF12" s="74">
        <f t="shared" si="16"/>
        <v>5310000</v>
      </c>
      <c r="BG12" s="74">
        <f t="shared" si="17"/>
        <v>5310000</v>
      </c>
      <c r="BH12" s="74">
        <v>0</v>
      </c>
      <c r="BI12" s="74">
        <v>0</v>
      </c>
      <c r="BJ12" s="74">
        <f>IF(BS12=1,BF12*2%,0)</f>
        <v>106200</v>
      </c>
      <c r="BK12" s="74">
        <f>IF(BU12=1,40000,0)</f>
        <v>40000</v>
      </c>
      <c r="BL12" s="74">
        <f t="shared" si="18"/>
        <v>0</v>
      </c>
      <c r="BM12" s="81">
        <f>AJ12-AT12-AZ12-BK12-BL12-BN12-BO12-BP12</f>
        <v>9852784</v>
      </c>
      <c r="BN12" s="77">
        <f>IFERROR(VLOOKUP(B12,'Benefit tính thuế'!$A$2:$G$12,7,0),0)</f>
        <v>0</v>
      </c>
      <c r="BO12" s="81">
        <v>0</v>
      </c>
      <c r="BP12" s="81">
        <v>0</v>
      </c>
      <c r="BQ12" s="82">
        <f>AN12+AP12+AU12</f>
        <v>16230000</v>
      </c>
      <c r="BR12" s="82">
        <f>+AZ12+AT12</f>
        <v>557550</v>
      </c>
      <c r="BS12" s="82">
        <v>1</v>
      </c>
      <c r="BT12" s="83">
        <v>0</v>
      </c>
      <c r="BU12" s="82">
        <v>1</v>
      </c>
      <c r="BV12" s="83">
        <v>0</v>
      </c>
      <c r="BW12" s="82">
        <v>20</v>
      </c>
      <c r="BX12" s="84"/>
    </row>
    <row r="13" spans="1:86" s="85" customFormat="1" ht="22.5" customHeight="1">
      <c r="A13" s="70">
        <v>1</v>
      </c>
      <c r="B13" s="70" t="s">
        <v>175</v>
      </c>
      <c r="C13" s="70"/>
      <c r="D13" s="71" t="s">
        <v>188</v>
      </c>
      <c r="E13" s="91">
        <v>45738</v>
      </c>
      <c r="F13" s="72" t="s">
        <v>166</v>
      </c>
      <c r="G13" s="73" t="s">
        <v>49</v>
      </c>
      <c r="H13" s="73" t="s">
        <v>22</v>
      </c>
      <c r="I13" s="73" t="s">
        <v>97</v>
      </c>
      <c r="J13" s="74">
        <v>11000000</v>
      </c>
      <c r="K13" s="74">
        <v>5800000</v>
      </c>
      <c r="L13" s="74">
        <f t="shared" si="0"/>
        <v>5200000</v>
      </c>
      <c r="M13" s="74">
        <v>26</v>
      </c>
      <c r="N13" s="75">
        <f>IFERROR(VLOOKUP(B13,' TimeTB 1'!$B$4:$AT$5,5,0),0)</f>
        <v>4</v>
      </c>
      <c r="O13" s="75">
        <f>VLOOKUP(B13,'TimeTB 2'!$B$4:$O$11,14,0)</f>
        <v>26</v>
      </c>
      <c r="P13" s="76">
        <f t="shared" si="19"/>
        <v>892308</v>
      </c>
      <c r="Q13" s="76">
        <f t="shared" si="1"/>
        <v>5800000</v>
      </c>
      <c r="R13" s="74">
        <f>SUM(P13:Q13)</f>
        <v>6692308</v>
      </c>
      <c r="S13" s="76">
        <f t="shared" si="3"/>
        <v>800000</v>
      </c>
      <c r="T13" s="76">
        <f t="shared" si="4"/>
        <v>5200000</v>
      </c>
      <c r="U13" s="74">
        <f t="shared" si="5"/>
        <v>6000000</v>
      </c>
      <c r="V13" s="74">
        <v>0</v>
      </c>
      <c r="W13" s="74">
        <v>0</v>
      </c>
      <c r="X13" s="74">
        <v>0</v>
      </c>
      <c r="Y13" s="74">
        <f>VLOOKUP(B13,'PC cơm '!$A$3:$K$11,11,0)</f>
        <v>1120000</v>
      </c>
      <c r="Z13" s="74">
        <f>SUM(V13:Y13)</f>
        <v>1120000</v>
      </c>
      <c r="AA13" s="74">
        <f>VLOOKUP(B13,OT!$A$3:$S$10,17,0)</f>
        <v>2488221</v>
      </c>
      <c r="AB13" s="74">
        <f>VLOOKUP(B13,NS!$A$2:$H$9,6,0)</f>
        <v>95192</v>
      </c>
      <c r="AC13" s="74">
        <v>0</v>
      </c>
      <c r="AD13" s="74">
        <v>0</v>
      </c>
      <c r="AE13" s="75">
        <v>0</v>
      </c>
      <c r="AF13" s="77">
        <f t="shared" si="6"/>
        <v>0</v>
      </c>
      <c r="AG13" s="77">
        <f>IFERROR(VLOOKUP(B13,Incentive!$A$2:$J$8,7,0),0)</f>
        <v>5610000</v>
      </c>
      <c r="AH13" s="77">
        <f>SUMIF(Others!$B$3:$B$9,$B13,Others!$F$3:$F$9)</f>
        <v>0</v>
      </c>
      <c r="AI13" s="77">
        <v>0</v>
      </c>
      <c r="AJ13" s="74">
        <f>AI13+AH13+AG13+AF13+AD13+AC13+AB13+AA13+Z13+U13+R13+BN13</f>
        <v>22005721</v>
      </c>
      <c r="AK13" s="74">
        <f>VLOOKUP(B13,OT!$A$3:$S$12,19,0)</f>
        <v>1536298</v>
      </c>
      <c r="AL13" s="74">
        <f>VLOOKUP(B13,NS!$A$2:$H$10,8,0)</f>
        <v>95192</v>
      </c>
      <c r="AM13" s="74">
        <f>AI13</f>
        <v>0</v>
      </c>
      <c r="AN13" s="74">
        <f>IF(BT13=1,0,11000000)</f>
        <v>0</v>
      </c>
      <c r="AO13" s="75">
        <v>0</v>
      </c>
      <c r="AP13" s="74">
        <f t="shared" si="7"/>
        <v>0</v>
      </c>
      <c r="AQ13" s="74">
        <f t="shared" si="8"/>
        <v>0</v>
      </c>
      <c r="AR13" s="74">
        <f t="shared" si="9"/>
        <v>0</v>
      </c>
      <c r="AS13" s="74">
        <f t="shared" si="10"/>
        <v>0</v>
      </c>
      <c r="AT13" s="77">
        <f>+AS13+AR13+AQ13</f>
        <v>0</v>
      </c>
      <c r="AU13" s="77">
        <f>IF(BT13=1,0,MIN(Y13,730000))</f>
        <v>0</v>
      </c>
      <c r="AV13" s="77">
        <f t="shared" ref="AV13" si="36">AJ13-AK13-AL13-AM13-AU13</f>
        <v>20374231</v>
      </c>
      <c r="AW13" s="77">
        <f>MAX(AV13-AN13-AP13-AT13,0)</f>
        <v>20374231</v>
      </c>
      <c r="AX13" s="78">
        <f t="shared" si="11"/>
        <v>0.1</v>
      </c>
      <c r="AY13" s="79">
        <f>IF(BT13=1,0,IF(AW13&gt;80000000,9850000,IF(AW13&gt;52000000,5850000,IF(AW13&gt;32000000,3250000,IF(AW13&gt;18000000,1650000,IF(AW13&gt;10000000,750000,IF(AW13&gt;5000000,250000,0)))))))</f>
        <v>0</v>
      </c>
      <c r="AZ13" s="80">
        <f>ROUND(AW13*AX13-AY13,0)</f>
        <v>2037423</v>
      </c>
      <c r="BA13" s="74">
        <f t="shared" si="12"/>
        <v>0</v>
      </c>
      <c r="BB13" s="74">
        <f t="shared" si="13"/>
        <v>0</v>
      </c>
      <c r="BC13" s="74">
        <f t="shared" si="14"/>
        <v>0</v>
      </c>
      <c r="BD13" s="74">
        <f t="shared" si="15"/>
        <v>0</v>
      </c>
      <c r="BE13" s="74">
        <f>SUM(BA13:BD13)</f>
        <v>0</v>
      </c>
      <c r="BF13" s="74">
        <f t="shared" si="16"/>
        <v>0</v>
      </c>
      <c r="BG13" s="74">
        <f t="shared" si="17"/>
        <v>0</v>
      </c>
      <c r="BH13" s="74">
        <v>0</v>
      </c>
      <c r="BI13" s="74">
        <v>0</v>
      </c>
      <c r="BJ13" s="74">
        <f>IF(BS13=1,BF13*2%,0)</f>
        <v>0</v>
      </c>
      <c r="BK13" s="74">
        <f>IF(BU13=1,40000,0)</f>
        <v>0</v>
      </c>
      <c r="BL13" s="74">
        <f t="shared" si="18"/>
        <v>0</v>
      </c>
      <c r="BM13" s="81">
        <f>AJ13-AT13-AZ13-BK13-BL13-BN13-BO13-BP13</f>
        <v>19968298</v>
      </c>
      <c r="BN13" s="77">
        <f>IFERROR(VLOOKUP(B13,'Benefit tính thuế'!$A$2:$G$12,7,0),0)</f>
        <v>0</v>
      </c>
      <c r="BO13" s="81">
        <v>0</v>
      </c>
      <c r="BP13" s="81">
        <v>0</v>
      </c>
      <c r="BQ13" s="82">
        <f>AN13+AP13+AU13</f>
        <v>0</v>
      </c>
      <c r="BR13" s="82">
        <f>+AZ13+AT13</f>
        <v>2037423</v>
      </c>
      <c r="BS13" s="83">
        <v>0</v>
      </c>
      <c r="BT13" s="82">
        <v>1</v>
      </c>
      <c r="BU13" s="83">
        <v>0</v>
      </c>
      <c r="BV13" s="83">
        <v>0</v>
      </c>
      <c r="BW13" s="82">
        <v>20</v>
      </c>
      <c r="BX13" s="84"/>
    </row>
    <row r="25" spans="54:56">
      <c r="BB25" s="32">
        <f>CG5/2</f>
        <v>23400000</v>
      </c>
      <c r="BD25" s="32">
        <f>CH5/2</f>
        <v>49600000</v>
      </c>
    </row>
  </sheetData>
  <sheetProtection deleteColumns="0"/>
  <mergeCells count="1">
    <mergeCell ref="AK2:AP2"/>
  </mergeCells>
  <dataValidations count="1">
    <dataValidation allowBlank="1" showErrorMessage="1" sqref="BM3 AJ3:AL3 A3:K3 M3:R3 V3:AH3 BQ3:XFD3 BN6:XFD1048576 E6:I8 A6:C8 A1:XFD2 G11 L9:L11 J7:J9 R9:T9 P9:Q11 G9:I10 D7:D8 G12:H12 A9:F12 S10:U11 K10:K11 P12:U12 K6:M8 O9:O12 J12:N12 AN6:AN7 N6:N11 O6:O7 A8:M8 P6:X8 Y6:Y12 V9:X12 A13:Y1048576 O8:X8 Z6:AL1048576 AM6:AM8 AM8:BM1048576 AO6:BM8 A4:BR5 AN3:AO3 AT3:AZ3 BE3 BH3:BK3 BY5:CH5 BX4:BX5 CI4:XFD5" xr:uid="{2B73B1B7-9FF9-4CFE-9D40-9351C1AB6550}"/>
  </dataValidations>
  <pageMargins left="0.2" right="0.1" top="0.45" bottom="0.45" header="0.1" footer="0.1"/>
  <pageSetup paperSize="8" scale="40" orientation="landscape" horizontalDpi="300" verticalDpi="300" r:id="rId1"/>
  <headerFooter>
    <oddFooter>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28818-4BD2-441A-8085-1347799A9B3D}">
  <sheetPr>
    <pageSetUpPr fitToPage="1"/>
  </sheetPr>
  <dimension ref="A1:L10"/>
  <sheetViews>
    <sheetView zoomScale="130" zoomScaleNormal="130" workbookViewId="0">
      <selection activeCell="D23" sqref="D23"/>
    </sheetView>
  </sheetViews>
  <sheetFormatPr baseColWidth="10" defaultColWidth="9.1640625" defaultRowHeight="15"/>
  <cols>
    <col min="1" max="1" width="14.1640625" style="23" customWidth="1"/>
    <col min="2" max="2" width="27.5" style="23" customWidth="1"/>
    <col min="3" max="3" width="14.33203125" style="23" customWidth="1"/>
    <col min="4" max="4" width="21" style="23" customWidth="1"/>
    <col min="5" max="5" width="9.6640625" style="23" customWidth="1"/>
    <col min="6" max="6" width="10.1640625" style="23" customWidth="1"/>
    <col min="7" max="7" width="9.1640625" style="23" customWidth="1"/>
    <col min="8" max="8" width="15.6640625" style="23" customWidth="1"/>
    <col min="9" max="9" width="11.6640625" style="23" customWidth="1"/>
    <col min="10" max="10" width="15" style="23" customWidth="1"/>
    <col min="11" max="11" width="15.1640625" style="23" customWidth="1"/>
    <col min="12" max="12" width="17.83203125" style="23" customWidth="1"/>
    <col min="13" max="16384" width="9.1640625" style="23"/>
  </cols>
  <sheetData>
    <row r="1" spans="1:12" s="30" customFormat="1" ht="63.75" customHeight="1">
      <c r="A1" s="311" t="s">
        <v>26</v>
      </c>
      <c r="B1" s="313" t="s">
        <v>10</v>
      </c>
      <c r="C1" s="313" t="s">
        <v>189</v>
      </c>
      <c r="D1" s="313" t="s">
        <v>190</v>
      </c>
      <c r="E1" s="315" t="s">
        <v>191</v>
      </c>
      <c r="F1" s="316" t="s">
        <v>192</v>
      </c>
      <c r="G1" s="316" t="s">
        <v>193</v>
      </c>
      <c r="H1" s="113" t="s">
        <v>194</v>
      </c>
      <c r="I1" s="113" t="s">
        <v>195</v>
      </c>
      <c r="J1" s="113" t="s">
        <v>196</v>
      </c>
      <c r="K1" s="318" t="s">
        <v>197</v>
      </c>
      <c r="L1" s="309" t="s">
        <v>198</v>
      </c>
    </row>
    <row r="2" spans="1:12" s="30" customFormat="1" ht="15.75" customHeight="1">
      <c r="A2" s="312"/>
      <c r="B2" s="314"/>
      <c r="C2" s="314"/>
      <c r="D2" s="314"/>
      <c r="E2" s="314"/>
      <c r="F2" s="317"/>
      <c r="G2" s="317"/>
      <c r="H2" s="267">
        <v>40000</v>
      </c>
      <c r="I2" s="267">
        <v>40000</v>
      </c>
      <c r="J2" s="267">
        <v>80000</v>
      </c>
      <c r="K2" s="319"/>
      <c r="L2" s="310"/>
    </row>
    <row r="3" spans="1:12" ht="16">
      <c r="A3" s="114" t="s">
        <v>173</v>
      </c>
      <c r="B3" s="98" t="s">
        <v>181</v>
      </c>
      <c r="C3" s="115">
        <v>43466</v>
      </c>
      <c r="D3" s="116" t="s">
        <v>154</v>
      </c>
      <c r="E3" s="117">
        <f>VLOOKUP($A3,'TimeTB 2'!$B$4:$P$11,15,0)</f>
        <v>25</v>
      </c>
      <c r="F3" s="117">
        <f>VLOOKUP($A3,'TimeTB 2'!$B$4:$R$11,17,0)</f>
        <v>0</v>
      </c>
      <c r="G3" s="117">
        <f>VLOOKUP($A3,'TimeTB 2'!$B$4:$R$11,16,0)</f>
        <v>0</v>
      </c>
      <c r="H3" s="118">
        <f>E3*$H$2</f>
        <v>1000000</v>
      </c>
      <c r="I3" s="118">
        <f>F3*$I$2</f>
        <v>0</v>
      </c>
      <c r="J3" s="118">
        <f>G3*$J$2</f>
        <v>0</v>
      </c>
      <c r="K3" s="119">
        <f>SUM(H3:J3)</f>
        <v>1000000</v>
      </c>
      <c r="L3" s="114"/>
    </row>
    <row r="4" spans="1:12" ht="16">
      <c r="A4" s="24" t="s">
        <v>174</v>
      </c>
      <c r="B4" s="71" t="s">
        <v>182</v>
      </c>
      <c r="C4" s="29">
        <v>43831</v>
      </c>
      <c r="D4" s="28" t="s">
        <v>155</v>
      </c>
      <c r="E4" s="27">
        <f>VLOOKUP($A4,'TimeTB 2'!$B$4:$P$11,15,0)</f>
        <v>26</v>
      </c>
      <c r="F4" s="27">
        <f>VLOOKUP($A4,'TimeTB 2'!$B$4:$R$11,17,0)</f>
        <v>0</v>
      </c>
      <c r="G4" s="27">
        <f>VLOOKUP($A4,'TimeTB 2'!$B$4:$R$11,16,0)</f>
        <v>1</v>
      </c>
      <c r="H4" s="25">
        <f>E4*$H$2</f>
        <v>1040000</v>
      </c>
      <c r="I4" s="25">
        <f>F4*$I$2</f>
        <v>0</v>
      </c>
      <c r="J4" s="25">
        <f>G4*$J$2</f>
        <v>80000</v>
      </c>
      <c r="K4" s="26">
        <f t="shared" ref="K4:K10" si="0">SUM(H4:J4)</f>
        <v>1120000</v>
      </c>
      <c r="L4" s="24"/>
    </row>
    <row r="5" spans="1:12" ht="16">
      <c r="A5" s="24" t="s">
        <v>157</v>
      </c>
      <c r="B5" s="71" t="s">
        <v>183</v>
      </c>
      <c r="C5" s="29">
        <v>44197</v>
      </c>
      <c r="D5" s="28" t="s">
        <v>49</v>
      </c>
      <c r="E5" s="27">
        <f>VLOOKUP($A5,'TimeTB 2'!$B$4:$P$11,15,0)</f>
        <v>24</v>
      </c>
      <c r="F5" s="27">
        <f>VLOOKUP($A5,'TimeTB 2'!$B$4:$R$11,17,0)</f>
        <v>0</v>
      </c>
      <c r="G5" s="27">
        <f>VLOOKUP($A5,'TimeTB 2'!$B$4:$R$11,16,0)</f>
        <v>0</v>
      </c>
      <c r="H5" s="25">
        <f>E5*$H$2</f>
        <v>960000</v>
      </c>
      <c r="I5" s="25">
        <f>F5*$I$2</f>
        <v>0</v>
      </c>
      <c r="J5" s="25">
        <f t="shared" ref="J5:J10" si="1">G5*$J$2</f>
        <v>0</v>
      </c>
      <c r="K5" s="26">
        <f t="shared" si="0"/>
        <v>960000</v>
      </c>
      <c r="L5" s="24"/>
    </row>
    <row r="6" spans="1:12" ht="16">
      <c r="A6" s="24" t="s">
        <v>158</v>
      </c>
      <c r="B6" s="71" t="s">
        <v>184</v>
      </c>
      <c r="C6" s="29">
        <v>44562</v>
      </c>
      <c r="D6" s="28" t="s">
        <v>233</v>
      </c>
      <c r="E6" s="27">
        <f>VLOOKUP($A6,'TimeTB 2'!$B$4:$P$11,15,0)</f>
        <v>16</v>
      </c>
      <c r="F6" s="27">
        <f>VLOOKUP($A6,'TimeTB 2'!$B$4:$R$11,17,0)</f>
        <v>0</v>
      </c>
      <c r="G6" s="27">
        <f>VLOOKUP($A6,'TimeTB 2'!$B$4:$R$11,16,0)</f>
        <v>1</v>
      </c>
      <c r="H6" s="25">
        <f t="shared" ref="H6:H10" si="2">E6*$H$2</f>
        <v>640000</v>
      </c>
      <c r="I6" s="25">
        <f t="shared" ref="I6:I10" si="3">F6*$I$2</f>
        <v>0</v>
      </c>
      <c r="J6" s="25">
        <f t="shared" si="1"/>
        <v>80000</v>
      </c>
      <c r="K6" s="26">
        <f t="shared" si="0"/>
        <v>720000</v>
      </c>
      <c r="L6" s="24"/>
    </row>
    <row r="7" spans="1:12" ht="16">
      <c r="A7" s="24" t="s">
        <v>159</v>
      </c>
      <c r="B7" s="71" t="s">
        <v>185</v>
      </c>
      <c r="C7" s="29">
        <v>45740</v>
      </c>
      <c r="D7" s="28" t="s">
        <v>233</v>
      </c>
      <c r="E7" s="27">
        <f>VLOOKUP($A7,'TimeTB 2'!$B$4:$P$11,15,0)</f>
        <v>26</v>
      </c>
      <c r="F7" s="27">
        <f>VLOOKUP($A7,'TimeTB 2'!$B$4:$R$11,17,0)</f>
        <v>0</v>
      </c>
      <c r="G7" s="27">
        <f>VLOOKUP($A7,'TimeTB 2'!$B$4:$R$11,16,0)</f>
        <v>1</v>
      </c>
      <c r="H7" s="25">
        <f t="shared" si="2"/>
        <v>1040000</v>
      </c>
      <c r="I7" s="25">
        <f t="shared" si="3"/>
        <v>0</v>
      </c>
      <c r="J7" s="25">
        <f t="shared" si="1"/>
        <v>80000</v>
      </c>
      <c r="K7" s="26">
        <f t="shared" si="0"/>
        <v>1120000</v>
      </c>
      <c r="L7" s="24"/>
    </row>
    <row r="8" spans="1:12" ht="16">
      <c r="A8" s="24" t="s">
        <v>160</v>
      </c>
      <c r="B8" s="71" t="s">
        <v>186</v>
      </c>
      <c r="C8" s="29">
        <v>44927</v>
      </c>
      <c r="D8" s="28" t="s">
        <v>58</v>
      </c>
      <c r="E8" s="27">
        <f>VLOOKUP($A8,'TimeTB 2'!$B$4:$P$11,15,0)</f>
        <v>26</v>
      </c>
      <c r="F8" s="27">
        <f>VLOOKUP($A8,'TimeTB 2'!$B$4:$R$11,17,0)</f>
        <v>0</v>
      </c>
      <c r="G8" s="27">
        <f>VLOOKUP($A8,'TimeTB 2'!$B$4:$R$11,16,0)</f>
        <v>1</v>
      </c>
      <c r="H8" s="25">
        <f t="shared" si="2"/>
        <v>1040000</v>
      </c>
      <c r="I8" s="25">
        <f t="shared" si="3"/>
        <v>0</v>
      </c>
      <c r="J8" s="25">
        <f t="shared" si="1"/>
        <v>80000</v>
      </c>
      <c r="K8" s="26">
        <f t="shared" si="0"/>
        <v>1120000</v>
      </c>
      <c r="L8" s="24"/>
    </row>
    <row r="9" spans="1:12" ht="16">
      <c r="A9" s="24" t="s">
        <v>161</v>
      </c>
      <c r="B9" s="71" t="s">
        <v>187</v>
      </c>
      <c r="C9" s="29">
        <v>45292</v>
      </c>
      <c r="D9" s="28" t="s">
        <v>58</v>
      </c>
      <c r="E9" s="27">
        <f>VLOOKUP($A9,'TimeTB 2'!$B$4:$P$11,15,0)</f>
        <v>24</v>
      </c>
      <c r="F9" s="27">
        <f>VLOOKUP($A9,'TimeTB 2'!$B$4:$R$11,17,0)</f>
        <v>0</v>
      </c>
      <c r="G9" s="27">
        <f>VLOOKUP($A9,'TimeTB 2'!$B$4:$R$11,16,0)</f>
        <v>0</v>
      </c>
      <c r="H9" s="25">
        <f t="shared" si="2"/>
        <v>960000</v>
      </c>
      <c r="I9" s="25">
        <f t="shared" si="3"/>
        <v>0</v>
      </c>
      <c r="J9" s="25">
        <f t="shared" si="1"/>
        <v>0</v>
      </c>
      <c r="K9" s="26">
        <f t="shared" si="0"/>
        <v>960000</v>
      </c>
      <c r="L9" s="24"/>
    </row>
    <row r="10" spans="1:12" ht="16">
      <c r="A10" s="24" t="s">
        <v>175</v>
      </c>
      <c r="B10" s="71" t="s">
        <v>188</v>
      </c>
      <c r="C10" s="29">
        <v>45738</v>
      </c>
      <c r="D10" s="28" t="s">
        <v>49</v>
      </c>
      <c r="E10" s="27">
        <f>VLOOKUP($A10,'TimeTB 2'!$B$4:$P$11,15,0)</f>
        <v>26</v>
      </c>
      <c r="F10" s="27">
        <f>VLOOKUP($A10,'TimeTB 2'!$B$4:$R$11,17,0)</f>
        <v>0</v>
      </c>
      <c r="G10" s="27">
        <f>VLOOKUP($A10,'TimeTB 2'!$B$4:$R$11,16,0)</f>
        <v>1</v>
      </c>
      <c r="H10" s="25">
        <f t="shared" si="2"/>
        <v>1040000</v>
      </c>
      <c r="I10" s="25">
        <f t="shared" si="3"/>
        <v>0</v>
      </c>
      <c r="J10" s="25">
        <f t="shared" si="1"/>
        <v>80000</v>
      </c>
      <c r="K10" s="26">
        <f t="shared" si="0"/>
        <v>1120000</v>
      </c>
      <c r="L10" s="24"/>
    </row>
  </sheetData>
  <autoFilter ref="A2:L4" xr:uid="{21B6961D-2666-4479-B858-99F75A86990E}"/>
  <mergeCells count="9">
    <mergeCell ref="L1:L2"/>
    <mergeCell ref="A1:A2"/>
    <mergeCell ref="B1:B2"/>
    <mergeCell ref="C1:C2"/>
    <mergeCell ref="D1:D2"/>
    <mergeCell ref="E1:E2"/>
    <mergeCell ref="F1:F2"/>
    <mergeCell ref="G1:G2"/>
    <mergeCell ref="K1:K2"/>
  </mergeCells>
  <conditionalFormatting sqref="A1">
    <cfRule type="expression" dxfId="88" priority="1327710" stopIfTrue="1">
      <formula>AND(COUNTIF($A$5:$A$65476, A1)+COUNTIF(#REF!, A1)+COUNTIF(#REF!, A1)+COUNTIF($A$1:$A$4, A1)&gt;1,NOT(ISBLANK(A1)))</formula>
    </cfRule>
  </conditionalFormatting>
  <dataValidations count="1">
    <dataValidation allowBlank="1" showErrorMessage="1" sqref="B4:B10" xr:uid="{18EB5A6D-DB45-1A4A-986A-E41C299A32F9}"/>
  </dataValidations>
  <pageMargins left="0.2" right="0.2" top="0.5" bottom="0.5" header="0.3" footer="0.3"/>
  <pageSetup paperSize="9" scale="88" fitToHeight="0" orientation="landscape" r:id="rId1"/>
  <headerFoot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S37"/>
  <sheetViews>
    <sheetView view="pageBreakPreview" zoomScale="130" zoomScaleNormal="85" zoomScaleSheetLayoutView="130" workbookViewId="0">
      <pane xSplit="3" ySplit="3" topLeftCell="D4" activePane="bottomRight" state="frozen"/>
      <selection activeCell="C13" sqref="C13"/>
      <selection pane="topRight" activeCell="C13" sqref="C13"/>
      <selection pane="bottomLeft" activeCell="C13" sqref="C13"/>
      <selection pane="bottomRight" activeCell="C16" sqref="C16"/>
    </sheetView>
  </sheetViews>
  <sheetFormatPr baseColWidth="10" defaultColWidth="8.83203125" defaultRowHeight="19" outlineLevelCol="1"/>
  <cols>
    <col min="1" max="1" width="4.33203125" customWidth="1"/>
    <col min="2" max="2" width="17.1640625" customWidth="1"/>
    <col min="3" max="3" width="29.1640625" customWidth="1"/>
    <col min="4" max="4" width="15" customWidth="1" outlineLevel="1"/>
    <col min="5" max="5" width="15.5" customWidth="1" outlineLevel="1"/>
    <col min="6" max="6" width="22.83203125" style="41" customWidth="1" outlineLevel="1"/>
    <col min="7" max="7" width="21.5" customWidth="1" outlineLevel="1"/>
    <col min="8" max="8" width="12.5" style="40" customWidth="1" outlineLevel="1"/>
    <col min="9" max="10" width="8.5" customWidth="1"/>
    <col min="11" max="11" width="10.83203125" customWidth="1"/>
    <col min="12" max="12" width="11.5" style="42" customWidth="1"/>
    <col min="13" max="13" width="12.6640625" customWidth="1"/>
    <col min="14" max="14" width="7.1640625" customWidth="1"/>
    <col min="15" max="18" width="12.83203125" style="39" customWidth="1"/>
    <col min="19" max="19" width="12.6640625" customWidth="1"/>
    <col min="20" max="20" width="9.1640625" customWidth="1"/>
    <col min="21" max="21" width="22" customWidth="1"/>
  </cols>
  <sheetData>
    <row r="1" spans="1:19" ht="18.75" customHeight="1">
      <c r="B1" s="326" t="s">
        <v>26</v>
      </c>
      <c r="C1" s="326" t="s">
        <v>10</v>
      </c>
      <c r="D1" s="326" t="s">
        <v>50</v>
      </c>
      <c r="E1" s="326" t="s">
        <v>32</v>
      </c>
      <c r="F1" s="326" t="s">
        <v>68</v>
      </c>
      <c r="G1" s="326" t="s">
        <v>69</v>
      </c>
      <c r="H1" s="332" t="s">
        <v>44</v>
      </c>
      <c r="I1" s="320" t="s">
        <v>199</v>
      </c>
      <c r="J1" s="320" t="s">
        <v>200</v>
      </c>
      <c r="K1" s="320" t="s">
        <v>95</v>
      </c>
      <c r="L1" s="320" t="s">
        <v>201</v>
      </c>
      <c r="M1" s="320" t="s">
        <v>52</v>
      </c>
      <c r="N1" s="329" t="s">
        <v>202</v>
      </c>
      <c r="O1" s="320" t="s">
        <v>203</v>
      </c>
      <c r="P1" s="320" t="s">
        <v>204</v>
      </c>
      <c r="Q1" s="320" t="s">
        <v>205</v>
      </c>
      <c r="R1" s="320" t="s">
        <v>206</v>
      </c>
      <c r="S1" s="323" t="s">
        <v>207</v>
      </c>
    </row>
    <row r="2" spans="1:19" ht="45.75" customHeight="1">
      <c r="B2" s="327"/>
      <c r="C2" s="327"/>
      <c r="D2" s="327"/>
      <c r="E2" s="327"/>
      <c r="F2" s="327"/>
      <c r="G2" s="327"/>
      <c r="H2" s="330"/>
      <c r="I2" s="321"/>
      <c r="J2" s="321"/>
      <c r="K2" s="321"/>
      <c r="L2" s="321"/>
      <c r="M2" s="321"/>
      <c r="N2" s="330"/>
      <c r="O2" s="321"/>
      <c r="P2" s="321"/>
      <c r="Q2" s="321"/>
      <c r="R2" s="321"/>
      <c r="S2" s="324"/>
    </row>
    <row r="3" spans="1:19" ht="46.5" customHeight="1">
      <c r="B3" s="328"/>
      <c r="C3" s="328"/>
      <c r="D3" s="328"/>
      <c r="E3" s="328"/>
      <c r="F3" s="328"/>
      <c r="G3" s="328"/>
      <c r="H3" s="331"/>
      <c r="I3" s="322"/>
      <c r="J3" s="322"/>
      <c r="K3" s="322"/>
      <c r="L3" s="322"/>
      <c r="M3" s="322"/>
      <c r="N3" s="331"/>
      <c r="O3" s="322"/>
      <c r="P3" s="322"/>
      <c r="Q3" s="322"/>
      <c r="R3" s="322"/>
      <c r="S3" s="325"/>
    </row>
    <row r="4" spans="1:19" ht="29.25" customHeight="1">
      <c r="A4">
        <v>1</v>
      </c>
      <c r="B4" s="146" t="s">
        <v>173</v>
      </c>
      <c r="C4" s="98" t="s">
        <v>181</v>
      </c>
      <c r="D4" s="147">
        <v>43466</v>
      </c>
      <c r="E4" s="148"/>
      <c r="F4" s="149"/>
      <c r="G4" s="147" t="s">
        <v>112</v>
      </c>
      <c r="H4" s="150"/>
      <c r="I4" s="151">
        <v>4</v>
      </c>
      <c r="J4" s="152">
        <v>0</v>
      </c>
      <c r="K4" s="152">
        <v>1</v>
      </c>
      <c r="L4" s="153">
        <v>25</v>
      </c>
      <c r="M4" s="152">
        <f>+K4+L4</f>
        <v>26</v>
      </c>
      <c r="N4" s="154"/>
      <c r="O4" s="155">
        <f>MIN((M4+N4),26)</f>
        <v>26</v>
      </c>
      <c r="P4" s="153">
        <v>25</v>
      </c>
      <c r="Q4" s="153">
        <v>0</v>
      </c>
      <c r="R4" s="156">
        <v>0</v>
      </c>
      <c r="S4" s="157"/>
    </row>
    <row r="5" spans="1:19" ht="29.25" customHeight="1">
      <c r="A5">
        <f>+A3+1</f>
        <v>1</v>
      </c>
      <c r="B5" s="121" t="s">
        <v>174</v>
      </c>
      <c r="C5" s="71" t="s">
        <v>182</v>
      </c>
      <c r="D5" s="122">
        <v>43831</v>
      </c>
      <c r="E5" s="123"/>
      <c r="F5" s="124"/>
      <c r="G5" s="122" t="s">
        <v>99</v>
      </c>
      <c r="H5" s="136"/>
      <c r="I5" s="137">
        <v>5</v>
      </c>
      <c r="J5" s="138">
        <v>0</v>
      </c>
      <c r="K5" s="138">
        <v>0</v>
      </c>
      <c r="L5" s="142">
        <v>26</v>
      </c>
      <c r="M5" s="138">
        <f t="shared" ref="M5" si="0">+K5+L5</f>
        <v>26</v>
      </c>
      <c r="N5" s="130"/>
      <c r="O5" s="140">
        <f t="shared" ref="O5" si="1">MIN((M5+N5),26)</f>
        <v>26</v>
      </c>
      <c r="P5" s="139">
        <v>26</v>
      </c>
      <c r="Q5" s="139">
        <v>1</v>
      </c>
      <c r="R5" s="141">
        <v>0</v>
      </c>
      <c r="S5" s="131"/>
    </row>
    <row r="6" spans="1:19" ht="29.25" customHeight="1">
      <c r="A6">
        <f>+A5+1</f>
        <v>2</v>
      </c>
      <c r="B6" s="125" t="s">
        <v>157</v>
      </c>
      <c r="C6" s="71" t="s">
        <v>183</v>
      </c>
      <c r="D6" s="86">
        <v>44197</v>
      </c>
      <c r="E6" s="126"/>
      <c r="F6" s="127"/>
      <c r="G6" s="86" t="s">
        <v>229</v>
      </c>
      <c r="H6" s="143"/>
      <c r="I6" s="137">
        <v>4</v>
      </c>
      <c r="J6" s="138">
        <v>1</v>
      </c>
      <c r="K6" s="138">
        <v>1</v>
      </c>
      <c r="L6" s="142">
        <v>24</v>
      </c>
      <c r="M6" s="138">
        <f t="shared" ref="M6:M11" si="2">+K6+L6</f>
        <v>25</v>
      </c>
      <c r="N6" s="132"/>
      <c r="O6" s="141">
        <f t="shared" ref="O6:O11" si="3">MIN((M6+N6),26)</f>
        <v>25</v>
      </c>
      <c r="P6" s="139">
        <v>24</v>
      </c>
      <c r="Q6" s="139">
        <v>0</v>
      </c>
      <c r="R6" s="141">
        <v>0</v>
      </c>
      <c r="S6" s="133"/>
    </row>
    <row r="7" spans="1:19" ht="29.25" customHeight="1">
      <c r="A7">
        <f t="shared" ref="A7:A11" si="4">+A6+1</f>
        <v>3</v>
      </c>
      <c r="B7" s="125" t="s">
        <v>158</v>
      </c>
      <c r="C7" s="71" t="s">
        <v>184</v>
      </c>
      <c r="D7" s="86">
        <v>44562</v>
      </c>
      <c r="E7" s="126"/>
      <c r="F7" s="127"/>
      <c r="G7" s="86" t="s">
        <v>230</v>
      </c>
      <c r="H7" s="143"/>
      <c r="I7" s="137">
        <v>2</v>
      </c>
      <c r="J7" s="138">
        <v>0</v>
      </c>
      <c r="K7" s="138">
        <v>0</v>
      </c>
      <c r="L7" s="142">
        <v>16</v>
      </c>
      <c r="M7" s="138">
        <f t="shared" si="2"/>
        <v>16</v>
      </c>
      <c r="N7" s="134"/>
      <c r="O7" s="141">
        <f t="shared" si="3"/>
        <v>16</v>
      </c>
      <c r="P7" s="139">
        <v>16</v>
      </c>
      <c r="Q7" s="139">
        <v>1</v>
      </c>
      <c r="R7" s="141">
        <v>0</v>
      </c>
      <c r="S7" s="133"/>
    </row>
    <row r="8" spans="1:19" ht="29.25" customHeight="1">
      <c r="A8">
        <f t="shared" si="4"/>
        <v>4</v>
      </c>
      <c r="B8" s="125" t="s">
        <v>159</v>
      </c>
      <c r="C8" s="71" t="s">
        <v>185</v>
      </c>
      <c r="D8" s="86">
        <v>45740</v>
      </c>
      <c r="E8" s="126"/>
      <c r="F8" s="127"/>
      <c r="G8" s="86" t="s">
        <v>231</v>
      </c>
      <c r="H8" s="143"/>
      <c r="I8" s="137">
        <v>4</v>
      </c>
      <c r="J8" s="138">
        <v>0</v>
      </c>
      <c r="K8" s="138">
        <v>0.5</v>
      </c>
      <c r="L8" s="142">
        <v>26.5</v>
      </c>
      <c r="M8" s="138">
        <f t="shared" si="2"/>
        <v>27</v>
      </c>
      <c r="N8" s="132"/>
      <c r="O8" s="141">
        <f t="shared" si="3"/>
        <v>26</v>
      </c>
      <c r="P8" s="139">
        <v>26</v>
      </c>
      <c r="Q8" s="139">
        <v>1</v>
      </c>
      <c r="R8" s="141">
        <v>0</v>
      </c>
      <c r="S8" s="133"/>
    </row>
    <row r="9" spans="1:19" ht="29.25" customHeight="1">
      <c r="A9">
        <f>+A8+1</f>
        <v>5</v>
      </c>
      <c r="B9" s="125" t="s">
        <v>160</v>
      </c>
      <c r="C9" s="71" t="s">
        <v>186</v>
      </c>
      <c r="D9" s="86">
        <v>44927</v>
      </c>
      <c r="E9" s="126"/>
      <c r="F9" s="127"/>
      <c r="G9" s="86" t="s">
        <v>113</v>
      </c>
      <c r="H9" s="143"/>
      <c r="I9" s="137">
        <v>5</v>
      </c>
      <c r="J9" s="138">
        <v>0</v>
      </c>
      <c r="K9" s="138">
        <v>0</v>
      </c>
      <c r="L9" s="142">
        <v>26</v>
      </c>
      <c r="M9" s="138">
        <f t="shared" si="2"/>
        <v>26</v>
      </c>
      <c r="N9" s="132"/>
      <c r="O9" s="141">
        <f t="shared" si="3"/>
        <v>26</v>
      </c>
      <c r="P9" s="139">
        <v>26</v>
      </c>
      <c r="Q9" s="139">
        <v>1</v>
      </c>
      <c r="R9" s="141">
        <v>0</v>
      </c>
      <c r="S9" s="133"/>
    </row>
    <row r="10" spans="1:19" ht="29.25" customHeight="1">
      <c r="A10">
        <f t="shared" si="4"/>
        <v>6</v>
      </c>
      <c r="B10" s="125" t="s">
        <v>161</v>
      </c>
      <c r="C10" s="71" t="s">
        <v>187</v>
      </c>
      <c r="D10" s="86">
        <v>45292</v>
      </c>
      <c r="E10" s="126"/>
      <c r="F10" s="127"/>
      <c r="G10" s="86" t="s">
        <v>74</v>
      </c>
      <c r="H10" s="135"/>
      <c r="I10" s="137">
        <v>4</v>
      </c>
      <c r="J10" s="138">
        <v>1</v>
      </c>
      <c r="K10" s="138">
        <v>2</v>
      </c>
      <c r="L10" s="142">
        <v>24</v>
      </c>
      <c r="M10" s="138">
        <f t="shared" si="2"/>
        <v>26</v>
      </c>
      <c r="N10" s="132"/>
      <c r="O10" s="141">
        <f t="shared" si="3"/>
        <v>26</v>
      </c>
      <c r="P10" s="139">
        <v>24</v>
      </c>
      <c r="Q10" s="139">
        <v>0</v>
      </c>
      <c r="R10" s="141">
        <v>0</v>
      </c>
      <c r="S10" s="133"/>
    </row>
    <row r="11" spans="1:19" ht="29.25" customHeight="1">
      <c r="A11">
        <f t="shared" si="4"/>
        <v>7</v>
      </c>
      <c r="B11" s="125" t="s">
        <v>175</v>
      </c>
      <c r="C11" s="71" t="s">
        <v>188</v>
      </c>
      <c r="D11" s="86">
        <v>45738</v>
      </c>
      <c r="E11" s="126"/>
      <c r="F11" s="127"/>
      <c r="G11" s="86" t="s">
        <v>232</v>
      </c>
      <c r="H11" s="143"/>
      <c r="I11" s="137">
        <v>4</v>
      </c>
      <c r="J11" s="138">
        <v>0</v>
      </c>
      <c r="K11" s="138">
        <v>0</v>
      </c>
      <c r="L11" s="142">
        <v>27</v>
      </c>
      <c r="M11" s="138">
        <f t="shared" si="2"/>
        <v>27</v>
      </c>
      <c r="N11" s="132"/>
      <c r="O11" s="141">
        <f t="shared" si="3"/>
        <v>26</v>
      </c>
      <c r="P11" s="139">
        <v>26</v>
      </c>
      <c r="Q11" s="139">
        <v>1</v>
      </c>
      <c r="R11" s="141">
        <v>0</v>
      </c>
      <c r="S11" s="133"/>
    </row>
    <row r="12" spans="1:19" ht="28.5" customHeight="1">
      <c r="B12" s="144" t="s">
        <v>130</v>
      </c>
      <c r="C12" s="120"/>
      <c r="D12" s="120"/>
      <c r="E12" s="120"/>
      <c r="F12" s="128"/>
      <c r="G12" s="120"/>
      <c r="H12" s="129"/>
    </row>
    <row r="13" spans="1:19">
      <c r="B13" s="145" t="s">
        <v>36</v>
      </c>
      <c r="C13" s="43" t="s">
        <v>129</v>
      </c>
      <c r="D13" s="44"/>
      <c r="E13" s="44"/>
      <c r="F13" s="44"/>
      <c r="G13" s="44"/>
      <c r="H13" s="45"/>
    </row>
    <row r="14" spans="1:19">
      <c r="B14" s="145" t="s">
        <v>84</v>
      </c>
      <c r="C14" s="43" t="s">
        <v>85</v>
      </c>
      <c r="D14" s="44"/>
      <c r="E14" s="44"/>
      <c r="F14" s="44"/>
      <c r="G14" s="44"/>
      <c r="H14" s="45"/>
    </row>
    <row r="15" spans="1:19">
      <c r="B15" s="145" t="s">
        <v>37</v>
      </c>
      <c r="C15" s="43" t="s">
        <v>86</v>
      </c>
      <c r="D15" s="44"/>
      <c r="E15" s="44"/>
      <c r="F15" s="44"/>
      <c r="G15" s="44"/>
      <c r="H15" s="45"/>
    </row>
    <row r="16" spans="1:19">
      <c r="B16" s="145" t="s">
        <v>55</v>
      </c>
      <c r="C16" s="43" t="s">
        <v>87</v>
      </c>
      <c r="D16" s="44"/>
      <c r="E16" s="44"/>
      <c r="F16" s="44"/>
      <c r="G16" s="44"/>
      <c r="H16" s="45"/>
    </row>
    <row r="17" spans="2:8">
      <c r="B17" s="145" t="s">
        <v>73</v>
      </c>
      <c r="C17" s="43" t="s">
        <v>88</v>
      </c>
      <c r="D17" s="44"/>
      <c r="E17" s="44"/>
      <c r="F17" s="44"/>
      <c r="G17" s="44"/>
      <c r="H17" s="45"/>
    </row>
    <row r="18" spans="2:8">
      <c r="B18" s="145" t="s">
        <v>60</v>
      </c>
      <c r="C18" s="43" t="s">
        <v>89</v>
      </c>
      <c r="D18" s="44"/>
      <c r="E18" s="44"/>
      <c r="F18" s="44"/>
      <c r="G18" s="44"/>
      <c r="H18" s="45"/>
    </row>
    <row r="19" spans="2:8">
      <c r="B19" s="145" t="s">
        <v>57</v>
      </c>
      <c r="C19" s="43" t="s">
        <v>90</v>
      </c>
      <c r="D19" s="44"/>
      <c r="E19" s="44"/>
      <c r="F19" s="44"/>
      <c r="G19" s="44"/>
      <c r="H19" s="45"/>
    </row>
    <row r="20" spans="2:8">
      <c r="B20" s="145" t="s">
        <v>83</v>
      </c>
      <c r="C20" s="43" t="s">
        <v>91</v>
      </c>
      <c r="D20" s="44"/>
      <c r="E20" s="44"/>
      <c r="F20" s="44"/>
      <c r="G20" s="44"/>
      <c r="H20" s="45"/>
    </row>
    <row r="21" spans="2:8">
      <c r="B21" s="37" t="s">
        <v>56</v>
      </c>
      <c r="C21" s="43" t="s">
        <v>92</v>
      </c>
      <c r="D21" s="44"/>
      <c r="E21" s="44"/>
      <c r="F21" s="44"/>
      <c r="G21" s="44"/>
      <c r="H21" s="45"/>
    </row>
    <row r="22" spans="2:8">
      <c r="B22" s="37" t="s">
        <v>33</v>
      </c>
      <c r="C22" s="43" t="s">
        <v>61</v>
      </c>
      <c r="D22" s="44"/>
      <c r="E22" s="44"/>
      <c r="F22" s="44"/>
      <c r="G22" s="44"/>
      <c r="H22" s="45"/>
    </row>
    <row r="23" spans="2:8">
      <c r="B23" s="37" t="s">
        <v>59</v>
      </c>
      <c r="C23" s="43" t="s">
        <v>62</v>
      </c>
      <c r="D23" s="44"/>
      <c r="E23" s="44"/>
      <c r="F23" s="44"/>
      <c r="G23" s="44"/>
      <c r="H23" s="45"/>
    </row>
    <row r="24" spans="2:8" ht="22.5" customHeight="1">
      <c r="B24" s="37" t="s">
        <v>63</v>
      </c>
      <c r="C24" s="43" t="s">
        <v>64</v>
      </c>
      <c r="D24" s="44"/>
      <c r="E24" s="44"/>
      <c r="F24" s="44"/>
      <c r="G24" s="44"/>
      <c r="H24" s="45"/>
    </row>
    <row r="25" spans="2:8" ht="22.5" customHeight="1">
      <c r="B25" s="37" t="s">
        <v>65</v>
      </c>
      <c r="C25" s="43" t="s">
        <v>66</v>
      </c>
      <c r="D25" s="44"/>
      <c r="E25" s="44"/>
      <c r="F25" s="44"/>
      <c r="G25" s="44"/>
      <c r="H25" s="45"/>
    </row>
    <row r="26" spans="2:8" ht="22.5" customHeight="1">
      <c r="B26" s="37" t="s">
        <v>34</v>
      </c>
      <c r="C26" s="43" t="s">
        <v>93</v>
      </c>
      <c r="D26" s="44"/>
      <c r="E26" s="44"/>
      <c r="F26" s="44"/>
      <c r="G26" s="44"/>
      <c r="H26" s="45"/>
    </row>
    <row r="27" spans="2:8" ht="22.5" customHeight="1">
      <c r="B27" s="37" t="s">
        <v>35</v>
      </c>
      <c r="C27" s="43" t="s">
        <v>94</v>
      </c>
      <c r="D27" s="44"/>
      <c r="E27" s="44"/>
      <c r="F27" s="44"/>
      <c r="G27" s="44"/>
      <c r="H27" s="45"/>
    </row>
    <row r="29" spans="2:8">
      <c r="B29" s="38"/>
      <c r="G29" s="46"/>
      <c r="H29" s="47"/>
    </row>
    <row r="30" spans="2:8" ht="18" customHeight="1">
      <c r="G30" s="46"/>
      <c r="H30" s="47"/>
    </row>
    <row r="31" spans="2:8" ht="17.25" customHeight="1">
      <c r="G31" s="46"/>
      <c r="H31" s="47"/>
    </row>
    <row r="32" spans="2:8" ht="38.25" customHeight="1">
      <c r="G32" s="46"/>
      <c r="H32" s="47"/>
    </row>
    <row r="33" spans="7:8">
      <c r="G33" s="46"/>
      <c r="H33" s="47"/>
    </row>
    <row r="34" spans="7:8">
      <c r="G34" s="46"/>
      <c r="H34" s="47"/>
    </row>
    <row r="35" spans="7:8">
      <c r="G35" s="48"/>
      <c r="H35" s="47"/>
    </row>
    <row r="36" spans="7:8">
      <c r="G36" s="49"/>
      <c r="H36" s="47"/>
    </row>
    <row r="37" spans="7:8">
      <c r="G37" s="49"/>
      <c r="H37" s="47"/>
    </row>
  </sheetData>
  <autoFilter ref="A3:S5" xr:uid="{00000000-0009-0000-0000-00000D000000}"/>
  <mergeCells count="18">
    <mergeCell ref="B1:B3"/>
    <mergeCell ref="C1:C3"/>
    <mergeCell ref="D1:D3"/>
    <mergeCell ref="E1:E3"/>
    <mergeCell ref="F1:F3"/>
    <mergeCell ref="Q1:Q3"/>
    <mergeCell ref="R1:R3"/>
    <mergeCell ref="S1:S3"/>
    <mergeCell ref="G1:G3"/>
    <mergeCell ref="K1:K3"/>
    <mergeCell ref="L1:L3"/>
    <mergeCell ref="O1:O3"/>
    <mergeCell ref="P1:P3"/>
    <mergeCell ref="I1:I3"/>
    <mergeCell ref="J1:J3"/>
    <mergeCell ref="M1:M3"/>
    <mergeCell ref="N1:N3"/>
    <mergeCell ref="H1:H3"/>
  </mergeCells>
  <phoneticPr fontId="280" type="noConversion"/>
  <dataValidations count="1">
    <dataValidation allowBlank="1" showErrorMessage="1" sqref="C5:C11" xr:uid="{D4BB4886-62F4-594E-B8AE-19E944652204}"/>
  </dataValidations>
  <pageMargins left="0.25" right="0" top="0.5" bottom="0.5" header="0.3" footer="0.2"/>
  <pageSetup paperSize="9" scale="50" fitToHeight="0" orientation="landscape" r:id="rId1"/>
  <headerFoot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40"/>
  <sheetViews>
    <sheetView view="pageBreakPreview" zoomScale="110" zoomScaleNormal="66" zoomScaleSheetLayoutView="110" workbookViewId="0">
      <pane xSplit="6" ySplit="3" topLeftCell="G4" activePane="bottomRight" state="frozen"/>
      <selection activeCell="C13" sqref="C13"/>
      <selection pane="topRight" activeCell="C13" sqref="C13"/>
      <selection pane="bottomLeft" activeCell="C13" sqref="C13"/>
      <selection pane="bottomRight" activeCell="C7" sqref="C7"/>
    </sheetView>
  </sheetViews>
  <sheetFormatPr baseColWidth="10" defaultColWidth="13.5" defaultRowHeight="14" outlineLevelCol="1"/>
  <cols>
    <col min="1" max="1" width="11.5" style="50" customWidth="1"/>
    <col min="2" max="2" width="17" style="2" customWidth="1"/>
    <col min="3" max="3" width="18.5" style="3" customWidth="1"/>
    <col min="4" max="4" width="17.33203125" style="3" customWidth="1"/>
    <col min="5" max="5" width="13.6640625" style="3" customWidth="1"/>
    <col min="6" max="6" width="18.6640625" style="50" customWidth="1"/>
    <col min="7" max="7" width="11.33203125" style="4" customWidth="1"/>
    <col min="8" max="8" width="8.6640625" style="3" customWidth="1"/>
    <col min="9" max="9" width="16.5" style="3" customWidth="1"/>
    <col min="10" max="12" width="11.6640625" style="3" customWidth="1" outlineLevel="1"/>
    <col min="13" max="13" width="17.6640625" style="3" customWidth="1" outlineLevel="1"/>
    <col min="14" max="14" width="11.6640625" style="3" customWidth="1" outlineLevel="1"/>
    <col min="15" max="15" width="14.83203125" style="3" customWidth="1" outlineLevel="1"/>
    <col min="16" max="16" width="15.5" style="3" customWidth="1"/>
    <col min="17" max="17" width="10.1640625" style="3" hidden="1" customWidth="1"/>
    <col min="18" max="18" width="28.6640625" style="3" hidden="1" customWidth="1"/>
    <col min="19" max="19" width="0" style="3" hidden="1" customWidth="1"/>
    <col min="20" max="16384" width="13.5" style="3"/>
  </cols>
  <sheetData>
    <row r="1" spans="1:19" s="50" customFormat="1" ht="21.75" customHeight="1">
      <c r="A1" s="333" t="s">
        <v>11</v>
      </c>
      <c r="B1" s="336" t="s">
        <v>26</v>
      </c>
      <c r="C1" s="336" t="s">
        <v>10</v>
      </c>
      <c r="D1" s="336" t="s">
        <v>43</v>
      </c>
      <c r="E1" s="336" t="s">
        <v>50</v>
      </c>
      <c r="F1" s="341" t="s">
        <v>216</v>
      </c>
      <c r="G1" s="336" t="s">
        <v>38</v>
      </c>
      <c r="H1" s="333" t="s">
        <v>39</v>
      </c>
      <c r="I1" s="336" t="s">
        <v>212</v>
      </c>
      <c r="J1" s="339" t="s">
        <v>213</v>
      </c>
      <c r="K1" s="333" t="s">
        <v>214</v>
      </c>
      <c r="L1" s="333" t="s">
        <v>29</v>
      </c>
      <c r="M1" s="333" t="s">
        <v>40</v>
      </c>
      <c r="N1" s="333" t="s">
        <v>41</v>
      </c>
      <c r="O1" s="333" t="s">
        <v>42</v>
      </c>
      <c r="P1" s="336" t="s">
        <v>215</v>
      </c>
    </row>
    <row r="2" spans="1:19" s="2" customFormat="1" ht="33.75" customHeight="1">
      <c r="A2" s="334"/>
      <c r="B2" s="330"/>
      <c r="C2" s="330"/>
      <c r="D2" s="330"/>
      <c r="E2" s="330"/>
      <c r="F2" s="342"/>
      <c r="G2" s="337"/>
      <c r="H2" s="334"/>
      <c r="I2" s="337"/>
      <c r="J2" s="339"/>
      <c r="K2" s="334"/>
      <c r="L2" s="334"/>
      <c r="M2" s="334"/>
      <c r="N2" s="334"/>
      <c r="O2" s="334"/>
      <c r="P2" s="337"/>
    </row>
    <row r="3" spans="1:19" s="2" customFormat="1" ht="27" customHeight="1">
      <c r="A3" s="335"/>
      <c r="B3" s="331"/>
      <c r="C3" s="331"/>
      <c r="D3" s="331"/>
      <c r="E3" s="331"/>
      <c r="F3" s="343"/>
      <c r="G3" s="338"/>
      <c r="H3" s="335"/>
      <c r="I3" s="338"/>
      <c r="J3" s="340"/>
      <c r="K3" s="335"/>
      <c r="L3" s="335"/>
      <c r="M3" s="335"/>
      <c r="N3" s="335"/>
      <c r="O3" s="335"/>
      <c r="P3" s="338"/>
    </row>
    <row r="4" spans="1:19" s="1" customFormat="1" ht="23.25" customHeight="1">
      <c r="A4" s="300"/>
      <c r="B4" s="97" t="s">
        <v>159</v>
      </c>
      <c r="C4" s="98" t="s">
        <v>185</v>
      </c>
      <c r="D4" s="301"/>
      <c r="E4" s="301">
        <v>45740</v>
      </c>
      <c r="F4" s="302">
        <v>2</v>
      </c>
      <c r="G4" s="303"/>
      <c r="H4" s="303"/>
      <c r="I4" s="303"/>
      <c r="J4" s="303"/>
      <c r="K4" s="303"/>
      <c r="L4" s="303"/>
      <c r="M4" s="303"/>
      <c r="N4" s="303"/>
      <c r="O4" s="303"/>
      <c r="P4" s="303"/>
    </row>
    <row r="5" spans="1:19" s="1" customFormat="1" ht="23.25" customHeight="1">
      <c r="A5" s="15"/>
      <c r="B5" s="51" t="s">
        <v>175</v>
      </c>
      <c r="C5" s="71" t="s">
        <v>188</v>
      </c>
      <c r="D5" s="52"/>
      <c r="E5" s="17">
        <v>45738</v>
      </c>
      <c r="F5" s="12">
        <v>4</v>
      </c>
      <c r="G5" s="158"/>
      <c r="H5" s="158"/>
      <c r="I5" s="158"/>
      <c r="J5" s="158"/>
      <c r="K5" s="158"/>
      <c r="L5" s="158"/>
      <c r="M5" s="158"/>
      <c r="N5" s="158"/>
      <c r="O5" s="158"/>
      <c r="P5" s="158"/>
      <c r="S5" s="1" t="e">
        <f>VLOOKUP(B5,[20]Timetable_T03!$B$9:$AS$19,44,0)</f>
        <v>#N/A</v>
      </c>
    </row>
    <row r="6" spans="1:19" s="1" customFormat="1" ht="23.25" customHeight="1">
      <c r="A6" s="14"/>
      <c r="B6" s="13"/>
      <c r="C6" s="11"/>
      <c r="D6" s="18"/>
      <c r="E6" s="18"/>
      <c r="F6" s="12">
        <f t="shared" ref="F6:F10" si="0">IF(OR(P6=26,P6=26),26,P6)</f>
        <v>0</v>
      </c>
      <c r="G6" s="158"/>
      <c r="H6" s="158"/>
      <c r="I6" s="158"/>
      <c r="J6" s="158"/>
      <c r="K6" s="158"/>
      <c r="L6" s="158"/>
      <c r="M6" s="158"/>
      <c r="N6" s="158"/>
      <c r="O6" s="158"/>
      <c r="P6" s="158"/>
    </row>
    <row r="7" spans="1:19" s="1" customFormat="1" ht="23.25" customHeight="1">
      <c r="A7" s="19"/>
      <c r="B7" s="20"/>
      <c r="C7" s="21"/>
      <c r="D7" s="22"/>
      <c r="E7" s="22"/>
      <c r="F7" s="12">
        <f t="shared" si="0"/>
        <v>0</v>
      </c>
      <c r="G7" s="158"/>
      <c r="H7" s="158"/>
      <c r="I7" s="158"/>
      <c r="J7" s="158"/>
      <c r="K7" s="158"/>
      <c r="L7" s="158"/>
      <c r="M7" s="158"/>
      <c r="N7" s="158"/>
      <c r="O7" s="158"/>
      <c r="P7" s="158"/>
    </row>
    <row r="8" spans="1:19" s="1" customFormat="1" ht="23.25" customHeight="1">
      <c r="A8" s="19"/>
      <c r="B8" s="20"/>
      <c r="C8" s="21"/>
      <c r="D8" s="22"/>
      <c r="E8" s="22"/>
      <c r="F8" s="12">
        <f t="shared" si="0"/>
        <v>0</v>
      </c>
      <c r="G8" s="158"/>
      <c r="H8" s="158"/>
      <c r="I8" s="158"/>
      <c r="J8" s="158"/>
      <c r="K8" s="158"/>
      <c r="L8" s="158"/>
      <c r="M8" s="158"/>
      <c r="N8" s="158"/>
      <c r="O8" s="158"/>
      <c r="P8" s="158"/>
    </row>
    <row r="9" spans="1:19" s="1" customFormat="1" ht="24" customHeight="1">
      <c r="A9" s="10"/>
      <c r="B9" s="13"/>
      <c r="C9" s="11"/>
      <c r="D9" s="16"/>
      <c r="E9" s="16"/>
      <c r="F9" s="12">
        <f t="shared" si="0"/>
        <v>0</v>
      </c>
      <c r="G9" s="158"/>
      <c r="H9" s="158"/>
      <c r="I9" s="158"/>
      <c r="J9" s="158"/>
      <c r="K9" s="158"/>
      <c r="L9" s="158"/>
      <c r="M9" s="158"/>
      <c r="N9" s="158"/>
      <c r="O9" s="158"/>
      <c r="P9" s="158"/>
    </row>
    <row r="10" spans="1:19" s="1" customFormat="1" ht="22.5" customHeight="1">
      <c r="A10" s="10"/>
      <c r="B10" s="13"/>
      <c r="C10" s="11"/>
      <c r="D10" s="16"/>
      <c r="E10" s="16"/>
      <c r="F10" s="12">
        <f t="shared" si="0"/>
        <v>0</v>
      </c>
      <c r="G10" s="158"/>
      <c r="H10" s="158"/>
      <c r="I10" s="158"/>
      <c r="J10" s="158"/>
      <c r="K10" s="158"/>
      <c r="L10" s="158"/>
      <c r="M10" s="158"/>
      <c r="N10" s="158"/>
      <c r="O10" s="158"/>
      <c r="P10" s="158"/>
    </row>
    <row r="12" spans="1:19" s="4" customFormat="1">
      <c r="A12" s="2"/>
      <c r="B12" s="2"/>
      <c r="F12" s="2"/>
    </row>
    <row r="13" spans="1:19" s="4" customFormat="1">
      <c r="A13" s="2"/>
      <c r="B13" s="2"/>
      <c r="F13" s="2"/>
    </row>
    <row r="14" spans="1:19" customFormat="1" ht="28.5" customHeight="1">
      <c r="B14" s="144" t="s">
        <v>130</v>
      </c>
      <c r="C14" s="120"/>
      <c r="D14" s="120"/>
      <c r="E14" s="120"/>
      <c r="F14" s="39"/>
      <c r="G14" s="6"/>
      <c r="H14" s="6"/>
      <c r="I14" s="6"/>
      <c r="J14" s="159"/>
      <c r="N14" s="42"/>
      <c r="Q14" s="39"/>
      <c r="R14" s="39"/>
      <c r="S14" s="39"/>
    </row>
    <row r="15" spans="1:19" customFormat="1" ht="19">
      <c r="B15" s="145" t="s">
        <v>36</v>
      </c>
      <c r="C15" s="43" t="s">
        <v>129</v>
      </c>
      <c r="D15" s="44"/>
      <c r="E15" s="44"/>
      <c r="F15" s="39"/>
      <c r="G15" s="6"/>
      <c r="H15" s="6"/>
      <c r="I15" s="6"/>
      <c r="J15" s="159"/>
      <c r="N15" s="42"/>
      <c r="Q15" s="39"/>
      <c r="R15" s="39"/>
      <c r="S15" s="39"/>
    </row>
    <row r="16" spans="1:19" customFormat="1" ht="19">
      <c r="B16" s="145" t="s">
        <v>84</v>
      </c>
      <c r="C16" s="43" t="s">
        <v>85</v>
      </c>
      <c r="D16" s="44"/>
      <c r="E16" s="44"/>
      <c r="F16" s="39"/>
      <c r="G16" s="6"/>
      <c r="H16" s="6"/>
      <c r="I16" s="6"/>
      <c r="J16" s="159"/>
      <c r="N16" s="42"/>
      <c r="Q16" s="39"/>
      <c r="R16" s="39"/>
      <c r="S16" s="39"/>
    </row>
    <row r="17" spans="2:19" customFormat="1" ht="19">
      <c r="B17" s="145" t="s">
        <v>37</v>
      </c>
      <c r="C17" s="43" t="s">
        <v>86</v>
      </c>
      <c r="D17" s="44"/>
      <c r="E17" s="44"/>
      <c r="F17" s="39"/>
      <c r="G17" s="6"/>
      <c r="H17" s="6"/>
      <c r="I17" s="6"/>
      <c r="J17" s="159"/>
      <c r="N17" s="42"/>
      <c r="Q17" s="39"/>
      <c r="R17" s="39"/>
      <c r="S17" s="39"/>
    </row>
    <row r="18" spans="2:19" customFormat="1" ht="19">
      <c r="B18" s="145" t="s">
        <v>55</v>
      </c>
      <c r="C18" s="43" t="s">
        <v>87</v>
      </c>
      <c r="D18" s="44"/>
      <c r="E18" s="44"/>
      <c r="F18" s="39"/>
      <c r="G18" s="6"/>
      <c r="H18" s="6"/>
      <c r="I18" s="6"/>
      <c r="J18" s="159"/>
      <c r="N18" s="42"/>
      <c r="Q18" s="39"/>
      <c r="R18" s="39"/>
      <c r="S18" s="39"/>
    </row>
    <row r="19" spans="2:19" customFormat="1" ht="19">
      <c r="B19" s="145" t="s">
        <v>73</v>
      </c>
      <c r="C19" s="43" t="s">
        <v>88</v>
      </c>
      <c r="D19" s="44"/>
      <c r="E19" s="44"/>
      <c r="F19" s="39"/>
      <c r="G19" s="6"/>
      <c r="H19" s="6"/>
      <c r="I19" s="6"/>
      <c r="J19" s="159"/>
      <c r="N19" s="42"/>
      <c r="Q19" s="39"/>
      <c r="R19" s="39"/>
      <c r="S19" s="39"/>
    </row>
    <row r="20" spans="2:19" customFormat="1" ht="19">
      <c r="B20" s="145" t="s">
        <v>60</v>
      </c>
      <c r="C20" s="43" t="s">
        <v>89</v>
      </c>
      <c r="D20" s="44"/>
      <c r="E20" s="44"/>
      <c r="F20" s="39"/>
      <c r="G20" s="6"/>
      <c r="H20" s="6"/>
      <c r="I20" s="6"/>
      <c r="J20" s="159"/>
      <c r="N20" s="42"/>
      <c r="Q20" s="39"/>
      <c r="R20" s="39"/>
      <c r="S20" s="39"/>
    </row>
    <row r="21" spans="2:19" customFormat="1" ht="19">
      <c r="B21" s="145" t="s">
        <v>57</v>
      </c>
      <c r="C21" s="43" t="s">
        <v>90</v>
      </c>
      <c r="D21" s="44"/>
      <c r="E21" s="44"/>
      <c r="F21" s="39"/>
      <c r="G21" s="6"/>
      <c r="H21" s="6"/>
      <c r="I21" s="6"/>
      <c r="J21" s="159"/>
      <c r="N21" s="42"/>
      <c r="Q21" s="39"/>
      <c r="R21" s="39"/>
      <c r="S21" s="39"/>
    </row>
    <row r="22" spans="2:19" customFormat="1" ht="19">
      <c r="B22" s="145" t="s">
        <v>83</v>
      </c>
      <c r="C22" s="43" t="s">
        <v>91</v>
      </c>
      <c r="D22" s="44"/>
      <c r="E22" s="44"/>
      <c r="F22" s="39"/>
      <c r="G22" s="6"/>
      <c r="H22" s="6"/>
      <c r="I22" s="6"/>
      <c r="J22" s="159"/>
      <c r="N22" s="42"/>
      <c r="Q22" s="39"/>
      <c r="R22" s="39"/>
      <c r="S22" s="39"/>
    </row>
    <row r="23" spans="2:19" customFormat="1" ht="19">
      <c r="B23" s="145" t="s">
        <v>56</v>
      </c>
      <c r="C23" s="43" t="s">
        <v>92</v>
      </c>
      <c r="D23" s="44"/>
      <c r="E23" s="44"/>
      <c r="F23" s="39"/>
      <c r="G23" s="6"/>
      <c r="H23" s="6"/>
      <c r="I23" s="6"/>
      <c r="J23" s="159"/>
      <c r="N23" s="42"/>
      <c r="Q23" s="39"/>
      <c r="R23" s="39"/>
      <c r="S23" s="39"/>
    </row>
    <row r="24" spans="2:19" customFormat="1" ht="19">
      <c r="B24" s="145" t="s">
        <v>33</v>
      </c>
      <c r="C24" s="43" t="s">
        <v>61</v>
      </c>
      <c r="D24" s="44"/>
      <c r="E24" s="44"/>
      <c r="F24" s="39"/>
      <c r="G24" s="6"/>
      <c r="H24" s="6"/>
      <c r="I24" s="6"/>
      <c r="J24" s="159"/>
      <c r="N24" s="42"/>
      <c r="Q24" s="39"/>
      <c r="R24" s="39"/>
      <c r="S24" s="39"/>
    </row>
    <row r="25" spans="2:19" customFormat="1" ht="19">
      <c r="B25" s="145" t="s">
        <v>59</v>
      </c>
      <c r="C25" s="43" t="s">
        <v>62</v>
      </c>
      <c r="D25" s="44"/>
      <c r="E25" s="44"/>
      <c r="F25" s="39"/>
      <c r="G25" s="6"/>
      <c r="H25" s="6"/>
      <c r="I25" s="6"/>
      <c r="J25" s="159"/>
      <c r="N25" s="42"/>
      <c r="Q25" s="39"/>
      <c r="R25" s="39"/>
      <c r="S25" s="39"/>
    </row>
    <row r="26" spans="2:19" customFormat="1" ht="22.5" customHeight="1">
      <c r="B26" s="145" t="s">
        <v>63</v>
      </c>
      <c r="C26" s="43" t="s">
        <v>64</v>
      </c>
      <c r="D26" s="44"/>
      <c r="E26" s="44"/>
      <c r="F26" s="39"/>
      <c r="G26" s="6"/>
      <c r="H26" s="6"/>
      <c r="I26" s="6"/>
      <c r="J26" s="159"/>
      <c r="N26" s="42"/>
      <c r="Q26" s="39"/>
      <c r="R26" s="39"/>
      <c r="S26" s="39"/>
    </row>
    <row r="27" spans="2:19" customFormat="1" ht="22.5" customHeight="1">
      <c r="B27" s="145" t="s">
        <v>65</v>
      </c>
      <c r="C27" s="43" t="s">
        <v>66</v>
      </c>
      <c r="D27" s="44"/>
      <c r="E27" s="44"/>
      <c r="F27" s="39"/>
      <c r="G27" s="6"/>
      <c r="H27" s="6"/>
      <c r="I27" s="6"/>
      <c r="J27" s="159"/>
      <c r="N27" s="42"/>
      <c r="Q27" s="39"/>
      <c r="R27" s="39"/>
      <c r="S27" s="39"/>
    </row>
    <row r="28" spans="2:19" customFormat="1" ht="22.5" customHeight="1">
      <c r="B28" s="145" t="s">
        <v>34</v>
      </c>
      <c r="C28" s="43" t="s">
        <v>93</v>
      </c>
      <c r="D28" s="44"/>
      <c r="E28" s="44"/>
      <c r="F28" s="39"/>
      <c r="G28" s="6"/>
      <c r="H28" s="6"/>
      <c r="I28" s="6"/>
      <c r="J28" s="159"/>
      <c r="N28" s="42"/>
      <c r="Q28" s="39"/>
      <c r="R28" s="39"/>
      <c r="S28" s="39"/>
    </row>
    <row r="29" spans="2:19" customFormat="1" ht="22.5" customHeight="1">
      <c r="B29" s="145" t="s">
        <v>35</v>
      </c>
      <c r="C29" s="43" t="s">
        <v>94</v>
      </c>
      <c r="D29" s="44"/>
      <c r="E29" s="44"/>
      <c r="F29" s="39"/>
      <c r="G29" s="6"/>
      <c r="H29" s="6"/>
      <c r="I29" s="6"/>
      <c r="J29" s="159"/>
      <c r="N29" s="42"/>
      <c r="Q29" s="39"/>
      <c r="R29" s="39"/>
      <c r="S29" s="39"/>
    </row>
    <row r="30" spans="2:19" customFormat="1" ht="19">
      <c r="F30" s="39"/>
      <c r="G30" s="6"/>
      <c r="H30" s="6"/>
      <c r="I30" s="6"/>
      <c r="J30" s="159"/>
      <c r="N30" s="42"/>
      <c r="Q30" s="39"/>
      <c r="R30" s="39"/>
      <c r="S30" s="39"/>
    </row>
    <row r="31" spans="2:19" customFormat="1" ht="19">
      <c r="B31" s="38"/>
      <c r="F31" s="39"/>
      <c r="G31" s="6"/>
      <c r="H31" s="6"/>
      <c r="I31" s="6"/>
      <c r="J31" s="159"/>
      <c r="N31" s="42"/>
      <c r="Q31" s="39"/>
      <c r="R31" s="39"/>
      <c r="S31" s="39"/>
    </row>
    <row r="32" spans="2:19" customFormat="1" ht="18" customHeight="1">
      <c r="F32" s="39"/>
      <c r="G32" s="6"/>
      <c r="H32" s="6"/>
      <c r="I32" s="6"/>
      <c r="J32" s="159"/>
      <c r="N32" s="42"/>
      <c r="Q32" s="39"/>
      <c r="R32" s="39"/>
      <c r="S32" s="39"/>
    </row>
    <row r="33" spans="6:20" customFormat="1" ht="17.25" customHeight="1">
      <c r="F33" s="39"/>
      <c r="G33" s="6"/>
      <c r="H33" s="6"/>
      <c r="I33" s="6"/>
      <c r="J33" s="159"/>
      <c r="N33" s="42"/>
      <c r="Q33" s="39"/>
      <c r="R33" s="39"/>
      <c r="S33" s="39"/>
    </row>
    <row r="34" spans="6:20" customFormat="1" ht="38.25" customHeight="1">
      <c r="F34" s="39"/>
      <c r="G34" s="6"/>
      <c r="H34" s="6"/>
      <c r="I34" s="6"/>
      <c r="J34" s="159"/>
      <c r="N34" s="42"/>
      <c r="Q34" s="39"/>
      <c r="R34" s="39"/>
      <c r="S34" s="39"/>
    </row>
    <row r="35" spans="6:20" customFormat="1" ht="19">
      <c r="F35" s="39"/>
      <c r="G35" s="6"/>
      <c r="H35" s="6"/>
      <c r="I35" s="6"/>
      <c r="J35" s="159"/>
      <c r="N35" s="42"/>
      <c r="Q35" s="39"/>
      <c r="R35" s="39"/>
      <c r="S35" s="39"/>
    </row>
    <row r="36" spans="6:20" customFormat="1" ht="19">
      <c r="F36" s="39"/>
      <c r="G36" s="6"/>
      <c r="H36" s="6"/>
      <c r="I36" s="6"/>
      <c r="J36" s="159"/>
      <c r="N36" s="42"/>
      <c r="Q36" s="39"/>
      <c r="R36" s="39"/>
      <c r="S36" s="39"/>
    </row>
    <row r="37" spans="6:20" customFormat="1" ht="19">
      <c r="F37" s="39"/>
      <c r="G37" s="6"/>
      <c r="H37" s="6"/>
      <c r="I37" s="6"/>
      <c r="J37" s="159"/>
      <c r="N37" s="42"/>
      <c r="Q37" s="39"/>
      <c r="R37" s="39"/>
      <c r="S37" s="39"/>
    </row>
    <row r="38" spans="6:20" customFormat="1" ht="19">
      <c r="F38" s="39"/>
      <c r="G38" s="6"/>
      <c r="H38" s="6"/>
      <c r="I38" s="6"/>
      <c r="J38" s="159"/>
      <c r="N38" s="42"/>
      <c r="Q38" s="39"/>
      <c r="R38" s="39"/>
      <c r="S38" s="39"/>
    </row>
    <row r="39" spans="6:20" customFormat="1" ht="19">
      <c r="F39" s="161"/>
      <c r="G39" s="6"/>
      <c r="H39" s="6"/>
      <c r="I39" s="6"/>
      <c r="J39" s="54"/>
      <c r="N39" s="42"/>
      <c r="Q39" s="161"/>
      <c r="R39" s="161"/>
      <c r="S39" s="161"/>
      <c r="T39" s="162"/>
    </row>
    <row r="40" spans="6:20" customFormat="1" ht="19">
      <c r="F40" s="161"/>
      <c r="G40" s="6"/>
      <c r="H40" s="6"/>
      <c r="I40" s="6"/>
      <c r="J40" s="53"/>
      <c r="N40" s="42"/>
      <c r="Q40" s="161"/>
      <c r="R40" s="161"/>
      <c r="S40" s="161"/>
      <c r="T40" s="162"/>
    </row>
  </sheetData>
  <mergeCells count="16">
    <mergeCell ref="A1:A3"/>
    <mergeCell ref="B1:B3"/>
    <mergeCell ref="C1:C3"/>
    <mergeCell ref="D1:D3"/>
    <mergeCell ref="P1:P3"/>
    <mergeCell ref="O1:O3"/>
    <mergeCell ref="N1:N3"/>
    <mergeCell ref="M1:M3"/>
    <mergeCell ref="E1:E3"/>
    <mergeCell ref="I1:I3"/>
    <mergeCell ref="G1:G3"/>
    <mergeCell ref="L1:L3"/>
    <mergeCell ref="K1:K3"/>
    <mergeCell ref="J1:J3"/>
    <mergeCell ref="H1:H3"/>
    <mergeCell ref="F1:F3"/>
  </mergeCells>
  <conditionalFormatting sqref="B1:B3">
    <cfRule type="duplicateValues" dxfId="87" priority="1"/>
  </conditionalFormatting>
  <conditionalFormatting sqref="B4:B10">
    <cfRule type="duplicateValues" dxfId="86" priority="1327757"/>
    <cfRule type="duplicateValues" dxfId="85" priority="1327758"/>
    <cfRule type="duplicateValues" dxfId="84" priority="1327759"/>
  </conditionalFormatting>
  <conditionalFormatting sqref="B14:B40">
    <cfRule type="duplicateValues" dxfId="83" priority="1327642"/>
    <cfRule type="duplicateValues" dxfId="82" priority="1327643"/>
    <cfRule type="duplicateValues" dxfId="81" priority="1327644"/>
    <cfRule type="duplicateValues" dxfId="80" priority="1327648"/>
    <cfRule type="duplicateValues" dxfId="79" priority="1327649"/>
  </conditionalFormatting>
  <conditionalFormatting sqref="B30">
    <cfRule type="duplicateValues" dxfId="78" priority="14"/>
  </conditionalFormatting>
  <conditionalFormatting sqref="B30:B40">
    <cfRule type="duplicateValues" dxfId="77" priority="17"/>
    <cfRule type="duplicateValues" dxfId="76" priority="20"/>
    <cfRule type="duplicateValues" dxfId="75" priority="21"/>
    <cfRule type="duplicateValues" dxfId="74" priority="22"/>
    <cfRule type="duplicateValues" dxfId="73" priority="23"/>
  </conditionalFormatting>
  <conditionalFormatting sqref="B31">
    <cfRule type="duplicateValues" dxfId="72" priority="15"/>
    <cfRule type="duplicateValues" dxfId="71" priority="16"/>
  </conditionalFormatting>
  <conditionalFormatting sqref="B41:B1048576 B11:B13">
    <cfRule type="duplicateValues" dxfId="70" priority="1327639"/>
  </conditionalFormatting>
  <conditionalFormatting sqref="C14:C29">
    <cfRule type="duplicateValues" dxfId="69" priority="1327652"/>
    <cfRule type="duplicateValues" dxfId="68" priority="1327653"/>
    <cfRule type="duplicateValues" dxfId="67" priority="1327654" stopIfTrue="1"/>
    <cfRule type="duplicateValues" dxfId="66" priority="1327655" stopIfTrue="1"/>
    <cfRule type="duplicateValues" dxfId="65" priority="1327656"/>
    <cfRule type="duplicateValues" dxfId="64" priority="1327657" stopIfTrue="1"/>
    <cfRule type="duplicateValues" dxfId="63" priority="1327658" stopIfTrue="1"/>
    <cfRule type="expression" dxfId="62" priority="1327659" stopIfTrue="1">
      <formula>AND(COUNTIF(#REF!, C14)+COUNTIF(#REF!, C14)&gt;1,NOT(ISBLANK(C14)))</formula>
    </cfRule>
  </conditionalFormatting>
  <conditionalFormatting sqref="D14">
    <cfRule type="duplicateValues" dxfId="61" priority="3"/>
    <cfRule type="duplicateValues" dxfId="60" priority="4"/>
    <cfRule type="duplicateValues" dxfId="59" priority="5"/>
  </conditionalFormatting>
  <dataValidations count="1">
    <dataValidation allowBlank="1" showErrorMessage="1" sqref="B4:C5" xr:uid="{00000000-0002-0000-0E00-000001000000}"/>
  </dataValidations>
  <pageMargins left="0.5" right="0" top="0.48" bottom="0.28000000000000003" header="0.3" footer="0.16"/>
  <pageSetup paperSize="9" scale="50" orientation="landscape" r:id="rId1"/>
  <colBreaks count="1" manualBreakCount="1">
    <brk id="1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6830A-5305-0E49-B897-6BDDE0754116}">
  <dimension ref="A1:S10"/>
  <sheetViews>
    <sheetView workbookViewId="0">
      <selection activeCell="G28" sqref="G28"/>
    </sheetView>
  </sheetViews>
  <sheetFormatPr baseColWidth="10" defaultRowHeight="13"/>
  <cols>
    <col min="2" max="2" width="19.5" bestFit="1" customWidth="1"/>
  </cols>
  <sheetData>
    <row r="1" spans="1:19" ht="14">
      <c r="A1" s="346" t="s">
        <v>26</v>
      </c>
      <c r="B1" s="348" t="s">
        <v>27</v>
      </c>
      <c r="C1" s="350" t="s">
        <v>50</v>
      </c>
      <c r="D1" s="351" t="s">
        <v>176</v>
      </c>
      <c r="E1" s="168" t="s">
        <v>217</v>
      </c>
      <c r="F1" s="168" t="s">
        <v>218</v>
      </c>
      <c r="G1" s="169" t="s">
        <v>219</v>
      </c>
      <c r="H1" s="169" t="s">
        <v>220</v>
      </c>
      <c r="I1" s="169" t="s">
        <v>221</v>
      </c>
      <c r="J1" s="170" t="s">
        <v>222</v>
      </c>
      <c r="K1" s="168" t="s">
        <v>223</v>
      </c>
      <c r="L1" s="168" t="s">
        <v>224</v>
      </c>
      <c r="M1" s="168" t="s">
        <v>225</v>
      </c>
      <c r="N1" s="168" t="s">
        <v>226</v>
      </c>
      <c r="O1" s="168" t="s">
        <v>227</v>
      </c>
      <c r="P1" s="168" t="s">
        <v>228</v>
      </c>
      <c r="Q1" s="344" t="s">
        <v>47</v>
      </c>
      <c r="R1" s="344" t="s">
        <v>24</v>
      </c>
      <c r="S1" s="344" t="s">
        <v>25</v>
      </c>
    </row>
    <row r="2" spans="1:19">
      <c r="A2" s="347"/>
      <c r="B2" s="349"/>
      <c r="C2" s="350"/>
      <c r="D2" s="352"/>
      <c r="E2" s="165">
        <v>1.5</v>
      </c>
      <c r="F2" s="165">
        <v>2.15</v>
      </c>
      <c r="G2" s="165">
        <v>2</v>
      </c>
      <c r="H2" s="165">
        <v>2.8</v>
      </c>
      <c r="I2" s="165">
        <v>3</v>
      </c>
      <c r="J2" s="165">
        <v>4.0999999999999996</v>
      </c>
      <c r="K2" s="165">
        <v>1.5</v>
      </c>
      <c r="L2" s="165">
        <v>2.15</v>
      </c>
      <c r="M2" s="165">
        <v>2</v>
      </c>
      <c r="N2" s="165">
        <v>2.8</v>
      </c>
      <c r="O2" s="165">
        <v>3</v>
      </c>
      <c r="P2" s="165">
        <v>4.0999999999999996</v>
      </c>
      <c r="Q2" s="345"/>
      <c r="R2" s="345"/>
      <c r="S2" s="345"/>
    </row>
    <row r="3" spans="1:19" ht="14">
      <c r="A3" s="171" t="s">
        <v>173</v>
      </c>
      <c r="B3" s="98" t="s">
        <v>181</v>
      </c>
      <c r="C3" s="172">
        <v>43466</v>
      </c>
      <c r="D3" s="173">
        <f>VLOOKUP(A3,'Template Payroll'!$B$6:$J$16,9,0)</f>
        <v>47000000</v>
      </c>
      <c r="E3" s="174">
        <v>0</v>
      </c>
      <c r="F3" s="175">
        <v>0</v>
      </c>
      <c r="G3" s="175">
        <v>0</v>
      </c>
      <c r="H3" s="175">
        <v>0</v>
      </c>
      <c r="I3" s="175"/>
      <c r="J3" s="175"/>
      <c r="K3" s="176">
        <f>ROUND(D3/26/8*$K$2*E3,0)</f>
        <v>0</v>
      </c>
      <c r="L3" s="176">
        <f>ROUND(D3/26/8*$L$2*F3,0)</f>
        <v>0</v>
      </c>
      <c r="M3" s="176">
        <f>ROUND(D3/26/8*$M$2*G3,0)</f>
        <v>0</v>
      </c>
      <c r="N3" s="176">
        <f>ROUND(D3/26/8*$N$2*H3,0)</f>
        <v>0</v>
      </c>
      <c r="O3" s="176">
        <f>ROUND(D3/26/8*$O$2*I3,0)</f>
        <v>0</v>
      </c>
      <c r="P3" s="176">
        <f>ROUND(D3/26/8*$P$2*J3,0)</f>
        <v>0</v>
      </c>
      <c r="Q3" s="177">
        <f>ROUND(SUM(K3:P3),0)</f>
        <v>0</v>
      </c>
      <c r="R3" s="178">
        <f>ROUND(SUM(E3:J3)*D3/26/8,0)</f>
        <v>0</v>
      </c>
      <c r="S3" s="179">
        <f>ROUND(Q3-R3,0)</f>
        <v>0</v>
      </c>
    </row>
    <row r="4" spans="1:19" ht="14">
      <c r="A4" s="166" t="s">
        <v>174</v>
      </c>
      <c r="B4" s="71" t="s">
        <v>182</v>
      </c>
      <c r="C4" s="167">
        <v>43831</v>
      </c>
      <c r="D4" s="163">
        <f>VLOOKUP(A4,'Template Payroll'!$B$6:$J$16,9,0)</f>
        <v>31000000</v>
      </c>
      <c r="E4" s="164">
        <v>0</v>
      </c>
      <c r="F4" s="164">
        <v>6</v>
      </c>
      <c r="G4" s="164">
        <v>0</v>
      </c>
      <c r="H4" s="164">
        <v>0</v>
      </c>
      <c r="I4" s="164">
        <v>6</v>
      </c>
      <c r="J4" s="164">
        <v>2</v>
      </c>
      <c r="K4" s="296">
        <f t="shared" ref="K4:K10" si="0">ROUND(D4/26/8*$K$2*E4,0)</f>
        <v>0</v>
      </c>
      <c r="L4" s="296">
        <f t="shared" ref="L4:L10" si="1">ROUND(D4/26/8*$L$2*F4,0)</f>
        <v>1922596</v>
      </c>
      <c r="M4" s="296">
        <f t="shared" ref="M4:M10" si="2">ROUND(D4/26/8*$M$2*G4,0)</f>
        <v>0</v>
      </c>
      <c r="N4" s="296">
        <f t="shared" ref="N4:N10" si="3">ROUND(D4/26/8*$N$2*H4,0)</f>
        <v>0</v>
      </c>
      <c r="O4" s="296">
        <f t="shared" ref="O4:O10" si="4">ROUND(D4/26/8*$O$2*I4,0)</f>
        <v>2682692</v>
      </c>
      <c r="P4" s="296">
        <f t="shared" ref="P4:P10" si="5">ROUND(D4/26/8*$P$2*J4,0)</f>
        <v>1222115</v>
      </c>
      <c r="Q4" s="304">
        <f t="shared" ref="Q4:Q10" si="6">ROUND(SUM(K4:P4),0)</f>
        <v>5827403</v>
      </c>
      <c r="R4" s="305">
        <f t="shared" ref="R4:R10" si="7">ROUND(SUM(E4:J4)*D4/26/8,0)</f>
        <v>2086538</v>
      </c>
      <c r="S4" s="306">
        <f t="shared" ref="S4:S10" si="8">ROUND(Q4-R4,0)</f>
        <v>3740865</v>
      </c>
    </row>
    <row r="5" spans="1:19" ht="14">
      <c r="A5" s="166" t="s">
        <v>157</v>
      </c>
      <c r="B5" s="71" t="s">
        <v>183</v>
      </c>
      <c r="C5" s="167">
        <v>44197</v>
      </c>
      <c r="D5" s="163">
        <f>VLOOKUP(A5,'Template Payroll'!$B$6:$J$16,9,0)</f>
        <v>10448000</v>
      </c>
      <c r="E5" s="164">
        <v>0.5</v>
      </c>
      <c r="F5" s="164">
        <v>2.5</v>
      </c>
      <c r="G5" s="164">
        <v>0</v>
      </c>
      <c r="H5" s="164">
        <v>0</v>
      </c>
      <c r="I5" s="164">
        <v>0</v>
      </c>
      <c r="J5" s="164">
        <v>0</v>
      </c>
      <c r="K5" s="296">
        <f t="shared" si="0"/>
        <v>37673</v>
      </c>
      <c r="L5" s="296">
        <f t="shared" si="1"/>
        <v>269990</v>
      </c>
      <c r="M5" s="296">
        <f t="shared" si="2"/>
        <v>0</v>
      </c>
      <c r="N5" s="296">
        <f t="shared" si="3"/>
        <v>0</v>
      </c>
      <c r="O5" s="296">
        <f t="shared" si="4"/>
        <v>0</v>
      </c>
      <c r="P5" s="296">
        <f t="shared" si="5"/>
        <v>0</v>
      </c>
      <c r="Q5" s="304">
        <f t="shared" si="6"/>
        <v>307663</v>
      </c>
      <c r="R5" s="305">
        <f t="shared" si="7"/>
        <v>150692</v>
      </c>
      <c r="S5" s="306">
        <f t="shared" si="8"/>
        <v>156971</v>
      </c>
    </row>
    <row r="6" spans="1:19" ht="14">
      <c r="A6" s="166" t="s">
        <v>158</v>
      </c>
      <c r="B6" s="71" t="s">
        <v>184</v>
      </c>
      <c r="C6" s="167">
        <v>44562</v>
      </c>
      <c r="D6" s="163">
        <f>VLOOKUP(A6,'Template Payroll'!$B$6:$J$16,9,0)</f>
        <v>8000000</v>
      </c>
      <c r="E6" s="164">
        <v>0</v>
      </c>
      <c r="F6" s="164">
        <v>0</v>
      </c>
      <c r="G6" s="164">
        <v>0</v>
      </c>
      <c r="H6" s="164">
        <v>0</v>
      </c>
      <c r="I6" s="164">
        <v>7</v>
      </c>
      <c r="J6" s="164">
        <v>1</v>
      </c>
      <c r="K6" s="296">
        <f t="shared" si="0"/>
        <v>0</v>
      </c>
      <c r="L6" s="296">
        <f t="shared" si="1"/>
        <v>0</v>
      </c>
      <c r="M6" s="296">
        <f t="shared" si="2"/>
        <v>0</v>
      </c>
      <c r="N6" s="296">
        <f t="shared" si="3"/>
        <v>0</v>
      </c>
      <c r="O6" s="296">
        <f t="shared" si="4"/>
        <v>807692</v>
      </c>
      <c r="P6" s="296">
        <f t="shared" si="5"/>
        <v>157692</v>
      </c>
      <c r="Q6" s="304">
        <f t="shared" si="6"/>
        <v>965384</v>
      </c>
      <c r="R6" s="305">
        <f t="shared" si="7"/>
        <v>307692</v>
      </c>
      <c r="S6" s="306">
        <f t="shared" si="8"/>
        <v>657692</v>
      </c>
    </row>
    <row r="7" spans="1:19" ht="14">
      <c r="A7" s="166" t="s">
        <v>159</v>
      </c>
      <c r="B7" s="71" t="s">
        <v>185</v>
      </c>
      <c r="C7" s="167">
        <v>45740</v>
      </c>
      <c r="D7" s="163">
        <f>VLOOKUP(A7,'Template Payroll'!$B$6:$J$16,9,0)</f>
        <v>8500000</v>
      </c>
      <c r="E7" s="164">
        <v>0</v>
      </c>
      <c r="F7" s="164">
        <v>0</v>
      </c>
      <c r="G7" s="164">
        <v>0</v>
      </c>
      <c r="H7" s="164">
        <v>0</v>
      </c>
      <c r="I7" s="164">
        <v>8</v>
      </c>
      <c r="J7" s="164">
        <v>0</v>
      </c>
      <c r="K7" s="296">
        <f t="shared" si="0"/>
        <v>0</v>
      </c>
      <c r="L7" s="296">
        <f t="shared" si="1"/>
        <v>0</v>
      </c>
      <c r="M7" s="296">
        <f t="shared" si="2"/>
        <v>0</v>
      </c>
      <c r="N7" s="296">
        <f t="shared" si="3"/>
        <v>0</v>
      </c>
      <c r="O7" s="296">
        <f t="shared" si="4"/>
        <v>980769</v>
      </c>
      <c r="P7" s="296">
        <f t="shared" si="5"/>
        <v>0</v>
      </c>
      <c r="Q7" s="304">
        <f t="shared" si="6"/>
        <v>980769</v>
      </c>
      <c r="R7" s="305">
        <f t="shared" si="7"/>
        <v>326923</v>
      </c>
      <c r="S7" s="306">
        <f t="shared" si="8"/>
        <v>653846</v>
      </c>
    </row>
    <row r="8" spans="1:19" ht="14">
      <c r="A8" s="166" t="s">
        <v>160</v>
      </c>
      <c r="B8" s="71" t="s">
        <v>186</v>
      </c>
      <c r="C8" s="167">
        <v>44927</v>
      </c>
      <c r="D8" s="163">
        <f>VLOOKUP(A8,'Template Payroll'!$B$6:$J$16,9,0)</f>
        <v>7056000</v>
      </c>
      <c r="E8" s="164">
        <v>1</v>
      </c>
      <c r="F8" s="164">
        <v>9</v>
      </c>
      <c r="G8" s="164">
        <v>0</v>
      </c>
      <c r="H8" s="164">
        <v>0</v>
      </c>
      <c r="I8" s="164">
        <v>6</v>
      </c>
      <c r="J8" s="164">
        <v>2</v>
      </c>
      <c r="K8" s="296">
        <f t="shared" si="0"/>
        <v>50885</v>
      </c>
      <c r="L8" s="296">
        <f t="shared" si="1"/>
        <v>656412</v>
      </c>
      <c r="M8" s="296">
        <f t="shared" si="2"/>
        <v>0</v>
      </c>
      <c r="N8" s="296">
        <f t="shared" si="3"/>
        <v>0</v>
      </c>
      <c r="O8" s="296">
        <f t="shared" si="4"/>
        <v>610615</v>
      </c>
      <c r="P8" s="296">
        <f t="shared" si="5"/>
        <v>278169</v>
      </c>
      <c r="Q8" s="304">
        <f t="shared" si="6"/>
        <v>1596081</v>
      </c>
      <c r="R8" s="305">
        <f t="shared" si="7"/>
        <v>610615</v>
      </c>
      <c r="S8" s="306">
        <f t="shared" si="8"/>
        <v>985466</v>
      </c>
    </row>
    <row r="9" spans="1:19" ht="14">
      <c r="A9" s="166" t="s">
        <v>161</v>
      </c>
      <c r="B9" s="71" t="s">
        <v>187</v>
      </c>
      <c r="C9" s="167">
        <v>45292</v>
      </c>
      <c r="D9" s="163">
        <f>VLOOKUP(A9,'Template Payroll'!$B$6:$J$16,9,0)</f>
        <v>6841000</v>
      </c>
      <c r="E9" s="164">
        <v>0</v>
      </c>
      <c r="F9" s="164">
        <v>0</v>
      </c>
      <c r="G9" s="164">
        <v>0</v>
      </c>
      <c r="H9" s="164">
        <v>0</v>
      </c>
      <c r="I9" s="164">
        <v>0</v>
      </c>
      <c r="J9" s="164">
        <v>0</v>
      </c>
      <c r="K9" s="296">
        <f t="shared" si="0"/>
        <v>0</v>
      </c>
      <c r="L9" s="296">
        <f t="shared" si="1"/>
        <v>0</v>
      </c>
      <c r="M9" s="296">
        <f t="shared" si="2"/>
        <v>0</v>
      </c>
      <c r="N9" s="296">
        <f t="shared" si="3"/>
        <v>0</v>
      </c>
      <c r="O9" s="296">
        <f t="shared" si="4"/>
        <v>0</v>
      </c>
      <c r="P9" s="296">
        <f t="shared" si="5"/>
        <v>0</v>
      </c>
      <c r="Q9" s="304">
        <f t="shared" si="6"/>
        <v>0</v>
      </c>
      <c r="R9" s="305">
        <f t="shared" si="7"/>
        <v>0</v>
      </c>
      <c r="S9" s="306">
        <f t="shared" si="8"/>
        <v>0</v>
      </c>
    </row>
    <row r="10" spans="1:19" ht="14">
      <c r="A10" s="166" t="s">
        <v>175</v>
      </c>
      <c r="B10" s="71" t="s">
        <v>188</v>
      </c>
      <c r="C10" s="167">
        <v>45738</v>
      </c>
      <c r="D10" s="163">
        <f>VLOOKUP(A10,'Template Payroll'!$B$6:$J$16,9,0)</f>
        <v>11000000</v>
      </c>
      <c r="E10" s="164">
        <v>1</v>
      </c>
      <c r="F10" s="164">
        <v>9</v>
      </c>
      <c r="G10" s="164">
        <v>0</v>
      </c>
      <c r="H10" s="164">
        <v>0</v>
      </c>
      <c r="I10" s="164">
        <v>6</v>
      </c>
      <c r="J10" s="164">
        <v>2</v>
      </c>
      <c r="K10" s="296">
        <f t="shared" si="0"/>
        <v>79327</v>
      </c>
      <c r="L10" s="296">
        <f t="shared" si="1"/>
        <v>1023317</v>
      </c>
      <c r="M10" s="296">
        <f t="shared" si="2"/>
        <v>0</v>
      </c>
      <c r="N10" s="296">
        <f t="shared" si="3"/>
        <v>0</v>
      </c>
      <c r="O10" s="296">
        <f t="shared" si="4"/>
        <v>951923</v>
      </c>
      <c r="P10" s="296">
        <f t="shared" si="5"/>
        <v>433654</v>
      </c>
      <c r="Q10" s="304">
        <f t="shared" si="6"/>
        <v>2488221</v>
      </c>
      <c r="R10" s="305">
        <f t="shared" si="7"/>
        <v>951923</v>
      </c>
      <c r="S10" s="306">
        <f t="shared" si="8"/>
        <v>1536298</v>
      </c>
    </row>
  </sheetData>
  <mergeCells count="7">
    <mergeCell ref="Q1:Q2"/>
    <mergeCell ref="R1:R2"/>
    <mergeCell ref="S1:S2"/>
    <mergeCell ref="A1:A2"/>
    <mergeCell ref="B1:B2"/>
    <mergeCell ref="C1:C2"/>
    <mergeCell ref="D1:D2"/>
  </mergeCells>
  <conditionalFormatting sqref="A1 A3">
    <cfRule type="duplicateValues" dxfId="58" priority="1327767"/>
  </conditionalFormatting>
  <conditionalFormatting sqref="A4:A10">
    <cfRule type="duplicateValues" dxfId="57" priority="5"/>
  </conditionalFormatting>
  <dataValidations disablePrompts="1" count="1">
    <dataValidation allowBlank="1" showErrorMessage="1" sqref="A1 B4:B10" xr:uid="{5D37A229-345D-4949-A358-7EF1499B2835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9"/>
  <dimension ref="A1:I17"/>
  <sheetViews>
    <sheetView zoomScaleNormal="100" zoomScaleSheetLayoutView="82" workbookViewId="0">
      <pane xSplit="3" ySplit="1" topLeftCell="D2" activePane="bottomRight" state="frozen"/>
      <selection activeCell="C13" sqref="C13"/>
      <selection pane="topRight" activeCell="C13" sqref="C13"/>
      <selection pane="bottomLeft" activeCell="C13" sqref="C13"/>
      <selection pane="bottomRight" activeCell="F50" sqref="F50"/>
    </sheetView>
  </sheetViews>
  <sheetFormatPr baseColWidth="10" defaultColWidth="9" defaultRowHeight="12"/>
  <cols>
    <col min="1" max="1" width="12.83203125" style="67" customWidth="1"/>
    <col min="2" max="2" width="19.1640625" style="67" customWidth="1"/>
    <col min="3" max="3" width="17.5" style="68" customWidth="1"/>
    <col min="4" max="4" width="17.5" style="67" customWidth="1"/>
    <col min="5" max="5" width="12.5" style="69" customWidth="1"/>
    <col min="6" max="6" width="17.33203125" style="69" customWidth="1"/>
    <col min="7" max="7" width="15.83203125" style="67" customWidth="1"/>
    <col min="8" max="8" width="15" style="67" customWidth="1"/>
    <col min="9" max="203" width="9" style="67"/>
    <col min="204" max="204" width="3.5" style="67" customWidth="1"/>
    <col min="205" max="205" width="19.1640625" style="67" customWidth="1"/>
    <col min="206" max="206" width="10.1640625" style="67" customWidth="1"/>
    <col min="207" max="207" width="10.6640625" style="67" customWidth="1"/>
    <col min="208" max="208" width="8.33203125" style="67" customWidth="1"/>
    <col min="209" max="209" width="8.6640625" style="67" customWidth="1"/>
    <col min="210" max="210" width="6.33203125" style="67" customWidth="1"/>
    <col min="211" max="211" width="7.1640625" style="67" customWidth="1"/>
    <col min="212" max="212" width="5.6640625" style="67" customWidth="1"/>
    <col min="213" max="213" width="5.83203125" style="67" customWidth="1"/>
    <col min="214" max="214" width="5.33203125" style="67" customWidth="1"/>
    <col min="215" max="215" width="6" style="67" customWidth="1"/>
    <col min="216" max="216" width="6.5" style="67" customWidth="1"/>
    <col min="217" max="217" width="6.1640625" style="67" customWidth="1"/>
    <col min="218" max="220" width="6.5" style="67" customWidth="1"/>
    <col min="221" max="221" width="7.1640625" style="67" customWidth="1"/>
    <col min="222" max="222" width="7.83203125" style="67" customWidth="1"/>
    <col min="223" max="223" width="5.5" style="67" customWidth="1"/>
    <col min="224" max="224" width="8.83203125" style="67" customWidth="1"/>
    <col min="225" max="225" width="12.5" style="67" customWidth="1"/>
    <col min="226" max="226" width="13.5" style="67" customWidth="1"/>
    <col min="227" max="228" width="7.5" style="67" customWidth="1"/>
    <col min="229" max="229" width="6" style="67" customWidth="1"/>
    <col min="230" max="230" width="8.5" style="67" customWidth="1"/>
    <col min="231" max="231" width="7.1640625" style="67" customWidth="1"/>
    <col min="232" max="16384" width="9" style="67"/>
  </cols>
  <sheetData>
    <row r="1" spans="1:9" s="62" customFormat="1" ht="54" customHeight="1">
      <c r="A1" s="180" t="s">
        <v>26</v>
      </c>
      <c r="B1" s="181" t="s">
        <v>27</v>
      </c>
      <c r="C1" s="182" t="s">
        <v>50</v>
      </c>
      <c r="D1" s="183" t="s">
        <v>116</v>
      </c>
      <c r="E1" s="184" t="s">
        <v>31</v>
      </c>
      <c r="F1" s="184" t="s">
        <v>177</v>
      </c>
      <c r="G1" s="184" t="s">
        <v>178</v>
      </c>
      <c r="H1" s="184" t="s">
        <v>179</v>
      </c>
    </row>
    <row r="2" spans="1:9" s="66" customFormat="1" ht="15.75" customHeight="1">
      <c r="A2" s="191" t="s">
        <v>173</v>
      </c>
      <c r="B2" s="298" t="s">
        <v>181</v>
      </c>
      <c r="C2" s="192">
        <v>43466</v>
      </c>
      <c r="D2" s="173">
        <f>IFERROR(VLOOKUP(A2,'Template Payroll'!$B$6:$J$13,9,0),0)</f>
        <v>47000000</v>
      </c>
      <c r="E2" s="193">
        <v>2</v>
      </c>
      <c r="F2" s="194">
        <f t="shared" ref="F2:F9" si="0">ROUND((D2/26/8)*30%*E2,0)</f>
        <v>135577</v>
      </c>
      <c r="G2" s="195">
        <f>F2-H2</f>
        <v>0</v>
      </c>
      <c r="H2" s="195">
        <f>F2</f>
        <v>135577</v>
      </c>
      <c r="I2" s="187"/>
    </row>
    <row r="3" spans="1:9" s="66" customFormat="1" ht="15.75" customHeight="1">
      <c r="A3" s="63" t="s">
        <v>174</v>
      </c>
      <c r="B3" s="299" t="s">
        <v>182</v>
      </c>
      <c r="C3" s="64">
        <v>43831</v>
      </c>
      <c r="D3" s="163">
        <f>IFERROR(VLOOKUP(A3,'Template Payroll'!$B$6:$J$13,9,0),0)</f>
        <v>31000000</v>
      </c>
      <c r="E3" s="185">
        <v>3</v>
      </c>
      <c r="F3" s="65">
        <f t="shared" si="0"/>
        <v>134135</v>
      </c>
      <c r="G3" s="186">
        <f t="shared" ref="G3:G9" si="1">F3-H3</f>
        <v>0</v>
      </c>
      <c r="H3" s="186">
        <f t="shared" ref="H3:H9" si="2">F3</f>
        <v>134135</v>
      </c>
      <c r="I3" s="187"/>
    </row>
    <row r="4" spans="1:9" s="66" customFormat="1" ht="15.75" customHeight="1">
      <c r="A4" s="63" t="s">
        <v>157</v>
      </c>
      <c r="B4" s="299" t="s">
        <v>183</v>
      </c>
      <c r="C4" s="64">
        <v>44197</v>
      </c>
      <c r="D4" s="163">
        <f>IFERROR(VLOOKUP(A4,'Template Payroll'!$B$6:$J$13,9,0),0)</f>
        <v>10448000</v>
      </c>
      <c r="E4" s="185">
        <v>4</v>
      </c>
      <c r="F4" s="65">
        <f t="shared" si="0"/>
        <v>60277</v>
      </c>
      <c r="G4" s="186">
        <f t="shared" si="1"/>
        <v>0</v>
      </c>
      <c r="H4" s="186">
        <f t="shared" si="2"/>
        <v>60277</v>
      </c>
      <c r="I4" s="187"/>
    </row>
    <row r="5" spans="1:9" s="66" customFormat="1" ht="15.75" customHeight="1">
      <c r="A5" s="63" t="s">
        <v>158</v>
      </c>
      <c r="B5" s="299" t="s">
        <v>184</v>
      </c>
      <c r="C5" s="64">
        <v>44562</v>
      </c>
      <c r="D5" s="163">
        <f>IFERROR(VLOOKUP(A5,'Template Payroll'!$B$6:$J$13,9,0),0)</f>
        <v>8000000</v>
      </c>
      <c r="E5" s="185">
        <v>1.5</v>
      </c>
      <c r="F5" s="65">
        <f t="shared" si="0"/>
        <v>17308</v>
      </c>
      <c r="G5" s="186">
        <f t="shared" si="1"/>
        <v>0</v>
      </c>
      <c r="H5" s="186">
        <f t="shared" si="2"/>
        <v>17308</v>
      </c>
      <c r="I5" s="187"/>
    </row>
    <row r="6" spans="1:9" ht="14">
      <c r="A6" s="63" t="s">
        <v>159</v>
      </c>
      <c r="B6" s="299" t="s">
        <v>185</v>
      </c>
      <c r="C6" s="64">
        <v>45740</v>
      </c>
      <c r="D6" s="163">
        <f>IFERROR(VLOOKUP(A6,'Template Payroll'!$B$6:$J$13,9,0),0)</f>
        <v>8500000</v>
      </c>
      <c r="E6" s="185">
        <v>0.5</v>
      </c>
      <c r="F6" s="65">
        <f t="shared" si="0"/>
        <v>6130</v>
      </c>
      <c r="G6" s="186">
        <f t="shared" si="1"/>
        <v>0</v>
      </c>
      <c r="H6" s="186">
        <f t="shared" si="2"/>
        <v>6130</v>
      </c>
      <c r="I6" s="188"/>
    </row>
    <row r="7" spans="1:9" ht="14">
      <c r="A7" s="63" t="s">
        <v>160</v>
      </c>
      <c r="B7" s="299" t="s">
        <v>186</v>
      </c>
      <c r="C7" s="64">
        <v>44927</v>
      </c>
      <c r="D7" s="163">
        <f>IFERROR(VLOOKUP(A7,'Template Payroll'!$B$6:$J$13,9,0),0)</f>
        <v>7056000</v>
      </c>
      <c r="E7" s="185">
        <v>1</v>
      </c>
      <c r="F7" s="65">
        <f t="shared" si="0"/>
        <v>10177</v>
      </c>
      <c r="G7" s="186">
        <f t="shared" si="1"/>
        <v>0</v>
      </c>
      <c r="H7" s="186">
        <f t="shared" si="2"/>
        <v>10177</v>
      </c>
      <c r="I7" s="188"/>
    </row>
    <row r="8" spans="1:9" ht="14">
      <c r="A8" s="63" t="s">
        <v>161</v>
      </c>
      <c r="B8" s="299" t="s">
        <v>187</v>
      </c>
      <c r="C8" s="64">
        <v>45292</v>
      </c>
      <c r="D8" s="163">
        <f>IFERROR(VLOOKUP(A8,'Template Payroll'!$B$6:$J$13,9,0),0)</f>
        <v>6841000</v>
      </c>
      <c r="E8" s="185">
        <v>5</v>
      </c>
      <c r="F8" s="65">
        <f t="shared" si="0"/>
        <v>49334</v>
      </c>
      <c r="G8" s="186">
        <f t="shared" si="1"/>
        <v>0</v>
      </c>
      <c r="H8" s="186">
        <f t="shared" si="2"/>
        <v>49334</v>
      </c>
      <c r="I8" s="188"/>
    </row>
    <row r="9" spans="1:9" ht="14">
      <c r="A9" s="63" t="s">
        <v>175</v>
      </c>
      <c r="B9" s="299" t="s">
        <v>188</v>
      </c>
      <c r="C9" s="64">
        <v>45738</v>
      </c>
      <c r="D9" s="163">
        <f>IFERROR(VLOOKUP(A9,'Template Payroll'!$B$6:$J$13,9,0),0)</f>
        <v>11000000</v>
      </c>
      <c r="E9" s="185">
        <v>6</v>
      </c>
      <c r="F9" s="65">
        <f t="shared" si="0"/>
        <v>95192</v>
      </c>
      <c r="G9" s="186">
        <f t="shared" si="1"/>
        <v>0</v>
      </c>
      <c r="H9" s="186">
        <f t="shared" si="2"/>
        <v>95192</v>
      </c>
      <c r="I9" s="188"/>
    </row>
    <row r="10" spans="1:9">
      <c r="A10" s="188"/>
      <c r="B10" s="188"/>
      <c r="C10" s="189"/>
      <c r="D10" s="188"/>
      <c r="E10" s="190"/>
      <c r="F10" s="190"/>
      <c r="G10" s="188"/>
      <c r="H10" s="188"/>
      <c r="I10" s="188"/>
    </row>
    <row r="11" spans="1:9">
      <c r="A11" s="188"/>
      <c r="B11" s="188"/>
      <c r="C11" s="189"/>
      <c r="D11" s="188"/>
      <c r="E11" s="190"/>
      <c r="F11" s="190"/>
      <c r="G11" s="188"/>
      <c r="H11" s="188"/>
      <c r="I11" s="188"/>
    </row>
    <row r="12" spans="1:9">
      <c r="A12" s="188"/>
      <c r="B12" s="188"/>
      <c r="C12" s="189"/>
      <c r="D12" s="188"/>
      <c r="E12" s="190"/>
      <c r="F12" s="190"/>
      <c r="G12" s="188"/>
      <c r="H12" s="188"/>
      <c r="I12" s="188"/>
    </row>
    <row r="13" spans="1:9">
      <c r="A13" s="188"/>
      <c r="B13" s="188"/>
      <c r="C13" s="189"/>
      <c r="D13" s="188"/>
      <c r="E13" s="190"/>
      <c r="F13" s="190"/>
      <c r="G13" s="188"/>
      <c r="H13" s="188"/>
      <c r="I13" s="188"/>
    </row>
    <row r="14" spans="1:9">
      <c r="A14" s="188"/>
      <c r="B14" s="188"/>
      <c r="C14" s="189"/>
      <c r="D14" s="188"/>
      <c r="E14" s="190"/>
      <c r="F14" s="190"/>
      <c r="G14" s="188"/>
      <c r="H14" s="188"/>
      <c r="I14" s="188"/>
    </row>
    <row r="15" spans="1:9">
      <c r="A15" s="188"/>
      <c r="B15" s="188"/>
      <c r="C15" s="189"/>
      <c r="D15" s="188"/>
      <c r="E15" s="190"/>
      <c r="F15" s="190"/>
      <c r="G15" s="188"/>
      <c r="H15" s="188"/>
      <c r="I15" s="188"/>
    </row>
    <row r="16" spans="1:9">
      <c r="A16" s="188"/>
      <c r="B16" s="188"/>
      <c r="C16" s="189"/>
      <c r="D16" s="188"/>
      <c r="E16" s="190"/>
      <c r="F16" s="190"/>
      <c r="G16" s="188"/>
      <c r="H16" s="188"/>
      <c r="I16" s="188"/>
    </row>
    <row r="17" spans="1:9">
      <c r="A17" s="188"/>
      <c r="B17" s="188"/>
      <c r="C17" s="189"/>
      <c r="D17" s="188"/>
      <c r="E17" s="190"/>
      <c r="F17" s="190"/>
      <c r="G17" s="188"/>
      <c r="H17" s="188"/>
      <c r="I17" s="188"/>
    </row>
  </sheetData>
  <sheetProtection selectLockedCells="1" selectUnlockedCells="1"/>
  <autoFilter ref="A1:F5" xr:uid="{00000000-0009-0000-0000-000015000000}"/>
  <conditionalFormatting sqref="A1 A10:A1048576">
    <cfRule type="duplicateValues" dxfId="56" priority="5"/>
    <cfRule type="duplicateValues" dxfId="55" priority="188942"/>
    <cfRule type="duplicateValues" dxfId="54" priority="1327759"/>
    <cfRule type="duplicateValues" dxfId="53" priority="1327760"/>
  </conditionalFormatting>
  <conditionalFormatting sqref="A2:A9">
    <cfRule type="duplicateValues" dxfId="52" priority="1"/>
    <cfRule type="duplicateValues" dxfId="51" priority="2"/>
    <cfRule type="duplicateValues" dxfId="50" priority="3"/>
    <cfRule type="duplicateValues" dxfId="49" priority="4"/>
  </conditionalFormatting>
  <dataValidations disablePrompts="1" count="1">
    <dataValidation allowBlank="1" showErrorMessage="1" sqref="A1" xr:uid="{19C8CAD4-1B3F-F74D-B46E-D5BD45F91331}"/>
  </dataValidations>
  <pageMargins left="0.45833333333333331" right="0.45833333333333331" top="0.74791666666666667" bottom="0.74791666666666667" header="0.51180555555555551" footer="0.51180555555555551"/>
  <pageSetup paperSize="9" scale="60" firstPageNumber="0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P34"/>
  <sheetViews>
    <sheetView zoomScale="90" zoomScaleNormal="90" workbookViewId="0">
      <selection activeCell="C23" sqref="C23"/>
    </sheetView>
  </sheetViews>
  <sheetFormatPr baseColWidth="10" defaultColWidth="9.1640625" defaultRowHeight="15"/>
  <cols>
    <col min="1" max="1" width="7.5" style="223" customWidth="1"/>
    <col min="2" max="2" width="13.5" style="223" customWidth="1"/>
    <col min="3" max="3" width="27.83203125" style="223" customWidth="1"/>
    <col min="4" max="4" width="21" style="223" customWidth="1"/>
    <col min="5" max="5" width="22.5" style="223" customWidth="1"/>
    <col min="6" max="6" width="15" style="223" customWidth="1"/>
    <col min="7" max="7" width="13.33203125" style="223" customWidth="1"/>
    <col min="8" max="8" width="16.5" style="223" customWidth="1"/>
    <col min="9" max="9" width="19.6640625" style="223" customWidth="1"/>
    <col min="10" max="10" width="10.5" style="223" customWidth="1"/>
    <col min="11" max="11" width="6.6640625" style="223" customWidth="1"/>
    <col min="12" max="12" width="11.33203125" style="223" bestFit="1" customWidth="1"/>
    <col min="13" max="14" width="12.5" style="223" customWidth="1"/>
    <col min="15" max="15" width="13" style="223" customWidth="1"/>
    <col min="16" max="16" width="12.83203125" style="223" customWidth="1"/>
    <col min="17" max="16384" width="9.1640625" style="223"/>
  </cols>
  <sheetData>
    <row r="1" spans="1:12" ht="8.25" customHeight="1">
      <c r="A1" s="353" t="s">
        <v>8</v>
      </c>
      <c r="B1" s="353" t="s">
        <v>26</v>
      </c>
      <c r="C1" s="353" t="s">
        <v>10</v>
      </c>
      <c r="D1" s="353" t="s">
        <v>167</v>
      </c>
      <c r="E1" s="353" t="s">
        <v>168</v>
      </c>
      <c r="F1" s="353" t="s">
        <v>96</v>
      </c>
    </row>
    <row r="2" spans="1:12">
      <c r="A2" s="353"/>
      <c r="B2" s="353"/>
      <c r="C2" s="353"/>
      <c r="D2" s="353"/>
      <c r="E2" s="353"/>
      <c r="F2" s="353"/>
    </row>
    <row r="3" spans="1:12" ht="8.25" customHeight="1">
      <c r="A3" s="353"/>
      <c r="B3" s="353"/>
      <c r="C3" s="353"/>
      <c r="D3" s="353"/>
      <c r="E3" s="353"/>
      <c r="F3" s="353"/>
    </row>
    <row r="4" spans="1:12" ht="18" customHeight="1">
      <c r="A4" s="255">
        <v>1</v>
      </c>
      <c r="B4" s="256" t="s">
        <v>157</v>
      </c>
      <c r="C4" s="98" t="s">
        <v>183</v>
      </c>
      <c r="D4" s="257">
        <v>2000000</v>
      </c>
      <c r="E4" s="258">
        <f>VLOOKUP($B4,'TimeTB 2'!$B$4:$P$11,14,0)</f>
        <v>25</v>
      </c>
      <c r="F4" s="257">
        <f>D4/26*E4</f>
        <v>1923076.923076923</v>
      </c>
    </row>
    <row r="5" spans="1:12" ht="16">
      <c r="A5" s="225"/>
      <c r="B5" s="225"/>
      <c r="C5" s="225"/>
      <c r="D5" s="248"/>
      <c r="E5" s="215"/>
      <c r="F5" s="226">
        <f>E5*D5</f>
        <v>0</v>
      </c>
    </row>
    <row r="6" spans="1:12" ht="26.25" customHeight="1">
      <c r="A6" s="249" t="s">
        <v>82</v>
      </c>
      <c r="B6" s="250"/>
      <c r="C6" s="250"/>
      <c r="D6" s="250"/>
    </row>
    <row r="7" spans="1:12" ht="34">
      <c r="A7" s="227" t="s">
        <v>8</v>
      </c>
      <c r="B7" s="228" t="s">
        <v>9</v>
      </c>
      <c r="C7" s="228" t="s">
        <v>10</v>
      </c>
      <c r="D7" s="229" t="s">
        <v>77</v>
      </c>
      <c r="E7" s="229" t="s">
        <v>72</v>
      </c>
      <c r="F7" s="230" t="s">
        <v>96</v>
      </c>
    </row>
    <row r="8" spans="1:12" ht="16">
      <c r="A8" s="228">
        <v>1</v>
      </c>
      <c r="B8" s="224" t="s">
        <v>158</v>
      </c>
      <c r="C8" s="71" t="s">
        <v>184</v>
      </c>
      <c r="D8" s="216">
        <v>500000</v>
      </c>
      <c r="E8" s="297">
        <f>VLOOKUP($B8,'TimeTB 2'!$B$4:$P$11,14,0)</f>
        <v>16</v>
      </c>
      <c r="F8" s="307">
        <f>D8/26*E8</f>
        <v>307692.30769230769</v>
      </c>
    </row>
    <row r="9" spans="1:12" ht="16">
      <c r="A9" s="228">
        <f t="shared" ref="A9" si="0">1+A8</f>
        <v>2</v>
      </c>
      <c r="B9" s="224" t="s">
        <v>159</v>
      </c>
      <c r="C9" s="71" t="s">
        <v>185</v>
      </c>
      <c r="D9" s="216">
        <v>500000</v>
      </c>
      <c r="E9" s="297">
        <f>VLOOKUP($B9,'TimeTB 2'!$B$4:$P$11,14,0)</f>
        <v>26</v>
      </c>
      <c r="F9" s="307">
        <f>D9/26*E9</f>
        <v>500000</v>
      </c>
    </row>
    <row r="10" spans="1:12" ht="9" customHeight="1"/>
    <row r="11" spans="1:12" ht="9" customHeight="1"/>
    <row r="12" spans="1:12" ht="36" customHeight="1">
      <c r="A12" s="251" t="s">
        <v>115</v>
      </c>
      <c r="B12" s="231"/>
      <c r="C12" s="231"/>
      <c r="D12" s="231"/>
      <c r="E12" s="231"/>
      <c r="F12" s="231"/>
    </row>
    <row r="13" spans="1:12" ht="21.75" customHeight="1">
      <c r="A13" s="232" t="s">
        <v>8</v>
      </c>
      <c r="B13" s="233" t="s">
        <v>67</v>
      </c>
      <c r="C13" s="234" t="s">
        <v>30</v>
      </c>
      <c r="D13" s="217" t="s">
        <v>75</v>
      </c>
      <c r="E13" s="235" t="s">
        <v>76</v>
      </c>
      <c r="F13" s="218" t="s">
        <v>96</v>
      </c>
    </row>
    <row r="14" spans="1:12" ht="16">
      <c r="A14" s="236"/>
      <c r="B14" s="160"/>
      <c r="C14" s="219"/>
      <c r="D14" s="220"/>
      <c r="E14" s="237"/>
      <c r="F14" s="221"/>
      <c r="H14" s="238"/>
      <c r="I14" s="239"/>
      <c r="L14" s="238"/>
    </row>
    <row r="15" spans="1:12" ht="16">
      <c r="A15" s="236"/>
      <c r="B15" s="160"/>
      <c r="C15" s="219"/>
      <c r="D15" s="220"/>
      <c r="E15" s="237"/>
      <c r="F15" s="221"/>
      <c r="H15" s="238"/>
      <c r="L15" s="238"/>
    </row>
    <row r="16" spans="1:12" ht="16">
      <c r="A16" s="236"/>
      <c r="B16" s="160"/>
      <c r="C16" s="219"/>
      <c r="D16" s="220"/>
      <c r="E16" s="240"/>
      <c r="F16" s="222"/>
      <c r="H16" s="238"/>
      <c r="L16" s="238"/>
    </row>
    <row r="17" spans="1:16" ht="16">
      <c r="A17" s="236"/>
      <c r="B17" s="160"/>
      <c r="C17" s="219"/>
      <c r="D17" s="220"/>
      <c r="E17" s="240"/>
      <c r="F17" s="222"/>
      <c r="H17" s="238"/>
      <c r="L17" s="238"/>
    </row>
    <row r="18" spans="1:16" ht="16">
      <c r="A18" s="236"/>
      <c r="B18" s="160"/>
      <c r="C18" s="219"/>
      <c r="D18" s="220"/>
      <c r="E18" s="240"/>
      <c r="F18" s="222"/>
      <c r="H18" s="238"/>
      <c r="L18" s="238"/>
    </row>
    <row r="19" spans="1:16" ht="16">
      <c r="A19" s="236"/>
      <c r="B19" s="252"/>
      <c r="C19" s="219"/>
      <c r="D19" s="220"/>
      <c r="E19" s="241"/>
      <c r="F19" s="222"/>
      <c r="H19" s="238"/>
      <c r="L19" s="238"/>
    </row>
    <row r="20" spans="1:16" ht="16">
      <c r="A20" s="236"/>
      <c r="B20" s="252"/>
      <c r="C20" s="219"/>
      <c r="D20" s="220"/>
      <c r="E20" s="241"/>
      <c r="F20" s="222"/>
      <c r="H20" s="238"/>
      <c r="L20" s="238"/>
    </row>
    <row r="21" spans="1:16" ht="16">
      <c r="A21" s="236"/>
      <c r="B21" s="252"/>
      <c r="C21" s="219"/>
      <c r="D21" s="220"/>
      <c r="E21" s="241"/>
      <c r="F21" s="222"/>
      <c r="H21" s="238"/>
      <c r="L21" s="238"/>
    </row>
    <row r="22" spans="1:16" ht="16">
      <c r="A22" s="236">
        <f>ROW()-85</f>
        <v>-63</v>
      </c>
      <c r="B22" s="252"/>
      <c r="C22" s="219" t="e">
        <f>VLOOKUP($B22,#REF!,3,0)</f>
        <v>#REF!</v>
      </c>
      <c r="D22" s="220">
        <f>IFERROR(VLOOKUP(B22,#REF!,81,0),0)</f>
        <v>0</v>
      </c>
      <c r="E22" s="241"/>
      <c r="F22" s="222">
        <f>ROUND((D22/26*E22),0)</f>
        <v>0</v>
      </c>
      <c r="G22" s="223" t="e">
        <f>VLOOKUP(B22,#REF!,74,0)</f>
        <v>#REF!</v>
      </c>
      <c r="H22" s="238" t="e">
        <f>G22-E22</f>
        <v>#REF!</v>
      </c>
      <c r="L22" s="238"/>
    </row>
    <row r="23" spans="1:16" ht="16">
      <c r="A23" s="236">
        <f>ROW()-85</f>
        <v>-62</v>
      </c>
      <c r="B23" s="160"/>
      <c r="C23" s="219" t="e">
        <f>VLOOKUP($B23,#REF!,3,0)</f>
        <v>#REF!</v>
      </c>
      <c r="D23" s="220">
        <f>IFERROR(VLOOKUP(B23,#REF!,81,0),0)</f>
        <v>0</v>
      </c>
      <c r="E23" s="242"/>
      <c r="F23" s="222">
        <f>ROUND((D23/26*E23),0)</f>
        <v>0</v>
      </c>
      <c r="G23" s="223" t="e">
        <f>VLOOKUP(B23,#REF!,74,0)</f>
        <v>#REF!</v>
      </c>
      <c r="H23" s="238" t="e">
        <f>G23-E23</f>
        <v>#REF!</v>
      </c>
      <c r="L23" s="238"/>
    </row>
    <row r="24" spans="1:16" ht="16">
      <c r="A24" s="236">
        <f>ROW()-85</f>
        <v>-61</v>
      </c>
      <c r="B24" s="160"/>
      <c r="C24" s="219" t="e">
        <f>VLOOKUP($B24,#REF!,3,0)</f>
        <v>#REF!</v>
      </c>
      <c r="D24" s="220">
        <f>IFERROR(VLOOKUP(B24,#REF!,81,0),0)</f>
        <v>0</v>
      </c>
      <c r="E24" s="240"/>
      <c r="F24" s="222">
        <f>ROUND((D24/26*E24),0)</f>
        <v>0</v>
      </c>
      <c r="G24" s="223" t="e">
        <f>VLOOKUP(B24,#REF!,74,0)</f>
        <v>#REF!</v>
      </c>
      <c r="H24" s="238" t="e">
        <f>G24-E24</f>
        <v>#REF!</v>
      </c>
      <c r="L24" s="238"/>
    </row>
    <row r="25" spans="1:16" ht="16">
      <c r="A25" s="236">
        <f>ROW()-85</f>
        <v>-60</v>
      </c>
      <c r="B25" s="160"/>
      <c r="C25" s="219" t="e">
        <f>VLOOKUP($B25,#REF!,3,0)</f>
        <v>#REF!</v>
      </c>
      <c r="D25" s="220">
        <f>IFERROR(VLOOKUP(B25,#REF!,81,0),0)</f>
        <v>0</v>
      </c>
      <c r="E25" s="240"/>
      <c r="F25" s="222">
        <f>ROUND((D25/26*E25),0)</f>
        <v>0</v>
      </c>
      <c r="G25" s="223" t="e">
        <f>VLOOKUP(B25,#REF!,74,0)</f>
        <v>#REF!</v>
      </c>
      <c r="H25" s="238" t="e">
        <f>G25-E25</f>
        <v>#REF!</v>
      </c>
    </row>
    <row r="26" spans="1:16" ht="16">
      <c r="A26" s="236">
        <f>ROW()-85</f>
        <v>-59</v>
      </c>
      <c r="B26" s="160"/>
      <c r="C26" s="219"/>
      <c r="D26" s="220"/>
      <c r="E26" s="242"/>
      <c r="F26" s="222"/>
    </row>
    <row r="27" spans="1:16" ht="24.75" customHeight="1">
      <c r="A27" s="243"/>
      <c r="B27" s="244"/>
      <c r="C27" s="243" t="s">
        <v>52</v>
      </c>
      <c r="D27" s="245"/>
      <c r="E27" s="253">
        <f>SUM(E14:E26)</f>
        <v>0</v>
      </c>
      <c r="F27" s="254">
        <f>SUM(F14:F26)</f>
        <v>0</v>
      </c>
    </row>
    <row r="30" spans="1:16" ht="21.75" customHeight="1"/>
    <row r="31" spans="1:16" ht="19.5" customHeight="1">
      <c r="G31" s="246"/>
      <c r="H31" s="246"/>
      <c r="I31" s="246"/>
      <c r="J31" s="246"/>
      <c r="K31" s="246"/>
      <c r="L31" s="246"/>
      <c r="M31" s="246"/>
      <c r="N31" s="246"/>
      <c r="O31" s="246"/>
      <c r="P31" s="246"/>
    </row>
    <row r="32" spans="1:16" ht="19">
      <c r="G32" s="246"/>
      <c r="H32" s="246"/>
      <c r="I32" s="246"/>
      <c r="J32" s="246"/>
      <c r="K32" s="246"/>
      <c r="L32" s="247"/>
      <c r="M32" s="247"/>
      <c r="N32" s="247"/>
      <c r="O32" s="247"/>
      <c r="P32" s="247"/>
    </row>
    <row r="33" spans="7:16" ht="19">
      <c r="G33" s="246"/>
      <c r="H33" s="246"/>
      <c r="I33" s="246"/>
      <c r="J33" s="246"/>
      <c r="K33" s="246"/>
      <c r="L33" s="247"/>
      <c r="M33" s="247"/>
      <c r="N33" s="247"/>
      <c r="O33" s="247"/>
      <c r="P33" s="247"/>
    </row>
    <row r="34" spans="7:16" ht="19">
      <c r="G34" s="246"/>
      <c r="H34" s="246"/>
      <c r="I34" s="246"/>
      <c r="J34" s="246"/>
      <c r="K34" s="246"/>
      <c r="L34" s="247"/>
      <c r="M34" s="247"/>
      <c r="N34" s="247"/>
      <c r="O34" s="247"/>
      <c r="P34" s="247"/>
    </row>
  </sheetData>
  <autoFilter ref="A7:F9" xr:uid="{00000000-0009-0000-0000-00001A000000}"/>
  <mergeCells count="6">
    <mergeCell ref="E1:E3"/>
    <mergeCell ref="F1:F3"/>
    <mergeCell ref="A1:A3"/>
    <mergeCell ref="B1:B3"/>
    <mergeCell ref="C1:C3"/>
    <mergeCell ref="D1:D3"/>
  </mergeCells>
  <dataValidations count="1">
    <dataValidation allowBlank="1" showErrorMessage="1" sqref="C8:C9 C4" xr:uid="{7815C19B-298F-014B-809E-E5097866C5C1}"/>
  </dataValidations>
  <pageMargins left="0.7" right="0.7" top="0.75" bottom="0.75" header="0.3" footer="0.3"/>
  <pageSetup paperSize="9" scale="68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"/>
  <sheetViews>
    <sheetView zoomScaleNormal="100" zoomScaleSheetLayoutView="20" workbookViewId="0">
      <pane xSplit="4" ySplit="1" topLeftCell="F2" activePane="bottomRight" state="frozen"/>
      <selection activeCell="C13" sqref="C13"/>
      <selection pane="topRight" activeCell="C13" sqref="C13"/>
      <selection pane="bottomLeft" activeCell="C13" sqref="C13"/>
      <selection pane="bottomRight" activeCell="G18" sqref="G18"/>
    </sheetView>
  </sheetViews>
  <sheetFormatPr baseColWidth="10" defaultColWidth="9.1640625" defaultRowHeight="14"/>
  <cols>
    <col min="1" max="1" width="12.6640625" style="5" customWidth="1"/>
    <col min="2" max="2" width="26.83203125" style="5" customWidth="1"/>
    <col min="3" max="3" width="10.1640625" style="9" customWidth="1"/>
    <col min="4" max="4" width="10.1640625" style="8" customWidth="1"/>
    <col min="5" max="5" width="10.1640625" style="5" customWidth="1"/>
    <col min="6" max="6" width="18.83203125" style="5" customWidth="1"/>
    <col min="7" max="9" width="16.33203125" style="5" customWidth="1"/>
    <col min="10" max="10" width="13.6640625" style="5" customWidth="1"/>
    <col min="11" max="11" width="15.5" style="5" hidden="1" customWidth="1"/>
    <col min="12" max="12" width="11.83203125" style="5" hidden="1" customWidth="1"/>
    <col min="13" max="16384" width="9.1640625" style="5"/>
  </cols>
  <sheetData>
    <row r="1" spans="1:13" s="272" customFormat="1" ht="27.75" customHeight="1">
      <c r="A1" s="180" t="s">
        <v>26</v>
      </c>
      <c r="B1" s="268" t="s">
        <v>10</v>
      </c>
      <c r="C1" s="269" t="s">
        <v>45</v>
      </c>
      <c r="D1" s="270" t="s">
        <v>48</v>
      </c>
      <c r="E1" s="271" t="s">
        <v>11</v>
      </c>
      <c r="F1" s="271" t="s">
        <v>12</v>
      </c>
      <c r="G1" s="286" t="s">
        <v>51</v>
      </c>
      <c r="H1" s="210" t="s">
        <v>71</v>
      </c>
      <c r="I1" s="210" t="s">
        <v>54</v>
      </c>
      <c r="J1" s="210" t="s">
        <v>53</v>
      </c>
      <c r="K1" s="204"/>
      <c r="L1" s="204"/>
      <c r="M1" s="204"/>
    </row>
    <row r="2" spans="1:13" s="7" customFormat="1" ht="15.75" customHeight="1">
      <c r="A2" s="211" t="s">
        <v>160</v>
      </c>
      <c r="B2" s="98" t="s">
        <v>186</v>
      </c>
      <c r="C2" s="213"/>
      <c r="D2" s="213"/>
      <c r="E2" s="212"/>
      <c r="F2" s="212" t="s">
        <v>58</v>
      </c>
      <c r="G2" s="214">
        <f t="shared" ref="G2:G4" si="0">ROUND(SUM($H2:$J2),0)</f>
        <v>2000000</v>
      </c>
      <c r="H2" s="214">
        <v>0</v>
      </c>
      <c r="I2" s="214">
        <v>2000000</v>
      </c>
      <c r="J2" s="214">
        <v>0</v>
      </c>
      <c r="K2" s="208" t="e">
        <f>VLOOKUP(A2,#REF!,36,0)</f>
        <v>#REF!</v>
      </c>
      <c r="L2" s="209" t="e">
        <f>K2=G2</f>
        <v>#REF!</v>
      </c>
      <c r="M2" s="208"/>
    </row>
    <row r="3" spans="1:13" s="7" customFormat="1" ht="15.75" customHeight="1">
      <c r="A3" s="196" t="s">
        <v>161</v>
      </c>
      <c r="B3" s="71" t="s">
        <v>187</v>
      </c>
      <c r="C3" s="198"/>
      <c r="D3" s="198"/>
      <c r="E3" s="197"/>
      <c r="F3" s="197" t="s">
        <v>58</v>
      </c>
      <c r="G3" s="199">
        <f t="shared" si="0"/>
        <v>2600000</v>
      </c>
      <c r="H3" s="199">
        <v>0</v>
      </c>
      <c r="I3" s="199">
        <v>2000000</v>
      </c>
      <c r="J3" s="199">
        <v>600000</v>
      </c>
      <c r="K3" s="208" t="e">
        <f>VLOOKUP(A3,#REF!,36,0)</f>
        <v>#REF!</v>
      </c>
      <c r="L3" s="209" t="e">
        <f t="shared" ref="L3:L4" si="1">K3=G3</f>
        <v>#REF!</v>
      </c>
      <c r="M3" s="208"/>
    </row>
    <row r="4" spans="1:13" s="7" customFormat="1" ht="15.75" customHeight="1">
      <c r="A4" s="200" t="s">
        <v>175</v>
      </c>
      <c r="B4" s="71" t="s">
        <v>188</v>
      </c>
      <c r="C4" s="201"/>
      <c r="D4" s="201"/>
      <c r="E4" s="202"/>
      <c r="F4" s="202" t="s">
        <v>49</v>
      </c>
      <c r="G4" s="199">
        <f t="shared" si="0"/>
        <v>5610000</v>
      </c>
      <c r="H4" s="199">
        <v>5610000</v>
      </c>
      <c r="I4" s="203"/>
      <c r="J4" s="203"/>
      <c r="K4" s="208" t="e">
        <f>VLOOKUP(A4,#REF!,36,0)</f>
        <v>#REF!</v>
      </c>
      <c r="L4" s="209" t="e">
        <f t="shared" si="1"/>
        <v>#REF!</v>
      </c>
      <c r="M4" s="208"/>
    </row>
    <row r="5" spans="1:13" s="7" customFormat="1" ht="15.75" customHeight="1">
      <c r="A5" s="200"/>
      <c r="B5" s="197"/>
      <c r="C5" s="201"/>
      <c r="D5" s="201"/>
      <c r="E5" s="202"/>
      <c r="F5" s="202"/>
      <c r="G5" s="199"/>
      <c r="H5" s="199"/>
      <c r="I5" s="203"/>
      <c r="J5" s="203"/>
      <c r="K5" s="208"/>
      <c r="L5" s="209"/>
      <c r="M5" s="208"/>
    </row>
    <row r="6" spans="1:13" ht="15" customHeight="1">
      <c r="A6" s="204"/>
      <c r="B6" s="204"/>
      <c r="C6" s="205"/>
      <c r="D6" s="206"/>
      <c r="E6" s="204"/>
      <c r="F6" s="204"/>
      <c r="G6" s="204"/>
      <c r="H6" s="204"/>
      <c r="I6" s="204"/>
      <c r="J6" s="204"/>
      <c r="K6" s="204"/>
      <c r="L6" s="204"/>
      <c r="M6" s="204"/>
    </row>
    <row r="7" spans="1:13">
      <c r="A7" s="204"/>
      <c r="B7" s="204"/>
      <c r="C7" s="207"/>
      <c r="D7" s="206"/>
      <c r="E7" s="204"/>
      <c r="F7" s="204"/>
      <c r="G7" s="204"/>
      <c r="H7" s="204"/>
      <c r="I7" s="204"/>
      <c r="J7" s="204"/>
    </row>
    <row r="8" spans="1:13">
      <c r="A8" s="204"/>
      <c r="B8" s="204"/>
      <c r="C8" s="207"/>
      <c r="D8" s="206"/>
      <c r="E8" s="204"/>
      <c r="F8" s="204"/>
      <c r="G8" s="204"/>
      <c r="H8" s="204"/>
      <c r="I8" s="204"/>
      <c r="J8" s="204"/>
    </row>
    <row r="9" spans="1:13">
      <c r="A9" s="204"/>
      <c r="B9" s="204"/>
      <c r="C9" s="207"/>
      <c r="D9" s="206"/>
      <c r="E9" s="204"/>
      <c r="F9" s="204"/>
      <c r="G9" s="204"/>
      <c r="H9" s="204"/>
      <c r="I9" s="204"/>
      <c r="J9" s="204"/>
    </row>
    <row r="10" spans="1:13">
      <c r="A10" s="204"/>
      <c r="B10" s="204"/>
      <c r="C10" s="207"/>
      <c r="D10" s="206"/>
      <c r="E10" s="204"/>
      <c r="F10" s="204"/>
      <c r="G10" s="204"/>
      <c r="H10" s="204"/>
      <c r="I10" s="204"/>
      <c r="J10" s="204"/>
    </row>
  </sheetData>
  <sheetProtection selectLockedCells="1" selectUnlockedCells="1"/>
  <autoFilter ref="A1:J5" xr:uid="{00000000-0009-0000-0000-000007000000}"/>
  <phoneticPr fontId="280" type="noConversion"/>
  <conditionalFormatting sqref="A1:A1048576">
    <cfRule type="duplicateValues" dxfId="48" priority="1"/>
    <cfRule type="duplicateValues" dxfId="47" priority="320509"/>
    <cfRule type="duplicateValues" dxfId="46" priority="1327392"/>
  </conditionalFormatting>
  <conditionalFormatting sqref="A2:A3">
    <cfRule type="duplicateValues" dxfId="45" priority="1327401"/>
  </conditionalFormatting>
  <conditionalFormatting sqref="A2:A5">
    <cfRule type="duplicateValues" dxfId="44" priority="1327416"/>
  </conditionalFormatting>
  <conditionalFormatting sqref="A4:A5">
    <cfRule type="duplicateValues" dxfId="43" priority="1327411"/>
  </conditionalFormatting>
  <conditionalFormatting sqref="A6">
    <cfRule type="duplicateValues" dxfId="42" priority="1327597"/>
  </conditionalFormatting>
  <conditionalFormatting sqref="A6:A1048576 A1">
    <cfRule type="duplicateValues" dxfId="41" priority="60"/>
  </conditionalFormatting>
  <conditionalFormatting sqref="A6:A1048576">
    <cfRule type="duplicateValues" dxfId="40" priority="56"/>
    <cfRule type="duplicateValues" dxfId="39" priority="164535"/>
  </conditionalFormatting>
  <conditionalFormatting sqref="A7:A1048576 A1">
    <cfRule type="duplicateValues" dxfId="38" priority="1327608"/>
  </conditionalFormatting>
  <conditionalFormatting sqref="A7:A1048576">
    <cfRule type="duplicateValues" dxfId="37" priority="1327611"/>
    <cfRule type="duplicateValues" dxfId="36" priority="1327612"/>
  </conditionalFormatting>
  <dataValidations count="1">
    <dataValidation allowBlank="1" showErrorMessage="1" sqref="A1 B2:B4" xr:uid="{B09192F0-969E-9246-B661-6B6C32449763}"/>
  </dataValidations>
  <printOptions horizontalCentered="1"/>
  <pageMargins left="0.25" right="0" top="0.5" bottom="0.5" header="1.1805556E-2" footer="1.1805556E-2"/>
  <pageSetup paperSize="9" firstPageNumber="0" fitToHeight="0" orientation="landscape" horizontalDpi="300" verticalDpi="300" r:id="rId1"/>
  <headerFooter alignWithMargins="0"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7"/>
  <sheetViews>
    <sheetView zoomScaleNormal="100" workbookViewId="0">
      <pane xSplit="2" ySplit="1" topLeftCell="C2" activePane="bottomRight" state="frozen"/>
      <selection activeCell="X34" sqref="X34"/>
      <selection pane="topRight" activeCell="X34" sqref="X34"/>
      <selection pane="bottomLeft" activeCell="X34" sqref="X34"/>
      <selection pane="bottomRight" activeCell="G35" sqref="G35"/>
    </sheetView>
  </sheetViews>
  <sheetFormatPr baseColWidth="10" defaultColWidth="8.83203125" defaultRowHeight="15"/>
  <cols>
    <col min="1" max="1" width="17.5" style="58" customWidth="1"/>
    <col min="2" max="2" width="30.1640625" style="58" customWidth="1"/>
    <col min="3" max="3" width="14.5" style="58" customWidth="1"/>
    <col min="4" max="4" width="14.6640625" style="58" customWidth="1"/>
    <col min="5" max="6" width="13.5" style="58" customWidth="1"/>
    <col min="7" max="7" width="15.5" style="58" customWidth="1"/>
    <col min="8" max="8" width="24.33203125" style="58" customWidth="1"/>
    <col min="9" max="248" width="9.1640625" style="58"/>
    <col min="249" max="249" width="10.33203125" style="58" bestFit="1" customWidth="1"/>
    <col min="250" max="250" width="30.1640625" style="58" bestFit="1" customWidth="1"/>
    <col min="251" max="251" width="21" style="58" customWidth="1"/>
    <col min="252" max="253" width="13.5" style="58" customWidth="1"/>
    <col min="254" max="254" width="21.83203125" style="58" bestFit="1" customWidth="1"/>
    <col min="255" max="255" width="12" style="58" customWidth="1"/>
    <col min="256" max="256" width="11.5" style="58" bestFit="1" customWidth="1"/>
    <col min="257" max="257" width="13.5" style="58" customWidth="1"/>
    <col min="258" max="258" width="15.5" style="58" customWidth="1"/>
    <col min="259" max="260" width="18.5" style="58" customWidth="1"/>
    <col min="261" max="261" width="17.83203125" style="58" customWidth="1"/>
    <col min="262" max="504" width="9.1640625" style="58"/>
    <col min="505" max="505" width="10.33203125" style="58" bestFit="1" customWidth="1"/>
    <col min="506" max="506" width="30.1640625" style="58" bestFit="1" customWidth="1"/>
    <col min="507" max="507" width="21" style="58" customWidth="1"/>
    <col min="508" max="509" width="13.5" style="58" customWidth="1"/>
    <col min="510" max="510" width="21.83203125" style="58" bestFit="1" customWidth="1"/>
    <col min="511" max="511" width="12" style="58" customWidth="1"/>
    <col min="512" max="512" width="11.5" style="58" bestFit="1" customWidth="1"/>
    <col min="513" max="513" width="13.5" style="58" customWidth="1"/>
    <col min="514" max="514" width="15.5" style="58" customWidth="1"/>
    <col min="515" max="516" width="18.5" style="58" customWidth="1"/>
    <col min="517" max="517" width="17.83203125" style="58" customWidth="1"/>
    <col min="518" max="760" width="9.1640625" style="58"/>
    <col min="761" max="761" width="10.33203125" style="58" bestFit="1" customWidth="1"/>
    <col min="762" max="762" width="30.1640625" style="58" bestFit="1" customWidth="1"/>
    <col min="763" max="763" width="21" style="58" customWidth="1"/>
    <col min="764" max="765" width="13.5" style="58" customWidth="1"/>
    <col min="766" max="766" width="21.83203125" style="58" bestFit="1" customWidth="1"/>
    <col min="767" max="767" width="12" style="58" customWidth="1"/>
    <col min="768" max="768" width="11.5" style="58" bestFit="1" customWidth="1"/>
    <col min="769" max="769" width="13.5" style="58" customWidth="1"/>
    <col min="770" max="770" width="15.5" style="58" customWidth="1"/>
    <col min="771" max="772" width="18.5" style="58" customWidth="1"/>
    <col min="773" max="773" width="17.83203125" style="58" customWidth="1"/>
    <col min="774" max="1016" width="9.1640625" style="58"/>
    <col min="1017" max="1017" width="10.33203125" style="58" bestFit="1" customWidth="1"/>
    <col min="1018" max="1018" width="30.1640625" style="58" bestFit="1" customWidth="1"/>
    <col min="1019" max="1019" width="21" style="58" customWidth="1"/>
    <col min="1020" max="1021" width="13.5" style="58" customWidth="1"/>
    <col min="1022" max="1022" width="21.83203125" style="58" bestFit="1" customWidth="1"/>
    <col min="1023" max="1023" width="12" style="58" customWidth="1"/>
    <col min="1024" max="1024" width="11.5" style="58" bestFit="1" customWidth="1"/>
    <col min="1025" max="1025" width="13.5" style="58" customWidth="1"/>
    <col min="1026" max="1026" width="15.5" style="58" customWidth="1"/>
    <col min="1027" max="1028" width="18.5" style="58" customWidth="1"/>
    <col min="1029" max="1029" width="17.83203125" style="58" customWidth="1"/>
    <col min="1030" max="1272" width="9.1640625" style="58"/>
    <col min="1273" max="1273" width="10.33203125" style="58" bestFit="1" customWidth="1"/>
    <col min="1274" max="1274" width="30.1640625" style="58" bestFit="1" customWidth="1"/>
    <col min="1275" max="1275" width="21" style="58" customWidth="1"/>
    <col min="1276" max="1277" width="13.5" style="58" customWidth="1"/>
    <col min="1278" max="1278" width="21.83203125" style="58" bestFit="1" customWidth="1"/>
    <col min="1279" max="1279" width="12" style="58" customWidth="1"/>
    <col min="1280" max="1280" width="11.5" style="58" bestFit="1" customWidth="1"/>
    <col min="1281" max="1281" width="13.5" style="58" customWidth="1"/>
    <col min="1282" max="1282" width="15.5" style="58" customWidth="1"/>
    <col min="1283" max="1284" width="18.5" style="58" customWidth="1"/>
    <col min="1285" max="1285" width="17.83203125" style="58" customWidth="1"/>
    <col min="1286" max="1528" width="9.1640625" style="58"/>
    <col min="1529" max="1529" width="10.33203125" style="58" bestFit="1" customWidth="1"/>
    <col min="1530" max="1530" width="30.1640625" style="58" bestFit="1" customWidth="1"/>
    <col min="1531" max="1531" width="21" style="58" customWidth="1"/>
    <col min="1532" max="1533" width="13.5" style="58" customWidth="1"/>
    <col min="1534" max="1534" width="21.83203125" style="58" bestFit="1" customWidth="1"/>
    <col min="1535" max="1535" width="12" style="58" customWidth="1"/>
    <col min="1536" max="1536" width="11.5" style="58" bestFit="1" customWidth="1"/>
    <col min="1537" max="1537" width="13.5" style="58" customWidth="1"/>
    <col min="1538" max="1538" width="15.5" style="58" customWidth="1"/>
    <col min="1539" max="1540" width="18.5" style="58" customWidth="1"/>
    <col min="1541" max="1541" width="17.83203125" style="58" customWidth="1"/>
    <col min="1542" max="1784" width="9.1640625" style="58"/>
    <col min="1785" max="1785" width="10.33203125" style="58" bestFit="1" customWidth="1"/>
    <col min="1786" max="1786" width="30.1640625" style="58" bestFit="1" customWidth="1"/>
    <col min="1787" max="1787" width="21" style="58" customWidth="1"/>
    <col min="1788" max="1789" width="13.5" style="58" customWidth="1"/>
    <col min="1790" max="1790" width="21.83203125" style="58" bestFit="1" customWidth="1"/>
    <col min="1791" max="1791" width="12" style="58" customWidth="1"/>
    <col min="1792" max="1792" width="11.5" style="58" bestFit="1" customWidth="1"/>
    <col min="1793" max="1793" width="13.5" style="58" customWidth="1"/>
    <col min="1794" max="1794" width="15.5" style="58" customWidth="1"/>
    <col min="1795" max="1796" width="18.5" style="58" customWidth="1"/>
    <col min="1797" max="1797" width="17.83203125" style="58" customWidth="1"/>
    <col min="1798" max="2040" width="9.1640625" style="58"/>
    <col min="2041" max="2041" width="10.33203125" style="58" bestFit="1" customWidth="1"/>
    <col min="2042" max="2042" width="30.1640625" style="58" bestFit="1" customWidth="1"/>
    <col min="2043" max="2043" width="21" style="58" customWidth="1"/>
    <col min="2044" max="2045" width="13.5" style="58" customWidth="1"/>
    <col min="2046" max="2046" width="21.83203125" style="58" bestFit="1" customWidth="1"/>
    <col min="2047" max="2047" width="12" style="58" customWidth="1"/>
    <col min="2048" max="2048" width="11.5" style="58" bestFit="1" customWidth="1"/>
    <col min="2049" max="2049" width="13.5" style="58" customWidth="1"/>
    <col min="2050" max="2050" width="15.5" style="58" customWidth="1"/>
    <col min="2051" max="2052" width="18.5" style="58" customWidth="1"/>
    <col min="2053" max="2053" width="17.83203125" style="58" customWidth="1"/>
    <col min="2054" max="2296" width="9.1640625" style="58"/>
    <col min="2297" max="2297" width="10.33203125" style="58" bestFit="1" customWidth="1"/>
    <col min="2298" max="2298" width="30.1640625" style="58" bestFit="1" customWidth="1"/>
    <col min="2299" max="2299" width="21" style="58" customWidth="1"/>
    <col min="2300" max="2301" width="13.5" style="58" customWidth="1"/>
    <col min="2302" max="2302" width="21.83203125" style="58" bestFit="1" customWidth="1"/>
    <col min="2303" max="2303" width="12" style="58" customWidth="1"/>
    <col min="2304" max="2304" width="11.5" style="58" bestFit="1" customWidth="1"/>
    <col min="2305" max="2305" width="13.5" style="58" customWidth="1"/>
    <col min="2306" max="2306" width="15.5" style="58" customWidth="1"/>
    <col min="2307" max="2308" width="18.5" style="58" customWidth="1"/>
    <col min="2309" max="2309" width="17.83203125" style="58" customWidth="1"/>
    <col min="2310" max="2552" width="9.1640625" style="58"/>
    <col min="2553" max="2553" width="10.33203125" style="58" bestFit="1" customWidth="1"/>
    <col min="2554" max="2554" width="30.1640625" style="58" bestFit="1" customWidth="1"/>
    <col min="2555" max="2555" width="21" style="58" customWidth="1"/>
    <col min="2556" max="2557" width="13.5" style="58" customWidth="1"/>
    <col min="2558" max="2558" width="21.83203125" style="58" bestFit="1" customWidth="1"/>
    <col min="2559" max="2559" width="12" style="58" customWidth="1"/>
    <col min="2560" max="2560" width="11.5" style="58" bestFit="1" customWidth="1"/>
    <col min="2561" max="2561" width="13.5" style="58" customWidth="1"/>
    <col min="2562" max="2562" width="15.5" style="58" customWidth="1"/>
    <col min="2563" max="2564" width="18.5" style="58" customWidth="1"/>
    <col min="2565" max="2565" width="17.83203125" style="58" customWidth="1"/>
    <col min="2566" max="2808" width="9.1640625" style="58"/>
    <col min="2809" max="2809" width="10.33203125" style="58" bestFit="1" customWidth="1"/>
    <col min="2810" max="2810" width="30.1640625" style="58" bestFit="1" customWidth="1"/>
    <col min="2811" max="2811" width="21" style="58" customWidth="1"/>
    <col min="2812" max="2813" width="13.5" style="58" customWidth="1"/>
    <col min="2814" max="2814" width="21.83203125" style="58" bestFit="1" customWidth="1"/>
    <col min="2815" max="2815" width="12" style="58" customWidth="1"/>
    <col min="2816" max="2816" width="11.5" style="58" bestFit="1" customWidth="1"/>
    <col min="2817" max="2817" width="13.5" style="58" customWidth="1"/>
    <col min="2818" max="2818" width="15.5" style="58" customWidth="1"/>
    <col min="2819" max="2820" width="18.5" style="58" customWidth="1"/>
    <col min="2821" max="2821" width="17.83203125" style="58" customWidth="1"/>
    <col min="2822" max="3064" width="9.1640625" style="58"/>
    <col min="3065" max="3065" width="10.33203125" style="58" bestFit="1" customWidth="1"/>
    <col min="3066" max="3066" width="30.1640625" style="58" bestFit="1" customWidth="1"/>
    <col min="3067" max="3067" width="21" style="58" customWidth="1"/>
    <col min="3068" max="3069" width="13.5" style="58" customWidth="1"/>
    <col min="3070" max="3070" width="21.83203125" style="58" bestFit="1" customWidth="1"/>
    <col min="3071" max="3071" width="12" style="58" customWidth="1"/>
    <col min="3072" max="3072" width="11.5" style="58" bestFit="1" customWidth="1"/>
    <col min="3073" max="3073" width="13.5" style="58" customWidth="1"/>
    <col min="3074" max="3074" width="15.5" style="58" customWidth="1"/>
    <col min="3075" max="3076" width="18.5" style="58" customWidth="1"/>
    <col min="3077" max="3077" width="17.83203125" style="58" customWidth="1"/>
    <col min="3078" max="3320" width="9.1640625" style="58"/>
    <col min="3321" max="3321" width="10.33203125" style="58" bestFit="1" customWidth="1"/>
    <col min="3322" max="3322" width="30.1640625" style="58" bestFit="1" customWidth="1"/>
    <col min="3323" max="3323" width="21" style="58" customWidth="1"/>
    <col min="3324" max="3325" width="13.5" style="58" customWidth="1"/>
    <col min="3326" max="3326" width="21.83203125" style="58" bestFit="1" customWidth="1"/>
    <col min="3327" max="3327" width="12" style="58" customWidth="1"/>
    <col min="3328" max="3328" width="11.5" style="58" bestFit="1" customWidth="1"/>
    <col min="3329" max="3329" width="13.5" style="58" customWidth="1"/>
    <col min="3330" max="3330" width="15.5" style="58" customWidth="1"/>
    <col min="3331" max="3332" width="18.5" style="58" customWidth="1"/>
    <col min="3333" max="3333" width="17.83203125" style="58" customWidth="1"/>
    <col min="3334" max="3576" width="9.1640625" style="58"/>
    <col min="3577" max="3577" width="10.33203125" style="58" bestFit="1" customWidth="1"/>
    <col min="3578" max="3578" width="30.1640625" style="58" bestFit="1" customWidth="1"/>
    <col min="3579" max="3579" width="21" style="58" customWidth="1"/>
    <col min="3580" max="3581" width="13.5" style="58" customWidth="1"/>
    <col min="3582" max="3582" width="21.83203125" style="58" bestFit="1" customWidth="1"/>
    <col min="3583" max="3583" width="12" style="58" customWidth="1"/>
    <col min="3584" max="3584" width="11.5" style="58" bestFit="1" customWidth="1"/>
    <col min="3585" max="3585" width="13.5" style="58" customWidth="1"/>
    <col min="3586" max="3586" width="15.5" style="58" customWidth="1"/>
    <col min="3587" max="3588" width="18.5" style="58" customWidth="1"/>
    <col min="3589" max="3589" width="17.83203125" style="58" customWidth="1"/>
    <col min="3590" max="3832" width="9.1640625" style="58"/>
    <col min="3833" max="3833" width="10.33203125" style="58" bestFit="1" customWidth="1"/>
    <col min="3834" max="3834" width="30.1640625" style="58" bestFit="1" customWidth="1"/>
    <col min="3835" max="3835" width="21" style="58" customWidth="1"/>
    <col min="3836" max="3837" width="13.5" style="58" customWidth="1"/>
    <col min="3838" max="3838" width="21.83203125" style="58" bestFit="1" customWidth="1"/>
    <col min="3839" max="3839" width="12" style="58" customWidth="1"/>
    <col min="3840" max="3840" width="11.5" style="58" bestFit="1" customWidth="1"/>
    <col min="3841" max="3841" width="13.5" style="58" customWidth="1"/>
    <col min="3842" max="3842" width="15.5" style="58" customWidth="1"/>
    <col min="3843" max="3844" width="18.5" style="58" customWidth="1"/>
    <col min="3845" max="3845" width="17.83203125" style="58" customWidth="1"/>
    <col min="3846" max="4088" width="9.1640625" style="58"/>
    <col min="4089" max="4089" width="10.33203125" style="58" bestFit="1" customWidth="1"/>
    <col min="4090" max="4090" width="30.1640625" style="58" bestFit="1" customWidth="1"/>
    <col min="4091" max="4091" width="21" style="58" customWidth="1"/>
    <col min="4092" max="4093" width="13.5" style="58" customWidth="1"/>
    <col min="4094" max="4094" width="21.83203125" style="58" bestFit="1" customWidth="1"/>
    <col min="4095" max="4095" width="12" style="58" customWidth="1"/>
    <col min="4096" max="4096" width="11.5" style="58" bestFit="1" customWidth="1"/>
    <col min="4097" max="4097" width="13.5" style="58" customWidth="1"/>
    <col min="4098" max="4098" width="15.5" style="58" customWidth="1"/>
    <col min="4099" max="4100" width="18.5" style="58" customWidth="1"/>
    <col min="4101" max="4101" width="17.83203125" style="58" customWidth="1"/>
    <col min="4102" max="4344" width="9.1640625" style="58"/>
    <col min="4345" max="4345" width="10.33203125" style="58" bestFit="1" customWidth="1"/>
    <col min="4346" max="4346" width="30.1640625" style="58" bestFit="1" customWidth="1"/>
    <col min="4347" max="4347" width="21" style="58" customWidth="1"/>
    <col min="4348" max="4349" width="13.5" style="58" customWidth="1"/>
    <col min="4350" max="4350" width="21.83203125" style="58" bestFit="1" customWidth="1"/>
    <col min="4351" max="4351" width="12" style="58" customWidth="1"/>
    <col min="4352" max="4352" width="11.5" style="58" bestFit="1" customWidth="1"/>
    <col min="4353" max="4353" width="13.5" style="58" customWidth="1"/>
    <col min="4354" max="4354" width="15.5" style="58" customWidth="1"/>
    <col min="4355" max="4356" width="18.5" style="58" customWidth="1"/>
    <col min="4357" max="4357" width="17.83203125" style="58" customWidth="1"/>
    <col min="4358" max="4600" width="9.1640625" style="58"/>
    <col min="4601" max="4601" width="10.33203125" style="58" bestFit="1" customWidth="1"/>
    <col min="4602" max="4602" width="30.1640625" style="58" bestFit="1" customWidth="1"/>
    <col min="4603" max="4603" width="21" style="58" customWidth="1"/>
    <col min="4604" max="4605" width="13.5" style="58" customWidth="1"/>
    <col min="4606" max="4606" width="21.83203125" style="58" bestFit="1" customWidth="1"/>
    <col min="4607" max="4607" width="12" style="58" customWidth="1"/>
    <col min="4608" max="4608" width="11.5" style="58" bestFit="1" customWidth="1"/>
    <col min="4609" max="4609" width="13.5" style="58" customWidth="1"/>
    <col min="4610" max="4610" width="15.5" style="58" customWidth="1"/>
    <col min="4611" max="4612" width="18.5" style="58" customWidth="1"/>
    <col min="4613" max="4613" width="17.83203125" style="58" customWidth="1"/>
    <col min="4614" max="4856" width="9.1640625" style="58"/>
    <col min="4857" max="4857" width="10.33203125" style="58" bestFit="1" customWidth="1"/>
    <col min="4858" max="4858" width="30.1640625" style="58" bestFit="1" customWidth="1"/>
    <col min="4859" max="4859" width="21" style="58" customWidth="1"/>
    <col min="4860" max="4861" width="13.5" style="58" customWidth="1"/>
    <col min="4862" max="4862" width="21.83203125" style="58" bestFit="1" customWidth="1"/>
    <col min="4863" max="4863" width="12" style="58" customWidth="1"/>
    <col min="4864" max="4864" width="11.5" style="58" bestFit="1" customWidth="1"/>
    <col min="4865" max="4865" width="13.5" style="58" customWidth="1"/>
    <col min="4866" max="4866" width="15.5" style="58" customWidth="1"/>
    <col min="4867" max="4868" width="18.5" style="58" customWidth="1"/>
    <col min="4869" max="4869" width="17.83203125" style="58" customWidth="1"/>
    <col min="4870" max="5112" width="9.1640625" style="58"/>
    <col min="5113" max="5113" width="10.33203125" style="58" bestFit="1" customWidth="1"/>
    <col min="5114" max="5114" width="30.1640625" style="58" bestFit="1" customWidth="1"/>
    <col min="5115" max="5115" width="21" style="58" customWidth="1"/>
    <col min="5116" max="5117" width="13.5" style="58" customWidth="1"/>
    <col min="5118" max="5118" width="21.83203125" style="58" bestFit="1" customWidth="1"/>
    <col min="5119" max="5119" width="12" style="58" customWidth="1"/>
    <col min="5120" max="5120" width="11.5" style="58" bestFit="1" customWidth="1"/>
    <col min="5121" max="5121" width="13.5" style="58" customWidth="1"/>
    <col min="5122" max="5122" width="15.5" style="58" customWidth="1"/>
    <col min="5123" max="5124" width="18.5" style="58" customWidth="1"/>
    <col min="5125" max="5125" width="17.83203125" style="58" customWidth="1"/>
    <col min="5126" max="5368" width="9.1640625" style="58"/>
    <col min="5369" max="5369" width="10.33203125" style="58" bestFit="1" customWidth="1"/>
    <col min="5370" max="5370" width="30.1640625" style="58" bestFit="1" customWidth="1"/>
    <col min="5371" max="5371" width="21" style="58" customWidth="1"/>
    <col min="5372" max="5373" width="13.5" style="58" customWidth="1"/>
    <col min="5374" max="5374" width="21.83203125" style="58" bestFit="1" customWidth="1"/>
    <col min="5375" max="5375" width="12" style="58" customWidth="1"/>
    <col min="5376" max="5376" width="11.5" style="58" bestFit="1" customWidth="1"/>
    <col min="5377" max="5377" width="13.5" style="58" customWidth="1"/>
    <col min="5378" max="5378" width="15.5" style="58" customWidth="1"/>
    <col min="5379" max="5380" width="18.5" style="58" customWidth="1"/>
    <col min="5381" max="5381" width="17.83203125" style="58" customWidth="1"/>
    <col min="5382" max="5624" width="9.1640625" style="58"/>
    <col min="5625" max="5625" width="10.33203125" style="58" bestFit="1" customWidth="1"/>
    <col min="5626" max="5626" width="30.1640625" style="58" bestFit="1" customWidth="1"/>
    <col min="5627" max="5627" width="21" style="58" customWidth="1"/>
    <col min="5628" max="5629" width="13.5" style="58" customWidth="1"/>
    <col min="5630" max="5630" width="21.83203125" style="58" bestFit="1" customWidth="1"/>
    <col min="5631" max="5631" width="12" style="58" customWidth="1"/>
    <col min="5632" max="5632" width="11.5" style="58" bestFit="1" customWidth="1"/>
    <col min="5633" max="5633" width="13.5" style="58" customWidth="1"/>
    <col min="5634" max="5634" width="15.5" style="58" customWidth="1"/>
    <col min="5635" max="5636" width="18.5" style="58" customWidth="1"/>
    <col min="5637" max="5637" width="17.83203125" style="58" customWidth="1"/>
    <col min="5638" max="5880" width="9.1640625" style="58"/>
    <col min="5881" max="5881" width="10.33203125" style="58" bestFit="1" customWidth="1"/>
    <col min="5882" max="5882" width="30.1640625" style="58" bestFit="1" customWidth="1"/>
    <col min="5883" max="5883" width="21" style="58" customWidth="1"/>
    <col min="5884" max="5885" width="13.5" style="58" customWidth="1"/>
    <col min="5886" max="5886" width="21.83203125" style="58" bestFit="1" customWidth="1"/>
    <col min="5887" max="5887" width="12" style="58" customWidth="1"/>
    <col min="5888" max="5888" width="11.5" style="58" bestFit="1" customWidth="1"/>
    <col min="5889" max="5889" width="13.5" style="58" customWidth="1"/>
    <col min="5890" max="5890" width="15.5" style="58" customWidth="1"/>
    <col min="5891" max="5892" width="18.5" style="58" customWidth="1"/>
    <col min="5893" max="5893" width="17.83203125" style="58" customWidth="1"/>
    <col min="5894" max="6136" width="9.1640625" style="58"/>
    <col min="6137" max="6137" width="10.33203125" style="58" bestFit="1" customWidth="1"/>
    <col min="6138" max="6138" width="30.1640625" style="58" bestFit="1" customWidth="1"/>
    <col min="6139" max="6139" width="21" style="58" customWidth="1"/>
    <col min="6140" max="6141" width="13.5" style="58" customWidth="1"/>
    <col min="6142" max="6142" width="21.83203125" style="58" bestFit="1" customWidth="1"/>
    <col min="6143" max="6143" width="12" style="58" customWidth="1"/>
    <col min="6144" max="6144" width="11.5" style="58" bestFit="1" customWidth="1"/>
    <col min="6145" max="6145" width="13.5" style="58" customWidth="1"/>
    <col min="6146" max="6146" width="15.5" style="58" customWidth="1"/>
    <col min="6147" max="6148" width="18.5" style="58" customWidth="1"/>
    <col min="6149" max="6149" width="17.83203125" style="58" customWidth="1"/>
    <col min="6150" max="6392" width="9.1640625" style="58"/>
    <col min="6393" max="6393" width="10.33203125" style="58" bestFit="1" customWidth="1"/>
    <col min="6394" max="6394" width="30.1640625" style="58" bestFit="1" customWidth="1"/>
    <col min="6395" max="6395" width="21" style="58" customWidth="1"/>
    <col min="6396" max="6397" width="13.5" style="58" customWidth="1"/>
    <col min="6398" max="6398" width="21.83203125" style="58" bestFit="1" customWidth="1"/>
    <col min="6399" max="6399" width="12" style="58" customWidth="1"/>
    <col min="6400" max="6400" width="11.5" style="58" bestFit="1" customWidth="1"/>
    <col min="6401" max="6401" width="13.5" style="58" customWidth="1"/>
    <col min="6402" max="6402" width="15.5" style="58" customWidth="1"/>
    <col min="6403" max="6404" width="18.5" style="58" customWidth="1"/>
    <col min="6405" max="6405" width="17.83203125" style="58" customWidth="1"/>
    <col min="6406" max="6648" width="9.1640625" style="58"/>
    <col min="6649" max="6649" width="10.33203125" style="58" bestFit="1" customWidth="1"/>
    <col min="6650" max="6650" width="30.1640625" style="58" bestFit="1" customWidth="1"/>
    <col min="6651" max="6651" width="21" style="58" customWidth="1"/>
    <col min="6652" max="6653" width="13.5" style="58" customWidth="1"/>
    <col min="6654" max="6654" width="21.83203125" style="58" bestFit="1" customWidth="1"/>
    <col min="6655" max="6655" width="12" style="58" customWidth="1"/>
    <col min="6656" max="6656" width="11.5" style="58" bestFit="1" customWidth="1"/>
    <col min="6657" max="6657" width="13.5" style="58" customWidth="1"/>
    <col min="6658" max="6658" width="15.5" style="58" customWidth="1"/>
    <col min="6659" max="6660" width="18.5" style="58" customWidth="1"/>
    <col min="6661" max="6661" width="17.83203125" style="58" customWidth="1"/>
    <col min="6662" max="6904" width="9.1640625" style="58"/>
    <col min="6905" max="6905" width="10.33203125" style="58" bestFit="1" customWidth="1"/>
    <col min="6906" max="6906" width="30.1640625" style="58" bestFit="1" customWidth="1"/>
    <col min="6907" max="6907" width="21" style="58" customWidth="1"/>
    <col min="6908" max="6909" width="13.5" style="58" customWidth="1"/>
    <col min="6910" max="6910" width="21.83203125" style="58" bestFit="1" customWidth="1"/>
    <col min="6911" max="6911" width="12" style="58" customWidth="1"/>
    <col min="6912" max="6912" width="11.5" style="58" bestFit="1" customWidth="1"/>
    <col min="6913" max="6913" width="13.5" style="58" customWidth="1"/>
    <col min="6914" max="6914" width="15.5" style="58" customWidth="1"/>
    <col min="6915" max="6916" width="18.5" style="58" customWidth="1"/>
    <col min="6917" max="6917" width="17.83203125" style="58" customWidth="1"/>
    <col min="6918" max="7160" width="9.1640625" style="58"/>
    <col min="7161" max="7161" width="10.33203125" style="58" bestFit="1" customWidth="1"/>
    <col min="7162" max="7162" width="30.1640625" style="58" bestFit="1" customWidth="1"/>
    <col min="7163" max="7163" width="21" style="58" customWidth="1"/>
    <col min="7164" max="7165" width="13.5" style="58" customWidth="1"/>
    <col min="7166" max="7166" width="21.83203125" style="58" bestFit="1" customWidth="1"/>
    <col min="7167" max="7167" width="12" style="58" customWidth="1"/>
    <col min="7168" max="7168" width="11.5" style="58" bestFit="1" customWidth="1"/>
    <col min="7169" max="7169" width="13.5" style="58" customWidth="1"/>
    <col min="7170" max="7170" width="15.5" style="58" customWidth="1"/>
    <col min="7171" max="7172" width="18.5" style="58" customWidth="1"/>
    <col min="7173" max="7173" width="17.83203125" style="58" customWidth="1"/>
    <col min="7174" max="7416" width="9.1640625" style="58"/>
    <col min="7417" max="7417" width="10.33203125" style="58" bestFit="1" customWidth="1"/>
    <col min="7418" max="7418" width="30.1640625" style="58" bestFit="1" customWidth="1"/>
    <col min="7419" max="7419" width="21" style="58" customWidth="1"/>
    <col min="7420" max="7421" width="13.5" style="58" customWidth="1"/>
    <col min="7422" max="7422" width="21.83203125" style="58" bestFit="1" customWidth="1"/>
    <col min="7423" max="7423" width="12" style="58" customWidth="1"/>
    <col min="7424" max="7424" width="11.5" style="58" bestFit="1" customWidth="1"/>
    <col min="7425" max="7425" width="13.5" style="58" customWidth="1"/>
    <col min="7426" max="7426" width="15.5" style="58" customWidth="1"/>
    <col min="7427" max="7428" width="18.5" style="58" customWidth="1"/>
    <col min="7429" max="7429" width="17.83203125" style="58" customWidth="1"/>
    <col min="7430" max="7672" width="9.1640625" style="58"/>
    <col min="7673" max="7673" width="10.33203125" style="58" bestFit="1" customWidth="1"/>
    <col min="7674" max="7674" width="30.1640625" style="58" bestFit="1" customWidth="1"/>
    <col min="7675" max="7675" width="21" style="58" customWidth="1"/>
    <col min="7676" max="7677" width="13.5" style="58" customWidth="1"/>
    <col min="7678" max="7678" width="21.83203125" style="58" bestFit="1" customWidth="1"/>
    <col min="7679" max="7679" width="12" style="58" customWidth="1"/>
    <col min="7680" max="7680" width="11.5" style="58" bestFit="1" customWidth="1"/>
    <col min="7681" max="7681" width="13.5" style="58" customWidth="1"/>
    <col min="7682" max="7682" width="15.5" style="58" customWidth="1"/>
    <col min="7683" max="7684" width="18.5" style="58" customWidth="1"/>
    <col min="7685" max="7685" width="17.83203125" style="58" customWidth="1"/>
    <col min="7686" max="7928" width="9.1640625" style="58"/>
    <col min="7929" max="7929" width="10.33203125" style="58" bestFit="1" customWidth="1"/>
    <col min="7930" max="7930" width="30.1640625" style="58" bestFit="1" customWidth="1"/>
    <col min="7931" max="7931" width="21" style="58" customWidth="1"/>
    <col min="7932" max="7933" width="13.5" style="58" customWidth="1"/>
    <col min="7934" max="7934" width="21.83203125" style="58" bestFit="1" customWidth="1"/>
    <col min="7935" max="7935" width="12" style="58" customWidth="1"/>
    <col min="7936" max="7936" width="11.5" style="58" bestFit="1" customWidth="1"/>
    <col min="7937" max="7937" width="13.5" style="58" customWidth="1"/>
    <col min="7938" max="7938" width="15.5" style="58" customWidth="1"/>
    <col min="7939" max="7940" width="18.5" style="58" customWidth="1"/>
    <col min="7941" max="7941" width="17.83203125" style="58" customWidth="1"/>
    <col min="7942" max="8184" width="9.1640625" style="58"/>
    <col min="8185" max="8185" width="10.33203125" style="58" bestFit="1" customWidth="1"/>
    <col min="8186" max="8186" width="30.1640625" style="58" bestFit="1" customWidth="1"/>
    <col min="8187" max="8187" width="21" style="58" customWidth="1"/>
    <col min="8188" max="8189" width="13.5" style="58" customWidth="1"/>
    <col min="8190" max="8190" width="21.83203125" style="58" bestFit="1" customWidth="1"/>
    <col min="8191" max="8191" width="12" style="58" customWidth="1"/>
    <col min="8192" max="8192" width="11.5" style="58" bestFit="1" customWidth="1"/>
    <col min="8193" max="8193" width="13.5" style="58" customWidth="1"/>
    <col min="8194" max="8194" width="15.5" style="58" customWidth="1"/>
    <col min="8195" max="8196" width="18.5" style="58" customWidth="1"/>
    <col min="8197" max="8197" width="17.83203125" style="58" customWidth="1"/>
    <col min="8198" max="8440" width="9.1640625" style="58"/>
    <col min="8441" max="8441" width="10.33203125" style="58" bestFit="1" customWidth="1"/>
    <col min="8442" max="8442" width="30.1640625" style="58" bestFit="1" customWidth="1"/>
    <col min="8443" max="8443" width="21" style="58" customWidth="1"/>
    <col min="8444" max="8445" width="13.5" style="58" customWidth="1"/>
    <col min="8446" max="8446" width="21.83203125" style="58" bestFit="1" customWidth="1"/>
    <col min="8447" max="8447" width="12" style="58" customWidth="1"/>
    <col min="8448" max="8448" width="11.5" style="58" bestFit="1" customWidth="1"/>
    <col min="8449" max="8449" width="13.5" style="58" customWidth="1"/>
    <col min="8450" max="8450" width="15.5" style="58" customWidth="1"/>
    <col min="8451" max="8452" width="18.5" style="58" customWidth="1"/>
    <col min="8453" max="8453" width="17.83203125" style="58" customWidth="1"/>
    <col min="8454" max="8696" width="9.1640625" style="58"/>
    <col min="8697" max="8697" width="10.33203125" style="58" bestFit="1" customWidth="1"/>
    <col min="8698" max="8698" width="30.1640625" style="58" bestFit="1" customWidth="1"/>
    <col min="8699" max="8699" width="21" style="58" customWidth="1"/>
    <col min="8700" max="8701" width="13.5" style="58" customWidth="1"/>
    <col min="8702" max="8702" width="21.83203125" style="58" bestFit="1" customWidth="1"/>
    <col min="8703" max="8703" width="12" style="58" customWidth="1"/>
    <col min="8704" max="8704" width="11.5" style="58" bestFit="1" customWidth="1"/>
    <col min="8705" max="8705" width="13.5" style="58" customWidth="1"/>
    <col min="8706" max="8706" width="15.5" style="58" customWidth="1"/>
    <col min="8707" max="8708" width="18.5" style="58" customWidth="1"/>
    <col min="8709" max="8709" width="17.83203125" style="58" customWidth="1"/>
    <col min="8710" max="8952" width="9.1640625" style="58"/>
    <col min="8953" max="8953" width="10.33203125" style="58" bestFit="1" customWidth="1"/>
    <col min="8954" max="8954" width="30.1640625" style="58" bestFit="1" customWidth="1"/>
    <col min="8955" max="8955" width="21" style="58" customWidth="1"/>
    <col min="8956" max="8957" width="13.5" style="58" customWidth="1"/>
    <col min="8958" max="8958" width="21.83203125" style="58" bestFit="1" customWidth="1"/>
    <col min="8959" max="8959" width="12" style="58" customWidth="1"/>
    <col min="8960" max="8960" width="11.5" style="58" bestFit="1" customWidth="1"/>
    <col min="8961" max="8961" width="13.5" style="58" customWidth="1"/>
    <col min="8962" max="8962" width="15.5" style="58" customWidth="1"/>
    <col min="8963" max="8964" width="18.5" style="58" customWidth="1"/>
    <col min="8965" max="8965" width="17.83203125" style="58" customWidth="1"/>
    <col min="8966" max="9208" width="9.1640625" style="58"/>
    <col min="9209" max="9209" width="10.33203125" style="58" bestFit="1" customWidth="1"/>
    <col min="9210" max="9210" width="30.1640625" style="58" bestFit="1" customWidth="1"/>
    <col min="9211" max="9211" width="21" style="58" customWidth="1"/>
    <col min="9212" max="9213" width="13.5" style="58" customWidth="1"/>
    <col min="9214" max="9214" width="21.83203125" style="58" bestFit="1" customWidth="1"/>
    <col min="9215" max="9215" width="12" style="58" customWidth="1"/>
    <col min="9216" max="9216" width="11.5" style="58" bestFit="1" customWidth="1"/>
    <col min="9217" max="9217" width="13.5" style="58" customWidth="1"/>
    <col min="9218" max="9218" width="15.5" style="58" customWidth="1"/>
    <col min="9219" max="9220" width="18.5" style="58" customWidth="1"/>
    <col min="9221" max="9221" width="17.83203125" style="58" customWidth="1"/>
    <col min="9222" max="9464" width="9.1640625" style="58"/>
    <col min="9465" max="9465" width="10.33203125" style="58" bestFit="1" customWidth="1"/>
    <col min="9466" max="9466" width="30.1640625" style="58" bestFit="1" customWidth="1"/>
    <col min="9467" max="9467" width="21" style="58" customWidth="1"/>
    <col min="9468" max="9469" width="13.5" style="58" customWidth="1"/>
    <col min="9470" max="9470" width="21.83203125" style="58" bestFit="1" customWidth="1"/>
    <col min="9471" max="9471" width="12" style="58" customWidth="1"/>
    <col min="9472" max="9472" width="11.5" style="58" bestFit="1" customWidth="1"/>
    <col min="9473" max="9473" width="13.5" style="58" customWidth="1"/>
    <col min="9474" max="9474" width="15.5" style="58" customWidth="1"/>
    <col min="9475" max="9476" width="18.5" style="58" customWidth="1"/>
    <col min="9477" max="9477" width="17.83203125" style="58" customWidth="1"/>
    <col min="9478" max="9720" width="9.1640625" style="58"/>
    <col min="9721" max="9721" width="10.33203125" style="58" bestFit="1" customWidth="1"/>
    <col min="9722" max="9722" width="30.1640625" style="58" bestFit="1" customWidth="1"/>
    <col min="9723" max="9723" width="21" style="58" customWidth="1"/>
    <col min="9724" max="9725" width="13.5" style="58" customWidth="1"/>
    <col min="9726" max="9726" width="21.83203125" style="58" bestFit="1" customWidth="1"/>
    <col min="9727" max="9727" width="12" style="58" customWidth="1"/>
    <col min="9728" max="9728" width="11.5" style="58" bestFit="1" customWidth="1"/>
    <col min="9729" max="9729" width="13.5" style="58" customWidth="1"/>
    <col min="9730" max="9730" width="15.5" style="58" customWidth="1"/>
    <col min="9731" max="9732" width="18.5" style="58" customWidth="1"/>
    <col min="9733" max="9733" width="17.83203125" style="58" customWidth="1"/>
    <col min="9734" max="9976" width="9.1640625" style="58"/>
    <col min="9977" max="9977" width="10.33203125" style="58" bestFit="1" customWidth="1"/>
    <col min="9978" max="9978" width="30.1640625" style="58" bestFit="1" customWidth="1"/>
    <col min="9979" max="9979" width="21" style="58" customWidth="1"/>
    <col min="9980" max="9981" width="13.5" style="58" customWidth="1"/>
    <col min="9982" max="9982" width="21.83203125" style="58" bestFit="1" customWidth="1"/>
    <col min="9983" max="9983" width="12" style="58" customWidth="1"/>
    <col min="9984" max="9984" width="11.5" style="58" bestFit="1" customWidth="1"/>
    <col min="9985" max="9985" width="13.5" style="58" customWidth="1"/>
    <col min="9986" max="9986" width="15.5" style="58" customWidth="1"/>
    <col min="9987" max="9988" width="18.5" style="58" customWidth="1"/>
    <col min="9989" max="9989" width="17.83203125" style="58" customWidth="1"/>
    <col min="9990" max="10232" width="9.1640625" style="58"/>
    <col min="10233" max="10233" width="10.33203125" style="58" bestFit="1" customWidth="1"/>
    <col min="10234" max="10234" width="30.1640625" style="58" bestFit="1" customWidth="1"/>
    <col min="10235" max="10235" width="21" style="58" customWidth="1"/>
    <col min="10236" max="10237" width="13.5" style="58" customWidth="1"/>
    <col min="10238" max="10238" width="21.83203125" style="58" bestFit="1" customWidth="1"/>
    <col min="10239" max="10239" width="12" style="58" customWidth="1"/>
    <col min="10240" max="10240" width="11.5" style="58" bestFit="1" customWidth="1"/>
    <col min="10241" max="10241" width="13.5" style="58" customWidth="1"/>
    <col min="10242" max="10242" width="15.5" style="58" customWidth="1"/>
    <col min="10243" max="10244" width="18.5" style="58" customWidth="1"/>
    <col min="10245" max="10245" width="17.83203125" style="58" customWidth="1"/>
    <col min="10246" max="10488" width="9.1640625" style="58"/>
    <col min="10489" max="10489" width="10.33203125" style="58" bestFit="1" customWidth="1"/>
    <col min="10490" max="10490" width="30.1640625" style="58" bestFit="1" customWidth="1"/>
    <col min="10491" max="10491" width="21" style="58" customWidth="1"/>
    <col min="10492" max="10493" width="13.5" style="58" customWidth="1"/>
    <col min="10494" max="10494" width="21.83203125" style="58" bestFit="1" customWidth="1"/>
    <col min="10495" max="10495" width="12" style="58" customWidth="1"/>
    <col min="10496" max="10496" width="11.5" style="58" bestFit="1" customWidth="1"/>
    <col min="10497" max="10497" width="13.5" style="58" customWidth="1"/>
    <col min="10498" max="10498" width="15.5" style="58" customWidth="1"/>
    <col min="10499" max="10500" width="18.5" style="58" customWidth="1"/>
    <col min="10501" max="10501" width="17.83203125" style="58" customWidth="1"/>
    <col min="10502" max="10744" width="9.1640625" style="58"/>
    <col min="10745" max="10745" width="10.33203125" style="58" bestFit="1" customWidth="1"/>
    <col min="10746" max="10746" width="30.1640625" style="58" bestFit="1" customWidth="1"/>
    <col min="10747" max="10747" width="21" style="58" customWidth="1"/>
    <col min="10748" max="10749" width="13.5" style="58" customWidth="1"/>
    <col min="10750" max="10750" width="21.83203125" style="58" bestFit="1" customWidth="1"/>
    <col min="10751" max="10751" width="12" style="58" customWidth="1"/>
    <col min="10752" max="10752" width="11.5" style="58" bestFit="1" customWidth="1"/>
    <col min="10753" max="10753" width="13.5" style="58" customWidth="1"/>
    <col min="10754" max="10754" width="15.5" style="58" customWidth="1"/>
    <col min="10755" max="10756" width="18.5" style="58" customWidth="1"/>
    <col min="10757" max="10757" width="17.83203125" style="58" customWidth="1"/>
    <col min="10758" max="11000" width="9.1640625" style="58"/>
    <col min="11001" max="11001" width="10.33203125" style="58" bestFit="1" customWidth="1"/>
    <col min="11002" max="11002" width="30.1640625" style="58" bestFit="1" customWidth="1"/>
    <col min="11003" max="11003" width="21" style="58" customWidth="1"/>
    <col min="11004" max="11005" width="13.5" style="58" customWidth="1"/>
    <col min="11006" max="11006" width="21.83203125" style="58" bestFit="1" customWidth="1"/>
    <col min="11007" max="11007" width="12" style="58" customWidth="1"/>
    <col min="11008" max="11008" width="11.5" style="58" bestFit="1" customWidth="1"/>
    <col min="11009" max="11009" width="13.5" style="58" customWidth="1"/>
    <col min="11010" max="11010" width="15.5" style="58" customWidth="1"/>
    <col min="11011" max="11012" width="18.5" style="58" customWidth="1"/>
    <col min="11013" max="11013" width="17.83203125" style="58" customWidth="1"/>
    <col min="11014" max="11256" width="9.1640625" style="58"/>
    <col min="11257" max="11257" width="10.33203125" style="58" bestFit="1" customWidth="1"/>
    <col min="11258" max="11258" width="30.1640625" style="58" bestFit="1" customWidth="1"/>
    <col min="11259" max="11259" width="21" style="58" customWidth="1"/>
    <col min="11260" max="11261" width="13.5" style="58" customWidth="1"/>
    <col min="11262" max="11262" width="21.83203125" style="58" bestFit="1" customWidth="1"/>
    <col min="11263" max="11263" width="12" style="58" customWidth="1"/>
    <col min="11264" max="11264" width="11.5" style="58" bestFit="1" customWidth="1"/>
    <col min="11265" max="11265" width="13.5" style="58" customWidth="1"/>
    <col min="11266" max="11266" width="15.5" style="58" customWidth="1"/>
    <col min="11267" max="11268" width="18.5" style="58" customWidth="1"/>
    <col min="11269" max="11269" width="17.83203125" style="58" customWidth="1"/>
    <col min="11270" max="11512" width="9.1640625" style="58"/>
    <col min="11513" max="11513" width="10.33203125" style="58" bestFit="1" customWidth="1"/>
    <col min="11514" max="11514" width="30.1640625" style="58" bestFit="1" customWidth="1"/>
    <col min="11515" max="11515" width="21" style="58" customWidth="1"/>
    <col min="11516" max="11517" width="13.5" style="58" customWidth="1"/>
    <col min="11518" max="11518" width="21.83203125" style="58" bestFit="1" customWidth="1"/>
    <col min="11519" max="11519" width="12" style="58" customWidth="1"/>
    <col min="11520" max="11520" width="11.5" style="58" bestFit="1" customWidth="1"/>
    <col min="11521" max="11521" width="13.5" style="58" customWidth="1"/>
    <col min="11522" max="11522" width="15.5" style="58" customWidth="1"/>
    <col min="11523" max="11524" width="18.5" style="58" customWidth="1"/>
    <col min="11525" max="11525" width="17.83203125" style="58" customWidth="1"/>
    <col min="11526" max="11768" width="9.1640625" style="58"/>
    <col min="11769" max="11769" width="10.33203125" style="58" bestFit="1" customWidth="1"/>
    <col min="11770" max="11770" width="30.1640625" style="58" bestFit="1" customWidth="1"/>
    <col min="11771" max="11771" width="21" style="58" customWidth="1"/>
    <col min="11772" max="11773" width="13.5" style="58" customWidth="1"/>
    <col min="11774" max="11774" width="21.83203125" style="58" bestFit="1" customWidth="1"/>
    <col min="11775" max="11775" width="12" style="58" customWidth="1"/>
    <col min="11776" max="11776" width="11.5" style="58" bestFit="1" customWidth="1"/>
    <col min="11777" max="11777" width="13.5" style="58" customWidth="1"/>
    <col min="11778" max="11778" width="15.5" style="58" customWidth="1"/>
    <col min="11779" max="11780" width="18.5" style="58" customWidth="1"/>
    <col min="11781" max="11781" width="17.83203125" style="58" customWidth="1"/>
    <col min="11782" max="12024" width="9.1640625" style="58"/>
    <col min="12025" max="12025" width="10.33203125" style="58" bestFit="1" customWidth="1"/>
    <col min="12026" max="12026" width="30.1640625" style="58" bestFit="1" customWidth="1"/>
    <col min="12027" max="12027" width="21" style="58" customWidth="1"/>
    <col min="12028" max="12029" width="13.5" style="58" customWidth="1"/>
    <col min="12030" max="12030" width="21.83203125" style="58" bestFit="1" customWidth="1"/>
    <col min="12031" max="12031" width="12" style="58" customWidth="1"/>
    <col min="12032" max="12032" width="11.5" style="58" bestFit="1" customWidth="1"/>
    <col min="12033" max="12033" width="13.5" style="58" customWidth="1"/>
    <col min="12034" max="12034" width="15.5" style="58" customWidth="1"/>
    <col min="12035" max="12036" width="18.5" style="58" customWidth="1"/>
    <col min="12037" max="12037" width="17.83203125" style="58" customWidth="1"/>
    <col min="12038" max="12280" width="9.1640625" style="58"/>
    <col min="12281" max="12281" width="10.33203125" style="58" bestFit="1" customWidth="1"/>
    <col min="12282" max="12282" width="30.1640625" style="58" bestFit="1" customWidth="1"/>
    <col min="12283" max="12283" width="21" style="58" customWidth="1"/>
    <col min="12284" max="12285" width="13.5" style="58" customWidth="1"/>
    <col min="12286" max="12286" width="21.83203125" style="58" bestFit="1" customWidth="1"/>
    <col min="12287" max="12287" width="12" style="58" customWidth="1"/>
    <col min="12288" max="12288" width="11.5" style="58" bestFit="1" customWidth="1"/>
    <col min="12289" max="12289" width="13.5" style="58" customWidth="1"/>
    <col min="12290" max="12290" width="15.5" style="58" customWidth="1"/>
    <col min="12291" max="12292" width="18.5" style="58" customWidth="1"/>
    <col min="12293" max="12293" width="17.83203125" style="58" customWidth="1"/>
    <col min="12294" max="12536" width="9.1640625" style="58"/>
    <col min="12537" max="12537" width="10.33203125" style="58" bestFit="1" customWidth="1"/>
    <col min="12538" max="12538" width="30.1640625" style="58" bestFit="1" customWidth="1"/>
    <col min="12539" max="12539" width="21" style="58" customWidth="1"/>
    <col min="12540" max="12541" width="13.5" style="58" customWidth="1"/>
    <col min="12542" max="12542" width="21.83203125" style="58" bestFit="1" customWidth="1"/>
    <col min="12543" max="12543" width="12" style="58" customWidth="1"/>
    <col min="12544" max="12544" width="11.5" style="58" bestFit="1" customWidth="1"/>
    <col min="12545" max="12545" width="13.5" style="58" customWidth="1"/>
    <col min="12546" max="12546" width="15.5" style="58" customWidth="1"/>
    <col min="12547" max="12548" width="18.5" style="58" customWidth="1"/>
    <col min="12549" max="12549" width="17.83203125" style="58" customWidth="1"/>
    <col min="12550" max="12792" width="9.1640625" style="58"/>
    <col min="12793" max="12793" width="10.33203125" style="58" bestFit="1" customWidth="1"/>
    <col min="12794" max="12794" width="30.1640625" style="58" bestFit="1" customWidth="1"/>
    <col min="12795" max="12795" width="21" style="58" customWidth="1"/>
    <col min="12796" max="12797" width="13.5" style="58" customWidth="1"/>
    <col min="12798" max="12798" width="21.83203125" style="58" bestFit="1" customWidth="1"/>
    <col min="12799" max="12799" width="12" style="58" customWidth="1"/>
    <col min="12800" max="12800" width="11.5" style="58" bestFit="1" customWidth="1"/>
    <col min="12801" max="12801" width="13.5" style="58" customWidth="1"/>
    <col min="12802" max="12802" width="15.5" style="58" customWidth="1"/>
    <col min="12803" max="12804" width="18.5" style="58" customWidth="1"/>
    <col min="12805" max="12805" width="17.83203125" style="58" customWidth="1"/>
    <col min="12806" max="13048" width="9.1640625" style="58"/>
    <col min="13049" max="13049" width="10.33203125" style="58" bestFit="1" customWidth="1"/>
    <col min="13050" max="13050" width="30.1640625" style="58" bestFit="1" customWidth="1"/>
    <col min="13051" max="13051" width="21" style="58" customWidth="1"/>
    <col min="13052" max="13053" width="13.5" style="58" customWidth="1"/>
    <col min="13054" max="13054" width="21.83203125" style="58" bestFit="1" customWidth="1"/>
    <col min="13055" max="13055" width="12" style="58" customWidth="1"/>
    <col min="13056" max="13056" width="11.5" style="58" bestFit="1" customWidth="1"/>
    <col min="13057" max="13057" width="13.5" style="58" customWidth="1"/>
    <col min="13058" max="13058" width="15.5" style="58" customWidth="1"/>
    <col min="13059" max="13060" width="18.5" style="58" customWidth="1"/>
    <col min="13061" max="13061" width="17.83203125" style="58" customWidth="1"/>
    <col min="13062" max="13304" width="9.1640625" style="58"/>
    <col min="13305" max="13305" width="10.33203125" style="58" bestFit="1" customWidth="1"/>
    <col min="13306" max="13306" width="30.1640625" style="58" bestFit="1" customWidth="1"/>
    <col min="13307" max="13307" width="21" style="58" customWidth="1"/>
    <col min="13308" max="13309" width="13.5" style="58" customWidth="1"/>
    <col min="13310" max="13310" width="21.83203125" style="58" bestFit="1" customWidth="1"/>
    <col min="13311" max="13311" width="12" style="58" customWidth="1"/>
    <col min="13312" max="13312" width="11.5" style="58" bestFit="1" customWidth="1"/>
    <col min="13313" max="13313" width="13.5" style="58" customWidth="1"/>
    <col min="13314" max="13314" width="15.5" style="58" customWidth="1"/>
    <col min="13315" max="13316" width="18.5" style="58" customWidth="1"/>
    <col min="13317" max="13317" width="17.83203125" style="58" customWidth="1"/>
    <col min="13318" max="13560" width="9.1640625" style="58"/>
    <col min="13561" max="13561" width="10.33203125" style="58" bestFit="1" customWidth="1"/>
    <col min="13562" max="13562" width="30.1640625" style="58" bestFit="1" customWidth="1"/>
    <col min="13563" max="13563" width="21" style="58" customWidth="1"/>
    <col min="13564" max="13565" width="13.5" style="58" customWidth="1"/>
    <col min="13566" max="13566" width="21.83203125" style="58" bestFit="1" customWidth="1"/>
    <col min="13567" max="13567" width="12" style="58" customWidth="1"/>
    <col min="13568" max="13568" width="11.5" style="58" bestFit="1" customWidth="1"/>
    <col min="13569" max="13569" width="13.5" style="58" customWidth="1"/>
    <col min="13570" max="13570" width="15.5" style="58" customWidth="1"/>
    <col min="13571" max="13572" width="18.5" style="58" customWidth="1"/>
    <col min="13573" max="13573" width="17.83203125" style="58" customWidth="1"/>
    <col min="13574" max="13816" width="9.1640625" style="58"/>
    <col min="13817" max="13817" width="10.33203125" style="58" bestFit="1" customWidth="1"/>
    <col min="13818" max="13818" width="30.1640625" style="58" bestFit="1" customWidth="1"/>
    <col min="13819" max="13819" width="21" style="58" customWidth="1"/>
    <col min="13820" max="13821" width="13.5" style="58" customWidth="1"/>
    <col min="13822" max="13822" width="21.83203125" style="58" bestFit="1" customWidth="1"/>
    <col min="13823" max="13823" width="12" style="58" customWidth="1"/>
    <col min="13824" max="13824" width="11.5" style="58" bestFit="1" customWidth="1"/>
    <col min="13825" max="13825" width="13.5" style="58" customWidth="1"/>
    <col min="13826" max="13826" width="15.5" style="58" customWidth="1"/>
    <col min="13827" max="13828" width="18.5" style="58" customWidth="1"/>
    <col min="13829" max="13829" width="17.83203125" style="58" customWidth="1"/>
    <col min="13830" max="14072" width="9.1640625" style="58"/>
    <col min="14073" max="14073" width="10.33203125" style="58" bestFit="1" customWidth="1"/>
    <col min="14074" max="14074" width="30.1640625" style="58" bestFit="1" customWidth="1"/>
    <col min="14075" max="14075" width="21" style="58" customWidth="1"/>
    <col min="14076" max="14077" width="13.5" style="58" customWidth="1"/>
    <col min="14078" max="14078" width="21.83203125" style="58" bestFit="1" customWidth="1"/>
    <col min="14079" max="14079" width="12" style="58" customWidth="1"/>
    <col min="14080" max="14080" width="11.5" style="58" bestFit="1" customWidth="1"/>
    <col min="14081" max="14081" width="13.5" style="58" customWidth="1"/>
    <col min="14082" max="14082" width="15.5" style="58" customWidth="1"/>
    <col min="14083" max="14084" width="18.5" style="58" customWidth="1"/>
    <col min="14085" max="14085" width="17.83203125" style="58" customWidth="1"/>
    <col min="14086" max="14328" width="9.1640625" style="58"/>
    <col min="14329" max="14329" width="10.33203125" style="58" bestFit="1" customWidth="1"/>
    <col min="14330" max="14330" width="30.1640625" style="58" bestFit="1" customWidth="1"/>
    <col min="14331" max="14331" width="21" style="58" customWidth="1"/>
    <col min="14332" max="14333" width="13.5" style="58" customWidth="1"/>
    <col min="14334" max="14334" width="21.83203125" style="58" bestFit="1" customWidth="1"/>
    <col min="14335" max="14335" width="12" style="58" customWidth="1"/>
    <col min="14336" max="14336" width="11.5" style="58" bestFit="1" customWidth="1"/>
    <col min="14337" max="14337" width="13.5" style="58" customWidth="1"/>
    <col min="14338" max="14338" width="15.5" style="58" customWidth="1"/>
    <col min="14339" max="14340" width="18.5" style="58" customWidth="1"/>
    <col min="14341" max="14341" width="17.83203125" style="58" customWidth="1"/>
    <col min="14342" max="14584" width="9.1640625" style="58"/>
    <col min="14585" max="14585" width="10.33203125" style="58" bestFit="1" customWidth="1"/>
    <col min="14586" max="14586" width="30.1640625" style="58" bestFit="1" customWidth="1"/>
    <col min="14587" max="14587" width="21" style="58" customWidth="1"/>
    <col min="14588" max="14589" width="13.5" style="58" customWidth="1"/>
    <col min="14590" max="14590" width="21.83203125" style="58" bestFit="1" customWidth="1"/>
    <col min="14591" max="14591" width="12" style="58" customWidth="1"/>
    <col min="14592" max="14592" width="11.5" style="58" bestFit="1" customWidth="1"/>
    <col min="14593" max="14593" width="13.5" style="58" customWidth="1"/>
    <col min="14594" max="14594" width="15.5" style="58" customWidth="1"/>
    <col min="14595" max="14596" width="18.5" style="58" customWidth="1"/>
    <col min="14597" max="14597" width="17.83203125" style="58" customWidth="1"/>
    <col min="14598" max="14840" width="9.1640625" style="58"/>
    <col min="14841" max="14841" width="10.33203125" style="58" bestFit="1" customWidth="1"/>
    <col min="14842" max="14842" width="30.1640625" style="58" bestFit="1" customWidth="1"/>
    <col min="14843" max="14843" width="21" style="58" customWidth="1"/>
    <col min="14844" max="14845" width="13.5" style="58" customWidth="1"/>
    <col min="14846" max="14846" width="21.83203125" style="58" bestFit="1" customWidth="1"/>
    <col min="14847" max="14847" width="12" style="58" customWidth="1"/>
    <col min="14848" max="14848" width="11.5" style="58" bestFit="1" customWidth="1"/>
    <col min="14849" max="14849" width="13.5" style="58" customWidth="1"/>
    <col min="14850" max="14850" width="15.5" style="58" customWidth="1"/>
    <col min="14851" max="14852" width="18.5" style="58" customWidth="1"/>
    <col min="14853" max="14853" width="17.83203125" style="58" customWidth="1"/>
    <col min="14854" max="15096" width="9.1640625" style="58"/>
    <col min="15097" max="15097" width="10.33203125" style="58" bestFit="1" customWidth="1"/>
    <col min="15098" max="15098" width="30.1640625" style="58" bestFit="1" customWidth="1"/>
    <col min="15099" max="15099" width="21" style="58" customWidth="1"/>
    <col min="15100" max="15101" width="13.5" style="58" customWidth="1"/>
    <col min="15102" max="15102" width="21.83203125" style="58" bestFit="1" customWidth="1"/>
    <col min="15103" max="15103" width="12" style="58" customWidth="1"/>
    <col min="15104" max="15104" width="11.5" style="58" bestFit="1" customWidth="1"/>
    <col min="15105" max="15105" width="13.5" style="58" customWidth="1"/>
    <col min="15106" max="15106" width="15.5" style="58" customWidth="1"/>
    <col min="15107" max="15108" width="18.5" style="58" customWidth="1"/>
    <col min="15109" max="15109" width="17.83203125" style="58" customWidth="1"/>
    <col min="15110" max="15352" width="9.1640625" style="58"/>
    <col min="15353" max="15353" width="10.33203125" style="58" bestFit="1" customWidth="1"/>
    <col min="15354" max="15354" width="30.1640625" style="58" bestFit="1" customWidth="1"/>
    <col min="15355" max="15355" width="21" style="58" customWidth="1"/>
    <col min="15356" max="15357" width="13.5" style="58" customWidth="1"/>
    <col min="15358" max="15358" width="21.83203125" style="58" bestFit="1" customWidth="1"/>
    <col min="15359" max="15359" width="12" style="58" customWidth="1"/>
    <col min="15360" max="15360" width="11.5" style="58" bestFit="1" customWidth="1"/>
    <col min="15361" max="15361" width="13.5" style="58" customWidth="1"/>
    <col min="15362" max="15362" width="15.5" style="58" customWidth="1"/>
    <col min="15363" max="15364" width="18.5" style="58" customWidth="1"/>
    <col min="15365" max="15365" width="17.83203125" style="58" customWidth="1"/>
    <col min="15366" max="15608" width="9.1640625" style="58"/>
    <col min="15609" max="15609" width="10.33203125" style="58" bestFit="1" customWidth="1"/>
    <col min="15610" max="15610" width="30.1640625" style="58" bestFit="1" customWidth="1"/>
    <col min="15611" max="15611" width="21" style="58" customWidth="1"/>
    <col min="15612" max="15613" width="13.5" style="58" customWidth="1"/>
    <col min="15614" max="15614" width="21.83203125" style="58" bestFit="1" customWidth="1"/>
    <col min="15615" max="15615" width="12" style="58" customWidth="1"/>
    <col min="15616" max="15616" width="11.5" style="58" bestFit="1" customWidth="1"/>
    <col min="15617" max="15617" width="13.5" style="58" customWidth="1"/>
    <col min="15618" max="15618" width="15.5" style="58" customWidth="1"/>
    <col min="15619" max="15620" width="18.5" style="58" customWidth="1"/>
    <col min="15621" max="15621" width="17.83203125" style="58" customWidth="1"/>
    <col min="15622" max="15864" width="9.1640625" style="58"/>
    <col min="15865" max="15865" width="10.33203125" style="58" bestFit="1" customWidth="1"/>
    <col min="15866" max="15866" width="30.1640625" style="58" bestFit="1" customWidth="1"/>
    <col min="15867" max="15867" width="21" style="58" customWidth="1"/>
    <col min="15868" max="15869" width="13.5" style="58" customWidth="1"/>
    <col min="15870" max="15870" width="21.83203125" style="58" bestFit="1" customWidth="1"/>
    <col min="15871" max="15871" width="12" style="58" customWidth="1"/>
    <col min="15872" max="15872" width="11.5" style="58" bestFit="1" customWidth="1"/>
    <col min="15873" max="15873" width="13.5" style="58" customWidth="1"/>
    <col min="15874" max="15874" width="15.5" style="58" customWidth="1"/>
    <col min="15875" max="15876" width="18.5" style="58" customWidth="1"/>
    <col min="15877" max="15877" width="17.83203125" style="58" customWidth="1"/>
    <col min="15878" max="16120" width="9.1640625" style="58"/>
    <col min="16121" max="16121" width="10.33203125" style="58" bestFit="1" customWidth="1"/>
    <col min="16122" max="16122" width="30.1640625" style="58" bestFit="1" customWidth="1"/>
    <col min="16123" max="16123" width="21" style="58" customWidth="1"/>
    <col min="16124" max="16125" width="13.5" style="58" customWidth="1"/>
    <col min="16126" max="16126" width="21.83203125" style="58" bestFit="1" customWidth="1"/>
    <col min="16127" max="16127" width="12" style="58" customWidth="1"/>
    <col min="16128" max="16128" width="11.5" style="58" bestFit="1" customWidth="1"/>
    <col min="16129" max="16129" width="13.5" style="58" customWidth="1"/>
    <col min="16130" max="16130" width="15.5" style="58" customWidth="1"/>
    <col min="16131" max="16132" width="18.5" style="58" customWidth="1"/>
    <col min="16133" max="16133" width="17.83203125" style="58" customWidth="1"/>
    <col min="16134" max="16383" width="9.1640625" style="58"/>
    <col min="16384" max="16384" width="9.1640625" style="58" customWidth="1"/>
  </cols>
  <sheetData>
    <row r="1" spans="1:7" ht="43.5" customHeight="1">
      <c r="A1" s="180" t="s">
        <v>26</v>
      </c>
      <c r="B1" s="259" t="s">
        <v>27</v>
      </c>
      <c r="C1" s="260" t="s">
        <v>208</v>
      </c>
      <c r="D1" s="260" t="s">
        <v>209</v>
      </c>
      <c r="E1" s="259" t="s">
        <v>210</v>
      </c>
      <c r="F1" s="259" t="s">
        <v>172</v>
      </c>
      <c r="G1" s="261" t="s">
        <v>211</v>
      </c>
    </row>
    <row r="2" spans="1:7" ht="17">
      <c r="A2" s="262" t="s">
        <v>173</v>
      </c>
      <c r="B2" s="98" t="s">
        <v>181</v>
      </c>
      <c r="C2" s="263"/>
      <c r="D2" s="264">
        <v>200000</v>
      </c>
      <c r="E2" s="265"/>
      <c r="F2" s="265"/>
      <c r="G2" s="266">
        <f>SUM(C2:F2)</f>
        <v>200000</v>
      </c>
    </row>
    <row r="3" spans="1:7" ht="17">
      <c r="A3" s="55" t="s">
        <v>174</v>
      </c>
      <c r="B3" s="71" t="s">
        <v>182</v>
      </c>
      <c r="C3" s="59"/>
      <c r="D3" s="56"/>
      <c r="E3" s="57">
        <v>2000000</v>
      </c>
      <c r="F3" s="57"/>
      <c r="G3" s="60">
        <f>SUM(C3:F3)</f>
        <v>2000000</v>
      </c>
    </row>
    <row r="4" spans="1:7" ht="17">
      <c r="A4" s="55" t="s">
        <v>157</v>
      </c>
      <c r="B4" s="71" t="s">
        <v>183</v>
      </c>
      <c r="C4" s="59"/>
      <c r="D4" s="56"/>
      <c r="E4" s="57"/>
      <c r="F4" s="57">
        <v>1000000</v>
      </c>
      <c r="G4" s="60">
        <f>SUM(C4:F4)</f>
        <v>1000000</v>
      </c>
    </row>
    <row r="5" spans="1:7" ht="17">
      <c r="A5" s="55" t="s">
        <v>158</v>
      </c>
      <c r="B5" s="71" t="s">
        <v>184</v>
      </c>
      <c r="C5" s="59">
        <v>500000</v>
      </c>
      <c r="D5" s="56"/>
      <c r="E5" s="57"/>
      <c r="F5" s="57">
        <v>750000</v>
      </c>
      <c r="G5" s="60">
        <f>SUM(C5:F5)</f>
        <v>1250000</v>
      </c>
    </row>
    <row r="7" spans="1:7" ht="23.25" customHeight="1">
      <c r="B7" s="61"/>
    </row>
  </sheetData>
  <autoFilter ref="A1:G18" xr:uid="{00000000-0009-0000-0000-00001B000000}"/>
  <conditionalFormatting sqref="A1">
    <cfRule type="duplicateValues" dxfId="35" priority="1"/>
    <cfRule type="duplicateValues" dxfId="34" priority="2"/>
    <cfRule type="duplicateValues" dxfId="33" priority="3"/>
    <cfRule type="duplicateValues" dxfId="32" priority="4" stopIfTrue="1"/>
    <cfRule type="duplicateValues" dxfId="31" priority="5" stopIfTrue="1"/>
    <cfRule type="duplicateValues" dxfId="30" priority="6" stopIfTrue="1"/>
    <cfRule type="duplicateValues" dxfId="29" priority="7" stopIfTrue="1"/>
  </conditionalFormatting>
  <conditionalFormatting sqref="A2">
    <cfRule type="duplicateValues" dxfId="28" priority="1327433"/>
    <cfRule type="duplicateValues" dxfId="27" priority="1327434"/>
    <cfRule type="duplicateValues" dxfId="26" priority="1327435"/>
  </conditionalFormatting>
  <conditionalFormatting sqref="A2:A5">
    <cfRule type="duplicateValues" dxfId="25" priority="1327574"/>
    <cfRule type="duplicateValues" dxfId="24" priority="1327575"/>
    <cfRule type="duplicateValues" dxfId="23" priority="1327576"/>
    <cfRule type="duplicateValues" dxfId="22" priority="1327577"/>
    <cfRule type="duplicateValues" dxfId="21" priority="1327578"/>
    <cfRule type="duplicateValues" dxfId="20" priority="1327579"/>
    <cfRule type="duplicateValues" dxfId="19" priority="1327580"/>
    <cfRule type="duplicateValues" dxfId="18" priority="1327581"/>
    <cfRule type="duplicateValues" dxfId="17" priority="1327582"/>
    <cfRule type="duplicateValues" dxfId="16" priority="1327583" stopIfTrue="1"/>
    <cfRule type="duplicateValues" dxfId="15" priority="1327584" stopIfTrue="1"/>
    <cfRule type="duplicateValues" dxfId="14" priority="1327585" stopIfTrue="1"/>
    <cfRule type="duplicateValues" dxfId="13" priority="1327586" stopIfTrue="1"/>
    <cfRule type="duplicateValues" dxfId="12" priority="1327587" stopIfTrue="1"/>
    <cfRule type="duplicateValues" dxfId="11" priority="1327588" stopIfTrue="1"/>
    <cfRule type="duplicateValues" dxfId="10" priority="1327589"/>
  </conditionalFormatting>
  <conditionalFormatting sqref="A2:A1048576">
    <cfRule type="duplicateValues" dxfId="9" priority="45"/>
    <cfRule type="duplicateValues" dxfId="8" priority="46"/>
    <cfRule type="duplicateValues" dxfId="7" priority="192581"/>
  </conditionalFormatting>
  <conditionalFormatting sqref="A3:A5">
    <cfRule type="duplicateValues" dxfId="6" priority="1327590"/>
    <cfRule type="duplicateValues" dxfId="5" priority="1327591"/>
    <cfRule type="duplicateValues" dxfId="4" priority="1327592"/>
    <cfRule type="duplicateValues" dxfId="3" priority="1327593"/>
  </conditionalFormatting>
  <conditionalFormatting sqref="A6:A65156">
    <cfRule type="duplicateValues" dxfId="2" priority="1327772" stopIfTrue="1"/>
    <cfRule type="duplicateValues" dxfId="1" priority="1327773" stopIfTrue="1"/>
  </conditionalFormatting>
  <conditionalFormatting sqref="A6:A1048576">
    <cfRule type="duplicateValues" dxfId="0" priority="1276"/>
  </conditionalFormatting>
  <dataValidations count="1">
    <dataValidation allowBlank="1" showErrorMessage="1" sqref="A1 B3:B5" xr:uid="{735F8EBC-053C-974E-A57D-C26D7C32D063}"/>
  </dataValidations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14</vt:i4>
      </vt:variant>
    </vt:vector>
  </HeadingPairs>
  <TitlesOfParts>
    <vt:vector size="23" baseType="lpstr">
      <vt:lpstr>Template Payroll</vt:lpstr>
      <vt:lpstr>PC cơm </vt:lpstr>
      <vt:lpstr>TimeTB 2</vt:lpstr>
      <vt:lpstr> TimeTB 1</vt:lpstr>
      <vt:lpstr>OT</vt:lpstr>
      <vt:lpstr>NS</vt:lpstr>
      <vt:lpstr>Others</vt:lpstr>
      <vt:lpstr>Incentive</vt:lpstr>
      <vt:lpstr>Benefit tính thuế</vt:lpstr>
      <vt:lpstr>Incentive!__xlnm.Print_Area</vt:lpstr>
      <vt:lpstr>Incentive!__xlnm.Print_Titles</vt:lpstr>
      <vt:lpstr>NS!__xlnm.Print_Titles</vt:lpstr>
      <vt:lpstr>' TimeTB 1'!_FilterDatabase</vt:lpstr>
      <vt:lpstr>'TimeTB 2'!_FilterDatabase</vt:lpstr>
      <vt:lpstr>NS!ot_ID</vt:lpstr>
      <vt:lpstr>Incentive!Print_Area</vt:lpstr>
      <vt:lpstr>'TimeTB 2'!Print_Area</vt:lpstr>
      <vt:lpstr>' TimeTB 1'!Print_Titles</vt:lpstr>
      <vt:lpstr>Incentive!Print_Titles</vt:lpstr>
      <vt:lpstr>NS!Print_Titles</vt:lpstr>
      <vt:lpstr>'PC cơm '!Print_Titles</vt:lpstr>
      <vt:lpstr>'Template Payroll'!Print_Titles</vt:lpstr>
      <vt:lpstr>'TimeTB 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Ash Sohani</cp:lastModifiedBy>
  <cp:lastPrinted>2025-03-26T10:40:57Z</cp:lastPrinted>
  <dcterms:created xsi:type="dcterms:W3CDTF">2016-08-22T01:24:03Z</dcterms:created>
  <dcterms:modified xsi:type="dcterms:W3CDTF">2026-01-21T00:41:39Z</dcterms:modified>
</cp:coreProperties>
</file>