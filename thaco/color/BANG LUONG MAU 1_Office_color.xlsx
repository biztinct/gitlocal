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E7F84524-D3E7-FB42-9D1A-F707E9BA58F4}" xr6:coauthVersionLast="47" xr6:coauthVersionMax="47" xr10:uidLastSave="{00000000-0000-0000-0000-000000000000}"/>
  <bookViews>
    <workbookView xWindow="38400" yWindow="500" windowWidth="38400" windowHeight="21100" tabRatio="761" xr2:uid="{00000000-000D-0000-FFFF-FFFF00000000}"/>
  </bookViews>
  <sheets>
    <sheet name="Bảng lương CB-NV" sheetId="1" r:id="rId1"/>
    <sheet name="Mô tả Bảng lương CB-NV" sheetId="2" r:id="rId2"/>
    <sheet name="Bảng lương tạm ứng kỳ 1" sheetId="3" r:id="rId3"/>
    <sheet name="Mô tả Bảng lương tạm ứng kỳ 1" sheetId="4" r:id="rId4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 localSheetId="2">BlankMacro1</definedName>
    <definedName name="__XL3" localSheetId="1">BlankMacro1</definedName>
    <definedName name="__XL3" localSheetId="3">BlankMacro1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 localSheetId="2">BlankMacro1</definedName>
    <definedName name="_??????1" localSheetId="1">BlankMacro1</definedName>
    <definedName name="_??????1" localSheetId="3">BlankMacro1</definedName>
    <definedName name="_??????1">BlankMacro1</definedName>
    <definedName name="_??????2" localSheetId="2">BlankMacro1</definedName>
    <definedName name="_??????2" localSheetId="1">BlankMacro1</definedName>
    <definedName name="_??????2" localSheetId="3">BlankMacro1</definedName>
    <definedName name="_??????2">BlankMacro1</definedName>
    <definedName name="_??????3" localSheetId="2">BlankMacro1</definedName>
    <definedName name="_??????3" localSheetId="1">BlankMacro1</definedName>
    <definedName name="_??????3" localSheetId="3">BlankMacro1</definedName>
    <definedName name="_??????3">BlankMacro1</definedName>
    <definedName name="_??????4" localSheetId="2">BlankMacro1</definedName>
    <definedName name="_??????4" localSheetId="1">BlankMacro1</definedName>
    <definedName name="_??????4" localSheetId="3">BlankMacro1</definedName>
    <definedName name="_??????4">BlankMacro1</definedName>
    <definedName name="_??????5" localSheetId="2">BlankMacro1</definedName>
    <definedName name="_??????5" localSheetId="1">BlankMacro1</definedName>
    <definedName name="_??????5" localSheetId="3">BlankMacro1</definedName>
    <definedName name="_??????5">BlankMacro1</definedName>
    <definedName name="_??????6" localSheetId="2">BlankMacro1</definedName>
    <definedName name="_??????6" localSheetId="1">BlankMacro1</definedName>
    <definedName name="_??????6" localSheetId="3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 localSheetId="2">BlankMacro1</definedName>
    <definedName name="_11_??????1" localSheetId="1">BlankMacro1</definedName>
    <definedName name="_11_??????1" localSheetId="3">BlankMacro1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 localSheetId="2">BlankMacro1</definedName>
    <definedName name="_15_??????2" localSheetId="1">BlankMacro1</definedName>
    <definedName name="_15_??????2" localSheetId="3">BlankMacro1</definedName>
    <definedName name="_15_??????2">BlankMacro1</definedName>
    <definedName name="_17_??????">#REF!</definedName>
    <definedName name="_18_?1">#N/A</definedName>
    <definedName name="_19_??????3" localSheetId="2">BlankMacro1</definedName>
    <definedName name="_19_??????3" localSheetId="1">BlankMacro1</definedName>
    <definedName name="_19_??????3" localSheetId="3">BlankMacro1</definedName>
    <definedName name="_19_??????3">BlankMacro1</definedName>
    <definedName name="_19_?271">#N/A</definedName>
    <definedName name="_2">#REF!</definedName>
    <definedName name="_23_??????4" localSheetId="2">BlankMacro1</definedName>
    <definedName name="_23_??????4" localSheetId="1">BlankMacro1</definedName>
    <definedName name="_23_??????4" localSheetId="3">BlankMacro1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 localSheetId="2">BlankMacro1</definedName>
    <definedName name="_27_??????5" localSheetId="1">BlankMacro1</definedName>
    <definedName name="_27_??????5" localSheetId="3">BlankMacro1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 localSheetId="2">BlankMacro1</definedName>
    <definedName name="_31_??????6" localSheetId="1">BlankMacro1</definedName>
    <definedName name="_31_??????6" localSheetId="3">BlankMacro1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 localSheetId="2">BlankMacro1</definedName>
    <definedName name="_7_??" localSheetId="1">BlankMacro1</definedName>
    <definedName name="_7_??" localSheetId="3">BlankMacro1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xlnm._FilterDatabase" localSheetId="0" hidden="1">'Bảng lương CB-NV'!$A$12:$CI$21</definedName>
    <definedName name="_xlnm._FilterDatabase" localSheetId="2" hidden="1">'Bảng lương tạm ứng kỳ 1'!$A$12:$CI$21</definedName>
    <definedName name="_xlnm._FilterDatabase" localSheetId="1" hidden="1">'Mô tả Bảng lương CB-NV'!$A$9:$CI$14</definedName>
    <definedName name="_xlnm._FilterDatabase" localSheetId="3" hidden="1">'Mô tả Bảng lương tạm ứng kỳ 1'!$A$9:$CI$14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 localSheetId="2">BlankMacro1</definedName>
    <definedName name="_XL3" localSheetId="1">BlankMacro1</definedName>
    <definedName name="_XL3" localSheetId="3">BlankMacro1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 localSheetId="2">BlankMacro1</definedName>
    <definedName name="Comm" localSheetId="1">BlankMacro1</definedName>
    <definedName name="Comm" localSheetId="3">BlankMacro1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 localSheetId="2">BlankMacro1</definedName>
    <definedName name="FIT" localSheetId="1">BlankMacro1</definedName>
    <definedName name="FIT" localSheetId="3">BlankMacro1</definedName>
    <definedName name="FIT">BlankMacro1</definedName>
    <definedName name="FITT2" localSheetId="2">BlankMacro1</definedName>
    <definedName name="FITT2" localSheetId="1">BlankMacro1</definedName>
    <definedName name="FITT2" localSheetId="3">BlankMacro1</definedName>
    <definedName name="FITT2">BlankMacro1</definedName>
    <definedName name="FITTING2" localSheetId="2">BlankMacro1</definedName>
    <definedName name="FITTING2" localSheetId="1">BlankMacro1</definedName>
    <definedName name="FITTING2" localSheetId="3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 localSheetId="2">BlankMacro1</definedName>
    <definedName name="FLG" localSheetId="1">BlankMacro1</definedName>
    <definedName name="FLG" localSheetId="3">BlankMacro1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 localSheetId="2">BlankMacro1</definedName>
    <definedName name="PIP" localSheetId="1">BlankMacro1</definedName>
    <definedName name="PIP" localSheetId="3">BlankMacro1</definedName>
    <definedName name="PIP">BlankMacro1</definedName>
    <definedName name="PIPE2" localSheetId="2">BlankMacro1</definedName>
    <definedName name="PIPE2" localSheetId="1">BlankMacro1</definedName>
    <definedName name="PIPE2" localSheetId="3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 localSheetId="2">BlankMacro1</definedName>
    <definedName name="PPP" localSheetId="1">BlankMacro1</definedName>
    <definedName name="PPP" localSheetId="3">BlankMacro1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0">'Bảng lương CB-NV'!$A$1:$BU$24</definedName>
    <definedName name="_xlnm.Print_Area" localSheetId="2">'Bảng lương tạm ứng kỳ 1'!$A$1:$BU$26</definedName>
    <definedName name="_xlnm.Print_Area" localSheetId="1">'Mô tả Bảng lương CB-NV'!$A$1:$BU$14</definedName>
    <definedName name="_xlnm.Print_Area" localSheetId="3">'Mô tả Bảng lương tạm ứng kỳ 1'!$A$1:$BU$14</definedName>
    <definedName name="PRINT_AREA_MI">#REF!</definedName>
    <definedName name="PRINT_AREA_MI1">#REF!</definedName>
    <definedName name="Print_CEM_cc5">#REF!</definedName>
    <definedName name="_xlnm.Print_Titles" localSheetId="0">'Bảng lương CB-NV'!$8:$11</definedName>
    <definedName name="_xlnm.Print_Titles" localSheetId="2">'Bảng lương tạm ứng kỳ 1'!$8:$11</definedName>
    <definedName name="_xlnm.Print_Titles" localSheetId="1">'Mô tả Bảng lương CB-NV'!$5:$8</definedName>
    <definedName name="_xlnm.Print_Titles" localSheetId="3">'Mô tả Bảng lương tạm ứng kỳ 1'!$5:$8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 localSheetId="2">BlankMacro1</definedName>
    <definedName name="TYT" localSheetId="1">BlankMacro1</definedName>
    <definedName name="TYT" localSheetId="3">BlankMacro1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 localSheetId="2">BlankMacro1</definedName>
    <definedName name="unitt" localSheetId="1">BlankMacro1</definedName>
    <definedName name="unitt" localSheetId="3">BlankMacro1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 localSheetId="2">BlankMacro1</definedName>
    <definedName name="ut" localSheetId="1">BlankMacro1</definedName>
    <definedName name="ut" localSheetId="3">BlankMacro1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 localSheetId="2">BlankMacro1</definedName>
    <definedName name="템플리트모듈1" localSheetId="1">BlankMacro1</definedName>
    <definedName name="템플리트모듈1" localSheetId="3">BlankMacro1</definedName>
    <definedName name="템플리트모듈1">BlankMacro1</definedName>
    <definedName name="템플리트모듈2" localSheetId="2">BlankMacro1</definedName>
    <definedName name="템플리트모듈2" localSheetId="1">BlankMacro1</definedName>
    <definedName name="템플리트모듈2" localSheetId="3">BlankMacro1</definedName>
    <definedName name="템플리트모듈2">BlankMacro1</definedName>
    <definedName name="템플리트모듈3" localSheetId="2">BlankMacro1</definedName>
    <definedName name="템플리트모듈3" localSheetId="1">BlankMacro1</definedName>
    <definedName name="템플리트모듈3" localSheetId="3">BlankMacro1</definedName>
    <definedName name="템플리트모듈3">BlankMacro1</definedName>
    <definedName name="템플리트모듈4" localSheetId="2">BlankMacro1</definedName>
    <definedName name="템플리트모듈4" localSheetId="1">BlankMacro1</definedName>
    <definedName name="템플리트모듈4" localSheetId="3">BlankMacro1</definedName>
    <definedName name="템플리트모듈4">BlankMacro1</definedName>
    <definedName name="템플리트모듈5" localSheetId="2">BlankMacro1</definedName>
    <definedName name="템플리트모듈5" localSheetId="1">BlankMacro1</definedName>
    <definedName name="템플리트모듈5" localSheetId="3">BlankMacro1</definedName>
    <definedName name="템플리트모듈5">BlankMacro1</definedName>
    <definedName name="템플리트모듈6" localSheetId="2">BlankMacro1</definedName>
    <definedName name="템플리트모듈6" localSheetId="1">BlankMacro1</definedName>
    <definedName name="템플리트모듈6" localSheetId="3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 localSheetId="2">BlankMacro1</definedName>
    <definedName name="피팅" localSheetId="1">BlankMacro1</definedName>
    <definedName name="피팅" localSheetId="3">BlankMacro1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18" i="4" l="1"/>
  <c r="CC18" i="4"/>
  <c r="CB18" i="4"/>
  <c r="CA18" i="4"/>
  <c r="BZ18" i="4"/>
  <c r="BY18" i="4"/>
  <c r="BX18" i="4"/>
  <c r="BW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18" i="4"/>
  <c r="BP17" i="4"/>
  <c r="BI17" i="4"/>
  <c r="BJ19" i="4" s="1"/>
  <c r="BH17" i="4"/>
  <c r="BE17" i="4"/>
  <c r="BC17" i="4"/>
  <c r="BA17" i="4"/>
  <c r="AZ17" i="4"/>
  <c r="AX17" i="4"/>
  <c r="Y17" i="4"/>
  <c r="AV19" i="4" s="1"/>
  <c r="F17" i="4"/>
  <c r="AO19" i="4" s="1"/>
  <c r="B17" i="4"/>
  <c r="A19" i="4" s="1"/>
  <c r="A17" i="4"/>
  <c r="CA14" i="4"/>
  <c r="CB14" i="4" s="1"/>
  <c r="I14" i="4" s="1"/>
  <c r="BE14" i="4"/>
  <c r="AM14" i="4"/>
  <c r="AK14" i="4"/>
  <c r="AI14" i="4"/>
  <c r="AG14" i="4"/>
  <c r="AE14" i="4"/>
  <c r="AD14" i="4"/>
  <c r="AC14" i="4"/>
  <c r="AB14" i="4"/>
  <c r="AA14" i="4"/>
  <c r="Z14" i="4"/>
  <c r="Y14" i="4"/>
  <c r="H14" i="4"/>
  <c r="AZ14" i="4" s="1"/>
  <c r="F14" i="4"/>
  <c r="A14" i="4"/>
  <c r="CA13" i="4"/>
  <c r="CB13" i="4" s="1"/>
  <c r="BE13" i="4"/>
  <c r="BA13" i="4"/>
  <c r="AY13" i="4"/>
  <c r="AM13" i="4"/>
  <c r="AK13" i="4"/>
  <c r="AI13" i="4"/>
  <c r="AI11" i="4" s="1"/>
  <c r="AG13" i="4"/>
  <c r="AG11" i="4" s="1"/>
  <c r="AF13" i="4"/>
  <c r="AE13" i="4"/>
  <c r="AD13" i="4"/>
  <c r="AC13" i="4"/>
  <c r="AB13" i="4"/>
  <c r="AA13" i="4"/>
  <c r="Z13" i="4"/>
  <c r="Y13" i="4"/>
  <c r="H13" i="4"/>
  <c r="AN13" i="4" s="1"/>
  <c r="F13" i="4"/>
  <c r="A13" i="4"/>
  <c r="CB12" i="4"/>
  <c r="AH12" i="4" s="1"/>
  <c r="BE12" i="4"/>
  <c r="BA12" i="4"/>
  <c r="AZ12" i="4"/>
  <c r="AY12" i="4"/>
  <c r="BB12" i="4" s="1"/>
  <c r="AN12" i="4"/>
  <c r="AM12" i="4"/>
  <c r="AK12" i="4"/>
  <c r="AI12" i="4"/>
  <c r="AG12" i="4"/>
  <c r="AE12" i="4"/>
  <c r="AD12" i="4"/>
  <c r="AD11" i="4" s="1"/>
  <c r="AC12" i="4"/>
  <c r="AB12" i="4"/>
  <c r="AA12" i="4"/>
  <c r="Z12" i="4"/>
  <c r="Y12" i="4"/>
  <c r="H12" i="4"/>
  <c r="F12" i="4"/>
  <c r="AF12" i="4" s="1"/>
  <c r="A12" i="4"/>
  <c r="BU11" i="4"/>
  <c r="BP11" i="4"/>
  <c r="BN11" i="4"/>
  <c r="BM11" i="4"/>
  <c r="BL11" i="4"/>
  <c r="BK11" i="4"/>
  <c r="BE11" i="4"/>
  <c r="BC11" i="4"/>
  <c r="AM11" i="4"/>
  <c r="AL11" i="4"/>
  <c r="AK11" i="4"/>
  <c r="AJ11" i="4"/>
  <c r="AC11" i="4"/>
  <c r="X11" i="4"/>
  <c r="W11" i="4"/>
  <c r="V11" i="4"/>
  <c r="U11" i="4"/>
  <c r="S11" i="4"/>
  <c r="R11" i="4"/>
  <c r="K11" i="4"/>
  <c r="G11" i="4"/>
  <c r="BY9" i="4"/>
  <c r="BZ9" i="4" s="1"/>
  <c r="CA9" i="4" s="1"/>
  <c r="CB9" i="4" s="1"/>
  <c r="CC9" i="4" s="1"/>
  <c r="CD9" i="4" s="1"/>
  <c r="BX9" i="4"/>
  <c r="F9" i="4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AP9" i="4" s="1"/>
  <c r="AQ9" i="4" s="1"/>
  <c r="AR9" i="4" s="1"/>
  <c r="AS9" i="4" s="1"/>
  <c r="AT9" i="4" s="1"/>
  <c r="AU9" i="4" s="1"/>
  <c r="AV9" i="4" s="1"/>
  <c r="AY9" i="4" s="1"/>
  <c r="AZ9" i="4" s="1"/>
  <c r="BA9" i="4" s="1"/>
  <c r="BB9" i="4" s="1"/>
  <c r="BC9" i="4" s="1"/>
  <c r="BD9" i="4" s="1"/>
  <c r="BE9" i="4" s="1"/>
  <c r="BJ9" i="4" s="1"/>
  <c r="BK9" i="4" s="1"/>
  <c r="BL9" i="4" s="1"/>
  <c r="BM9" i="4" s="1"/>
  <c r="BN9" i="4" s="1"/>
  <c r="BP9" i="4" s="1"/>
  <c r="BQ9" i="4" s="1"/>
  <c r="BR9" i="4" s="1"/>
  <c r="BT9" i="4" s="1"/>
  <c r="BU9" i="4" s="1"/>
  <c r="C9" i="4"/>
  <c r="D9" i="4" s="1"/>
  <c r="B9" i="4"/>
  <c r="CA21" i="3"/>
  <c r="CB21" i="3" s="1"/>
  <c r="AH21" i="3" s="1"/>
  <c r="BE21" i="3"/>
  <c r="AN21" i="3"/>
  <c r="AM21" i="3"/>
  <c r="AK21" i="3"/>
  <c r="AK14" i="3" s="1"/>
  <c r="AI21" i="3"/>
  <c r="AG21" i="3"/>
  <c r="AF21" i="3"/>
  <c r="AE21" i="3"/>
  <c r="AD21" i="3"/>
  <c r="AC21" i="3"/>
  <c r="AB21" i="3"/>
  <c r="AA21" i="3"/>
  <c r="Z21" i="3"/>
  <c r="Y21" i="3"/>
  <c r="I21" i="3"/>
  <c r="AO21" i="3" s="1"/>
  <c r="H21" i="3"/>
  <c r="BA21" i="3" s="1"/>
  <c r="A21" i="3"/>
  <c r="CB20" i="3"/>
  <c r="CA20" i="3"/>
  <c r="BE20" i="3"/>
  <c r="AM20" i="3"/>
  <c r="AK20" i="3"/>
  <c r="AI20" i="3"/>
  <c r="AI14" i="3" s="1"/>
  <c r="AG20" i="3"/>
  <c r="AF20" i="3"/>
  <c r="AE20" i="3"/>
  <c r="AD20" i="3"/>
  <c r="AC20" i="3"/>
  <c r="AB20" i="3"/>
  <c r="AA20" i="3"/>
  <c r="Z20" i="3"/>
  <c r="Y20" i="3"/>
  <c r="H20" i="3"/>
  <c r="A20" i="3"/>
  <c r="CB19" i="3"/>
  <c r="CA19" i="3"/>
  <c r="BE19" i="3"/>
  <c r="BA19" i="3"/>
  <c r="AZ19" i="3"/>
  <c r="AY19" i="3"/>
  <c r="BB19" i="3" s="1"/>
  <c r="AN19" i="3"/>
  <c r="AM19" i="3"/>
  <c r="AK19" i="3"/>
  <c r="AI19" i="3"/>
  <c r="AG19" i="3"/>
  <c r="AF19" i="3"/>
  <c r="AE19" i="3"/>
  <c r="AD19" i="3"/>
  <c r="AC19" i="3"/>
  <c r="AB19" i="3"/>
  <c r="AA19" i="3"/>
  <c r="Z19" i="3"/>
  <c r="Y19" i="3"/>
  <c r="H19" i="3"/>
  <c r="A19" i="3"/>
  <c r="CA18" i="3"/>
  <c r="CB18" i="3" s="1"/>
  <c r="AH18" i="3" s="1"/>
  <c r="BE18" i="3"/>
  <c r="AM18" i="3"/>
  <c r="AK18" i="3"/>
  <c r="AI18" i="3"/>
  <c r="AG18" i="3"/>
  <c r="AF18" i="3"/>
  <c r="AE18" i="3"/>
  <c r="AD18" i="3"/>
  <c r="AC18" i="3"/>
  <c r="AB18" i="3"/>
  <c r="AA18" i="3"/>
  <c r="Z18" i="3"/>
  <c r="Y18" i="3"/>
  <c r="H18" i="3"/>
  <c r="BA18" i="3" s="1"/>
  <c r="A18" i="3"/>
  <c r="CB17" i="3"/>
  <c r="CA17" i="3"/>
  <c r="BE17" i="3"/>
  <c r="AM17" i="3"/>
  <c r="AK17" i="3"/>
  <c r="AI17" i="3"/>
  <c r="AG17" i="3"/>
  <c r="AF17" i="3"/>
  <c r="AE17" i="3"/>
  <c r="AD17" i="3"/>
  <c r="AD14" i="3" s="1"/>
  <c r="AC17" i="3"/>
  <c r="AB17" i="3"/>
  <c r="AA17" i="3"/>
  <c r="Z17" i="3"/>
  <c r="Y17" i="3"/>
  <c r="H17" i="3"/>
  <c r="H14" i="3" s="1"/>
  <c r="A17" i="3"/>
  <c r="CB16" i="3"/>
  <c r="CA16" i="3"/>
  <c r="BE16" i="3"/>
  <c r="BA16" i="3"/>
  <c r="AZ16" i="3"/>
  <c r="AY16" i="3"/>
  <c r="AN16" i="3"/>
  <c r="AM16" i="3"/>
  <c r="AK16" i="3"/>
  <c r="AI16" i="3"/>
  <c r="AG16" i="3"/>
  <c r="AF16" i="3"/>
  <c r="AE16" i="3"/>
  <c r="AD16" i="3"/>
  <c r="AC16" i="3"/>
  <c r="AC14" i="3" s="1"/>
  <c r="AB16" i="3"/>
  <c r="AA16" i="3"/>
  <c r="Z16" i="3"/>
  <c r="Y16" i="3"/>
  <c r="H16" i="3"/>
  <c r="A16" i="3"/>
  <c r="CB15" i="3"/>
  <c r="BE15" i="3"/>
  <c r="BE14" i="3" s="1"/>
  <c r="AM15" i="3"/>
  <c r="AK15" i="3"/>
  <c r="AI15" i="3"/>
  <c r="AH15" i="3"/>
  <c r="AG15" i="3"/>
  <c r="AF15" i="3"/>
  <c r="AE15" i="3"/>
  <c r="AD15" i="3"/>
  <c r="AC15" i="3"/>
  <c r="AB15" i="3"/>
  <c r="AA15" i="3"/>
  <c r="Z15" i="3"/>
  <c r="Y15" i="3"/>
  <c r="H15" i="3"/>
  <c r="A15" i="3"/>
  <c r="BU14" i="3"/>
  <c r="BP14" i="3"/>
  <c r="BN14" i="3"/>
  <c r="BM14" i="3"/>
  <c r="BL14" i="3"/>
  <c r="BK14" i="3"/>
  <c r="BC14" i="3"/>
  <c r="AL14" i="3"/>
  <c r="AJ14" i="3"/>
  <c r="AF14" i="3"/>
  <c r="X14" i="3"/>
  <c r="W14" i="3"/>
  <c r="V14" i="3"/>
  <c r="U14" i="3"/>
  <c r="S14" i="3"/>
  <c r="R14" i="3"/>
  <c r="K14" i="3"/>
  <c r="G14" i="3"/>
  <c r="BY12" i="3"/>
  <c r="BZ12" i="3" s="1"/>
  <c r="CA12" i="3" s="1"/>
  <c r="CB12" i="3" s="1"/>
  <c r="CC12" i="3" s="1"/>
  <c r="CD12" i="3" s="1"/>
  <c r="BX12" i="3"/>
  <c r="C12" i="3"/>
  <c r="D12" i="3" s="1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AK12" i="3" s="1"/>
  <c r="AL12" i="3" s="1"/>
  <c r="AM12" i="3" s="1"/>
  <c r="AN12" i="3" s="1"/>
  <c r="AO12" i="3" s="1"/>
  <c r="AP12" i="3" s="1"/>
  <c r="AQ12" i="3" s="1"/>
  <c r="AR12" i="3" s="1"/>
  <c r="AS12" i="3" s="1"/>
  <c r="AT12" i="3" s="1"/>
  <c r="AU12" i="3" s="1"/>
  <c r="AV12" i="3" s="1"/>
  <c r="AY12" i="3" s="1"/>
  <c r="AZ12" i="3" s="1"/>
  <c r="BA12" i="3" s="1"/>
  <c r="BB12" i="3" s="1"/>
  <c r="BC12" i="3" s="1"/>
  <c r="BD12" i="3" s="1"/>
  <c r="BE12" i="3" s="1"/>
  <c r="BJ12" i="3" s="1"/>
  <c r="BK12" i="3" s="1"/>
  <c r="BL12" i="3" s="1"/>
  <c r="BM12" i="3" s="1"/>
  <c r="BN12" i="3" s="1"/>
  <c r="BP12" i="3" s="1"/>
  <c r="BQ12" i="3" s="1"/>
  <c r="BR12" i="3" s="1"/>
  <c r="BT12" i="3" s="1"/>
  <c r="BU12" i="3" s="1"/>
  <c r="B12" i="3"/>
  <c r="BU19" i="2"/>
  <c r="CD18" i="2"/>
  <c r="CC18" i="2"/>
  <c r="CB18" i="2"/>
  <c r="CA18" i="2"/>
  <c r="BZ18" i="2"/>
  <c r="BY18" i="2"/>
  <c r="BX18" i="2"/>
  <c r="BW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BR17" i="2"/>
  <c r="BQ17" i="2"/>
  <c r="BK17" i="2"/>
  <c r="BH17" i="2"/>
  <c r="BE17" i="2"/>
  <c r="BC17" i="2"/>
  <c r="BA17" i="2"/>
  <c r="AZ17" i="2"/>
  <c r="AY17" i="2"/>
  <c r="BB19" i="2" s="1"/>
  <c r="AX17" i="2"/>
  <c r="Y17" i="2"/>
  <c r="AV19" i="2" s="1"/>
  <c r="B17" i="2"/>
  <c r="BT12" i="2" s="1"/>
  <c r="A17" i="2"/>
  <c r="CA14" i="2"/>
  <c r="CB14" i="2" s="1"/>
  <c r="BJ14" i="2"/>
  <c r="BE14" i="2"/>
  <c r="BA14" i="2"/>
  <c r="AX14" i="2"/>
  <c r="AM14" i="2"/>
  <c r="AM11" i="2" s="1"/>
  <c r="AK14" i="2"/>
  <c r="AI14" i="2"/>
  <c r="AH14" i="2"/>
  <c r="AG14" i="2"/>
  <c r="AF14" i="2"/>
  <c r="AE14" i="2"/>
  <c r="AD14" i="2"/>
  <c r="AC14" i="2"/>
  <c r="AB14" i="2"/>
  <c r="AA14" i="2"/>
  <c r="Z14" i="2"/>
  <c r="Y14" i="2"/>
  <c r="H14" i="2"/>
  <c r="A14" i="2"/>
  <c r="CA13" i="2"/>
  <c r="CB13" i="2" s="1"/>
  <c r="BJ13" i="2"/>
  <c r="BE13" i="2"/>
  <c r="AY13" i="2"/>
  <c r="AX13" i="2"/>
  <c r="AZ13" i="2" s="1"/>
  <c r="AM13" i="2"/>
  <c r="AK13" i="2"/>
  <c r="AI13" i="2"/>
  <c r="AI11" i="2" s="1"/>
  <c r="AG13" i="2"/>
  <c r="AF13" i="2"/>
  <c r="AE13" i="2"/>
  <c r="AD13" i="2"/>
  <c r="AD11" i="2" s="1"/>
  <c r="AC13" i="2"/>
  <c r="AB13" i="2"/>
  <c r="AA13" i="2"/>
  <c r="Z13" i="2"/>
  <c r="Y13" i="2"/>
  <c r="H13" i="2"/>
  <c r="A13" i="2"/>
  <c r="CB12" i="2"/>
  <c r="BJ12" i="2"/>
  <c r="BE12" i="2"/>
  <c r="BE11" i="2" s="1"/>
  <c r="AX12" i="2"/>
  <c r="AZ12" i="2" s="1"/>
  <c r="AN12" i="2"/>
  <c r="AM12" i="2"/>
  <c r="AK12" i="2"/>
  <c r="AI12" i="2"/>
  <c r="AG12" i="2"/>
  <c r="AG11" i="2" s="1"/>
  <c r="AF12" i="2"/>
  <c r="AE12" i="2"/>
  <c r="AD12" i="2"/>
  <c r="AC12" i="2"/>
  <c r="AC11" i="2" s="1"/>
  <c r="AB12" i="2"/>
  <c r="AA12" i="2"/>
  <c r="Z12" i="2"/>
  <c r="Y12" i="2"/>
  <c r="H12" i="2"/>
  <c r="A12" i="2"/>
  <c r="BQ11" i="2"/>
  <c r="BP11" i="2"/>
  <c r="BO11" i="2"/>
  <c r="BN11" i="2"/>
  <c r="BM11" i="2"/>
  <c r="BC11" i="2"/>
  <c r="AL11" i="2"/>
  <c r="AK11" i="2"/>
  <c r="AJ11" i="2"/>
  <c r="Y11" i="2"/>
  <c r="X11" i="2"/>
  <c r="W11" i="2"/>
  <c r="V11" i="2"/>
  <c r="U11" i="2"/>
  <c r="S11" i="2"/>
  <c r="R11" i="2"/>
  <c r="K11" i="2"/>
  <c r="G11" i="2"/>
  <c r="BY9" i="2"/>
  <c r="BZ9" i="2" s="1"/>
  <c r="CA9" i="2" s="1"/>
  <c r="CB9" i="2" s="1"/>
  <c r="CC9" i="2" s="1"/>
  <c r="CD9" i="2" s="1"/>
  <c r="BX9" i="2"/>
  <c r="G9" i="2"/>
  <c r="H9" i="2" s="1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Y9" i="2" s="1"/>
  <c r="AZ9" i="2" s="1"/>
  <c r="BA9" i="2" s="1"/>
  <c r="BB9" i="2" s="1"/>
  <c r="BC9" i="2" s="1"/>
  <c r="BD9" i="2" s="1"/>
  <c r="BE9" i="2" s="1"/>
  <c r="BL9" i="2" s="1"/>
  <c r="BM9" i="2" s="1"/>
  <c r="BN9" i="2" s="1"/>
  <c r="BO9" i="2" s="1"/>
  <c r="BP9" i="2" s="1"/>
  <c r="BQ9" i="2" s="1"/>
  <c r="BR9" i="2" s="1"/>
  <c r="BS9" i="2" s="1"/>
  <c r="BT9" i="2" s="1"/>
  <c r="BU9" i="2" s="1"/>
  <c r="C9" i="2"/>
  <c r="D9" i="2" s="1"/>
  <c r="F9" i="2" s="1"/>
  <c r="B9" i="2"/>
  <c r="BT13" i="2" s="1"/>
  <c r="CA21" i="1"/>
  <c r="CB21" i="1" s="1"/>
  <c r="AH21" i="1" s="1"/>
  <c r="BJ21" i="1"/>
  <c r="BE21" i="1"/>
  <c r="AX21" i="1"/>
  <c r="BA21" i="1" s="1"/>
  <c r="AM21" i="1"/>
  <c r="AK21" i="1"/>
  <c r="AI21" i="1"/>
  <c r="AG21" i="1"/>
  <c r="AF21" i="1"/>
  <c r="AE21" i="1"/>
  <c r="AD21" i="1"/>
  <c r="AC21" i="1"/>
  <c r="AB21" i="1"/>
  <c r="AA21" i="1"/>
  <c r="Z21" i="1"/>
  <c r="Y21" i="1"/>
  <c r="H21" i="1"/>
  <c r="AN21" i="1" s="1"/>
  <c r="A21" i="1"/>
  <c r="CB20" i="1"/>
  <c r="AH20" i="1" s="1"/>
  <c r="CA20" i="1"/>
  <c r="BJ20" i="1"/>
  <c r="BE20" i="1"/>
  <c r="AX20" i="1"/>
  <c r="BA20" i="1" s="1"/>
  <c r="AM20" i="1"/>
  <c r="AK20" i="1"/>
  <c r="AI20" i="1"/>
  <c r="AG20" i="1"/>
  <c r="AE20" i="1"/>
  <c r="AD20" i="1"/>
  <c r="AC20" i="1"/>
  <c r="AB20" i="1"/>
  <c r="AA20" i="1"/>
  <c r="Z20" i="1"/>
  <c r="Y20" i="1"/>
  <c r="H20" i="1"/>
  <c r="AN20" i="1" s="1"/>
  <c r="A20" i="1"/>
  <c r="CB19" i="1"/>
  <c r="CA19" i="1"/>
  <c r="BJ19" i="1"/>
  <c r="BE19" i="1"/>
  <c r="AX19" i="1"/>
  <c r="AM19" i="1"/>
  <c r="AK19" i="1"/>
  <c r="AI19" i="1"/>
  <c r="AH19" i="1"/>
  <c r="AG19" i="1"/>
  <c r="AE19" i="1"/>
  <c r="AD19" i="1"/>
  <c r="AC19" i="1"/>
  <c r="AB19" i="1"/>
  <c r="AA19" i="1"/>
  <c r="Z19" i="1"/>
  <c r="Y19" i="1"/>
  <c r="H19" i="1"/>
  <c r="I19" i="1" s="1"/>
  <c r="A19" i="1"/>
  <c r="CA18" i="1"/>
  <c r="CB18" i="1" s="1"/>
  <c r="BJ18" i="1"/>
  <c r="BE18" i="1"/>
  <c r="AZ18" i="1"/>
  <c r="AX18" i="1"/>
  <c r="BA18" i="1" s="1"/>
  <c r="AM18" i="1"/>
  <c r="AK18" i="1"/>
  <c r="AI18" i="1"/>
  <c r="AG18" i="1"/>
  <c r="AF18" i="1"/>
  <c r="AE18" i="1"/>
  <c r="AD18" i="1"/>
  <c r="AC18" i="1"/>
  <c r="AB18" i="1"/>
  <c r="AA18" i="1"/>
  <c r="Z18" i="1"/>
  <c r="Y18" i="1"/>
  <c r="H18" i="1"/>
  <c r="AN18" i="1" s="1"/>
  <c r="A18" i="1"/>
  <c r="CA17" i="1"/>
  <c r="CB17" i="1" s="1"/>
  <c r="BJ17" i="1"/>
  <c r="BE17" i="1"/>
  <c r="BE14" i="1" s="1"/>
  <c r="AX17" i="1"/>
  <c r="AM17" i="1"/>
  <c r="AK17" i="1"/>
  <c r="AI17" i="1"/>
  <c r="AG17" i="1"/>
  <c r="AF17" i="1"/>
  <c r="AE17" i="1"/>
  <c r="AD17" i="1"/>
  <c r="AC17" i="1"/>
  <c r="AB17" i="1"/>
  <c r="AA17" i="1"/>
  <c r="Z17" i="1"/>
  <c r="Y17" i="1"/>
  <c r="H17" i="1"/>
  <c r="AN17" i="1" s="1"/>
  <c r="A17" i="1"/>
  <c r="CA16" i="1"/>
  <c r="CB16" i="1" s="1"/>
  <c r="BJ16" i="1"/>
  <c r="BE16" i="1"/>
  <c r="AX16" i="1"/>
  <c r="AM16" i="1"/>
  <c r="AK16" i="1"/>
  <c r="AI16" i="1"/>
  <c r="AG16" i="1"/>
  <c r="AE16" i="1"/>
  <c r="AD16" i="1"/>
  <c r="AC16" i="1"/>
  <c r="AB16" i="1"/>
  <c r="AA16" i="1"/>
  <c r="Z16" i="1"/>
  <c r="Y16" i="1"/>
  <c r="H16" i="1"/>
  <c r="AF16" i="1" s="1"/>
  <c r="A16" i="1"/>
  <c r="CB15" i="1"/>
  <c r="BJ15" i="1"/>
  <c r="BE15" i="1"/>
  <c r="AM15" i="1"/>
  <c r="AK15" i="1"/>
  <c r="AI15" i="1"/>
  <c r="AH15" i="1"/>
  <c r="AG15" i="1"/>
  <c r="AG14" i="1" s="1"/>
  <c r="AE15" i="1"/>
  <c r="AD15" i="1"/>
  <c r="AC15" i="1"/>
  <c r="AB15" i="1"/>
  <c r="AA15" i="1"/>
  <c r="Z15" i="1"/>
  <c r="Y15" i="1"/>
  <c r="H15" i="1"/>
  <c r="AN15" i="1" s="1"/>
  <c r="A15" i="1"/>
  <c r="BQ14" i="1"/>
  <c r="BP14" i="1"/>
  <c r="BO14" i="1"/>
  <c r="BN14" i="1"/>
  <c r="BM14" i="1"/>
  <c r="BC14" i="1"/>
  <c r="AL14" i="1"/>
  <c r="AJ14" i="1"/>
  <c r="X14" i="1"/>
  <c r="W14" i="1"/>
  <c r="V14" i="1"/>
  <c r="U14" i="1"/>
  <c r="S14" i="1"/>
  <c r="R14" i="1"/>
  <c r="Q14" i="1"/>
  <c r="P14" i="1"/>
  <c r="O14" i="1"/>
  <c r="N14" i="1"/>
  <c r="M14" i="1"/>
  <c r="L14" i="1"/>
  <c r="K14" i="1"/>
  <c r="G14" i="1"/>
  <c r="CA12" i="1"/>
  <c r="CB12" i="1" s="1"/>
  <c r="CC12" i="1" s="1"/>
  <c r="CD12" i="1" s="1"/>
  <c r="BX12" i="1"/>
  <c r="BY12" i="1" s="1"/>
  <c r="BZ12" i="1" s="1"/>
  <c r="B12" i="1"/>
  <c r="I17" i="1" l="1"/>
  <c r="AH17" i="1"/>
  <c r="AY21" i="1"/>
  <c r="AZ21" i="1"/>
  <c r="AN16" i="1"/>
  <c r="AN14" i="1" s="1"/>
  <c r="AK14" i="1"/>
  <c r="AZ16" i="1"/>
  <c r="AI14" i="1"/>
  <c r="AN19" i="1"/>
  <c r="AV19" i="1" s="1"/>
  <c r="AZ19" i="1"/>
  <c r="AY18" i="1"/>
  <c r="BB18" i="1" s="1"/>
  <c r="BA19" i="1"/>
  <c r="AY17" i="1"/>
  <c r="I21" i="1"/>
  <c r="AO21" i="1" s="1"/>
  <c r="AV21" i="1" s="1"/>
  <c r="BA17" i="1"/>
  <c r="AF19" i="1"/>
  <c r="AO19" i="1" s="1"/>
  <c r="AV19" i="3"/>
  <c r="I18" i="1"/>
  <c r="AO18" i="1" s="1"/>
  <c r="AV18" i="1" s="1"/>
  <c r="BF18" i="1" s="1"/>
  <c r="AH18" i="1"/>
  <c r="I13" i="4"/>
  <c r="AH13" i="4"/>
  <c r="BT16" i="1"/>
  <c r="BF21" i="1"/>
  <c r="BG21" i="1" s="1"/>
  <c r="I19" i="3"/>
  <c r="AO19" i="3" s="1"/>
  <c r="AH19" i="3"/>
  <c r="C12" i="1"/>
  <c r="D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Y12" i="1" s="1"/>
  <c r="AZ12" i="1" s="1"/>
  <c r="BA12" i="1" s="1"/>
  <c r="BB12" i="1" s="1"/>
  <c r="BC12" i="1" s="1"/>
  <c r="BD12" i="1" s="1"/>
  <c r="BE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I15" i="1"/>
  <c r="AY12" i="2"/>
  <c r="BA13" i="2"/>
  <c r="BB13" i="2" s="1"/>
  <c r="I17" i="3"/>
  <c r="AO17" i="3" s="1"/>
  <c r="AH17" i="3"/>
  <c r="AV21" i="3"/>
  <c r="AN20" i="3"/>
  <c r="BA20" i="3"/>
  <c r="AM14" i="1"/>
  <c r="AF15" i="1"/>
  <c r="AY15" i="1"/>
  <c r="BA15" i="1"/>
  <c r="AZ15" i="1"/>
  <c r="H14" i="1"/>
  <c r="AO17" i="1"/>
  <c r="AV17" i="1" s="1"/>
  <c r="AY20" i="3"/>
  <c r="I16" i="1"/>
  <c r="AH16" i="1"/>
  <c r="AH14" i="1" s="1"/>
  <c r="BF19" i="3"/>
  <c r="I16" i="3"/>
  <c r="AH16" i="3"/>
  <c r="AH14" i="3" s="1"/>
  <c r="I18" i="3"/>
  <c r="AZ20" i="3"/>
  <c r="AF11" i="2"/>
  <c r="AG14" i="3"/>
  <c r="AN17" i="3"/>
  <c r="BA17" i="3"/>
  <c r="Y14" i="1"/>
  <c r="I13" i="2"/>
  <c r="AO13" i="2" s="1"/>
  <c r="AH13" i="2"/>
  <c r="I14" i="2"/>
  <c r="AO14" i="2" s="1"/>
  <c r="BA15" i="3"/>
  <c r="AZ15" i="3"/>
  <c r="AY15" i="3"/>
  <c r="AY17" i="3"/>
  <c r="BB17" i="3" s="1"/>
  <c r="AH14" i="4"/>
  <c r="AH11" i="4" s="1"/>
  <c r="AY16" i="1"/>
  <c r="AC14" i="1"/>
  <c r="BA16" i="1"/>
  <c r="AZ17" i="1"/>
  <c r="BB17" i="1" s="1"/>
  <c r="I12" i="2"/>
  <c r="AH12" i="2"/>
  <c r="AH11" i="2" s="1"/>
  <c r="I15" i="3"/>
  <c r="AZ17" i="3"/>
  <c r="BA12" i="2"/>
  <c r="AD14" i="1"/>
  <c r="AZ14" i="2"/>
  <c r="AZ11" i="2" s="1"/>
  <c r="AY14" i="2"/>
  <c r="Y14" i="3"/>
  <c r="AM14" i="3"/>
  <c r="BB16" i="3"/>
  <c r="AV17" i="3"/>
  <c r="I20" i="3"/>
  <c r="AH20" i="3"/>
  <c r="I12" i="4"/>
  <c r="AO13" i="4"/>
  <c r="AV13" i="4" s="1"/>
  <c r="AF14" i="4"/>
  <c r="AF20" i="1"/>
  <c r="I20" i="1"/>
  <c r="H11" i="2"/>
  <c r="AN13" i="2"/>
  <c r="AN11" i="2" s="1"/>
  <c r="AV14" i="2"/>
  <c r="AN15" i="3"/>
  <c r="Y11" i="4"/>
  <c r="BA14" i="4"/>
  <c r="BA11" i="4" s="1"/>
  <c r="AZ13" i="4"/>
  <c r="AZ11" i="4" s="1"/>
  <c r="AN18" i="3"/>
  <c r="AN14" i="4"/>
  <c r="AN11" i="4" s="1"/>
  <c r="AY20" i="1"/>
  <c r="BT14" i="2"/>
  <c r="BT11" i="2" s="1"/>
  <c r="AY18" i="3"/>
  <c r="AY21" i="3"/>
  <c r="H11" i="4"/>
  <c r="AZ20" i="1"/>
  <c r="AZ18" i="3"/>
  <c r="AZ21" i="3"/>
  <c r="AY19" i="1"/>
  <c r="BB19" i="1" s="1"/>
  <c r="AO19" i="2"/>
  <c r="AY14" i="4"/>
  <c r="AY11" i="4" s="1"/>
  <c r="AZ14" i="1" l="1"/>
  <c r="BB21" i="1"/>
  <c r="BK21" i="1" s="1"/>
  <c r="BL21" i="1" s="1"/>
  <c r="AF14" i="1"/>
  <c r="AV15" i="3"/>
  <c r="BF17" i="1"/>
  <c r="BG17" i="1" s="1"/>
  <c r="BK17" i="1" s="1"/>
  <c r="BL17" i="1" s="1"/>
  <c r="BS21" i="3"/>
  <c r="BT21" i="3"/>
  <c r="AO14" i="4"/>
  <c r="AV14" i="4" s="1"/>
  <c r="BF19" i="1"/>
  <c r="BG19" i="1" s="1"/>
  <c r="BK19" i="1" s="1"/>
  <c r="BL19" i="1" s="1"/>
  <c r="BG13" i="4"/>
  <c r="BI13" i="4" s="1"/>
  <c r="BJ13" i="4" s="1"/>
  <c r="BS13" i="4"/>
  <c r="BT13" i="4" s="1"/>
  <c r="BF13" i="4"/>
  <c r="BG19" i="3"/>
  <c r="BI19" i="3" s="1"/>
  <c r="BJ19" i="3" s="1"/>
  <c r="BS19" i="3"/>
  <c r="BT19" i="3" s="1"/>
  <c r="BA11" i="2"/>
  <c r="AO16" i="3"/>
  <c r="AV16" i="3" s="1"/>
  <c r="BB21" i="3"/>
  <c r="BB12" i="2"/>
  <c r="AY11" i="2"/>
  <c r="BB18" i="3"/>
  <c r="AY14" i="3"/>
  <c r="BB15" i="3"/>
  <c r="BB14" i="3" s="1"/>
  <c r="AO15" i="3"/>
  <c r="I14" i="3"/>
  <c r="AZ14" i="3"/>
  <c r="AO16" i="1"/>
  <c r="AV16" i="1" s="1"/>
  <c r="BB16" i="1"/>
  <c r="BG18" i="1"/>
  <c r="BK18" i="1" s="1"/>
  <c r="BL18" i="1" s="1"/>
  <c r="I11" i="4"/>
  <c r="AO12" i="4"/>
  <c r="BA14" i="1"/>
  <c r="AN14" i="3"/>
  <c r="AO15" i="1"/>
  <c r="I14" i="1"/>
  <c r="BA14" i="3"/>
  <c r="AO18" i="3"/>
  <c r="AV18" i="3" s="1"/>
  <c r="BB15" i="1"/>
  <c r="AY14" i="1"/>
  <c r="AO20" i="3"/>
  <c r="AV20" i="3" s="1"/>
  <c r="AF11" i="4"/>
  <c r="BF14" i="2"/>
  <c r="BG14" i="2" s="1"/>
  <c r="BK14" i="2" s="1"/>
  <c r="BL14" i="2" s="1"/>
  <c r="BB20" i="1"/>
  <c r="AO20" i="1"/>
  <c r="AV20" i="1" s="1"/>
  <c r="BB14" i="2"/>
  <c r="BU14" i="2" s="1"/>
  <c r="I11" i="2"/>
  <c r="AO12" i="2"/>
  <c r="BB13" i="4"/>
  <c r="BT17" i="3"/>
  <c r="BS17" i="3"/>
  <c r="BF17" i="3"/>
  <c r="BG17" i="3" s="1"/>
  <c r="BI17" i="3" s="1"/>
  <c r="BJ17" i="3" s="1"/>
  <c r="BB14" i="4"/>
  <c r="BB20" i="3"/>
  <c r="AV13" i="2"/>
  <c r="BF21" i="3"/>
  <c r="BG21" i="3" s="1"/>
  <c r="BI21" i="3" s="1"/>
  <c r="BJ21" i="3" s="1"/>
  <c r="BS14" i="4" l="1"/>
  <c r="BT14" i="4" s="1"/>
  <c r="BF14" i="4"/>
  <c r="BG14" i="4" s="1"/>
  <c r="BI14" i="4" s="1"/>
  <c r="BJ14" i="4" s="1"/>
  <c r="BS18" i="3"/>
  <c r="BT18" i="3"/>
  <c r="BF18" i="3"/>
  <c r="BG18" i="3" s="1"/>
  <c r="BI18" i="3" s="1"/>
  <c r="BJ18" i="3" s="1"/>
  <c r="BF20" i="1"/>
  <c r="BG20" i="1" s="1"/>
  <c r="BK20" i="1" s="1"/>
  <c r="BL20" i="1" s="1"/>
  <c r="BT16" i="3"/>
  <c r="BS16" i="3"/>
  <c r="BF16" i="3"/>
  <c r="BG16" i="3" s="1"/>
  <c r="BI16" i="3" s="1"/>
  <c r="BJ16" i="3" s="1"/>
  <c r="BB11" i="4"/>
  <c r="BB14" i="1"/>
  <c r="BG16" i="1"/>
  <c r="BK16" i="1" s="1"/>
  <c r="BL16" i="1" s="1"/>
  <c r="BU16" i="1" s="1"/>
  <c r="BF16" i="1"/>
  <c r="BT21" i="1"/>
  <c r="BU21" i="1" s="1"/>
  <c r="BT19" i="1"/>
  <c r="BU19" i="1" s="1"/>
  <c r="AO11" i="2"/>
  <c r="AV12" i="2"/>
  <c r="AO14" i="3"/>
  <c r="AO14" i="1"/>
  <c r="AV14" i="3"/>
  <c r="BS15" i="3"/>
  <c r="BT15" i="3" s="1"/>
  <c r="BF15" i="3"/>
  <c r="BG15" i="3" s="1"/>
  <c r="BI15" i="3" s="1"/>
  <c r="BJ15" i="3" s="1"/>
  <c r="AO11" i="4"/>
  <c r="AV12" i="4"/>
  <c r="BB11" i="2"/>
  <c r="AV15" i="1"/>
  <c r="BF13" i="2"/>
  <c r="BG13" i="2" s="1"/>
  <c r="BK13" i="2" s="1"/>
  <c r="BL13" i="2" s="1"/>
  <c r="BU13" i="2" s="1"/>
  <c r="BT20" i="3"/>
  <c r="BS20" i="3"/>
  <c r="BF20" i="3"/>
  <c r="BG20" i="3" s="1"/>
  <c r="BI20" i="3" s="1"/>
  <c r="BJ20" i="3" s="1"/>
  <c r="BJ14" i="3" l="1"/>
  <c r="BT14" i="3"/>
  <c r="BT17" i="1"/>
  <c r="BU17" i="1" s="1"/>
  <c r="BT15" i="1"/>
  <c r="BS12" i="4"/>
  <c r="AV11" i="4"/>
  <c r="BT12" i="4"/>
  <c r="BT11" i="4" s="1"/>
  <c r="BF12" i="4"/>
  <c r="BG12" i="4" s="1"/>
  <c r="BI12" i="4" s="1"/>
  <c r="BJ12" i="4" s="1"/>
  <c r="BJ11" i="4" s="1"/>
  <c r="BG12" i="2"/>
  <c r="BK12" i="2" s="1"/>
  <c r="BL12" i="2" s="1"/>
  <c r="BL11" i="2" s="1"/>
  <c r="AV11" i="2"/>
  <c r="BF12" i="2"/>
  <c r="BT20" i="1"/>
  <c r="BU20" i="1" s="1"/>
  <c r="BT18" i="1"/>
  <c r="BU18" i="1" s="1"/>
  <c r="AV14" i="1"/>
  <c r="BF15" i="1"/>
  <c r="BG15" i="1" s="1"/>
  <c r="BK15" i="1" s="1"/>
  <c r="BL15" i="1" s="1"/>
  <c r="BL14" i="1" l="1"/>
  <c r="BU15" i="1"/>
  <c r="BU14" i="1" s="1"/>
  <c r="BT14" i="1"/>
  <c r="BU12" i="2"/>
  <c r="BU1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E8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F8" authorId="1" shapeId="0" xr:uid="{00000000-0006-0000-00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
</t>
        </r>
        <r>
          <rPr>
            <sz val="11"/>
            <color rgb="FF000000"/>
            <rFont val="Calibri"/>
            <family val="2"/>
          </rPr>
          <t xml:space="preserve">Reply:
</t>
        </r>
        <r>
          <rPr>
            <sz val="11"/>
            <color rgb="FF000000"/>
            <rFont val="Calibri"/>
            <family val="2"/>
          </rPr>
          <t xml:space="preserve">    LT: Lương Tháng
</t>
        </r>
        <r>
          <rPr>
            <sz val="11"/>
            <color rgb="FF000000"/>
            <rFont val="Calibri"/>
            <family val="2"/>
          </rPr>
          <t xml:space="preserve">LN: Lương ngày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tc={3B7FFEF4-AE63-4DFB-B536-7BAA2BEE4A14}</author>
    <author>tc={F2CA1CEE-0407-4ECB-B543-A94DFE1E09BB}</author>
  </authors>
  <commentList>
    <comment ref="E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TV: Thử việc
CT: Chính thức</t>
        </r>
      </text>
    </comment>
    <comment ref="F5" authorId="1" shapeId="0" xr:uid="{00000000-0006-0000-01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</t>
        </r>
      </text>
    </comment>
  </commentList>
</comments>
</file>

<file path=xl/sharedStrings.xml><?xml version="1.0" encoding="utf-8"?>
<sst xmlns="http://schemas.openxmlformats.org/spreadsheetml/2006/main" count="714" uniqueCount="162">
  <si>
    <t>COMPANY …..............</t>
  </si>
  <si>
    <t>DC:…………..</t>
  </si>
  <si>
    <t>SALARY STATISTICS</t>
  </si>
  <si>
    <t>Actual work day month</t>
  </si>
  <si>
    <t>TT</t>
  </si>
  <si>
    <t>MSNV</t>
  </si>
  <si>
    <t>Full name</t>
  </si>
  <si>
    <t>Unit</t>
  </si>
  <si>
    <t>Type of labor contract</t>
  </si>
  <si>
    <t>Subjects are counted as working overtime</t>
  </si>
  <si>
    <t>Labor contract salary</t>
  </si>
  <si>
    <t>Allowances (fire protection, safety)</t>
  </si>
  <si>
    <t>HQCV Bonus norms</t>
  </si>
  <si>
    <t>Percentage of HQCV bonus advance</t>
  </si>
  <si>
    <t>Workdays in the month</t>
  </si>
  <si>
    <t>Amounts received during the month</t>
  </si>
  <si>
    <t>Receiving salary</t>
  </si>
  <si>
    <t>Salary collection</t>
  </si>
  <si>
    <t>Rice support</t>
  </si>
  <si>
    <t>Housing Support</t>
  </si>
  <si>
    <t>Annual bonus</t>
  </si>
  <si>
    <t>Payment of unused annual leave</t>
  </si>
  <si>
    <t>Total income</t>
  </si>
  <si>
    <t>Other taxable income</t>
  </si>
  <si>
    <t>Tham gia BHXH</t>
  </si>
  <si>
    <t>Deductions</t>
  </si>
  <si>
    <t>Tax finalization</t>
  </si>
  <si>
    <t>Realization part 1</t>
  </si>
  <si>
    <t>Real acceptance part 2</t>
  </si>
  <si>
    <t>Salary quota</t>
  </si>
  <si>
    <t>Benefits</t>
  </si>
  <si>
    <t>Total salary and other PC payments</t>
  </si>
  <si>
    <t>Is a dispatcher, fire protection officer, and AT-VSV</t>
  </si>
  <si>
    <t>Level of health compensation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</si>
  <si>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</si>
  <si>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</si>
  <si>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</si>
  <si>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</si>
  <si>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</si>
  <si>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</si>
  <si>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</si>
  <si>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</si>
  <si>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</si>
  <si>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</si>
  <si>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</si>
  <si>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Date of work stoppage in the month</t>
  </si>
  <si>
    <t>PHSK work day</t>
  </si>
  <si>
    <t>Lương
Ngày thường</t>
  </si>
  <si>
    <t>Salary for vacation days</t>
  </si>
  <si>
    <t>Salary for days off</t>
  </si>
  <si>
    <t>Holiday pay</t>
  </si>
  <si>
    <t>Salary Overtime on weekdays</t>
  </si>
  <si>
    <t>Overtime pay on holidays</t>
  </si>
  <si>
    <t>Overtime pay on Holidays/New Year</t>
  </si>
  <si>
    <t>Night allowance salary</t>
  </si>
  <si>
    <t>Salary female leave HK</t>
  </si>
  <si>
    <t>Salary for work on Saturdays is off</t>
  </si>
  <si>
    <t>Salary for days of temporary suspension</t>
  </si>
  <si>
    <t>Salary on duty to support security</t>
  </si>
  <si>
    <t>Working allowances</t>
  </si>
  <si>
    <t>Annual leave from work</t>
  </si>
  <si>
    <t>Nursing care training</t>
  </si>
  <si>
    <t>Fire protection allowance (DT, DP), Safety and sanitation allowance</t>
  </si>
  <si>
    <t>Advance payment of HQCV bonus</t>
  </si>
  <si>
    <t>Other fees/collections</t>
  </si>
  <si>
    <t>Truy thu theo QTT</t>
  </si>
  <si>
    <t>Refund according to QTT</t>
  </si>
  <si>
    <t>BHXH</t>
  </si>
  <si>
    <t>BHYT</t>
  </si>
  <si>
    <t>BHTN</t>
  </si>
  <si>
    <t>TOTAL social insurance</t>
  </si>
  <si>
    <t>Truy thu BHXH</t>
  </si>
  <si>
    <t>Refund of social insurance</t>
  </si>
  <si>
    <t>Phí 
công đoàn</t>
  </si>
  <si>
    <t>Tax-free income</t>
  </si>
  <si>
    <t>Taxable income</t>
  </si>
  <si>
    <t>NPT</t>
  </si>
  <si>
    <t>NPT deduction</t>
  </si>
  <si>
    <t>Personal deductions</t>
  </si>
  <si>
    <t>TNTT</t>
  </si>
  <si>
    <t>Personal income tax</t>
  </si>
  <si>
    <t>Collect advance payment</t>
  </si>
  <si>
    <t>Collect money for the Investment Company on behalf of the Reserve...,</t>
  </si>
  <si>
    <t>Excessive phone bill collection</t>
  </si>
  <si>
    <t>Funeral money</t>
  </si>
  <si>
    <t>…..............</t>
  </si>
  <si>
    <t>First 14 days</t>
  </si>
  <si>
    <t>From the 15th onwards</t>
  </si>
  <si>
    <t>8%</t>
  </si>
  <si>
    <t>1.5%</t>
  </si>
  <si>
    <t>1%</t>
  </si>
  <si>
    <t>PC title</t>
  </si>
  <si>
    <t>PC concurrently</t>
  </si>
  <si>
    <t>PC Seconded</t>
  </si>
  <si>
    <t>PC seniority</t>
  </si>
  <si>
    <t>65</t>
  </si>
  <si>
    <t>IN</t>
  </si>
  <si>
    <t>To Thanh Liem</t>
  </si>
  <si>
    <t>Accounting department</t>
  </si>
  <si>
    <t>CT</t>
  </si>
  <si>
    <t>LT</t>
  </si>
  <si>
    <t>x</t>
  </si>
  <si>
    <t>Nguyen Thanh An</t>
  </si>
  <si>
    <t>Human Resources Department</t>
  </si>
  <si>
    <t>2504023</t>
  </si>
  <si>
    <t>Nguyen Huu Tho</t>
  </si>
  <si>
    <t>Finance Department</t>
  </si>
  <si>
    <t>Truong Thi Thu Hien</t>
  </si>
  <si>
    <t>2305991</t>
  </si>
  <si>
    <t>Vo Thi Tu Trinh</t>
  </si>
  <si>
    <t>Administrative Department</t>
  </si>
  <si>
    <t>LN</t>
  </si>
  <si>
    <t>Nguyen Ngoc Thuy Tien</t>
  </si>
  <si>
    <t>TV</t>
  </si>
  <si>
    <t>Fire Department</t>
  </si>
  <si>
    <t>2006324</t>
  </si>
  <si>
    <t>Nguyen Hong Nhung</t>
  </si>
  <si>
    <t>Digital Transformation Department</t>
  </si>
  <si>
    <t>AT-VSV</t>
  </si>
  <si>
    <t/>
  </si>
  <si>
    <t>Nguyen Van A</t>
  </si>
  <si>
    <t>Ban…</t>
  </si>
  <si>
    <t>Fire prevention team</t>
  </si>
  <si>
    <t>Nguyen Van C</t>
  </si>
  <si>
    <t>789123</t>
  </si>
  <si>
    <t>Nguyen Thi B</t>
  </si>
  <si>
    <t>Numerical order</t>
  </si>
  <si>
    <t>Mã số nhân viên
Lấy từ phần mềm HRM</t>
  </si>
  <si>
    <t>Tên nhân viên
Lấy từ phần mềm HRM</t>
  </si>
  <si>
    <t>Phòng ban trực thuộc của nhân viên
Lấy từ phần mềm HRM</t>
  </si>
  <si>
    <t>Loại hợp đồng hiệu lực mới nhất của nhân viên
Lấy từ phần mềm HRM</t>
  </si>
  <si>
    <t>LT: Đối tượng hưởng lương tháng
LN: Đối tượng hưởng lương ngày</t>
  </si>
  <si>
    <t>Mức lương hợp đồng hiệu lực mới nhất của nhân viên
Lấy từ phần mềm HRM</t>
  </si>
  <si>
    <t>Import, default is 100%</t>
  </si>
  <si>
    <t>Số ngày công đi làm thực tế trong tháng
Lấy từ phần mềm chấm công</t>
  </si>
  <si>
    <t>Số ngày đi công tác trong tháng
Lấy từ phần mềm chấm công</t>
  </si>
  <si>
    <t>Số ngày nghỉ phép năm trong tháng
Lấy từ phần mềm Chấm công</t>
  </si>
  <si>
    <t>Số ngày nghỉ Lễ trong tháng
Lấy từ phần mềm Chấm công</t>
  </si>
  <si>
    <t>Số giờ tăng ca (loại tăng ca ngày thường) trong tháng
Lấy từ phần mềm Chấm công</t>
  </si>
  <si>
    <t>Số giờ tăng ca (loại tăng ca ngày CN) trong tháng
Lấy từ phần mềm Chấm công</t>
  </si>
  <si>
    <t>Số giờ tăng ca (loại tăng ca ngày Lễ) trong tháng
Lấy từ phần mềm Chấm công</t>
  </si>
  <si>
    <t>Block</t>
  </si>
  <si>
    <t>LN/LT</t>
  </si>
  <si>
    <t>Salary advance rate</t>
  </si>
  <si>
    <t>Sunday salary</t>
  </si>
  <si>
    <t>Phí 
công đoàn
(Lương HĐLĐ *1%)</t>
  </si>
  <si>
    <t>Food money</t>
  </si>
  <si>
    <t>s</t>
  </si>
  <si>
    <t>QTNV</t>
  </si>
  <si>
    <t>SXLR</t>
  </si>
  <si>
    <t>Officer and Employee Payroll</t>
  </si>
  <si>
    <t>Formula Reference</t>
  </si>
  <si>
    <t>Salary Advance Sheet - Period 1</t>
  </si>
  <si>
    <t>Description of Salary Advance Sheet - Period 1</t>
  </si>
  <si>
    <t>Salary Weekday</t>
  </si>
  <si>
    <t>A</t>
  </si>
  <si>
    <t>B</t>
  </si>
  <si>
    <t>C</t>
  </si>
  <si>
    <t>C1</t>
  </si>
  <si>
    <t>C2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</si>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</sst>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  <numFmt numFmtId="167" formatCode="_-* #,##0.0_-;\-* #,##0.0_-;_-* &quot;-&quot;??_-;_-@_-"/>
  </numFmts>
  <fonts count="7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9"/>
      <color theme="1"/>
      <name val="Times New Roman"/>
      <family val="1"/>
    </font>
    <font>
      <b/>
      <sz val="10"/>
      <name val="Times New Roman"/>
      <family val="1"/>
    </font>
    <font>
      <b/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9"/>
      <color theme="0"/>
      <name val="Times New Roman"/>
      <family val="1"/>
    </font>
    <font>
      <b/>
      <u/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11"/>
      <name val="Times New Roman"/>
      <family val="1"/>
    </font>
    <font>
      <b/>
      <sz val="26"/>
      <color theme="1"/>
      <name val="Times New Roman"/>
      <family val="1"/>
    </font>
    <font>
      <sz val="11"/>
      <color theme="1"/>
      <name val="Times New Roman"/>
      <family val="1"/>
    </font>
    <font>
      <b/>
      <sz val="24"/>
      <color theme="1"/>
      <name val="Times New Roman"/>
      <family val="1"/>
    </font>
    <font>
      <b/>
      <sz val="8"/>
      <color rgb="FFFF0000"/>
      <name val="Times New Roman"/>
      <family val="1"/>
    </font>
    <font>
      <sz val="11"/>
      <color theme="0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  <font>
      <i/>
      <sz val="8"/>
      <color theme="1"/>
      <name val="Times New Roman"/>
      <family val="1"/>
    </font>
    <font>
      <b/>
      <sz val="9"/>
      <name val="Times New Roman"/>
      <family val="1"/>
    </font>
    <font>
      <sz val="11.5"/>
      <color theme="1"/>
      <name val="Times New Roman"/>
      <family val="1"/>
    </font>
    <font>
      <b/>
      <sz val="11.5"/>
      <color theme="1"/>
      <name val="Times New Roman"/>
      <family val="1"/>
    </font>
    <font>
      <b/>
      <sz val="7"/>
      <name val="Times New Roman"/>
      <family val="1"/>
    </font>
    <font>
      <b/>
      <sz val="7.5"/>
      <name val="Times New Roman"/>
      <family val="1"/>
    </font>
    <font>
      <sz val="10"/>
      <color theme="1"/>
      <name val="Times New Roman"/>
      <family val="1"/>
    </font>
    <font>
      <b/>
      <sz val="8"/>
      <color theme="0"/>
      <name val="Times New Roman"/>
      <family val="1"/>
    </font>
    <font>
      <sz val="11.5"/>
      <color rgb="FFFF0000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Calibri"/>
      <family val="2"/>
      <scheme val="minor"/>
    </font>
    <font>
      <i/>
      <sz val="11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0"/>
      <color rgb="FF0000FF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8"/>
      <color theme="1"/>
      <name val="Times New Roman"/>
      <family val="1"/>
    </font>
    <font>
      <b/>
      <u/>
      <sz val="8"/>
      <color theme="1"/>
      <name val="Times New Roman"/>
      <family val="1"/>
    </font>
    <font>
      <b/>
      <sz val="8"/>
      <color rgb="FF0000FF"/>
      <name val="Times New Roman"/>
      <family val="1"/>
    </font>
    <font>
      <sz val="8"/>
      <color rgb="FFFF0000"/>
      <name val="Times New Roman"/>
      <family val="1"/>
    </font>
    <font>
      <sz val="8"/>
      <color theme="0"/>
      <name val="Times New Roman"/>
      <family val="1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3"/>
      <color rgb="FF3B3B3B"/>
      <name val="Arial"/>
      <family val="2"/>
    </font>
    <font>
      <b/>
      <sz val="22"/>
      <color theme="1"/>
      <name val="Times New Roman"/>
      <family val="1"/>
    </font>
    <font>
      <sz val="18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sz val="22"/>
      <name val="Arial"/>
      <family val="2"/>
    </font>
    <font>
      <i/>
      <sz val="11"/>
      <name val="Times New Roman"/>
      <family val="1"/>
    </font>
    <font>
      <sz val="19"/>
      <name val="Times New Roman"/>
      <family val="1"/>
    </font>
    <font>
      <sz val="12"/>
      <name val="Times New Roman"/>
      <family val="1"/>
    </font>
    <font>
      <u/>
      <sz val="14"/>
      <name val="Times New Roman"/>
      <family val="1"/>
    </font>
    <font>
      <u/>
      <sz val="12"/>
      <name val="Times New Roman"/>
      <family val="1"/>
    </font>
    <font>
      <sz val="9"/>
      <name val="Times New Roman"/>
      <family val="1"/>
    </font>
    <font>
      <sz val="24"/>
      <name val="Times New Roman"/>
      <family val="1"/>
    </font>
    <font>
      <sz val="26"/>
      <name val="Times New Roman"/>
      <family val="1"/>
    </font>
    <font>
      <sz val="7"/>
      <name val="Times New Roman"/>
      <family val="1"/>
    </font>
    <font>
      <sz val="11"/>
      <color rgb="FF00B0F0"/>
      <name val="Times New Roman"/>
      <family val="1"/>
    </font>
    <font>
      <sz val="8"/>
      <color rgb="FF00B0F0"/>
      <name val="Times New Roman"/>
      <family val="1"/>
    </font>
    <font>
      <i/>
      <sz val="24"/>
      <name val="Times New Roman"/>
      <family val="1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45" fillId="0" borderId="0"/>
    <xf numFmtId="0" fontId="45" fillId="0" borderId="0"/>
    <xf numFmtId="9" fontId="45" fillId="0" borderId="0"/>
  </cellStyleXfs>
  <cellXfs count="456">
    <xf numFmtId="0" fontId="0" fillId="0" borderId="0" xfId="0"/>
    <xf numFmtId="164" fontId="4" fillId="0" borderId="0" xfId="1" applyNumberFormat="1" applyFont="1" applyAlignment="1">
      <alignment horizontal="center" vertical="center"/>
    </xf>
    <xf numFmtId="0" fontId="5" fillId="0" borderId="0" xfId="3" applyFont="1" applyAlignment="1">
      <alignment horizontal="left" vertical="center"/>
    </xf>
    <xf numFmtId="164" fontId="4" fillId="0" borderId="0" xfId="1" applyNumberFormat="1" applyFont="1" applyAlignment="1">
      <alignment vertical="center"/>
    </xf>
    <xf numFmtId="0" fontId="3" fillId="0" borderId="0" xfId="3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7" fillId="0" borderId="0" xfId="1" applyNumberFormat="1" applyFont="1" applyAlignment="1">
      <alignment vertical="center" wrapText="1"/>
    </xf>
    <xf numFmtId="165" fontId="6" fillId="0" borderId="0" xfId="1" applyFont="1" applyAlignment="1">
      <alignment vertical="center"/>
    </xf>
    <xf numFmtId="164" fontId="8" fillId="0" borderId="0" xfId="1" applyNumberFormat="1" applyFont="1" applyAlignment="1">
      <alignment vertical="center"/>
    </xf>
    <xf numFmtId="164" fontId="9" fillId="0" borderId="0" xfId="1" applyNumberFormat="1" applyFont="1" applyAlignment="1">
      <alignment vertical="center"/>
    </xf>
    <xf numFmtId="0" fontId="9" fillId="0" borderId="0" xfId="3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164" fontId="13" fillId="0" borderId="0" xfId="1" applyNumberFormat="1" applyFont="1" applyAlignment="1">
      <alignment vertical="center"/>
    </xf>
    <xf numFmtId="0" fontId="14" fillId="0" borderId="0" xfId="3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3" applyFont="1" applyAlignment="1">
      <alignment horizontal="center" vertical="center"/>
    </xf>
    <xf numFmtId="0" fontId="4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65" fontId="17" fillId="0" borderId="0" xfId="1" applyFont="1" applyAlignment="1">
      <alignment vertical="center"/>
    </xf>
    <xf numFmtId="164" fontId="15" fillId="0" borderId="0" xfId="0" applyNumberFormat="1" applyFont="1" applyAlignment="1">
      <alignment vertical="center"/>
    </xf>
    <xf numFmtId="0" fontId="20" fillId="0" borderId="0" xfId="3" applyFont="1" applyAlignment="1">
      <alignment horizontal="center" vertical="center"/>
    </xf>
    <xf numFmtId="164" fontId="20" fillId="0" borderId="0" xfId="1" applyNumberFormat="1" applyFont="1" applyAlignment="1">
      <alignment horizontal="center" vertical="center" wrapText="1"/>
    </xf>
    <xf numFmtId="164" fontId="21" fillId="0" borderId="0" xfId="1" applyNumberFormat="1" applyFont="1" applyAlignment="1">
      <alignment horizontal="center" vertical="center" wrapText="1"/>
    </xf>
    <xf numFmtId="165" fontId="20" fillId="0" borderId="0" xfId="1" applyFont="1" applyAlignment="1">
      <alignment horizontal="center" vertical="center"/>
    </xf>
    <xf numFmtId="165" fontId="20" fillId="0" borderId="0" xfId="1" applyFont="1" applyAlignment="1">
      <alignment horizontal="center" vertical="center" wrapText="1"/>
    </xf>
    <xf numFmtId="164" fontId="20" fillId="0" borderId="0" xfId="1" applyNumberFormat="1" applyFont="1" applyAlignment="1">
      <alignment horizontal="center" vertical="center"/>
    </xf>
    <xf numFmtId="164" fontId="25" fillId="0" borderId="0" xfId="0" applyNumberFormat="1" applyFont="1" applyAlignment="1">
      <alignment horizontal="left" vertical="center" shrinkToFit="1"/>
    </xf>
    <xf numFmtId="164" fontId="26" fillId="0" borderId="0" xfId="0" applyNumberFormat="1" applyFont="1" applyAlignment="1">
      <alignment horizontal="left" vertical="center" shrinkToFit="1"/>
    </xf>
    <xf numFmtId="0" fontId="11" fillId="0" borderId="0" xfId="0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0" fillId="0" borderId="9" xfId="3" applyFont="1" applyBorder="1" applyAlignment="1">
      <alignment horizontal="center" vertical="center" shrinkToFit="1"/>
    </xf>
    <xf numFmtId="49" fontId="18" fillId="0" borderId="9" xfId="1" applyNumberFormat="1" applyFont="1" applyBorder="1" applyAlignment="1">
      <alignment horizontal="center" vertical="center" shrinkToFit="1"/>
    </xf>
    <xf numFmtId="0" fontId="11" fillId="0" borderId="0" xfId="0" applyFont="1" applyAlignment="1">
      <alignment horizontal="center" shrinkToFit="1"/>
    </xf>
    <xf numFmtId="14" fontId="31" fillId="0" borderId="0" xfId="2" applyNumberFormat="1" applyFont="1" applyAlignment="1">
      <alignment horizontal="left" vertical="center" shrinkToFit="1"/>
    </xf>
    <xf numFmtId="0" fontId="19" fillId="0" borderId="0" xfId="0" applyFont="1"/>
    <xf numFmtId="0" fontId="32" fillId="0" borderId="0" xfId="0" applyFont="1"/>
    <xf numFmtId="0" fontId="32" fillId="0" borderId="0" xfId="0" applyFont="1" applyAlignment="1">
      <alignment horizontal="center"/>
    </xf>
    <xf numFmtId="0" fontId="33" fillId="0" borderId="0" xfId="0" applyFont="1"/>
    <xf numFmtId="166" fontId="32" fillId="0" borderId="0" xfId="1" applyNumberFormat="1" applyFont="1" applyAlignment="1">
      <alignment horizontal="center"/>
    </xf>
    <xf numFmtId="165" fontId="32" fillId="0" borderId="0" xfId="1" applyFont="1" applyAlignment="1">
      <alignment horizontal="center"/>
    </xf>
    <xf numFmtId="165" fontId="34" fillId="0" borderId="0" xfId="1" applyFont="1"/>
    <xf numFmtId="0" fontId="34" fillId="0" borderId="0" xfId="0" applyFont="1"/>
    <xf numFmtId="165" fontId="34" fillId="0" borderId="0" xfId="0" applyNumberFormat="1" applyFont="1"/>
    <xf numFmtId="0" fontId="35" fillId="0" borderId="8" xfId="0" applyFont="1" applyBorder="1" applyAlignment="1">
      <alignment horizontal="center"/>
    </xf>
    <xf numFmtId="14" fontId="32" fillId="0" borderId="0" xfId="0" applyNumberFormat="1" applyFont="1"/>
    <xf numFmtId="164" fontId="32" fillId="0" borderId="0" xfId="1" applyNumberFormat="1" applyFont="1"/>
    <xf numFmtId="0" fontId="36" fillId="0" borderId="0" xfId="0" applyFont="1"/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/>
    <xf numFmtId="166" fontId="37" fillId="0" borderId="0" xfId="1" applyNumberFormat="1" applyFont="1" applyAlignment="1">
      <alignment horizontal="center"/>
    </xf>
    <xf numFmtId="166" fontId="36" fillId="0" borderId="0" xfId="1" applyNumberFormat="1" applyFont="1" applyAlignment="1">
      <alignment horizontal="center"/>
    </xf>
    <xf numFmtId="165" fontId="36" fillId="0" borderId="0" xfId="1" applyFont="1" applyAlignment="1">
      <alignment horizontal="center"/>
    </xf>
    <xf numFmtId="0" fontId="37" fillId="0" borderId="0" xfId="0" applyFont="1"/>
    <xf numFmtId="164" fontId="36" fillId="0" borderId="0" xfId="0" applyNumberFormat="1" applyFont="1"/>
    <xf numFmtId="14" fontId="36" fillId="0" borderId="0" xfId="0" applyNumberFormat="1" applyFont="1"/>
    <xf numFmtId="164" fontId="36" fillId="0" borderId="0" xfId="1" applyNumberFormat="1" applyFont="1"/>
    <xf numFmtId="49" fontId="36" fillId="0" borderId="0" xfId="0" applyNumberFormat="1" applyFont="1" applyAlignment="1">
      <alignment horizontal="center"/>
    </xf>
    <xf numFmtId="165" fontId="37" fillId="0" borderId="0" xfId="1" applyFont="1"/>
    <xf numFmtId="0" fontId="19" fillId="0" borderId="0" xfId="0" applyFont="1" applyAlignment="1">
      <alignment horizontal="center"/>
    </xf>
    <xf numFmtId="165" fontId="16" fillId="0" borderId="0" xfId="1" applyFont="1" applyAlignment="1">
      <alignment horizontal="center"/>
    </xf>
    <xf numFmtId="164" fontId="16" fillId="0" borderId="0" xfId="1" applyNumberFormat="1" applyFont="1"/>
    <xf numFmtId="164" fontId="19" fillId="0" borderId="0" xfId="1" applyNumberFormat="1" applyFont="1"/>
    <xf numFmtId="165" fontId="19" fillId="0" borderId="0" xfId="1" applyFont="1"/>
    <xf numFmtId="49" fontId="19" fillId="0" borderId="0" xfId="1" applyNumberFormat="1" applyFont="1" applyAlignment="1">
      <alignment horizontal="center"/>
    </xf>
    <xf numFmtId="164" fontId="19" fillId="0" borderId="0" xfId="1" applyNumberFormat="1" applyFont="1" applyAlignment="1">
      <alignment wrapText="1"/>
    </xf>
    <xf numFmtId="164" fontId="16" fillId="0" borderId="0" xfId="1" applyNumberFormat="1" applyFont="1" applyAlignment="1">
      <alignment horizontal="center"/>
    </xf>
    <xf numFmtId="164" fontId="39" fillId="0" borderId="0" xfId="1" applyNumberFormat="1" applyFont="1" applyAlignment="1">
      <alignment horizontal="center"/>
    </xf>
    <xf numFmtId="0" fontId="0" fillId="0" borderId="0" xfId="0" applyAlignment="1">
      <alignment vertical="center"/>
    </xf>
    <xf numFmtId="0" fontId="17" fillId="0" borderId="0" xfId="0" applyFont="1" applyAlignment="1">
      <alignment horizontal="center" vertical="center"/>
    </xf>
    <xf numFmtId="9" fontId="8" fillId="2" borderId="12" xfId="2" applyFont="1" applyFill="1" applyBorder="1" applyAlignment="1">
      <alignment horizontal="center" vertical="center" wrapText="1"/>
    </xf>
    <xf numFmtId="164" fontId="8" fillId="2" borderId="12" xfId="1" applyNumberFormat="1" applyFont="1" applyFill="1" applyBorder="1" applyAlignment="1">
      <alignment horizontal="center" vertical="center" wrapText="1"/>
    </xf>
    <xf numFmtId="0" fontId="10" fillId="0" borderId="0" xfId="3" applyFont="1" applyAlignment="1">
      <alignment horizontal="left" vertical="center"/>
    </xf>
    <xf numFmtId="0" fontId="40" fillId="0" borderId="0" xfId="3" applyFont="1" applyAlignment="1">
      <alignment horizontal="left" vertical="center"/>
    </xf>
    <xf numFmtId="49" fontId="8" fillId="0" borderId="9" xfId="1" applyNumberFormat="1" applyFont="1" applyBorder="1" applyAlignment="1">
      <alignment horizontal="center" vertical="center" shrinkToFit="1"/>
    </xf>
    <xf numFmtId="0" fontId="13" fillId="0" borderId="0" xfId="0" applyFont="1" applyAlignment="1">
      <alignment horizontal="center" shrinkToFit="1"/>
    </xf>
    <xf numFmtId="0" fontId="13" fillId="0" borderId="0" xfId="0" applyFont="1" applyAlignment="1">
      <alignment horizontal="center"/>
    </xf>
    <xf numFmtId="0" fontId="18" fillId="0" borderId="9" xfId="3" applyFont="1" applyBorder="1" applyAlignment="1">
      <alignment horizontal="center" vertical="center" shrinkToFit="1"/>
    </xf>
    <xf numFmtId="0" fontId="41" fillId="0" borderId="17" xfId="3" applyFont="1" applyBorder="1" applyAlignment="1">
      <alignment horizontal="center" vertical="center"/>
    </xf>
    <xf numFmtId="164" fontId="41" fillId="0" borderId="17" xfId="1" applyNumberFormat="1" applyFont="1" applyBorder="1" applyAlignment="1">
      <alignment horizontal="left" vertical="center"/>
    </xf>
    <xf numFmtId="0" fontId="41" fillId="0" borderId="17" xfId="0" applyFont="1" applyBorder="1" applyAlignment="1">
      <alignment horizontal="left" vertical="center"/>
    </xf>
    <xf numFmtId="167" fontId="41" fillId="0" borderId="17" xfId="1" applyNumberFormat="1" applyFont="1" applyBorder="1" applyAlignment="1">
      <alignment horizontal="left" vertical="center"/>
    </xf>
    <xf numFmtId="164" fontId="29" fillId="0" borderId="12" xfId="1" applyNumberFormat="1" applyFont="1" applyBorder="1" applyAlignment="1">
      <alignment horizontal="left" vertical="center"/>
    </xf>
    <xf numFmtId="164" fontId="29" fillId="0" borderId="1" xfId="1" applyNumberFormat="1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29" fillId="0" borderId="17" xfId="3" applyFont="1" applyBorder="1" applyAlignment="1">
      <alignment horizontal="center" vertical="center"/>
    </xf>
    <xf numFmtId="0" fontId="29" fillId="0" borderId="1" xfId="0" quotePrefix="1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29" fillId="0" borderId="17" xfId="0" applyFont="1" applyBorder="1" applyAlignment="1">
      <alignment horizontal="left" vertical="center"/>
    </xf>
    <xf numFmtId="164" fontId="29" fillId="0" borderId="17" xfId="1" applyNumberFormat="1" applyFont="1" applyBorder="1" applyAlignment="1">
      <alignment horizontal="left" vertical="center"/>
    </xf>
    <xf numFmtId="9" fontId="42" fillId="0" borderId="17" xfId="1" applyNumberFormat="1" applyFont="1" applyBorder="1" applyAlignment="1">
      <alignment horizontal="center" vertical="center"/>
    </xf>
    <xf numFmtId="165" fontId="29" fillId="0" borderId="17" xfId="1" applyFont="1" applyBorder="1" applyAlignment="1">
      <alignment horizontal="left" vertical="center"/>
    </xf>
    <xf numFmtId="164" fontId="42" fillId="0" borderId="17" xfId="1" applyNumberFormat="1" applyFont="1" applyBorder="1" applyAlignment="1">
      <alignment horizontal="left" vertical="center"/>
    </xf>
    <xf numFmtId="164" fontId="43" fillId="0" borderId="0" xfId="2" applyNumberFormat="1" applyFont="1" applyAlignment="1">
      <alignment horizontal="left" vertical="center"/>
    </xf>
    <xf numFmtId="14" fontId="43" fillId="0" borderId="0" xfId="2" applyNumberFormat="1" applyFont="1" applyAlignment="1">
      <alignment horizontal="left" vertical="center"/>
    </xf>
    <xf numFmtId="164" fontId="29" fillId="0" borderId="0" xfId="0" applyNumberFormat="1" applyFont="1" applyAlignment="1">
      <alignment horizontal="left" vertical="center"/>
    </xf>
    <xf numFmtId="164" fontId="44" fillId="0" borderId="0" xfId="0" applyNumberFormat="1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49" fontId="29" fillId="0" borderId="1" xfId="0" applyNumberFormat="1" applyFont="1" applyBorder="1" applyAlignment="1">
      <alignment horizontal="center" vertical="center"/>
    </xf>
    <xf numFmtId="164" fontId="22" fillId="3" borderId="1" xfId="1" applyNumberFormat="1" applyFont="1" applyFill="1" applyBorder="1" applyAlignment="1">
      <alignment horizontal="center" vertical="center" wrapText="1"/>
    </xf>
    <xf numFmtId="49" fontId="22" fillId="3" borderId="1" xfId="1" applyNumberFormat="1" applyFont="1" applyFill="1" applyBorder="1" applyAlignment="1">
      <alignment horizontal="center" vertical="center" wrapText="1"/>
    </xf>
    <xf numFmtId="49" fontId="8" fillId="0" borderId="10" xfId="1" applyNumberFormat="1" applyFont="1" applyBorder="1" applyAlignment="1">
      <alignment horizontal="center" vertical="center" shrinkToFit="1"/>
    </xf>
    <xf numFmtId="164" fontId="41" fillId="0" borderId="19" xfId="1" applyNumberFormat="1" applyFont="1" applyBorder="1" applyAlignment="1">
      <alignment horizontal="left" vertical="center"/>
    </xf>
    <xf numFmtId="164" fontId="29" fillId="0" borderId="4" xfId="1" applyNumberFormat="1" applyFont="1" applyBorder="1" applyAlignment="1">
      <alignment horizontal="left" vertical="center"/>
    </xf>
    <xf numFmtId="49" fontId="18" fillId="0" borderId="11" xfId="1" applyNumberFormat="1" applyFont="1" applyBorder="1" applyAlignment="1">
      <alignment horizontal="center" vertical="center" shrinkToFit="1"/>
    </xf>
    <xf numFmtId="49" fontId="8" fillId="0" borderId="11" xfId="1" applyNumberFormat="1" applyFont="1" applyBorder="1" applyAlignment="1">
      <alignment horizontal="center" vertical="center" shrinkToFit="1"/>
    </xf>
    <xf numFmtId="164" fontId="29" fillId="0" borderId="21" xfId="1" applyNumberFormat="1" applyFont="1" applyBorder="1" applyAlignment="1">
      <alignment horizontal="left" vertical="center"/>
    </xf>
    <xf numFmtId="164" fontId="6" fillId="5" borderId="0" xfId="1" applyNumberFormat="1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vertical="center"/>
    </xf>
    <xf numFmtId="0" fontId="17" fillId="5" borderId="0" xfId="0" applyFont="1" applyFill="1" applyAlignment="1">
      <alignment vertical="center"/>
    </xf>
    <xf numFmtId="0" fontId="20" fillId="5" borderId="0" xfId="3" applyFont="1" applyFill="1" applyAlignment="1">
      <alignment horizontal="center" vertical="center"/>
    </xf>
    <xf numFmtId="164" fontId="22" fillId="5" borderId="0" xfId="1" applyNumberFormat="1" applyFont="1" applyFill="1" applyAlignment="1">
      <alignment horizontal="center" vertical="center" wrapText="1"/>
    </xf>
    <xf numFmtId="49" fontId="18" fillId="5" borderId="0" xfId="1" applyNumberFormat="1" applyFont="1" applyFill="1" applyAlignment="1">
      <alignment horizontal="center" vertical="center" shrinkToFit="1"/>
    </xf>
    <xf numFmtId="49" fontId="8" fillId="5" borderId="0" xfId="1" applyNumberFormat="1" applyFont="1" applyFill="1" applyAlignment="1">
      <alignment horizontal="center" vertical="center" shrinkToFit="1"/>
    </xf>
    <xf numFmtId="164" fontId="41" fillId="5" borderId="0" xfId="1" applyNumberFormat="1" applyFont="1" applyFill="1" applyAlignment="1">
      <alignment horizontal="left" vertical="center"/>
    </xf>
    <xf numFmtId="164" fontId="29" fillId="5" borderId="0" xfId="1" applyNumberFormat="1" applyFont="1" applyFill="1" applyAlignment="1">
      <alignment horizontal="left" vertical="center"/>
    </xf>
    <xf numFmtId="0" fontId="35" fillId="5" borderId="0" xfId="0" applyFont="1" applyFill="1" applyAlignment="1">
      <alignment horizontal="center"/>
    </xf>
    <xf numFmtId="0" fontId="37" fillId="5" borderId="0" xfId="0" applyFont="1" applyFill="1" applyAlignment="1">
      <alignment horizontal="center"/>
    </xf>
    <xf numFmtId="0" fontId="36" fillId="5" borderId="0" xfId="0" applyFont="1" applyFill="1"/>
    <xf numFmtId="164" fontId="16" fillId="5" borderId="0" xfId="1" applyNumberFormat="1" applyFont="1" applyFill="1"/>
    <xf numFmtId="0" fontId="29" fillId="0" borderId="17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8" fillId="0" borderId="0" xfId="3" applyFont="1" applyAlignment="1">
      <alignment horizontal="left" vertical="center"/>
    </xf>
    <xf numFmtId="164" fontId="8" fillId="0" borderId="0" xfId="1" applyNumberFormat="1" applyFont="1" applyAlignment="1">
      <alignment horizontal="center" vertical="center"/>
    </xf>
    <xf numFmtId="0" fontId="46" fillId="0" borderId="0" xfId="3" applyFont="1" applyAlignment="1">
      <alignment vertical="center"/>
    </xf>
    <xf numFmtId="164" fontId="22" fillId="0" borderId="0" xfId="1" applyNumberFormat="1" applyFont="1" applyAlignment="1">
      <alignment vertical="center" wrapText="1"/>
    </xf>
    <xf numFmtId="165" fontId="8" fillId="0" borderId="0" xfId="1" applyFont="1" applyAlignment="1">
      <alignment vertical="center"/>
    </xf>
    <xf numFmtId="0" fontId="8" fillId="0" borderId="0" xfId="3" applyFont="1" applyAlignment="1">
      <alignment horizontal="center" vertical="center"/>
    </xf>
    <xf numFmtId="0" fontId="47" fillId="0" borderId="0" xfId="3" applyFont="1" applyAlignment="1">
      <alignment horizontal="left" vertical="center"/>
    </xf>
    <xf numFmtId="0" fontId="47" fillId="0" borderId="0" xfId="3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6" fillId="0" borderId="0" xfId="3" applyFont="1" applyAlignment="1">
      <alignment horizontal="center" vertical="center"/>
    </xf>
    <xf numFmtId="0" fontId="8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164" fontId="46" fillId="0" borderId="0" xfId="0" applyNumberFormat="1" applyFont="1" applyAlignment="1">
      <alignment horizontal="left" vertical="center" shrinkToFit="1"/>
    </xf>
    <xf numFmtId="164" fontId="8" fillId="0" borderId="0" xfId="0" applyNumberFormat="1" applyFont="1" applyAlignment="1">
      <alignment horizontal="left" vertical="center" shrinkToFit="1"/>
    </xf>
    <xf numFmtId="0" fontId="30" fillId="0" borderId="0" xfId="0" applyFont="1" applyAlignment="1">
      <alignment horizontal="center"/>
    </xf>
    <xf numFmtId="0" fontId="46" fillId="2" borderId="1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shrinkToFit="1"/>
    </xf>
    <xf numFmtId="0" fontId="8" fillId="0" borderId="0" xfId="0" applyFont="1" applyAlignment="1">
      <alignment horizontal="center" shrinkToFit="1"/>
    </xf>
    <xf numFmtId="0" fontId="8" fillId="0" borderId="0" xfId="0" applyFont="1" applyAlignment="1">
      <alignment horizontal="center"/>
    </xf>
    <xf numFmtId="0" fontId="48" fillId="0" borderId="17" xfId="3" applyFont="1" applyBorder="1" applyAlignment="1">
      <alignment horizontal="center" vertical="center"/>
    </xf>
    <xf numFmtId="164" fontId="48" fillId="0" borderId="17" xfId="1" applyNumberFormat="1" applyFont="1" applyBorder="1" applyAlignment="1">
      <alignment horizontal="left" vertical="center"/>
    </xf>
    <xf numFmtId="0" fontId="48" fillId="0" borderId="17" xfId="0" applyFont="1" applyBorder="1" applyAlignment="1">
      <alignment horizontal="left" vertical="center"/>
    </xf>
    <xf numFmtId="167" fontId="48" fillId="0" borderId="17" xfId="1" applyNumberFormat="1" applyFont="1" applyBorder="1" applyAlignment="1">
      <alignment horizontal="left" vertical="center"/>
    </xf>
    <xf numFmtId="167" fontId="48" fillId="2" borderId="17" xfId="1" applyNumberFormat="1" applyFont="1" applyFill="1" applyBorder="1" applyAlignment="1">
      <alignment horizontal="left" vertical="center"/>
    </xf>
    <xf numFmtId="164" fontId="48" fillId="0" borderId="19" xfId="1" applyNumberFormat="1" applyFont="1" applyBorder="1" applyAlignment="1">
      <alignment horizontal="left" vertical="center"/>
    </xf>
    <xf numFmtId="164" fontId="46" fillId="0" borderId="21" xfId="1" applyNumberFormat="1" applyFont="1" applyBorder="1" applyAlignment="1">
      <alignment horizontal="left" vertical="center"/>
    </xf>
    <xf numFmtId="164" fontId="46" fillId="0" borderId="12" xfId="1" applyNumberFormat="1" applyFont="1" applyBorder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46" fillId="0" borderId="17" xfId="3" applyFont="1" applyBorder="1" applyAlignment="1">
      <alignment horizontal="center" vertical="center"/>
    </xf>
    <xf numFmtId="0" fontId="46" fillId="0" borderId="1" xfId="0" quotePrefix="1" applyFont="1" applyBorder="1" applyAlignment="1">
      <alignment horizontal="center" vertical="center"/>
    </xf>
    <xf numFmtId="0" fontId="46" fillId="0" borderId="1" xfId="0" applyFont="1" applyBorder="1" applyAlignment="1">
      <alignment horizontal="left" vertical="center"/>
    </xf>
    <xf numFmtId="0" fontId="46" fillId="0" borderId="17" xfId="0" applyFont="1" applyBorder="1" applyAlignment="1">
      <alignment horizontal="left" vertical="center"/>
    </xf>
    <xf numFmtId="0" fontId="46" fillId="0" borderId="17" xfId="0" applyFont="1" applyBorder="1" applyAlignment="1">
      <alignment horizontal="center" vertical="center"/>
    </xf>
    <xf numFmtId="0" fontId="49" fillId="0" borderId="17" xfId="0" applyFont="1" applyBorder="1" applyAlignment="1">
      <alignment horizontal="center" vertical="center"/>
    </xf>
    <xf numFmtId="164" fontId="46" fillId="0" borderId="17" xfId="1" applyNumberFormat="1" applyFont="1" applyBorder="1" applyAlignment="1">
      <alignment horizontal="left" vertical="center"/>
    </xf>
    <xf numFmtId="9" fontId="20" fillId="0" borderId="17" xfId="1" applyNumberFormat="1" applyFont="1" applyBorder="1" applyAlignment="1">
      <alignment horizontal="center" vertical="center"/>
    </xf>
    <xf numFmtId="165" fontId="46" fillId="0" borderId="17" xfId="1" applyFont="1" applyBorder="1" applyAlignment="1">
      <alignment horizontal="left" vertical="center"/>
    </xf>
    <xf numFmtId="165" fontId="46" fillId="2" borderId="17" xfId="1" applyFont="1" applyFill="1" applyBorder="1" applyAlignment="1">
      <alignment horizontal="left" vertical="center"/>
    </xf>
    <xf numFmtId="164" fontId="20" fillId="0" borderId="17" xfId="1" applyNumberFormat="1" applyFont="1" applyBorder="1" applyAlignment="1">
      <alignment horizontal="left" vertical="center"/>
    </xf>
    <xf numFmtId="164" fontId="46" fillId="0" borderId="1" xfId="1" applyNumberFormat="1" applyFont="1" applyBorder="1" applyAlignment="1">
      <alignment horizontal="left" vertical="center"/>
    </xf>
    <xf numFmtId="164" fontId="46" fillId="0" borderId="4" xfId="1" applyNumberFormat="1" applyFont="1" applyBorder="1" applyAlignment="1">
      <alignment horizontal="left" vertical="center"/>
    </xf>
    <xf numFmtId="164" fontId="49" fillId="0" borderId="0" xfId="2" applyNumberFormat="1" applyFont="1" applyAlignment="1">
      <alignment horizontal="left" vertical="center"/>
    </xf>
    <xf numFmtId="14" fontId="49" fillId="0" borderId="0" xfId="2" applyNumberFormat="1" applyFont="1" applyAlignment="1">
      <alignment horizontal="left" vertical="center"/>
    </xf>
    <xf numFmtId="164" fontId="46" fillId="0" borderId="0" xfId="0" applyNumberFormat="1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49" fontId="46" fillId="0" borderId="1" xfId="0" applyNumberFormat="1" applyFont="1" applyBorder="1" applyAlignment="1">
      <alignment horizontal="center" vertical="center"/>
    </xf>
    <xf numFmtId="0" fontId="50" fillId="0" borderId="0" xfId="0" applyFont="1" applyAlignment="1">
      <alignment horizontal="center"/>
    </xf>
    <xf numFmtId="49" fontId="50" fillId="0" borderId="0" xfId="1" applyNumberFormat="1" applyFont="1" applyAlignment="1">
      <alignment horizontal="center"/>
    </xf>
    <xf numFmtId="164" fontId="50" fillId="0" borderId="0" xfId="1" applyNumberFormat="1" applyFont="1" applyAlignment="1">
      <alignment wrapText="1"/>
    </xf>
    <xf numFmtId="164" fontId="46" fillId="0" borderId="0" xfId="1" applyNumberFormat="1" applyFont="1" applyAlignment="1">
      <alignment horizontal="center"/>
    </xf>
    <xf numFmtId="164" fontId="23" fillId="0" borderId="0" xfId="1" applyNumberFormat="1" applyFont="1" applyAlignment="1">
      <alignment horizontal="center"/>
    </xf>
    <xf numFmtId="164" fontId="50" fillId="0" borderId="0" xfId="1" applyNumberFormat="1" applyFont="1"/>
    <xf numFmtId="0" fontId="51" fillId="0" borderId="0" xfId="0" applyFont="1"/>
    <xf numFmtId="165" fontId="46" fillId="0" borderId="0" xfId="1" applyFont="1" applyAlignment="1">
      <alignment horizontal="center"/>
    </xf>
    <xf numFmtId="164" fontId="46" fillId="0" borderId="0" xfId="1" applyNumberFormat="1" applyFont="1"/>
    <xf numFmtId="165" fontId="50" fillId="0" borderId="0" xfId="1" applyFont="1"/>
    <xf numFmtId="0" fontId="50" fillId="0" borderId="0" xfId="0" applyFont="1"/>
    <xf numFmtId="0" fontId="22" fillId="4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49" fontId="20" fillId="0" borderId="0" xfId="1" applyNumberFormat="1" applyFont="1" applyAlignment="1">
      <alignment horizontal="center"/>
    </xf>
    <xf numFmtId="164" fontId="20" fillId="0" borderId="0" xfId="1" applyNumberFormat="1" applyFont="1" applyAlignment="1">
      <alignment wrapText="1"/>
    </xf>
    <xf numFmtId="164" fontId="20" fillId="0" borderId="0" xfId="1" applyNumberFormat="1" applyFont="1" applyAlignment="1">
      <alignment horizontal="center"/>
    </xf>
    <xf numFmtId="164" fontId="21" fillId="0" borderId="0" xfId="1" applyNumberFormat="1" applyFont="1" applyAlignment="1">
      <alignment horizontal="center"/>
    </xf>
    <xf numFmtId="164" fontId="20" fillId="0" borderId="0" xfId="1" applyNumberFormat="1" applyFont="1"/>
    <xf numFmtId="0" fontId="52" fillId="0" borderId="0" xfId="0" applyFont="1"/>
    <xf numFmtId="165" fontId="20" fillId="0" borderId="0" xfId="1" applyFont="1" applyAlignment="1">
      <alignment horizontal="center"/>
    </xf>
    <xf numFmtId="165" fontId="20" fillId="0" borderId="0" xfId="1" applyFont="1"/>
    <xf numFmtId="0" fontId="20" fillId="0" borderId="0" xfId="0" applyFont="1"/>
    <xf numFmtId="0" fontId="46" fillId="0" borderId="17" xfId="1" applyNumberFormat="1" applyFont="1" applyBorder="1" applyAlignment="1">
      <alignment horizontal="left" vertical="center" wrapText="1"/>
    </xf>
    <xf numFmtId="0" fontId="46" fillId="0" borderId="1" xfId="1" applyNumberFormat="1" applyFont="1" applyBorder="1" applyAlignment="1">
      <alignment horizontal="left" vertical="center" wrapText="1"/>
    </xf>
    <xf numFmtId="0" fontId="46" fillId="0" borderId="1" xfId="3" applyFont="1" applyBorder="1" applyAlignment="1">
      <alignment horizontal="center" vertical="center" wrapText="1"/>
    </xf>
    <xf numFmtId="0" fontId="46" fillId="0" borderId="1" xfId="0" quotePrefix="1" applyFont="1" applyBorder="1" applyAlignment="1">
      <alignment horizontal="center" vertical="center" wrapText="1"/>
    </xf>
    <xf numFmtId="0" fontId="46" fillId="0" borderId="1" xfId="0" applyFont="1" applyBorder="1" applyAlignment="1">
      <alignment horizontal="left" vertical="center" wrapText="1"/>
    </xf>
    <xf numFmtId="0" fontId="46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20" fillId="0" borderId="1" xfId="1" applyNumberFormat="1" applyFont="1" applyBorder="1" applyAlignment="1">
      <alignment horizontal="center" vertical="center" wrapText="1"/>
    </xf>
    <xf numFmtId="0" fontId="46" fillId="2" borderId="1" xfId="1" applyNumberFormat="1" applyFont="1" applyFill="1" applyBorder="1" applyAlignment="1">
      <alignment horizontal="left" vertical="center" wrapText="1"/>
    </xf>
    <xf numFmtId="0" fontId="20" fillId="0" borderId="1" xfId="1" applyNumberFormat="1" applyFont="1" applyBorder="1" applyAlignment="1">
      <alignment horizontal="left" vertical="center" wrapText="1"/>
    </xf>
    <xf numFmtId="0" fontId="49" fillId="0" borderId="0" xfId="2" applyNumberFormat="1" applyFont="1" applyAlignment="1">
      <alignment horizontal="left" vertical="center" wrapText="1"/>
    </xf>
    <xf numFmtId="0" fontId="4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46" fillId="3" borderId="1" xfId="1" applyNumberFormat="1" applyFont="1" applyFill="1" applyBorder="1" applyAlignment="1">
      <alignment horizontal="left" vertical="center" wrapText="1"/>
    </xf>
    <xf numFmtId="0" fontId="51" fillId="0" borderId="0" xfId="0" applyFont="1" applyAlignment="1">
      <alignment vertical="center"/>
    </xf>
    <xf numFmtId="0" fontId="30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0" fillId="0" borderId="0" xfId="0" applyFont="1" applyAlignment="1">
      <alignment horizontal="center" vertical="center"/>
    </xf>
    <xf numFmtId="49" fontId="50" fillId="0" borderId="0" xfId="1" applyNumberFormat="1" applyFont="1" applyAlignment="1">
      <alignment horizontal="center" vertical="center"/>
    </xf>
    <xf numFmtId="164" fontId="50" fillId="0" borderId="0" xfId="1" applyNumberFormat="1" applyFont="1" applyAlignment="1">
      <alignment vertical="center" wrapText="1"/>
    </xf>
    <xf numFmtId="164" fontId="46" fillId="0" borderId="0" xfId="1" applyNumberFormat="1" applyFont="1" applyAlignment="1">
      <alignment horizontal="center" vertical="center"/>
    </xf>
    <xf numFmtId="164" fontId="23" fillId="0" borderId="0" xfId="1" applyNumberFormat="1" applyFont="1" applyAlignment="1">
      <alignment horizontal="center" vertical="center"/>
    </xf>
    <xf numFmtId="164" fontId="50" fillId="0" borderId="0" xfId="1" applyNumberFormat="1" applyFont="1" applyAlignment="1">
      <alignment vertical="center"/>
    </xf>
    <xf numFmtId="165" fontId="46" fillId="0" borderId="0" xfId="1" applyFont="1" applyAlignment="1">
      <alignment horizontal="center" vertical="center"/>
    </xf>
    <xf numFmtId="164" fontId="46" fillId="0" borderId="0" xfId="1" applyNumberFormat="1" applyFont="1" applyAlignment="1">
      <alignment vertical="center"/>
    </xf>
    <xf numFmtId="165" fontId="50" fillId="0" borderId="0" xfId="1" applyFont="1" applyAlignment="1">
      <alignment vertical="center"/>
    </xf>
    <xf numFmtId="0" fontId="50" fillId="0" borderId="0" xfId="0" applyFont="1" applyAlignment="1">
      <alignment vertical="center"/>
    </xf>
    <xf numFmtId="0" fontId="46" fillId="0" borderId="17" xfId="3" applyFont="1" applyBorder="1" applyAlignment="1">
      <alignment horizontal="center" vertical="center" wrapText="1"/>
    </xf>
    <xf numFmtId="0" fontId="46" fillId="0" borderId="17" xfId="0" applyFont="1" applyBorder="1" applyAlignment="1">
      <alignment horizontal="left" vertical="center" wrapText="1"/>
    </xf>
    <xf numFmtId="0" fontId="20" fillId="0" borderId="17" xfId="1" applyNumberFormat="1" applyFont="1" applyBorder="1" applyAlignment="1">
      <alignment horizontal="center" vertical="center" wrapText="1"/>
    </xf>
    <xf numFmtId="0" fontId="20" fillId="0" borderId="17" xfId="1" applyNumberFormat="1" applyFont="1" applyBorder="1" applyAlignment="1">
      <alignment horizontal="left" vertical="center" wrapText="1"/>
    </xf>
    <xf numFmtId="0" fontId="46" fillId="0" borderId="12" xfId="1" applyNumberFormat="1" applyFont="1" applyBorder="1" applyAlignment="1">
      <alignment horizontal="left" vertical="center" wrapText="1"/>
    </xf>
    <xf numFmtId="0" fontId="46" fillId="0" borderId="4" xfId="1" applyNumberFormat="1" applyFont="1" applyBorder="1" applyAlignment="1">
      <alignment horizontal="left" vertical="center" wrapText="1"/>
    </xf>
    <xf numFmtId="0" fontId="46" fillId="0" borderId="21" xfId="1" applyNumberFormat="1" applyFont="1" applyBorder="1" applyAlignment="1">
      <alignment horizontal="left" vertical="center" wrapText="1"/>
    </xf>
    <xf numFmtId="164" fontId="22" fillId="4" borderId="1" xfId="0" applyNumberFormat="1" applyFont="1" applyFill="1" applyBorder="1" applyAlignment="1">
      <alignment horizontal="center" vertical="center" wrapText="1"/>
    </xf>
    <xf numFmtId="9" fontId="22" fillId="4" borderId="1" xfId="0" applyNumberFormat="1" applyFont="1" applyFill="1" applyBorder="1" applyAlignment="1">
      <alignment horizontal="center" vertical="center" wrapText="1"/>
    </xf>
    <xf numFmtId="43" fontId="22" fillId="4" borderId="1" xfId="0" applyNumberFormat="1" applyFont="1" applyFill="1" applyBorder="1" applyAlignment="1">
      <alignment horizontal="center" vertical="center" wrapText="1"/>
    </xf>
    <xf numFmtId="0" fontId="54" fillId="0" borderId="0" xfId="0" applyFont="1"/>
    <xf numFmtId="164" fontId="55" fillId="0" borderId="0" xfId="1" applyNumberFormat="1" applyFont="1"/>
    <xf numFmtId="165" fontId="8" fillId="3" borderId="7" xfId="1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8" xfId="0" applyBorder="1"/>
    <xf numFmtId="164" fontId="28" fillId="2" borderId="1" xfId="1" applyNumberFormat="1" applyFont="1" applyFill="1" applyBorder="1" applyAlignment="1">
      <alignment horizontal="center" vertical="center" wrapText="1"/>
    </xf>
    <xf numFmtId="0" fontId="0" fillId="0" borderId="17" xfId="0" applyBorder="1"/>
    <xf numFmtId="164" fontId="22" fillId="2" borderId="4" xfId="1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9" xfId="0" applyBorder="1"/>
    <xf numFmtId="164" fontId="22" fillId="2" borderId="1" xfId="1" applyNumberFormat="1" applyFont="1" applyFill="1" applyBorder="1" applyAlignment="1">
      <alignment horizontal="center" vertical="center" wrapText="1"/>
    </xf>
    <xf numFmtId="164" fontId="22" fillId="4" borderId="3" xfId="1" applyNumberFormat="1" applyFont="1" applyFill="1" applyBorder="1" applyAlignment="1">
      <alignment horizontal="center" vertical="center" wrapText="1"/>
    </xf>
    <xf numFmtId="0" fontId="0" fillId="0" borderId="2" xfId="0" applyBorder="1"/>
    <xf numFmtId="164" fontId="22" fillId="2" borderId="1" xfId="1" applyNumberFormat="1" applyFont="1" applyFill="1" applyBorder="1" applyAlignment="1">
      <alignment horizontal="center" vertical="center"/>
    </xf>
    <xf numFmtId="164" fontId="7" fillId="2" borderId="1" xfId="1" applyNumberFormat="1" applyFont="1" applyFill="1" applyBorder="1" applyAlignment="1">
      <alignment horizontal="center" vertical="center" wrapText="1"/>
    </xf>
    <xf numFmtId="164" fontId="22" fillId="4" borderId="4" xfId="1" applyNumberFormat="1" applyFont="1" applyFill="1" applyBorder="1" applyAlignment="1">
      <alignment horizontal="center" vertical="center" wrapText="1"/>
    </xf>
    <xf numFmtId="165" fontId="27" fillId="2" borderId="1" xfId="1" applyFont="1" applyFill="1" applyBorder="1" applyAlignment="1">
      <alignment horizontal="center" vertical="center" wrapText="1"/>
    </xf>
    <xf numFmtId="164" fontId="22" fillId="4" borderId="17" xfId="1" applyNumberFormat="1" applyFont="1" applyFill="1" applyBorder="1" applyAlignment="1">
      <alignment horizontal="center" vertical="center" wrapText="1"/>
    </xf>
    <xf numFmtId="0" fontId="22" fillId="4" borderId="1" xfId="1" applyNumberFormat="1" applyFont="1" applyFill="1" applyBorder="1" applyAlignment="1">
      <alignment horizontal="center" vertical="center" wrapText="1"/>
    </xf>
    <xf numFmtId="164" fontId="22" fillId="4" borderId="1" xfId="1" applyNumberFormat="1" applyFont="1" applyFill="1" applyBorder="1" applyAlignment="1">
      <alignment horizontal="center" vertical="center" wrapText="1"/>
    </xf>
    <xf numFmtId="164" fontId="7" fillId="3" borderId="1" xfId="1" applyNumberFormat="1" applyFont="1" applyFill="1" applyBorder="1" applyAlignment="1">
      <alignment horizontal="center" vertical="center" wrapText="1"/>
    </xf>
    <xf numFmtId="43" fontId="24" fillId="2" borderId="1" xfId="5" applyFont="1" applyFill="1" applyBorder="1" applyAlignment="1">
      <alignment horizontal="center" vertical="center" wrapText="1"/>
    </xf>
    <xf numFmtId="0" fontId="0" fillId="0" borderId="16" xfId="0" applyBorder="1"/>
    <xf numFmtId="164" fontId="17" fillId="0" borderId="0" xfId="1" applyNumberFormat="1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28" fillId="3" borderId="1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5" fontId="8" fillId="2" borderId="7" xfId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4" fontId="8" fillId="3" borderId="1" xfId="1" applyNumberFormat="1" applyFont="1" applyFill="1" applyBorder="1" applyAlignment="1">
      <alignment horizontal="center" vertical="center" wrapText="1"/>
    </xf>
    <xf numFmtId="165" fontId="7" fillId="2" borderId="4" xfId="1" applyFont="1" applyFill="1" applyBorder="1" applyAlignment="1">
      <alignment horizontal="center" vertical="center" wrapText="1"/>
    </xf>
    <xf numFmtId="0" fontId="18" fillId="4" borderId="1" xfId="1" applyNumberFormat="1" applyFont="1" applyFill="1" applyBorder="1" applyAlignment="1">
      <alignment horizontal="center" vertical="center" wrapText="1"/>
    </xf>
    <xf numFmtId="0" fontId="22" fillId="2" borderId="1" xfId="3" applyFont="1" applyFill="1" applyBorder="1" applyAlignment="1">
      <alignment horizontal="center" vertical="center"/>
    </xf>
    <xf numFmtId="9" fontId="8" fillId="2" borderId="7" xfId="2" applyFont="1" applyFill="1" applyBorder="1" applyAlignment="1">
      <alignment horizontal="center" vertical="center"/>
    </xf>
    <xf numFmtId="0" fontId="0" fillId="0" borderId="8" xfId="0" applyBorder="1"/>
    <xf numFmtId="0" fontId="11" fillId="0" borderId="0" xfId="0" applyFont="1" applyAlignment="1">
      <alignment horizontal="center" vertical="center"/>
    </xf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64" fontId="8" fillId="2" borderId="20" xfId="1" applyNumberFormat="1" applyFont="1" applyFill="1" applyBorder="1" applyAlignment="1">
      <alignment horizontal="center" vertical="center"/>
    </xf>
    <xf numFmtId="164" fontId="18" fillId="4" borderId="1" xfId="1" applyNumberFormat="1" applyFont="1" applyFill="1" applyBorder="1" applyAlignment="1">
      <alignment horizontal="center" vertical="center" wrapText="1"/>
    </xf>
    <xf numFmtId="165" fontId="22" fillId="2" borderId="1" xfId="1" applyFont="1" applyFill="1" applyBorder="1" applyAlignment="1">
      <alignment horizontal="center" vertical="center" wrapText="1"/>
    </xf>
    <xf numFmtId="164" fontId="22" fillId="3" borderId="1" xfId="1" applyNumberFormat="1" applyFont="1" applyFill="1" applyBorder="1" applyAlignment="1">
      <alignment horizontal="center" vertical="center" wrapText="1"/>
    </xf>
    <xf numFmtId="164" fontId="8" fillId="0" borderId="0" xfId="1" applyNumberFormat="1" applyFont="1" applyAlignment="1">
      <alignment horizontal="center" vertical="center"/>
    </xf>
    <xf numFmtId="0" fontId="46" fillId="0" borderId="0" xfId="3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22" fillId="2" borderId="4" xfId="1" applyFont="1" applyFill="1" applyBorder="1" applyAlignment="1">
      <alignment horizontal="center" vertical="center" wrapText="1"/>
    </xf>
    <xf numFmtId="43" fontId="22" fillId="2" borderId="1" xfId="5" applyFont="1" applyFill="1" applyBorder="1" applyAlignment="1">
      <alignment horizontal="center" vertical="center" wrapText="1"/>
    </xf>
    <xf numFmtId="0" fontId="22" fillId="4" borderId="1" xfId="1" applyNumberFormat="1" applyFont="1" applyFill="1" applyBorder="1" applyAlignment="1">
      <alignment horizontal="center" vertical="top" wrapText="1"/>
    </xf>
    <xf numFmtId="164" fontId="22" fillId="4" borderId="1" xfId="1" applyNumberFormat="1" applyFont="1" applyFill="1" applyBorder="1" applyAlignment="1">
      <alignment horizontal="center" vertical="top" wrapText="1"/>
    </xf>
    <xf numFmtId="164" fontId="27" fillId="4" borderId="1" xfId="1" applyNumberFormat="1" applyFont="1" applyFill="1" applyBorder="1" applyAlignment="1">
      <alignment horizontal="center" vertical="top" wrapText="1"/>
    </xf>
    <xf numFmtId="164" fontId="23" fillId="2" borderId="1" xfId="1" applyNumberFormat="1" applyFont="1" applyFill="1" applyBorder="1" applyAlignment="1">
      <alignment horizontal="center" vertical="center" wrapText="1"/>
    </xf>
    <xf numFmtId="164" fontId="18" fillId="4" borderId="1" xfId="1" applyNumberFormat="1" applyFont="1" applyFill="1" applyBorder="1" applyAlignment="1">
      <alignment horizontal="center" vertical="top" wrapText="1"/>
    </xf>
    <xf numFmtId="0" fontId="14" fillId="0" borderId="0" xfId="3" applyFont="1" applyFill="1" applyAlignment="1">
      <alignment horizontal="center" vertical="center"/>
    </xf>
    <xf numFmtId="0" fontId="14" fillId="0" borderId="0" xfId="3" applyFont="1" applyFill="1" applyAlignment="1">
      <alignment horizontal="center" vertical="center"/>
    </xf>
    <xf numFmtId="164" fontId="20" fillId="0" borderId="0" xfId="1" applyNumberFormat="1" applyFont="1" applyFill="1" applyAlignment="1">
      <alignment horizontal="center" vertical="center" wrapText="1"/>
    </xf>
    <xf numFmtId="9" fontId="42" fillId="0" borderId="17" xfId="1" applyNumberFormat="1" applyFont="1" applyFill="1" applyBorder="1" applyAlignment="1">
      <alignment horizontal="center" vertical="center"/>
    </xf>
    <xf numFmtId="164" fontId="42" fillId="0" borderId="17" xfId="1" applyNumberFormat="1" applyFont="1" applyFill="1" applyBorder="1" applyAlignment="1">
      <alignment horizontal="left" vertical="center"/>
    </xf>
    <xf numFmtId="0" fontId="32" fillId="0" borderId="0" xfId="0" applyFont="1" applyFill="1"/>
    <xf numFmtId="0" fontId="32" fillId="0" borderId="0" xfId="0" applyFont="1" applyFill="1" applyAlignment="1">
      <alignment horizontal="center"/>
    </xf>
    <xf numFmtId="0" fontId="33" fillId="0" borderId="0" xfId="0" applyFont="1" applyFill="1"/>
    <xf numFmtId="166" fontId="32" fillId="0" borderId="0" xfId="1" applyNumberFormat="1" applyFont="1" applyFill="1" applyAlignment="1">
      <alignment horizontal="center"/>
    </xf>
    <xf numFmtId="165" fontId="32" fillId="0" borderId="0" xfId="1" applyFont="1" applyFill="1" applyAlignment="1">
      <alignment horizontal="center"/>
    </xf>
    <xf numFmtId="0" fontId="35" fillId="0" borderId="8" xfId="0" applyFont="1" applyFill="1" applyBorder="1" applyAlignment="1">
      <alignment horizontal="center"/>
    </xf>
    <xf numFmtId="0" fontId="35" fillId="0" borderId="0" xfId="0" applyFont="1" applyFill="1" applyAlignment="1">
      <alignment horizontal="center"/>
    </xf>
    <xf numFmtId="164" fontId="32" fillId="0" borderId="0" xfId="1" applyNumberFormat="1" applyFont="1" applyFill="1"/>
    <xf numFmtId="1" fontId="42" fillId="0" borderId="0" xfId="0" applyNumberFormat="1" applyFont="1" applyFill="1"/>
    <xf numFmtId="164" fontId="14" fillId="0" borderId="0" xfId="0" applyNumberFormat="1" applyFont="1" applyFill="1"/>
    <xf numFmtId="14" fontId="32" fillId="0" borderId="0" xfId="0" applyNumberFormat="1" applyFont="1" applyFill="1"/>
    <xf numFmtId="0" fontId="36" fillId="0" borderId="0" xfId="0" applyFont="1" applyFill="1"/>
    <xf numFmtId="0" fontId="36" fillId="0" borderId="0" xfId="0" applyFont="1" applyFill="1" applyAlignment="1">
      <alignment horizontal="center"/>
    </xf>
    <xf numFmtId="0" fontId="38" fillId="0" borderId="0" xfId="0" applyFont="1" applyFill="1"/>
    <xf numFmtId="165" fontId="36" fillId="0" borderId="0" xfId="1" applyFont="1" applyFill="1" applyAlignment="1">
      <alignment horizontal="center"/>
    </xf>
    <xf numFmtId="164" fontId="36" fillId="0" borderId="0" xfId="0" applyNumberFormat="1" applyFont="1" applyFill="1"/>
    <xf numFmtId="164" fontId="36" fillId="0" borderId="0" xfId="1" applyNumberFormat="1" applyFont="1" applyFill="1"/>
    <xf numFmtId="49" fontId="36" fillId="0" borderId="0" xfId="0" applyNumberFormat="1" applyFont="1" applyFill="1" applyAlignment="1">
      <alignment horizontal="center"/>
    </xf>
    <xf numFmtId="166" fontId="36" fillId="0" borderId="0" xfId="1" applyNumberFormat="1" applyFont="1" applyFill="1" applyAlignment="1">
      <alignment horizontal="center"/>
    </xf>
    <xf numFmtId="14" fontId="36" fillId="0" borderId="0" xfId="0" applyNumberFormat="1" applyFont="1" applyFill="1"/>
    <xf numFmtId="0" fontId="56" fillId="0" borderId="0" xfId="3" applyFont="1" applyFill="1" applyAlignment="1">
      <alignment vertical="center"/>
    </xf>
    <xf numFmtId="0" fontId="57" fillId="0" borderId="5" xfId="0" applyFont="1" applyFill="1" applyBorder="1"/>
    <xf numFmtId="0" fontId="57" fillId="0" borderId="6" xfId="0" applyFont="1" applyFill="1" applyBorder="1"/>
    <xf numFmtId="0" fontId="57" fillId="0" borderId="2" xfId="0" applyFont="1" applyFill="1" applyBorder="1"/>
    <xf numFmtId="164" fontId="58" fillId="0" borderId="0" xfId="0" applyNumberFormat="1" applyFont="1" applyFill="1" applyAlignment="1">
      <alignment horizontal="left" vertical="center" shrinkToFit="1"/>
    </xf>
    <xf numFmtId="0" fontId="57" fillId="0" borderId="19" xfId="0" applyFont="1" applyFill="1" applyBorder="1"/>
    <xf numFmtId="0" fontId="57" fillId="0" borderId="16" xfId="0" applyFont="1" applyFill="1" applyBorder="1"/>
    <xf numFmtId="164" fontId="42" fillId="0" borderId="21" xfId="1" applyNumberFormat="1" applyFont="1" applyFill="1" applyBorder="1" applyAlignment="1">
      <alignment horizontal="left" vertical="center"/>
    </xf>
    <xf numFmtId="164" fontId="42" fillId="0" borderId="12" xfId="1" applyNumberFormat="1" applyFont="1" applyFill="1" applyBorder="1" applyAlignment="1">
      <alignment horizontal="left" vertical="center"/>
    </xf>
    <xf numFmtId="0" fontId="42" fillId="0" borderId="17" xfId="3" applyFont="1" applyFill="1" applyBorder="1" applyAlignment="1">
      <alignment horizontal="center" vertical="center"/>
    </xf>
    <xf numFmtId="0" fontId="42" fillId="0" borderId="1" xfId="0" quotePrefix="1" applyFont="1" applyFill="1" applyBorder="1" applyAlignment="1">
      <alignment horizontal="center" vertical="center"/>
    </xf>
    <xf numFmtId="0" fontId="42" fillId="0" borderId="1" xfId="0" applyFont="1" applyFill="1" applyBorder="1" applyAlignment="1">
      <alignment horizontal="left" vertical="center"/>
    </xf>
    <xf numFmtId="0" fontId="42" fillId="0" borderId="17" xfId="0" applyFont="1" applyFill="1" applyBorder="1" applyAlignment="1">
      <alignment horizontal="left" vertical="center"/>
    </xf>
    <xf numFmtId="0" fontId="42" fillId="0" borderId="17" xfId="0" applyFont="1" applyFill="1" applyBorder="1" applyAlignment="1">
      <alignment horizontal="center" vertical="center"/>
    </xf>
    <xf numFmtId="165" fontId="42" fillId="0" borderId="17" xfId="1" applyFont="1" applyFill="1" applyBorder="1" applyAlignment="1">
      <alignment horizontal="left" vertical="center"/>
    </xf>
    <xf numFmtId="164" fontId="42" fillId="0" borderId="1" xfId="1" applyNumberFormat="1" applyFont="1" applyFill="1" applyBorder="1" applyAlignment="1">
      <alignment horizontal="left" vertical="center"/>
    </xf>
    <xf numFmtId="164" fontId="42" fillId="0" borderId="4" xfId="1" applyNumberFormat="1" applyFont="1" applyFill="1" applyBorder="1" applyAlignment="1">
      <alignment horizontal="left" vertical="center"/>
    </xf>
    <xf numFmtId="164" fontId="42" fillId="0" borderId="0" xfId="1" applyNumberFormat="1" applyFont="1" applyFill="1" applyAlignment="1">
      <alignment horizontal="left" vertical="center"/>
    </xf>
    <xf numFmtId="164" fontId="42" fillId="0" borderId="0" xfId="2" applyNumberFormat="1" applyFont="1" applyFill="1" applyAlignment="1">
      <alignment horizontal="left" vertical="center"/>
    </xf>
    <xf numFmtId="14" fontId="42" fillId="0" borderId="0" xfId="2" applyNumberFormat="1" applyFont="1" applyFill="1" applyAlignment="1">
      <alignment horizontal="left" vertical="center"/>
    </xf>
    <xf numFmtId="164" fontId="42" fillId="0" borderId="0" xfId="0" applyNumberFormat="1" applyFont="1" applyFill="1" applyAlignment="1">
      <alignment horizontal="left" vertical="center"/>
    </xf>
    <xf numFmtId="0" fontId="42" fillId="0" borderId="0" xfId="0" applyFont="1" applyFill="1" applyAlignment="1">
      <alignment horizontal="left" vertical="center"/>
    </xf>
    <xf numFmtId="49" fontId="42" fillId="0" borderId="1" xfId="0" applyNumberFormat="1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/>
    </xf>
    <xf numFmtId="0" fontId="59" fillId="0" borderId="0" xfId="0" applyFont="1" applyFill="1"/>
    <xf numFmtId="164" fontId="14" fillId="0" borderId="0" xfId="1" applyNumberFormat="1" applyFont="1" applyFill="1" applyAlignment="1">
      <alignment wrapText="1"/>
    </xf>
    <xf numFmtId="164" fontId="14" fillId="0" borderId="0" xfId="1" applyNumberFormat="1" applyFont="1" applyFill="1" applyAlignment="1">
      <alignment horizontal="center"/>
    </xf>
    <xf numFmtId="164" fontId="60" fillId="0" borderId="0" xfId="1" applyNumberFormat="1" applyFont="1" applyFill="1" applyAlignment="1">
      <alignment horizontal="center"/>
    </xf>
    <xf numFmtId="164" fontId="14" fillId="0" borderId="0" xfId="1" applyNumberFormat="1" applyFont="1" applyFill="1"/>
    <xf numFmtId="0" fontId="57" fillId="0" borderId="0" xfId="0" applyFont="1" applyFill="1"/>
    <xf numFmtId="165" fontId="14" fillId="0" borderId="0" xfId="1" applyFont="1" applyFill="1" applyAlignment="1">
      <alignment horizontal="center"/>
    </xf>
    <xf numFmtId="165" fontId="14" fillId="0" borderId="0" xfId="1" applyFont="1" applyFill="1"/>
    <xf numFmtId="0" fontId="14" fillId="0" borderId="0" xfId="0" applyFont="1" applyFill="1"/>
    <xf numFmtId="49" fontId="14" fillId="0" borderId="0" xfId="1" applyNumberFormat="1" applyFont="1" applyFill="1" applyAlignment="1">
      <alignment horizontal="center"/>
    </xf>
    <xf numFmtId="49" fontId="22" fillId="3" borderId="1" xfId="1" applyNumberFormat="1" applyFont="1" applyFill="1" applyBorder="1" applyAlignment="1">
      <alignment horizontal="center" vertical="center" wrapText="1"/>
    </xf>
    <xf numFmtId="164" fontId="22" fillId="3" borderId="1" xfId="1" applyNumberFormat="1" applyFont="1" applyFill="1" applyBorder="1" applyAlignment="1">
      <alignment horizontal="center" vertical="center"/>
    </xf>
    <xf numFmtId="0" fontId="57" fillId="3" borderId="9" xfId="0" applyFont="1" applyFill="1" applyBorder="1"/>
    <xf numFmtId="0" fontId="57" fillId="3" borderId="17" xfId="0" applyFont="1" applyFill="1" applyBorder="1"/>
    <xf numFmtId="0" fontId="42" fillId="3" borderId="1" xfId="0" applyFont="1" applyFill="1" applyBorder="1" applyAlignment="1">
      <alignment horizontal="center" vertical="center" wrapText="1"/>
    </xf>
    <xf numFmtId="164" fontId="22" fillId="3" borderId="4" xfId="1" applyNumberFormat="1" applyFont="1" applyFill="1" applyBorder="1" applyAlignment="1">
      <alignment horizontal="center" vertical="center" wrapText="1"/>
    </xf>
    <xf numFmtId="164" fontId="27" fillId="3" borderId="1" xfId="1" applyNumberFormat="1" applyFont="1" applyFill="1" applyBorder="1" applyAlignment="1">
      <alignment horizontal="center" vertical="center" wrapText="1"/>
    </xf>
    <xf numFmtId="0" fontId="22" fillId="3" borderId="1" xfId="1" applyNumberFormat="1" applyFont="1" applyFill="1" applyBorder="1" applyAlignment="1">
      <alignment horizontal="center" vertical="center" wrapText="1"/>
    </xf>
    <xf numFmtId="164" fontId="22" fillId="3" borderId="20" xfId="1" applyNumberFormat="1" applyFont="1" applyFill="1" applyBorder="1" applyAlignment="1">
      <alignment horizontal="center" vertical="center"/>
    </xf>
    <xf numFmtId="9" fontId="22" fillId="3" borderId="12" xfId="2" applyFont="1" applyFill="1" applyBorder="1" applyAlignment="1">
      <alignment horizontal="center" vertical="center" wrapText="1"/>
    </xf>
    <xf numFmtId="164" fontId="22" fillId="3" borderId="12" xfId="1" applyNumberFormat="1" applyFont="1" applyFill="1" applyBorder="1" applyAlignment="1">
      <alignment horizontal="center" vertical="center" wrapText="1"/>
    </xf>
    <xf numFmtId="165" fontId="22" fillId="3" borderId="7" xfId="1" applyFont="1" applyFill="1" applyBorder="1" applyAlignment="1">
      <alignment horizontal="center" vertical="center" wrapText="1"/>
    </xf>
    <xf numFmtId="0" fontId="57" fillId="3" borderId="18" xfId="0" applyFont="1" applyFill="1" applyBorder="1"/>
    <xf numFmtId="0" fontId="42" fillId="6" borderId="17" xfId="3" applyFont="1" applyFill="1" applyBorder="1" applyAlignment="1">
      <alignment horizontal="center" vertical="center"/>
    </xf>
    <xf numFmtId="0" fontId="42" fillId="6" borderId="1" xfId="0" quotePrefix="1" applyFont="1" applyFill="1" applyBorder="1" applyAlignment="1">
      <alignment horizontal="center" vertical="center"/>
    </xf>
    <xf numFmtId="0" fontId="42" fillId="6" borderId="1" xfId="0" applyFont="1" applyFill="1" applyBorder="1" applyAlignment="1">
      <alignment horizontal="left" vertical="center"/>
    </xf>
    <xf numFmtId="0" fontId="42" fillId="6" borderId="17" xfId="0" applyFont="1" applyFill="1" applyBorder="1" applyAlignment="1">
      <alignment horizontal="left" vertical="center"/>
    </xf>
    <xf numFmtId="0" fontId="42" fillId="6" borderId="17" xfId="0" applyFont="1" applyFill="1" applyBorder="1" applyAlignment="1">
      <alignment horizontal="center" vertical="center"/>
    </xf>
    <xf numFmtId="164" fontId="42" fillId="6" borderId="17" xfId="1" applyNumberFormat="1" applyFont="1" applyFill="1" applyBorder="1" applyAlignment="1">
      <alignment horizontal="left" vertical="center"/>
    </xf>
    <xf numFmtId="9" fontId="42" fillId="6" borderId="17" xfId="1" applyNumberFormat="1" applyFont="1" applyFill="1" applyBorder="1" applyAlignment="1">
      <alignment horizontal="center" vertical="center"/>
    </xf>
    <xf numFmtId="165" fontId="42" fillId="6" borderId="17" xfId="1" applyFont="1" applyFill="1" applyBorder="1" applyAlignment="1">
      <alignment horizontal="left" vertical="center"/>
    </xf>
    <xf numFmtId="164" fontId="42" fillId="6" borderId="1" xfId="1" applyNumberFormat="1" applyFont="1" applyFill="1" applyBorder="1" applyAlignment="1">
      <alignment horizontal="left" vertical="center"/>
    </xf>
    <xf numFmtId="164" fontId="42" fillId="6" borderId="12" xfId="1" applyNumberFormat="1" applyFont="1" applyFill="1" applyBorder="1" applyAlignment="1">
      <alignment horizontal="left" vertical="center"/>
    </xf>
    <xf numFmtId="164" fontId="42" fillId="6" borderId="4" xfId="1" applyNumberFormat="1" applyFont="1" applyFill="1" applyBorder="1" applyAlignment="1">
      <alignment horizontal="left" vertical="center"/>
    </xf>
    <xf numFmtId="164" fontId="42" fillId="6" borderId="21" xfId="1" applyNumberFormat="1" applyFont="1" applyFill="1" applyBorder="1" applyAlignment="1">
      <alignment horizontal="left" vertical="center"/>
    </xf>
    <xf numFmtId="0" fontId="57" fillId="7" borderId="5" xfId="0" applyFont="1" applyFill="1" applyBorder="1"/>
    <xf numFmtId="0" fontId="57" fillId="7" borderId="6" xfId="0" applyFont="1" applyFill="1" applyBorder="1"/>
    <xf numFmtId="0" fontId="57" fillId="7" borderId="8" xfId="0" applyFont="1" applyFill="1" applyBorder="1"/>
    <xf numFmtId="0" fontId="57" fillId="7" borderId="2" xfId="0" applyFont="1" applyFill="1" applyBorder="1"/>
    <xf numFmtId="0" fontId="57" fillId="7" borderId="10" xfId="0" applyFont="1" applyFill="1" applyBorder="1"/>
    <xf numFmtId="0" fontId="57" fillId="7" borderId="11" xfId="0" applyFont="1" applyFill="1" applyBorder="1"/>
    <xf numFmtId="0" fontId="57" fillId="7" borderId="13" xfId="0" applyFont="1" applyFill="1" applyBorder="1"/>
    <xf numFmtId="0" fontId="57" fillId="7" borderId="14" xfId="0" applyFont="1" applyFill="1" applyBorder="1"/>
    <xf numFmtId="0" fontId="57" fillId="7" borderId="15" xfId="0" applyFont="1" applyFill="1" applyBorder="1"/>
    <xf numFmtId="0" fontId="32" fillId="0" borderId="0" xfId="3" applyFont="1" applyFill="1" applyAlignment="1">
      <alignment horizontal="left" vertical="center"/>
    </xf>
    <xf numFmtId="164" fontId="56" fillId="0" borderId="0" xfId="1" applyNumberFormat="1" applyFont="1" applyFill="1" applyAlignment="1">
      <alignment horizontal="center" vertical="center"/>
    </xf>
    <xf numFmtId="0" fontId="36" fillId="0" borderId="0" xfId="3" applyFont="1" applyFill="1" applyAlignment="1">
      <alignment horizontal="left" vertical="center"/>
    </xf>
    <xf numFmtId="164" fontId="56" fillId="0" borderId="0" xfId="1" applyNumberFormat="1" applyFont="1" applyFill="1" applyAlignment="1">
      <alignment vertical="center"/>
    </xf>
    <xf numFmtId="164" fontId="42" fillId="0" borderId="0" xfId="1" applyNumberFormat="1" applyFont="1" applyFill="1" applyAlignment="1">
      <alignment vertical="center" wrapText="1"/>
    </xf>
    <xf numFmtId="165" fontId="61" fillId="0" borderId="0" xfId="1" applyFont="1" applyFill="1" applyAlignment="1">
      <alignment vertical="center"/>
    </xf>
    <xf numFmtId="164" fontId="61" fillId="0" borderId="0" xfId="1" applyNumberFormat="1" applyFont="1" applyFill="1" applyAlignment="1">
      <alignment vertical="center"/>
    </xf>
    <xf numFmtId="164" fontId="14" fillId="0" borderId="0" xfId="1" applyNumberFormat="1" applyFont="1" applyFill="1" applyAlignment="1">
      <alignment vertical="center"/>
    </xf>
    <xf numFmtId="164" fontId="62" fillId="0" borderId="0" xfId="1" applyNumberFormat="1" applyFont="1" applyFill="1" applyAlignment="1">
      <alignment vertical="center"/>
    </xf>
    <xf numFmtId="164" fontId="20" fillId="0" borderId="0" xfId="1" applyNumberFormat="1" applyFont="1" applyFill="1" applyAlignment="1">
      <alignment vertical="center"/>
    </xf>
    <xf numFmtId="0" fontId="62" fillId="0" borderId="0" xfId="3" applyFont="1" applyFill="1" applyAlignment="1">
      <alignment horizontal="center" vertical="center"/>
    </xf>
    <xf numFmtId="0" fontId="63" fillId="0" borderId="0" xfId="3" applyFont="1" applyFill="1" applyAlignment="1">
      <alignment horizontal="left" vertical="center"/>
    </xf>
    <xf numFmtId="0" fontId="64" fillId="0" borderId="0" xfId="3" applyFont="1" applyFill="1" applyAlignment="1">
      <alignment horizontal="center" vertical="center"/>
    </xf>
    <xf numFmtId="164" fontId="65" fillId="0" borderId="0" xfId="1" applyNumberFormat="1" applyFont="1" applyFill="1" applyAlignment="1">
      <alignment vertical="center"/>
    </xf>
    <xf numFmtId="0" fontId="56" fillId="0" borderId="0" xfId="0" applyFont="1" applyFill="1" applyAlignment="1">
      <alignment horizontal="center" vertical="center"/>
    </xf>
    <xf numFmtId="0" fontId="56" fillId="0" borderId="0" xfId="0" applyFont="1" applyFill="1" applyAlignment="1">
      <alignment horizontal="center" vertical="center"/>
    </xf>
    <xf numFmtId="164" fontId="66" fillId="0" borderId="0" xfId="1" applyNumberFormat="1" applyFont="1" applyFill="1" applyAlignment="1">
      <alignment horizontal="center" vertical="center"/>
    </xf>
    <xf numFmtId="0" fontId="66" fillId="0" borderId="0" xfId="0" applyFont="1" applyFill="1" applyAlignment="1">
      <alignment horizontal="center" vertical="center"/>
    </xf>
    <xf numFmtId="0" fontId="67" fillId="0" borderId="0" xfId="0" applyFont="1" applyFill="1" applyAlignment="1">
      <alignment vertical="center"/>
    </xf>
    <xf numFmtId="0" fontId="56" fillId="0" borderId="0" xfId="0" applyFont="1" applyFill="1" applyAlignment="1">
      <alignment vertical="center"/>
    </xf>
    <xf numFmtId="0" fontId="66" fillId="0" borderId="0" xfId="0" applyFont="1" applyFill="1" applyAlignment="1">
      <alignment vertical="center"/>
    </xf>
    <xf numFmtId="165" fontId="66" fillId="0" borderId="0" xfId="1" applyFont="1" applyFill="1" applyAlignment="1">
      <alignment vertical="center"/>
    </xf>
    <xf numFmtId="164" fontId="67" fillId="0" borderId="0" xfId="0" applyNumberFormat="1" applyFont="1" applyFill="1" applyAlignment="1">
      <alignment vertical="center"/>
    </xf>
    <xf numFmtId="0" fontId="20" fillId="3" borderId="1" xfId="3" applyFont="1" applyFill="1" applyBorder="1" applyAlignment="1">
      <alignment horizontal="center" vertical="center"/>
    </xf>
    <xf numFmtId="164" fontId="20" fillId="3" borderId="1" xfId="1" applyNumberFormat="1" applyFont="1" applyFill="1" applyBorder="1" applyAlignment="1">
      <alignment horizontal="center" vertical="center" wrapText="1"/>
    </xf>
    <xf numFmtId="164" fontId="42" fillId="3" borderId="1" xfId="1" applyNumberFormat="1" applyFont="1" applyFill="1" applyBorder="1" applyAlignment="1">
      <alignment horizontal="center" vertical="center" wrapText="1"/>
    </xf>
    <xf numFmtId="165" fontId="42" fillId="7" borderId="4" xfId="1" applyFont="1" applyFill="1" applyBorder="1" applyAlignment="1">
      <alignment horizontal="center" vertical="center" wrapText="1"/>
    </xf>
    <xf numFmtId="164" fontId="42" fillId="7" borderId="1" xfId="1" applyNumberFormat="1" applyFont="1" applyFill="1" applyBorder="1" applyAlignment="1">
      <alignment horizontal="center" vertical="center" wrapText="1"/>
    </xf>
    <xf numFmtId="164" fontId="20" fillId="7" borderId="1" xfId="1" applyNumberFormat="1" applyFont="1" applyFill="1" applyBorder="1" applyAlignment="1">
      <alignment horizontal="center" vertical="center" wrapText="1"/>
    </xf>
    <xf numFmtId="164" fontId="20" fillId="0" borderId="3" xfId="1" applyNumberFormat="1" applyFont="1" applyFill="1" applyBorder="1" applyAlignment="1">
      <alignment horizontal="center" vertical="center" wrapText="1"/>
    </xf>
    <xf numFmtId="9" fontId="20" fillId="7" borderId="7" xfId="2" applyFont="1" applyFill="1" applyBorder="1" applyAlignment="1">
      <alignment horizontal="center" vertical="center"/>
    </xf>
    <xf numFmtId="165" fontId="20" fillId="3" borderId="7" xfId="1" applyFont="1" applyFill="1" applyBorder="1" applyAlignment="1">
      <alignment horizontal="center" vertical="center" wrapText="1"/>
    </xf>
    <xf numFmtId="0" fontId="65" fillId="0" borderId="0" xfId="0" applyFont="1" applyFill="1" applyAlignment="1">
      <alignment horizontal="center" vertical="center"/>
    </xf>
    <xf numFmtId="165" fontId="68" fillId="3" borderId="1" xfId="1" applyFont="1" applyFill="1" applyBorder="1" applyAlignment="1">
      <alignment horizontal="center" vertical="center" wrapText="1"/>
    </xf>
    <xf numFmtId="43" fontId="65" fillId="0" borderId="1" xfId="5" applyFont="1" applyFill="1" applyBorder="1" applyAlignment="1">
      <alignment horizontal="center" vertical="center" wrapText="1"/>
    </xf>
    <xf numFmtId="164" fontId="20" fillId="0" borderId="1" xfId="1" applyNumberFormat="1" applyFont="1" applyFill="1" applyBorder="1" applyAlignment="1">
      <alignment horizontal="center" vertical="center" wrapText="1"/>
    </xf>
    <xf numFmtId="164" fontId="20" fillId="3" borderId="17" xfId="1" applyNumberFormat="1" applyFont="1" applyFill="1" applyBorder="1" applyAlignment="1">
      <alignment horizontal="center" vertical="center" wrapText="1"/>
    </xf>
    <xf numFmtId="0" fontId="65" fillId="7" borderId="0" xfId="0" applyFont="1" applyFill="1" applyAlignment="1">
      <alignment horizontal="center" vertical="center"/>
    </xf>
    <xf numFmtId="0" fontId="20" fillId="3" borderId="1" xfId="1" applyNumberFormat="1" applyFont="1" applyFill="1" applyBorder="1" applyAlignment="1">
      <alignment horizontal="center" vertical="center" wrapText="1"/>
    </xf>
    <xf numFmtId="0" fontId="65" fillId="0" borderId="0" xfId="0" applyFont="1" applyFill="1" applyAlignment="1">
      <alignment horizontal="center"/>
    </xf>
    <xf numFmtId="0" fontId="65" fillId="0" borderId="0" xfId="0" applyFont="1" applyFill="1" applyAlignment="1">
      <alignment horizontal="center" vertical="center" wrapText="1"/>
    </xf>
    <xf numFmtId="0" fontId="20" fillId="0" borderId="9" xfId="3" applyFont="1" applyFill="1" applyBorder="1" applyAlignment="1">
      <alignment horizontal="center" vertical="center" shrinkToFit="1"/>
    </xf>
    <xf numFmtId="49" fontId="20" fillId="0" borderId="9" xfId="1" applyNumberFormat="1" applyFont="1" applyFill="1" applyBorder="1" applyAlignment="1">
      <alignment horizontal="center" vertical="center" shrinkToFit="1"/>
    </xf>
    <xf numFmtId="49" fontId="20" fillId="0" borderId="0" xfId="1" applyNumberFormat="1" applyFont="1" applyFill="1" applyAlignment="1">
      <alignment horizontal="center" vertical="center" shrinkToFit="1"/>
    </xf>
    <xf numFmtId="49" fontId="20" fillId="0" borderId="11" xfId="1" applyNumberFormat="1" applyFont="1" applyFill="1" applyBorder="1" applyAlignment="1">
      <alignment horizontal="center" vertical="center" shrinkToFit="1"/>
    </xf>
    <xf numFmtId="0" fontId="65" fillId="0" borderId="0" xfId="0" applyFont="1" applyFill="1" applyAlignment="1">
      <alignment horizontal="center" shrinkToFit="1"/>
    </xf>
    <xf numFmtId="49" fontId="20" fillId="0" borderId="10" xfId="1" applyNumberFormat="1" applyFont="1" applyFill="1" applyBorder="1" applyAlignment="1">
      <alignment horizontal="center" vertical="center" shrinkToFit="1"/>
    </xf>
    <xf numFmtId="167" fontId="42" fillId="0" borderId="17" xfId="1" applyNumberFormat="1" applyFont="1" applyFill="1" applyBorder="1" applyAlignment="1">
      <alignment horizontal="left" vertical="center"/>
    </xf>
    <xf numFmtId="164" fontId="42" fillId="0" borderId="19" xfId="1" applyNumberFormat="1" applyFont="1" applyFill="1" applyBorder="1" applyAlignment="1">
      <alignment horizontal="left" vertical="center"/>
    </xf>
    <xf numFmtId="165" fontId="32" fillId="0" borderId="0" xfId="1" applyFont="1" applyFill="1"/>
    <xf numFmtId="165" fontId="32" fillId="0" borderId="0" xfId="0" applyNumberFormat="1" applyFont="1" applyFill="1"/>
    <xf numFmtId="165" fontId="36" fillId="0" borderId="0" xfId="1" applyFont="1" applyFill="1"/>
    <xf numFmtId="0" fontId="69" fillId="0" borderId="0" xfId="3" applyFont="1" applyFill="1" applyAlignment="1">
      <alignment horizontal="center" vertical="center"/>
    </xf>
    <xf numFmtId="0" fontId="16" fillId="3" borderId="0" xfId="3" applyFont="1" applyFill="1" applyAlignment="1">
      <alignment horizontal="center" vertical="center"/>
    </xf>
    <xf numFmtId="49" fontId="70" fillId="0" borderId="1" xfId="1" applyNumberFormat="1" applyFont="1" applyFill="1" applyBorder="1" applyAlignment="1">
      <alignment horizontal="center" vertical="center" wrapText="1"/>
    </xf>
    <xf numFmtId="0" fontId="66" fillId="0" borderId="0" xfId="3" applyFont="1" applyFill="1" applyAlignment="1">
      <alignment horizontal="center" vertical="center"/>
    </xf>
    <xf numFmtId="164" fontId="66" fillId="0" borderId="0" xfId="1" applyNumberFormat="1" applyFont="1" applyFill="1" applyAlignment="1">
      <alignment horizontal="center" vertical="center" wrapText="1"/>
    </xf>
    <xf numFmtId="164" fontId="71" fillId="0" borderId="0" xfId="1" applyNumberFormat="1" applyFont="1" applyFill="1" applyAlignment="1">
      <alignment horizontal="center" vertical="center" wrapText="1"/>
    </xf>
    <xf numFmtId="164" fontId="66" fillId="0" borderId="0" xfId="1" applyNumberFormat="1" applyFont="1" applyFill="1" applyAlignment="1">
      <alignment vertical="center" wrapText="1"/>
    </xf>
    <xf numFmtId="165" fontId="66" fillId="0" borderId="0" xfId="1" applyFont="1" applyFill="1" applyAlignment="1">
      <alignment horizontal="center" vertical="center"/>
    </xf>
    <xf numFmtId="165" fontId="66" fillId="0" borderId="0" xfId="1" applyFont="1" applyFill="1" applyAlignment="1">
      <alignment horizontal="center" vertical="center" wrapText="1"/>
    </xf>
    <xf numFmtId="164" fontId="66" fillId="0" borderId="0" xfId="0" applyNumberFormat="1" applyFont="1" applyFill="1" applyAlignment="1">
      <alignment vertical="center"/>
    </xf>
    <xf numFmtId="164" fontId="66" fillId="0" borderId="0" xfId="1" applyNumberFormat="1" applyFont="1" applyFill="1" applyAlignment="1">
      <alignment horizontal="center" vertical="center"/>
    </xf>
    <xf numFmtId="0" fontId="72" fillId="3" borderId="9" xfId="0" applyFont="1" applyFill="1" applyBorder="1"/>
    <xf numFmtId="0" fontId="72" fillId="3" borderId="17" xfId="0" applyFont="1" applyFill="1" applyBorder="1"/>
    <xf numFmtId="0" fontId="72" fillId="3" borderId="10" xfId="0" applyFont="1" applyFill="1" applyBorder="1"/>
    <xf numFmtId="0" fontId="72" fillId="3" borderId="19" xfId="0" applyFont="1" applyFill="1" applyBorder="1"/>
    <xf numFmtId="0" fontId="72" fillId="3" borderId="11" xfId="0" applyFont="1" applyFill="1" applyBorder="1"/>
    <xf numFmtId="0" fontId="72" fillId="3" borderId="15" xfId="0" applyFont="1" applyFill="1" applyBorder="1"/>
    <xf numFmtId="0" fontId="72" fillId="3" borderId="18" xfId="0" applyFont="1" applyFill="1" applyBorder="1"/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CI27"/>
  <sheetViews>
    <sheetView tabSelected="1" zoomScaleNormal="100" zoomScaleSheetLayoutView="70" workbookViewId="0">
      <selection activeCell="A22" sqref="A22"/>
    </sheetView>
  </sheetViews>
  <sheetFormatPr baseColWidth="10" defaultColWidth="9.1640625" defaultRowHeight="15" outlineLevelRow="1" outlineLevelCol="1"/>
  <cols>
    <col min="1" max="1" width="5.5" style="341" customWidth="1"/>
    <col min="2" max="2" width="8.5" style="351" customWidth="1"/>
    <col min="3" max="3" width="15.83203125" style="343" customWidth="1"/>
    <col min="4" max="4" width="15.83203125" style="344" customWidth="1" outlineLevel="1"/>
    <col min="5" max="5" width="14.1640625" style="344" bestFit="1" customWidth="1" outlineLevel="1"/>
    <col min="6" max="6" width="11.5" style="345" customWidth="1" outlineLevel="1"/>
    <col min="7" max="7" width="13.6640625" style="346" bestFit="1" customWidth="1"/>
    <col min="8" max="8" width="12.5" style="346" customWidth="1"/>
    <col min="9" max="9" width="12.5" style="347" customWidth="1"/>
    <col min="10" max="10" width="7.5" style="347" customWidth="1" outlineLevel="1"/>
    <col min="11" max="11" width="17.83203125" style="348" bestFit="1" customWidth="1"/>
    <col min="12" max="24" width="7.1640625" style="348" customWidth="1"/>
    <col min="25" max="47" width="12.33203125" style="346" customWidth="1"/>
    <col min="48" max="49" width="13" style="346" customWidth="1"/>
    <col min="50" max="50" width="6.6640625" style="346" customWidth="1"/>
    <col min="51" max="53" width="10.5" style="346" customWidth="1" outlineLevel="1"/>
    <col min="54" max="58" width="10.5" style="346" customWidth="1"/>
    <col min="59" max="59" width="13.6640625" style="346" bestFit="1" customWidth="1"/>
    <col min="60" max="71" width="10.5" style="346" customWidth="1"/>
    <col min="72" max="74" width="12.5" style="346" customWidth="1"/>
    <col min="75" max="79" width="12.6640625" style="346" customWidth="1" outlineLevel="1"/>
    <col min="80" max="80" width="12.6640625" style="349" customWidth="1" outlineLevel="1"/>
    <col min="81" max="82" width="10.6640625" style="349" customWidth="1" outlineLevel="1"/>
    <col min="83" max="83" width="19.5" style="350" customWidth="1"/>
    <col min="84" max="84" width="12.33203125" style="350" customWidth="1"/>
    <col min="85" max="85" width="12.5" style="350" customWidth="1"/>
    <col min="86" max="86" width="11.6640625" style="350" customWidth="1"/>
    <col min="87" max="87" width="9.1640625" style="350" customWidth="1"/>
    <col min="88" max="16384" width="9.1640625" style="350"/>
  </cols>
  <sheetData>
    <row r="1" spans="1:87" s="318" customFormat="1" ht="23.25" customHeight="1" outlineLevel="1">
      <c r="A1" s="386" t="s">
        <v>0</v>
      </c>
      <c r="B1" s="387"/>
      <c r="C1" s="388"/>
      <c r="D1" s="389"/>
      <c r="E1" s="389"/>
      <c r="F1" s="389"/>
      <c r="I1" s="390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2"/>
      <c r="Z1" s="392"/>
      <c r="AA1" s="392"/>
      <c r="AB1" s="392"/>
      <c r="AC1" s="392"/>
      <c r="AD1" s="392"/>
      <c r="AE1" s="392"/>
      <c r="AF1" s="392"/>
      <c r="AG1" s="392"/>
      <c r="AH1" s="392"/>
      <c r="AI1" s="392"/>
      <c r="AJ1" s="392"/>
      <c r="AK1" s="392"/>
      <c r="AL1" s="392"/>
      <c r="AM1" s="392"/>
      <c r="AN1" s="392"/>
      <c r="AO1" s="392"/>
      <c r="AP1" s="392"/>
      <c r="AQ1" s="392"/>
      <c r="AR1" s="392"/>
      <c r="AS1" s="392"/>
      <c r="AT1" s="392"/>
      <c r="AU1" s="392"/>
      <c r="AV1" s="392"/>
      <c r="AW1" s="392"/>
      <c r="AX1" s="392"/>
      <c r="AY1" s="392"/>
      <c r="AZ1" s="392"/>
      <c r="BA1" s="392"/>
      <c r="BB1" s="392"/>
      <c r="BC1" s="392"/>
      <c r="BD1" s="393"/>
      <c r="BE1" s="392"/>
      <c r="BF1" s="393"/>
      <c r="BG1" s="392"/>
      <c r="BH1" s="392"/>
      <c r="BI1" s="392"/>
      <c r="BJ1" s="392"/>
      <c r="BK1" s="392"/>
      <c r="BL1" s="392"/>
      <c r="BM1" s="392"/>
      <c r="BN1" s="392"/>
      <c r="BO1" s="392"/>
      <c r="BP1" s="394"/>
      <c r="BQ1" s="392"/>
      <c r="BR1" s="392"/>
      <c r="BS1" s="392"/>
      <c r="BU1" s="392"/>
      <c r="BV1" s="392"/>
      <c r="BW1" s="395"/>
      <c r="BX1" s="395"/>
      <c r="BY1" s="395"/>
      <c r="BZ1" s="395"/>
      <c r="CA1" s="395"/>
      <c r="CB1" s="396"/>
      <c r="CC1" s="396"/>
      <c r="CD1" s="396"/>
    </row>
    <row r="2" spans="1:87" s="318" customFormat="1" ht="19.25" customHeight="1" outlineLevel="1">
      <c r="A2" s="397" t="s">
        <v>1</v>
      </c>
      <c r="B2" s="387"/>
      <c r="C2" s="398"/>
      <c r="D2" s="389"/>
      <c r="E2" s="389"/>
      <c r="F2" s="389"/>
      <c r="I2" s="390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  <c r="W2" s="391"/>
      <c r="X2" s="391"/>
      <c r="Y2" s="392"/>
      <c r="Z2" s="392"/>
      <c r="AA2" s="392"/>
      <c r="AB2" s="392"/>
      <c r="AC2" s="392"/>
      <c r="AD2" s="392"/>
      <c r="AE2" s="392"/>
      <c r="AF2" s="392"/>
      <c r="AG2" s="392"/>
      <c r="AH2" s="392"/>
      <c r="AI2" s="392"/>
      <c r="AJ2" s="392"/>
      <c r="AK2" s="392"/>
      <c r="AL2" s="392"/>
      <c r="AM2" s="392"/>
      <c r="AN2" s="392"/>
      <c r="AO2" s="392"/>
      <c r="AP2" s="392"/>
      <c r="AQ2" s="392"/>
      <c r="AR2" s="392"/>
      <c r="AS2" s="392"/>
      <c r="AT2" s="392"/>
      <c r="AU2" s="392"/>
      <c r="AV2" s="392"/>
      <c r="AW2" s="392"/>
      <c r="AX2" s="392"/>
      <c r="AY2" s="392"/>
      <c r="AZ2" s="392"/>
      <c r="BA2" s="392"/>
      <c r="BB2" s="392"/>
      <c r="BC2" s="392"/>
      <c r="BD2" s="393"/>
      <c r="BE2" s="392"/>
      <c r="BF2" s="392"/>
      <c r="BG2" s="392"/>
      <c r="BH2" s="392"/>
      <c r="BI2" s="392"/>
      <c r="BJ2" s="392"/>
      <c r="BK2" s="392"/>
      <c r="BL2" s="392"/>
      <c r="BM2" s="392"/>
      <c r="BN2" s="392"/>
      <c r="BO2" s="392"/>
      <c r="BP2" s="392"/>
      <c r="BQ2" s="392"/>
      <c r="BR2" s="392"/>
      <c r="BS2" s="392"/>
      <c r="BT2" s="392"/>
      <c r="BU2" s="392"/>
      <c r="BV2" s="392"/>
      <c r="BW2" s="399"/>
      <c r="BX2" s="399"/>
      <c r="BY2" s="399"/>
      <c r="BZ2" s="399"/>
      <c r="CA2" s="399"/>
      <c r="CB2" s="398"/>
      <c r="CC2" s="398"/>
      <c r="CD2" s="398"/>
    </row>
    <row r="3" spans="1:87" s="293" customFormat="1" ht="24" customHeight="1" outlineLevel="1">
      <c r="A3" s="400"/>
      <c r="B3" s="294"/>
      <c r="C3" s="294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4"/>
      <c r="P3" s="294"/>
      <c r="Q3" s="294"/>
      <c r="R3" s="294"/>
      <c r="S3" s="294"/>
      <c r="T3" s="294"/>
      <c r="U3" s="294"/>
      <c r="V3" s="294"/>
      <c r="W3" s="294"/>
      <c r="X3" s="294"/>
      <c r="Y3" s="294"/>
      <c r="Z3" s="294"/>
      <c r="AA3" s="294"/>
      <c r="AB3" s="294"/>
      <c r="AC3" s="294"/>
      <c r="AD3" s="294"/>
      <c r="AE3" s="294"/>
      <c r="AF3" s="294"/>
      <c r="AG3" s="294"/>
      <c r="AH3" s="294"/>
      <c r="AI3" s="294"/>
      <c r="AJ3" s="294"/>
      <c r="AK3" s="294"/>
      <c r="AL3" s="294"/>
      <c r="AM3" s="294"/>
      <c r="AN3" s="294"/>
      <c r="AO3" s="294"/>
      <c r="AP3" s="294"/>
      <c r="AQ3" s="294"/>
      <c r="AR3" s="294"/>
      <c r="AS3" s="294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  <c r="BP3" s="294"/>
      <c r="BQ3" s="294"/>
      <c r="BR3" s="294"/>
      <c r="BS3" s="294"/>
      <c r="BT3" s="294"/>
      <c r="BU3" s="294"/>
      <c r="BV3" s="401"/>
      <c r="BW3" s="402" t="s">
        <v>2</v>
      </c>
      <c r="BX3" s="294"/>
      <c r="BY3" s="294"/>
      <c r="BZ3" s="294"/>
      <c r="CA3" s="294"/>
      <c r="CB3" s="294"/>
      <c r="CC3" s="403"/>
      <c r="CD3" s="403"/>
    </row>
    <row r="4" spans="1:87" s="293" customFormat="1" ht="21.5" customHeight="1" outlineLevel="1">
      <c r="A4" s="404"/>
      <c r="B4" s="404"/>
      <c r="C4" s="404"/>
      <c r="D4" s="404"/>
      <c r="E4" s="404"/>
      <c r="F4" s="404"/>
      <c r="G4" s="404"/>
      <c r="H4" s="404"/>
      <c r="I4" s="390"/>
      <c r="K4" s="404"/>
      <c r="L4" s="404"/>
      <c r="M4" s="404"/>
      <c r="N4" s="404"/>
      <c r="O4" s="404"/>
      <c r="P4" s="404"/>
      <c r="Q4" s="404"/>
      <c r="R4" s="404"/>
      <c r="S4" s="404"/>
      <c r="T4" s="404"/>
      <c r="U4" s="404"/>
      <c r="V4" s="405"/>
      <c r="W4" s="405"/>
      <c r="X4" s="405"/>
      <c r="Y4" s="405"/>
      <c r="Z4" s="405"/>
      <c r="AA4" s="405"/>
      <c r="AB4" s="405"/>
      <c r="AC4" s="405"/>
      <c r="AD4" s="405"/>
      <c r="AE4" s="405"/>
      <c r="AF4" s="405"/>
      <c r="AG4" s="405"/>
      <c r="AH4" s="405"/>
      <c r="AI4" s="405"/>
      <c r="AJ4" s="405"/>
      <c r="AK4" s="405"/>
      <c r="AL4" s="405"/>
      <c r="AM4" s="404"/>
      <c r="AN4" s="404"/>
      <c r="AO4" s="404"/>
      <c r="AP4" s="404"/>
      <c r="AQ4" s="404"/>
      <c r="AR4" s="404"/>
      <c r="AS4" s="404"/>
      <c r="AT4" s="404"/>
      <c r="AU4" s="404"/>
      <c r="AV4" s="404"/>
      <c r="AW4" s="404"/>
      <c r="AX4" s="404"/>
      <c r="AY4" s="404"/>
      <c r="AZ4" s="404"/>
      <c r="BA4" s="404"/>
      <c r="BB4" s="404"/>
      <c r="BC4" s="404"/>
      <c r="BD4" s="404"/>
      <c r="BE4" s="404"/>
      <c r="BF4" s="404"/>
      <c r="BG4" s="404"/>
      <c r="BH4" s="404"/>
      <c r="BI4" s="404"/>
      <c r="BJ4" s="404"/>
      <c r="BK4" s="404"/>
      <c r="BL4" s="404"/>
      <c r="BM4" s="404"/>
      <c r="BN4" s="404"/>
      <c r="BO4" s="404"/>
      <c r="BP4" s="404"/>
      <c r="BQ4" s="404"/>
      <c r="BR4" s="404"/>
      <c r="BS4" s="404"/>
      <c r="BT4" s="404"/>
      <c r="BU4" s="404"/>
      <c r="BV4" s="404"/>
      <c r="BW4" s="294"/>
      <c r="BX4" s="294"/>
      <c r="BY4" s="294"/>
      <c r="BZ4" s="294"/>
      <c r="CA4" s="294"/>
      <c r="CB4" s="294"/>
      <c r="CC4" s="403"/>
      <c r="CD4" s="403"/>
    </row>
    <row r="5" spans="1:87" s="293" customFormat="1" ht="20.25" customHeight="1" outlineLevel="1">
      <c r="A5" s="404"/>
      <c r="B5" s="404"/>
      <c r="C5" s="404"/>
      <c r="D5" s="404"/>
      <c r="E5" s="404"/>
      <c r="F5" s="404"/>
      <c r="G5" s="404"/>
      <c r="H5" s="404"/>
      <c r="I5" s="390"/>
      <c r="K5" s="404"/>
      <c r="L5" s="404"/>
      <c r="M5" s="404"/>
      <c r="N5" s="404"/>
      <c r="O5" s="404"/>
      <c r="P5" s="404"/>
      <c r="Q5" s="404"/>
      <c r="R5" s="404"/>
      <c r="S5" s="404"/>
      <c r="T5" s="404"/>
      <c r="U5" s="404"/>
      <c r="V5" s="404"/>
      <c r="W5" s="404"/>
      <c r="X5" s="404"/>
      <c r="Y5" s="404"/>
      <c r="Z5" s="404"/>
      <c r="AA5" s="404"/>
      <c r="AB5" s="404"/>
      <c r="AC5" s="404"/>
      <c r="AD5" s="404"/>
      <c r="AE5" s="404"/>
      <c r="AF5" s="404"/>
      <c r="AG5" s="404"/>
      <c r="AH5" s="404"/>
      <c r="AI5" s="404"/>
      <c r="AJ5" s="404"/>
      <c r="AK5" s="404"/>
      <c r="AL5" s="404"/>
      <c r="AM5" s="404"/>
      <c r="AN5" s="404"/>
      <c r="AO5" s="404"/>
      <c r="AP5" s="404"/>
      <c r="AQ5" s="404"/>
      <c r="AR5" s="404"/>
      <c r="AS5" s="404"/>
      <c r="AT5" s="404"/>
      <c r="AU5" s="404"/>
      <c r="AV5" s="404"/>
      <c r="AW5" s="404"/>
      <c r="AX5" s="404"/>
      <c r="AY5" s="404"/>
      <c r="AZ5" s="404"/>
      <c r="BA5" s="404"/>
      <c r="BB5" s="404"/>
      <c r="BC5" s="404"/>
      <c r="BD5" s="404"/>
      <c r="BE5" s="404"/>
      <c r="BF5" s="404"/>
      <c r="BG5" s="404"/>
      <c r="BH5" s="404"/>
      <c r="BI5" s="404"/>
      <c r="BJ5" s="404"/>
      <c r="BK5" s="404"/>
      <c r="BL5" s="404"/>
      <c r="BM5" s="404"/>
      <c r="BN5" s="404"/>
      <c r="BO5" s="404"/>
      <c r="BP5" s="404"/>
      <c r="BQ5" s="404"/>
      <c r="BR5" s="404"/>
      <c r="BS5" s="404"/>
      <c r="BT5" s="404"/>
      <c r="BU5" s="404"/>
      <c r="BV5" s="404"/>
      <c r="BW5" s="294"/>
      <c r="BX5" s="294"/>
      <c r="BY5" s="294"/>
      <c r="BZ5" s="294"/>
      <c r="CA5" s="294"/>
      <c r="CB5" s="294"/>
      <c r="CC5" s="403"/>
      <c r="CD5" s="403"/>
    </row>
    <row r="6" spans="1:87" s="293" customFormat="1" ht="34" customHeight="1" outlineLevel="1">
      <c r="A6" s="406"/>
      <c r="D6" s="406"/>
      <c r="E6" s="406"/>
      <c r="F6" s="406"/>
      <c r="G6" s="406"/>
      <c r="H6" s="406"/>
      <c r="I6" s="390"/>
      <c r="K6" s="407"/>
      <c r="L6" s="407"/>
      <c r="M6" s="407"/>
      <c r="N6" s="407"/>
      <c r="O6" s="407"/>
      <c r="P6" s="407"/>
      <c r="Q6" s="407"/>
      <c r="R6" s="407"/>
      <c r="S6" s="407"/>
      <c r="T6" s="407"/>
      <c r="U6" s="407"/>
      <c r="V6" s="407"/>
      <c r="W6" s="407"/>
      <c r="X6" s="407"/>
      <c r="Y6" s="408"/>
      <c r="Z6" s="408"/>
      <c r="AA6" s="408"/>
      <c r="AB6" s="408"/>
      <c r="AC6" s="404"/>
      <c r="AD6" s="406"/>
      <c r="AE6" s="406"/>
      <c r="AF6" s="406"/>
      <c r="AG6" s="406"/>
      <c r="AH6" s="406"/>
      <c r="AI6" s="406"/>
      <c r="AJ6" s="406"/>
      <c r="AK6" s="406"/>
      <c r="AL6" s="406"/>
      <c r="AM6" s="406"/>
      <c r="AN6" s="406"/>
      <c r="AO6" s="406"/>
      <c r="AP6" s="406"/>
      <c r="AQ6" s="406"/>
      <c r="AR6" s="406"/>
      <c r="AS6" s="406"/>
      <c r="AT6" s="406"/>
      <c r="AU6" s="406"/>
      <c r="AV6" s="406"/>
      <c r="AW6" s="406"/>
      <c r="AX6" s="406"/>
      <c r="AY6" s="406"/>
      <c r="AZ6" s="406"/>
      <c r="BA6" s="406"/>
      <c r="BB6" s="406"/>
      <c r="BC6" s="406"/>
      <c r="BD6" s="406"/>
      <c r="BE6" s="406"/>
      <c r="BF6" s="406"/>
      <c r="BG6" s="406"/>
      <c r="BH6" s="406"/>
      <c r="BI6" s="406"/>
      <c r="BJ6" s="406"/>
      <c r="BK6" s="406"/>
      <c r="BL6" s="406"/>
      <c r="BM6" s="406"/>
      <c r="BN6" s="406"/>
      <c r="BO6" s="406"/>
      <c r="BP6" s="406"/>
      <c r="BQ6" s="406"/>
      <c r="BR6" s="406"/>
      <c r="BS6" s="406"/>
      <c r="BT6" s="406"/>
      <c r="BU6" s="406"/>
      <c r="BV6" s="406"/>
      <c r="BW6" s="294"/>
      <c r="BX6" s="294"/>
      <c r="BY6" s="294"/>
      <c r="BZ6" s="294"/>
      <c r="CA6" s="294"/>
      <c r="CB6" s="294"/>
      <c r="CC6" s="403"/>
      <c r="CD6" s="403"/>
    </row>
    <row r="7" spans="1:87" s="441" customFormat="1" ht="31" outlineLevel="1">
      <c r="B7" s="406" t="s">
        <v>155</v>
      </c>
      <c r="C7" s="406" t="s">
        <v>155</v>
      </c>
      <c r="D7" s="442"/>
      <c r="E7" s="442" t="s">
        <v>156</v>
      </c>
      <c r="F7" s="443"/>
      <c r="G7" s="442" t="s">
        <v>156</v>
      </c>
      <c r="H7" s="442"/>
      <c r="I7" s="444" t="s">
        <v>158</v>
      </c>
      <c r="J7" s="441" t="s">
        <v>157</v>
      </c>
      <c r="K7" s="445"/>
      <c r="L7" s="445"/>
      <c r="M7" s="445"/>
      <c r="N7" s="445"/>
      <c r="O7" s="445"/>
      <c r="Q7" s="445"/>
      <c r="R7" s="445"/>
      <c r="S7" s="445"/>
      <c r="T7" s="445"/>
      <c r="U7" s="446"/>
      <c r="V7" s="445"/>
      <c r="W7" s="445"/>
      <c r="X7" s="445"/>
      <c r="Y7" s="447" t="s">
        <v>158</v>
      </c>
      <c r="Z7" s="447" t="s">
        <v>158</v>
      </c>
      <c r="AA7" s="447" t="s">
        <v>158</v>
      </c>
      <c r="AB7" s="447"/>
      <c r="AC7" s="445" t="s">
        <v>158</v>
      </c>
      <c r="AD7" s="406" t="s">
        <v>158</v>
      </c>
      <c r="AE7" s="406" t="s">
        <v>158</v>
      </c>
      <c r="AF7" s="406"/>
      <c r="AG7" s="406"/>
      <c r="AH7" s="406" t="s">
        <v>158</v>
      </c>
      <c r="AI7" s="406" t="s">
        <v>158</v>
      </c>
      <c r="AJ7" s="406"/>
      <c r="AK7" s="406"/>
      <c r="AL7" s="406" t="s">
        <v>158</v>
      </c>
      <c r="AM7" s="406" t="s">
        <v>159</v>
      </c>
      <c r="AN7" s="406" t="s">
        <v>158</v>
      </c>
      <c r="AO7" s="406" t="s">
        <v>158</v>
      </c>
      <c r="AP7" s="406" t="s">
        <v>159</v>
      </c>
      <c r="AQ7" s="406"/>
      <c r="AR7" s="406" t="s">
        <v>159</v>
      </c>
      <c r="AS7" s="406" t="s">
        <v>159</v>
      </c>
      <c r="AT7" s="406" t="s">
        <v>156</v>
      </c>
      <c r="AU7" s="406" t="s">
        <v>159</v>
      </c>
      <c r="AY7" s="442"/>
      <c r="BA7" s="442"/>
      <c r="BB7" s="442" t="s">
        <v>160</v>
      </c>
      <c r="BE7" s="442"/>
      <c r="BF7" s="442"/>
      <c r="BG7" s="442"/>
      <c r="BH7" s="442"/>
      <c r="BI7" s="442" t="s">
        <v>160</v>
      </c>
      <c r="BJ7" s="442"/>
      <c r="BK7" s="442"/>
      <c r="BL7" s="441" t="s">
        <v>160</v>
      </c>
      <c r="BN7" s="442"/>
      <c r="BP7" s="442"/>
      <c r="BT7" s="442" t="s">
        <v>161</v>
      </c>
      <c r="BU7" s="441" t="s">
        <v>161</v>
      </c>
      <c r="BW7" s="448"/>
      <c r="BX7" s="448" t="s">
        <v>156</v>
      </c>
      <c r="BY7" s="448" t="s">
        <v>156</v>
      </c>
      <c r="BZ7" s="448"/>
      <c r="CA7" s="448" t="s">
        <v>156</v>
      </c>
      <c r="CB7" s="446"/>
      <c r="CC7" s="446"/>
      <c r="CD7" s="446"/>
      <c r="CE7" s="406" t="s">
        <v>155</v>
      </c>
    </row>
    <row r="8" spans="1:87" s="418" customFormat="1" ht="19.25" customHeight="1">
      <c r="A8" s="409" t="s">
        <v>4</v>
      </c>
      <c r="B8" s="352" t="s">
        <v>5</v>
      </c>
      <c r="C8" s="281" t="s">
        <v>6</v>
      </c>
      <c r="D8" s="353" t="s">
        <v>7</v>
      </c>
      <c r="E8" s="353" t="s">
        <v>8</v>
      </c>
      <c r="F8" s="281" t="s">
        <v>9</v>
      </c>
      <c r="G8" s="255" t="s">
        <v>10</v>
      </c>
      <c r="H8" s="411" t="s">
        <v>11</v>
      </c>
      <c r="I8" s="411" t="s">
        <v>12</v>
      </c>
      <c r="J8" s="411" t="s">
        <v>13</v>
      </c>
      <c r="K8" s="412" t="s">
        <v>14</v>
      </c>
      <c r="L8" s="377"/>
      <c r="M8" s="377"/>
      <c r="N8" s="377"/>
      <c r="O8" s="377"/>
      <c r="P8" s="377"/>
      <c r="Q8" s="377"/>
      <c r="R8" s="377"/>
      <c r="S8" s="377"/>
      <c r="T8" s="377"/>
      <c r="U8" s="377"/>
      <c r="V8" s="377"/>
      <c r="W8" s="377"/>
      <c r="X8" s="377"/>
      <c r="Y8" s="413" t="s">
        <v>15</v>
      </c>
      <c r="Z8" s="377"/>
      <c r="AA8" s="377"/>
      <c r="AB8" s="377"/>
      <c r="AC8" s="377"/>
      <c r="AD8" s="377"/>
      <c r="AE8" s="377"/>
      <c r="AF8" s="377"/>
      <c r="AG8" s="377"/>
      <c r="AH8" s="377"/>
      <c r="AI8" s="377"/>
      <c r="AJ8" s="377"/>
      <c r="AK8" s="377"/>
      <c r="AL8" s="377"/>
      <c r="AM8" s="377"/>
      <c r="AN8" s="377"/>
      <c r="AO8" s="378"/>
      <c r="AP8" s="411" t="s">
        <v>16</v>
      </c>
      <c r="AQ8" s="411" t="s">
        <v>17</v>
      </c>
      <c r="AR8" s="411" t="s">
        <v>18</v>
      </c>
      <c r="AS8" s="411" t="s">
        <v>19</v>
      </c>
      <c r="AT8" s="411" t="s">
        <v>20</v>
      </c>
      <c r="AU8" s="411" t="s">
        <v>21</v>
      </c>
      <c r="AV8" s="281" t="s">
        <v>22</v>
      </c>
      <c r="AW8" s="410" t="s">
        <v>23</v>
      </c>
      <c r="AX8" s="410" t="s">
        <v>24</v>
      </c>
      <c r="AY8" s="414" t="s">
        <v>25</v>
      </c>
      <c r="AZ8" s="377"/>
      <c r="BA8" s="377"/>
      <c r="BB8" s="377"/>
      <c r="BC8" s="377"/>
      <c r="BD8" s="377"/>
      <c r="BE8" s="377"/>
      <c r="BF8" s="377"/>
      <c r="BG8" s="377"/>
      <c r="BH8" s="377"/>
      <c r="BI8" s="377"/>
      <c r="BJ8" s="377"/>
      <c r="BK8" s="377"/>
      <c r="BL8" s="377"/>
      <c r="BM8" s="377"/>
      <c r="BN8" s="377"/>
      <c r="BO8" s="377"/>
      <c r="BP8" s="377"/>
      <c r="BQ8" s="378"/>
      <c r="BR8" s="415" t="s">
        <v>26</v>
      </c>
      <c r="BS8" s="321"/>
      <c r="BT8" s="281" t="s">
        <v>27</v>
      </c>
      <c r="BU8" s="357" t="s">
        <v>28</v>
      </c>
      <c r="BV8" s="295"/>
      <c r="BW8" s="360" t="s">
        <v>29</v>
      </c>
      <c r="BX8" s="416" t="s">
        <v>30</v>
      </c>
      <c r="BY8" s="379"/>
      <c r="BZ8" s="379"/>
      <c r="CA8" s="380"/>
      <c r="CB8" s="363" t="s">
        <v>31</v>
      </c>
      <c r="CC8" s="417" t="s">
        <v>32</v>
      </c>
      <c r="CD8" s="417" t="s">
        <v>33</v>
      </c>
      <c r="CH8" s="322"/>
      <c r="CI8" s="322"/>
    </row>
    <row r="9" spans="1:87" s="418" customFormat="1" ht="19.25" customHeight="1">
      <c r="A9" s="354"/>
      <c r="B9" s="449"/>
      <c r="C9" s="449"/>
      <c r="D9" s="449"/>
      <c r="E9" s="449"/>
      <c r="F9" s="449"/>
      <c r="G9" s="449"/>
      <c r="H9" s="354"/>
      <c r="I9" s="354"/>
      <c r="J9" s="354"/>
      <c r="K9" s="419" t="s">
        <v>34</v>
      </c>
      <c r="L9" s="419" t="s">
        <v>35</v>
      </c>
      <c r="M9" s="419" t="s">
        <v>36</v>
      </c>
      <c r="N9" s="419" t="s">
        <v>37</v>
      </c>
      <c r="O9" s="419" t="s">
        <v>38</v>
      </c>
      <c r="P9" s="419" t="s">
        <v>39</v>
      </c>
      <c r="Q9" s="419" t="s">
        <v>40</v>
      </c>
      <c r="R9" s="419" t="s">
        <v>41</v>
      </c>
      <c r="S9" s="419" t="s">
        <v>42</v>
      </c>
      <c r="T9" s="419" t="s">
        <v>43</v>
      </c>
      <c r="U9" s="419" t="s">
        <v>44</v>
      </c>
      <c r="V9" s="420" t="s">
        <v>45</v>
      </c>
      <c r="W9" s="321"/>
      <c r="X9" s="419" t="s">
        <v>46</v>
      </c>
      <c r="Y9" s="262" t="s">
        <v>154</v>
      </c>
      <c r="Z9" s="262" t="s">
        <v>48</v>
      </c>
      <c r="AA9" s="262" t="s">
        <v>49</v>
      </c>
      <c r="AB9" s="262" t="s">
        <v>50</v>
      </c>
      <c r="AC9" s="262" t="s">
        <v>51</v>
      </c>
      <c r="AD9" s="262" t="s">
        <v>52</v>
      </c>
      <c r="AE9" s="262" t="s">
        <v>53</v>
      </c>
      <c r="AF9" s="262" t="s">
        <v>54</v>
      </c>
      <c r="AG9" s="262" t="s">
        <v>55</v>
      </c>
      <c r="AH9" s="262" t="s">
        <v>56</v>
      </c>
      <c r="AI9" s="262" t="s">
        <v>57</v>
      </c>
      <c r="AJ9" s="262" t="s">
        <v>58</v>
      </c>
      <c r="AK9" s="357" t="s">
        <v>59</v>
      </c>
      <c r="AL9" s="281" t="s">
        <v>60</v>
      </c>
      <c r="AM9" s="262" t="s">
        <v>61</v>
      </c>
      <c r="AN9" s="281" t="s">
        <v>62</v>
      </c>
      <c r="AO9" s="281" t="s">
        <v>63</v>
      </c>
      <c r="AP9" s="354"/>
      <c r="AQ9" s="354"/>
      <c r="AR9" s="354"/>
      <c r="AS9" s="354"/>
      <c r="AT9" s="354"/>
      <c r="AU9" s="354"/>
      <c r="AV9" s="449"/>
      <c r="AW9" s="354"/>
      <c r="AX9" s="354"/>
      <c r="AY9" s="421" t="s">
        <v>25</v>
      </c>
      <c r="AZ9" s="319"/>
      <c r="BA9" s="319"/>
      <c r="BB9" s="319"/>
      <c r="BC9" s="319"/>
      <c r="BD9" s="319"/>
      <c r="BE9" s="319"/>
      <c r="BF9" s="319"/>
      <c r="BG9" s="319"/>
      <c r="BH9" s="319"/>
      <c r="BI9" s="319"/>
      <c r="BJ9" s="319"/>
      <c r="BK9" s="319"/>
      <c r="BL9" s="320"/>
      <c r="BM9" s="421" t="s">
        <v>64</v>
      </c>
      <c r="BN9" s="319"/>
      <c r="BO9" s="319"/>
      <c r="BP9" s="319"/>
      <c r="BQ9" s="320"/>
      <c r="BR9" s="422" t="s">
        <v>65</v>
      </c>
      <c r="BS9" s="422" t="s">
        <v>66</v>
      </c>
      <c r="BT9" s="449"/>
      <c r="BU9" s="451"/>
      <c r="BV9" s="295"/>
      <c r="BW9" s="453"/>
      <c r="BX9" s="381"/>
      <c r="BY9" s="423"/>
      <c r="BZ9" s="423"/>
      <c r="CA9" s="382"/>
      <c r="CB9" s="449"/>
      <c r="CC9" s="354"/>
      <c r="CD9" s="354"/>
      <c r="CH9" s="322"/>
      <c r="CI9" s="322"/>
    </row>
    <row r="10" spans="1:87" s="425" customFormat="1" ht="19.25" customHeight="1">
      <c r="A10" s="354"/>
      <c r="B10" s="449"/>
      <c r="C10" s="449"/>
      <c r="D10" s="449"/>
      <c r="E10" s="449"/>
      <c r="F10" s="449"/>
      <c r="G10" s="449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  <c r="T10" s="354"/>
      <c r="U10" s="354"/>
      <c r="V10" s="323"/>
      <c r="W10" s="324"/>
      <c r="X10" s="354"/>
      <c r="Y10" s="449"/>
      <c r="Z10" s="449"/>
      <c r="AA10" s="449"/>
      <c r="AB10" s="449"/>
      <c r="AC10" s="449"/>
      <c r="AD10" s="449"/>
      <c r="AE10" s="449"/>
      <c r="AF10" s="449"/>
      <c r="AG10" s="449"/>
      <c r="AH10" s="449"/>
      <c r="AI10" s="449"/>
      <c r="AJ10" s="449"/>
      <c r="AK10" s="451"/>
      <c r="AL10" s="449"/>
      <c r="AM10" s="449"/>
      <c r="AN10" s="449"/>
      <c r="AO10" s="449"/>
      <c r="AP10" s="354"/>
      <c r="AQ10" s="354"/>
      <c r="AR10" s="354"/>
      <c r="AS10" s="354"/>
      <c r="AT10" s="354"/>
      <c r="AU10" s="354"/>
      <c r="AV10" s="449"/>
      <c r="AW10" s="354"/>
      <c r="AX10" s="354"/>
      <c r="AY10" s="101" t="s">
        <v>67</v>
      </c>
      <c r="AZ10" s="101" t="s">
        <v>68</v>
      </c>
      <c r="BA10" s="101" t="s">
        <v>69</v>
      </c>
      <c r="BB10" s="358" t="s">
        <v>70</v>
      </c>
      <c r="BC10" s="424" t="s">
        <v>71</v>
      </c>
      <c r="BD10" s="424" t="s">
        <v>72</v>
      </c>
      <c r="BE10" s="359" t="s">
        <v>73</v>
      </c>
      <c r="BF10" s="359" t="s">
        <v>74</v>
      </c>
      <c r="BG10" s="424" t="s">
        <v>75</v>
      </c>
      <c r="BH10" s="424" t="s">
        <v>76</v>
      </c>
      <c r="BI10" s="359" t="s">
        <v>77</v>
      </c>
      <c r="BJ10" s="359" t="s">
        <v>78</v>
      </c>
      <c r="BK10" s="359" t="s">
        <v>79</v>
      </c>
      <c r="BL10" s="281" t="s">
        <v>80</v>
      </c>
      <c r="BM10" s="424" t="s">
        <v>81</v>
      </c>
      <c r="BN10" s="410" t="s">
        <v>82</v>
      </c>
      <c r="BO10" s="424" t="s">
        <v>83</v>
      </c>
      <c r="BP10" s="410" t="s">
        <v>84</v>
      </c>
      <c r="BQ10" s="410" t="s">
        <v>85</v>
      </c>
      <c r="BR10" s="354"/>
      <c r="BS10" s="354"/>
      <c r="BT10" s="449"/>
      <c r="BU10" s="451"/>
      <c r="BV10" s="295"/>
      <c r="BW10" s="453"/>
      <c r="BX10" s="383"/>
      <c r="BY10" s="384"/>
      <c r="BZ10" s="384"/>
      <c r="CA10" s="385"/>
      <c r="CB10" s="449"/>
      <c r="CC10" s="354"/>
      <c r="CD10" s="354"/>
      <c r="CE10" s="439" t="s">
        <v>3</v>
      </c>
      <c r="CH10" s="322"/>
      <c r="CI10" s="322"/>
    </row>
    <row r="11" spans="1:87" s="425" customFormat="1" ht="38.25" customHeight="1">
      <c r="A11" s="355"/>
      <c r="B11" s="450"/>
      <c r="C11" s="450"/>
      <c r="D11" s="450"/>
      <c r="E11" s="450"/>
      <c r="F11" s="450"/>
      <c r="G11" s="450"/>
      <c r="H11" s="355"/>
      <c r="I11" s="355"/>
      <c r="J11" s="355"/>
      <c r="K11" s="355"/>
      <c r="L11" s="355"/>
      <c r="M11" s="355"/>
      <c r="N11" s="355"/>
      <c r="O11" s="355"/>
      <c r="P11" s="355"/>
      <c r="Q11" s="355"/>
      <c r="R11" s="355"/>
      <c r="S11" s="355"/>
      <c r="T11" s="355"/>
      <c r="U11" s="355"/>
      <c r="V11" s="356" t="s">
        <v>86</v>
      </c>
      <c r="W11" s="356" t="s">
        <v>87</v>
      </c>
      <c r="X11" s="355"/>
      <c r="Y11" s="450"/>
      <c r="Z11" s="450"/>
      <c r="AA11" s="450"/>
      <c r="AB11" s="450"/>
      <c r="AC11" s="450"/>
      <c r="AD11" s="450"/>
      <c r="AE11" s="450"/>
      <c r="AF11" s="450"/>
      <c r="AG11" s="450"/>
      <c r="AH11" s="450"/>
      <c r="AI11" s="450"/>
      <c r="AJ11" s="450"/>
      <c r="AK11" s="452"/>
      <c r="AL11" s="450"/>
      <c r="AM11" s="450"/>
      <c r="AN11" s="450"/>
      <c r="AO11" s="450"/>
      <c r="AP11" s="355"/>
      <c r="AQ11" s="355"/>
      <c r="AR11" s="355"/>
      <c r="AS11" s="355"/>
      <c r="AT11" s="355"/>
      <c r="AU11" s="355"/>
      <c r="AV11" s="450"/>
      <c r="AW11" s="355"/>
      <c r="AX11" s="355"/>
      <c r="AY11" s="440" t="s">
        <v>88</v>
      </c>
      <c r="AZ11" s="440" t="s">
        <v>89</v>
      </c>
      <c r="BA11" s="440" t="s">
        <v>90</v>
      </c>
      <c r="BB11" s="450"/>
      <c r="BC11" s="355"/>
      <c r="BD11" s="355"/>
      <c r="BE11" s="450"/>
      <c r="BF11" s="450"/>
      <c r="BG11" s="355"/>
      <c r="BH11" s="355"/>
      <c r="BI11" s="450"/>
      <c r="BJ11" s="450"/>
      <c r="BK11" s="450"/>
      <c r="BL11" s="450"/>
      <c r="BM11" s="355"/>
      <c r="BN11" s="355"/>
      <c r="BO11" s="355"/>
      <c r="BP11" s="355"/>
      <c r="BQ11" s="355"/>
      <c r="BR11" s="355"/>
      <c r="BS11" s="355"/>
      <c r="BT11" s="450"/>
      <c r="BU11" s="452"/>
      <c r="BV11" s="295"/>
      <c r="BW11" s="454"/>
      <c r="BX11" s="361" t="s">
        <v>91</v>
      </c>
      <c r="BY11" s="361" t="s">
        <v>92</v>
      </c>
      <c r="BZ11" s="361" t="s">
        <v>93</v>
      </c>
      <c r="CA11" s="362" t="s">
        <v>94</v>
      </c>
      <c r="CB11" s="455"/>
      <c r="CC11" s="364"/>
      <c r="CD11" s="364"/>
      <c r="CE11" s="438">
        <v>26</v>
      </c>
      <c r="CF11" s="426"/>
      <c r="CH11" s="322"/>
      <c r="CI11" s="322"/>
    </row>
    <row r="12" spans="1:87" s="431" customFormat="1" ht="15" customHeight="1">
      <c r="A12" s="427">
        <v>1</v>
      </c>
      <c r="B12" s="428">
        <f>A12+1</f>
        <v>2</v>
      </c>
      <c r="C12" s="428">
        <f>B12+1</f>
        <v>3</v>
      </c>
      <c r="D12" s="428">
        <f>C12+1</f>
        <v>4</v>
      </c>
      <c r="E12" s="428"/>
      <c r="F12" s="428">
        <f>D12+1</f>
        <v>5</v>
      </c>
      <c r="G12" s="428">
        <f t="shared" ref="G12:AV12" si="0">F12+1</f>
        <v>6</v>
      </c>
      <c r="H12" s="428">
        <f t="shared" si="0"/>
        <v>7</v>
      </c>
      <c r="I12" s="428">
        <f t="shared" si="0"/>
        <v>8</v>
      </c>
      <c r="J12" s="428">
        <f t="shared" si="0"/>
        <v>9</v>
      </c>
      <c r="K12" s="428">
        <f t="shared" si="0"/>
        <v>10</v>
      </c>
      <c r="L12" s="428">
        <f t="shared" si="0"/>
        <v>11</v>
      </c>
      <c r="M12" s="428">
        <f t="shared" si="0"/>
        <v>12</v>
      </c>
      <c r="N12" s="428">
        <f t="shared" si="0"/>
        <v>13</v>
      </c>
      <c r="O12" s="428">
        <f t="shared" si="0"/>
        <v>14</v>
      </c>
      <c r="P12" s="428">
        <f t="shared" si="0"/>
        <v>15</v>
      </c>
      <c r="Q12" s="428">
        <f t="shared" si="0"/>
        <v>16</v>
      </c>
      <c r="R12" s="428">
        <f t="shared" si="0"/>
        <v>17</v>
      </c>
      <c r="S12" s="428">
        <f t="shared" si="0"/>
        <v>18</v>
      </c>
      <c r="T12" s="428">
        <f t="shared" si="0"/>
        <v>19</v>
      </c>
      <c r="U12" s="428">
        <f t="shared" si="0"/>
        <v>20</v>
      </c>
      <c r="V12" s="428">
        <f t="shared" si="0"/>
        <v>21</v>
      </c>
      <c r="W12" s="428">
        <f t="shared" si="0"/>
        <v>22</v>
      </c>
      <c r="X12" s="428">
        <f t="shared" si="0"/>
        <v>23</v>
      </c>
      <c r="Y12" s="428">
        <f t="shared" si="0"/>
        <v>24</v>
      </c>
      <c r="Z12" s="428">
        <f t="shared" si="0"/>
        <v>25</v>
      </c>
      <c r="AA12" s="428">
        <f t="shared" si="0"/>
        <v>26</v>
      </c>
      <c r="AB12" s="428">
        <f t="shared" si="0"/>
        <v>27</v>
      </c>
      <c r="AC12" s="428">
        <f t="shared" si="0"/>
        <v>28</v>
      </c>
      <c r="AD12" s="428">
        <f t="shared" si="0"/>
        <v>29</v>
      </c>
      <c r="AE12" s="428">
        <f t="shared" si="0"/>
        <v>30</v>
      </c>
      <c r="AF12" s="428">
        <f t="shared" si="0"/>
        <v>31</v>
      </c>
      <c r="AG12" s="428">
        <f t="shared" si="0"/>
        <v>32</v>
      </c>
      <c r="AH12" s="428">
        <f t="shared" si="0"/>
        <v>33</v>
      </c>
      <c r="AI12" s="428">
        <f t="shared" si="0"/>
        <v>34</v>
      </c>
      <c r="AJ12" s="428">
        <f t="shared" si="0"/>
        <v>35</v>
      </c>
      <c r="AK12" s="428">
        <f t="shared" si="0"/>
        <v>36</v>
      </c>
      <c r="AL12" s="428">
        <f t="shared" si="0"/>
        <v>37</v>
      </c>
      <c r="AM12" s="428">
        <f t="shared" si="0"/>
        <v>38</v>
      </c>
      <c r="AN12" s="428">
        <f t="shared" si="0"/>
        <v>39</v>
      </c>
      <c r="AO12" s="428">
        <f t="shared" si="0"/>
        <v>40</v>
      </c>
      <c r="AP12" s="428">
        <f t="shared" si="0"/>
        <v>41</v>
      </c>
      <c r="AQ12" s="428">
        <f t="shared" si="0"/>
        <v>42</v>
      </c>
      <c r="AR12" s="428">
        <f t="shared" si="0"/>
        <v>43</v>
      </c>
      <c r="AS12" s="428">
        <f t="shared" si="0"/>
        <v>44</v>
      </c>
      <c r="AT12" s="428">
        <f t="shared" si="0"/>
        <v>45</v>
      </c>
      <c r="AU12" s="428">
        <f t="shared" si="0"/>
        <v>46</v>
      </c>
      <c r="AV12" s="428">
        <f t="shared" si="0"/>
        <v>47</v>
      </c>
      <c r="AW12" s="428"/>
      <c r="AX12" s="428"/>
      <c r="AY12" s="428">
        <f>AV12+1</f>
        <v>48</v>
      </c>
      <c r="AZ12" s="428">
        <f t="shared" ref="AZ12:BE12" si="1">AY12+1</f>
        <v>49</v>
      </c>
      <c r="BA12" s="428">
        <f t="shared" si="1"/>
        <v>50</v>
      </c>
      <c r="BB12" s="428">
        <f t="shared" si="1"/>
        <v>51</v>
      </c>
      <c r="BC12" s="428">
        <f t="shared" si="1"/>
        <v>52</v>
      </c>
      <c r="BD12" s="428">
        <f t="shared" si="1"/>
        <v>53</v>
      </c>
      <c r="BE12" s="428">
        <f t="shared" si="1"/>
        <v>54</v>
      </c>
      <c r="BF12" s="428"/>
      <c r="BG12" s="428"/>
      <c r="BH12" s="428"/>
      <c r="BI12" s="428"/>
      <c r="BJ12" s="428"/>
      <c r="BK12" s="428"/>
      <c r="BL12" s="428">
        <f>BE12+1</f>
        <v>55</v>
      </c>
      <c r="BM12" s="428">
        <f t="shared" ref="BM12:BU12" si="2">BL12+1</f>
        <v>56</v>
      </c>
      <c r="BN12" s="428">
        <f t="shared" si="2"/>
        <v>57</v>
      </c>
      <c r="BO12" s="428">
        <f t="shared" si="2"/>
        <v>58</v>
      </c>
      <c r="BP12" s="428">
        <f t="shared" si="2"/>
        <v>59</v>
      </c>
      <c r="BQ12" s="428">
        <f t="shared" si="2"/>
        <v>60</v>
      </c>
      <c r="BR12" s="428">
        <f t="shared" si="2"/>
        <v>61</v>
      </c>
      <c r="BS12" s="428">
        <f t="shared" si="2"/>
        <v>62</v>
      </c>
      <c r="BT12" s="428">
        <f t="shared" si="2"/>
        <v>63</v>
      </c>
      <c r="BU12" s="428">
        <f t="shared" si="2"/>
        <v>64</v>
      </c>
      <c r="BV12" s="429"/>
      <c r="BW12" s="430" t="s">
        <v>95</v>
      </c>
      <c r="BX12" s="428">
        <f t="shared" ref="BX12:CD12" si="3">BW12+1</f>
        <v>66</v>
      </c>
      <c r="BY12" s="428">
        <f t="shared" si="3"/>
        <v>67</v>
      </c>
      <c r="BZ12" s="428">
        <f t="shared" si="3"/>
        <v>68</v>
      </c>
      <c r="CA12" s="428">
        <f t="shared" si="3"/>
        <v>69</v>
      </c>
      <c r="CB12" s="428">
        <f t="shared" si="3"/>
        <v>70</v>
      </c>
      <c r="CC12" s="428">
        <f t="shared" si="3"/>
        <v>71</v>
      </c>
      <c r="CD12" s="428">
        <f t="shared" si="3"/>
        <v>72</v>
      </c>
      <c r="CG12" s="425"/>
      <c r="CH12" s="322"/>
      <c r="CI12" s="322"/>
    </row>
    <row r="13" spans="1:87" s="431" customFormat="1" ht="15" customHeight="1">
      <c r="A13" s="427" t="s">
        <v>96</v>
      </c>
      <c r="B13" s="427" t="s">
        <v>96</v>
      </c>
      <c r="C13" s="427" t="s">
        <v>96</v>
      </c>
      <c r="D13" s="428"/>
      <c r="E13" s="428"/>
      <c r="F13" s="428"/>
      <c r="G13" s="427" t="s">
        <v>96</v>
      </c>
      <c r="H13" s="427" t="s">
        <v>96</v>
      </c>
      <c r="I13" s="427" t="s">
        <v>96</v>
      </c>
      <c r="J13" s="428"/>
      <c r="K13" s="428"/>
      <c r="L13" s="428"/>
      <c r="M13" s="428"/>
      <c r="N13" s="428"/>
      <c r="O13" s="428"/>
      <c r="P13" s="428"/>
      <c r="Q13" s="428"/>
      <c r="R13" s="428"/>
      <c r="S13" s="428"/>
      <c r="T13" s="428"/>
      <c r="U13" s="428"/>
      <c r="V13" s="428"/>
      <c r="W13" s="428"/>
      <c r="X13" s="428"/>
      <c r="Y13" s="428"/>
      <c r="Z13" s="428"/>
      <c r="AA13" s="428"/>
      <c r="AB13" s="428"/>
      <c r="AC13" s="428"/>
      <c r="AD13" s="428"/>
      <c r="AE13" s="428"/>
      <c r="AF13" s="428"/>
      <c r="AG13" s="428"/>
      <c r="AH13" s="428"/>
      <c r="AI13" s="428"/>
      <c r="AJ13" s="428"/>
      <c r="AK13" s="428"/>
      <c r="AL13" s="428"/>
      <c r="AM13" s="428"/>
      <c r="AN13" s="428"/>
      <c r="AO13" s="428"/>
      <c r="AP13" s="428"/>
      <c r="AQ13" s="428"/>
      <c r="AR13" s="428"/>
      <c r="AS13" s="428"/>
      <c r="AT13" s="428"/>
      <c r="AU13" s="428"/>
      <c r="AV13" s="428"/>
      <c r="AW13" s="428"/>
      <c r="AX13" s="428"/>
      <c r="AY13" s="428"/>
      <c r="AZ13" s="428"/>
      <c r="BA13" s="428"/>
      <c r="BB13" s="428"/>
      <c r="BC13" s="428"/>
      <c r="BD13" s="428"/>
      <c r="BE13" s="428"/>
      <c r="BF13" s="428"/>
      <c r="BG13" s="428"/>
      <c r="BH13" s="428"/>
      <c r="BI13" s="428"/>
      <c r="BJ13" s="428"/>
      <c r="BK13" s="428"/>
      <c r="BL13" s="428"/>
      <c r="BM13" s="428"/>
      <c r="BN13" s="428"/>
      <c r="BO13" s="428"/>
      <c r="BP13" s="428"/>
      <c r="BQ13" s="428"/>
      <c r="BR13" s="428"/>
      <c r="BS13" s="428"/>
      <c r="BT13" s="428"/>
      <c r="BU13" s="432"/>
      <c r="BV13" s="429"/>
      <c r="BW13" s="430"/>
      <c r="BX13" s="428"/>
      <c r="BY13" s="428"/>
      <c r="BZ13" s="428"/>
      <c r="CA13" s="428"/>
      <c r="CB13" s="428"/>
      <c r="CC13" s="428"/>
      <c r="CD13" s="428"/>
      <c r="CG13" s="425"/>
      <c r="CH13" s="322"/>
      <c r="CI13" s="322"/>
    </row>
    <row r="14" spans="1:87" s="339" customFormat="1" ht="21" customHeight="1">
      <c r="A14" s="327"/>
      <c r="B14" s="297"/>
      <c r="C14" s="297"/>
      <c r="D14" s="330"/>
      <c r="E14" s="330"/>
      <c r="F14" s="330"/>
      <c r="G14" s="297">
        <f>SUM(G15:G21)</f>
        <v>50340000</v>
      </c>
      <c r="H14" s="297">
        <f>SUM(H15:H21)</f>
        <v>300000</v>
      </c>
      <c r="I14" s="297">
        <f>SUM(I15:I21)</f>
        <v>183060000</v>
      </c>
      <c r="J14" s="297"/>
      <c r="K14" s="433">
        <f t="shared" ref="K14:S14" si="4">SUM(K15:K21)</f>
        <v>166</v>
      </c>
      <c r="L14" s="433">
        <f t="shared" si="4"/>
        <v>8</v>
      </c>
      <c r="M14" s="433">
        <f t="shared" si="4"/>
        <v>2</v>
      </c>
      <c r="N14" s="433">
        <f t="shared" si="4"/>
        <v>2</v>
      </c>
      <c r="O14" s="433">
        <f t="shared" si="4"/>
        <v>0</v>
      </c>
      <c r="P14" s="433">
        <f t="shared" si="4"/>
        <v>5</v>
      </c>
      <c r="Q14" s="433">
        <f t="shared" si="4"/>
        <v>2</v>
      </c>
      <c r="R14" s="433">
        <f t="shared" si="4"/>
        <v>0</v>
      </c>
      <c r="S14" s="433">
        <f t="shared" si="4"/>
        <v>2</v>
      </c>
      <c r="T14" s="433"/>
      <c r="U14" s="433">
        <f>SUM(U15:U21)</f>
        <v>2</v>
      </c>
      <c r="V14" s="433">
        <f>SUM(V15:V21)</f>
        <v>0</v>
      </c>
      <c r="W14" s="433">
        <f>SUM(W15:W21)</f>
        <v>0</v>
      </c>
      <c r="X14" s="433">
        <f>SUM(X15:X21)</f>
        <v>0</v>
      </c>
      <c r="Y14" s="297">
        <f>SUM(Y15:Y21)</f>
        <v>48340000</v>
      </c>
      <c r="Z14" s="297"/>
      <c r="AA14" s="297"/>
      <c r="AB14" s="297"/>
      <c r="AC14" s="297">
        <f>SUM(AC15:AC21)</f>
        <v>1828846.1538461538</v>
      </c>
      <c r="AD14" s="297">
        <f>SUM(AD15:AD21)</f>
        <v>975384.61538461538</v>
      </c>
      <c r="AE14" s="297"/>
      <c r="AF14" s="297">
        <f t="shared" ref="AF14:AO14" si="5">SUM(AF15:AF21)</f>
        <v>111923.07692307692</v>
      </c>
      <c r="AG14" s="297">
        <f t="shared" si="5"/>
        <v>0</v>
      </c>
      <c r="AH14" s="297">
        <f t="shared" si="5"/>
        <v>3246153.846153846</v>
      </c>
      <c r="AI14" s="297">
        <f t="shared" si="5"/>
        <v>0</v>
      </c>
      <c r="AJ14" s="297">
        <f t="shared" si="5"/>
        <v>0</v>
      </c>
      <c r="AK14" s="297">
        <f t="shared" si="5"/>
        <v>61538.461538461539</v>
      </c>
      <c r="AL14" s="297">
        <f t="shared" si="5"/>
        <v>0</v>
      </c>
      <c r="AM14" s="297">
        <f t="shared" si="5"/>
        <v>0</v>
      </c>
      <c r="AN14" s="297">
        <f t="shared" si="5"/>
        <v>300000</v>
      </c>
      <c r="AO14" s="297">
        <f t="shared" si="5"/>
        <v>182063076.92307696</v>
      </c>
      <c r="AP14" s="297"/>
      <c r="AQ14" s="297"/>
      <c r="AR14" s="297"/>
      <c r="AS14" s="297"/>
      <c r="AT14" s="297"/>
      <c r="AU14" s="297"/>
      <c r="AV14" s="297">
        <f>SUM(AV15:AV21)</f>
        <v>239266923.07692307</v>
      </c>
      <c r="AW14" s="297"/>
      <c r="AX14" s="297"/>
      <c r="AY14" s="297">
        <f>SUM(AY15:AY21)</f>
        <v>3544000</v>
      </c>
      <c r="AZ14" s="297">
        <f>SUM(AZ15:AZ21)</f>
        <v>664500</v>
      </c>
      <c r="BA14" s="297">
        <f>SUM(BA15:BA21)</f>
        <v>443000</v>
      </c>
      <c r="BB14" s="297">
        <f>SUM(BB15:BB21)</f>
        <v>4651500</v>
      </c>
      <c r="BC14" s="297">
        <f>SUM(BC15:BC21)</f>
        <v>0</v>
      </c>
      <c r="BD14" s="297"/>
      <c r="BE14" s="297">
        <f>SUM(BE15:BE21)</f>
        <v>503400</v>
      </c>
      <c r="BF14" s="297"/>
      <c r="BG14" s="297"/>
      <c r="BH14" s="297"/>
      <c r="BI14" s="297"/>
      <c r="BJ14" s="297"/>
      <c r="BK14" s="297"/>
      <c r="BL14" s="297">
        <f t="shared" ref="BL14:BQ14" si="6">SUM(BL15:BL21)</f>
        <v>20461490</v>
      </c>
      <c r="BM14" s="297">
        <f t="shared" si="6"/>
        <v>0</v>
      </c>
      <c r="BN14" s="297">
        <f t="shared" si="6"/>
        <v>0</v>
      </c>
      <c r="BO14" s="297">
        <f t="shared" si="6"/>
        <v>0</v>
      </c>
      <c r="BP14" s="297">
        <f t="shared" si="6"/>
        <v>0</v>
      </c>
      <c r="BQ14" s="297">
        <f t="shared" si="6"/>
        <v>0</v>
      </c>
      <c r="BR14" s="297"/>
      <c r="BS14" s="297"/>
      <c r="BT14" s="297">
        <f>SUM(BT15:BT21)</f>
        <v>92038615.384615406</v>
      </c>
      <c r="BU14" s="434">
        <f>SUM(BU15:BU21)</f>
        <v>121611917.6923077</v>
      </c>
      <c r="BV14" s="335"/>
      <c r="BW14" s="325"/>
      <c r="BX14" s="326"/>
      <c r="BY14" s="326"/>
      <c r="BZ14" s="326"/>
      <c r="CA14" s="326"/>
      <c r="CB14" s="326"/>
      <c r="CC14" s="326"/>
      <c r="CD14" s="326"/>
    </row>
    <row r="15" spans="1:87" s="339" customFormat="1" ht="30.5" customHeight="1">
      <c r="A15" s="365">
        <f>IF(B15=0,"",COUNTA($B$15:(B15)))</f>
        <v>1</v>
      </c>
      <c r="B15" s="366">
        <v>2405236</v>
      </c>
      <c r="C15" s="367" t="s">
        <v>97</v>
      </c>
      <c r="D15" s="368" t="s">
        <v>98</v>
      </c>
      <c r="E15" s="369" t="s">
        <v>99</v>
      </c>
      <c r="F15" s="369" t="s">
        <v>100</v>
      </c>
      <c r="G15" s="370">
        <v>9520000</v>
      </c>
      <c r="H15" s="370">
        <f t="shared" ref="H15:H21" si="7">+IF(OR(CC15="ĐT PCCC",CC15="ĐP PCCC"),780000,IF(CC15="AT-VSV",300000,0))</f>
        <v>0</v>
      </c>
      <c r="I15" s="370">
        <f t="shared" ref="I15:I21" si="8">CB15-BZ15-G15-H15</f>
        <v>50480000</v>
      </c>
      <c r="J15" s="371">
        <v>1</v>
      </c>
      <c r="K15" s="372">
        <v>26</v>
      </c>
      <c r="L15" s="372">
        <v>0</v>
      </c>
      <c r="M15" s="372">
        <v>0</v>
      </c>
      <c r="N15" s="372">
        <v>0</v>
      </c>
      <c r="O15" s="372">
        <v>0</v>
      </c>
      <c r="P15" s="372">
        <v>0</v>
      </c>
      <c r="Q15" s="372">
        <v>0</v>
      </c>
      <c r="R15" s="372">
        <v>0</v>
      </c>
      <c r="S15" s="372">
        <v>0</v>
      </c>
      <c r="T15" s="372"/>
      <c r="U15" s="372">
        <v>0</v>
      </c>
      <c r="V15" s="372">
        <v>0</v>
      </c>
      <c r="W15" s="372">
        <v>0</v>
      </c>
      <c r="X15" s="372">
        <v>0</v>
      </c>
      <c r="Y15" s="370">
        <f t="shared" ref="Y15:Y21" si="9">G15*(K15+L15)/26</f>
        <v>9520000</v>
      </c>
      <c r="Z15" s="370">
        <f t="shared" ref="Z15:Z21" si="10">M15*G15/26</f>
        <v>0</v>
      </c>
      <c r="AA15" s="370">
        <f t="shared" ref="AA15:AA21" si="11">G15*N15/26</f>
        <v>0</v>
      </c>
      <c r="AB15" s="370">
        <f t="shared" ref="AB15:AB21" si="12">G15*O15/26</f>
        <v>0</v>
      </c>
      <c r="AC15" s="370">
        <f t="shared" ref="AC15:AC21" si="13">G15*P15*150%/26</f>
        <v>0</v>
      </c>
      <c r="AD15" s="370">
        <f t="shared" ref="AD15:AD21" si="14">G15*Q15/26*200%</f>
        <v>0</v>
      </c>
      <c r="AE15" s="370">
        <f t="shared" ref="AE15:AE21" si="15">G15*R15/26*300%</f>
        <v>0</v>
      </c>
      <c r="AF15" s="370">
        <f>ROUND((G15+H15)/26*S15*30%,0)</f>
        <v>0</v>
      </c>
      <c r="AG15" s="370">
        <f t="shared" ref="AG15:AG21" si="16">T15*G15/26/8</f>
        <v>0</v>
      </c>
      <c r="AH15" s="370">
        <f t="shared" ref="AH15:AH21" si="17">CB15/26*U15</f>
        <v>0</v>
      </c>
      <c r="AI15" s="370">
        <f t="shared" ref="AI15:AI21" si="18">G15*V15/26</f>
        <v>0</v>
      </c>
      <c r="AJ15" s="370"/>
      <c r="AK15" s="370">
        <f t="shared" ref="AK15:AK21" si="19">BZ15*L15/26</f>
        <v>0</v>
      </c>
      <c r="AL15" s="370"/>
      <c r="AM15" s="370">
        <f t="shared" ref="AM15:AM21" si="20">X15*CD15</f>
        <v>0</v>
      </c>
      <c r="AN15" s="370">
        <f>H15/26*(K15+L15)</f>
        <v>0</v>
      </c>
      <c r="AO15" s="370">
        <f>IF(F15="LN",I15*(K15+L15)/26+(H15+I15)*50%*M15/26+MAX($G15*P15/26*150%,P15*$BW15/26)-AC15+MAX($G15*Q15/26*200%,Q15*$BW15/26)-AD15+MAX($G15*R15/26*300%,R15*$BW15/26)-AE15+BW15*S15/26-AF15+AH15-AG15,I15-I15*($CE$11-K15-L15)/26+(H15+I15)*50%*M15/26+BW15*O15/26-AB15+MAX($G15*P15/26*150%,P15*$BW15/26)-AC15+MAX($G15*Q15/26*200%,Q15*$BW15/26)-AD15+MAX($G15*R15/26*300%,R15*$BW15/26)-AE15+BW15*S15/26-AF15+AH15-AG15+(G15-G15*($CE$11-K15-L15)/26-Y15)+(H15-H15*($CE$11-K15-L15)/26-AN15))</f>
        <v>50480000</v>
      </c>
      <c r="AP15" s="370"/>
      <c r="AQ15" s="370"/>
      <c r="AR15" s="370">
        <v>1000000</v>
      </c>
      <c r="AS15" s="370"/>
      <c r="AT15" s="370"/>
      <c r="AU15" s="370"/>
      <c r="AV15" s="370">
        <f t="shared" ref="AV15:AV21" si="21">Y15+Z15+AA15+AB15+AC15+AD15+AE15+AF15+AG15+AI15+AJ15+AK15+AL15+AM15+AN15+AO15+AP15-AQ15+AR15+AS15+AT15+AU15</f>
        <v>61000000</v>
      </c>
      <c r="AW15" s="370"/>
      <c r="AX15" s="370" t="s">
        <v>101</v>
      </c>
      <c r="AY15" s="373">
        <f t="shared" ref="AY15:BA21" si="22">ROUND(IF($AX15="x",($G15+$H15)*AY$11,0),0)</f>
        <v>761600</v>
      </c>
      <c r="AZ15" s="373">
        <f t="shared" si="22"/>
        <v>142800</v>
      </c>
      <c r="BA15" s="373">
        <f t="shared" si="22"/>
        <v>95200</v>
      </c>
      <c r="BB15" s="373">
        <f t="shared" ref="BB15:BB21" si="23">SUM(AY15:BA15)</f>
        <v>999600</v>
      </c>
      <c r="BC15" s="373"/>
      <c r="BD15" s="373"/>
      <c r="BE15" s="373">
        <f t="shared" ref="BE15:BE21" si="24">IF(G15*1%&gt;=234000,234000,G15*1%)</f>
        <v>95200</v>
      </c>
      <c r="BF15" s="373">
        <f t="shared" ref="BF15:BF21" si="25">AM15+IF(E15="CT",IF(AR15&gt;=730000,730000,AR15),0)+IF(((AV15-AM15-IF(AR15&gt;=730000,730000,AR15)-AS15)*15%-AS15)&gt;"0",((AV15-AM15-IF(AR15&gt;=730000,730000,AR15)-AS15)*15%-AS15),0)</f>
        <v>730000</v>
      </c>
      <c r="BG15" s="373">
        <f t="shared" ref="BG15:BG21" si="26">AV15-BF15+AW15</f>
        <v>60270000</v>
      </c>
      <c r="BH15" s="373">
        <v>3</v>
      </c>
      <c r="BI15" s="373">
        <v>4400000</v>
      </c>
      <c r="BJ15" s="373">
        <f t="shared" ref="BJ15:BJ21" si="27">IF(E15="CT",11000000,0)</f>
        <v>11000000</v>
      </c>
      <c r="BK15" s="373">
        <f t="shared" ref="BK15:BK21" si="28">BG15-BB15-BC15+BD15-BH15*BI15-BJ15</f>
        <v>35070400</v>
      </c>
      <c r="BL15" s="374">
        <f t="shared" ref="BL15:BL21" si="29">IF(E15="TV",BK15*10%,IF(BK15&gt;0,ROUND(IF(BK15&gt;=80000000,BK15*35%-9850000,IF(BK15&gt;=52000000,BK15*30%-5850000,IF(BK15&gt;=32000000,BK15*25%-3250000,IF(BK15&gt;=18000000,BK15*20%-1650000,IF(BK15&gt;=10000000,BK15*15%-750000,IF(BK15&gt;5000000,BK15*10%-250000,BK15*5%)))))),0),0))</f>
        <v>5517600</v>
      </c>
      <c r="BM15" s="373"/>
      <c r="BN15" s="373"/>
      <c r="BO15" s="373">
        <v>0</v>
      </c>
      <c r="BP15" s="373"/>
      <c r="BQ15" s="373"/>
      <c r="BR15" s="373"/>
      <c r="BS15" s="373"/>
      <c r="BT15" s="373">
        <f>SUMIFS('Bảng lương tạm ứng kỳ 1'!BT:BT,'Bảng lương CB-NV'!B:B,'Bảng lương tạm ứng kỳ 1'!B15)</f>
        <v>25846153.846153852</v>
      </c>
      <c r="BU15" s="375">
        <f t="shared" ref="BU15:BU21" si="30">AV15-BB15-BC15+BD15-BE15-BL15-BM15-BN15-BO15-BP15-BQ15-BR15+BS15-BT15</f>
        <v>28541446.153846148</v>
      </c>
      <c r="BV15" s="335"/>
      <c r="BW15" s="376">
        <v>60000000</v>
      </c>
      <c r="BX15" s="374">
        <v>0</v>
      </c>
      <c r="BY15" s="374"/>
      <c r="BZ15" s="374">
        <v>200000</v>
      </c>
      <c r="CA15" s="374">
        <v>0</v>
      </c>
      <c r="CB15" s="374">
        <f t="shared" ref="CB15:CB21" si="31">SUM(BW15:CA15)</f>
        <v>60200000</v>
      </c>
      <c r="CC15" s="374"/>
      <c r="CD15" s="374"/>
      <c r="CE15" s="336"/>
      <c r="CF15" s="337"/>
      <c r="CG15" s="337"/>
      <c r="CH15" s="338"/>
      <c r="CI15" s="338"/>
    </row>
    <row r="16" spans="1:87" s="339" customFormat="1" ht="30.5" customHeight="1">
      <c r="A16" s="327">
        <f>IF(B16=0,"",COUNTA($B$15:(B16)))</f>
        <v>2</v>
      </c>
      <c r="B16" s="328">
        <v>2106723</v>
      </c>
      <c r="C16" s="329" t="s">
        <v>102</v>
      </c>
      <c r="D16" s="330" t="s">
        <v>103</v>
      </c>
      <c r="E16" s="331" t="s">
        <v>99</v>
      </c>
      <c r="F16" s="331" t="s">
        <v>100</v>
      </c>
      <c r="G16" s="297">
        <v>8480000</v>
      </c>
      <c r="H16" s="297">
        <f t="shared" si="7"/>
        <v>0</v>
      </c>
      <c r="I16" s="297">
        <f t="shared" si="8"/>
        <v>43520000</v>
      </c>
      <c r="J16" s="296">
        <v>1</v>
      </c>
      <c r="K16" s="332">
        <v>19</v>
      </c>
      <c r="L16" s="332">
        <v>5</v>
      </c>
      <c r="M16" s="332">
        <v>0</v>
      </c>
      <c r="N16" s="332">
        <v>0</v>
      </c>
      <c r="O16" s="332">
        <v>0</v>
      </c>
      <c r="P16" s="332">
        <v>0</v>
      </c>
      <c r="Q16" s="332">
        <v>0</v>
      </c>
      <c r="R16" s="332">
        <v>0</v>
      </c>
      <c r="S16" s="332">
        <v>0</v>
      </c>
      <c r="T16" s="332"/>
      <c r="U16" s="332">
        <v>0</v>
      </c>
      <c r="V16" s="332">
        <v>0</v>
      </c>
      <c r="W16" s="332">
        <v>0</v>
      </c>
      <c r="X16" s="332">
        <v>0</v>
      </c>
      <c r="Y16" s="297">
        <f t="shared" si="9"/>
        <v>7827692.307692308</v>
      </c>
      <c r="Z16" s="297">
        <f t="shared" si="10"/>
        <v>0</v>
      </c>
      <c r="AA16" s="297">
        <f t="shared" si="11"/>
        <v>0</v>
      </c>
      <c r="AB16" s="297">
        <f t="shared" si="12"/>
        <v>0</v>
      </c>
      <c r="AC16" s="297">
        <f t="shared" si="13"/>
        <v>0</v>
      </c>
      <c r="AD16" s="297">
        <f t="shared" si="14"/>
        <v>0</v>
      </c>
      <c r="AE16" s="297">
        <f t="shared" si="15"/>
        <v>0</v>
      </c>
      <c r="AF16" s="297">
        <f>ROUND((G16+H16)/26*S16*30%,0)</f>
        <v>0</v>
      </c>
      <c r="AG16" s="297">
        <f t="shared" si="16"/>
        <v>0</v>
      </c>
      <c r="AH16" s="297">
        <f t="shared" si="17"/>
        <v>0</v>
      </c>
      <c r="AI16" s="297">
        <f t="shared" si="18"/>
        <v>0</v>
      </c>
      <c r="AJ16" s="297"/>
      <c r="AK16" s="297">
        <f t="shared" si="19"/>
        <v>38461.538461538461</v>
      </c>
      <c r="AL16" s="297"/>
      <c r="AM16" s="297">
        <f t="shared" si="20"/>
        <v>0</v>
      </c>
      <c r="AN16" s="297">
        <f t="shared" ref="AN16:AN21" si="32">H16/26*K16</f>
        <v>0</v>
      </c>
      <c r="AO16" s="297">
        <f>IF(F16="LN",I16*(K16+L16)/26+(H16+I16)*50%*M16/26+MAX($G16*P16/26*150%,P16*$BW16/26)-AC16+MAX($G16*Q16/26*200%,Q16*$BW16/26)-AD16+MAX($G16*R16/26*300%,R16*$BW16/26)-AE16+BW16*S16/26-AF16+AH16-AG16,I16-I16*($CE$11-K16-L16)/26+(H16+I16)*50%*M16/26+BW16*O16/26-AB16+MAX($G16*P16/26*150%,P16*$BW16/26)-AC16+MAX($G16*Q16/26*200%,Q16*$BW16/26)-AD16+MAX($G16*R16/26*300%,R16*$BW16/26)-AE16+BW16*S16/26-AF16+AH16-AG16+(G16-G16*($CE$11-K16-L16)/26-Y16)+(H16-H16*($CE$11-K16-L16)/26-AN16))</f>
        <v>40172307.692307696</v>
      </c>
      <c r="AP16" s="297"/>
      <c r="AQ16" s="297"/>
      <c r="AR16" s="297">
        <v>720000</v>
      </c>
      <c r="AS16" s="297"/>
      <c r="AT16" s="297"/>
      <c r="AU16" s="297"/>
      <c r="AV16" s="297">
        <f t="shared" si="21"/>
        <v>48758461.538461544</v>
      </c>
      <c r="AW16" s="297"/>
      <c r="AX16" s="297" t="str">
        <f t="shared" ref="AX16:AX21" si="33">IF(E16="CT","x",0)</f>
        <v>x</v>
      </c>
      <c r="AY16" s="333">
        <f t="shared" si="22"/>
        <v>678400</v>
      </c>
      <c r="AZ16" s="333">
        <f t="shared" si="22"/>
        <v>127200</v>
      </c>
      <c r="BA16" s="333">
        <f t="shared" si="22"/>
        <v>84800</v>
      </c>
      <c r="BB16" s="333">
        <f t="shared" si="23"/>
        <v>890400</v>
      </c>
      <c r="BC16" s="333"/>
      <c r="BD16" s="333"/>
      <c r="BE16" s="333">
        <f t="shared" si="24"/>
        <v>84800</v>
      </c>
      <c r="BF16" s="333">
        <f t="shared" si="25"/>
        <v>720000</v>
      </c>
      <c r="BG16" s="333">
        <f t="shared" si="26"/>
        <v>48038461.538461544</v>
      </c>
      <c r="BH16" s="333"/>
      <c r="BI16" s="333">
        <v>4400000</v>
      </c>
      <c r="BJ16" s="333">
        <f t="shared" si="27"/>
        <v>11000000</v>
      </c>
      <c r="BK16" s="333">
        <f t="shared" si="28"/>
        <v>36148061.538461544</v>
      </c>
      <c r="BL16" s="326">
        <f t="shared" si="29"/>
        <v>5787015</v>
      </c>
      <c r="BM16" s="333"/>
      <c r="BN16" s="333"/>
      <c r="BO16" s="333">
        <v>0</v>
      </c>
      <c r="BP16" s="333"/>
      <c r="BQ16" s="333"/>
      <c r="BR16" s="333"/>
      <c r="BS16" s="333"/>
      <c r="BT16" s="333">
        <f>SUMIFS('Bảng lương tạm ứng kỳ 1'!BT:BT,'Bảng lương CB-NV'!B:B,'Bảng lương tạm ứng kỳ 1'!B14)</f>
        <v>0</v>
      </c>
      <c r="BU16" s="334">
        <f t="shared" si="30"/>
        <v>41996246.538461544</v>
      </c>
      <c r="BV16" s="335"/>
      <c r="BW16" s="325">
        <v>40000000</v>
      </c>
      <c r="BX16" s="326">
        <v>5000000</v>
      </c>
      <c r="BY16" s="326">
        <v>5000000</v>
      </c>
      <c r="BZ16" s="326">
        <v>200000</v>
      </c>
      <c r="CA16" s="326">
        <f t="shared" ref="CA16:CA21" si="34">+BW16*5%</f>
        <v>2000000</v>
      </c>
      <c r="CB16" s="326">
        <f t="shared" si="31"/>
        <v>52200000</v>
      </c>
      <c r="CC16" s="326"/>
      <c r="CD16" s="326"/>
      <c r="CE16" s="336"/>
      <c r="CF16" s="337"/>
      <c r="CG16" s="337"/>
      <c r="CH16" s="338"/>
      <c r="CI16" s="338"/>
    </row>
    <row r="17" spans="1:87" s="339" customFormat="1" ht="30.5" customHeight="1">
      <c r="A17" s="327">
        <f>IF(B17=0,"",COUNTA($B$15:(B17)))</f>
        <v>3</v>
      </c>
      <c r="B17" s="340" t="s">
        <v>104</v>
      </c>
      <c r="C17" s="329" t="s">
        <v>105</v>
      </c>
      <c r="D17" s="330" t="s">
        <v>106</v>
      </c>
      <c r="E17" s="331" t="s">
        <v>99</v>
      </c>
      <c r="F17" s="331" t="s">
        <v>100</v>
      </c>
      <c r="G17" s="297">
        <v>7820000</v>
      </c>
      <c r="H17" s="297">
        <f t="shared" si="7"/>
        <v>0</v>
      </c>
      <c r="I17" s="297">
        <f t="shared" si="8"/>
        <v>34180000</v>
      </c>
      <c r="J17" s="296">
        <v>1</v>
      </c>
      <c r="K17" s="332">
        <v>24</v>
      </c>
      <c r="L17" s="332">
        <v>0</v>
      </c>
      <c r="M17" s="332">
        <v>0</v>
      </c>
      <c r="N17" s="332">
        <v>0</v>
      </c>
      <c r="O17" s="332">
        <v>0</v>
      </c>
      <c r="P17" s="332">
        <v>0</v>
      </c>
      <c r="Q17" s="332">
        <v>0</v>
      </c>
      <c r="R17" s="332">
        <v>0</v>
      </c>
      <c r="S17" s="332">
        <v>0</v>
      </c>
      <c r="T17" s="332"/>
      <c r="U17" s="332">
        <v>2</v>
      </c>
      <c r="V17" s="332">
        <v>0</v>
      </c>
      <c r="W17" s="332">
        <v>0</v>
      </c>
      <c r="X17" s="332">
        <v>0</v>
      </c>
      <c r="Y17" s="297">
        <f t="shared" si="9"/>
        <v>7218461.538461538</v>
      </c>
      <c r="Z17" s="297">
        <f t="shared" si="10"/>
        <v>0</v>
      </c>
      <c r="AA17" s="297">
        <f t="shared" si="11"/>
        <v>0</v>
      </c>
      <c r="AB17" s="297">
        <f t="shared" si="12"/>
        <v>0</v>
      </c>
      <c r="AC17" s="297">
        <f t="shared" si="13"/>
        <v>0</v>
      </c>
      <c r="AD17" s="297">
        <f t="shared" si="14"/>
        <v>0</v>
      </c>
      <c r="AE17" s="297">
        <f t="shared" si="15"/>
        <v>0</v>
      </c>
      <c r="AF17" s="297">
        <f>IF(F17="LN",(G17+H17)/26*S17*30%,0)</f>
        <v>0</v>
      </c>
      <c r="AG17" s="297">
        <f t="shared" si="16"/>
        <v>0</v>
      </c>
      <c r="AH17" s="297">
        <f t="shared" si="17"/>
        <v>3246153.846153846</v>
      </c>
      <c r="AI17" s="297">
        <f t="shared" si="18"/>
        <v>0</v>
      </c>
      <c r="AJ17" s="297"/>
      <c r="AK17" s="297">
        <f t="shared" si="19"/>
        <v>0</v>
      </c>
      <c r="AL17" s="297"/>
      <c r="AM17" s="297">
        <f t="shared" si="20"/>
        <v>0</v>
      </c>
      <c r="AN17" s="297">
        <f t="shared" si="32"/>
        <v>0</v>
      </c>
      <c r="AO17" s="297">
        <f>IF(F17="LN",I17*(K17+L17)/26+(H17+I17)*50%*M17/26+MAX($G17*P17/26*150%,P17*$BW17/26)-AC17+MAX($G17*Q17/26*200%,Q17*$BW17/26)-AD17+MAX($G17*R17/26*300%,R17*$BW17/26)-AE17+BW17*S17/26-AF17+AH17-AG17,I17-I17*($CE$11-K17-L17)/26+(H17+I17)*50%*M17/26+BW17*O17/26-AB17+MAX($G17*P17/26*150%,P17*$BW17/26)-AC17+MAX($G17*Q17/26*200%,Q17*$BW17/26)-AD17+MAX($G17*R17/26*300%,R17*$BW17/26)-AE17+BW17*S17/26-AF17+AH17-AG17+(G17-G17*($CE$11-K17-L17)/26-Y17)+(H17-H17*($CE$11-K17-L17)/26-AN17))</f>
        <v>34796923.07692308</v>
      </c>
      <c r="AP17" s="297"/>
      <c r="AQ17" s="297"/>
      <c r="AR17" s="297">
        <v>560000</v>
      </c>
      <c r="AS17" s="297"/>
      <c r="AT17" s="297"/>
      <c r="AU17" s="297"/>
      <c r="AV17" s="297">
        <f t="shared" si="21"/>
        <v>42575384.615384616</v>
      </c>
      <c r="AW17" s="297"/>
      <c r="AX17" s="297" t="str">
        <f t="shared" si="33"/>
        <v>x</v>
      </c>
      <c r="AY17" s="333">
        <f t="shared" si="22"/>
        <v>625600</v>
      </c>
      <c r="AZ17" s="333">
        <f t="shared" si="22"/>
        <v>117300</v>
      </c>
      <c r="BA17" s="333">
        <f t="shared" si="22"/>
        <v>78200</v>
      </c>
      <c r="BB17" s="333">
        <f t="shared" si="23"/>
        <v>821100</v>
      </c>
      <c r="BC17" s="333"/>
      <c r="BD17" s="333"/>
      <c r="BE17" s="333">
        <f t="shared" si="24"/>
        <v>78200</v>
      </c>
      <c r="BF17" s="333">
        <f t="shared" si="25"/>
        <v>560000</v>
      </c>
      <c r="BG17" s="333">
        <f t="shared" si="26"/>
        <v>42015384.615384616</v>
      </c>
      <c r="BH17" s="333"/>
      <c r="BI17" s="333">
        <v>4400000</v>
      </c>
      <c r="BJ17" s="333">
        <f t="shared" si="27"/>
        <v>11000000</v>
      </c>
      <c r="BK17" s="333">
        <f t="shared" si="28"/>
        <v>30194284.615384616</v>
      </c>
      <c r="BL17" s="326">
        <f t="shared" si="29"/>
        <v>4388857</v>
      </c>
      <c r="BM17" s="333"/>
      <c r="BN17" s="333"/>
      <c r="BO17" s="333">
        <v>0</v>
      </c>
      <c r="BP17" s="333"/>
      <c r="BQ17" s="333"/>
      <c r="BR17" s="333"/>
      <c r="BS17" s="333"/>
      <c r="BT17" s="333">
        <f>SUMIFS('Bảng lương tạm ứng kỳ 1'!BT:BT,'Bảng lương CB-NV'!B:B,'Bảng lương tạm ứng kỳ 1'!B15)</f>
        <v>25846153.846153852</v>
      </c>
      <c r="BU17" s="334">
        <f t="shared" si="30"/>
        <v>11441073.769230764</v>
      </c>
      <c r="BV17" s="335"/>
      <c r="BW17" s="325">
        <v>40000000</v>
      </c>
      <c r="BX17" s="326">
        <v>0</v>
      </c>
      <c r="BY17" s="326">
        <v>0</v>
      </c>
      <c r="BZ17" s="326">
        <v>200000</v>
      </c>
      <c r="CA17" s="326">
        <f t="shared" si="34"/>
        <v>2000000</v>
      </c>
      <c r="CB17" s="326">
        <f t="shared" si="31"/>
        <v>42200000</v>
      </c>
      <c r="CC17" s="326"/>
      <c r="CD17" s="326"/>
      <c r="CE17" s="336"/>
      <c r="CF17" s="337"/>
      <c r="CG17" s="337"/>
      <c r="CH17" s="338"/>
      <c r="CI17" s="338"/>
    </row>
    <row r="18" spans="1:87" s="339" customFormat="1" ht="30.5" customHeight="1">
      <c r="A18" s="327">
        <f>IF(B18=0,"",COUNTA($B$15:(B18)))</f>
        <v>4</v>
      </c>
      <c r="B18" s="328">
        <v>2406198</v>
      </c>
      <c r="C18" s="329" t="s">
        <v>107</v>
      </c>
      <c r="D18" s="330" t="s">
        <v>98</v>
      </c>
      <c r="E18" s="331" t="s">
        <v>99</v>
      </c>
      <c r="F18" s="331" t="s">
        <v>100</v>
      </c>
      <c r="G18" s="297">
        <v>6990000</v>
      </c>
      <c r="H18" s="297">
        <f t="shared" si="7"/>
        <v>0</v>
      </c>
      <c r="I18" s="297">
        <f t="shared" si="8"/>
        <v>19160000</v>
      </c>
      <c r="J18" s="296">
        <v>1</v>
      </c>
      <c r="K18" s="332">
        <v>23</v>
      </c>
      <c r="L18" s="332">
        <v>3</v>
      </c>
      <c r="M18" s="332">
        <v>0</v>
      </c>
      <c r="N18" s="332">
        <v>0</v>
      </c>
      <c r="O18" s="332">
        <v>0</v>
      </c>
      <c r="P18" s="332">
        <v>0</v>
      </c>
      <c r="Q18" s="332">
        <v>0</v>
      </c>
      <c r="R18" s="332">
        <v>0</v>
      </c>
      <c r="S18" s="332">
        <v>0</v>
      </c>
      <c r="T18" s="332"/>
      <c r="U18" s="332">
        <v>0</v>
      </c>
      <c r="V18" s="332">
        <v>0</v>
      </c>
      <c r="W18" s="332">
        <v>0</v>
      </c>
      <c r="X18" s="332">
        <v>0</v>
      </c>
      <c r="Y18" s="297">
        <f t="shared" si="9"/>
        <v>6990000</v>
      </c>
      <c r="Z18" s="297">
        <f t="shared" si="10"/>
        <v>0</v>
      </c>
      <c r="AA18" s="297">
        <f t="shared" si="11"/>
        <v>0</v>
      </c>
      <c r="AB18" s="297">
        <f t="shared" si="12"/>
        <v>0</v>
      </c>
      <c r="AC18" s="297">
        <f t="shared" si="13"/>
        <v>0</v>
      </c>
      <c r="AD18" s="297">
        <f t="shared" si="14"/>
        <v>0</v>
      </c>
      <c r="AE18" s="297">
        <f t="shared" si="15"/>
        <v>0</v>
      </c>
      <c r="AF18" s="297">
        <f>ROUND((G18+H18)/26*S18*30%,0)</f>
        <v>0</v>
      </c>
      <c r="AG18" s="297">
        <f t="shared" si="16"/>
        <v>0</v>
      </c>
      <c r="AH18" s="297">
        <f t="shared" si="17"/>
        <v>0</v>
      </c>
      <c r="AI18" s="297">
        <f t="shared" si="18"/>
        <v>0</v>
      </c>
      <c r="AJ18" s="297"/>
      <c r="AK18" s="297">
        <f t="shared" si="19"/>
        <v>23076.923076923078</v>
      </c>
      <c r="AL18" s="297"/>
      <c r="AM18" s="297">
        <f t="shared" si="20"/>
        <v>0</v>
      </c>
      <c r="AN18" s="297">
        <f t="shared" si="32"/>
        <v>0</v>
      </c>
      <c r="AO18" s="297">
        <f>IF(F18="LN",I18*(K18+L18)/26+(H18+I18)*50%*M18/26+MAX($G18*P18/26*150%,P18*$BW18/26)-AC18+MAX($G18*Q18/26*200%,Q18*$BW18/26)-AD18+MAX($G18*R18/26*300%,R18*$BW18/26)-AE18+BW18*S18/26-AF18+AH18-AG18,I18-I18*($CE$11-K18-L18)/26+(H18+I18)*50%*M18/26+BW18*O18/26-AB18+MAX($G18*P18/26*150%,P18*$BW18/26)-AC18+MAX($G18*Q18/26*200%,Q18*$BW18/26)-AD18+MAX($G18*R18/26*300%,R18*$BW18/26)-AE18+BW18*S18/26-AF18+AH18-AG18+(G18-G18*($CE$11-K18-L18)/26-Y18)+(H18-H18*($CE$11-K18-L18)/26-AN18))</f>
        <v>19160000</v>
      </c>
      <c r="AP18" s="297"/>
      <c r="AQ18" s="297"/>
      <c r="AR18" s="297">
        <v>720000</v>
      </c>
      <c r="AS18" s="297"/>
      <c r="AT18" s="297"/>
      <c r="AU18" s="297"/>
      <c r="AV18" s="297">
        <f t="shared" si="21"/>
        <v>26893076.923076924</v>
      </c>
      <c r="AW18" s="297"/>
      <c r="AX18" s="297" t="str">
        <f t="shared" si="33"/>
        <v>x</v>
      </c>
      <c r="AY18" s="333">
        <f t="shared" si="22"/>
        <v>559200</v>
      </c>
      <c r="AZ18" s="333">
        <f t="shared" si="22"/>
        <v>104850</v>
      </c>
      <c r="BA18" s="333">
        <f t="shared" si="22"/>
        <v>69900</v>
      </c>
      <c r="BB18" s="333">
        <f t="shared" si="23"/>
        <v>733950</v>
      </c>
      <c r="BC18" s="333"/>
      <c r="BD18" s="333"/>
      <c r="BE18" s="333">
        <f t="shared" si="24"/>
        <v>69900</v>
      </c>
      <c r="BF18" s="333">
        <f t="shared" si="25"/>
        <v>720000</v>
      </c>
      <c r="BG18" s="333">
        <f t="shared" si="26"/>
        <v>26173076.923076924</v>
      </c>
      <c r="BH18" s="333"/>
      <c r="BI18" s="333">
        <v>4400000</v>
      </c>
      <c r="BJ18" s="333">
        <f t="shared" si="27"/>
        <v>11000000</v>
      </c>
      <c r="BK18" s="333">
        <f t="shared" si="28"/>
        <v>14439126.923076924</v>
      </c>
      <c r="BL18" s="326">
        <f t="shared" si="29"/>
        <v>1415869</v>
      </c>
      <c r="BM18" s="333"/>
      <c r="BN18" s="333"/>
      <c r="BO18" s="333">
        <v>0</v>
      </c>
      <c r="BP18" s="333"/>
      <c r="BQ18" s="333"/>
      <c r="BR18" s="333"/>
      <c r="BS18" s="333"/>
      <c r="BT18" s="333">
        <f>SUMIFS('Bảng lương tạm ứng kỳ 1'!BT:BT,'Bảng lương CB-NV'!B:B,'Bảng lương tạm ứng kỳ 1'!B20)</f>
        <v>10195307.692307694</v>
      </c>
      <c r="BU18" s="334">
        <f t="shared" si="30"/>
        <v>14478050.23076923</v>
      </c>
      <c r="BV18" s="335"/>
      <c r="BW18" s="325">
        <v>23000000</v>
      </c>
      <c r="BX18" s="326">
        <v>0</v>
      </c>
      <c r="BY18" s="326">
        <v>2000000</v>
      </c>
      <c r="BZ18" s="326">
        <v>200000</v>
      </c>
      <c r="CA18" s="326">
        <f t="shared" si="34"/>
        <v>1150000</v>
      </c>
      <c r="CB18" s="326">
        <f t="shared" si="31"/>
        <v>26350000</v>
      </c>
      <c r="CC18" s="326"/>
      <c r="CD18" s="326"/>
      <c r="CE18" s="336"/>
      <c r="CF18" s="337"/>
      <c r="CG18" s="337"/>
      <c r="CH18" s="338"/>
      <c r="CI18" s="338"/>
    </row>
    <row r="19" spans="1:87" s="339" customFormat="1" ht="30.5" customHeight="1">
      <c r="A19" s="327">
        <f>IF(B19=0,"",COUNTA($B$15:(B19)))</f>
        <v>5</v>
      </c>
      <c r="B19" s="340" t="s">
        <v>108</v>
      </c>
      <c r="C19" s="329" t="s">
        <v>109</v>
      </c>
      <c r="D19" s="330" t="s">
        <v>110</v>
      </c>
      <c r="E19" s="331" t="s">
        <v>99</v>
      </c>
      <c r="F19" s="331" t="s">
        <v>111</v>
      </c>
      <c r="G19" s="297">
        <v>4850000</v>
      </c>
      <c r="H19" s="297">
        <f t="shared" si="7"/>
        <v>0</v>
      </c>
      <c r="I19" s="297">
        <f t="shared" si="8"/>
        <v>6700000</v>
      </c>
      <c r="J19" s="296">
        <v>1</v>
      </c>
      <c r="K19" s="332">
        <v>22</v>
      </c>
      <c r="L19" s="332">
        <v>0</v>
      </c>
      <c r="M19" s="332">
        <v>2</v>
      </c>
      <c r="N19" s="332">
        <v>2</v>
      </c>
      <c r="O19" s="332">
        <v>0</v>
      </c>
      <c r="P19" s="332">
        <v>0</v>
      </c>
      <c r="Q19" s="332">
        <v>0</v>
      </c>
      <c r="R19" s="332">
        <v>0</v>
      </c>
      <c r="S19" s="332">
        <v>2</v>
      </c>
      <c r="T19" s="332"/>
      <c r="U19" s="332">
        <v>0</v>
      </c>
      <c r="V19" s="332">
        <v>0</v>
      </c>
      <c r="W19" s="332">
        <v>0</v>
      </c>
      <c r="X19" s="332">
        <v>0</v>
      </c>
      <c r="Y19" s="297">
        <f t="shared" si="9"/>
        <v>4103846.153846154</v>
      </c>
      <c r="Z19" s="297">
        <f t="shared" si="10"/>
        <v>373076.92307692306</v>
      </c>
      <c r="AA19" s="297">
        <f t="shared" si="11"/>
        <v>373076.92307692306</v>
      </c>
      <c r="AB19" s="297">
        <f t="shared" si="12"/>
        <v>0</v>
      </c>
      <c r="AC19" s="297">
        <f t="shared" si="13"/>
        <v>0</v>
      </c>
      <c r="AD19" s="297">
        <f t="shared" si="14"/>
        <v>0</v>
      </c>
      <c r="AE19" s="297">
        <f t="shared" si="15"/>
        <v>0</v>
      </c>
      <c r="AF19" s="297">
        <f>IF(F19="LN",(G19+H19)/26*S19*30%,0)</f>
        <v>111923.07692307692</v>
      </c>
      <c r="AG19" s="297">
        <f t="shared" si="16"/>
        <v>0</v>
      </c>
      <c r="AH19" s="297">
        <f t="shared" si="17"/>
        <v>0</v>
      </c>
      <c r="AI19" s="297">
        <f t="shared" si="18"/>
        <v>0</v>
      </c>
      <c r="AJ19" s="297"/>
      <c r="AK19" s="297">
        <f t="shared" si="19"/>
        <v>0</v>
      </c>
      <c r="AL19" s="297"/>
      <c r="AM19" s="297">
        <f t="shared" si="20"/>
        <v>0</v>
      </c>
      <c r="AN19" s="297">
        <f t="shared" si="32"/>
        <v>0</v>
      </c>
      <c r="AO19" s="297">
        <f>IF(F19="LN",I19*(K19+L19)/26+(H19+I19)*50%*M19/26+MAX($G19*P19/26*150%,P19*$BW19/26)-AC19+MAX($G19*Q19/26*200%,Q19*$BW19/26)-AD19+MAX($G19*R19/26*300%,R19*$BW19/26)-AE19+BW19*S19/26-AF19+AH19-AG19,I19-I19*($CE$11-K19-L19)/26+(H19+I19)*50%*M19/26+BW19*O19/26-AB19+MAX($G19*P19/26*150%,P19*$BW19/26)-AC19+MAX($G19*Q19/26*200%,Q19*$BW19/26)-AD19+MAX($G19*R19/26*300%,R19*$BW19/26)-AE19+BW19*S19/26-AF19+AH19-AG19+(G19-G19*($CE$11-K19-L19)/26-Y19)+(H19-H19*($CE$11-K19-L19)/26-AN19))</f>
        <v>6661153.846153846</v>
      </c>
      <c r="AP19" s="297"/>
      <c r="AQ19" s="297"/>
      <c r="AR19" s="297">
        <v>560000</v>
      </c>
      <c r="AS19" s="297"/>
      <c r="AT19" s="297"/>
      <c r="AU19" s="297"/>
      <c r="AV19" s="297">
        <f t="shared" si="21"/>
        <v>12183076.923076924</v>
      </c>
      <c r="AW19" s="297"/>
      <c r="AX19" s="297" t="str">
        <f t="shared" si="33"/>
        <v>x</v>
      </c>
      <c r="AY19" s="333">
        <f t="shared" si="22"/>
        <v>388000</v>
      </c>
      <c r="AZ19" s="333">
        <f t="shared" si="22"/>
        <v>72750</v>
      </c>
      <c r="BA19" s="333">
        <f t="shared" si="22"/>
        <v>48500</v>
      </c>
      <c r="BB19" s="333">
        <f t="shared" si="23"/>
        <v>509250</v>
      </c>
      <c r="BC19" s="333"/>
      <c r="BD19" s="333"/>
      <c r="BE19" s="333">
        <f t="shared" si="24"/>
        <v>48500</v>
      </c>
      <c r="BF19" s="333">
        <f t="shared" si="25"/>
        <v>560000</v>
      </c>
      <c r="BG19" s="333">
        <f t="shared" si="26"/>
        <v>11623076.923076924</v>
      </c>
      <c r="BH19" s="333"/>
      <c r="BI19" s="333">
        <v>4400000</v>
      </c>
      <c r="BJ19" s="333">
        <f t="shared" si="27"/>
        <v>11000000</v>
      </c>
      <c r="BK19" s="333">
        <f t="shared" si="28"/>
        <v>113826.92307692394</v>
      </c>
      <c r="BL19" s="326">
        <f t="shared" si="29"/>
        <v>5691</v>
      </c>
      <c r="BM19" s="333"/>
      <c r="BN19" s="333"/>
      <c r="BO19" s="333">
        <v>0</v>
      </c>
      <c r="BP19" s="333"/>
      <c r="BQ19" s="333"/>
      <c r="BR19" s="333"/>
      <c r="BS19" s="333"/>
      <c r="BT19" s="333">
        <f>SUMIFS('Bảng lương tạm ứng kỳ 1'!BT:BT,'Bảng lương CB-NV'!B:B,'Bảng lương tạm ứng kỳ 1'!B21)</f>
        <v>9977846.153846154</v>
      </c>
      <c r="BU19" s="334">
        <f t="shared" si="30"/>
        <v>1641789.7692307699</v>
      </c>
      <c r="BV19" s="335"/>
      <c r="BW19" s="325">
        <v>11000000</v>
      </c>
      <c r="BX19" s="326">
        <v>0</v>
      </c>
      <c r="BY19" s="326">
        <v>0</v>
      </c>
      <c r="BZ19" s="326">
        <v>200000</v>
      </c>
      <c r="CA19" s="326">
        <f t="shared" si="34"/>
        <v>550000</v>
      </c>
      <c r="CB19" s="326">
        <f t="shared" si="31"/>
        <v>11750000</v>
      </c>
      <c r="CC19" s="326"/>
      <c r="CD19" s="326"/>
      <c r="CE19" s="336"/>
      <c r="CF19" s="337"/>
      <c r="CG19" s="337"/>
      <c r="CH19" s="338"/>
      <c r="CI19" s="338"/>
    </row>
    <row r="20" spans="1:87" s="339" customFormat="1" ht="30.5" customHeight="1">
      <c r="A20" s="327">
        <f>IF(B20=0,"",COUNTA($B$15:(B20)))</f>
        <v>6</v>
      </c>
      <c r="B20" s="328">
        <v>2406145</v>
      </c>
      <c r="C20" s="329" t="s">
        <v>112</v>
      </c>
      <c r="D20" s="330" t="s">
        <v>103</v>
      </c>
      <c r="E20" s="331" t="s">
        <v>113</v>
      </c>
      <c r="F20" s="331" t="s">
        <v>100</v>
      </c>
      <c r="G20" s="297">
        <v>6340000</v>
      </c>
      <c r="H20" s="297">
        <f t="shared" si="7"/>
        <v>0</v>
      </c>
      <c r="I20" s="297">
        <f t="shared" si="8"/>
        <v>17810000</v>
      </c>
      <c r="J20" s="296">
        <v>1</v>
      </c>
      <c r="K20" s="332">
        <v>26</v>
      </c>
      <c r="L20" s="332">
        <v>0</v>
      </c>
      <c r="M20" s="332">
        <v>0</v>
      </c>
      <c r="N20" s="332">
        <v>0</v>
      </c>
      <c r="O20" s="332">
        <v>0</v>
      </c>
      <c r="P20" s="332">
        <v>0</v>
      </c>
      <c r="Q20" s="332">
        <v>0</v>
      </c>
      <c r="R20" s="332">
        <v>0</v>
      </c>
      <c r="S20" s="332">
        <v>0</v>
      </c>
      <c r="T20" s="332"/>
      <c r="U20" s="332">
        <v>0</v>
      </c>
      <c r="V20" s="332">
        <v>0</v>
      </c>
      <c r="W20" s="332">
        <v>0</v>
      </c>
      <c r="X20" s="332">
        <v>0</v>
      </c>
      <c r="Y20" s="297">
        <f t="shared" si="9"/>
        <v>6340000</v>
      </c>
      <c r="Z20" s="297">
        <f t="shared" si="10"/>
        <v>0</v>
      </c>
      <c r="AA20" s="297">
        <f t="shared" si="11"/>
        <v>0</v>
      </c>
      <c r="AB20" s="297">
        <f t="shared" si="12"/>
        <v>0</v>
      </c>
      <c r="AC20" s="297">
        <f t="shared" si="13"/>
        <v>0</v>
      </c>
      <c r="AD20" s="297">
        <f t="shared" si="14"/>
        <v>0</v>
      </c>
      <c r="AE20" s="297">
        <f t="shared" si="15"/>
        <v>0</v>
      </c>
      <c r="AF20" s="297">
        <f>ROUND((G20+H20)/26*S20*30%,0)</f>
        <v>0</v>
      </c>
      <c r="AG20" s="297">
        <f t="shared" si="16"/>
        <v>0</v>
      </c>
      <c r="AH20" s="297">
        <f t="shared" si="17"/>
        <v>0</v>
      </c>
      <c r="AI20" s="297">
        <f t="shared" si="18"/>
        <v>0</v>
      </c>
      <c r="AJ20" s="297"/>
      <c r="AK20" s="297">
        <f t="shared" si="19"/>
        <v>0</v>
      </c>
      <c r="AL20" s="297"/>
      <c r="AM20" s="297">
        <f t="shared" si="20"/>
        <v>0</v>
      </c>
      <c r="AN20" s="297">
        <f t="shared" si="32"/>
        <v>0</v>
      </c>
      <c r="AO20" s="297">
        <f>IF(F20="LN",I20*(K20+L20)/26+(H20+I20)*50%*M20/26+MAX($G20*P20/26*150%,P20*$BW20/26)-AC20+MAX($G20*Q20/26*200%,Q20*$BW20/26)-AD20+MAX($G20*R20/26*300%,R20*$BW20/26)-AE20+BW20*S20/26-AF20+AH20-AG20,I20-I20*($CE$11-K20-L20)/26+(H20+I20)*50%*M20/26+BW20*O20/26-AB20+MAX($G20*P20/26*150%,P20*$BW20/26)-AC20+MAX($G20*Q20/26*200%,Q20*$BW20/26)-AD20+MAX($G20*R20/26*300%,R20*$BW20/26)-AE20+BW20*S20/26-AF20+AH20-AG20+(G20-G20*($CE$11-K20-L20)/26-Y20)+(H20-H20*($CE$11-K20-L20)/26-AN20))</f>
        <v>17810000</v>
      </c>
      <c r="AP20" s="297"/>
      <c r="AQ20" s="297"/>
      <c r="AR20" s="297">
        <v>720000</v>
      </c>
      <c r="AS20" s="297"/>
      <c r="AT20" s="297"/>
      <c r="AU20" s="297"/>
      <c r="AV20" s="297">
        <f t="shared" si="21"/>
        <v>24870000</v>
      </c>
      <c r="AW20" s="297"/>
      <c r="AX20" s="297">
        <f t="shared" si="33"/>
        <v>0</v>
      </c>
      <c r="AY20" s="333">
        <f t="shared" si="22"/>
        <v>0</v>
      </c>
      <c r="AZ20" s="333">
        <f t="shared" si="22"/>
        <v>0</v>
      </c>
      <c r="BA20" s="333">
        <f t="shared" si="22"/>
        <v>0</v>
      </c>
      <c r="BB20" s="333">
        <f t="shared" si="23"/>
        <v>0</v>
      </c>
      <c r="BC20" s="333"/>
      <c r="BD20" s="333"/>
      <c r="BE20" s="333">
        <f t="shared" si="24"/>
        <v>63400</v>
      </c>
      <c r="BF20" s="333">
        <f t="shared" si="25"/>
        <v>0</v>
      </c>
      <c r="BG20" s="333">
        <f t="shared" si="26"/>
        <v>24870000</v>
      </c>
      <c r="BH20" s="333"/>
      <c r="BI20" s="333">
        <v>4400000</v>
      </c>
      <c r="BJ20" s="333">
        <f t="shared" si="27"/>
        <v>0</v>
      </c>
      <c r="BK20" s="333">
        <f t="shared" si="28"/>
        <v>24870000</v>
      </c>
      <c r="BL20" s="326">
        <f t="shared" si="29"/>
        <v>2487000</v>
      </c>
      <c r="BM20" s="333"/>
      <c r="BN20" s="333"/>
      <c r="BO20" s="333">
        <v>0</v>
      </c>
      <c r="BP20" s="333"/>
      <c r="BQ20" s="333"/>
      <c r="BR20" s="333"/>
      <c r="BS20" s="333"/>
      <c r="BT20" s="333">
        <f>SUMIFS('Bảng lương tạm ứng kỳ 1'!BT:BT,'Bảng lương CB-NV'!B:B,'Bảng lương tạm ứng kỳ 1'!B20)</f>
        <v>10195307.692307694</v>
      </c>
      <c r="BU20" s="334">
        <f t="shared" si="30"/>
        <v>12124292.307692306</v>
      </c>
      <c r="BV20" s="335"/>
      <c r="BW20" s="325">
        <v>23000000</v>
      </c>
      <c r="BX20" s="326">
        <v>0</v>
      </c>
      <c r="BY20" s="326">
        <v>0</v>
      </c>
      <c r="BZ20" s="326">
        <v>200000</v>
      </c>
      <c r="CA20" s="326">
        <f t="shared" si="34"/>
        <v>1150000</v>
      </c>
      <c r="CB20" s="326">
        <f t="shared" si="31"/>
        <v>24350000</v>
      </c>
      <c r="CC20" s="326" t="s">
        <v>114</v>
      </c>
      <c r="CD20" s="326"/>
      <c r="CE20" s="336"/>
      <c r="CF20" s="337"/>
      <c r="CG20" s="337"/>
      <c r="CH20" s="338"/>
      <c r="CI20" s="338"/>
    </row>
    <row r="21" spans="1:87" s="339" customFormat="1" ht="30.5" customHeight="1">
      <c r="A21" s="327">
        <f>IF(B21=0,"",COUNTA($B$15:(B21)))</f>
        <v>7</v>
      </c>
      <c r="B21" s="340" t="s">
        <v>115</v>
      </c>
      <c r="C21" s="329" t="s">
        <v>116</v>
      </c>
      <c r="D21" s="330" t="s">
        <v>117</v>
      </c>
      <c r="E21" s="331" t="s">
        <v>99</v>
      </c>
      <c r="F21" s="331" t="s">
        <v>100</v>
      </c>
      <c r="G21" s="297">
        <v>6340000</v>
      </c>
      <c r="H21" s="297">
        <f t="shared" si="7"/>
        <v>300000</v>
      </c>
      <c r="I21" s="297">
        <f t="shared" si="8"/>
        <v>11210000</v>
      </c>
      <c r="J21" s="296">
        <v>1</v>
      </c>
      <c r="K21" s="332">
        <v>26</v>
      </c>
      <c r="L21" s="332">
        <v>0</v>
      </c>
      <c r="M21" s="332">
        <v>0</v>
      </c>
      <c r="N21" s="332">
        <v>0</v>
      </c>
      <c r="O21" s="332">
        <v>0</v>
      </c>
      <c r="P21" s="332">
        <v>5</v>
      </c>
      <c r="Q21" s="332">
        <v>2</v>
      </c>
      <c r="R21" s="332">
        <v>0</v>
      </c>
      <c r="S21" s="332">
        <v>0</v>
      </c>
      <c r="T21" s="332"/>
      <c r="U21" s="332">
        <v>0</v>
      </c>
      <c r="V21" s="332">
        <v>0</v>
      </c>
      <c r="W21" s="332">
        <v>0</v>
      </c>
      <c r="X21" s="332">
        <v>0</v>
      </c>
      <c r="Y21" s="297">
        <f t="shared" si="9"/>
        <v>6340000</v>
      </c>
      <c r="Z21" s="297">
        <f t="shared" si="10"/>
        <v>0</v>
      </c>
      <c r="AA21" s="297">
        <f t="shared" si="11"/>
        <v>0</v>
      </c>
      <c r="AB21" s="297">
        <f t="shared" si="12"/>
        <v>0</v>
      </c>
      <c r="AC21" s="297">
        <f t="shared" si="13"/>
        <v>1828846.1538461538</v>
      </c>
      <c r="AD21" s="297">
        <f t="shared" si="14"/>
        <v>975384.61538461538</v>
      </c>
      <c r="AE21" s="297">
        <f t="shared" si="15"/>
        <v>0</v>
      </c>
      <c r="AF21" s="297">
        <f>IF(F21="LN",(G21+H21)/26*S21*30%,0)</f>
        <v>0</v>
      </c>
      <c r="AG21" s="297">
        <f t="shared" si="16"/>
        <v>0</v>
      </c>
      <c r="AH21" s="297">
        <f t="shared" si="17"/>
        <v>0</v>
      </c>
      <c r="AI21" s="297">
        <f t="shared" si="18"/>
        <v>0</v>
      </c>
      <c r="AJ21" s="297"/>
      <c r="AK21" s="297">
        <f t="shared" si="19"/>
        <v>0</v>
      </c>
      <c r="AL21" s="297"/>
      <c r="AM21" s="297">
        <f t="shared" si="20"/>
        <v>0</v>
      </c>
      <c r="AN21" s="297">
        <f t="shared" si="32"/>
        <v>300000</v>
      </c>
      <c r="AO21" s="297">
        <f>IF(F21="LN",I21*(K21+L21)/26+(H21+I21)*50%*M21/26+MAX($G21*P21/26*150%,P21*$BW21/26)-AC21+MAX($G21*Q21/26*200%,Q21*$BW21/26)-AD21+MAX($G21*R21/26*300%,R21*$BW21/26)-AE21+BW21*S21/26-AF21+AH21-AG21,I21-I21*($CE$11-K21-L21)/26+(H21+I21)*50%*M21/26+BW21*O21/26-AB21+MAX($G21*P21/26*150%,P21*$BW21/26)-AC21+MAX($G21*Q21/26*200%,Q21*$BW21/26)-AD21+MAX($G21*R21/26*300%,R21*$BW21/26)-AE21+BW21*S21/26-AF21+AH21-AG21+(G21-G21*($CE$11-K21-L21)/26-Y21)+(H21-H21*($CE$11-K21-L21)/26-AN21))</f>
        <v>12982692.307692306</v>
      </c>
      <c r="AP21" s="297"/>
      <c r="AQ21" s="297"/>
      <c r="AR21" s="297">
        <v>560000</v>
      </c>
      <c r="AS21" s="297"/>
      <c r="AT21" s="297"/>
      <c r="AU21" s="297"/>
      <c r="AV21" s="297">
        <f t="shared" si="21"/>
        <v>22986923.076923076</v>
      </c>
      <c r="AW21" s="297"/>
      <c r="AX21" s="297" t="str">
        <f t="shared" si="33"/>
        <v>x</v>
      </c>
      <c r="AY21" s="333">
        <f t="shared" si="22"/>
        <v>531200</v>
      </c>
      <c r="AZ21" s="333">
        <f t="shared" si="22"/>
        <v>99600</v>
      </c>
      <c r="BA21" s="333">
        <f t="shared" si="22"/>
        <v>66400</v>
      </c>
      <c r="BB21" s="333">
        <f t="shared" si="23"/>
        <v>697200</v>
      </c>
      <c r="BC21" s="333"/>
      <c r="BD21" s="333"/>
      <c r="BE21" s="333">
        <f t="shared" si="24"/>
        <v>63400</v>
      </c>
      <c r="BF21" s="333">
        <f t="shared" si="25"/>
        <v>560000</v>
      </c>
      <c r="BG21" s="333">
        <f t="shared" si="26"/>
        <v>22426923.076923076</v>
      </c>
      <c r="BH21" s="333"/>
      <c r="BI21" s="333">
        <v>4400000</v>
      </c>
      <c r="BJ21" s="333">
        <f t="shared" si="27"/>
        <v>11000000</v>
      </c>
      <c r="BK21" s="333">
        <f t="shared" si="28"/>
        <v>10729723.076923076</v>
      </c>
      <c r="BL21" s="326">
        <f t="shared" si="29"/>
        <v>859458</v>
      </c>
      <c r="BM21" s="333"/>
      <c r="BN21" s="333"/>
      <c r="BO21" s="333">
        <v>0</v>
      </c>
      <c r="BP21" s="333"/>
      <c r="BQ21" s="333"/>
      <c r="BR21" s="333"/>
      <c r="BS21" s="333"/>
      <c r="BT21" s="333">
        <f>SUMIFS('Bảng lương tạm ứng kỳ 1'!BT:BT,'Bảng lương CB-NV'!B:B,'Bảng lương tạm ứng kỳ 1'!B21)</f>
        <v>9977846.153846154</v>
      </c>
      <c r="BU21" s="334">
        <f t="shared" si="30"/>
        <v>11389018.923076922</v>
      </c>
      <c r="BV21" s="335"/>
      <c r="BW21" s="325">
        <v>17000000</v>
      </c>
      <c r="BX21" s="326">
        <v>0</v>
      </c>
      <c r="BY21" s="326">
        <v>0</v>
      </c>
      <c r="BZ21" s="326">
        <v>200000</v>
      </c>
      <c r="CA21" s="326">
        <f t="shared" si="34"/>
        <v>850000</v>
      </c>
      <c r="CB21" s="326">
        <f t="shared" si="31"/>
        <v>18050000</v>
      </c>
      <c r="CC21" s="326" t="s">
        <v>118</v>
      </c>
      <c r="CD21" s="326"/>
      <c r="CE21" s="336"/>
      <c r="CF21" s="337"/>
      <c r="CG21" s="337"/>
      <c r="CH21" s="338"/>
      <c r="CI21" s="338"/>
    </row>
    <row r="22" spans="1:87" s="298" customFormat="1" ht="18.75" customHeight="1">
      <c r="B22" s="299"/>
      <c r="I22" s="300"/>
      <c r="J22" s="300"/>
      <c r="K22" s="301"/>
      <c r="L22" s="301"/>
      <c r="M22" s="301"/>
      <c r="N22" s="301"/>
      <c r="O22" s="301"/>
      <c r="P22" s="301"/>
      <c r="Q22" s="301"/>
      <c r="R22" s="301"/>
      <c r="S22" s="301"/>
      <c r="T22" s="301"/>
      <c r="U22" s="302"/>
      <c r="V22" s="302"/>
      <c r="W22" s="435"/>
      <c r="X22" s="435"/>
      <c r="AC22" s="436"/>
      <c r="BL22" s="303"/>
      <c r="BP22" s="303"/>
      <c r="BQ22" s="303"/>
      <c r="BR22" s="303"/>
      <c r="BS22" s="303"/>
      <c r="BT22" s="303"/>
      <c r="BU22" s="303"/>
      <c r="BV22" s="304"/>
      <c r="BW22" s="305"/>
      <c r="BX22" s="305"/>
      <c r="BY22" s="305"/>
      <c r="BZ22" s="305"/>
      <c r="CA22" s="305"/>
      <c r="CB22" s="306"/>
      <c r="CC22" s="307"/>
      <c r="CD22" s="307"/>
      <c r="CF22" s="308"/>
    </row>
    <row r="23" spans="1:87" s="309" customFormat="1" ht="21" customHeight="1">
      <c r="B23" s="310"/>
      <c r="C23" s="310"/>
      <c r="D23" s="310"/>
      <c r="E23" s="310"/>
      <c r="F23" s="310"/>
      <c r="G23" s="310"/>
      <c r="H23" s="310"/>
      <c r="I23" s="310"/>
      <c r="J23" s="311"/>
      <c r="K23" s="316"/>
      <c r="L23" s="316"/>
      <c r="M23" s="316"/>
      <c r="N23" s="316"/>
      <c r="O23" s="316"/>
      <c r="P23" s="316"/>
      <c r="Q23" s="316"/>
      <c r="U23" s="312"/>
      <c r="V23" s="316"/>
      <c r="W23" s="310"/>
      <c r="X23" s="310"/>
      <c r="Y23" s="310"/>
      <c r="Z23" s="310"/>
      <c r="AA23" s="310"/>
      <c r="AB23" s="310"/>
      <c r="AC23" s="310"/>
      <c r="AK23" s="310"/>
      <c r="AM23" s="310"/>
      <c r="AN23" s="310"/>
      <c r="AO23" s="310"/>
      <c r="AP23" s="310"/>
      <c r="AQ23" s="310"/>
      <c r="AR23" s="310"/>
      <c r="AS23" s="310"/>
      <c r="AT23" s="310"/>
      <c r="AU23" s="310"/>
      <c r="AV23" s="310"/>
      <c r="AW23" s="310"/>
      <c r="AX23" s="310"/>
      <c r="BC23" s="313"/>
      <c r="BD23" s="313"/>
      <c r="BL23" s="310"/>
      <c r="BN23" s="310"/>
      <c r="BO23" s="310"/>
      <c r="BP23" s="310" t="s">
        <v>119</v>
      </c>
      <c r="BQ23" s="310"/>
      <c r="BR23" s="310"/>
      <c r="BS23" s="310"/>
      <c r="BT23" s="310"/>
      <c r="BU23" s="310"/>
      <c r="BV23" s="310"/>
      <c r="BW23" s="314"/>
      <c r="BX23" s="314"/>
      <c r="BY23" s="314"/>
      <c r="BZ23" s="314"/>
      <c r="CA23" s="314"/>
      <c r="CD23" s="313"/>
    </row>
    <row r="24" spans="1:87" s="309" customFormat="1" ht="18" customHeight="1">
      <c r="B24" s="315"/>
      <c r="I24" s="311"/>
      <c r="J24" s="311"/>
      <c r="K24" s="312"/>
      <c r="L24" s="312"/>
      <c r="M24" s="312"/>
      <c r="N24" s="312"/>
      <c r="O24" s="312"/>
      <c r="P24" s="312"/>
      <c r="Q24" s="312"/>
      <c r="R24" s="316"/>
      <c r="U24" s="312"/>
      <c r="V24" s="312"/>
      <c r="W24" s="437"/>
      <c r="X24" s="437"/>
      <c r="AN24" s="314"/>
      <c r="AV24" s="310"/>
      <c r="AW24" s="310"/>
      <c r="AX24" s="310"/>
      <c r="AY24" s="314"/>
      <c r="AZ24" s="314"/>
      <c r="BA24" s="314"/>
      <c r="BB24" s="314"/>
      <c r="BN24" s="310"/>
      <c r="BO24" s="313"/>
      <c r="BW24" s="314"/>
      <c r="BX24" s="314"/>
      <c r="BY24" s="314"/>
      <c r="BZ24" s="314"/>
      <c r="CA24" s="314"/>
      <c r="CF24" s="317"/>
    </row>
    <row r="27" spans="1:87" ht="28">
      <c r="B27" s="342" t="s">
        <v>150</v>
      </c>
    </row>
  </sheetData>
  <autoFilter ref="A12:CI21" xr:uid="{00000000-0009-0000-0000-000000000000}"/>
  <mergeCells count="82">
    <mergeCell ref="AF9:AF11"/>
    <mergeCell ref="AH9:AH11"/>
    <mergeCell ref="A8:A11"/>
    <mergeCell ref="BX8:CA10"/>
    <mergeCell ref="C8:C11"/>
    <mergeCell ref="BW8:BW11"/>
    <mergeCell ref="AI9:AI11"/>
    <mergeCell ref="D8:D11"/>
    <mergeCell ref="BF10:BF11"/>
    <mergeCell ref="BO10:BO11"/>
    <mergeCell ref="Q9:Q11"/>
    <mergeCell ref="S9:S11"/>
    <mergeCell ref="BL10:BL11"/>
    <mergeCell ref="BS9:BS11"/>
    <mergeCell ref="AC9:AC11"/>
    <mergeCell ref="AP8:AP11"/>
    <mergeCell ref="AR8:AR11"/>
    <mergeCell ref="AT8:AT11"/>
    <mergeCell ref="I8:I11"/>
    <mergeCell ref="BK10:BK11"/>
    <mergeCell ref="K8:X8"/>
    <mergeCell ref="AY8:BQ8"/>
    <mergeCell ref="BC10:BC11"/>
    <mergeCell ref="BE10:BE11"/>
    <mergeCell ref="T9:T11"/>
    <mergeCell ref="BQ10:BQ11"/>
    <mergeCell ref="AB9:AB11"/>
    <mergeCell ref="Y8:AO8"/>
    <mergeCell ref="BJ10:BJ11"/>
    <mergeCell ref="L9:L11"/>
    <mergeCell ref="N9:N11"/>
    <mergeCell ref="BG10:BG11"/>
    <mergeCell ref="BI10:BI11"/>
    <mergeCell ref="X9:X11"/>
    <mergeCell ref="BW3:CB6"/>
    <mergeCell ref="CC8:CC11"/>
    <mergeCell ref="AU8:AU11"/>
    <mergeCell ref="AW8:AW11"/>
    <mergeCell ref="A3:BU3"/>
    <mergeCell ref="AE9:AE11"/>
    <mergeCell ref="AO9:AO11"/>
    <mergeCell ref="BB10:BB11"/>
    <mergeCell ref="B8:B11"/>
    <mergeCell ref="BD10:BD11"/>
    <mergeCell ref="K9:K11"/>
    <mergeCell ref="M9:M11"/>
    <mergeCell ref="O9:O11"/>
    <mergeCell ref="BH10:BH11"/>
    <mergeCell ref="BT8:BT11"/>
    <mergeCell ref="P9:P11"/>
    <mergeCell ref="E8:E11"/>
    <mergeCell ref="G8:G11"/>
    <mergeCell ref="BU8:BU11"/>
    <mergeCell ref="R9:R11"/>
    <mergeCell ref="BR9:BR11"/>
    <mergeCell ref="BM10:BM11"/>
    <mergeCell ref="AQ8:AQ11"/>
    <mergeCell ref="U9:U11"/>
    <mergeCell ref="BN10:BN11"/>
    <mergeCell ref="BP10:BP11"/>
    <mergeCell ref="AG9:AG11"/>
    <mergeCell ref="H8:H11"/>
    <mergeCell ref="J8:J11"/>
    <mergeCell ref="V9:W10"/>
    <mergeCell ref="F8:F11"/>
    <mergeCell ref="AJ9:AJ11"/>
    <mergeCell ref="CD8:CD11"/>
    <mergeCell ref="Y9:Y11"/>
    <mergeCell ref="AA9:AA11"/>
    <mergeCell ref="AK9:AK11"/>
    <mergeCell ref="AM9:AM11"/>
    <mergeCell ref="AX8:AX11"/>
    <mergeCell ref="BR8:BS8"/>
    <mergeCell ref="CB8:CB11"/>
    <mergeCell ref="AL9:AL11"/>
    <mergeCell ref="AY9:BL9"/>
    <mergeCell ref="AN9:AN11"/>
    <mergeCell ref="BM9:BQ9"/>
    <mergeCell ref="Z9:Z11"/>
    <mergeCell ref="AD9:AD11"/>
    <mergeCell ref="AS8:AS11"/>
    <mergeCell ref="AV8:AV11"/>
  </mergeCells>
  <conditionalFormatting sqref="B1:B5 B7:B12 B15:B26 C12:BU12 B28:B1048576">
    <cfRule type="duplicateValues" dxfId="23" priority="36"/>
    <cfRule type="duplicateValues" dxfId="22" priority="74"/>
  </conditionalFormatting>
  <conditionalFormatting sqref="B1:B5 B7:B12 B15:B26 C12:CD12 D13:F13 J13:BK13 BM13:CD13 B28:B1048576">
    <cfRule type="duplicateValues" dxfId="21" priority="79"/>
  </conditionalFormatting>
  <conditionalFormatting sqref="BL13">
    <cfRule type="duplicateValues" dxfId="20" priority="2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CI26"/>
  <sheetViews>
    <sheetView topLeftCell="BM1" zoomScale="85" zoomScaleNormal="85" zoomScaleSheetLayoutView="70" workbookViewId="0">
      <selection activeCell="BP31" sqref="BP31"/>
    </sheetView>
  </sheetViews>
  <sheetFormatPr baseColWidth="10" defaultColWidth="20.6640625" defaultRowHeight="15" outlineLevelRow="1" outlineLevelCol="1"/>
  <cols>
    <col min="1" max="1" width="20.6640625" style="173" customWidth="1"/>
    <col min="2" max="2" width="20.6640625" style="174" customWidth="1"/>
    <col min="3" max="3" width="20.6640625" style="175" customWidth="1"/>
    <col min="4" max="5" width="20.6640625" style="176" customWidth="1" outlineLevel="1"/>
    <col min="6" max="6" width="20.6640625" style="177" customWidth="1" outlineLevel="1"/>
    <col min="7" max="8" width="20.6640625" style="178" customWidth="1"/>
    <col min="9" max="9" width="20.6640625" style="179" customWidth="1"/>
    <col min="10" max="10" width="20.6640625" style="179" customWidth="1" outlineLevel="1"/>
    <col min="11" max="24" width="20.6640625" style="180" customWidth="1"/>
    <col min="25" max="50" width="20.6640625" style="181" customWidth="1"/>
    <col min="51" max="53" width="20.6640625" style="181" customWidth="1" outlineLevel="1"/>
    <col min="54" max="73" width="20.6640625" style="181" customWidth="1"/>
    <col min="75" max="79" width="20.6640625" style="178" customWidth="1" outlineLevel="1"/>
    <col min="80" max="82" width="20.6640625" style="182" customWidth="1" outlineLevel="1"/>
    <col min="83" max="83" width="20.6640625" style="183" customWidth="1"/>
    <col min="84" max="16384" width="20.6640625" style="183"/>
  </cols>
  <sheetData>
    <row r="1" spans="1:87" s="127" customFormat="1" ht="11" outlineLevel="1">
      <c r="A1" s="125" t="s">
        <v>0</v>
      </c>
      <c r="B1" s="126"/>
      <c r="C1" s="125"/>
      <c r="D1" s="8"/>
      <c r="E1" s="8"/>
      <c r="F1" s="8"/>
      <c r="I1" s="128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U1" s="8"/>
      <c r="BW1" s="8"/>
      <c r="BX1" s="8"/>
      <c r="BY1" s="8"/>
      <c r="BZ1" s="8"/>
      <c r="CA1" s="8"/>
      <c r="CB1" s="130"/>
      <c r="CC1" s="130"/>
      <c r="CD1" s="130"/>
    </row>
    <row r="2" spans="1:87" s="127" customFormat="1" ht="11" outlineLevel="1">
      <c r="A2" s="131" t="s">
        <v>1</v>
      </c>
      <c r="B2" s="126"/>
      <c r="C2" s="132"/>
      <c r="D2" s="8"/>
      <c r="E2" s="8"/>
      <c r="F2" s="8"/>
      <c r="I2" s="128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W2" s="8"/>
      <c r="BX2" s="8"/>
      <c r="BY2" s="8"/>
      <c r="BZ2" s="8"/>
      <c r="CA2" s="8"/>
      <c r="CB2" s="132"/>
      <c r="CC2" s="132"/>
      <c r="CD2" s="132"/>
    </row>
    <row r="3" spans="1:87" s="134" customFormat="1" ht="11" outlineLevel="1">
      <c r="A3" s="285"/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  <c r="AA3" s="283"/>
      <c r="AB3" s="283"/>
      <c r="AC3" s="283"/>
      <c r="AD3" s="283"/>
      <c r="AE3" s="283"/>
      <c r="AF3" s="283"/>
      <c r="AG3" s="283"/>
      <c r="AH3" s="283"/>
      <c r="AI3" s="283"/>
      <c r="AJ3" s="283"/>
      <c r="AK3" s="283"/>
      <c r="AL3" s="283"/>
      <c r="AM3" s="283"/>
      <c r="AN3" s="283"/>
      <c r="AO3" s="283"/>
      <c r="AP3" s="283"/>
      <c r="AQ3" s="283"/>
      <c r="AR3" s="283"/>
      <c r="AS3" s="283"/>
      <c r="AT3" s="283"/>
      <c r="AU3" s="283"/>
      <c r="AV3" s="283"/>
      <c r="AW3" s="283"/>
      <c r="AX3" s="283"/>
      <c r="AY3" s="283"/>
      <c r="AZ3" s="283"/>
      <c r="BA3" s="283"/>
      <c r="BB3" s="283"/>
      <c r="BC3" s="283"/>
      <c r="BD3" s="283"/>
      <c r="BE3" s="283"/>
      <c r="BF3" s="283"/>
      <c r="BG3" s="283"/>
      <c r="BH3" s="283"/>
      <c r="BI3" s="283"/>
      <c r="BJ3" s="283"/>
      <c r="BK3" s="283"/>
      <c r="BL3" s="283"/>
      <c r="BM3" s="283"/>
      <c r="BN3" s="283"/>
      <c r="BO3" s="283"/>
      <c r="BP3" s="283"/>
      <c r="BQ3" s="283"/>
      <c r="BR3" s="283"/>
      <c r="BS3" s="283"/>
      <c r="BT3" s="283"/>
      <c r="BU3" s="283"/>
      <c r="BW3" s="282" t="s">
        <v>2</v>
      </c>
      <c r="BX3" s="283"/>
      <c r="BY3" s="283"/>
      <c r="BZ3" s="283"/>
      <c r="CA3" s="283"/>
      <c r="CB3" s="283"/>
      <c r="CC3" s="133"/>
      <c r="CD3" s="133"/>
      <c r="CE3" s="134" t="s">
        <v>3</v>
      </c>
      <c r="CF3" s="134">
        <v>26</v>
      </c>
    </row>
    <row r="4" spans="1:87" s="134" customFormat="1" ht="11" outlineLevel="1">
      <c r="A4" s="135"/>
      <c r="B4" s="135"/>
      <c r="C4" s="135"/>
      <c r="D4" s="135"/>
      <c r="E4" s="135"/>
      <c r="F4" s="135"/>
      <c r="G4" s="135"/>
      <c r="H4" s="135"/>
      <c r="I4" s="128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5"/>
      <c r="BL4" s="135"/>
      <c r="BM4" s="135"/>
      <c r="BN4" s="135"/>
      <c r="BO4" s="135"/>
      <c r="BP4" s="135"/>
      <c r="BQ4" s="135"/>
      <c r="BR4" s="135"/>
      <c r="BS4" s="135"/>
      <c r="BT4" s="135"/>
      <c r="BU4" s="135"/>
      <c r="BW4" s="283"/>
      <c r="BX4" s="283"/>
      <c r="BY4" s="283"/>
      <c r="BZ4" s="283"/>
      <c r="CA4" s="283"/>
      <c r="CB4" s="283"/>
      <c r="CC4" s="133"/>
      <c r="CD4" s="133"/>
    </row>
    <row r="5" spans="1:87" s="136" customFormat="1">
      <c r="A5" s="270" t="s">
        <v>4</v>
      </c>
      <c r="B5" s="263" t="s">
        <v>5</v>
      </c>
      <c r="C5" s="245" t="s">
        <v>6</v>
      </c>
      <c r="D5" s="248" t="s">
        <v>7</v>
      </c>
      <c r="E5" s="248" t="s">
        <v>8</v>
      </c>
      <c r="F5" s="245" t="s">
        <v>9</v>
      </c>
      <c r="G5" s="245" t="s">
        <v>10</v>
      </c>
      <c r="H5" s="281" t="s">
        <v>11</v>
      </c>
      <c r="I5" s="281" t="s">
        <v>12</v>
      </c>
      <c r="J5" s="245" t="s">
        <v>13</v>
      </c>
      <c r="K5" s="286" t="s">
        <v>14</v>
      </c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45" t="s">
        <v>15</v>
      </c>
      <c r="Z5" s="265"/>
      <c r="AA5" s="265"/>
      <c r="AB5" s="265"/>
      <c r="AC5" s="265"/>
      <c r="AD5" s="265"/>
      <c r="AE5" s="265"/>
      <c r="AF5" s="265"/>
      <c r="AG5" s="265"/>
      <c r="AH5" s="265"/>
      <c r="AI5" s="265"/>
      <c r="AJ5" s="265"/>
      <c r="AK5" s="265"/>
      <c r="AL5" s="265"/>
      <c r="AM5" s="265"/>
      <c r="AN5" s="265"/>
      <c r="AO5" s="266"/>
      <c r="AP5" s="245" t="s">
        <v>16</v>
      </c>
      <c r="AQ5" s="245" t="s">
        <v>17</v>
      </c>
      <c r="AR5" s="245" t="s">
        <v>18</v>
      </c>
      <c r="AS5" s="245" t="s">
        <v>19</v>
      </c>
      <c r="AT5" s="245" t="s">
        <v>20</v>
      </c>
      <c r="AU5" s="245" t="s">
        <v>21</v>
      </c>
      <c r="AV5" s="245" t="s">
        <v>22</v>
      </c>
      <c r="AW5" s="245" t="s">
        <v>23</v>
      </c>
      <c r="AX5" s="245" t="s">
        <v>24</v>
      </c>
      <c r="AY5" s="254" t="s">
        <v>25</v>
      </c>
      <c r="AZ5" s="265"/>
      <c r="BA5" s="265"/>
      <c r="BB5" s="265"/>
      <c r="BC5" s="265"/>
      <c r="BD5" s="265"/>
      <c r="BE5" s="265"/>
      <c r="BF5" s="265"/>
      <c r="BG5" s="265"/>
      <c r="BH5" s="265"/>
      <c r="BI5" s="265"/>
      <c r="BJ5" s="265"/>
      <c r="BK5" s="265"/>
      <c r="BL5" s="265"/>
      <c r="BM5" s="265"/>
      <c r="BN5" s="265"/>
      <c r="BO5" s="265"/>
      <c r="BP5" s="265"/>
      <c r="BQ5" s="266"/>
      <c r="BR5" s="246" t="s">
        <v>26</v>
      </c>
      <c r="BS5" s="247"/>
      <c r="BT5" s="254" t="s">
        <v>27</v>
      </c>
      <c r="BU5" s="250" t="s">
        <v>28</v>
      </c>
      <c r="BW5" s="278" t="s">
        <v>29</v>
      </c>
      <c r="BX5" s="271" t="s">
        <v>30</v>
      </c>
      <c r="BY5" s="272"/>
      <c r="BZ5" s="272"/>
      <c r="CA5" s="247"/>
      <c r="CB5" s="264" t="s">
        <v>31</v>
      </c>
      <c r="CC5" s="237" t="s">
        <v>32</v>
      </c>
      <c r="CD5" s="237" t="s">
        <v>33</v>
      </c>
      <c r="CH5" s="137"/>
      <c r="CI5" s="138"/>
    </row>
    <row r="6" spans="1:87" s="136" customFormat="1">
      <c r="A6" s="238"/>
      <c r="B6" s="238"/>
      <c r="C6" s="238"/>
      <c r="D6" s="238"/>
      <c r="E6" s="238"/>
      <c r="F6" s="238"/>
      <c r="G6" s="238"/>
      <c r="H6" s="238"/>
      <c r="I6" s="238"/>
      <c r="J6" s="238"/>
      <c r="K6" s="280" t="s">
        <v>34</v>
      </c>
      <c r="L6" s="280" t="s">
        <v>35</v>
      </c>
      <c r="M6" s="280" t="s">
        <v>36</v>
      </c>
      <c r="N6" s="280" t="s">
        <v>37</v>
      </c>
      <c r="O6" s="280" t="s">
        <v>38</v>
      </c>
      <c r="P6" s="280" t="s">
        <v>39</v>
      </c>
      <c r="Q6" s="280" t="s">
        <v>40</v>
      </c>
      <c r="R6" s="280" t="s">
        <v>41</v>
      </c>
      <c r="S6" s="280" t="s">
        <v>42</v>
      </c>
      <c r="T6" s="280" t="s">
        <v>43</v>
      </c>
      <c r="U6" s="280" t="s">
        <v>44</v>
      </c>
      <c r="V6" s="287" t="s">
        <v>45</v>
      </c>
      <c r="W6" s="247"/>
      <c r="X6" s="280" t="s">
        <v>46</v>
      </c>
      <c r="Y6" s="245" t="s">
        <v>47</v>
      </c>
      <c r="Z6" s="245" t="s">
        <v>48</v>
      </c>
      <c r="AA6" s="245" t="s">
        <v>49</v>
      </c>
      <c r="AB6" s="245" t="s">
        <v>50</v>
      </c>
      <c r="AC6" s="281" t="s">
        <v>51</v>
      </c>
      <c r="AD6" s="281" t="s">
        <v>52</v>
      </c>
      <c r="AE6" s="281" t="s">
        <v>53</v>
      </c>
      <c r="AF6" s="281" t="s">
        <v>54</v>
      </c>
      <c r="AG6" s="245" t="s">
        <v>55</v>
      </c>
      <c r="AH6" s="281" t="s">
        <v>56</v>
      </c>
      <c r="AI6" s="281" t="s">
        <v>57</v>
      </c>
      <c r="AJ6" s="245" t="s">
        <v>58</v>
      </c>
      <c r="AK6" s="242" t="s">
        <v>59</v>
      </c>
      <c r="AL6" s="245" t="s">
        <v>60</v>
      </c>
      <c r="AM6" s="245" t="s">
        <v>61</v>
      </c>
      <c r="AN6" s="267" t="s">
        <v>62</v>
      </c>
      <c r="AO6" s="245" t="s">
        <v>63</v>
      </c>
      <c r="AP6" s="238"/>
      <c r="AQ6" s="238"/>
      <c r="AR6" s="238"/>
      <c r="AS6" s="238"/>
      <c r="AT6" s="238"/>
      <c r="AU6" s="238"/>
      <c r="AV6" s="238"/>
      <c r="AW6" s="238"/>
      <c r="AX6" s="238"/>
      <c r="AY6" s="254" t="s">
        <v>25</v>
      </c>
      <c r="AZ6" s="265"/>
      <c r="BA6" s="265"/>
      <c r="BB6" s="265"/>
      <c r="BC6" s="265"/>
      <c r="BD6" s="265"/>
      <c r="BE6" s="265"/>
      <c r="BF6" s="265"/>
      <c r="BG6" s="265"/>
      <c r="BH6" s="265"/>
      <c r="BI6" s="265"/>
      <c r="BJ6" s="265"/>
      <c r="BK6" s="265"/>
      <c r="BL6" s="266"/>
      <c r="BM6" s="254" t="s">
        <v>64</v>
      </c>
      <c r="BN6" s="265"/>
      <c r="BO6" s="265"/>
      <c r="BP6" s="265"/>
      <c r="BQ6" s="266"/>
      <c r="BR6" s="252" t="s">
        <v>65</v>
      </c>
      <c r="BS6" s="252" t="s">
        <v>66</v>
      </c>
      <c r="BT6" s="238"/>
      <c r="BU6" s="243"/>
      <c r="BW6" s="274"/>
      <c r="BX6" s="243"/>
      <c r="BY6" s="284"/>
      <c r="BZ6" s="284"/>
      <c r="CA6" s="274"/>
      <c r="CB6" s="238"/>
      <c r="CC6" s="238"/>
      <c r="CD6" s="238"/>
      <c r="CH6" s="137"/>
      <c r="CI6" s="138"/>
    </row>
    <row r="7" spans="1:87" s="139" customFormat="1" ht="12">
      <c r="A7" s="238"/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  <c r="Q7" s="238"/>
      <c r="R7" s="238"/>
      <c r="S7" s="238"/>
      <c r="T7" s="238"/>
      <c r="U7" s="238"/>
      <c r="V7" s="244"/>
      <c r="W7" s="257"/>
      <c r="X7" s="238"/>
      <c r="Y7" s="238"/>
      <c r="Z7" s="238"/>
      <c r="AA7" s="238"/>
      <c r="AB7" s="238"/>
      <c r="AC7" s="238"/>
      <c r="AD7" s="238"/>
      <c r="AE7" s="238"/>
      <c r="AF7" s="238"/>
      <c r="AG7" s="238"/>
      <c r="AH7" s="238"/>
      <c r="AI7" s="238"/>
      <c r="AJ7" s="238"/>
      <c r="AK7" s="243"/>
      <c r="AL7" s="238"/>
      <c r="AM7" s="238"/>
      <c r="AN7" s="238"/>
      <c r="AO7" s="238"/>
      <c r="AP7" s="238"/>
      <c r="AQ7" s="238"/>
      <c r="AR7" s="238"/>
      <c r="AS7" s="238"/>
      <c r="AT7" s="238"/>
      <c r="AU7" s="238"/>
      <c r="AV7" s="238"/>
      <c r="AW7" s="238"/>
      <c r="AX7" s="238"/>
      <c r="AY7" s="101" t="s">
        <v>67</v>
      </c>
      <c r="AZ7" s="101" t="s">
        <v>68</v>
      </c>
      <c r="BA7" s="101" t="s">
        <v>69</v>
      </c>
      <c r="BB7" s="254" t="s">
        <v>70</v>
      </c>
      <c r="BC7" s="253" t="s">
        <v>71</v>
      </c>
      <c r="BD7" s="253" t="s">
        <v>72</v>
      </c>
      <c r="BE7" s="269" t="s">
        <v>73</v>
      </c>
      <c r="BF7" s="253" t="s">
        <v>74</v>
      </c>
      <c r="BG7" s="253" t="s">
        <v>75</v>
      </c>
      <c r="BH7" s="253" t="s">
        <v>76</v>
      </c>
      <c r="BI7" s="253" t="s">
        <v>77</v>
      </c>
      <c r="BJ7" s="253" t="s">
        <v>78</v>
      </c>
      <c r="BK7" s="253" t="s">
        <v>79</v>
      </c>
      <c r="BL7" s="279" t="s">
        <v>80</v>
      </c>
      <c r="BM7" s="253" t="s">
        <v>81</v>
      </c>
      <c r="BN7" s="254" t="s">
        <v>82</v>
      </c>
      <c r="BO7" s="253" t="s">
        <v>83</v>
      </c>
      <c r="BP7" s="254" t="s">
        <v>84</v>
      </c>
      <c r="BQ7" s="254" t="s">
        <v>85</v>
      </c>
      <c r="BR7" s="238"/>
      <c r="BS7" s="238"/>
      <c r="BT7" s="238"/>
      <c r="BU7" s="243"/>
      <c r="BW7" s="274"/>
      <c r="BX7" s="275"/>
      <c r="BY7" s="276"/>
      <c r="BZ7" s="276"/>
      <c r="CA7" s="277"/>
      <c r="CB7" s="238"/>
      <c r="CC7" s="238"/>
      <c r="CD7" s="238"/>
      <c r="CH7" s="137"/>
      <c r="CI7" s="138"/>
    </row>
    <row r="8" spans="1:87" s="139" customFormat="1" ht="12">
      <c r="A8" s="241"/>
      <c r="B8" s="241"/>
      <c r="C8" s="241"/>
      <c r="D8" s="241"/>
      <c r="E8" s="241"/>
      <c r="F8" s="241"/>
      <c r="G8" s="241"/>
      <c r="H8" s="241"/>
      <c r="I8" s="241"/>
      <c r="J8" s="241"/>
      <c r="K8" s="241"/>
      <c r="L8" s="241"/>
      <c r="M8" s="241"/>
      <c r="N8" s="241"/>
      <c r="O8" s="241"/>
      <c r="P8" s="241"/>
      <c r="Q8" s="241"/>
      <c r="R8" s="241"/>
      <c r="S8" s="241"/>
      <c r="T8" s="241"/>
      <c r="U8" s="241"/>
      <c r="V8" s="140" t="s">
        <v>86</v>
      </c>
      <c r="W8" s="140" t="s">
        <v>87</v>
      </c>
      <c r="X8" s="241"/>
      <c r="Y8" s="241"/>
      <c r="Z8" s="241"/>
      <c r="AA8" s="241"/>
      <c r="AB8" s="241"/>
      <c r="AC8" s="241"/>
      <c r="AD8" s="241"/>
      <c r="AE8" s="241"/>
      <c r="AF8" s="241"/>
      <c r="AG8" s="241"/>
      <c r="AH8" s="241"/>
      <c r="AI8" s="241"/>
      <c r="AJ8" s="241"/>
      <c r="AK8" s="244"/>
      <c r="AL8" s="241"/>
      <c r="AM8" s="241"/>
      <c r="AN8" s="241"/>
      <c r="AO8" s="241"/>
      <c r="AP8" s="241"/>
      <c r="AQ8" s="241"/>
      <c r="AR8" s="241"/>
      <c r="AS8" s="241"/>
      <c r="AT8" s="241"/>
      <c r="AU8" s="241"/>
      <c r="AV8" s="241"/>
      <c r="AW8" s="241"/>
      <c r="AX8" s="241"/>
      <c r="AY8" s="102" t="s">
        <v>88</v>
      </c>
      <c r="AZ8" s="102" t="s">
        <v>89</v>
      </c>
      <c r="BA8" s="102" t="s">
        <v>90</v>
      </c>
      <c r="BB8" s="241"/>
      <c r="BC8" s="241"/>
      <c r="BD8" s="241"/>
      <c r="BE8" s="241"/>
      <c r="BF8" s="241"/>
      <c r="BG8" s="241"/>
      <c r="BH8" s="241"/>
      <c r="BI8" s="241"/>
      <c r="BJ8" s="241"/>
      <c r="BK8" s="241"/>
      <c r="BL8" s="241"/>
      <c r="BM8" s="241"/>
      <c r="BN8" s="241"/>
      <c r="BO8" s="241"/>
      <c r="BP8" s="241"/>
      <c r="BQ8" s="241"/>
      <c r="BR8" s="241"/>
      <c r="BS8" s="241"/>
      <c r="BT8" s="241"/>
      <c r="BU8" s="244"/>
      <c r="BW8" s="277"/>
      <c r="BX8" s="72" t="s">
        <v>91</v>
      </c>
      <c r="BY8" s="72" t="s">
        <v>92</v>
      </c>
      <c r="BZ8" s="72" t="s">
        <v>93</v>
      </c>
      <c r="CA8" s="73" t="s">
        <v>94</v>
      </c>
      <c r="CB8" s="239"/>
      <c r="CC8" s="239"/>
      <c r="CD8" s="239"/>
      <c r="CE8" s="136"/>
      <c r="CF8" s="141"/>
      <c r="CH8" s="137"/>
      <c r="CI8" s="138"/>
    </row>
    <row r="9" spans="1:87" s="142" customFormat="1" ht="11">
      <c r="A9" s="32">
        <v>1</v>
      </c>
      <c r="B9" s="33">
        <f>A9+1</f>
        <v>2</v>
      </c>
      <c r="C9" s="33">
        <f>B9+1</f>
        <v>3</v>
      </c>
      <c r="D9" s="33">
        <f>C9+1</f>
        <v>4</v>
      </c>
      <c r="E9" s="33"/>
      <c r="F9" s="33">
        <f>D9+1</f>
        <v>5</v>
      </c>
      <c r="G9" s="33">
        <f t="shared" ref="G9:AV9" si="0">F9+1</f>
        <v>6</v>
      </c>
      <c r="H9" s="33">
        <f t="shared" si="0"/>
        <v>7</v>
      </c>
      <c r="I9" s="33">
        <f t="shared" si="0"/>
        <v>8</v>
      </c>
      <c r="J9" s="33">
        <f t="shared" si="0"/>
        <v>9</v>
      </c>
      <c r="K9" s="33">
        <f t="shared" si="0"/>
        <v>10</v>
      </c>
      <c r="L9" s="33">
        <f t="shared" si="0"/>
        <v>11</v>
      </c>
      <c r="M9" s="33">
        <f t="shared" si="0"/>
        <v>12</v>
      </c>
      <c r="N9" s="33">
        <f t="shared" si="0"/>
        <v>13</v>
      </c>
      <c r="O9" s="33">
        <f t="shared" si="0"/>
        <v>14</v>
      </c>
      <c r="P9" s="33">
        <f t="shared" si="0"/>
        <v>15</v>
      </c>
      <c r="Q9" s="33">
        <f t="shared" si="0"/>
        <v>16</v>
      </c>
      <c r="R9" s="33">
        <f t="shared" si="0"/>
        <v>17</v>
      </c>
      <c r="S9" s="33">
        <f t="shared" si="0"/>
        <v>18</v>
      </c>
      <c r="T9" s="33">
        <f t="shared" si="0"/>
        <v>19</v>
      </c>
      <c r="U9" s="33">
        <f t="shared" si="0"/>
        <v>20</v>
      </c>
      <c r="V9" s="33">
        <f t="shared" si="0"/>
        <v>21</v>
      </c>
      <c r="W9" s="33">
        <f t="shared" si="0"/>
        <v>22</v>
      </c>
      <c r="X9" s="33">
        <f t="shared" si="0"/>
        <v>23</v>
      </c>
      <c r="Y9" s="33">
        <f t="shared" si="0"/>
        <v>24</v>
      </c>
      <c r="Z9" s="33">
        <f t="shared" si="0"/>
        <v>25</v>
      </c>
      <c r="AA9" s="33">
        <f t="shared" si="0"/>
        <v>26</v>
      </c>
      <c r="AB9" s="33">
        <f t="shared" si="0"/>
        <v>27</v>
      </c>
      <c r="AC9" s="33">
        <f t="shared" si="0"/>
        <v>28</v>
      </c>
      <c r="AD9" s="33">
        <f t="shared" si="0"/>
        <v>29</v>
      </c>
      <c r="AE9" s="33">
        <f t="shared" si="0"/>
        <v>30</v>
      </c>
      <c r="AF9" s="33">
        <f t="shared" si="0"/>
        <v>31</v>
      </c>
      <c r="AG9" s="33">
        <f t="shared" si="0"/>
        <v>32</v>
      </c>
      <c r="AH9" s="33">
        <f t="shared" si="0"/>
        <v>33</v>
      </c>
      <c r="AI9" s="33">
        <f t="shared" si="0"/>
        <v>34</v>
      </c>
      <c r="AJ9" s="33">
        <f t="shared" si="0"/>
        <v>35</v>
      </c>
      <c r="AK9" s="33">
        <f t="shared" si="0"/>
        <v>36</v>
      </c>
      <c r="AL9" s="33">
        <f t="shared" si="0"/>
        <v>37</v>
      </c>
      <c r="AM9" s="33">
        <f t="shared" si="0"/>
        <v>38</v>
      </c>
      <c r="AN9" s="33">
        <f t="shared" si="0"/>
        <v>39</v>
      </c>
      <c r="AO9" s="33">
        <f t="shared" si="0"/>
        <v>40</v>
      </c>
      <c r="AP9" s="33">
        <f t="shared" si="0"/>
        <v>41</v>
      </c>
      <c r="AQ9" s="33">
        <f t="shared" si="0"/>
        <v>42</v>
      </c>
      <c r="AR9" s="33">
        <f t="shared" si="0"/>
        <v>43</v>
      </c>
      <c r="AS9" s="33">
        <f t="shared" si="0"/>
        <v>44</v>
      </c>
      <c r="AT9" s="33">
        <f t="shared" si="0"/>
        <v>45</v>
      </c>
      <c r="AU9" s="33">
        <f t="shared" si="0"/>
        <v>46</v>
      </c>
      <c r="AV9" s="33">
        <f t="shared" si="0"/>
        <v>47</v>
      </c>
      <c r="AW9" s="33"/>
      <c r="AX9" s="33"/>
      <c r="AY9" s="33">
        <f>AV9+1</f>
        <v>48</v>
      </c>
      <c r="AZ9" s="33">
        <f t="shared" ref="AZ9:BE9" si="1">AY9+1</f>
        <v>49</v>
      </c>
      <c r="BA9" s="33">
        <f t="shared" si="1"/>
        <v>50</v>
      </c>
      <c r="BB9" s="33">
        <f t="shared" si="1"/>
        <v>51</v>
      </c>
      <c r="BC9" s="33">
        <f t="shared" si="1"/>
        <v>52</v>
      </c>
      <c r="BD9" s="33">
        <f t="shared" si="1"/>
        <v>53</v>
      </c>
      <c r="BE9" s="33">
        <f t="shared" si="1"/>
        <v>54</v>
      </c>
      <c r="BF9" s="33"/>
      <c r="BG9" s="33"/>
      <c r="BH9" s="33"/>
      <c r="BI9" s="33"/>
      <c r="BJ9" s="33"/>
      <c r="BK9" s="33"/>
      <c r="BL9" s="33">
        <f>BE9+1</f>
        <v>55</v>
      </c>
      <c r="BM9" s="33">
        <f t="shared" ref="BM9:BU9" si="2">BL9+1</f>
        <v>56</v>
      </c>
      <c r="BN9" s="33">
        <f t="shared" si="2"/>
        <v>57</v>
      </c>
      <c r="BO9" s="33">
        <f t="shared" si="2"/>
        <v>58</v>
      </c>
      <c r="BP9" s="33">
        <f t="shared" si="2"/>
        <v>59</v>
      </c>
      <c r="BQ9" s="33">
        <f t="shared" si="2"/>
        <v>60</v>
      </c>
      <c r="BR9" s="33">
        <f t="shared" si="2"/>
        <v>61</v>
      </c>
      <c r="BS9" s="33">
        <f t="shared" si="2"/>
        <v>62</v>
      </c>
      <c r="BT9" s="33">
        <f t="shared" si="2"/>
        <v>63</v>
      </c>
      <c r="BU9" s="33">
        <f t="shared" si="2"/>
        <v>64</v>
      </c>
      <c r="BW9" s="106" t="s">
        <v>95</v>
      </c>
      <c r="BX9" s="33">
        <f t="shared" ref="BX9:CD9" si="3">BW9+1</f>
        <v>66</v>
      </c>
      <c r="BY9" s="33">
        <f t="shared" si="3"/>
        <v>67</v>
      </c>
      <c r="BZ9" s="33">
        <f t="shared" si="3"/>
        <v>68</v>
      </c>
      <c r="CA9" s="33">
        <f t="shared" si="3"/>
        <v>69</v>
      </c>
      <c r="CB9" s="33">
        <f t="shared" si="3"/>
        <v>70</v>
      </c>
      <c r="CC9" s="33">
        <f t="shared" si="3"/>
        <v>71</v>
      </c>
      <c r="CD9" s="33">
        <f t="shared" si="3"/>
        <v>72</v>
      </c>
      <c r="CG9" s="139"/>
      <c r="CH9" s="137"/>
      <c r="CI9" s="138"/>
    </row>
    <row r="10" spans="1:87" s="143" customFormat="1" ht="11">
      <c r="A10" s="79" t="s">
        <v>96</v>
      </c>
      <c r="B10" s="79" t="s">
        <v>96</v>
      </c>
      <c r="C10" s="79" t="s">
        <v>96</v>
      </c>
      <c r="D10" s="33"/>
      <c r="E10" s="33"/>
      <c r="F10" s="33"/>
      <c r="G10" s="79" t="s">
        <v>96</v>
      </c>
      <c r="H10" s="79" t="s">
        <v>96</v>
      </c>
      <c r="I10" s="79" t="s">
        <v>96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103"/>
      <c r="BW10" s="107"/>
      <c r="BX10" s="76"/>
      <c r="BY10" s="76"/>
      <c r="BZ10" s="76"/>
      <c r="CA10" s="76"/>
      <c r="CB10" s="76"/>
      <c r="CC10" s="76"/>
      <c r="CD10" s="76"/>
      <c r="CG10" s="144"/>
      <c r="CH10" s="137"/>
      <c r="CI10" s="138"/>
    </row>
    <row r="11" spans="1:87" s="153" customFormat="1" ht="11">
      <c r="A11" s="145"/>
      <c r="B11" s="146"/>
      <c r="C11" s="146"/>
      <c r="D11" s="147"/>
      <c r="E11" s="147"/>
      <c r="F11" s="147"/>
      <c r="G11" s="146">
        <f>SUM(G12:G14)</f>
        <v>23500000</v>
      </c>
      <c r="H11" s="146">
        <f>SUM(H12:H14)</f>
        <v>300000</v>
      </c>
      <c r="I11" s="146">
        <f>SUM(I12:I14)</f>
        <v>78200000</v>
      </c>
      <c r="J11" s="146"/>
      <c r="K11" s="148">
        <f>SUM(K12:K14)</f>
        <v>81</v>
      </c>
      <c r="L11" s="148"/>
      <c r="M11" s="148"/>
      <c r="N11" s="148"/>
      <c r="O11" s="148"/>
      <c r="P11" s="148"/>
      <c r="Q11" s="148"/>
      <c r="R11" s="148">
        <f>SUM(R12:R14)</f>
        <v>0</v>
      </c>
      <c r="S11" s="148">
        <f>SUM(S12:S14)</f>
        <v>0</v>
      </c>
      <c r="T11" s="149"/>
      <c r="U11" s="148">
        <f>SUM(U12:U14)</f>
        <v>0</v>
      </c>
      <c r="V11" s="148">
        <f>SUM(V12:V14)</f>
        <v>0</v>
      </c>
      <c r="W11" s="148">
        <f>SUM(W12:W14)</f>
        <v>0</v>
      </c>
      <c r="X11" s="148">
        <f>SUM(X12:X14)</f>
        <v>0</v>
      </c>
      <c r="Y11" s="146">
        <f>SUM(Y12:Y14)</f>
        <v>24403846.153846152</v>
      </c>
      <c r="Z11" s="146"/>
      <c r="AA11" s="146"/>
      <c r="AB11" s="146"/>
      <c r="AC11" s="146">
        <f>SUM(AC12:AC14)</f>
        <v>0</v>
      </c>
      <c r="AD11" s="146">
        <f>SUM(AD12:AD14)</f>
        <v>0</v>
      </c>
      <c r="AE11" s="146"/>
      <c r="AF11" s="146">
        <f t="shared" ref="AF11:AO11" si="4">SUM(AF12:AF14)</f>
        <v>0</v>
      </c>
      <c r="AG11" s="146">
        <f t="shared" si="4"/>
        <v>0</v>
      </c>
      <c r="AH11" s="146">
        <f t="shared" si="4"/>
        <v>0</v>
      </c>
      <c r="AI11" s="146">
        <f t="shared" si="4"/>
        <v>0</v>
      </c>
      <c r="AJ11" s="146">
        <f t="shared" si="4"/>
        <v>0</v>
      </c>
      <c r="AK11" s="146">
        <f t="shared" si="4"/>
        <v>0</v>
      </c>
      <c r="AL11" s="146">
        <f t="shared" si="4"/>
        <v>0</v>
      </c>
      <c r="AM11" s="146">
        <f t="shared" si="4"/>
        <v>0</v>
      </c>
      <c r="AN11" s="146">
        <f t="shared" si="4"/>
        <v>0</v>
      </c>
      <c r="AO11" s="146">
        <f t="shared" si="4"/>
        <v>81519230.769230768</v>
      </c>
      <c r="AP11" s="146"/>
      <c r="AQ11" s="146"/>
      <c r="AR11" s="146"/>
      <c r="AS11" s="146"/>
      <c r="AT11" s="146"/>
      <c r="AU11" s="146"/>
      <c r="AV11" s="146">
        <f>SUM(AV12:AV14)</f>
        <v>107483076.92307693</v>
      </c>
      <c r="AW11" s="146"/>
      <c r="AX11" s="146"/>
      <c r="AY11" s="146">
        <f>SUM(AY12:AY14)</f>
        <v>1142400</v>
      </c>
      <c r="AZ11" s="146">
        <f>SUM(AZ12:AZ14)</f>
        <v>214200</v>
      </c>
      <c r="BA11" s="146">
        <f>SUM(BA12:BA14)</f>
        <v>142800</v>
      </c>
      <c r="BB11" s="146">
        <f>SUM(BB12:BB14)</f>
        <v>1499400</v>
      </c>
      <c r="BC11" s="146">
        <f>SUM(BC12:BC14)</f>
        <v>0</v>
      </c>
      <c r="BD11" s="146"/>
      <c r="BE11" s="146">
        <f>SUM(BE12:BE14)</f>
        <v>235000</v>
      </c>
      <c r="BF11" s="146"/>
      <c r="BG11" s="146"/>
      <c r="BH11" s="146"/>
      <c r="BI11" s="146"/>
      <c r="BJ11" s="146"/>
      <c r="BK11" s="146"/>
      <c r="BL11" s="146">
        <f t="shared" ref="BL11:BQ11" si="5">SUM(BL12:BL14)</f>
        <v>6675112.230769231</v>
      </c>
      <c r="BM11" s="146">
        <f t="shared" si="5"/>
        <v>0</v>
      </c>
      <c r="BN11" s="146">
        <f t="shared" si="5"/>
        <v>0</v>
      </c>
      <c r="BO11" s="146">
        <f t="shared" si="5"/>
        <v>0</v>
      </c>
      <c r="BP11" s="146">
        <f t="shared" si="5"/>
        <v>0</v>
      </c>
      <c r="BQ11" s="146">
        <f t="shared" si="5"/>
        <v>0</v>
      </c>
      <c r="BR11" s="146"/>
      <c r="BS11" s="146"/>
      <c r="BT11" s="146">
        <f>SUM(BT12:BT14)</f>
        <v>0</v>
      </c>
      <c r="BU11" s="150">
        <f>SUM(BU12:BU14)</f>
        <v>99073564.692307696</v>
      </c>
      <c r="BW11" s="151"/>
      <c r="BX11" s="152"/>
      <c r="BY11" s="152"/>
      <c r="BZ11" s="152"/>
      <c r="CA11" s="152"/>
      <c r="CB11" s="152"/>
      <c r="CC11" s="152"/>
      <c r="CD11" s="152"/>
    </row>
    <row r="12" spans="1:87" s="171" customFormat="1" ht="11">
      <c r="A12" s="154">
        <f>IF(B12=0,"",COUNTA($B$12:(B12)))</f>
        <v>1</v>
      </c>
      <c r="B12" s="155">
        <v>123456</v>
      </c>
      <c r="C12" s="156" t="s">
        <v>120</v>
      </c>
      <c r="D12" s="157" t="s">
        <v>121</v>
      </c>
      <c r="E12" s="158" t="s">
        <v>113</v>
      </c>
      <c r="F12" s="159" t="s">
        <v>100</v>
      </c>
      <c r="G12" s="160">
        <v>9520000</v>
      </c>
      <c r="H12" s="160">
        <f>+IF(OR(CC12="ĐT PCCC",CC12="ĐP PCCC"),780000,IF(CC12="AT-VSV",300000,0))</f>
        <v>0</v>
      </c>
      <c r="I12" s="160">
        <f>CB12-BZ12-G12-H12</f>
        <v>50480000</v>
      </c>
      <c r="J12" s="161">
        <v>1</v>
      </c>
      <c r="K12" s="162">
        <v>27</v>
      </c>
      <c r="L12" s="162"/>
      <c r="M12" s="162"/>
      <c r="N12" s="162"/>
      <c r="O12" s="162"/>
      <c r="P12" s="162"/>
      <c r="Q12" s="162"/>
      <c r="R12" s="162">
        <v>0</v>
      </c>
      <c r="S12" s="162">
        <v>0</v>
      </c>
      <c r="T12" s="163"/>
      <c r="U12" s="162">
        <v>0</v>
      </c>
      <c r="V12" s="162">
        <v>0</v>
      </c>
      <c r="W12" s="162">
        <v>0</v>
      </c>
      <c r="X12" s="162">
        <v>0</v>
      </c>
      <c r="Y12" s="160">
        <f>G12*(K12+L12)/26</f>
        <v>9886153.846153846</v>
      </c>
      <c r="Z12" s="160">
        <f>M12*G12/26</f>
        <v>0</v>
      </c>
      <c r="AA12" s="160">
        <f>G12*N12/26</f>
        <v>0</v>
      </c>
      <c r="AB12" s="160">
        <f>G12*O12/26</f>
        <v>0</v>
      </c>
      <c r="AC12" s="160">
        <f>G12*P12*150%/26</f>
        <v>0</v>
      </c>
      <c r="AD12" s="160">
        <f>G12*Q12/26*200%</f>
        <v>0</v>
      </c>
      <c r="AE12" s="160">
        <f>G12*R12/26*300%</f>
        <v>0</v>
      </c>
      <c r="AF12" s="160">
        <f>ROUND((G12+H12)/26*S12*30%,0)</f>
        <v>0</v>
      </c>
      <c r="AG12" s="160">
        <f>T12*G12/26/8</f>
        <v>0</v>
      </c>
      <c r="AH12" s="160">
        <f>CB12/26*U12</f>
        <v>0</v>
      </c>
      <c r="AI12" s="160">
        <f>G12*V12/26</f>
        <v>0</v>
      </c>
      <c r="AJ12" s="160"/>
      <c r="AK12" s="160">
        <f>BZ12*L12/26</f>
        <v>0</v>
      </c>
      <c r="AL12" s="160"/>
      <c r="AM12" s="160">
        <f>X12*CD12</f>
        <v>0</v>
      </c>
      <c r="AN12" s="160">
        <f>H12/26*(K12+L12)</f>
        <v>0</v>
      </c>
      <c r="AO12" s="160">
        <f>IF(F12="LN",I12*(K12+L12)/26+(H12+I12)*50%*M12/26+MAX($G12*P12/26*150%,P12*$BW12/26)-AC12+MAX($G12*Q12/26*200%,Q12*$BW12/26)-AD12+MAX($G12*R12/26*300%,R12*$BW12/26)-AE12+BW12*S12/26-AF12+AH12-AG12,I12-I12*($CF$3-K12-L12)/26+(H12+I12)*50%*M12/26+BW12*O12/26-AB12+MAX($G12*P12/26*150%,P12*$BW12/26)-AC12+MAX($G12*Q12/26*200%,Q12*$BW12/26)-AD12+MAX($G12*R12/26*300%,R12*$BW12/26)-AE12+BW12*S12/26-AF12+AH12-AG12+(G12-G12*($CF$3-K12-L12)/26-Y12)+(H12-H12*($CF$3-K12-L12)/26-AN12))</f>
        <v>52421538.461538464</v>
      </c>
      <c r="AP12" s="160"/>
      <c r="AQ12" s="160"/>
      <c r="AR12" s="160">
        <v>780000</v>
      </c>
      <c r="AS12" s="160"/>
      <c r="AT12" s="160"/>
      <c r="AU12" s="160"/>
      <c r="AV12" s="164">
        <f>Y12+Z12+AA12+AB12+AC12+AD12+AE12+AF12+AG12+AI12+AJ12+AK12+AL12+AM12+AN12+AO12+AP12-AQ12+AR12+AS12+AT12+AU12</f>
        <v>63087692.307692312</v>
      </c>
      <c r="AW12" s="164"/>
      <c r="AX12" s="164">
        <f>IF(E12="CT","x",0)</f>
        <v>0</v>
      </c>
      <c r="AY12" s="165">
        <f t="shared" ref="AY12:BA14" si="6">ROUND(IF($AX12="x",($G12+$H12)*AY$8,0),0)</f>
        <v>0</v>
      </c>
      <c r="AZ12" s="165">
        <f t="shared" si="6"/>
        <v>0</v>
      </c>
      <c r="BA12" s="165">
        <f t="shared" si="6"/>
        <v>0</v>
      </c>
      <c r="BB12" s="165">
        <f>SUM(AY12:BA12)</f>
        <v>0</v>
      </c>
      <c r="BC12" s="165"/>
      <c r="BD12" s="165"/>
      <c r="BE12" s="165">
        <f>IF(G12*1%&gt;=234000,234000,G12*1%)</f>
        <v>95200</v>
      </c>
      <c r="BF12" s="165">
        <f>AM12+IF(E12="CT",IF(AR12&gt;=730000,730000,AR12),0)+IF(((AV12-AM12-IF(AR12&gt;=730000,730000,AR12)-AS12)*15%-AS12)&gt;"0",((AV12-AM12-IF(AR12&gt;=730000,730000,AR12)-AS12)*15%-AS12),0)</f>
        <v>0</v>
      </c>
      <c r="BG12" s="165">
        <f>AV12-BF12+AW12</f>
        <v>63087692.307692312</v>
      </c>
      <c r="BH12" s="165">
        <v>3</v>
      </c>
      <c r="BI12" s="165">
        <v>4400000</v>
      </c>
      <c r="BJ12" s="165">
        <f>IF(E12="CT",11000000,0)</f>
        <v>0</v>
      </c>
      <c r="BK12" s="165">
        <f>BG12-BB12-BC12+BD12-BH12*BI12-BJ12</f>
        <v>49887692.307692312</v>
      </c>
      <c r="BL12" s="152">
        <f>IF(E12="TV",BK12*10%,IF(BK12&gt;0,ROUND(IF(BK12&gt;=80000000,BK12*35%-9850000,IF(BK12&gt;=52000000,BK12*30%-5850000,IF(BK12&gt;=32000000,BK12*25%-3250000,IF(BK12&gt;=18000000,BK12*20%-1650000,IF(BK12&gt;=10000000,BK12*15%-750000,IF(BK12&gt;5000000,BK12*10%-250000,BK12*5%)))))),0),0))</f>
        <v>4988769.230769231</v>
      </c>
      <c r="BM12" s="165"/>
      <c r="BN12" s="165"/>
      <c r="BO12" s="165">
        <v>0</v>
      </c>
      <c r="BP12" s="165"/>
      <c r="BQ12" s="165"/>
      <c r="BR12" s="165"/>
      <c r="BS12" s="165"/>
      <c r="BT12" s="165">
        <f>SUMIFS('Bảng lương tạm ứng kỳ 1'!BT:BT,'Mô tả Bảng lương CB-NV'!B:B,'Bảng lương tạm ứng kỳ 1'!B15)</f>
        <v>0</v>
      </c>
      <c r="BU12" s="166">
        <f>AV12-BB12-BC12+BD12-BE12-BL12-BM12-BN12-BO12-BP12-BQ12-BR12+BS12-BT12</f>
        <v>58003723.07692308</v>
      </c>
      <c r="BW12" s="151">
        <v>60000000</v>
      </c>
      <c r="BX12" s="152">
        <v>0</v>
      </c>
      <c r="BY12" s="152"/>
      <c r="BZ12" s="152"/>
      <c r="CA12" s="152">
        <v>0</v>
      </c>
      <c r="CB12" s="152">
        <f>SUM(BW12:CA12)</f>
        <v>60000000</v>
      </c>
      <c r="CC12" s="152" t="s">
        <v>122</v>
      </c>
      <c r="CD12" s="152"/>
      <c r="CE12" s="167"/>
      <c r="CF12" s="168"/>
      <c r="CG12" s="168"/>
      <c r="CH12" s="169"/>
      <c r="CI12" s="170"/>
    </row>
    <row r="13" spans="1:87" s="171" customFormat="1" ht="11">
      <c r="A13" s="154">
        <f>IF(B13=0,"",COUNTA($B$12:(B13)))</f>
        <v>2</v>
      </c>
      <c r="B13" s="155">
        <v>3562789</v>
      </c>
      <c r="C13" s="156" t="s">
        <v>123</v>
      </c>
      <c r="D13" s="157" t="s">
        <v>121</v>
      </c>
      <c r="E13" s="158" t="s">
        <v>99</v>
      </c>
      <c r="F13" s="159" t="s">
        <v>100</v>
      </c>
      <c r="G13" s="160">
        <v>6990000</v>
      </c>
      <c r="H13" s="160">
        <f>+IF(OR(CC13="ĐT PCCC",CC13="ĐP PCCC"),780000,IF(CC13="AT-VSV",300000,0))</f>
        <v>0</v>
      </c>
      <c r="I13" s="160">
        <f>CB13-BZ13-G13-H13</f>
        <v>17160000</v>
      </c>
      <c r="J13" s="161">
        <v>1</v>
      </c>
      <c r="K13" s="162">
        <v>27</v>
      </c>
      <c r="L13" s="162"/>
      <c r="M13" s="162">
        <v>0</v>
      </c>
      <c r="N13" s="162"/>
      <c r="O13" s="162"/>
      <c r="P13" s="162"/>
      <c r="Q13" s="162"/>
      <c r="R13" s="162">
        <v>0</v>
      </c>
      <c r="S13" s="162">
        <v>0</v>
      </c>
      <c r="T13" s="163"/>
      <c r="U13" s="162">
        <v>0</v>
      </c>
      <c r="V13" s="162">
        <v>0</v>
      </c>
      <c r="W13" s="162">
        <v>0</v>
      </c>
      <c r="X13" s="162">
        <v>0</v>
      </c>
      <c r="Y13" s="160">
        <f>G13*(K13+L13)/26</f>
        <v>7258846.153846154</v>
      </c>
      <c r="Z13" s="160">
        <f>M13*G13/26</f>
        <v>0</v>
      </c>
      <c r="AA13" s="160">
        <f>G13*N13/26</f>
        <v>0</v>
      </c>
      <c r="AB13" s="160">
        <f>G13*O13/26</f>
        <v>0</v>
      </c>
      <c r="AC13" s="160">
        <f>G13*P13*150%/26</f>
        <v>0</v>
      </c>
      <c r="AD13" s="160">
        <f>G13*Q13/26*200%</f>
        <v>0</v>
      </c>
      <c r="AE13" s="160">
        <f>G13*R13/26*300%</f>
        <v>0</v>
      </c>
      <c r="AF13" s="160">
        <f>ROUND((G13+H13)/26*S13*30%,0)</f>
        <v>0</v>
      </c>
      <c r="AG13" s="160">
        <f>T13*G13/26/8</f>
        <v>0</v>
      </c>
      <c r="AH13" s="160">
        <f>CB13/26*U13</f>
        <v>0</v>
      </c>
      <c r="AI13" s="160">
        <f>G13*V13/26</f>
        <v>0</v>
      </c>
      <c r="AJ13" s="160"/>
      <c r="AK13" s="160">
        <f>BZ13*L13/26</f>
        <v>0</v>
      </c>
      <c r="AL13" s="160"/>
      <c r="AM13" s="160">
        <f>X13*CD13</f>
        <v>0</v>
      </c>
      <c r="AN13" s="160">
        <f>H13/26*K13</f>
        <v>0</v>
      </c>
      <c r="AO13" s="160">
        <f>IF(F13="LN",I13*(K13+L13)/26+(H13+I13)*50%*M13/26+MAX($G13*P13/26*150%,P13*$BW13/26)-AC13+MAX($G13*Q13/26*200%,Q13*$BW13/26)-AD13+MAX($G13*R13/26*300%,R13*$BW13/26)-AE13+BW13*S13/26-AF13+AH13-AG13,I13-I13*($CF$3-K13-L13)/26+(H13+I13)*50%*M13/26+BW13*O13/26-AB13+MAX($G13*P13/26*150%,P13*$BW13/26)-AC13+MAX($G13*Q13/26*200%,Q13*$BW13/26)-AD13+MAX($G13*R13/26*300%,R13*$BW13/26)-AE13+BW13*S13/26-AF13+AH13-AG13+(G13-G13*($CF$3-K13-L13)/26-Y13)+(H13-H13*($CF$3-K13-L13)/26-AN13))</f>
        <v>17820000</v>
      </c>
      <c r="AP13" s="160"/>
      <c r="AQ13" s="160"/>
      <c r="AR13" s="160">
        <v>780000</v>
      </c>
      <c r="AS13" s="160"/>
      <c r="AT13" s="160"/>
      <c r="AU13" s="160"/>
      <c r="AV13" s="164">
        <f>Y13+Z13+AA13+AB13+AC13+AD13+AE13+AF13+AG13+AI13+AJ13+AK13+AL13+AM13+AN13+AO13+AP13-AQ13+AR13+AS13+AT13+AU13</f>
        <v>25858846.153846152</v>
      </c>
      <c r="AW13" s="164"/>
      <c r="AX13" s="164" t="str">
        <f>IF(E13="CT","x",0)</f>
        <v>x</v>
      </c>
      <c r="AY13" s="165">
        <f t="shared" si="6"/>
        <v>559200</v>
      </c>
      <c r="AZ13" s="165">
        <f t="shared" si="6"/>
        <v>104850</v>
      </c>
      <c r="BA13" s="165">
        <f t="shared" si="6"/>
        <v>69900</v>
      </c>
      <c r="BB13" s="165">
        <f>SUM(AY13:BA13)</f>
        <v>733950</v>
      </c>
      <c r="BC13" s="165"/>
      <c r="BD13" s="165"/>
      <c r="BE13" s="165">
        <f>IF(G13*1%&gt;=234000,234000,G13*1%)</f>
        <v>69900</v>
      </c>
      <c r="BF13" s="165">
        <f>AM13+IF(E13="CT",IF(AR13&gt;=730000,730000,AR13),0)+IF(((AV13-AM13-IF(AR13&gt;=730000,730000,AR13)-AS13)*15%-AS13)&gt;"0",((AV13-AM13-IF(AR13&gt;=730000,730000,AR13)-AS13)*15%-AS13),0)</f>
        <v>730000</v>
      </c>
      <c r="BG13" s="165">
        <f>AV13-BF13+AW13</f>
        <v>25128846.153846152</v>
      </c>
      <c r="BH13" s="165"/>
      <c r="BI13" s="165">
        <v>4400000</v>
      </c>
      <c r="BJ13" s="165">
        <f>IF(E13="CT",11000000,0)</f>
        <v>11000000</v>
      </c>
      <c r="BK13" s="165">
        <f>BG13-BB13-BC13+BD13-BH13*BI13-BJ13</f>
        <v>13394896.153846152</v>
      </c>
      <c r="BL13" s="152">
        <f>IF(E13="TV",BK13*10%,IF(BK13&gt;0,ROUND(IF(BK13&gt;=80000000,BK13*35%-9850000,IF(BK13&gt;=52000000,BK13*30%-5850000,IF(BK13&gt;=32000000,BK13*25%-3250000,IF(BK13&gt;=18000000,BK13*20%-1650000,IF(BK13&gt;=10000000,BK13*15%-750000,IF(BK13&gt;5000000,BK13*10%-250000,BK13*5%)))))),0),0))</f>
        <v>1259234</v>
      </c>
      <c r="BM13" s="165"/>
      <c r="BN13" s="165"/>
      <c r="BO13" s="165">
        <v>0</v>
      </c>
      <c r="BP13" s="165"/>
      <c r="BQ13" s="165"/>
      <c r="BR13" s="165"/>
      <c r="BS13" s="165"/>
      <c r="BT13" s="165">
        <f>SUMIFS('Bảng lương tạm ứng kỳ 1'!BT:BT,'Mô tả Bảng lương CB-NV'!B:B,'Bảng lương tạm ứng kỳ 1'!B20)</f>
        <v>0</v>
      </c>
      <c r="BU13" s="166">
        <f>AV13-BB13-BC13+BD13-BE13-BL13-BM13-BN13-BO13-BP13-BQ13-BR13+BS13-BT13</f>
        <v>23795762.153846152</v>
      </c>
      <c r="BW13" s="151">
        <v>23000000</v>
      </c>
      <c r="BX13" s="152">
        <v>0</v>
      </c>
      <c r="BY13" s="152">
        <v>0</v>
      </c>
      <c r="BZ13" s="152"/>
      <c r="CA13" s="152">
        <f>+BW13*5%</f>
        <v>1150000</v>
      </c>
      <c r="CB13" s="152">
        <f>SUM(BW13:CA13)</f>
        <v>24150000</v>
      </c>
      <c r="CC13" s="152" t="s">
        <v>114</v>
      </c>
      <c r="CD13" s="152"/>
      <c r="CE13" s="167"/>
      <c r="CF13" s="168"/>
      <c r="CG13" s="168"/>
      <c r="CH13" s="169"/>
      <c r="CI13" s="170"/>
    </row>
    <row r="14" spans="1:87" s="171" customFormat="1" ht="11">
      <c r="A14" s="154">
        <f>IF(B14=0,"",COUNTA($B$12:(B14)))</f>
        <v>3</v>
      </c>
      <c r="B14" s="172" t="s">
        <v>124</v>
      </c>
      <c r="C14" s="156" t="s">
        <v>125</v>
      </c>
      <c r="D14" s="157" t="s">
        <v>121</v>
      </c>
      <c r="E14" s="158" t="s">
        <v>99</v>
      </c>
      <c r="F14" s="159" t="s">
        <v>100</v>
      </c>
      <c r="G14" s="160">
        <v>6990000</v>
      </c>
      <c r="H14" s="160">
        <f>+IF(OR(CC14="ĐT PCCC",CC14="ĐP PCCC"),780000,IF(CC14="AT-VSV",300000,0))</f>
        <v>300000</v>
      </c>
      <c r="I14" s="160">
        <f>CB14-BZ14-G14-H14</f>
        <v>10560000</v>
      </c>
      <c r="J14" s="161">
        <v>1</v>
      </c>
      <c r="K14" s="162">
        <v>27</v>
      </c>
      <c r="L14" s="162"/>
      <c r="M14" s="162"/>
      <c r="N14" s="162"/>
      <c r="O14" s="162"/>
      <c r="P14" s="162"/>
      <c r="Q14" s="162"/>
      <c r="R14" s="162">
        <v>0</v>
      </c>
      <c r="S14" s="162">
        <v>0</v>
      </c>
      <c r="T14" s="163"/>
      <c r="U14" s="162">
        <v>0</v>
      </c>
      <c r="V14" s="162">
        <v>0</v>
      </c>
      <c r="W14" s="162">
        <v>0</v>
      </c>
      <c r="X14" s="162">
        <v>0</v>
      </c>
      <c r="Y14" s="160">
        <f>G14*(K14+L14)/26</f>
        <v>7258846.153846154</v>
      </c>
      <c r="Z14" s="160">
        <f>M14*G14/26</f>
        <v>0</v>
      </c>
      <c r="AA14" s="160">
        <f>G14*N14/26</f>
        <v>0</v>
      </c>
      <c r="AB14" s="160">
        <f>G14*O14/26</f>
        <v>0</v>
      </c>
      <c r="AC14" s="160">
        <f>G14*P14*150%/26</f>
        <v>0</v>
      </c>
      <c r="AD14" s="160">
        <f>G14*Q14/26*200%</f>
        <v>0</v>
      </c>
      <c r="AE14" s="160">
        <f>G14*R14/26*300%</f>
        <v>0</v>
      </c>
      <c r="AF14" s="160">
        <f>IF(F14="LN",(G14+H14)/26*S14*30%,0)</f>
        <v>0</v>
      </c>
      <c r="AG14" s="160">
        <f>T14*G14/26/8</f>
        <v>0</v>
      </c>
      <c r="AH14" s="160">
        <f>CB14/26*U14</f>
        <v>0</v>
      </c>
      <c r="AI14" s="160">
        <f>G14*V14/26</f>
        <v>0</v>
      </c>
      <c r="AJ14" s="160"/>
      <c r="AK14" s="160">
        <f>BZ14*L14/26</f>
        <v>0</v>
      </c>
      <c r="AL14" s="160"/>
      <c r="AM14" s="160">
        <f>X14*CD14</f>
        <v>0</v>
      </c>
      <c r="AN14" s="160"/>
      <c r="AO14" s="160">
        <f>IF(F14="LN",I14*(K14+L14)/26+(H14+I14)*50%*M14/26+MAX($G14*P14/26*150%,P14*$BW14/26)-AC14+MAX($G14*Q14/26*200%,Q14*$BW14/26)-AD14+MAX($G14*R14/26*300%,R14*$BW14/26)-AE14+BW14*S14/26-AF14+AH14-AG14,I14-I14*($CF$3-K14-L14)/26+(H14+I14)*50%*M14/26+BW14*O14/26-AB14+MAX($G14*P14/26*150%,P14*$BW14/26)-AC14+MAX($G14*Q14/26*200%,Q14*$BW14/26)-AD14+MAX($G14*R14/26*300%,R14*$BW14/26)-AE14+BW14*S14/26-AF14+AH14-AG14+(G14-G14*($CF$3-K14-L14)/26-Y14)+(H14-H14*($CF$3-K14-L14)/26-AN14))</f>
        <v>11277692.307692308</v>
      </c>
      <c r="AP14" s="160"/>
      <c r="AQ14" s="160"/>
      <c r="AR14" s="160"/>
      <c r="AS14" s="160"/>
      <c r="AT14" s="160"/>
      <c r="AU14" s="160"/>
      <c r="AV14" s="164">
        <f>Y14+Z14+AA14+AB14+AC14+AD14+AE14+AF14+AG14+AI14+AJ14+AK14+AL14+AM14+AN14+AO14+AP14-AQ14+AR14+AS14+AT14+AU14</f>
        <v>18536538.461538464</v>
      </c>
      <c r="AW14" s="164"/>
      <c r="AX14" s="164" t="str">
        <f>IF(E14="CT","x",0)</f>
        <v>x</v>
      </c>
      <c r="AY14" s="165">
        <f t="shared" si="6"/>
        <v>583200</v>
      </c>
      <c r="AZ14" s="165">
        <f t="shared" si="6"/>
        <v>109350</v>
      </c>
      <c r="BA14" s="165">
        <f t="shared" si="6"/>
        <v>72900</v>
      </c>
      <c r="BB14" s="165">
        <f>SUM(AY14:BA14)</f>
        <v>765450</v>
      </c>
      <c r="BC14" s="165"/>
      <c r="BD14" s="165"/>
      <c r="BE14" s="165">
        <f>IF(G14*1%&gt;=234000,234000,G14*1%)</f>
        <v>69900</v>
      </c>
      <c r="BF14" s="165">
        <f>AM14+IF(E14="CT",IF(AR14&gt;=730000,730000,AR14),0)+IF(((AV14-AM14-IF(AR14&gt;=730000,730000,AR14)-AS14)*15%-AS14)&gt;"0",((AV14-AM14-IF(AR14&gt;=730000,730000,AR14)-AS14)*15%-AS14),0)</f>
        <v>0</v>
      </c>
      <c r="BG14" s="165">
        <f>AV14-BF14+AW14</f>
        <v>18536538.461538464</v>
      </c>
      <c r="BH14" s="165"/>
      <c r="BI14" s="165">
        <v>4400000</v>
      </c>
      <c r="BJ14" s="165">
        <f>IF(E14="CT",11000000,0)</f>
        <v>11000000</v>
      </c>
      <c r="BK14" s="165">
        <f>BG14-BB14-BC14+BD14-BH14*BI14-BJ14</f>
        <v>6771088.4615384638</v>
      </c>
      <c r="BL14" s="152">
        <f>IF(E14="TV",BK14*10%,IF(BK14&gt;0,ROUND(IF(BK14&gt;=80000000,BK14*35%-9850000,IF(BK14&gt;=52000000,BK14*30%-5850000,IF(BK14&gt;=32000000,BK14*25%-3250000,IF(BK14&gt;=18000000,BK14*20%-1650000,IF(BK14&gt;=10000000,BK14*15%-750000,IF(BK14&gt;5000000,BK14*10%-250000,BK14*5%)))))),0),0))</f>
        <v>427109</v>
      </c>
      <c r="BM14" s="165"/>
      <c r="BN14" s="165"/>
      <c r="BO14" s="165">
        <v>0</v>
      </c>
      <c r="BP14" s="165"/>
      <c r="BQ14" s="165"/>
      <c r="BR14" s="165"/>
      <c r="BS14" s="165"/>
      <c r="BT14" s="165">
        <f>SUMIFS('Bảng lương tạm ứng kỳ 1'!BT:BT,'Mô tả Bảng lương CB-NV'!B:B,'Bảng lương tạm ứng kỳ 1'!B21)</f>
        <v>0</v>
      </c>
      <c r="BU14" s="166">
        <f>AV14-BB14-BC14+BD14-BE14-BL14-BM14-BN14-BO14-BP14-BQ14-BR14+BS14-BT14</f>
        <v>17274079.461538464</v>
      </c>
      <c r="BW14" s="151">
        <v>17000000</v>
      </c>
      <c r="BX14" s="152">
        <v>0</v>
      </c>
      <c r="BY14" s="152">
        <v>0</v>
      </c>
      <c r="BZ14" s="152"/>
      <c r="CA14" s="152">
        <f>+BW14*5%</f>
        <v>850000</v>
      </c>
      <c r="CB14" s="152">
        <f>SUM(BW14:CA14)</f>
        <v>17850000</v>
      </c>
      <c r="CC14" s="152" t="s">
        <v>118</v>
      </c>
      <c r="CD14" s="152"/>
      <c r="CE14" s="167"/>
      <c r="CF14" s="168"/>
      <c r="CG14" s="168"/>
      <c r="CH14" s="169"/>
      <c r="CI14" s="170"/>
    </row>
    <row r="17" spans="1:87" s="185" customFormat="1" ht="31.5" customHeight="1">
      <c r="A17" s="184" t="str">
        <f>A5&amp;A6&amp;A7&amp;A8</f>
        <v>TT</v>
      </c>
      <c r="B17" s="184" t="str">
        <f>B5&amp;B6&amp;B7&amp;B8</f>
        <v>MSNV</v>
      </c>
      <c r="C17" s="184" t="s">
        <v>6</v>
      </c>
      <c r="D17" s="184" t="s">
        <v>7</v>
      </c>
      <c r="E17" s="184" t="s">
        <v>8</v>
      </c>
      <c r="F17" s="184" t="s">
        <v>9</v>
      </c>
      <c r="G17" s="184" t="s">
        <v>10</v>
      </c>
      <c r="H17" s="232" t="s">
        <v>11</v>
      </c>
      <c r="I17" s="184" t="s">
        <v>12</v>
      </c>
      <c r="J17" s="184" t="s">
        <v>13</v>
      </c>
      <c r="K17" s="234"/>
      <c r="L17" s="184" t="s">
        <v>35</v>
      </c>
      <c r="M17" s="184" t="s">
        <v>36</v>
      </c>
      <c r="N17" s="184" t="s">
        <v>37</v>
      </c>
      <c r="O17" s="184" t="s">
        <v>38</v>
      </c>
      <c r="P17" s="184" t="s">
        <v>39</v>
      </c>
      <c r="Q17" s="184" t="s">
        <v>40</v>
      </c>
      <c r="R17" s="184" t="s">
        <v>41</v>
      </c>
      <c r="S17" s="184" t="s">
        <v>42</v>
      </c>
      <c r="T17" s="184" t="s">
        <v>43</v>
      </c>
      <c r="U17" s="184" t="s">
        <v>44</v>
      </c>
      <c r="V17" s="184"/>
      <c r="W17" s="184" t="s">
        <v>87</v>
      </c>
      <c r="X17" s="184" t="s">
        <v>46</v>
      </c>
      <c r="Y17" s="232" t="str">
        <f>Y6</f>
        <v>Lương
Ngày thường</v>
      </c>
      <c r="Z17" s="232" t="s">
        <v>48</v>
      </c>
      <c r="AA17" s="232" t="s">
        <v>49</v>
      </c>
      <c r="AB17" s="232" t="s">
        <v>50</v>
      </c>
      <c r="AC17" s="232" t="s">
        <v>51</v>
      </c>
      <c r="AD17" s="232" t="s">
        <v>52</v>
      </c>
      <c r="AE17" s="232" t="s">
        <v>53</v>
      </c>
      <c r="AF17" s="232" t="s">
        <v>54</v>
      </c>
      <c r="AG17" s="232" t="s">
        <v>55</v>
      </c>
      <c r="AH17" s="232" t="s">
        <v>56</v>
      </c>
      <c r="AI17" s="232" t="s">
        <v>57</v>
      </c>
      <c r="AJ17" s="232" t="s">
        <v>58</v>
      </c>
      <c r="AK17" s="232" t="s">
        <v>59</v>
      </c>
      <c r="AL17" s="232" t="s">
        <v>60</v>
      </c>
      <c r="AM17" s="232" t="s">
        <v>61</v>
      </c>
      <c r="AN17" s="232" t="s">
        <v>62</v>
      </c>
      <c r="AO17" s="232" t="s">
        <v>63</v>
      </c>
      <c r="AP17" s="184" t="s">
        <v>16</v>
      </c>
      <c r="AQ17" s="184" t="s">
        <v>17</v>
      </c>
      <c r="AR17" s="184" t="s">
        <v>18</v>
      </c>
      <c r="AS17" s="184" t="s">
        <v>19</v>
      </c>
      <c r="AT17" s="184" t="s">
        <v>20</v>
      </c>
      <c r="AU17" s="184" t="s">
        <v>21</v>
      </c>
      <c r="AV17" s="184" t="s">
        <v>22</v>
      </c>
      <c r="AW17" s="184" t="s">
        <v>23</v>
      </c>
      <c r="AX17" s="184" t="str">
        <f>AX5</f>
        <v>Tham gia BHXH</v>
      </c>
      <c r="AY17" s="232" t="str">
        <f>AY7</f>
        <v>BHXH</v>
      </c>
      <c r="AZ17" s="232" t="str">
        <f>AZ7</f>
        <v>BHYT</v>
      </c>
      <c r="BA17" s="232" t="str">
        <f>BA7</f>
        <v>BHTN</v>
      </c>
      <c r="BB17" s="232" t="s">
        <v>70</v>
      </c>
      <c r="BC17" s="232" t="str">
        <f>BC7</f>
        <v>Truy thu BHXH</v>
      </c>
      <c r="BD17" s="232" t="s">
        <v>72</v>
      </c>
      <c r="BE17" s="232" t="str">
        <f>BE7</f>
        <v>Phí 
công đoàn</v>
      </c>
      <c r="BF17" s="232" t="s">
        <v>74</v>
      </c>
      <c r="BG17" s="232" t="s">
        <v>75</v>
      </c>
      <c r="BH17" s="232" t="str">
        <f>BH7</f>
        <v>NPT</v>
      </c>
      <c r="BI17" s="232" t="s">
        <v>77</v>
      </c>
      <c r="BJ17" s="232" t="s">
        <v>78</v>
      </c>
      <c r="BK17" s="232" t="str">
        <f>BK7</f>
        <v>TNTT</v>
      </c>
      <c r="BL17" s="232" t="s">
        <v>80</v>
      </c>
      <c r="BM17" s="232" t="s">
        <v>81</v>
      </c>
      <c r="BN17" s="232" t="s">
        <v>82</v>
      </c>
      <c r="BO17" s="232" t="s">
        <v>83</v>
      </c>
      <c r="BP17" s="232" t="s">
        <v>84</v>
      </c>
      <c r="BQ17" s="232" t="str">
        <f>BQ7</f>
        <v>…..............</v>
      </c>
      <c r="BR17" s="232" t="str">
        <f>BR6</f>
        <v>Truy thu theo QTT</v>
      </c>
      <c r="BS17" s="232" t="s">
        <v>66</v>
      </c>
      <c r="BT17" s="184" t="s">
        <v>27</v>
      </c>
      <c r="BU17" s="184" t="s">
        <v>28</v>
      </c>
      <c r="BW17" s="184" t="s">
        <v>29</v>
      </c>
      <c r="BX17" s="233" t="s">
        <v>91</v>
      </c>
      <c r="BY17" s="233" t="s">
        <v>92</v>
      </c>
      <c r="BZ17" s="233" t="s">
        <v>93</v>
      </c>
      <c r="CA17" s="233" t="s">
        <v>94</v>
      </c>
      <c r="CB17" s="184" t="s">
        <v>31</v>
      </c>
      <c r="CC17" s="184" t="s">
        <v>32</v>
      </c>
      <c r="CD17" s="184" t="s">
        <v>33</v>
      </c>
    </row>
    <row r="18" spans="1:87" s="187" customFormat="1" ht="11">
      <c r="A18" s="186" t="str">
        <f t="shared" ref="A18:AF18" si="7">SUBSTITUTE(ADDRESS(1,COLUMN(),4),1,"")</f>
        <v>A</v>
      </c>
      <c r="B18" s="186" t="str">
        <f t="shared" si="7"/>
        <v>B</v>
      </c>
      <c r="C18" s="186" t="str">
        <f t="shared" si="7"/>
        <v>C</v>
      </c>
      <c r="D18" s="186" t="str">
        <f t="shared" si="7"/>
        <v>D</v>
      </c>
      <c r="E18" s="186" t="str">
        <f t="shared" si="7"/>
        <v>E</v>
      </c>
      <c r="F18" s="186" t="str">
        <f t="shared" si="7"/>
        <v>F</v>
      </c>
      <c r="G18" s="186" t="str">
        <f t="shared" si="7"/>
        <v>G</v>
      </c>
      <c r="H18" s="186" t="str">
        <f t="shared" si="7"/>
        <v>H</v>
      </c>
      <c r="I18" s="186" t="str">
        <f t="shared" si="7"/>
        <v>I</v>
      </c>
      <c r="J18" s="186" t="str">
        <f t="shared" si="7"/>
        <v>J</v>
      </c>
      <c r="K18" s="186" t="str">
        <f t="shared" si="7"/>
        <v>K</v>
      </c>
      <c r="L18" s="186" t="str">
        <f t="shared" si="7"/>
        <v>L</v>
      </c>
      <c r="M18" s="186" t="str">
        <f t="shared" si="7"/>
        <v>M</v>
      </c>
      <c r="N18" s="186" t="str">
        <f t="shared" si="7"/>
        <v>N</v>
      </c>
      <c r="O18" s="186" t="str">
        <f t="shared" si="7"/>
        <v>O</v>
      </c>
      <c r="P18" s="186" t="str">
        <f t="shared" si="7"/>
        <v>P</v>
      </c>
      <c r="Q18" s="186" t="str">
        <f t="shared" si="7"/>
        <v>Q</v>
      </c>
      <c r="R18" s="186" t="str">
        <f t="shared" si="7"/>
        <v>R</v>
      </c>
      <c r="S18" s="186" t="str">
        <f t="shared" si="7"/>
        <v>S</v>
      </c>
      <c r="T18" s="186" t="str">
        <f t="shared" si="7"/>
        <v>T</v>
      </c>
      <c r="U18" s="186" t="str">
        <f t="shared" si="7"/>
        <v>U</v>
      </c>
      <c r="V18" s="186" t="str">
        <f t="shared" si="7"/>
        <v>V</v>
      </c>
      <c r="W18" s="186" t="str">
        <f t="shared" si="7"/>
        <v>W</v>
      </c>
      <c r="X18" s="186" t="str">
        <f t="shared" si="7"/>
        <v>X</v>
      </c>
      <c r="Y18" s="186" t="str">
        <f t="shared" si="7"/>
        <v>Y</v>
      </c>
      <c r="Z18" s="186" t="str">
        <f t="shared" si="7"/>
        <v>Z</v>
      </c>
      <c r="AA18" s="186" t="str">
        <f t="shared" si="7"/>
        <v>AA</v>
      </c>
      <c r="AB18" s="186" t="str">
        <f t="shared" si="7"/>
        <v>AB</v>
      </c>
      <c r="AC18" s="186" t="str">
        <f t="shared" si="7"/>
        <v>AC</v>
      </c>
      <c r="AD18" s="186" t="str">
        <f t="shared" si="7"/>
        <v>AD</v>
      </c>
      <c r="AE18" s="186" t="str">
        <f t="shared" si="7"/>
        <v>AE</v>
      </c>
      <c r="AF18" s="186" t="str">
        <f t="shared" si="7"/>
        <v>AF</v>
      </c>
      <c r="AG18" s="186" t="str">
        <f t="shared" ref="AG18:BL18" si="8">SUBSTITUTE(ADDRESS(1,COLUMN(),4),1,"")</f>
        <v>AG</v>
      </c>
      <c r="AH18" s="186" t="str">
        <f t="shared" si="8"/>
        <v>AH</v>
      </c>
      <c r="AI18" s="186" t="str">
        <f t="shared" si="8"/>
        <v>AI</v>
      </c>
      <c r="AJ18" s="186" t="str">
        <f t="shared" si="8"/>
        <v>AJ</v>
      </c>
      <c r="AK18" s="186" t="str">
        <f t="shared" si="8"/>
        <v>AK</v>
      </c>
      <c r="AL18" s="186" t="str">
        <f t="shared" si="8"/>
        <v>AL</v>
      </c>
      <c r="AM18" s="186" t="str">
        <f t="shared" si="8"/>
        <v>AM</v>
      </c>
      <c r="AN18" s="186" t="str">
        <f t="shared" si="8"/>
        <v>AN</v>
      </c>
      <c r="AO18" s="186" t="str">
        <f t="shared" si="8"/>
        <v>AO</v>
      </c>
      <c r="AP18" s="186" t="str">
        <f t="shared" si="8"/>
        <v>AP</v>
      </c>
      <c r="AQ18" s="186" t="str">
        <f t="shared" si="8"/>
        <v>AQ</v>
      </c>
      <c r="AR18" s="186" t="str">
        <f t="shared" si="8"/>
        <v>AR</v>
      </c>
      <c r="AS18" s="186" t="str">
        <f t="shared" si="8"/>
        <v>AS</v>
      </c>
      <c r="AT18" s="186" t="str">
        <f t="shared" si="8"/>
        <v>AT</v>
      </c>
      <c r="AU18" s="186" t="str">
        <f t="shared" si="8"/>
        <v>AU</v>
      </c>
      <c r="AV18" s="186" t="str">
        <f t="shared" si="8"/>
        <v>AV</v>
      </c>
      <c r="AW18" s="186" t="str">
        <f t="shared" si="8"/>
        <v>AW</v>
      </c>
      <c r="AX18" s="186" t="str">
        <f t="shared" si="8"/>
        <v>AX</v>
      </c>
      <c r="AY18" s="186" t="str">
        <f t="shared" si="8"/>
        <v>AY</v>
      </c>
      <c r="AZ18" s="186" t="str">
        <f t="shared" si="8"/>
        <v>AZ</v>
      </c>
      <c r="BA18" s="186" t="str">
        <f t="shared" si="8"/>
        <v>BA</v>
      </c>
      <c r="BB18" s="186" t="str">
        <f t="shared" si="8"/>
        <v>BB</v>
      </c>
      <c r="BC18" s="186" t="str">
        <f t="shared" si="8"/>
        <v>BC</v>
      </c>
      <c r="BD18" s="186" t="str">
        <f t="shared" si="8"/>
        <v>BD</v>
      </c>
      <c r="BE18" s="186" t="str">
        <f t="shared" si="8"/>
        <v>BE</v>
      </c>
      <c r="BF18" s="186" t="str">
        <f t="shared" si="8"/>
        <v>BF</v>
      </c>
      <c r="BG18" s="186" t="str">
        <f t="shared" si="8"/>
        <v>BG</v>
      </c>
      <c r="BH18" s="186" t="str">
        <f t="shared" si="8"/>
        <v>BH</v>
      </c>
      <c r="BI18" s="186" t="str">
        <f t="shared" si="8"/>
        <v>BI</v>
      </c>
      <c r="BJ18" s="186" t="str">
        <f t="shared" si="8"/>
        <v>BJ</v>
      </c>
      <c r="BK18" s="186" t="str">
        <f t="shared" si="8"/>
        <v>BK</v>
      </c>
      <c r="BL18" s="186" t="str">
        <f t="shared" si="8"/>
        <v>BL</v>
      </c>
      <c r="BM18" s="186" t="str">
        <f t="shared" ref="BM18:BU18" si="9">SUBSTITUTE(ADDRESS(1,COLUMN(),4),1,"")</f>
        <v>BM</v>
      </c>
      <c r="BN18" s="186" t="str">
        <f t="shared" si="9"/>
        <v>BN</v>
      </c>
      <c r="BO18" s="186" t="str">
        <f t="shared" si="9"/>
        <v>BO</v>
      </c>
      <c r="BP18" s="186" t="str">
        <f t="shared" si="9"/>
        <v>BP</v>
      </c>
      <c r="BQ18" s="186" t="str">
        <f t="shared" si="9"/>
        <v>BQ</v>
      </c>
      <c r="BR18" s="186" t="str">
        <f t="shared" si="9"/>
        <v>BR</v>
      </c>
      <c r="BS18" s="186" t="str">
        <f t="shared" si="9"/>
        <v>BS</v>
      </c>
      <c r="BT18" s="186" t="str">
        <f t="shared" si="9"/>
        <v>BT</v>
      </c>
      <c r="BU18" s="186" t="str">
        <f t="shared" si="9"/>
        <v>BU</v>
      </c>
      <c r="BW18" s="186" t="str">
        <f t="shared" ref="BW18:CD18" si="10">SUBSTITUTE(ADDRESS(1,COLUMN(),4),1,"")</f>
        <v>BW</v>
      </c>
      <c r="BX18" s="186" t="str">
        <f t="shared" si="10"/>
        <v>BX</v>
      </c>
      <c r="BY18" s="186" t="str">
        <f t="shared" si="10"/>
        <v>BY</v>
      </c>
      <c r="BZ18" s="186" t="str">
        <f t="shared" si="10"/>
        <v>BZ</v>
      </c>
      <c r="CA18" s="186" t="str">
        <f t="shared" si="10"/>
        <v>CA</v>
      </c>
      <c r="CB18" s="186" t="str">
        <f t="shared" si="10"/>
        <v>CB</v>
      </c>
      <c r="CC18" s="186" t="str">
        <f t="shared" si="10"/>
        <v>CC</v>
      </c>
      <c r="CD18" s="186" t="str">
        <f t="shared" si="10"/>
        <v>CD</v>
      </c>
    </row>
    <row r="19" spans="1:87" s="209" customFormat="1" ht="409.5" customHeight="1">
      <c r="A19" s="200" t="s">
        <v>126</v>
      </c>
      <c r="B19" s="201" t="s">
        <v>127</v>
      </c>
      <c r="C19" s="201" t="s">
        <v>128</v>
      </c>
      <c r="D19" s="202" t="s">
        <v>129</v>
      </c>
      <c r="E19" s="203" t="s">
        <v>130</v>
      </c>
      <c r="F19" s="204" t="s">
        <v>131</v>
      </c>
      <c r="G19" s="203" t="s">
        <v>132</v>
      </c>
      <c r="H19" s="199"/>
      <c r="I19" s="199"/>
      <c r="J19" s="205" t="s">
        <v>133</v>
      </c>
      <c r="K19" s="199" t="s">
        <v>134</v>
      </c>
      <c r="L19" s="199" t="s">
        <v>135</v>
      </c>
      <c r="M19" s="199" t="s">
        <v>136</v>
      </c>
      <c r="N19" s="199" t="s">
        <v>136</v>
      </c>
      <c r="O19" s="199" t="s">
        <v>137</v>
      </c>
      <c r="P19" s="199" t="s">
        <v>138</v>
      </c>
      <c r="Q19" s="199" t="s">
        <v>139</v>
      </c>
      <c r="R19" s="199" t="s">
        <v>140</v>
      </c>
      <c r="S19" s="199" t="s">
        <v>136</v>
      </c>
      <c r="T19" s="206"/>
      <c r="U19" s="199">
        <v>0</v>
      </c>
      <c r="V19" s="199">
        <v>0</v>
      </c>
      <c r="W19" s="199">
        <v>0</v>
      </c>
      <c r="X19" s="199">
        <v>0</v>
      </c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199"/>
      <c r="AJ19" s="199"/>
      <c r="AK19" s="199"/>
      <c r="AL19" s="199"/>
      <c r="AM19" s="199"/>
      <c r="AN19" s="199"/>
      <c r="AO19" s="198" t="str">
        <f>"IF(["&amp;F17&amp;"]=""LN"",["&amp;I17&amp;"]*(["&amp;K17&amp;"]+["&amp;L17&amp;"])/26+(["&amp;H17&amp;"]+["&amp;I17&amp;"])*50%*["&amp;M17&amp;"]/26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["&amp;BW17&amp;"]*["&amp;O17&amp;"]/26-["&amp;AB17&amp;"]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IF([Subjects are counted as working overtime]="LN",[HQCV Bonus norms]*([]+[Collaborate])/26+([Allowances (fire protection, safety)]+[HQCV Bonus norms])*50%*[Permit year]/26+MAX([Labor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year]/26+[Salary quota]*[Holiday/Tet]/26-[Holiday pay]+MAX([Labor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month]-[]-[Collaborate])/26-[Lương
Ngày thường])+([Allowances (fire protection, safety)]-[Allowances (fire protection, safety)]*([Actual work day month]-[]-[Collaborate])/26-[Fire protection allowance (DT, DP), Safety and sanitation allowance]))</v>
      </c>
      <c r="AP19" s="199"/>
      <c r="AQ19" s="199"/>
      <c r="AR19" s="199">
        <v>780000</v>
      </c>
      <c r="AS19" s="199"/>
      <c r="AT19" s="199"/>
      <c r="AU19" s="199"/>
      <c r="AV19" s="207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[Lương
Ngày thường]+[Salary for vacation days]+[Salary for days off]+[Holiday pay]+[Salary Overtime on weekdays]+[Overtime pay on holidays]+[Overtime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207"/>
      <c r="AX19" s="207"/>
      <c r="AY19" s="199"/>
      <c r="AZ19" s="199"/>
      <c r="BA19" s="199"/>
      <c r="BB19" s="199" t="str">
        <f>"["&amp;AY17&amp;"]+["&amp;AZ17&amp;"]+["&amp;BA17&amp;"]"</f>
        <v>[BHXH]+[BHYT]+[BHTN]</v>
      </c>
      <c r="BC19" s="199"/>
      <c r="BD19" s="199"/>
      <c r="BE19" s="199"/>
      <c r="BF19" s="199"/>
      <c r="BG19" s="199"/>
      <c r="BH19" s="199">
        <v>3</v>
      </c>
      <c r="BI19" s="199">
        <v>4400000</v>
      </c>
      <c r="BJ19" s="199"/>
      <c r="BK19" s="199"/>
      <c r="BL19" s="199"/>
      <c r="BM19" s="199"/>
      <c r="BN19" s="199"/>
      <c r="BO19" s="199">
        <v>0</v>
      </c>
      <c r="BP19" s="199"/>
      <c r="BQ19" s="199"/>
      <c r="BR19" s="199"/>
      <c r="BS19" s="199"/>
      <c r="BT19" s="211"/>
      <c r="BU19" s="199" t="str">
        <f>"["&amp;AV17&amp;"]-["&amp;BB17&amp;"]-["&amp;BC17&amp;"]+["&amp;BD17&amp;"]-["&amp;BE17&amp;"]-["&amp;BL17&amp;"]-["&amp;BM17&amp;"]-["&amp;BN17&amp;"]-["&amp;BO17&amp;"]-["&amp;BP17&amp;"]-["&amp;BQ17&amp;"]-["&amp;BR17&amp;"]+["&amp;BS17&amp;"]-["&amp;BT17&amp;"]"</f>
        <v>[Total income]-[TOTAL social insurance]-[Truy thu BHXH]+[Refund of social insurance]-[Phí 
công đoàn]-[Personal income tax]-[Collect advance payment]-[Collect money for the Investment Company on behalf of the Reserve...,]-[Excessive phone bill collection]-[Funeral money]-[…..............]-[Truy thu theo QTT]+[Refund according to QTT]-[Realization part 1]</v>
      </c>
      <c r="BW19" s="199">
        <v>60000000</v>
      </c>
      <c r="BX19" s="199">
        <v>0</v>
      </c>
      <c r="BY19" s="199"/>
      <c r="BZ19" s="199"/>
      <c r="CA19" s="199">
        <v>0</v>
      </c>
      <c r="CB19" s="199"/>
      <c r="CC19" s="199" t="s">
        <v>122</v>
      </c>
      <c r="CD19" s="199"/>
      <c r="CE19" s="208"/>
      <c r="CF19" s="208"/>
      <c r="CG19" s="208"/>
      <c r="CI19" s="210"/>
    </row>
    <row r="20" spans="1:87" s="197" customFormat="1" ht="11">
      <c r="A20" s="188"/>
      <c r="B20" s="189"/>
      <c r="C20" s="190"/>
      <c r="D20" s="191"/>
      <c r="E20" s="191"/>
      <c r="F20" s="192"/>
      <c r="G20" s="193"/>
      <c r="H20" s="193"/>
      <c r="I20" s="194"/>
      <c r="J20" s="194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3"/>
      <c r="Z20" s="193"/>
      <c r="AA20" s="193"/>
      <c r="AB20" s="193"/>
      <c r="AC20" s="193"/>
      <c r="AD20" s="193"/>
      <c r="AE20" s="193"/>
      <c r="AF20" s="193"/>
      <c r="AG20" s="193"/>
      <c r="AH20" s="193"/>
      <c r="AI20" s="193"/>
      <c r="AJ20" s="193"/>
      <c r="AK20" s="193"/>
      <c r="AL20" s="193"/>
      <c r="AM20" s="193"/>
      <c r="AN20" s="193"/>
      <c r="AO20" s="193"/>
      <c r="AP20" s="193"/>
      <c r="AQ20" s="193"/>
      <c r="AR20" s="193"/>
      <c r="AS20" s="193"/>
      <c r="AT20" s="193"/>
      <c r="AU20" s="193"/>
      <c r="AV20" s="193"/>
      <c r="AW20" s="193"/>
      <c r="AX20" s="193"/>
      <c r="AY20" s="193"/>
      <c r="AZ20" s="193"/>
      <c r="BA20" s="193"/>
      <c r="BB20" s="193"/>
      <c r="BC20" s="193"/>
      <c r="BD20" s="193"/>
      <c r="BE20" s="193"/>
      <c r="BF20" s="193"/>
      <c r="BG20" s="193"/>
      <c r="BH20" s="193"/>
      <c r="BI20" s="193"/>
      <c r="BJ20" s="193"/>
      <c r="BK20" s="193"/>
      <c r="BL20" s="193"/>
      <c r="BM20" s="193"/>
      <c r="BN20" s="193"/>
      <c r="BO20" s="193"/>
      <c r="BP20" s="193"/>
      <c r="BQ20" s="193"/>
      <c r="BR20" s="193"/>
      <c r="BS20" s="193"/>
      <c r="BT20" s="193"/>
      <c r="BU20" s="193"/>
      <c r="BW20" s="193"/>
      <c r="BX20" s="193"/>
      <c r="BY20" s="193"/>
      <c r="BZ20" s="193"/>
      <c r="CA20" s="193"/>
      <c r="CB20" s="196"/>
      <c r="CC20" s="196"/>
      <c r="CD20" s="196"/>
    </row>
    <row r="21" spans="1:87" s="197" customFormat="1" ht="11">
      <c r="A21" s="188"/>
      <c r="B21" s="189"/>
      <c r="C21" s="190"/>
      <c r="D21" s="191"/>
      <c r="E21" s="191"/>
      <c r="F21" s="192"/>
      <c r="G21" s="193"/>
      <c r="H21" s="193"/>
      <c r="I21" s="194"/>
      <c r="J21" s="194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3"/>
      <c r="Z21" s="193"/>
      <c r="AA21" s="193"/>
      <c r="AB21" s="193"/>
      <c r="AC21" s="193"/>
      <c r="AD21" s="193"/>
      <c r="AE21" s="193"/>
      <c r="AF21" s="193"/>
      <c r="AG21" s="193"/>
      <c r="AH21" s="193"/>
      <c r="AI21" s="193"/>
      <c r="AJ21" s="193"/>
      <c r="AK21" s="193"/>
      <c r="AL21" s="193"/>
      <c r="AM21" s="193"/>
      <c r="AN21" s="193"/>
      <c r="AO21" s="193"/>
      <c r="AP21" s="193"/>
      <c r="AQ21" s="193"/>
      <c r="AR21" s="193"/>
      <c r="AS21" s="193"/>
      <c r="AT21" s="193"/>
      <c r="AU21" s="193"/>
      <c r="AV21" s="193"/>
      <c r="AW21" s="193"/>
      <c r="AX21" s="193"/>
      <c r="AY21" s="193"/>
      <c r="AZ21" s="193"/>
      <c r="BA21" s="193"/>
      <c r="BB21" s="193"/>
      <c r="BC21" s="193"/>
      <c r="BD21" s="193"/>
      <c r="BE21" s="193"/>
      <c r="BF21" s="193"/>
      <c r="BG21" s="193"/>
      <c r="BH21" s="193"/>
      <c r="BI21" s="193"/>
      <c r="BJ21" s="193"/>
      <c r="BK21" s="193"/>
      <c r="BL21" s="193"/>
      <c r="BM21" s="193"/>
      <c r="BN21" s="193"/>
      <c r="BO21" s="193"/>
      <c r="BP21" s="193"/>
      <c r="BQ21" s="193"/>
      <c r="BR21" s="193"/>
      <c r="BS21" s="193"/>
      <c r="BT21" s="193"/>
      <c r="BU21" s="193"/>
      <c r="BW21" s="193"/>
      <c r="BX21" s="193"/>
      <c r="BY21" s="193"/>
      <c r="BZ21" s="193"/>
      <c r="CA21" s="193"/>
      <c r="CB21" s="196"/>
      <c r="CC21" s="196"/>
      <c r="CD21" s="196"/>
    </row>
    <row r="22" spans="1:87" s="197" customFormat="1" ht="11">
      <c r="A22" s="188"/>
      <c r="B22" s="189"/>
      <c r="C22" s="190"/>
      <c r="D22" s="191"/>
      <c r="E22" s="191"/>
      <c r="F22" s="192"/>
      <c r="G22" s="193"/>
      <c r="H22" s="193"/>
      <c r="I22" s="194"/>
      <c r="J22" s="194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3"/>
      <c r="Z22" s="193"/>
      <c r="AA22" s="193"/>
      <c r="AB22" s="193"/>
      <c r="AC22" s="193"/>
      <c r="AD22" s="193"/>
      <c r="AE22" s="193"/>
      <c r="AF22" s="193"/>
      <c r="AG22" s="193"/>
      <c r="AH22" s="193"/>
      <c r="AI22" s="193"/>
      <c r="AJ22" s="193"/>
      <c r="AK22" s="193"/>
      <c r="AL22" s="193"/>
      <c r="AM22" s="193"/>
      <c r="AN22" s="193"/>
      <c r="AO22" s="193"/>
      <c r="AP22" s="193"/>
      <c r="AQ22" s="193"/>
      <c r="AR22" s="193"/>
      <c r="AS22" s="193"/>
      <c r="AT22" s="193"/>
      <c r="AU22" s="193"/>
      <c r="AV22" s="193"/>
      <c r="AW22" s="193"/>
      <c r="AX22" s="193"/>
      <c r="AY22" s="193"/>
      <c r="AZ22" s="193"/>
      <c r="BA22" s="193"/>
      <c r="BB22" s="193"/>
      <c r="BC22" s="193"/>
      <c r="BD22" s="193"/>
      <c r="BE22" s="193"/>
      <c r="BF22" s="193"/>
      <c r="BG22" s="193"/>
      <c r="BH22" s="193"/>
      <c r="BI22" s="193"/>
      <c r="BJ22" s="193"/>
      <c r="BK22" s="193"/>
      <c r="BL22" s="193"/>
      <c r="BM22" s="193"/>
      <c r="BN22" s="193"/>
      <c r="BO22" s="193"/>
      <c r="BP22" s="193"/>
      <c r="BQ22" s="193"/>
      <c r="BR22" s="193"/>
      <c r="BS22" s="193"/>
      <c r="BT22" s="193"/>
      <c r="BU22" s="193"/>
      <c r="BW22" s="193"/>
      <c r="BX22" s="193"/>
      <c r="BY22" s="193"/>
      <c r="BZ22" s="193"/>
      <c r="CA22" s="193"/>
      <c r="CB22" s="196"/>
      <c r="CC22" s="196"/>
      <c r="CD22" s="196"/>
    </row>
    <row r="23" spans="1:87" s="197" customFormat="1" ht="11">
      <c r="A23" s="188"/>
      <c r="B23" s="189"/>
      <c r="C23" s="190"/>
      <c r="D23" s="191"/>
      <c r="E23" s="191"/>
      <c r="F23" s="192"/>
      <c r="G23" s="193"/>
      <c r="H23" s="193"/>
      <c r="I23" s="194"/>
      <c r="J23" s="194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3"/>
      <c r="Z23" s="193"/>
      <c r="AA23" s="193"/>
      <c r="AB23" s="193"/>
      <c r="AC23" s="193"/>
      <c r="AD23" s="193"/>
      <c r="AE23" s="193"/>
      <c r="AF23" s="193"/>
      <c r="AG23" s="193"/>
      <c r="AH23" s="193"/>
      <c r="AI23" s="193"/>
      <c r="AJ23" s="193"/>
      <c r="AK23" s="193"/>
      <c r="AL23" s="193"/>
      <c r="AM23" s="193"/>
      <c r="AN23" s="193"/>
      <c r="AO23" s="193"/>
      <c r="AP23" s="193"/>
      <c r="AQ23" s="193"/>
      <c r="AR23" s="193"/>
      <c r="AS23" s="193"/>
      <c r="AT23" s="193"/>
      <c r="AU23" s="193"/>
      <c r="AV23" s="193"/>
      <c r="AW23" s="193"/>
      <c r="AX23" s="193"/>
      <c r="AY23" s="193"/>
      <c r="AZ23" s="193"/>
      <c r="BA23" s="193"/>
      <c r="BB23" s="193"/>
      <c r="BC23" s="193"/>
      <c r="BD23" s="193"/>
      <c r="BE23" s="193"/>
      <c r="BF23" s="193"/>
      <c r="BG23" s="193"/>
      <c r="BH23" s="193"/>
      <c r="BI23" s="193"/>
      <c r="BJ23" s="193"/>
      <c r="BK23" s="193"/>
      <c r="BL23" s="193"/>
      <c r="BM23" s="193"/>
      <c r="BN23" s="193"/>
      <c r="BO23" s="193"/>
      <c r="BP23" s="193"/>
      <c r="BQ23" s="193"/>
      <c r="BR23" s="193"/>
      <c r="BS23" s="193"/>
      <c r="BT23" s="193"/>
      <c r="BU23" s="193"/>
      <c r="BW23" s="193"/>
      <c r="BX23" s="193"/>
      <c r="BY23" s="193"/>
      <c r="BZ23" s="193"/>
      <c r="CA23" s="193"/>
      <c r="CB23" s="196"/>
      <c r="CC23" s="196"/>
      <c r="CD23" s="196"/>
    </row>
    <row r="24" spans="1:87" s="197" customFormat="1" ht="11">
      <c r="A24" s="188"/>
      <c r="B24" s="189"/>
      <c r="C24" s="190"/>
      <c r="D24" s="191"/>
      <c r="E24" s="191"/>
      <c r="F24" s="192"/>
      <c r="G24" s="193"/>
      <c r="H24" s="193"/>
      <c r="I24" s="194"/>
      <c r="J24" s="194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3"/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3"/>
      <c r="AK24" s="193"/>
      <c r="AL24" s="193"/>
      <c r="AM24" s="193"/>
      <c r="AN24" s="193"/>
      <c r="AO24" s="193"/>
      <c r="AP24" s="193"/>
      <c r="AQ24" s="193"/>
      <c r="AR24" s="193"/>
      <c r="AS24" s="193"/>
      <c r="AT24" s="193"/>
      <c r="AU24" s="193"/>
      <c r="AV24" s="193"/>
      <c r="AW24" s="193"/>
      <c r="AX24" s="193"/>
      <c r="AY24" s="193"/>
      <c r="AZ24" s="193"/>
      <c r="BA24" s="193"/>
      <c r="BB24" s="193"/>
      <c r="BC24" s="193"/>
      <c r="BD24" s="193"/>
      <c r="BE24" s="193"/>
      <c r="BF24" s="193"/>
      <c r="BG24" s="193"/>
      <c r="BH24" s="193"/>
      <c r="BI24" s="193"/>
      <c r="BJ24" s="193"/>
      <c r="BK24" s="193"/>
      <c r="BL24" s="193"/>
      <c r="BM24" s="193"/>
      <c r="BN24" s="193"/>
      <c r="BO24" s="193"/>
      <c r="BP24" s="193"/>
      <c r="BQ24" s="193"/>
      <c r="BR24" s="193"/>
      <c r="BS24" s="193"/>
      <c r="BT24" s="193"/>
      <c r="BU24" s="193"/>
      <c r="BW24" s="193"/>
      <c r="BX24" s="193"/>
      <c r="BY24" s="193"/>
      <c r="BZ24" s="193"/>
      <c r="CA24" s="193"/>
      <c r="CB24" s="196"/>
      <c r="CC24" s="196"/>
      <c r="CD24" s="196"/>
    </row>
    <row r="26" spans="1:87" ht="28">
      <c r="BN26" s="236" t="s">
        <v>151</v>
      </c>
    </row>
  </sheetData>
  <autoFilter ref="A9:CI14" xr:uid="{00000000-0009-0000-0000-000001000000}"/>
  <mergeCells count="82">
    <mergeCell ref="BS6:BS8"/>
    <mergeCell ref="BM6:BQ6"/>
    <mergeCell ref="AC6:AC8"/>
    <mergeCell ref="BC7:BC8"/>
    <mergeCell ref="AE6:AE8"/>
    <mergeCell ref="BK7:BK8"/>
    <mergeCell ref="BQ7:BQ8"/>
    <mergeCell ref="BN7:BN8"/>
    <mergeCell ref="BP7:BP8"/>
    <mergeCell ref="AM6:AM8"/>
    <mergeCell ref="AP5:AP8"/>
    <mergeCell ref="BO7:BO8"/>
    <mergeCell ref="BB7:BB8"/>
    <mergeCell ref="BD7:BD8"/>
    <mergeCell ref="BF7:BF8"/>
    <mergeCell ref="BH7:BH8"/>
    <mergeCell ref="S6:S8"/>
    <mergeCell ref="AS5:AS8"/>
    <mergeCell ref="AU5:AU8"/>
    <mergeCell ref="AB6:AB8"/>
    <mergeCell ref="AH6:AH8"/>
    <mergeCell ref="AJ6:AJ8"/>
    <mergeCell ref="T6:T8"/>
    <mergeCell ref="A5:A8"/>
    <mergeCell ref="C5:C8"/>
    <mergeCell ref="AK6:AK8"/>
    <mergeCell ref="BI7:BI8"/>
    <mergeCell ref="K5:X5"/>
    <mergeCell ref="AO6:AO8"/>
    <mergeCell ref="Y5:AO5"/>
    <mergeCell ref="AN6:AN8"/>
    <mergeCell ref="AR5:AR8"/>
    <mergeCell ref="AA6:AA8"/>
    <mergeCell ref="D5:D8"/>
    <mergeCell ref="X6:X8"/>
    <mergeCell ref="AV5:AV8"/>
    <mergeCell ref="AX5:AX8"/>
    <mergeCell ref="V6:W7"/>
    <mergeCell ref="Y6:Y8"/>
    <mergeCell ref="G5:G8"/>
    <mergeCell ref="AQ5:AQ8"/>
    <mergeCell ref="I5:I8"/>
    <mergeCell ref="R6:R8"/>
    <mergeCell ref="B5:B8"/>
    <mergeCell ref="AL6:AL8"/>
    <mergeCell ref="P6:P8"/>
    <mergeCell ref="N6:N8"/>
    <mergeCell ref="F5:F8"/>
    <mergeCell ref="M6:M8"/>
    <mergeCell ref="Q6:Q8"/>
    <mergeCell ref="BW3:CB4"/>
    <mergeCell ref="CC5:CC8"/>
    <mergeCell ref="AY6:BL6"/>
    <mergeCell ref="H5:H8"/>
    <mergeCell ref="BR5:BS5"/>
    <mergeCell ref="J5:J8"/>
    <mergeCell ref="BX5:CA7"/>
    <mergeCell ref="U6:U8"/>
    <mergeCell ref="AG6:AG8"/>
    <mergeCell ref="BE7:BE8"/>
    <mergeCell ref="BG7:BG8"/>
    <mergeCell ref="AD6:AD8"/>
    <mergeCell ref="AF6:AF8"/>
    <mergeCell ref="A3:BU3"/>
    <mergeCell ref="E5:E8"/>
    <mergeCell ref="K6:K8"/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  <mergeCell ref="O6:O8"/>
    <mergeCell ref="AY5:BQ5"/>
    <mergeCell ref="CB5:CB8"/>
    <mergeCell ref="BT5:BT8"/>
  </mergeCells>
  <conditionalFormatting sqref="B1:B9 B12:B16 B20:B1048576 C9:BU9 D10:F10 J10:BK10 BM10:BU10 BW9:CD10">
    <cfRule type="duplicateValues" dxfId="19" priority="54"/>
  </conditionalFormatting>
  <conditionalFormatting sqref="B1:B9 B12:B16 B20:B1048576 C9:BU9">
    <cfRule type="duplicateValues" dxfId="18" priority="6"/>
    <cfRule type="duplicateValues" dxfId="17" priority="49"/>
  </conditionalFormatting>
  <conditionalFormatting sqref="B19:C19">
    <cfRule type="duplicateValues" dxfId="16" priority="1"/>
    <cfRule type="duplicateValues" dxfId="15" priority="2"/>
    <cfRule type="duplicateValues" dxfId="14" priority="3"/>
  </conditionalFormatting>
  <conditionalFormatting sqref="BL10">
    <cfRule type="duplicateValues" dxfId="13" priority="4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A1:CI26"/>
  <sheetViews>
    <sheetView zoomScale="120" zoomScaleNormal="120" zoomScaleSheetLayoutView="70" workbookViewId="0">
      <pane xSplit="6" ySplit="14" topLeftCell="G15" activePane="bottomRight" state="frozen"/>
      <selection pane="topRight" activeCell="E18" sqref="E18"/>
      <selection pane="bottomLeft" activeCell="E18" sqref="E18"/>
      <selection pane="bottomRight" activeCell="H29" sqref="H29"/>
    </sheetView>
  </sheetViews>
  <sheetFormatPr baseColWidth="10" defaultColWidth="9.1640625" defaultRowHeight="15" outlineLevelRow="1" outlineLevelCol="1"/>
  <cols>
    <col min="1" max="1" width="5.5" style="61" customWidth="1"/>
    <col min="2" max="2" width="8.5" style="66" customWidth="1"/>
    <col min="3" max="3" width="10.83203125" style="67" bestFit="1" customWidth="1"/>
    <col min="4" max="4" width="5.5" style="68" bestFit="1" customWidth="1" outlineLevel="1"/>
    <col min="5" max="5" width="5.5" style="68" customWidth="1" outlineLevel="1"/>
    <col min="6" max="6" width="5.5" style="69" bestFit="1" customWidth="1" outlineLevel="1"/>
    <col min="7" max="7" width="13.6640625" style="64" bestFit="1" customWidth="1"/>
    <col min="8" max="8" width="12.5" style="64" customWidth="1"/>
    <col min="9" max="9" width="12.5" customWidth="1"/>
    <col min="10" max="10" width="7.5" customWidth="1" outlineLevel="1"/>
    <col min="11" max="24" width="7.1640625" style="62" customWidth="1"/>
    <col min="25" max="47" width="12.33203125" style="63" customWidth="1"/>
    <col min="48" max="49" width="13" style="63" customWidth="1"/>
    <col min="50" max="50" width="6.6640625" style="63" customWidth="1"/>
    <col min="51" max="53" width="10.5" style="63" customWidth="1" outlineLevel="1"/>
    <col min="54" max="71" width="10.5" style="63" customWidth="1"/>
    <col min="72" max="72" width="12.5" style="63" customWidth="1"/>
    <col min="73" max="73" width="12.5" style="63" hidden="1" customWidth="1"/>
    <col min="74" max="74" width="12.5" style="122" customWidth="1"/>
    <col min="75" max="79" width="12.6640625" style="64" customWidth="1" outlineLevel="1"/>
    <col min="80" max="80" width="12.6640625" style="65" customWidth="1" outlineLevel="1"/>
    <col min="81" max="82" width="10.6640625" style="65" customWidth="1" outlineLevel="1"/>
    <col min="83" max="83" width="19.5" style="36" customWidth="1"/>
    <col min="84" max="84" width="12.33203125" style="36" customWidth="1"/>
    <col min="85" max="85" width="12.5" style="36" customWidth="1"/>
    <col min="86" max="86" width="11.6640625" style="36" customWidth="1"/>
    <col min="87" max="87" width="9.1640625" style="36" customWidth="1"/>
    <col min="88" max="16384" width="9.1640625" style="36"/>
  </cols>
  <sheetData>
    <row r="1" spans="1:87" s="4" customFormat="1" ht="23.25" customHeight="1" outlineLevel="1">
      <c r="A1" s="74" t="s">
        <v>0</v>
      </c>
      <c r="B1" s="1"/>
      <c r="C1" s="2"/>
      <c r="D1" s="3"/>
      <c r="E1" s="3"/>
      <c r="F1" s="3"/>
      <c r="I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9"/>
      <c r="BO1" s="9"/>
      <c r="BP1" s="5"/>
      <c r="BQ1" s="5"/>
      <c r="BR1" s="5"/>
      <c r="BS1" s="5"/>
      <c r="BU1" s="5"/>
      <c r="BV1" s="109"/>
      <c r="BW1" s="8"/>
      <c r="BX1" s="8"/>
      <c r="BY1" s="8"/>
      <c r="BZ1" s="8"/>
      <c r="CA1" s="8"/>
      <c r="CB1" s="10"/>
      <c r="CC1" s="10"/>
      <c r="CD1" s="10"/>
    </row>
    <row r="2" spans="1:87" s="4" customFormat="1" ht="19.25" customHeight="1" outlineLevel="1">
      <c r="A2" s="75" t="s">
        <v>1</v>
      </c>
      <c r="B2" s="1"/>
      <c r="C2" s="12"/>
      <c r="D2" s="3"/>
      <c r="E2" s="3"/>
      <c r="F2" s="3"/>
      <c r="I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109"/>
      <c r="BW2" s="13"/>
      <c r="BX2" s="13"/>
      <c r="BY2" s="13"/>
      <c r="BZ2" s="13"/>
      <c r="CA2" s="13"/>
      <c r="CB2" s="12"/>
      <c r="CC2" s="12"/>
      <c r="CD2" s="12"/>
    </row>
    <row r="3" spans="1:87" s="16" customFormat="1" ht="24" customHeight="1" outlineLevel="1">
      <c r="A3" s="261"/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  <c r="AY3" s="259"/>
      <c r="AZ3" s="259"/>
      <c r="BA3" s="259"/>
      <c r="BB3" s="259"/>
      <c r="BC3" s="259"/>
      <c r="BD3" s="259"/>
      <c r="BE3" s="259"/>
      <c r="BF3" s="259"/>
      <c r="BG3" s="259"/>
      <c r="BH3" s="259"/>
      <c r="BI3" s="259"/>
      <c r="BJ3" s="259"/>
      <c r="BK3" s="259"/>
      <c r="BL3" s="259"/>
      <c r="BM3" s="259"/>
      <c r="BN3" s="259"/>
      <c r="BO3" s="259"/>
      <c r="BP3" s="259"/>
      <c r="BQ3" s="259"/>
      <c r="BR3" s="259"/>
      <c r="BS3" s="259"/>
      <c r="BT3" s="259"/>
      <c r="BU3" s="259"/>
      <c r="BV3" s="110"/>
      <c r="BW3" s="258" t="s">
        <v>2</v>
      </c>
      <c r="BX3" s="259"/>
      <c r="BY3" s="259"/>
      <c r="BZ3" s="259"/>
      <c r="CA3" s="259"/>
      <c r="CB3" s="259"/>
      <c r="CC3" s="71"/>
      <c r="CD3" s="71"/>
      <c r="CE3" s="16" t="s">
        <v>3</v>
      </c>
      <c r="CF3" s="16">
        <v>25</v>
      </c>
    </row>
    <row r="4" spans="1:87" s="16" customFormat="1" ht="21.5" hidden="1" customHeight="1" outlineLevel="1">
      <c r="A4" s="15"/>
      <c r="B4" s="15"/>
      <c r="C4" s="15"/>
      <c r="D4" s="15"/>
      <c r="E4" s="15"/>
      <c r="F4" s="15"/>
      <c r="G4" s="15"/>
      <c r="H4" s="15"/>
      <c r="I4" s="6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11"/>
      <c r="BW4" s="259"/>
      <c r="BX4" s="259"/>
      <c r="BY4" s="259"/>
      <c r="BZ4" s="259"/>
      <c r="CA4" s="259"/>
      <c r="CB4" s="259"/>
      <c r="CC4" s="71"/>
      <c r="CD4" s="71"/>
    </row>
    <row r="5" spans="1:87" s="14" customFormat="1" ht="20.25" hidden="1" customHeight="1" outlineLevel="1">
      <c r="A5" s="15"/>
      <c r="B5" s="15"/>
      <c r="C5" s="15"/>
      <c r="D5" s="15"/>
      <c r="E5" s="15"/>
      <c r="F5" s="15"/>
      <c r="G5" s="15"/>
      <c r="H5" s="15"/>
      <c r="I5" s="6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11"/>
      <c r="BW5" s="260"/>
      <c r="BX5" s="260"/>
      <c r="BY5" s="260"/>
      <c r="BZ5" s="260"/>
      <c r="CA5" s="260"/>
      <c r="CB5" s="260"/>
      <c r="CC5" s="71"/>
      <c r="CD5" s="71"/>
    </row>
    <row r="6" spans="1:87" s="14" customFormat="1" ht="18.75" hidden="1" customHeight="1" outlineLevel="1">
      <c r="A6" s="18"/>
      <c r="B6" s="18"/>
      <c r="C6" s="18"/>
      <c r="D6" s="18"/>
      <c r="E6" s="18"/>
      <c r="F6" s="18"/>
      <c r="G6" s="18"/>
      <c r="H6" s="18"/>
      <c r="I6" s="6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20"/>
      <c r="Z6" s="20"/>
      <c r="AA6" s="20"/>
      <c r="AB6" s="20"/>
      <c r="AC6" s="15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12"/>
      <c r="BW6" s="260"/>
      <c r="BX6" s="260"/>
      <c r="BY6" s="260"/>
      <c r="BZ6" s="260"/>
      <c r="CA6" s="260"/>
      <c r="CB6" s="260"/>
      <c r="CC6" s="71"/>
      <c r="CD6" s="71"/>
    </row>
    <row r="7" spans="1:87" s="14" customFormat="1" ht="12.75" hidden="1" customHeight="1" outlineLevel="1">
      <c r="A7" s="21"/>
      <c r="B7" s="22"/>
      <c r="C7" s="21"/>
      <c r="D7" s="22"/>
      <c r="E7" s="22"/>
      <c r="F7" s="23"/>
      <c r="G7" s="22"/>
      <c r="H7" s="22"/>
      <c r="I7" s="6"/>
      <c r="K7" s="24"/>
      <c r="L7" s="24"/>
      <c r="M7" s="24"/>
      <c r="N7" s="24"/>
      <c r="O7" s="24"/>
      <c r="P7" s="24"/>
      <c r="Q7" s="24"/>
      <c r="R7" s="24"/>
      <c r="S7" s="24"/>
      <c r="T7" s="24"/>
      <c r="U7" s="25"/>
      <c r="V7" s="24"/>
      <c r="W7" s="24"/>
      <c r="X7" s="24"/>
      <c r="Y7" s="20"/>
      <c r="Z7" s="20"/>
      <c r="AA7" s="20"/>
      <c r="AB7" s="20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21"/>
      <c r="AW7" s="21"/>
      <c r="AX7" s="21"/>
      <c r="AY7" s="22"/>
      <c r="AZ7" s="21"/>
      <c r="BA7" s="22"/>
      <c r="BB7" s="22"/>
      <c r="BC7" s="21"/>
      <c r="BD7" s="21"/>
      <c r="BE7" s="22"/>
      <c r="BF7" s="22"/>
      <c r="BG7" s="22"/>
      <c r="BH7" s="22"/>
      <c r="BI7" s="22"/>
      <c r="BJ7" s="21"/>
      <c r="BK7" s="21"/>
      <c r="BL7" s="22"/>
      <c r="BM7" s="21"/>
      <c r="BN7" s="22"/>
      <c r="BO7" s="22"/>
      <c r="BP7" s="21"/>
      <c r="BQ7" s="21"/>
      <c r="BR7" s="21"/>
      <c r="BS7" s="21"/>
      <c r="BT7" s="22"/>
      <c r="BU7" s="21"/>
      <c r="BV7" s="113"/>
      <c r="BW7" s="26"/>
      <c r="BX7" s="26"/>
      <c r="BY7" s="26"/>
      <c r="BZ7" s="26"/>
      <c r="CA7" s="26"/>
      <c r="CB7" s="25"/>
      <c r="CC7" s="25"/>
      <c r="CD7" s="25"/>
    </row>
    <row r="8" spans="1:87" s="11" customFormat="1" ht="19.25" customHeight="1">
      <c r="A8" s="270" t="s">
        <v>4</v>
      </c>
      <c r="B8" s="263" t="s">
        <v>5</v>
      </c>
      <c r="C8" s="245" t="s">
        <v>6</v>
      </c>
      <c r="D8" s="248" t="s">
        <v>141</v>
      </c>
      <c r="E8" s="248" t="s">
        <v>8</v>
      </c>
      <c r="F8" s="291" t="s">
        <v>142</v>
      </c>
      <c r="G8" s="249" t="s">
        <v>10</v>
      </c>
      <c r="H8" s="255" t="s">
        <v>11</v>
      </c>
      <c r="I8" s="255" t="s">
        <v>12</v>
      </c>
      <c r="J8" s="249" t="s">
        <v>13</v>
      </c>
      <c r="K8" s="268" t="s">
        <v>14</v>
      </c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49" t="s">
        <v>15</v>
      </c>
      <c r="Z8" s="265"/>
      <c r="AA8" s="265"/>
      <c r="AB8" s="265"/>
      <c r="AC8" s="265"/>
      <c r="AD8" s="265"/>
      <c r="AE8" s="265"/>
      <c r="AF8" s="265"/>
      <c r="AG8" s="265"/>
      <c r="AH8" s="265"/>
      <c r="AI8" s="265"/>
      <c r="AJ8" s="265"/>
      <c r="AK8" s="265"/>
      <c r="AL8" s="265"/>
      <c r="AM8" s="265"/>
      <c r="AN8" s="265"/>
      <c r="AO8" s="266"/>
      <c r="AP8" s="249" t="s">
        <v>16</v>
      </c>
      <c r="AQ8" s="249" t="s">
        <v>17</v>
      </c>
      <c r="AR8" s="249" t="s">
        <v>18</v>
      </c>
      <c r="AS8" s="249" t="s">
        <v>19</v>
      </c>
      <c r="AT8" s="249" t="s">
        <v>20</v>
      </c>
      <c r="AU8" s="249" t="s">
        <v>21</v>
      </c>
      <c r="AV8" s="245" t="s">
        <v>22</v>
      </c>
      <c r="AW8" s="245" t="s">
        <v>23</v>
      </c>
      <c r="AX8" s="245" t="s">
        <v>24</v>
      </c>
      <c r="AY8" s="254" t="s">
        <v>25</v>
      </c>
      <c r="AZ8" s="265"/>
      <c r="BA8" s="265"/>
      <c r="BB8" s="265"/>
      <c r="BC8" s="265"/>
      <c r="BD8" s="265"/>
      <c r="BE8" s="265"/>
      <c r="BF8" s="265"/>
      <c r="BG8" s="265"/>
      <c r="BH8" s="265"/>
      <c r="BI8" s="265"/>
      <c r="BJ8" s="265"/>
      <c r="BK8" s="265"/>
      <c r="BL8" s="265"/>
      <c r="BM8" s="265"/>
      <c r="BN8" s="265"/>
      <c r="BO8" s="265"/>
      <c r="BP8" s="266"/>
      <c r="BQ8" s="246" t="s">
        <v>26</v>
      </c>
      <c r="BR8" s="247"/>
      <c r="BS8" s="254" t="s">
        <v>143</v>
      </c>
      <c r="BT8" s="254" t="s">
        <v>27</v>
      </c>
      <c r="BU8" s="250" t="s">
        <v>28</v>
      </c>
      <c r="BV8" s="114"/>
      <c r="BW8" s="278" t="s">
        <v>29</v>
      </c>
      <c r="BX8" s="271" t="s">
        <v>30</v>
      </c>
      <c r="BY8" s="272"/>
      <c r="BZ8" s="272"/>
      <c r="CA8" s="247"/>
      <c r="CB8" s="264" t="s">
        <v>31</v>
      </c>
      <c r="CC8" s="237" t="s">
        <v>32</v>
      </c>
      <c r="CD8" s="237" t="s">
        <v>33</v>
      </c>
      <c r="CH8" s="27"/>
      <c r="CI8" s="28"/>
    </row>
    <row r="9" spans="1:87" s="11" customFormat="1" ht="19.25" customHeight="1">
      <c r="A9" s="238"/>
      <c r="B9" s="238"/>
      <c r="C9" s="238"/>
      <c r="D9" s="238"/>
      <c r="E9" s="238"/>
      <c r="F9" s="238"/>
      <c r="G9" s="238"/>
      <c r="H9" s="238"/>
      <c r="I9" s="238"/>
      <c r="J9" s="238"/>
      <c r="K9" s="251" t="s">
        <v>34</v>
      </c>
      <c r="L9" s="251" t="s">
        <v>35</v>
      </c>
      <c r="M9" s="251" t="s">
        <v>36</v>
      </c>
      <c r="N9" s="251" t="s">
        <v>37</v>
      </c>
      <c r="O9" s="251" t="s">
        <v>38</v>
      </c>
      <c r="P9" s="251" t="s">
        <v>39</v>
      </c>
      <c r="Q9" s="251" t="s">
        <v>40</v>
      </c>
      <c r="R9" s="251" t="s">
        <v>41</v>
      </c>
      <c r="S9" s="251" t="s">
        <v>42</v>
      </c>
      <c r="T9" s="251" t="s">
        <v>43</v>
      </c>
      <c r="U9" s="251" t="s">
        <v>44</v>
      </c>
      <c r="V9" s="256" t="s">
        <v>45</v>
      </c>
      <c r="W9" s="247"/>
      <c r="X9" s="251" t="s">
        <v>46</v>
      </c>
      <c r="Y9" s="240" t="s">
        <v>47</v>
      </c>
      <c r="Z9" s="240" t="s">
        <v>48</v>
      </c>
      <c r="AA9" s="240" t="s">
        <v>49</v>
      </c>
      <c r="AB9" s="240" t="s">
        <v>50</v>
      </c>
      <c r="AC9" s="262" t="s">
        <v>51</v>
      </c>
      <c r="AD9" s="262" t="s">
        <v>144</v>
      </c>
      <c r="AE9" s="262" t="s">
        <v>53</v>
      </c>
      <c r="AF9" s="262" t="s">
        <v>54</v>
      </c>
      <c r="AG9" s="240" t="s">
        <v>55</v>
      </c>
      <c r="AH9" s="262" t="s">
        <v>56</v>
      </c>
      <c r="AI9" s="262" t="s">
        <v>57</v>
      </c>
      <c r="AJ9" s="240" t="s">
        <v>58</v>
      </c>
      <c r="AK9" s="242" t="s">
        <v>59</v>
      </c>
      <c r="AL9" s="245" t="s">
        <v>60</v>
      </c>
      <c r="AM9" s="240" t="s">
        <v>61</v>
      </c>
      <c r="AN9" s="267" t="s">
        <v>62</v>
      </c>
      <c r="AO9" s="245" t="s">
        <v>63</v>
      </c>
      <c r="AP9" s="238"/>
      <c r="AQ9" s="238"/>
      <c r="AR9" s="238"/>
      <c r="AS9" s="238"/>
      <c r="AT9" s="238"/>
      <c r="AU9" s="238"/>
      <c r="AV9" s="238"/>
      <c r="AW9" s="238"/>
      <c r="AX9" s="238"/>
      <c r="AY9" s="254" t="s">
        <v>25</v>
      </c>
      <c r="AZ9" s="265"/>
      <c r="BA9" s="265"/>
      <c r="BB9" s="265"/>
      <c r="BC9" s="265"/>
      <c r="BD9" s="265"/>
      <c r="BE9" s="265"/>
      <c r="BF9" s="265"/>
      <c r="BG9" s="265"/>
      <c r="BH9" s="265"/>
      <c r="BI9" s="265"/>
      <c r="BJ9" s="266"/>
      <c r="BK9" s="254" t="s">
        <v>64</v>
      </c>
      <c r="BL9" s="265"/>
      <c r="BM9" s="265"/>
      <c r="BN9" s="265"/>
      <c r="BO9" s="265"/>
      <c r="BP9" s="266"/>
      <c r="BQ9" s="252" t="s">
        <v>65</v>
      </c>
      <c r="BR9" s="252" t="s">
        <v>66</v>
      </c>
      <c r="BS9" s="238"/>
      <c r="BT9" s="238"/>
      <c r="BU9" s="243"/>
      <c r="BV9" s="114"/>
      <c r="BW9" s="274"/>
      <c r="BX9" s="243"/>
      <c r="BY9" s="273"/>
      <c r="BZ9" s="273"/>
      <c r="CA9" s="274"/>
      <c r="CB9" s="238"/>
      <c r="CC9" s="238"/>
      <c r="CD9" s="238"/>
      <c r="CH9" s="27"/>
      <c r="CI9" s="28"/>
    </row>
    <row r="10" spans="1:87" s="29" customFormat="1" ht="19.25" customHeight="1">
      <c r="A10" s="238"/>
      <c r="B10" s="238"/>
      <c r="C10" s="238"/>
      <c r="D10" s="238"/>
      <c r="E10" s="238"/>
      <c r="F10" s="238"/>
      <c r="G10" s="238"/>
      <c r="H10" s="238"/>
      <c r="I10" s="238"/>
      <c r="J10" s="238"/>
      <c r="K10" s="238"/>
      <c r="L10" s="238"/>
      <c r="M10" s="238"/>
      <c r="N10" s="238"/>
      <c r="O10" s="238"/>
      <c r="P10" s="238"/>
      <c r="Q10" s="238"/>
      <c r="R10" s="238"/>
      <c r="S10" s="238"/>
      <c r="T10" s="238"/>
      <c r="U10" s="238"/>
      <c r="V10" s="244"/>
      <c r="W10" s="257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238"/>
      <c r="AI10" s="238"/>
      <c r="AJ10" s="238"/>
      <c r="AK10" s="243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101" t="s">
        <v>67</v>
      </c>
      <c r="AZ10" s="101" t="s">
        <v>68</v>
      </c>
      <c r="BA10" s="101" t="s">
        <v>69</v>
      </c>
      <c r="BB10" s="290" t="s">
        <v>70</v>
      </c>
      <c r="BC10" s="288" t="s">
        <v>71</v>
      </c>
      <c r="BD10" s="288" t="s">
        <v>72</v>
      </c>
      <c r="BE10" s="288" t="s">
        <v>145</v>
      </c>
      <c r="BF10" s="288" t="s">
        <v>74</v>
      </c>
      <c r="BG10" s="288" t="s">
        <v>75</v>
      </c>
      <c r="BH10" s="288" t="s">
        <v>76</v>
      </c>
      <c r="BI10" s="288" t="s">
        <v>79</v>
      </c>
      <c r="BJ10" s="292" t="s">
        <v>80</v>
      </c>
      <c r="BK10" s="288" t="s">
        <v>81</v>
      </c>
      <c r="BL10" s="289" t="s">
        <v>82</v>
      </c>
      <c r="BM10" s="288" t="s">
        <v>83</v>
      </c>
      <c r="BN10" s="289" t="s">
        <v>84</v>
      </c>
      <c r="BO10" s="289" t="s">
        <v>146</v>
      </c>
      <c r="BP10" s="254" t="s">
        <v>85</v>
      </c>
      <c r="BQ10" s="238"/>
      <c r="BR10" s="238"/>
      <c r="BS10" s="238"/>
      <c r="BT10" s="238"/>
      <c r="BU10" s="243"/>
      <c r="BV10" s="114"/>
      <c r="BW10" s="274"/>
      <c r="BX10" s="275"/>
      <c r="BY10" s="276"/>
      <c r="BZ10" s="276"/>
      <c r="CA10" s="277"/>
      <c r="CB10" s="238"/>
      <c r="CC10" s="238"/>
      <c r="CD10" s="238"/>
      <c r="CH10" s="27"/>
      <c r="CI10" s="28"/>
    </row>
    <row r="11" spans="1:87" s="29" customFormat="1" ht="38.25" customHeight="1">
      <c r="A11" s="241"/>
      <c r="B11" s="241"/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30" t="s">
        <v>86</v>
      </c>
      <c r="W11" s="30" t="s">
        <v>87</v>
      </c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4"/>
      <c r="AL11" s="241"/>
      <c r="AM11" s="241"/>
      <c r="AN11" s="241"/>
      <c r="AO11" s="241"/>
      <c r="AP11" s="241"/>
      <c r="AQ11" s="241"/>
      <c r="AR11" s="241"/>
      <c r="AS11" s="241"/>
      <c r="AT11" s="241"/>
      <c r="AU11" s="241"/>
      <c r="AV11" s="241"/>
      <c r="AW11" s="241"/>
      <c r="AX11" s="241"/>
      <c r="AY11" s="102" t="s">
        <v>88</v>
      </c>
      <c r="AZ11" s="102" t="s">
        <v>89</v>
      </c>
      <c r="BA11" s="102" t="s">
        <v>90</v>
      </c>
      <c r="BB11" s="241"/>
      <c r="BC11" s="241"/>
      <c r="BD11" s="241"/>
      <c r="BE11" s="241"/>
      <c r="BF11" s="241"/>
      <c r="BG11" s="241"/>
      <c r="BH11" s="241"/>
      <c r="BI11" s="241"/>
      <c r="BJ11" s="241"/>
      <c r="BK11" s="241"/>
      <c r="BL11" s="241"/>
      <c r="BM11" s="241"/>
      <c r="BN11" s="241"/>
      <c r="BO11" s="241"/>
      <c r="BP11" s="241"/>
      <c r="BQ11" s="241"/>
      <c r="BR11" s="241"/>
      <c r="BS11" s="241"/>
      <c r="BT11" s="241"/>
      <c r="BU11" s="244"/>
      <c r="BV11" s="114"/>
      <c r="BW11" s="277"/>
      <c r="BX11" s="72" t="s">
        <v>91</v>
      </c>
      <c r="BY11" s="72" t="s">
        <v>92</v>
      </c>
      <c r="BZ11" s="72" t="s">
        <v>93</v>
      </c>
      <c r="CA11" s="73" t="s">
        <v>94</v>
      </c>
      <c r="CB11" s="239"/>
      <c r="CC11" s="239"/>
      <c r="CD11" s="239"/>
      <c r="CE11" s="11"/>
      <c r="CF11" s="31"/>
      <c r="CH11" s="27"/>
      <c r="CI11" s="28"/>
    </row>
    <row r="12" spans="1:87" s="34" customFormat="1" ht="15" customHeight="1">
      <c r="A12" s="32">
        <v>1</v>
      </c>
      <c r="B12" s="33">
        <f>A12+1</f>
        <v>2</v>
      </c>
      <c r="C12" s="33">
        <f>B12+1</f>
        <v>3</v>
      </c>
      <c r="D12" s="33">
        <f>C12+1</f>
        <v>4</v>
      </c>
      <c r="E12" s="33"/>
      <c r="F12" s="33">
        <f>D12+1</f>
        <v>5</v>
      </c>
      <c r="G12" s="33">
        <f t="shared" ref="G12:AV12" si="0">F12+1</f>
        <v>6</v>
      </c>
      <c r="H12" s="33">
        <f t="shared" si="0"/>
        <v>7</v>
      </c>
      <c r="I12" s="33">
        <f t="shared" si="0"/>
        <v>8</v>
      </c>
      <c r="J12" s="33">
        <f t="shared" si="0"/>
        <v>9</v>
      </c>
      <c r="K12" s="33">
        <f t="shared" si="0"/>
        <v>10</v>
      </c>
      <c r="L12" s="33">
        <f t="shared" si="0"/>
        <v>11</v>
      </c>
      <c r="M12" s="33">
        <f t="shared" si="0"/>
        <v>12</v>
      </c>
      <c r="N12" s="33">
        <f t="shared" si="0"/>
        <v>13</v>
      </c>
      <c r="O12" s="33">
        <f t="shared" si="0"/>
        <v>14</v>
      </c>
      <c r="P12" s="33">
        <f t="shared" si="0"/>
        <v>15</v>
      </c>
      <c r="Q12" s="33">
        <f t="shared" si="0"/>
        <v>16</v>
      </c>
      <c r="R12" s="33">
        <f t="shared" si="0"/>
        <v>17</v>
      </c>
      <c r="S12" s="33">
        <f t="shared" si="0"/>
        <v>18</v>
      </c>
      <c r="T12" s="33">
        <f t="shared" si="0"/>
        <v>19</v>
      </c>
      <c r="U12" s="33">
        <f t="shared" si="0"/>
        <v>20</v>
      </c>
      <c r="V12" s="33">
        <f t="shared" si="0"/>
        <v>21</v>
      </c>
      <c r="W12" s="33">
        <f t="shared" si="0"/>
        <v>22</v>
      </c>
      <c r="X12" s="33">
        <f t="shared" si="0"/>
        <v>23</v>
      </c>
      <c r="Y12" s="33">
        <f t="shared" si="0"/>
        <v>24</v>
      </c>
      <c r="Z12" s="33">
        <f t="shared" si="0"/>
        <v>25</v>
      </c>
      <c r="AA12" s="33">
        <f t="shared" si="0"/>
        <v>26</v>
      </c>
      <c r="AB12" s="33">
        <f t="shared" si="0"/>
        <v>27</v>
      </c>
      <c r="AC12" s="33">
        <f t="shared" si="0"/>
        <v>28</v>
      </c>
      <c r="AD12" s="33">
        <f t="shared" si="0"/>
        <v>29</v>
      </c>
      <c r="AE12" s="33">
        <f t="shared" si="0"/>
        <v>30</v>
      </c>
      <c r="AF12" s="33">
        <f t="shared" si="0"/>
        <v>31</v>
      </c>
      <c r="AG12" s="33">
        <f t="shared" si="0"/>
        <v>32</v>
      </c>
      <c r="AH12" s="33">
        <f t="shared" si="0"/>
        <v>33</v>
      </c>
      <c r="AI12" s="33">
        <f t="shared" si="0"/>
        <v>34</v>
      </c>
      <c r="AJ12" s="33">
        <f t="shared" si="0"/>
        <v>35</v>
      </c>
      <c r="AK12" s="33">
        <f t="shared" si="0"/>
        <v>36</v>
      </c>
      <c r="AL12" s="33">
        <f t="shared" si="0"/>
        <v>37</v>
      </c>
      <c r="AM12" s="33">
        <f t="shared" si="0"/>
        <v>38</v>
      </c>
      <c r="AN12" s="33">
        <f t="shared" si="0"/>
        <v>39</v>
      </c>
      <c r="AO12" s="33">
        <f t="shared" si="0"/>
        <v>40</v>
      </c>
      <c r="AP12" s="33">
        <f t="shared" si="0"/>
        <v>41</v>
      </c>
      <c r="AQ12" s="33">
        <f t="shared" si="0"/>
        <v>42</v>
      </c>
      <c r="AR12" s="33">
        <f t="shared" si="0"/>
        <v>43</v>
      </c>
      <c r="AS12" s="33">
        <f t="shared" si="0"/>
        <v>44</v>
      </c>
      <c r="AT12" s="33">
        <f t="shared" si="0"/>
        <v>45</v>
      </c>
      <c r="AU12" s="33">
        <f t="shared" si="0"/>
        <v>46</v>
      </c>
      <c r="AV12" s="33">
        <f t="shared" si="0"/>
        <v>47</v>
      </c>
      <c r="AW12" s="33"/>
      <c r="AX12" s="33"/>
      <c r="AY12" s="33">
        <f>AV12+1</f>
        <v>48</v>
      </c>
      <c r="AZ12" s="33">
        <f t="shared" ref="AZ12:BE12" si="1">AY12+1</f>
        <v>49</v>
      </c>
      <c r="BA12" s="33">
        <f t="shared" si="1"/>
        <v>50</v>
      </c>
      <c r="BB12" s="33">
        <f t="shared" si="1"/>
        <v>51</v>
      </c>
      <c r="BC12" s="33">
        <f t="shared" si="1"/>
        <v>52</v>
      </c>
      <c r="BD12" s="33">
        <f t="shared" si="1"/>
        <v>53</v>
      </c>
      <c r="BE12" s="33">
        <f t="shared" si="1"/>
        <v>54</v>
      </c>
      <c r="BF12" s="33"/>
      <c r="BG12" s="33"/>
      <c r="BH12" s="33"/>
      <c r="BI12" s="33"/>
      <c r="BJ12" s="33">
        <f>BE12+1</f>
        <v>55</v>
      </c>
      <c r="BK12" s="33">
        <f>BJ12+1</f>
        <v>56</v>
      </c>
      <c r="BL12" s="33">
        <f>BK12+1</f>
        <v>57</v>
      </c>
      <c r="BM12" s="33">
        <f>BL12+1</f>
        <v>58</v>
      </c>
      <c r="BN12" s="33">
        <f>BM12+1</f>
        <v>59</v>
      </c>
      <c r="BO12" s="33"/>
      <c r="BP12" s="33">
        <f>BN12+1</f>
        <v>60</v>
      </c>
      <c r="BQ12" s="33">
        <f>BP12+1</f>
        <v>61</v>
      </c>
      <c r="BR12" s="33">
        <f>BQ12+1</f>
        <v>62</v>
      </c>
      <c r="BS12" s="33"/>
      <c r="BT12" s="33">
        <f>BR12+1</f>
        <v>63</v>
      </c>
      <c r="BU12" s="33">
        <f>BT12+1</f>
        <v>64</v>
      </c>
      <c r="BV12" s="115"/>
      <c r="BW12" s="106" t="s">
        <v>95</v>
      </c>
      <c r="BX12" s="33">
        <f t="shared" ref="BX12:CD12" si="2">BW12+1</f>
        <v>66</v>
      </c>
      <c r="BY12" s="33">
        <f t="shared" si="2"/>
        <v>67</v>
      </c>
      <c r="BZ12" s="33">
        <f t="shared" si="2"/>
        <v>68</v>
      </c>
      <c r="CA12" s="33">
        <f t="shared" si="2"/>
        <v>69</v>
      </c>
      <c r="CB12" s="33">
        <f t="shared" si="2"/>
        <v>70</v>
      </c>
      <c r="CC12" s="33">
        <f t="shared" si="2"/>
        <v>71</v>
      </c>
      <c r="CD12" s="33">
        <f t="shared" si="2"/>
        <v>72</v>
      </c>
      <c r="CG12" s="29"/>
      <c r="CH12" s="27"/>
      <c r="CI12" s="28"/>
    </row>
    <row r="13" spans="1:87" s="77" customFormat="1" ht="15" customHeight="1">
      <c r="A13" s="79" t="s">
        <v>96</v>
      </c>
      <c r="B13" s="79" t="s">
        <v>96</v>
      </c>
      <c r="C13" s="79" t="s">
        <v>96</v>
      </c>
      <c r="D13" s="33"/>
      <c r="E13" s="33"/>
      <c r="F13" s="33"/>
      <c r="G13" s="79" t="s">
        <v>96</v>
      </c>
      <c r="H13" s="79" t="s">
        <v>96</v>
      </c>
      <c r="I13" s="79" t="s">
        <v>96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103"/>
      <c r="BV13" s="116"/>
      <c r="BW13" s="107"/>
      <c r="BX13" s="76"/>
      <c r="BY13" s="76"/>
      <c r="BZ13" s="76"/>
      <c r="CA13" s="76"/>
      <c r="CB13" s="76"/>
      <c r="CC13" s="76"/>
      <c r="CD13" s="76"/>
      <c r="CG13" s="78"/>
      <c r="CH13" s="27"/>
      <c r="CI13" s="28"/>
    </row>
    <row r="14" spans="1:87" s="86" customFormat="1" ht="21" customHeight="1">
      <c r="A14" s="80"/>
      <c r="B14" s="81"/>
      <c r="C14" s="81"/>
      <c r="D14" s="82"/>
      <c r="E14" s="82"/>
      <c r="F14" s="82"/>
      <c r="G14" s="81">
        <f>SUM(G15:G21)</f>
        <v>50340000</v>
      </c>
      <c r="H14" s="81">
        <f>SUM(H15:H21)</f>
        <v>900000</v>
      </c>
      <c r="I14" s="81">
        <f>SUM(I15:I21)</f>
        <v>170460000</v>
      </c>
      <c r="J14" s="81"/>
      <c r="K14" s="83">
        <f>SUM(K15:K21)</f>
        <v>75.5</v>
      </c>
      <c r="L14" s="83"/>
      <c r="M14" s="83"/>
      <c r="N14" s="83"/>
      <c r="O14" s="83"/>
      <c r="P14" s="83"/>
      <c r="Q14" s="83"/>
      <c r="R14" s="83">
        <f>SUM(R15:R21)</f>
        <v>12</v>
      </c>
      <c r="S14" s="83">
        <f>SUM(S15:S21)</f>
        <v>0</v>
      </c>
      <c r="T14" s="83"/>
      <c r="U14" s="83">
        <f>SUM(U15:U21)</f>
        <v>0</v>
      </c>
      <c r="V14" s="83">
        <f>SUM(V15:V21)</f>
        <v>0</v>
      </c>
      <c r="W14" s="83">
        <f>SUM(W15:W21)</f>
        <v>0</v>
      </c>
      <c r="X14" s="83">
        <f>SUM(X15:X21)</f>
        <v>0</v>
      </c>
      <c r="Y14" s="81">
        <f>SUM(Y15:Y21)</f>
        <v>20878269.230769232</v>
      </c>
      <c r="Z14" s="81"/>
      <c r="AA14" s="81"/>
      <c r="AB14" s="81"/>
      <c r="AC14" s="81">
        <f>SUM(AC15:AC21)</f>
        <v>0</v>
      </c>
      <c r="AD14" s="81">
        <f>SUM(AD15:AD21)</f>
        <v>0</v>
      </c>
      <c r="AE14" s="81"/>
      <c r="AF14" s="81">
        <f t="shared" ref="AF14:AO14" si="3">SUM(AF15:AF21)</f>
        <v>0</v>
      </c>
      <c r="AG14" s="81">
        <f t="shared" si="3"/>
        <v>0</v>
      </c>
      <c r="AH14" s="81">
        <f t="shared" si="3"/>
        <v>0</v>
      </c>
      <c r="AI14" s="81">
        <f t="shared" si="3"/>
        <v>0</v>
      </c>
      <c r="AJ14" s="81">
        <f t="shared" si="3"/>
        <v>0</v>
      </c>
      <c r="AK14" s="81">
        <f t="shared" si="3"/>
        <v>0</v>
      </c>
      <c r="AL14" s="81">
        <f t="shared" si="3"/>
        <v>0</v>
      </c>
      <c r="AM14" s="81">
        <f t="shared" si="3"/>
        <v>0</v>
      </c>
      <c r="AN14" s="81">
        <f t="shared" si="3"/>
        <v>380769.23076923081</v>
      </c>
      <c r="AO14" s="81">
        <f t="shared" si="3"/>
        <v>94202596.15384616</v>
      </c>
      <c r="AP14" s="81"/>
      <c r="AQ14" s="81"/>
      <c r="AR14" s="81"/>
      <c r="AS14" s="81"/>
      <c r="AT14" s="81"/>
      <c r="AU14" s="81"/>
      <c r="AV14" s="81">
        <f>SUM(AV15:AV21)</f>
        <v>128527211.53846155</v>
      </c>
      <c r="AW14" s="81"/>
      <c r="AX14" s="81"/>
      <c r="AY14" s="81">
        <f>SUM(AY15:AY21)</f>
        <v>4099200</v>
      </c>
      <c r="AZ14" s="81">
        <f>SUM(AZ15:AZ21)</f>
        <v>768600</v>
      </c>
      <c r="BA14" s="81">
        <f>SUM(BA15:BA21)</f>
        <v>512400</v>
      </c>
      <c r="BB14" s="81">
        <f>SUM(BB15:BB21)</f>
        <v>5380200</v>
      </c>
      <c r="BC14" s="81">
        <f>SUM(BC15:BC21)</f>
        <v>0</v>
      </c>
      <c r="BD14" s="81"/>
      <c r="BE14" s="81">
        <f>SUM(BE15:BE21)</f>
        <v>503400</v>
      </c>
      <c r="BF14" s="81"/>
      <c r="BG14" s="81"/>
      <c r="BH14" s="81"/>
      <c r="BI14" s="81"/>
      <c r="BJ14" s="81">
        <f>SUM(BJ15:BJ21)</f>
        <v>4666860</v>
      </c>
      <c r="BK14" s="81">
        <f>SUM(BK15:BK21)</f>
        <v>0</v>
      </c>
      <c r="BL14" s="81">
        <f>SUM(BL15:BL21)</f>
        <v>0</v>
      </c>
      <c r="BM14" s="81">
        <f>SUM(BM15:BM21)</f>
        <v>0</v>
      </c>
      <c r="BN14" s="81">
        <f>SUM(BN15:BN21)</f>
        <v>0</v>
      </c>
      <c r="BO14" s="81"/>
      <c r="BP14" s="81">
        <f>SUM(BP15:BP21)</f>
        <v>0</v>
      </c>
      <c r="BQ14" s="81"/>
      <c r="BR14" s="81"/>
      <c r="BS14" s="81"/>
      <c r="BT14" s="81">
        <f>SUM(BT15:BT21)</f>
        <v>104321384.61538464</v>
      </c>
      <c r="BU14" s="104">
        <f>SUM(BU15:BU21)</f>
        <v>0</v>
      </c>
      <c r="BV14" s="117"/>
      <c r="BW14" s="108"/>
      <c r="BX14" s="84"/>
      <c r="BY14" s="84"/>
      <c r="BZ14" s="84"/>
      <c r="CA14" s="84"/>
      <c r="CB14" s="84"/>
      <c r="CC14" s="84"/>
      <c r="CD14" s="84"/>
    </row>
    <row r="15" spans="1:87" s="99" customFormat="1" ht="30.5" customHeight="1">
      <c r="A15" s="87">
        <f>IF(B15=0,"",COUNTA($B$15:(B15)))</f>
        <v>1</v>
      </c>
      <c r="B15" s="88">
        <v>2405236</v>
      </c>
      <c r="C15" s="89" t="s">
        <v>97</v>
      </c>
      <c r="D15" s="90" t="s">
        <v>98</v>
      </c>
      <c r="E15" s="123" t="s">
        <v>113</v>
      </c>
      <c r="F15" s="124" t="s">
        <v>100</v>
      </c>
      <c r="G15" s="91">
        <v>9520000</v>
      </c>
      <c r="H15" s="91">
        <f t="shared" ref="H15:H21" si="4">+IF(OR(CC15="ĐT PCCC",CC15="ĐP PCCC"),780000,IF(CC15="AT-VSV",300000,0))</f>
        <v>0</v>
      </c>
      <c r="I15" s="91">
        <f t="shared" ref="I15:I21" si="5">CB15-BZ15-G15-H15</f>
        <v>50480000</v>
      </c>
      <c r="J15" s="92">
        <v>1</v>
      </c>
      <c r="K15" s="93">
        <v>11</v>
      </c>
      <c r="L15" s="93"/>
      <c r="M15" s="93"/>
      <c r="N15" s="93"/>
      <c r="O15" s="93">
        <v>2</v>
      </c>
      <c r="P15" s="93"/>
      <c r="Q15" s="93"/>
      <c r="R15" s="93">
        <v>0</v>
      </c>
      <c r="S15" s="93">
        <v>0</v>
      </c>
      <c r="T15" s="93"/>
      <c r="U15" s="93">
        <v>0</v>
      </c>
      <c r="V15" s="93">
        <v>0</v>
      </c>
      <c r="W15" s="93">
        <v>0</v>
      </c>
      <c r="X15" s="93">
        <v>0</v>
      </c>
      <c r="Y15" s="91">
        <f t="shared" ref="Y15:Y21" si="6">G15*(K15+L15)/26</f>
        <v>4027692.3076923075</v>
      </c>
      <c r="Z15" s="91">
        <f t="shared" ref="Z15:Z21" si="7">M15*G15/26</f>
        <v>0</v>
      </c>
      <c r="AA15" s="91">
        <f t="shared" ref="AA15:AA21" si="8">G15*N15/26</f>
        <v>0</v>
      </c>
      <c r="AB15" s="91">
        <f t="shared" ref="AB15:AB21" si="9">G15*O15/26</f>
        <v>732307.69230769225</v>
      </c>
      <c r="AC15" s="91">
        <f t="shared" ref="AC15:AC21" si="10">G15*P15*150%/26</f>
        <v>0</v>
      </c>
      <c r="AD15" s="91">
        <f t="shared" ref="AD15:AD21" si="11">G15*Q15/26*200%</f>
        <v>0</v>
      </c>
      <c r="AE15" s="91">
        <f t="shared" ref="AE15:AE21" si="12">G15*R15/26*300%</f>
        <v>0</v>
      </c>
      <c r="AF15" s="91">
        <f t="shared" ref="AF15:AF21" si="13">IF(F15="LT",0,(G15+H15)/26*S15*30%)</f>
        <v>0</v>
      </c>
      <c r="AG15" s="91">
        <f t="shared" ref="AG15:AG21" si="14">T15*G15/23/8</f>
        <v>0</v>
      </c>
      <c r="AH15" s="91">
        <f t="shared" ref="AH15:AH21" si="15">CB15/26*U15</f>
        <v>0</v>
      </c>
      <c r="AI15" s="91">
        <f t="shared" ref="AI15:AI21" si="16">G15*V15/26</f>
        <v>0</v>
      </c>
      <c r="AJ15" s="91"/>
      <c r="AK15" s="91">
        <f t="shared" ref="AK15:AK21" si="17">BZ15*L15/26</f>
        <v>0</v>
      </c>
      <c r="AL15" s="91"/>
      <c r="AM15" s="91">
        <f t="shared" ref="AM15:AM21" si="18">X15*CD15</f>
        <v>0</v>
      </c>
      <c r="AN15" s="91">
        <f>H15/26*(K15+L15)</f>
        <v>0</v>
      </c>
      <c r="AO15" s="91">
        <f t="shared" ref="AO15:AO21" si="19">IF(F15="LN",I15*(K15+L15)/26+(H15+I15)*50%*M15/26+IF(F15="LT",BW15*O15/26-AB15,0)+MAX($G15*P15/26*150%,P15*$BW15/26)-AC15+MAX($G15*Q15/26*200%,Q15*$BW15/26)-AD15+MAX($G15*R15/26*300%,R15*$BW15/26)-AE15+BW15*S15/26-AF15+AH15-AG15,I15-I15*($CF$3-K15-L15)/26+(H15+I15)*50%*M15/26+IF(F15="LT",BW15*O15/26-AB15,0)+MAX($G15*P15/26*150%,P15*$BW15/26)-AC15+MAX($G15*Q15/26*200%,Q15*$BW15/26)-AD15+MAX($G15*R15/26*300%,R15*$BW15/26)-AE15+BW15*S15/26-AF15+AH15-AG15+(G15-G15*($CF$3-K15-L15)/26-Y15)+(H15-H15*($CF$3-K15-L15)/26-AN15))</f>
        <v>27547692.307692312</v>
      </c>
      <c r="AP15" s="91"/>
      <c r="AQ15" s="91"/>
      <c r="AR15" s="91"/>
      <c r="AS15" s="91"/>
      <c r="AT15" s="91"/>
      <c r="AU15" s="91"/>
      <c r="AV15" s="94">
        <f t="shared" ref="AV15:AV21" si="20">Y15+Z15+AA15+AB15+AC15+AD15+AE15+AF15+AG15+AI15+AJ15+AK15+AL15+AM15+AN15+AO15+AP15-AQ15+AR15+AS15+AT15+AU15</f>
        <v>32307692.307692312</v>
      </c>
      <c r="AW15" s="94"/>
      <c r="AX15" s="94" t="s">
        <v>101</v>
      </c>
      <c r="AY15" s="85">
        <f t="shared" ref="AY15:BA21" si="21">ROUND(IF($AX15="x",($G15+$H15)*AY$11,0),0)</f>
        <v>761600</v>
      </c>
      <c r="AZ15" s="85">
        <f t="shared" si="21"/>
        <v>142800</v>
      </c>
      <c r="BA15" s="85">
        <f t="shared" si="21"/>
        <v>95200</v>
      </c>
      <c r="BB15" s="85">
        <f t="shared" ref="BB15:BB21" si="22">SUM(AY15:BA15)</f>
        <v>999600</v>
      </c>
      <c r="BC15" s="85"/>
      <c r="BD15" s="85"/>
      <c r="BE15" s="85">
        <f t="shared" ref="BE15:BE21" si="23">IF(G15*1%&gt;=234000,234000,G15*1%)</f>
        <v>95200</v>
      </c>
      <c r="BF15" s="85">
        <f t="shared" ref="BF15:BF21" si="24">AM15+IF(AR15&gt;="730000",730000,AR15)+IF(((AV15-AM15-IF(AR15&gt;="730000",730000,AR15)-AS15)*15%-AS15)&gt;"0",((AV15-AM15-IF(AR15&gt;="730000",730000,AR15)-AS15)*15%-AS15),0)</f>
        <v>0</v>
      </c>
      <c r="BG15" s="85">
        <f t="shared" ref="BG15:BG21" si="25">AV15-BF15+AW15</f>
        <v>32307692.307692312</v>
      </c>
      <c r="BH15" s="85">
        <v>3</v>
      </c>
      <c r="BI15" s="85">
        <f t="shared" ref="BI15:BI21" si="26">BG15-BB15-BC15+BD15-BH15*4400000-IF(E15="CT",11000000,0)</f>
        <v>18108092.307692312</v>
      </c>
      <c r="BJ15" s="84">
        <f t="shared" ref="BJ15:BJ21" si="27">IF(BI15&gt;0,ROUND(IF(BI15&gt;=80000000,BI15*35%-9850000,IF(BI15&gt;=52000000,BI15*30%-5850000,IF(BI15&gt;=32000000,BI15*25%-3250000,IF(BI15&gt;=18000000,BI15*20%-1650000,IF(BI15&gt;=10000000,BI15*15%-750000,IF(BI15&gt;5000000,BI15*10%-250000,BI15*5%)))))),0),0)</f>
        <v>1971618</v>
      </c>
      <c r="BK15" s="85"/>
      <c r="BL15" s="85"/>
      <c r="BM15" s="85">
        <v>0</v>
      </c>
      <c r="BN15" s="85"/>
      <c r="BO15" s="85"/>
      <c r="BP15" s="85"/>
      <c r="BQ15" s="85"/>
      <c r="BR15" s="85"/>
      <c r="BS15" s="85" t="str">
        <f t="shared" ref="BS15:BS21" si="28">IF(AV15&gt;=11000000,"80%","100%")</f>
        <v>80%</v>
      </c>
      <c r="BT15" s="85">
        <f t="shared" ref="BT15:BT21" si="29">AV15*BS15-BN15-BK15-BP15-BO15</f>
        <v>25846153.846153852</v>
      </c>
      <c r="BU15" s="105"/>
      <c r="BV15" s="118"/>
      <c r="BW15" s="108">
        <v>60000000</v>
      </c>
      <c r="BX15" s="84">
        <v>0</v>
      </c>
      <c r="BY15" s="84"/>
      <c r="BZ15" s="84"/>
      <c r="CA15" s="84">
        <v>0</v>
      </c>
      <c r="CB15" s="84">
        <f t="shared" ref="CB15:CB21" si="30">SUM(BW15:CA15)</f>
        <v>60000000</v>
      </c>
      <c r="CC15" s="84" t="s">
        <v>122</v>
      </c>
      <c r="CD15" s="84"/>
      <c r="CE15" s="95"/>
      <c r="CF15" s="96"/>
      <c r="CG15" s="96"/>
      <c r="CH15" s="97"/>
      <c r="CI15" s="98"/>
    </row>
    <row r="16" spans="1:87" s="99" customFormat="1" ht="30.5" customHeight="1">
      <c r="A16" s="87">
        <f>IF(B16=0,"",COUNTA($B$15:(B16)))</f>
        <v>2</v>
      </c>
      <c r="B16" s="88">
        <v>2106723</v>
      </c>
      <c r="C16" s="89" t="s">
        <v>102</v>
      </c>
      <c r="D16" s="90" t="s">
        <v>103</v>
      </c>
      <c r="E16" s="123" t="s">
        <v>99</v>
      </c>
      <c r="F16" s="124" t="s">
        <v>100</v>
      </c>
      <c r="G16" s="91">
        <v>8480000</v>
      </c>
      <c r="H16" s="91">
        <f t="shared" si="4"/>
        <v>0</v>
      </c>
      <c r="I16" s="91">
        <f t="shared" si="5"/>
        <v>33520000</v>
      </c>
      <c r="J16" s="92">
        <v>1</v>
      </c>
      <c r="K16" s="93">
        <v>10.5</v>
      </c>
      <c r="L16" s="93"/>
      <c r="M16" s="93">
        <v>0.5</v>
      </c>
      <c r="N16" s="93"/>
      <c r="O16" s="93">
        <v>2</v>
      </c>
      <c r="P16" s="93"/>
      <c r="Q16" s="93"/>
      <c r="R16" s="93">
        <v>0</v>
      </c>
      <c r="S16" s="93">
        <v>0</v>
      </c>
      <c r="T16" s="93"/>
      <c r="U16" s="93">
        <v>0</v>
      </c>
      <c r="V16" s="93">
        <v>0</v>
      </c>
      <c r="W16" s="93">
        <v>0</v>
      </c>
      <c r="X16" s="93">
        <v>0</v>
      </c>
      <c r="Y16" s="91">
        <f t="shared" si="6"/>
        <v>3424615.3846153845</v>
      </c>
      <c r="Z16" s="91">
        <f t="shared" si="7"/>
        <v>163076.92307692306</v>
      </c>
      <c r="AA16" s="91">
        <f t="shared" si="8"/>
        <v>0</v>
      </c>
      <c r="AB16" s="91">
        <f t="shared" si="9"/>
        <v>652307.69230769225</v>
      </c>
      <c r="AC16" s="91">
        <f t="shared" si="10"/>
        <v>0</v>
      </c>
      <c r="AD16" s="91">
        <f t="shared" si="11"/>
        <v>0</v>
      </c>
      <c r="AE16" s="91">
        <f t="shared" si="12"/>
        <v>0</v>
      </c>
      <c r="AF16" s="91">
        <f t="shared" si="13"/>
        <v>0</v>
      </c>
      <c r="AG16" s="91">
        <f t="shared" si="14"/>
        <v>0</v>
      </c>
      <c r="AH16" s="91">
        <f t="shared" si="15"/>
        <v>0</v>
      </c>
      <c r="AI16" s="91">
        <f t="shared" si="16"/>
        <v>0</v>
      </c>
      <c r="AJ16" s="91"/>
      <c r="AK16" s="91">
        <f t="shared" si="17"/>
        <v>0</v>
      </c>
      <c r="AL16" s="91"/>
      <c r="AM16" s="91">
        <f t="shared" si="18"/>
        <v>0</v>
      </c>
      <c r="AN16" s="91">
        <f t="shared" ref="AN16:AN21" si="31">H16/26*K16</f>
        <v>0</v>
      </c>
      <c r="AO16" s="91">
        <f t="shared" si="19"/>
        <v>17899230.769230772</v>
      </c>
      <c r="AP16" s="91"/>
      <c r="AQ16" s="91"/>
      <c r="AR16" s="91"/>
      <c r="AS16" s="91"/>
      <c r="AT16" s="91"/>
      <c r="AU16" s="91"/>
      <c r="AV16" s="94">
        <f t="shared" si="20"/>
        <v>22139230.769230772</v>
      </c>
      <c r="AW16" s="94"/>
      <c r="AX16" s="94" t="s">
        <v>101</v>
      </c>
      <c r="AY16" s="85">
        <f t="shared" si="21"/>
        <v>678400</v>
      </c>
      <c r="AZ16" s="85">
        <f t="shared" si="21"/>
        <v>127200</v>
      </c>
      <c r="BA16" s="85">
        <f t="shared" si="21"/>
        <v>84800</v>
      </c>
      <c r="BB16" s="85">
        <f t="shared" si="22"/>
        <v>890400</v>
      </c>
      <c r="BC16" s="85"/>
      <c r="BD16" s="85"/>
      <c r="BE16" s="85">
        <f t="shared" si="23"/>
        <v>84800</v>
      </c>
      <c r="BF16" s="85">
        <f t="shared" si="24"/>
        <v>0</v>
      </c>
      <c r="BG16" s="85">
        <f t="shared" si="25"/>
        <v>22139230.769230772</v>
      </c>
      <c r="BH16" s="85"/>
      <c r="BI16" s="85">
        <f t="shared" si="26"/>
        <v>10248830.769230772</v>
      </c>
      <c r="BJ16" s="84">
        <f t="shared" si="27"/>
        <v>787325</v>
      </c>
      <c r="BK16" s="85"/>
      <c r="BL16" s="85"/>
      <c r="BM16" s="85">
        <v>0</v>
      </c>
      <c r="BN16" s="85"/>
      <c r="BO16" s="85"/>
      <c r="BP16" s="85"/>
      <c r="BQ16" s="85"/>
      <c r="BR16" s="85"/>
      <c r="BS16" s="85" t="str">
        <f t="shared" si="28"/>
        <v>80%</v>
      </c>
      <c r="BT16" s="85">
        <f t="shared" si="29"/>
        <v>17711384.61538462</v>
      </c>
      <c r="BU16" s="105"/>
      <c r="BV16" s="118"/>
      <c r="BW16" s="108">
        <v>40000000</v>
      </c>
      <c r="BX16" s="84">
        <v>0</v>
      </c>
      <c r="BY16" s="84">
        <v>0</v>
      </c>
      <c r="BZ16" s="84"/>
      <c r="CA16" s="84">
        <f t="shared" ref="CA16:CA21" si="32">+BW16*5%</f>
        <v>2000000</v>
      </c>
      <c r="CB16" s="84">
        <f t="shared" si="30"/>
        <v>42000000</v>
      </c>
      <c r="CC16" s="84" t="s">
        <v>114</v>
      </c>
      <c r="CD16" s="84"/>
      <c r="CE16" s="95"/>
      <c r="CF16" s="96"/>
      <c r="CG16" s="96"/>
      <c r="CH16" s="97"/>
      <c r="CI16" s="98"/>
    </row>
    <row r="17" spans="1:87" s="99" customFormat="1" ht="30.5" customHeight="1">
      <c r="A17" s="87">
        <f>IF(B17=0,"",COUNTA($B$15:(B17)))</f>
        <v>3</v>
      </c>
      <c r="B17" s="100" t="s">
        <v>104</v>
      </c>
      <c r="C17" s="89" t="s">
        <v>105</v>
      </c>
      <c r="D17" s="90" t="s">
        <v>106</v>
      </c>
      <c r="E17" s="123" t="s">
        <v>99</v>
      </c>
      <c r="F17" s="124" t="s">
        <v>100</v>
      </c>
      <c r="G17" s="91">
        <v>7820000</v>
      </c>
      <c r="H17" s="91">
        <f t="shared" si="4"/>
        <v>300000</v>
      </c>
      <c r="I17" s="91">
        <f t="shared" si="5"/>
        <v>33880000</v>
      </c>
      <c r="J17" s="92">
        <v>1</v>
      </c>
      <c r="K17" s="93">
        <v>11</v>
      </c>
      <c r="L17" s="93"/>
      <c r="M17" s="93"/>
      <c r="N17" s="93"/>
      <c r="O17" s="93">
        <v>2</v>
      </c>
      <c r="P17" s="93"/>
      <c r="Q17" s="93"/>
      <c r="R17" s="93">
        <v>4</v>
      </c>
      <c r="S17" s="93">
        <v>0</v>
      </c>
      <c r="T17" s="93"/>
      <c r="U17" s="93">
        <v>0</v>
      </c>
      <c r="V17" s="93">
        <v>0</v>
      </c>
      <c r="W17" s="93">
        <v>0</v>
      </c>
      <c r="X17" s="93">
        <v>0</v>
      </c>
      <c r="Y17" s="91">
        <f t="shared" si="6"/>
        <v>3308461.5384615385</v>
      </c>
      <c r="Z17" s="91">
        <f t="shared" si="7"/>
        <v>0</v>
      </c>
      <c r="AA17" s="91">
        <f t="shared" si="8"/>
        <v>0</v>
      </c>
      <c r="AB17" s="91">
        <f t="shared" si="9"/>
        <v>601538.4615384615</v>
      </c>
      <c r="AC17" s="91">
        <f t="shared" si="10"/>
        <v>0</v>
      </c>
      <c r="AD17" s="91">
        <f t="shared" si="11"/>
        <v>0</v>
      </c>
      <c r="AE17" s="91">
        <f t="shared" si="12"/>
        <v>3609230.769230769</v>
      </c>
      <c r="AF17" s="91">
        <f t="shared" si="13"/>
        <v>0</v>
      </c>
      <c r="AG17" s="91">
        <f t="shared" si="14"/>
        <v>0</v>
      </c>
      <c r="AH17" s="91">
        <f t="shared" si="15"/>
        <v>0</v>
      </c>
      <c r="AI17" s="91">
        <f t="shared" si="16"/>
        <v>0</v>
      </c>
      <c r="AJ17" s="91"/>
      <c r="AK17" s="91">
        <f t="shared" si="17"/>
        <v>0</v>
      </c>
      <c r="AL17" s="91"/>
      <c r="AM17" s="91">
        <f t="shared" si="18"/>
        <v>0</v>
      </c>
      <c r="AN17" s="91">
        <f t="shared" si="31"/>
        <v>126923.07692307694</v>
      </c>
      <c r="AO17" s="91">
        <f t="shared" si="19"/>
        <v>20969230.769230772</v>
      </c>
      <c r="AP17" s="91"/>
      <c r="AQ17" s="91"/>
      <c r="AR17" s="91"/>
      <c r="AS17" s="91"/>
      <c r="AT17" s="91"/>
      <c r="AU17" s="91"/>
      <c r="AV17" s="94">
        <f t="shared" si="20"/>
        <v>28615384.615384616</v>
      </c>
      <c r="AW17" s="94"/>
      <c r="AX17" s="94" t="s">
        <v>101</v>
      </c>
      <c r="AY17" s="85">
        <f t="shared" si="21"/>
        <v>649600</v>
      </c>
      <c r="AZ17" s="85">
        <f t="shared" si="21"/>
        <v>121800</v>
      </c>
      <c r="BA17" s="85">
        <f t="shared" si="21"/>
        <v>81200</v>
      </c>
      <c r="BB17" s="85">
        <f t="shared" si="22"/>
        <v>852600</v>
      </c>
      <c r="BC17" s="85"/>
      <c r="BD17" s="85"/>
      <c r="BE17" s="85">
        <f t="shared" si="23"/>
        <v>78200</v>
      </c>
      <c r="BF17" s="85">
        <f t="shared" si="24"/>
        <v>0</v>
      </c>
      <c r="BG17" s="85">
        <f t="shared" si="25"/>
        <v>28615384.615384616</v>
      </c>
      <c r="BH17" s="85"/>
      <c r="BI17" s="85">
        <f t="shared" si="26"/>
        <v>16762784.615384616</v>
      </c>
      <c r="BJ17" s="84">
        <f t="shared" si="27"/>
        <v>1764418</v>
      </c>
      <c r="BK17" s="85"/>
      <c r="BL17" s="85"/>
      <c r="BM17" s="85">
        <v>0</v>
      </c>
      <c r="BN17" s="85"/>
      <c r="BO17" s="85"/>
      <c r="BP17" s="85"/>
      <c r="BQ17" s="85"/>
      <c r="BR17" s="85"/>
      <c r="BS17" s="85" t="str">
        <f t="shared" si="28"/>
        <v>80%</v>
      </c>
      <c r="BT17" s="85">
        <f t="shared" si="29"/>
        <v>22892307.692307696</v>
      </c>
      <c r="BU17" s="105"/>
      <c r="BV17" s="118"/>
      <c r="BW17" s="108">
        <v>40000000</v>
      </c>
      <c r="BX17" s="84">
        <v>0</v>
      </c>
      <c r="BY17" s="84">
        <v>0</v>
      </c>
      <c r="BZ17" s="84"/>
      <c r="CA17" s="84">
        <f t="shared" si="32"/>
        <v>2000000</v>
      </c>
      <c r="CB17" s="84">
        <f t="shared" si="30"/>
        <v>42000000</v>
      </c>
      <c r="CC17" s="84" t="s">
        <v>118</v>
      </c>
      <c r="CD17" s="84"/>
      <c r="CE17" s="95"/>
      <c r="CF17" s="96"/>
      <c r="CG17" s="96"/>
      <c r="CH17" s="97"/>
      <c r="CI17" s="98"/>
    </row>
    <row r="18" spans="1:87" s="99" customFormat="1" ht="30.5" customHeight="1">
      <c r="A18" s="87">
        <f>IF(B18=0,"",COUNTA($B$15:(B18)))</f>
        <v>4</v>
      </c>
      <c r="B18" s="88">
        <v>2406198</v>
      </c>
      <c r="C18" s="89" t="s">
        <v>107</v>
      </c>
      <c r="D18" s="90" t="s">
        <v>98</v>
      </c>
      <c r="E18" s="123" t="s">
        <v>99</v>
      </c>
      <c r="F18" s="124" t="s">
        <v>100</v>
      </c>
      <c r="G18" s="91">
        <v>6990000</v>
      </c>
      <c r="H18" s="91">
        <f t="shared" si="4"/>
        <v>0</v>
      </c>
      <c r="I18" s="91">
        <f t="shared" si="5"/>
        <v>17160000</v>
      </c>
      <c r="J18" s="92">
        <v>1</v>
      </c>
      <c r="K18" s="93">
        <v>10.5</v>
      </c>
      <c r="L18" s="93"/>
      <c r="M18" s="93">
        <v>0.5</v>
      </c>
      <c r="N18" s="93"/>
      <c r="O18" s="93">
        <v>2</v>
      </c>
      <c r="P18" s="93"/>
      <c r="Q18" s="93"/>
      <c r="R18" s="93">
        <v>0</v>
      </c>
      <c r="S18" s="93">
        <v>0</v>
      </c>
      <c r="T18" s="93"/>
      <c r="U18" s="93">
        <v>0</v>
      </c>
      <c r="V18" s="93">
        <v>0</v>
      </c>
      <c r="W18" s="93">
        <v>0</v>
      </c>
      <c r="X18" s="93">
        <v>0</v>
      </c>
      <c r="Y18" s="91">
        <f t="shared" si="6"/>
        <v>2822884.6153846155</v>
      </c>
      <c r="Z18" s="91">
        <f t="shared" si="7"/>
        <v>134423.07692307694</v>
      </c>
      <c r="AA18" s="91">
        <f t="shared" si="8"/>
        <v>0</v>
      </c>
      <c r="AB18" s="91">
        <f t="shared" si="9"/>
        <v>537692.30769230775</v>
      </c>
      <c r="AC18" s="91">
        <f t="shared" si="10"/>
        <v>0</v>
      </c>
      <c r="AD18" s="91">
        <f t="shared" si="11"/>
        <v>0</v>
      </c>
      <c r="AE18" s="91">
        <f t="shared" si="12"/>
        <v>0</v>
      </c>
      <c r="AF18" s="91">
        <f t="shared" si="13"/>
        <v>0</v>
      </c>
      <c r="AG18" s="91">
        <f t="shared" si="14"/>
        <v>0</v>
      </c>
      <c r="AH18" s="91">
        <f t="shared" si="15"/>
        <v>0</v>
      </c>
      <c r="AI18" s="91">
        <f t="shared" si="16"/>
        <v>0</v>
      </c>
      <c r="AJ18" s="91"/>
      <c r="AK18" s="91">
        <f t="shared" si="17"/>
        <v>0</v>
      </c>
      <c r="AL18" s="91"/>
      <c r="AM18" s="91">
        <f t="shared" si="18"/>
        <v>0</v>
      </c>
      <c r="AN18" s="91">
        <f t="shared" si="31"/>
        <v>0</v>
      </c>
      <c r="AO18" s="91">
        <f t="shared" si="19"/>
        <v>9255384.615384616</v>
      </c>
      <c r="AP18" s="91"/>
      <c r="AQ18" s="91"/>
      <c r="AR18" s="91"/>
      <c r="AS18" s="91"/>
      <c r="AT18" s="91"/>
      <c r="AU18" s="91"/>
      <c r="AV18" s="94">
        <f t="shared" si="20"/>
        <v>12750384.615384616</v>
      </c>
      <c r="AW18" s="94"/>
      <c r="AX18" s="94" t="s">
        <v>101</v>
      </c>
      <c r="AY18" s="85">
        <f t="shared" si="21"/>
        <v>559200</v>
      </c>
      <c r="AZ18" s="85">
        <f t="shared" si="21"/>
        <v>104850</v>
      </c>
      <c r="BA18" s="85">
        <f t="shared" si="21"/>
        <v>69900</v>
      </c>
      <c r="BB18" s="85">
        <f t="shared" si="22"/>
        <v>733950</v>
      </c>
      <c r="BC18" s="85"/>
      <c r="BD18" s="85"/>
      <c r="BE18" s="85">
        <f t="shared" si="23"/>
        <v>69900</v>
      </c>
      <c r="BF18" s="85">
        <f t="shared" si="24"/>
        <v>0</v>
      </c>
      <c r="BG18" s="85">
        <f t="shared" si="25"/>
        <v>12750384.615384616</v>
      </c>
      <c r="BH18" s="85"/>
      <c r="BI18" s="85">
        <f t="shared" si="26"/>
        <v>1016434.615384616</v>
      </c>
      <c r="BJ18" s="84">
        <f t="shared" si="27"/>
        <v>50822</v>
      </c>
      <c r="BK18" s="85"/>
      <c r="BL18" s="85"/>
      <c r="BM18" s="85">
        <v>0</v>
      </c>
      <c r="BN18" s="85"/>
      <c r="BO18" s="85"/>
      <c r="BP18" s="85"/>
      <c r="BQ18" s="85"/>
      <c r="BR18" s="85"/>
      <c r="BS18" s="85" t="str">
        <f t="shared" si="28"/>
        <v>80%</v>
      </c>
      <c r="BT18" s="85">
        <f t="shared" si="29"/>
        <v>10200307.692307694</v>
      </c>
      <c r="BU18" s="105"/>
      <c r="BV18" s="118"/>
      <c r="BW18" s="108">
        <v>23000000</v>
      </c>
      <c r="BX18" s="84">
        <v>0</v>
      </c>
      <c r="BY18" s="84">
        <v>0</v>
      </c>
      <c r="BZ18" s="84"/>
      <c r="CA18" s="84">
        <f t="shared" si="32"/>
        <v>1150000</v>
      </c>
      <c r="CB18" s="84">
        <f t="shared" si="30"/>
        <v>24150000</v>
      </c>
      <c r="CC18" s="84" t="s">
        <v>114</v>
      </c>
      <c r="CD18" s="84"/>
      <c r="CE18" s="95"/>
      <c r="CF18" s="96"/>
      <c r="CG18" s="96"/>
      <c r="CH18" s="97"/>
      <c r="CI18" s="98"/>
    </row>
    <row r="19" spans="1:87" s="99" customFormat="1" ht="30.5" customHeight="1">
      <c r="A19" s="87">
        <f>IF(B19=0,"",COUNTA($B$15:(B19)))</f>
        <v>5</v>
      </c>
      <c r="B19" s="100" t="s">
        <v>108</v>
      </c>
      <c r="C19" s="89" t="s">
        <v>109</v>
      </c>
      <c r="D19" s="90" t="s">
        <v>110</v>
      </c>
      <c r="E19" s="123" t="s">
        <v>99</v>
      </c>
      <c r="F19" s="124" t="s">
        <v>111</v>
      </c>
      <c r="G19" s="91">
        <v>4850000</v>
      </c>
      <c r="H19" s="91">
        <f t="shared" si="4"/>
        <v>300000</v>
      </c>
      <c r="I19" s="91">
        <f t="shared" si="5"/>
        <v>6400000</v>
      </c>
      <c r="J19" s="92">
        <v>1</v>
      </c>
      <c r="K19" s="93">
        <v>11</v>
      </c>
      <c r="L19" s="93"/>
      <c r="M19" s="93"/>
      <c r="N19" s="93"/>
      <c r="O19" s="93">
        <v>2</v>
      </c>
      <c r="P19" s="93"/>
      <c r="Q19" s="93"/>
      <c r="R19" s="93">
        <v>4</v>
      </c>
      <c r="S19" s="93">
        <v>0</v>
      </c>
      <c r="T19" s="93"/>
      <c r="U19" s="93">
        <v>0</v>
      </c>
      <c r="V19" s="93">
        <v>0</v>
      </c>
      <c r="W19" s="93">
        <v>0</v>
      </c>
      <c r="X19" s="93">
        <v>0</v>
      </c>
      <c r="Y19" s="91">
        <f t="shared" si="6"/>
        <v>2051923.076923077</v>
      </c>
      <c r="Z19" s="91">
        <f t="shared" si="7"/>
        <v>0</v>
      </c>
      <c r="AA19" s="91">
        <f t="shared" si="8"/>
        <v>0</v>
      </c>
      <c r="AB19" s="91">
        <f t="shared" si="9"/>
        <v>373076.92307692306</v>
      </c>
      <c r="AC19" s="91">
        <f t="shared" si="10"/>
        <v>0</v>
      </c>
      <c r="AD19" s="91">
        <f t="shared" si="11"/>
        <v>0</v>
      </c>
      <c r="AE19" s="91">
        <f t="shared" si="12"/>
        <v>2238461.5384615385</v>
      </c>
      <c r="AF19" s="91">
        <f t="shared" si="13"/>
        <v>0</v>
      </c>
      <c r="AG19" s="91">
        <f t="shared" si="14"/>
        <v>0</v>
      </c>
      <c r="AH19" s="91">
        <f t="shared" si="15"/>
        <v>0</v>
      </c>
      <c r="AI19" s="91">
        <f t="shared" si="16"/>
        <v>0</v>
      </c>
      <c r="AJ19" s="91"/>
      <c r="AK19" s="91">
        <f t="shared" si="17"/>
        <v>0</v>
      </c>
      <c r="AL19" s="91"/>
      <c r="AM19" s="91">
        <f t="shared" si="18"/>
        <v>0</v>
      </c>
      <c r="AN19" s="91">
        <f t="shared" si="31"/>
        <v>126923.07692307694</v>
      </c>
      <c r="AO19" s="91">
        <f t="shared" si="19"/>
        <v>2707692.3076923075</v>
      </c>
      <c r="AP19" s="91"/>
      <c r="AQ19" s="91"/>
      <c r="AR19" s="91"/>
      <c r="AS19" s="91"/>
      <c r="AT19" s="91"/>
      <c r="AU19" s="91"/>
      <c r="AV19" s="94">
        <f t="shared" si="20"/>
        <v>7498076.9230769221</v>
      </c>
      <c r="AW19" s="94"/>
      <c r="AX19" s="94" t="s">
        <v>101</v>
      </c>
      <c r="AY19" s="85">
        <f t="shared" si="21"/>
        <v>412000</v>
      </c>
      <c r="AZ19" s="85">
        <f t="shared" si="21"/>
        <v>77250</v>
      </c>
      <c r="BA19" s="85">
        <f t="shared" si="21"/>
        <v>51500</v>
      </c>
      <c r="BB19" s="85">
        <f t="shared" si="22"/>
        <v>540750</v>
      </c>
      <c r="BC19" s="85"/>
      <c r="BD19" s="85"/>
      <c r="BE19" s="85">
        <f t="shared" si="23"/>
        <v>48500</v>
      </c>
      <c r="BF19" s="85">
        <f t="shared" si="24"/>
        <v>0</v>
      </c>
      <c r="BG19" s="85">
        <f t="shared" si="25"/>
        <v>7498076.9230769221</v>
      </c>
      <c r="BH19" s="85"/>
      <c r="BI19" s="85">
        <f t="shared" si="26"/>
        <v>-4042673.0769230779</v>
      </c>
      <c r="BJ19" s="84">
        <f t="shared" si="27"/>
        <v>0</v>
      </c>
      <c r="BK19" s="85"/>
      <c r="BL19" s="85"/>
      <c r="BM19" s="85">
        <v>0</v>
      </c>
      <c r="BN19" s="85"/>
      <c r="BO19" s="85"/>
      <c r="BP19" s="85"/>
      <c r="BQ19" s="85"/>
      <c r="BR19" s="85"/>
      <c r="BS19" s="85" t="str">
        <f t="shared" si="28"/>
        <v>100%</v>
      </c>
      <c r="BT19" s="85">
        <f t="shared" si="29"/>
        <v>7498076.9230769221</v>
      </c>
      <c r="BU19" s="105"/>
      <c r="BV19" s="118"/>
      <c r="BW19" s="108">
        <v>11000000</v>
      </c>
      <c r="BX19" s="84">
        <v>0</v>
      </c>
      <c r="BY19" s="84">
        <v>0</v>
      </c>
      <c r="BZ19" s="84"/>
      <c r="CA19" s="84">
        <f t="shared" si="32"/>
        <v>550000</v>
      </c>
      <c r="CB19" s="84">
        <f t="shared" si="30"/>
        <v>11550000</v>
      </c>
      <c r="CC19" s="84" t="s">
        <v>118</v>
      </c>
      <c r="CD19" s="84"/>
      <c r="CE19" s="95"/>
      <c r="CF19" s="96"/>
      <c r="CG19" s="96"/>
      <c r="CH19" s="97"/>
      <c r="CI19" s="98"/>
    </row>
    <row r="20" spans="1:87" s="99" customFormat="1" ht="30.5" customHeight="1">
      <c r="A20" s="87">
        <f>IF(B20=0,"",COUNTA($B$15:(B20)))</f>
        <v>6</v>
      </c>
      <c r="B20" s="88">
        <v>2406145</v>
      </c>
      <c r="C20" s="89" t="s">
        <v>112</v>
      </c>
      <c r="D20" s="90" t="s">
        <v>103</v>
      </c>
      <c r="E20" s="123" t="s">
        <v>99</v>
      </c>
      <c r="F20" s="124" t="s">
        <v>100</v>
      </c>
      <c r="G20" s="91">
        <v>6340000</v>
      </c>
      <c r="H20" s="91">
        <f t="shared" si="4"/>
        <v>0</v>
      </c>
      <c r="I20" s="91">
        <f t="shared" si="5"/>
        <v>17810000</v>
      </c>
      <c r="J20" s="92">
        <v>1</v>
      </c>
      <c r="K20" s="93">
        <v>10.5</v>
      </c>
      <c r="L20" s="93"/>
      <c r="M20" s="93">
        <v>0.5</v>
      </c>
      <c r="N20" s="93"/>
      <c r="O20" s="93">
        <v>2</v>
      </c>
      <c r="P20" s="93"/>
      <c r="Q20" s="93"/>
      <c r="R20" s="93">
        <v>0</v>
      </c>
      <c r="S20" s="93">
        <v>0</v>
      </c>
      <c r="T20" s="93"/>
      <c r="U20" s="93">
        <v>0</v>
      </c>
      <c r="V20" s="93">
        <v>0</v>
      </c>
      <c r="W20" s="93">
        <v>0</v>
      </c>
      <c r="X20" s="93">
        <v>0</v>
      </c>
      <c r="Y20" s="91">
        <f t="shared" si="6"/>
        <v>2560384.6153846155</v>
      </c>
      <c r="Z20" s="91">
        <f t="shared" si="7"/>
        <v>121923.07692307692</v>
      </c>
      <c r="AA20" s="91">
        <f t="shared" si="8"/>
        <v>0</v>
      </c>
      <c r="AB20" s="91">
        <f t="shared" si="9"/>
        <v>487692.30769230769</v>
      </c>
      <c r="AC20" s="91">
        <f t="shared" si="10"/>
        <v>0</v>
      </c>
      <c r="AD20" s="91">
        <f t="shared" si="11"/>
        <v>0</v>
      </c>
      <c r="AE20" s="91">
        <f t="shared" si="12"/>
        <v>0</v>
      </c>
      <c r="AF20" s="91">
        <f t="shared" si="13"/>
        <v>0</v>
      </c>
      <c r="AG20" s="91">
        <f t="shared" si="14"/>
        <v>0</v>
      </c>
      <c r="AH20" s="91">
        <f t="shared" si="15"/>
        <v>0</v>
      </c>
      <c r="AI20" s="91">
        <f t="shared" si="16"/>
        <v>0</v>
      </c>
      <c r="AJ20" s="91"/>
      <c r="AK20" s="91">
        <f t="shared" si="17"/>
        <v>0</v>
      </c>
      <c r="AL20" s="91"/>
      <c r="AM20" s="91">
        <f t="shared" si="18"/>
        <v>0</v>
      </c>
      <c r="AN20" s="91">
        <f t="shared" si="31"/>
        <v>0</v>
      </c>
      <c r="AO20" s="91">
        <f t="shared" si="19"/>
        <v>9574134.615384616</v>
      </c>
      <c r="AP20" s="91"/>
      <c r="AQ20" s="91"/>
      <c r="AR20" s="91"/>
      <c r="AS20" s="91"/>
      <c r="AT20" s="91"/>
      <c r="AU20" s="91"/>
      <c r="AV20" s="94">
        <f t="shared" si="20"/>
        <v>12744134.615384616</v>
      </c>
      <c r="AW20" s="94"/>
      <c r="AX20" s="94" t="s">
        <v>101</v>
      </c>
      <c r="AY20" s="85">
        <f t="shared" si="21"/>
        <v>507200</v>
      </c>
      <c r="AZ20" s="85">
        <f t="shared" si="21"/>
        <v>95100</v>
      </c>
      <c r="BA20" s="85">
        <f t="shared" si="21"/>
        <v>63400</v>
      </c>
      <c r="BB20" s="85">
        <f t="shared" si="22"/>
        <v>665700</v>
      </c>
      <c r="BC20" s="85"/>
      <c r="BD20" s="85"/>
      <c r="BE20" s="85">
        <f t="shared" si="23"/>
        <v>63400</v>
      </c>
      <c r="BF20" s="85">
        <f t="shared" si="24"/>
        <v>0</v>
      </c>
      <c r="BG20" s="85">
        <f t="shared" si="25"/>
        <v>12744134.615384616</v>
      </c>
      <c r="BH20" s="85"/>
      <c r="BI20" s="85">
        <f t="shared" si="26"/>
        <v>1078434.615384616</v>
      </c>
      <c r="BJ20" s="84">
        <f t="shared" si="27"/>
        <v>53922</v>
      </c>
      <c r="BK20" s="85"/>
      <c r="BL20" s="85"/>
      <c r="BM20" s="85">
        <v>0</v>
      </c>
      <c r="BN20" s="85"/>
      <c r="BO20" s="85"/>
      <c r="BP20" s="85"/>
      <c r="BQ20" s="85"/>
      <c r="BR20" s="85"/>
      <c r="BS20" s="85" t="str">
        <f t="shared" si="28"/>
        <v>80%</v>
      </c>
      <c r="BT20" s="85">
        <f t="shared" si="29"/>
        <v>10195307.692307694</v>
      </c>
      <c r="BU20" s="105"/>
      <c r="BV20" s="118"/>
      <c r="BW20" s="108">
        <v>23000000</v>
      </c>
      <c r="BX20" s="84">
        <v>0</v>
      </c>
      <c r="BY20" s="84">
        <v>0</v>
      </c>
      <c r="BZ20" s="84"/>
      <c r="CA20" s="84">
        <f t="shared" si="32"/>
        <v>1150000</v>
      </c>
      <c r="CB20" s="84">
        <f t="shared" si="30"/>
        <v>24150000</v>
      </c>
      <c r="CC20" s="84" t="s">
        <v>114</v>
      </c>
      <c r="CD20" s="84"/>
      <c r="CE20" s="95"/>
      <c r="CF20" s="96"/>
      <c r="CG20" s="96"/>
      <c r="CH20" s="97"/>
      <c r="CI20" s="98"/>
    </row>
    <row r="21" spans="1:87" s="99" customFormat="1" ht="30.5" customHeight="1">
      <c r="A21" s="87">
        <f>IF(B21=0,"",COUNTA($B$15:(B21)))</f>
        <v>7</v>
      </c>
      <c r="B21" s="100" t="s">
        <v>115</v>
      </c>
      <c r="C21" s="89" t="s">
        <v>116</v>
      </c>
      <c r="D21" s="90" t="s">
        <v>117</v>
      </c>
      <c r="E21" s="123" t="s">
        <v>99</v>
      </c>
      <c r="F21" s="124" t="s">
        <v>100</v>
      </c>
      <c r="G21" s="91">
        <v>6340000</v>
      </c>
      <c r="H21" s="91">
        <f t="shared" si="4"/>
        <v>300000</v>
      </c>
      <c r="I21" s="91">
        <f t="shared" si="5"/>
        <v>11210000</v>
      </c>
      <c r="J21" s="92">
        <v>1</v>
      </c>
      <c r="K21" s="93">
        <v>11</v>
      </c>
      <c r="L21" s="93"/>
      <c r="M21" s="93"/>
      <c r="N21" s="93"/>
      <c r="O21" s="93">
        <v>2</v>
      </c>
      <c r="P21" s="93"/>
      <c r="Q21" s="93"/>
      <c r="R21" s="93">
        <v>4</v>
      </c>
      <c r="S21" s="93">
        <v>0</v>
      </c>
      <c r="T21" s="93"/>
      <c r="U21" s="93">
        <v>0</v>
      </c>
      <c r="V21" s="93">
        <v>0</v>
      </c>
      <c r="W21" s="93">
        <v>0</v>
      </c>
      <c r="X21" s="93">
        <v>0</v>
      </c>
      <c r="Y21" s="91">
        <f t="shared" si="6"/>
        <v>2682307.6923076925</v>
      </c>
      <c r="Z21" s="91">
        <f t="shared" si="7"/>
        <v>0</v>
      </c>
      <c r="AA21" s="91">
        <f t="shared" si="8"/>
        <v>0</v>
      </c>
      <c r="AB21" s="91">
        <f t="shared" si="9"/>
        <v>487692.30769230769</v>
      </c>
      <c r="AC21" s="91">
        <f t="shared" si="10"/>
        <v>0</v>
      </c>
      <c r="AD21" s="91">
        <f t="shared" si="11"/>
        <v>0</v>
      </c>
      <c r="AE21" s="91">
        <f t="shared" si="12"/>
        <v>2926153.846153846</v>
      </c>
      <c r="AF21" s="91">
        <f t="shared" si="13"/>
        <v>0</v>
      </c>
      <c r="AG21" s="91">
        <f t="shared" si="14"/>
        <v>0</v>
      </c>
      <c r="AH21" s="91">
        <f t="shared" si="15"/>
        <v>0</v>
      </c>
      <c r="AI21" s="91">
        <f t="shared" si="16"/>
        <v>0</v>
      </c>
      <c r="AJ21" s="91"/>
      <c r="AK21" s="91">
        <f t="shared" si="17"/>
        <v>0</v>
      </c>
      <c r="AL21" s="91"/>
      <c r="AM21" s="91">
        <f t="shared" si="18"/>
        <v>0</v>
      </c>
      <c r="AN21" s="91">
        <f t="shared" si="31"/>
        <v>126923.07692307694</v>
      </c>
      <c r="AO21" s="91">
        <f t="shared" si="19"/>
        <v>6249230.7692307699</v>
      </c>
      <c r="AP21" s="91"/>
      <c r="AQ21" s="91"/>
      <c r="AR21" s="91"/>
      <c r="AS21" s="91"/>
      <c r="AT21" s="91"/>
      <c r="AU21" s="91"/>
      <c r="AV21" s="94">
        <f t="shared" si="20"/>
        <v>12472307.692307692</v>
      </c>
      <c r="AW21" s="94"/>
      <c r="AX21" s="94" t="s">
        <v>101</v>
      </c>
      <c r="AY21" s="85">
        <f t="shared" si="21"/>
        <v>531200</v>
      </c>
      <c r="AZ21" s="85">
        <f t="shared" si="21"/>
        <v>99600</v>
      </c>
      <c r="BA21" s="85">
        <f t="shared" si="21"/>
        <v>66400</v>
      </c>
      <c r="BB21" s="85">
        <f t="shared" si="22"/>
        <v>697200</v>
      </c>
      <c r="BC21" s="85"/>
      <c r="BD21" s="85"/>
      <c r="BE21" s="85">
        <f t="shared" si="23"/>
        <v>63400</v>
      </c>
      <c r="BF21" s="85">
        <f t="shared" si="24"/>
        <v>0</v>
      </c>
      <c r="BG21" s="85">
        <f t="shared" si="25"/>
        <v>12472307.692307692</v>
      </c>
      <c r="BH21" s="85"/>
      <c r="BI21" s="85">
        <f t="shared" si="26"/>
        <v>775107.69230769202</v>
      </c>
      <c r="BJ21" s="84">
        <f t="shared" si="27"/>
        <v>38755</v>
      </c>
      <c r="BK21" s="85"/>
      <c r="BL21" s="85"/>
      <c r="BM21" s="85">
        <v>0</v>
      </c>
      <c r="BN21" s="85"/>
      <c r="BO21" s="85"/>
      <c r="BP21" s="85"/>
      <c r="BQ21" s="85"/>
      <c r="BR21" s="85"/>
      <c r="BS21" s="85" t="str">
        <f t="shared" si="28"/>
        <v>80%</v>
      </c>
      <c r="BT21" s="85">
        <f t="shared" si="29"/>
        <v>9977846.153846154</v>
      </c>
      <c r="BU21" s="105"/>
      <c r="BV21" s="118"/>
      <c r="BW21" s="108">
        <v>17000000</v>
      </c>
      <c r="BX21" s="84">
        <v>0</v>
      </c>
      <c r="BY21" s="84">
        <v>0</v>
      </c>
      <c r="BZ21" s="84"/>
      <c r="CA21" s="84">
        <f t="shared" si="32"/>
        <v>850000</v>
      </c>
      <c r="CB21" s="84">
        <f t="shared" si="30"/>
        <v>17850000</v>
      </c>
      <c r="CC21" s="84" t="s">
        <v>118</v>
      </c>
      <c r="CD21" s="84"/>
      <c r="CE21" s="95"/>
      <c r="CF21" s="96"/>
      <c r="CG21" s="96"/>
      <c r="CH21" s="97"/>
      <c r="CI21" s="98"/>
    </row>
    <row r="22" spans="1:87" s="37" customFormat="1" ht="18.75" customHeight="1">
      <c r="B22" s="38"/>
      <c r="I22" s="39"/>
      <c r="J22" s="39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1"/>
      <c r="V22" s="41"/>
      <c r="W22" s="42"/>
      <c r="X22" s="42"/>
      <c r="Y22" s="43"/>
      <c r="Z22" s="43"/>
      <c r="AA22" s="43"/>
      <c r="AB22" s="43"/>
      <c r="AC22" s="44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BJ22" s="45"/>
      <c r="BN22" s="45"/>
      <c r="BO22" s="45"/>
      <c r="BP22" s="45"/>
      <c r="BQ22" s="45"/>
      <c r="BR22" s="45"/>
      <c r="BS22" s="45"/>
      <c r="BT22" s="45"/>
      <c r="BU22" s="45"/>
      <c r="BV22" s="119"/>
      <c r="BW22" s="47"/>
      <c r="BX22" s="47"/>
      <c r="BY22" s="47"/>
      <c r="BZ22" s="47"/>
      <c r="CA22" s="47"/>
      <c r="CF22" s="46"/>
    </row>
    <row r="23" spans="1:87" s="48" customFormat="1" ht="21" customHeight="1">
      <c r="B23" s="49"/>
      <c r="C23" s="50"/>
      <c r="D23" s="50"/>
      <c r="E23" s="50"/>
      <c r="F23" s="50"/>
      <c r="G23" s="50"/>
      <c r="H23" s="50"/>
      <c r="I23" s="50"/>
      <c r="J23" s="51"/>
      <c r="K23" s="52"/>
      <c r="L23" s="52"/>
      <c r="M23" s="52"/>
      <c r="N23" s="52"/>
      <c r="O23" s="52"/>
      <c r="P23" s="52"/>
      <c r="Q23" s="52"/>
      <c r="U23" s="54"/>
      <c r="V23" s="52"/>
      <c r="W23" s="50"/>
      <c r="X23" s="50"/>
      <c r="Y23" s="50"/>
      <c r="Z23" s="50"/>
      <c r="AA23" s="50"/>
      <c r="AB23" s="50"/>
      <c r="AC23" s="50"/>
      <c r="AD23" s="55"/>
      <c r="AE23" s="55"/>
      <c r="AF23" s="55"/>
      <c r="AH23" s="55"/>
      <c r="AI23" s="55"/>
      <c r="AJ23" s="55"/>
      <c r="AK23" s="50"/>
      <c r="AL23" s="55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BC23" s="56"/>
      <c r="BD23" s="56"/>
      <c r="BJ23" s="50"/>
      <c r="BL23" s="50"/>
      <c r="BM23" s="50"/>
      <c r="BN23" s="50" t="s">
        <v>119</v>
      </c>
      <c r="BO23" s="50"/>
      <c r="BP23" s="50"/>
      <c r="BQ23" s="50"/>
      <c r="BR23" s="50"/>
      <c r="BS23" s="50"/>
      <c r="BT23" s="50"/>
      <c r="BU23" s="50"/>
      <c r="BV23" s="120"/>
      <c r="BW23" s="58"/>
      <c r="BX23" s="58"/>
      <c r="BY23" s="58"/>
      <c r="BZ23" s="58"/>
      <c r="CA23" s="58"/>
    </row>
    <row r="24" spans="1:87" s="48" customFormat="1" ht="18" customHeight="1">
      <c r="B24" s="59"/>
      <c r="I24" s="51"/>
      <c r="J24" s="51"/>
      <c r="K24" s="54"/>
      <c r="L24" s="54"/>
      <c r="M24" s="54"/>
      <c r="N24" s="54"/>
      <c r="O24" s="54"/>
      <c r="P24" s="54"/>
      <c r="Q24" s="54"/>
      <c r="R24" s="53"/>
      <c r="U24" s="54"/>
      <c r="V24" s="54"/>
      <c r="W24" s="60"/>
      <c r="X24" s="60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8"/>
      <c r="AO24" s="55"/>
      <c r="AP24" s="55"/>
      <c r="AQ24" s="55"/>
      <c r="AR24" s="55"/>
      <c r="AS24" s="55"/>
      <c r="AT24" s="55"/>
      <c r="AU24" s="55"/>
      <c r="AV24" s="50"/>
      <c r="AW24" s="50"/>
      <c r="AX24" s="50"/>
      <c r="AY24" s="58"/>
      <c r="AZ24" s="58"/>
      <c r="BA24" s="58"/>
      <c r="BB24" s="58"/>
      <c r="BL24" s="50"/>
      <c r="BM24" s="56"/>
      <c r="BV24" s="121"/>
      <c r="BW24" s="58"/>
      <c r="BX24" s="58"/>
      <c r="BY24" s="58"/>
      <c r="BZ24" s="58"/>
      <c r="CA24" s="58"/>
      <c r="CF24" s="57"/>
    </row>
    <row r="25" spans="1:87" ht="15" customHeight="1">
      <c r="D25" s="235" t="s">
        <v>152</v>
      </c>
      <c r="I25" s="70"/>
      <c r="X25" s="63"/>
      <c r="BZ25" s="64" t="s">
        <v>147</v>
      </c>
      <c r="CF25" s="35"/>
    </row>
    <row r="26" spans="1:87" ht="73.5" customHeight="1">
      <c r="J26" s="62"/>
      <c r="X26" s="63"/>
    </row>
  </sheetData>
  <autoFilter ref="A12:CI21" xr:uid="{00000000-0009-0000-0000-000002000000}"/>
  <mergeCells count="82">
    <mergeCell ref="L9:L11"/>
    <mergeCell ref="N9:N11"/>
    <mergeCell ref="BG10:BG11"/>
    <mergeCell ref="BI10:BI11"/>
    <mergeCell ref="X9:X11"/>
    <mergeCell ref="Z9:Z11"/>
    <mergeCell ref="AD9:AD11"/>
    <mergeCell ref="AY9:BJ9"/>
    <mergeCell ref="AT8:AT11"/>
    <mergeCell ref="AV8:AV11"/>
    <mergeCell ref="A8:A11"/>
    <mergeCell ref="AS8:AS11"/>
    <mergeCell ref="BX8:CA10"/>
    <mergeCell ref="C8:C11"/>
    <mergeCell ref="BW8:BW11"/>
    <mergeCell ref="AI9:AI11"/>
    <mergeCell ref="BQ8:BR8"/>
    <mergeCell ref="D8:D11"/>
    <mergeCell ref="BF10:BF11"/>
    <mergeCell ref="BO10:BO11"/>
    <mergeCell ref="Q9:Q11"/>
    <mergeCell ref="S9:S11"/>
    <mergeCell ref="BL10:BL11"/>
    <mergeCell ref="AC9:AC11"/>
    <mergeCell ref="AP8:AP11"/>
    <mergeCell ref="AR8:AR11"/>
    <mergeCell ref="F8:F11"/>
    <mergeCell ref="CB8:CB11"/>
    <mergeCell ref="AJ9:AJ11"/>
    <mergeCell ref="AL9:AL11"/>
    <mergeCell ref="AN9:AN11"/>
    <mergeCell ref="I8:I11"/>
    <mergeCell ref="BK10:BK11"/>
    <mergeCell ref="K8:X8"/>
    <mergeCell ref="BC10:BC11"/>
    <mergeCell ref="BE10:BE11"/>
    <mergeCell ref="T9:T11"/>
    <mergeCell ref="P9:P11"/>
    <mergeCell ref="AB9:AB11"/>
    <mergeCell ref="AY8:BP8"/>
    <mergeCell ref="AF9:AF11"/>
    <mergeCell ref="AH9:AH11"/>
    <mergeCell ref="BW3:CB6"/>
    <mergeCell ref="AU8:AU11"/>
    <mergeCell ref="CC8:CC11"/>
    <mergeCell ref="AW8:AW11"/>
    <mergeCell ref="A3:BU3"/>
    <mergeCell ref="AE9:AE11"/>
    <mergeCell ref="AO9:AO11"/>
    <mergeCell ref="B8:B11"/>
    <mergeCell ref="BB10:BB11"/>
    <mergeCell ref="BD10:BD11"/>
    <mergeCell ref="K9:K11"/>
    <mergeCell ref="M9:M11"/>
    <mergeCell ref="O9:O11"/>
    <mergeCell ref="BH10:BH11"/>
    <mergeCell ref="BQ9:BQ11"/>
    <mergeCell ref="BT8:BT11"/>
    <mergeCell ref="E8:E11"/>
    <mergeCell ref="G8:G11"/>
    <mergeCell ref="BS8:BS11"/>
    <mergeCell ref="BK9:BP9"/>
    <mergeCell ref="BU8:BU11"/>
    <mergeCell ref="R9:R11"/>
    <mergeCell ref="BR9:BR11"/>
    <mergeCell ref="BM10:BM11"/>
    <mergeCell ref="AQ8:AQ11"/>
    <mergeCell ref="U9:U11"/>
    <mergeCell ref="BN10:BN11"/>
    <mergeCell ref="BP10:BP11"/>
    <mergeCell ref="AG9:AG11"/>
    <mergeCell ref="H8:H11"/>
    <mergeCell ref="J8:J11"/>
    <mergeCell ref="V9:W10"/>
    <mergeCell ref="CD8:CD11"/>
    <mergeCell ref="Y9:Y11"/>
    <mergeCell ref="AA9:AA11"/>
    <mergeCell ref="AK9:AK11"/>
    <mergeCell ref="AM9:AM11"/>
    <mergeCell ref="AX8:AX11"/>
    <mergeCell ref="Y8:AO8"/>
    <mergeCell ref="BJ10:BJ11"/>
  </mergeCells>
  <conditionalFormatting sqref="B1:B12 B22:B1048576 C12:BU12">
    <cfRule type="duplicateValues" dxfId="12" priority="6"/>
  </conditionalFormatting>
  <conditionalFormatting sqref="B1:B12 B22:B1048576 C12:CD12 D13:F13 J13:BI13 BK13:CD13">
    <cfRule type="duplicateValues" dxfId="11" priority="5"/>
  </conditionalFormatting>
  <conditionalFormatting sqref="B15:B21">
    <cfRule type="duplicateValues" dxfId="10" priority="1"/>
    <cfRule type="duplicateValues" dxfId="9" priority="2"/>
    <cfRule type="duplicateValues" dxfId="8" priority="3"/>
  </conditionalFormatting>
  <conditionalFormatting sqref="BJ13">
    <cfRule type="duplicateValues" dxfId="7" priority="4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A1:CI25"/>
  <sheetViews>
    <sheetView zoomScaleNormal="100" zoomScaleSheetLayoutView="70" workbookViewId="0">
      <pane xSplit="6" ySplit="11" topLeftCell="G19" activePane="bottomRight" state="frozen"/>
      <selection pane="topRight" activeCell="E18" sqref="E18"/>
      <selection pane="bottomLeft" activeCell="E18" sqref="E18"/>
      <selection pane="bottomRight" activeCell="K48" sqref="K48"/>
    </sheetView>
  </sheetViews>
  <sheetFormatPr baseColWidth="10" defaultColWidth="9.1640625" defaultRowHeight="15" outlineLevelRow="1" outlineLevelCol="1"/>
  <cols>
    <col min="1" max="1" width="5.5" style="215" customWidth="1"/>
    <col min="2" max="2" width="8.5" style="216" customWidth="1"/>
    <col min="3" max="3" width="10.83203125" style="217" bestFit="1" customWidth="1"/>
    <col min="4" max="4" width="5.5" style="218" bestFit="1" customWidth="1" outlineLevel="1"/>
    <col min="5" max="5" width="5.5" style="218" customWidth="1" outlineLevel="1"/>
    <col min="6" max="6" width="20.6640625" style="219" customWidth="1" outlineLevel="1"/>
    <col min="7" max="7" width="13.6640625" style="220" bestFit="1" customWidth="1"/>
    <col min="8" max="8" width="12.5" style="220" customWidth="1"/>
    <col min="9" max="9" width="12.5" style="212" customWidth="1"/>
    <col min="10" max="10" width="7.5" style="212" customWidth="1" outlineLevel="1"/>
    <col min="11" max="24" width="7.1640625" style="221" customWidth="1"/>
    <col min="25" max="40" width="12.33203125" style="222" customWidth="1"/>
    <col min="41" max="41" width="100.6640625" style="222" customWidth="1"/>
    <col min="42" max="47" width="12.33203125" style="222" customWidth="1"/>
    <col min="48" max="48" width="30.6640625" style="222" customWidth="1"/>
    <col min="49" max="49" width="13" style="222" customWidth="1"/>
    <col min="50" max="50" width="6.6640625" style="222" customWidth="1"/>
    <col min="51" max="53" width="10.5" style="222" customWidth="1" outlineLevel="1"/>
    <col min="54" max="57" width="10.5" style="222" customWidth="1"/>
    <col min="58" max="58" width="30.6640625" style="222" customWidth="1"/>
    <col min="59" max="61" width="10.5" style="222" customWidth="1"/>
    <col min="62" max="62" width="30.6640625" style="222" customWidth="1"/>
    <col min="63" max="71" width="10.5" style="222" customWidth="1"/>
    <col min="72" max="73" width="12.5" style="222" customWidth="1"/>
    <col min="74" max="74" width="12.5" customWidth="1"/>
    <col min="75" max="79" width="12.6640625" style="220" customWidth="1" outlineLevel="1"/>
    <col min="80" max="80" width="12.6640625" style="223" customWidth="1" outlineLevel="1"/>
    <col min="81" max="82" width="10.6640625" style="223" customWidth="1" outlineLevel="1"/>
    <col min="83" max="83" width="19.5" style="224" customWidth="1"/>
    <col min="84" max="84" width="12.33203125" style="224" customWidth="1"/>
    <col min="85" max="85" width="12.5" style="224" customWidth="1"/>
    <col min="86" max="86" width="11.6640625" style="224" customWidth="1"/>
    <col min="87" max="87" width="9.1640625" style="224" customWidth="1"/>
    <col min="88" max="16384" width="9.1640625" style="224"/>
  </cols>
  <sheetData>
    <row r="1" spans="1:87" s="127" customFormat="1" ht="11" outlineLevel="1">
      <c r="A1" s="125" t="s">
        <v>0</v>
      </c>
      <c r="B1" s="126"/>
      <c r="C1" s="125"/>
      <c r="D1" s="8"/>
      <c r="E1" s="8"/>
      <c r="F1" s="8"/>
      <c r="I1" s="128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U1" s="8"/>
      <c r="BW1" s="8"/>
      <c r="BX1" s="8"/>
      <c r="BY1" s="8"/>
      <c r="BZ1" s="8"/>
      <c r="CA1" s="8"/>
      <c r="CB1" s="130"/>
      <c r="CC1" s="130"/>
      <c r="CD1" s="130"/>
    </row>
    <row r="2" spans="1:87" s="127" customFormat="1" ht="11" outlineLevel="1">
      <c r="A2" s="131" t="s">
        <v>1</v>
      </c>
      <c r="B2" s="126"/>
      <c r="C2" s="132"/>
      <c r="D2" s="8"/>
      <c r="E2" s="8"/>
      <c r="F2" s="8"/>
      <c r="I2" s="128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W2" s="8"/>
      <c r="BX2" s="8"/>
      <c r="BY2" s="8"/>
      <c r="BZ2" s="8"/>
      <c r="CA2" s="8"/>
      <c r="CB2" s="132"/>
      <c r="CC2" s="132"/>
      <c r="CD2" s="132"/>
    </row>
    <row r="3" spans="1:87" s="134" customFormat="1" ht="11" outlineLevel="1">
      <c r="A3" s="285"/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  <c r="AA3" s="283"/>
      <c r="AB3" s="283"/>
      <c r="AC3" s="283"/>
      <c r="AD3" s="283"/>
      <c r="AE3" s="283"/>
      <c r="AF3" s="283"/>
      <c r="AG3" s="283"/>
      <c r="AH3" s="283"/>
      <c r="AI3" s="283"/>
      <c r="AJ3" s="283"/>
      <c r="AK3" s="283"/>
      <c r="AL3" s="283"/>
      <c r="AM3" s="283"/>
      <c r="AN3" s="283"/>
      <c r="AO3" s="283"/>
      <c r="AP3" s="283"/>
      <c r="AQ3" s="283"/>
      <c r="AR3" s="283"/>
      <c r="AS3" s="283"/>
      <c r="AT3" s="283"/>
      <c r="AU3" s="283"/>
      <c r="AV3" s="283"/>
      <c r="AW3" s="283"/>
      <c r="AX3" s="283"/>
      <c r="AY3" s="283"/>
      <c r="AZ3" s="283"/>
      <c r="BA3" s="283"/>
      <c r="BB3" s="283"/>
      <c r="BC3" s="283"/>
      <c r="BD3" s="283"/>
      <c r="BE3" s="283"/>
      <c r="BF3" s="283"/>
      <c r="BG3" s="283"/>
      <c r="BH3" s="283"/>
      <c r="BI3" s="283"/>
      <c r="BJ3" s="283"/>
      <c r="BK3" s="283"/>
      <c r="BL3" s="283"/>
      <c r="BM3" s="283"/>
      <c r="BN3" s="283"/>
      <c r="BO3" s="283"/>
      <c r="BP3" s="283"/>
      <c r="BQ3" s="283"/>
      <c r="BR3" s="283"/>
      <c r="BS3" s="283"/>
      <c r="BT3" s="283"/>
      <c r="BU3" s="283"/>
      <c r="BW3" s="282" t="s">
        <v>2</v>
      </c>
      <c r="BX3" s="283"/>
      <c r="BY3" s="283"/>
      <c r="BZ3" s="283"/>
      <c r="CA3" s="283"/>
      <c r="CB3" s="283"/>
      <c r="CC3" s="133"/>
      <c r="CD3" s="133"/>
      <c r="CE3" s="134" t="s">
        <v>3</v>
      </c>
      <c r="CF3" s="134">
        <v>25</v>
      </c>
    </row>
    <row r="4" spans="1:87" s="134" customFormat="1" ht="11" outlineLevel="1">
      <c r="A4" s="135"/>
      <c r="B4" s="135"/>
      <c r="C4" s="135"/>
      <c r="D4" s="135"/>
      <c r="E4" s="135"/>
      <c r="F4" s="135"/>
      <c r="G4" s="135"/>
      <c r="H4" s="135"/>
      <c r="I4" s="128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5"/>
      <c r="BL4" s="135"/>
      <c r="BM4" s="135"/>
      <c r="BN4" s="135"/>
      <c r="BO4" s="135"/>
      <c r="BP4" s="135"/>
      <c r="BQ4" s="135"/>
      <c r="BR4" s="135"/>
      <c r="BS4" s="135"/>
      <c r="BT4" s="135"/>
      <c r="BU4" s="135"/>
      <c r="BW4" s="283"/>
      <c r="BX4" s="283"/>
      <c r="BY4" s="283"/>
      <c r="BZ4" s="283"/>
      <c r="CA4" s="283"/>
      <c r="CB4" s="283"/>
      <c r="CC4" s="133"/>
      <c r="CD4" s="133"/>
    </row>
    <row r="5" spans="1:87" s="136" customFormat="1">
      <c r="A5" s="270" t="s">
        <v>4</v>
      </c>
      <c r="B5" s="263" t="s">
        <v>5</v>
      </c>
      <c r="C5" s="245" t="s">
        <v>6</v>
      </c>
      <c r="D5" s="248" t="s">
        <v>141</v>
      </c>
      <c r="E5" s="248" t="s">
        <v>8</v>
      </c>
      <c r="F5" s="291" t="s">
        <v>142</v>
      </c>
      <c r="G5" s="245" t="s">
        <v>10</v>
      </c>
      <c r="H5" s="281" t="s">
        <v>11</v>
      </c>
      <c r="I5" s="281" t="s">
        <v>12</v>
      </c>
      <c r="J5" s="245" t="s">
        <v>13</v>
      </c>
      <c r="K5" s="286" t="s">
        <v>14</v>
      </c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45" t="s">
        <v>15</v>
      </c>
      <c r="Z5" s="265"/>
      <c r="AA5" s="265"/>
      <c r="AB5" s="265"/>
      <c r="AC5" s="265"/>
      <c r="AD5" s="265"/>
      <c r="AE5" s="265"/>
      <c r="AF5" s="265"/>
      <c r="AG5" s="265"/>
      <c r="AH5" s="265"/>
      <c r="AI5" s="265"/>
      <c r="AJ5" s="265"/>
      <c r="AK5" s="265"/>
      <c r="AL5" s="265"/>
      <c r="AM5" s="265"/>
      <c r="AN5" s="265"/>
      <c r="AO5" s="266"/>
      <c r="AP5" s="245" t="s">
        <v>16</v>
      </c>
      <c r="AQ5" s="245" t="s">
        <v>17</v>
      </c>
      <c r="AR5" s="245" t="s">
        <v>18</v>
      </c>
      <c r="AS5" s="245" t="s">
        <v>19</v>
      </c>
      <c r="AT5" s="245" t="s">
        <v>20</v>
      </c>
      <c r="AU5" s="245" t="s">
        <v>21</v>
      </c>
      <c r="AV5" s="245" t="s">
        <v>22</v>
      </c>
      <c r="AW5" s="245" t="s">
        <v>23</v>
      </c>
      <c r="AX5" s="245" t="s">
        <v>24</v>
      </c>
      <c r="AY5" s="254" t="s">
        <v>25</v>
      </c>
      <c r="AZ5" s="265"/>
      <c r="BA5" s="265"/>
      <c r="BB5" s="265"/>
      <c r="BC5" s="265"/>
      <c r="BD5" s="265"/>
      <c r="BE5" s="265"/>
      <c r="BF5" s="265"/>
      <c r="BG5" s="265"/>
      <c r="BH5" s="265"/>
      <c r="BI5" s="265"/>
      <c r="BJ5" s="265"/>
      <c r="BK5" s="265"/>
      <c r="BL5" s="265"/>
      <c r="BM5" s="265"/>
      <c r="BN5" s="265"/>
      <c r="BO5" s="265"/>
      <c r="BP5" s="266"/>
      <c r="BQ5" s="246" t="s">
        <v>26</v>
      </c>
      <c r="BR5" s="247"/>
      <c r="BS5" s="254" t="s">
        <v>143</v>
      </c>
      <c r="BT5" s="254" t="s">
        <v>27</v>
      </c>
      <c r="BU5" s="250" t="s">
        <v>28</v>
      </c>
      <c r="BW5" s="278" t="s">
        <v>29</v>
      </c>
      <c r="BX5" s="271" t="s">
        <v>30</v>
      </c>
      <c r="BY5" s="272"/>
      <c r="BZ5" s="272"/>
      <c r="CA5" s="247"/>
      <c r="CB5" s="264" t="s">
        <v>31</v>
      </c>
      <c r="CC5" s="237" t="s">
        <v>32</v>
      </c>
      <c r="CD5" s="237" t="s">
        <v>33</v>
      </c>
      <c r="CH5" s="137"/>
      <c r="CI5" s="138"/>
    </row>
    <row r="6" spans="1:87" s="136" customFormat="1">
      <c r="A6" s="238"/>
      <c r="B6" s="238"/>
      <c r="C6" s="238"/>
      <c r="D6" s="238"/>
      <c r="E6" s="238"/>
      <c r="F6" s="238"/>
      <c r="G6" s="238"/>
      <c r="H6" s="238"/>
      <c r="I6" s="238"/>
      <c r="J6" s="238"/>
      <c r="K6" s="280" t="s">
        <v>34</v>
      </c>
      <c r="L6" s="280" t="s">
        <v>35</v>
      </c>
      <c r="M6" s="280" t="s">
        <v>36</v>
      </c>
      <c r="N6" s="280" t="s">
        <v>37</v>
      </c>
      <c r="O6" s="280" t="s">
        <v>38</v>
      </c>
      <c r="P6" s="280" t="s">
        <v>39</v>
      </c>
      <c r="Q6" s="280" t="s">
        <v>40</v>
      </c>
      <c r="R6" s="280" t="s">
        <v>41</v>
      </c>
      <c r="S6" s="280" t="s">
        <v>42</v>
      </c>
      <c r="T6" s="280" t="s">
        <v>43</v>
      </c>
      <c r="U6" s="280" t="s">
        <v>44</v>
      </c>
      <c r="V6" s="287" t="s">
        <v>45</v>
      </c>
      <c r="W6" s="247"/>
      <c r="X6" s="280" t="s">
        <v>46</v>
      </c>
      <c r="Y6" s="245" t="s">
        <v>47</v>
      </c>
      <c r="Z6" s="245" t="s">
        <v>48</v>
      </c>
      <c r="AA6" s="245" t="s">
        <v>49</v>
      </c>
      <c r="AB6" s="245" t="s">
        <v>50</v>
      </c>
      <c r="AC6" s="281" t="s">
        <v>51</v>
      </c>
      <c r="AD6" s="281" t="s">
        <v>144</v>
      </c>
      <c r="AE6" s="281" t="s">
        <v>53</v>
      </c>
      <c r="AF6" s="281" t="s">
        <v>54</v>
      </c>
      <c r="AG6" s="245" t="s">
        <v>55</v>
      </c>
      <c r="AH6" s="281" t="s">
        <v>56</v>
      </c>
      <c r="AI6" s="281" t="s">
        <v>57</v>
      </c>
      <c r="AJ6" s="245" t="s">
        <v>58</v>
      </c>
      <c r="AK6" s="242" t="s">
        <v>59</v>
      </c>
      <c r="AL6" s="245" t="s">
        <v>60</v>
      </c>
      <c r="AM6" s="245" t="s">
        <v>61</v>
      </c>
      <c r="AN6" s="267" t="s">
        <v>62</v>
      </c>
      <c r="AO6" s="245" t="s">
        <v>63</v>
      </c>
      <c r="AP6" s="238"/>
      <c r="AQ6" s="238"/>
      <c r="AR6" s="238"/>
      <c r="AS6" s="238"/>
      <c r="AT6" s="238"/>
      <c r="AU6" s="238"/>
      <c r="AV6" s="238"/>
      <c r="AW6" s="238"/>
      <c r="AX6" s="238"/>
      <c r="AY6" s="254" t="s">
        <v>25</v>
      </c>
      <c r="AZ6" s="265"/>
      <c r="BA6" s="265"/>
      <c r="BB6" s="265"/>
      <c r="BC6" s="265"/>
      <c r="BD6" s="265"/>
      <c r="BE6" s="265"/>
      <c r="BF6" s="265"/>
      <c r="BG6" s="265"/>
      <c r="BH6" s="265"/>
      <c r="BI6" s="265"/>
      <c r="BJ6" s="266"/>
      <c r="BK6" s="254" t="s">
        <v>64</v>
      </c>
      <c r="BL6" s="265"/>
      <c r="BM6" s="265"/>
      <c r="BN6" s="265"/>
      <c r="BO6" s="265"/>
      <c r="BP6" s="266"/>
      <c r="BQ6" s="252" t="s">
        <v>65</v>
      </c>
      <c r="BR6" s="252" t="s">
        <v>66</v>
      </c>
      <c r="BS6" s="238"/>
      <c r="BT6" s="238"/>
      <c r="BU6" s="243"/>
      <c r="BW6" s="274"/>
      <c r="BX6" s="243"/>
      <c r="BY6" s="284"/>
      <c r="BZ6" s="284"/>
      <c r="CA6" s="274"/>
      <c r="CB6" s="238"/>
      <c r="CC6" s="238"/>
      <c r="CD6" s="238"/>
      <c r="CH6" s="137"/>
      <c r="CI6" s="138"/>
    </row>
    <row r="7" spans="1:87" s="136" customFormat="1" ht="12">
      <c r="A7" s="238"/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  <c r="Q7" s="238"/>
      <c r="R7" s="238"/>
      <c r="S7" s="238"/>
      <c r="T7" s="238"/>
      <c r="U7" s="238"/>
      <c r="V7" s="244"/>
      <c r="W7" s="257"/>
      <c r="X7" s="238"/>
      <c r="Y7" s="238"/>
      <c r="Z7" s="238"/>
      <c r="AA7" s="238"/>
      <c r="AB7" s="238"/>
      <c r="AC7" s="238"/>
      <c r="AD7" s="238"/>
      <c r="AE7" s="238"/>
      <c r="AF7" s="238"/>
      <c r="AG7" s="238"/>
      <c r="AH7" s="238"/>
      <c r="AI7" s="238"/>
      <c r="AJ7" s="238"/>
      <c r="AK7" s="243"/>
      <c r="AL7" s="238"/>
      <c r="AM7" s="238"/>
      <c r="AN7" s="238"/>
      <c r="AO7" s="238"/>
      <c r="AP7" s="238"/>
      <c r="AQ7" s="238"/>
      <c r="AR7" s="238"/>
      <c r="AS7" s="238"/>
      <c r="AT7" s="238"/>
      <c r="AU7" s="238"/>
      <c r="AV7" s="238"/>
      <c r="AW7" s="238"/>
      <c r="AX7" s="238"/>
      <c r="AY7" s="101" t="s">
        <v>67</v>
      </c>
      <c r="AZ7" s="101" t="s">
        <v>68</v>
      </c>
      <c r="BA7" s="101" t="s">
        <v>69</v>
      </c>
      <c r="BB7" s="254" t="s">
        <v>70</v>
      </c>
      <c r="BC7" s="253" t="s">
        <v>71</v>
      </c>
      <c r="BD7" s="253" t="s">
        <v>72</v>
      </c>
      <c r="BE7" s="253" t="s">
        <v>145</v>
      </c>
      <c r="BF7" s="253" t="s">
        <v>74</v>
      </c>
      <c r="BG7" s="253" t="s">
        <v>75</v>
      </c>
      <c r="BH7" s="253" t="s">
        <v>76</v>
      </c>
      <c r="BI7" s="253" t="s">
        <v>79</v>
      </c>
      <c r="BJ7" s="279" t="s">
        <v>80</v>
      </c>
      <c r="BK7" s="253" t="s">
        <v>81</v>
      </c>
      <c r="BL7" s="254" t="s">
        <v>82</v>
      </c>
      <c r="BM7" s="253" t="s">
        <v>83</v>
      </c>
      <c r="BN7" s="254" t="s">
        <v>84</v>
      </c>
      <c r="BO7" s="254" t="s">
        <v>146</v>
      </c>
      <c r="BP7" s="254" t="s">
        <v>85</v>
      </c>
      <c r="BQ7" s="238"/>
      <c r="BR7" s="238"/>
      <c r="BS7" s="238"/>
      <c r="BT7" s="238"/>
      <c r="BU7" s="243"/>
      <c r="BW7" s="274"/>
      <c r="BX7" s="275"/>
      <c r="BY7" s="276"/>
      <c r="BZ7" s="276"/>
      <c r="CA7" s="277"/>
      <c r="CB7" s="238"/>
      <c r="CC7" s="238"/>
      <c r="CD7" s="238"/>
      <c r="CH7" s="137"/>
      <c r="CI7" s="138"/>
    </row>
    <row r="8" spans="1:87" s="136" customFormat="1" ht="22.5" customHeight="1">
      <c r="A8" s="241"/>
      <c r="B8" s="241"/>
      <c r="C8" s="241"/>
      <c r="D8" s="241"/>
      <c r="E8" s="241"/>
      <c r="F8" s="241"/>
      <c r="G8" s="241"/>
      <c r="H8" s="241"/>
      <c r="I8" s="241"/>
      <c r="J8" s="241"/>
      <c r="K8" s="241"/>
      <c r="L8" s="241"/>
      <c r="M8" s="241"/>
      <c r="N8" s="241"/>
      <c r="O8" s="241"/>
      <c r="P8" s="241"/>
      <c r="Q8" s="241"/>
      <c r="R8" s="241"/>
      <c r="S8" s="241"/>
      <c r="T8" s="241"/>
      <c r="U8" s="241"/>
      <c r="V8" s="140" t="s">
        <v>86</v>
      </c>
      <c r="W8" s="140" t="s">
        <v>87</v>
      </c>
      <c r="X8" s="241"/>
      <c r="Y8" s="241"/>
      <c r="Z8" s="241"/>
      <c r="AA8" s="241"/>
      <c r="AB8" s="241"/>
      <c r="AC8" s="241"/>
      <c r="AD8" s="241"/>
      <c r="AE8" s="241"/>
      <c r="AF8" s="241"/>
      <c r="AG8" s="241"/>
      <c r="AH8" s="241"/>
      <c r="AI8" s="241"/>
      <c r="AJ8" s="241"/>
      <c r="AK8" s="244"/>
      <c r="AL8" s="241"/>
      <c r="AM8" s="241"/>
      <c r="AN8" s="241"/>
      <c r="AO8" s="241"/>
      <c r="AP8" s="241"/>
      <c r="AQ8" s="241"/>
      <c r="AR8" s="241"/>
      <c r="AS8" s="241"/>
      <c r="AT8" s="241"/>
      <c r="AU8" s="241"/>
      <c r="AV8" s="241"/>
      <c r="AW8" s="241"/>
      <c r="AX8" s="241"/>
      <c r="AY8" s="102" t="s">
        <v>88</v>
      </c>
      <c r="AZ8" s="102" t="s">
        <v>89</v>
      </c>
      <c r="BA8" s="102" t="s">
        <v>90</v>
      </c>
      <c r="BB8" s="241"/>
      <c r="BC8" s="241"/>
      <c r="BD8" s="241"/>
      <c r="BE8" s="241"/>
      <c r="BF8" s="241"/>
      <c r="BG8" s="241"/>
      <c r="BH8" s="241"/>
      <c r="BI8" s="241"/>
      <c r="BJ8" s="241"/>
      <c r="BK8" s="241"/>
      <c r="BL8" s="241"/>
      <c r="BM8" s="241"/>
      <c r="BN8" s="241"/>
      <c r="BO8" s="241"/>
      <c r="BP8" s="241"/>
      <c r="BQ8" s="241"/>
      <c r="BR8" s="241"/>
      <c r="BS8" s="241"/>
      <c r="BT8" s="241"/>
      <c r="BU8" s="244"/>
      <c r="BW8" s="277"/>
      <c r="BX8" s="72" t="s">
        <v>91</v>
      </c>
      <c r="BY8" s="72" t="s">
        <v>92</v>
      </c>
      <c r="BZ8" s="72" t="s">
        <v>93</v>
      </c>
      <c r="CA8" s="73" t="s">
        <v>94</v>
      </c>
      <c r="CB8" s="239"/>
      <c r="CC8" s="239"/>
      <c r="CD8" s="239"/>
      <c r="CF8" s="141"/>
      <c r="CH8" s="137"/>
      <c r="CI8" s="138"/>
    </row>
    <row r="9" spans="1:87" s="213" customFormat="1" ht="11">
      <c r="A9" s="32">
        <v>1</v>
      </c>
      <c r="B9" s="33">
        <f>A9+1</f>
        <v>2</v>
      </c>
      <c r="C9" s="33">
        <f>B9+1</f>
        <v>3</v>
      </c>
      <c r="D9" s="33">
        <f>C9+1</f>
        <v>4</v>
      </c>
      <c r="E9" s="33"/>
      <c r="F9" s="33">
        <f>D9+1</f>
        <v>5</v>
      </c>
      <c r="G9" s="33">
        <f t="shared" ref="G9:AV9" si="0">F9+1</f>
        <v>6</v>
      </c>
      <c r="H9" s="33">
        <f t="shared" si="0"/>
        <v>7</v>
      </c>
      <c r="I9" s="33">
        <f t="shared" si="0"/>
        <v>8</v>
      </c>
      <c r="J9" s="33">
        <f t="shared" si="0"/>
        <v>9</v>
      </c>
      <c r="K9" s="33">
        <f t="shared" si="0"/>
        <v>10</v>
      </c>
      <c r="L9" s="33">
        <f t="shared" si="0"/>
        <v>11</v>
      </c>
      <c r="M9" s="33">
        <f t="shared" si="0"/>
        <v>12</v>
      </c>
      <c r="N9" s="33">
        <f t="shared" si="0"/>
        <v>13</v>
      </c>
      <c r="O9" s="33">
        <f t="shared" si="0"/>
        <v>14</v>
      </c>
      <c r="P9" s="33">
        <f t="shared" si="0"/>
        <v>15</v>
      </c>
      <c r="Q9" s="33">
        <f t="shared" si="0"/>
        <v>16</v>
      </c>
      <c r="R9" s="33">
        <f t="shared" si="0"/>
        <v>17</v>
      </c>
      <c r="S9" s="33">
        <f t="shared" si="0"/>
        <v>18</v>
      </c>
      <c r="T9" s="33">
        <f t="shared" si="0"/>
        <v>19</v>
      </c>
      <c r="U9" s="33">
        <f t="shared" si="0"/>
        <v>20</v>
      </c>
      <c r="V9" s="33">
        <f t="shared" si="0"/>
        <v>21</v>
      </c>
      <c r="W9" s="33">
        <f t="shared" si="0"/>
        <v>22</v>
      </c>
      <c r="X9" s="33">
        <f t="shared" si="0"/>
        <v>23</v>
      </c>
      <c r="Y9" s="33">
        <f t="shared" si="0"/>
        <v>24</v>
      </c>
      <c r="Z9" s="33">
        <f t="shared" si="0"/>
        <v>25</v>
      </c>
      <c r="AA9" s="33">
        <f t="shared" si="0"/>
        <v>26</v>
      </c>
      <c r="AB9" s="33">
        <f t="shared" si="0"/>
        <v>27</v>
      </c>
      <c r="AC9" s="33">
        <f t="shared" si="0"/>
        <v>28</v>
      </c>
      <c r="AD9" s="33">
        <f t="shared" si="0"/>
        <v>29</v>
      </c>
      <c r="AE9" s="33">
        <f t="shared" si="0"/>
        <v>30</v>
      </c>
      <c r="AF9" s="33">
        <f t="shared" si="0"/>
        <v>31</v>
      </c>
      <c r="AG9" s="33">
        <f t="shared" si="0"/>
        <v>32</v>
      </c>
      <c r="AH9" s="33">
        <f t="shared" si="0"/>
        <v>33</v>
      </c>
      <c r="AI9" s="33">
        <f t="shared" si="0"/>
        <v>34</v>
      </c>
      <c r="AJ9" s="33">
        <f t="shared" si="0"/>
        <v>35</v>
      </c>
      <c r="AK9" s="33">
        <f t="shared" si="0"/>
        <v>36</v>
      </c>
      <c r="AL9" s="33">
        <f t="shared" si="0"/>
        <v>37</v>
      </c>
      <c r="AM9" s="33">
        <f t="shared" si="0"/>
        <v>38</v>
      </c>
      <c r="AN9" s="33">
        <f t="shared" si="0"/>
        <v>39</v>
      </c>
      <c r="AO9" s="33">
        <f t="shared" si="0"/>
        <v>40</v>
      </c>
      <c r="AP9" s="33">
        <f t="shared" si="0"/>
        <v>41</v>
      </c>
      <c r="AQ9" s="33">
        <f t="shared" si="0"/>
        <v>42</v>
      </c>
      <c r="AR9" s="33">
        <f t="shared" si="0"/>
        <v>43</v>
      </c>
      <c r="AS9" s="33">
        <f t="shared" si="0"/>
        <v>44</v>
      </c>
      <c r="AT9" s="33">
        <f t="shared" si="0"/>
        <v>45</v>
      </c>
      <c r="AU9" s="33">
        <f t="shared" si="0"/>
        <v>46</v>
      </c>
      <c r="AV9" s="33">
        <f t="shared" si="0"/>
        <v>47</v>
      </c>
      <c r="AW9" s="33"/>
      <c r="AX9" s="33"/>
      <c r="AY9" s="33">
        <f>AV9+1</f>
        <v>48</v>
      </c>
      <c r="AZ9" s="33">
        <f t="shared" ref="AZ9:BE9" si="1">AY9+1</f>
        <v>49</v>
      </c>
      <c r="BA9" s="33">
        <f t="shared" si="1"/>
        <v>50</v>
      </c>
      <c r="BB9" s="33">
        <f t="shared" si="1"/>
        <v>51</v>
      </c>
      <c r="BC9" s="33">
        <f t="shared" si="1"/>
        <v>52</v>
      </c>
      <c r="BD9" s="33">
        <f t="shared" si="1"/>
        <v>53</v>
      </c>
      <c r="BE9" s="33">
        <f t="shared" si="1"/>
        <v>54</v>
      </c>
      <c r="BF9" s="33"/>
      <c r="BG9" s="33"/>
      <c r="BH9" s="33"/>
      <c r="BI9" s="33"/>
      <c r="BJ9" s="33">
        <f>BE9+1</f>
        <v>55</v>
      </c>
      <c r="BK9" s="33">
        <f>BJ9+1</f>
        <v>56</v>
      </c>
      <c r="BL9" s="33">
        <f>BK9+1</f>
        <v>57</v>
      </c>
      <c r="BM9" s="33">
        <f>BL9+1</f>
        <v>58</v>
      </c>
      <c r="BN9" s="33">
        <f>BM9+1</f>
        <v>59</v>
      </c>
      <c r="BO9" s="33"/>
      <c r="BP9" s="33">
        <f>BN9+1</f>
        <v>60</v>
      </c>
      <c r="BQ9" s="33">
        <f>BP9+1</f>
        <v>61</v>
      </c>
      <c r="BR9" s="33">
        <f>BQ9+1</f>
        <v>62</v>
      </c>
      <c r="BS9" s="33"/>
      <c r="BT9" s="33">
        <f>BR9+1</f>
        <v>63</v>
      </c>
      <c r="BU9" s="33">
        <f>BT9+1</f>
        <v>64</v>
      </c>
      <c r="BW9" s="106" t="s">
        <v>95</v>
      </c>
      <c r="BX9" s="33">
        <f t="shared" ref="BX9:CD9" si="2">BW9+1</f>
        <v>66</v>
      </c>
      <c r="BY9" s="33">
        <f t="shared" si="2"/>
        <v>67</v>
      </c>
      <c r="BZ9" s="33">
        <f t="shared" si="2"/>
        <v>68</v>
      </c>
      <c r="CA9" s="33">
        <f t="shared" si="2"/>
        <v>69</v>
      </c>
      <c r="CB9" s="33">
        <f t="shared" si="2"/>
        <v>70</v>
      </c>
      <c r="CC9" s="33">
        <f t="shared" si="2"/>
        <v>71</v>
      </c>
      <c r="CD9" s="33">
        <f t="shared" si="2"/>
        <v>72</v>
      </c>
      <c r="CG9" s="136"/>
      <c r="CH9" s="137"/>
      <c r="CI9" s="138"/>
    </row>
    <row r="10" spans="1:87" s="214" customFormat="1" ht="11">
      <c r="A10" s="79" t="s">
        <v>96</v>
      </c>
      <c r="B10" s="79" t="s">
        <v>96</v>
      </c>
      <c r="C10" s="79" t="s">
        <v>96</v>
      </c>
      <c r="D10" s="33"/>
      <c r="E10" s="33"/>
      <c r="F10" s="33"/>
      <c r="G10" s="79" t="s">
        <v>96</v>
      </c>
      <c r="H10" s="79" t="s">
        <v>96</v>
      </c>
      <c r="I10" s="79" t="s">
        <v>96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103"/>
      <c r="BW10" s="107"/>
      <c r="BX10" s="76"/>
      <c r="BY10" s="76"/>
      <c r="BZ10" s="76"/>
      <c r="CA10" s="76"/>
      <c r="CB10" s="76"/>
      <c r="CC10" s="76"/>
      <c r="CD10" s="76"/>
      <c r="CG10" s="133"/>
      <c r="CH10" s="137"/>
      <c r="CI10" s="138"/>
    </row>
    <row r="11" spans="1:87" s="153" customFormat="1" ht="11">
      <c r="A11" s="145"/>
      <c r="B11" s="146"/>
      <c r="C11" s="146"/>
      <c r="D11" s="147"/>
      <c r="E11" s="147"/>
      <c r="F11" s="147"/>
      <c r="G11" s="146">
        <f>SUM(G12:G14)</f>
        <v>23500000</v>
      </c>
      <c r="H11" s="146">
        <f>SUM(H12:H14)</f>
        <v>300000</v>
      </c>
      <c r="I11" s="146">
        <f>SUM(I12:I14)</f>
        <v>78200000</v>
      </c>
      <c r="J11" s="146"/>
      <c r="K11" s="148">
        <f>SUM(K12:K14)</f>
        <v>32.5</v>
      </c>
      <c r="L11" s="148"/>
      <c r="M11" s="148"/>
      <c r="N11" s="148"/>
      <c r="O11" s="148"/>
      <c r="P11" s="148"/>
      <c r="Q11" s="148"/>
      <c r="R11" s="148">
        <f>SUM(R12:R14)</f>
        <v>4</v>
      </c>
      <c r="S11" s="148">
        <f>SUM(S12:S14)</f>
        <v>0</v>
      </c>
      <c r="T11" s="148"/>
      <c r="U11" s="148">
        <f>SUM(U12:U14)</f>
        <v>0</v>
      </c>
      <c r="V11" s="148">
        <f>SUM(V12:V14)</f>
        <v>0</v>
      </c>
      <c r="W11" s="148">
        <f>SUM(W12:W14)</f>
        <v>0</v>
      </c>
      <c r="X11" s="148">
        <f>SUM(X12:X14)</f>
        <v>0</v>
      </c>
      <c r="Y11" s="146">
        <f>SUM(Y12:Y14)</f>
        <v>9807884.615384616</v>
      </c>
      <c r="Z11" s="146"/>
      <c r="AA11" s="146"/>
      <c r="AB11" s="146"/>
      <c r="AC11" s="146">
        <f>SUM(AC12:AC14)</f>
        <v>0</v>
      </c>
      <c r="AD11" s="146">
        <f>SUM(AD12:AD14)</f>
        <v>0</v>
      </c>
      <c r="AE11" s="146"/>
      <c r="AF11" s="146">
        <f t="shared" ref="AF11:AO11" si="3">SUM(AF12:AF14)</f>
        <v>0</v>
      </c>
      <c r="AG11" s="146">
        <f t="shared" si="3"/>
        <v>0</v>
      </c>
      <c r="AH11" s="146">
        <f t="shared" si="3"/>
        <v>0</v>
      </c>
      <c r="AI11" s="146">
        <f t="shared" si="3"/>
        <v>0</v>
      </c>
      <c r="AJ11" s="146">
        <f t="shared" si="3"/>
        <v>0</v>
      </c>
      <c r="AK11" s="146">
        <f t="shared" si="3"/>
        <v>0</v>
      </c>
      <c r="AL11" s="146">
        <f t="shared" si="3"/>
        <v>0</v>
      </c>
      <c r="AM11" s="146">
        <f t="shared" si="3"/>
        <v>0</v>
      </c>
      <c r="AN11" s="146">
        <f t="shared" si="3"/>
        <v>126923.07692307694</v>
      </c>
      <c r="AO11" s="146">
        <f t="shared" si="3"/>
        <v>41270769.230769232</v>
      </c>
      <c r="AP11" s="146"/>
      <c r="AQ11" s="146"/>
      <c r="AR11" s="146"/>
      <c r="AS11" s="146"/>
      <c r="AT11" s="146"/>
      <c r="AU11" s="146"/>
      <c r="AV11" s="146">
        <f>SUM(AV12:AV14)</f>
        <v>56373846.15384616</v>
      </c>
      <c r="AW11" s="146"/>
      <c r="AX11" s="146"/>
      <c r="AY11" s="146">
        <f>SUM(AY12:AY14)</f>
        <v>1904000</v>
      </c>
      <c r="AZ11" s="146">
        <f>SUM(AZ12:AZ14)</f>
        <v>357000</v>
      </c>
      <c r="BA11" s="146">
        <f>SUM(BA12:BA14)</f>
        <v>238000</v>
      </c>
      <c r="BB11" s="146">
        <f>SUM(BB12:BB14)</f>
        <v>2499000</v>
      </c>
      <c r="BC11" s="146">
        <f>SUM(BC12:BC14)</f>
        <v>0</v>
      </c>
      <c r="BD11" s="146"/>
      <c r="BE11" s="146">
        <f>SUM(BE12:BE14)</f>
        <v>235000</v>
      </c>
      <c r="BF11" s="146"/>
      <c r="BG11" s="146"/>
      <c r="BH11" s="146"/>
      <c r="BI11" s="146"/>
      <c r="BJ11" s="146">
        <f>SUM(BJ12:BJ14)</f>
        <v>511631</v>
      </c>
      <c r="BK11" s="146">
        <f>SUM(BK12:BK14)</f>
        <v>0</v>
      </c>
      <c r="BL11" s="146">
        <f>SUM(BL12:BL14)</f>
        <v>0</v>
      </c>
      <c r="BM11" s="146">
        <f>SUM(BM12:BM14)</f>
        <v>0</v>
      </c>
      <c r="BN11" s="146">
        <f>SUM(BN12:BN14)</f>
        <v>0</v>
      </c>
      <c r="BO11" s="146"/>
      <c r="BP11" s="146">
        <f>SUM(BP12:BP14)</f>
        <v>0</v>
      </c>
      <c r="BQ11" s="146"/>
      <c r="BR11" s="146"/>
      <c r="BS11" s="146"/>
      <c r="BT11" s="146">
        <f>SUM(BT12:BT14)</f>
        <v>45099076.923076928</v>
      </c>
      <c r="BU11" s="150">
        <f>SUM(BU12:BU14)</f>
        <v>0</v>
      </c>
      <c r="BW11" s="151"/>
      <c r="BX11" s="152"/>
      <c r="BY11" s="152"/>
      <c r="BZ11" s="152"/>
      <c r="CA11" s="152"/>
      <c r="CB11" s="152"/>
      <c r="CC11" s="152"/>
      <c r="CD11" s="152"/>
    </row>
    <row r="12" spans="1:87" s="171" customFormat="1" ht="11">
      <c r="A12" s="154">
        <f>IF(B12=0,"",COUNTA($B$12:(B12)))</f>
        <v>1</v>
      </c>
      <c r="B12" s="155">
        <v>123456</v>
      </c>
      <c r="C12" s="156" t="s">
        <v>120</v>
      </c>
      <c r="D12" s="157" t="s">
        <v>148</v>
      </c>
      <c r="E12" s="157" t="s">
        <v>99</v>
      </c>
      <c r="F12" s="157" t="str">
        <f>IF(BW12&gt;=18000000,"LT","LN")</f>
        <v>LT</v>
      </c>
      <c r="G12" s="160">
        <v>9520000</v>
      </c>
      <c r="H12" s="160">
        <f>+IF(OR(CC12="ĐT PCCC",CC12="ĐP PCCC"),780000,IF(CC12="AT-VSV",300000,0))</f>
        <v>0</v>
      </c>
      <c r="I12" s="160">
        <f>CB12-BZ12-G12-H12</f>
        <v>50480000</v>
      </c>
      <c r="J12" s="161">
        <v>1</v>
      </c>
      <c r="K12" s="162">
        <v>11</v>
      </c>
      <c r="L12" s="162"/>
      <c r="M12" s="162"/>
      <c r="N12" s="162"/>
      <c r="O12" s="162">
        <v>2</v>
      </c>
      <c r="P12" s="162"/>
      <c r="Q12" s="162"/>
      <c r="R12" s="162">
        <v>0</v>
      </c>
      <c r="S12" s="162">
        <v>0</v>
      </c>
      <c r="T12" s="162"/>
      <c r="U12" s="162">
        <v>0</v>
      </c>
      <c r="V12" s="162">
        <v>0</v>
      </c>
      <c r="W12" s="162">
        <v>0</v>
      </c>
      <c r="X12" s="162">
        <v>0</v>
      </c>
      <c r="Y12" s="160">
        <f>G12*(K12+L12)/26</f>
        <v>4027692.3076923075</v>
      </c>
      <c r="Z12" s="160">
        <f>M12*G12/26</f>
        <v>0</v>
      </c>
      <c r="AA12" s="160">
        <f>G12*N12/26</f>
        <v>0</v>
      </c>
      <c r="AB12" s="160">
        <f>G12*O12/26</f>
        <v>732307.69230769225</v>
      </c>
      <c r="AC12" s="160">
        <f>G12*P12*150%/26</f>
        <v>0</v>
      </c>
      <c r="AD12" s="160">
        <f>G12*Q12/26*200%</f>
        <v>0</v>
      </c>
      <c r="AE12" s="160">
        <f>G12*R12/26*300%</f>
        <v>0</v>
      </c>
      <c r="AF12" s="160">
        <f>IF(F12="LT",0,(G12+H12)/26*S12*30%)</f>
        <v>0</v>
      </c>
      <c r="AG12" s="160">
        <f>T12*G12/23/8</f>
        <v>0</v>
      </c>
      <c r="AH12" s="160">
        <f>CB12/26*U12</f>
        <v>0</v>
      </c>
      <c r="AI12" s="160">
        <f>G12*V12/26</f>
        <v>0</v>
      </c>
      <c r="AJ12" s="160"/>
      <c r="AK12" s="160">
        <f>BZ12*L12/26</f>
        <v>0</v>
      </c>
      <c r="AL12" s="160"/>
      <c r="AM12" s="160">
        <f>X12*CD12</f>
        <v>0</v>
      </c>
      <c r="AN12" s="160">
        <f>H12/26*(K12+L12)</f>
        <v>0</v>
      </c>
      <c r="AO12" s="160">
        <f>IF(F12="LN",I12*(K12+L12)/26+(H12+I12)*50%*M12/26+IF(F12="LT",BW12*O12/26-AB12,0)+MAX($G12*P12/26*150%,P12*$BW12/26)-AC12+MAX($G12*Q12/26*200%,Q12*$BW12/26)-AD12+MAX($G12*R12/26*300%,R12*$BW12/26)-AE12+BW12*S12/26-AF12+AH12-AG12,I12-I12*($CF$3-K12-L12)/26+(H12+I12)*50%*M12/26+IF(F12="LT",BW12*O12/26-AB12,0)+MAX($G12*P12/26*150%,P12*$BW12/26)-AC12+MAX($G12*Q12/26*200%,Q12*$BW12/26)-AD12+MAX($G12*R12/26*300%,R12*$BW12/26)-AE12+BW12*S12/26-AF12+AH12-AG12+(G12-G12*($CF$3-K12-L12)/26-Y12)+(H12-H12*($CF$3-K12-L12)/26-AN12))</f>
        <v>27547692.307692312</v>
      </c>
      <c r="AP12" s="160"/>
      <c r="AQ12" s="160"/>
      <c r="AR12" s="160"/>
      <c r="AS12" s="160"/>
      <c r="AT12" s="160"/>
      <c r="AU12" s="160"/>
      <c r="AV12" s="164">
        <f>Y12+Z12+AA12+AB12+AC12+AD12+AE12+AF12+AG12+AI12+AJ12+AK12+AL12+AM12+AN12+AO12+AP12-AQ12+AR12+AS12+AT12+AU12</f>
        <v>32307692.307692312</v>
      </c>
      <c r="AW12" s="164"/>
      <c r="AX12" s="164" t="s">
        <v>101</v>
      </c>
      <c r="AY12" s="165">
        <f t="shared" ref="AY12:BA14" si="4">ROUND(IF($AX12="x",($G12+$H12)*AY$8,0),0)</f>
        <v>761600</v>
      </c>
      <c r="AZ12" s="165">
        <f t="shared" si="4"/>
        <v>142800</v>
      </c>
      <c r="BA12" s="165">
        <f t="shared" si="4"/>
        <v>95200</v>
      </c>
      <c r="BB12" s="165">
        <f>SUM(AY12:BA12)</f>
        <v>999600</v>
      </c>
      <c r="BC12" s="165"/>
      <c r="BD12" s="165"/>
      <c r="BE12" s="165">
        <f>IF(G12*1%&gt;=234000,234000,G12*1%)</f>
        <v>95200</v>
      </c>
      <c r="BF12" s="165">
        <f>AM12+IF(AR12&gt;=730000,730000,AR12)+IF(((AV12-AM12-IF(AR12&gt;=730000,730000,AR12)-AS12)*15%-AS12)&gt;"0",((AV12-AM12-IF(AR12&gt;=730000,730000,AR12)-AS12)*15%-AS12),0)</f>
        <v>0</v>
      </c>
      <c r="BG12" s="165">
        <f>AV12-BF12+AW12</f>
        <v>32307692.307692312</v>
      </c>
      <c r="BH12" s="165">
        <v>3</v>
      </c>
      <c r="BI12" s="165">
        <f>BG12-BB12-BC12+BD12-BH12*4400000-IF(E12="CT",11000000,0)</f>
        <v>7108092.3076923117</v>
      </c>
      <c r="BJ12" s="152">
        <f>IF(BI12&gt;0,ROUND(IF(BI12&gt;=80000000,BI12*35%-9850000,IF(BI12&gt;=52000000,BI12*30%-5850000,IF(BI12&gt;=32000000,BI12*25%-3250000,IF(BI12&gt;=18000000,BI12*20%-1650000,IF(BI12&gt;=10000000,BI12*15%-750000,IF(BI12&gt;5000000,BI12*10%-250000,BI12*5%)))))),0),0)</f>
        <v>460809</v>
      </c>
      <c r="BK12" s="165"/>
      <c r="BL12" s="165"/>
      <c r="BM12" s="165">
        <v>0</v>
      </c>
      <c r="BN12" s="165"/>
      <c r="BO12" s="165"/>
      <c r="BP12" s="165"/>
      <c r="BQ12" s="165"/>
      <c r="BR12" s="165"/>
      <c r="BS12" s="165" t="str">
        <f>IF(AV12&gt;=11000000,"80%","100%")</f>
        <v>80%</v>
      </c>
      <c r="BT12" s="165">
        <f>AV12*BS12-BN12-BK12-BP12-BO12</f>
        <v>25846153.846153852</v>
      </c>
      <c r="BU12" s="166"/>
      <c r="BW12" s="151">
        <v>60000000</v>
      </c>
      <c r="BX12" s="152">
        <v>0</v>
      </c>
      <c r="BY12" s="152"/>
      <c r="BZ12" s="152"/>
      <c r="CA12" s="152">
        <v>0</v>
      </c>
      <c r="CB12" s="152">
        <f>SUM(BW12:CA12)</f>
        <v>60000000</v>
      </c>
      <c r="CC12" s="152" t="s">
        <v>122</v>
      </c>
      <c r="CD12" s="152"/>
      <c r="CE12" s="167"/>
      <c r="CF12" s="168"/>
      <c r="CG12" s="168"/>
      <c r="CH12" s="169"/>
      <c r="CI12" s="170"/>
    </row>
    <row r="13" spans="1:87" s="171" customFormat="1" ht="11">
      <c r="A13" s="154">
        <f>IF(B13=0,"",COUNTA($B$12:(B13)))</f>
        <v>2</v>
      </c>
      <c r="B13" s="155">
        <v>3562789</v>
      </c>
      <c r="C13" s="156" t="s">
        <v>123</v>
      </c>
      <c r="D13" s="157" t="s">
        <v>149</v>
      </c>
      <c r="E13" s="157" t="s">
        <v>99</v>
      </c>
      <c r="F13" s="157" t="str">
        <f>IF(BW13&gt;=18000000,"LT","LN")</f>
        <v>LT</v>
      </c>
      <c r="G13" s="160">
        <v>6990000</v>
      </c>
      <c r="H13" s="160">
        <f>+IF(OR(CC13="ĐT PCCC",CC13="ĐP PCCC"),780000,IF(CC13="AT-VSV",300000,0))</f>
        <v>0</v>
      </c>
      <c r="I13" s="160">
        <f>CB13-BZ13-G13-H13</f>
        <v>17160000</v>
      </c>
      <c r="J13" s="161">
        <v>1</v>
      </c>
      <c r="K13" s="162">
        <v>10.5</v>
      </c>
      <c r="L13" s="162"/>
      <c r="M13" s="162">
        <v>0.5</v>
      </c>
      <c r="N13" s="162"/>
      <c r="O13" s="162">
        <v>2</v>
      </c>
      <c r="P13" s="162"/>
      <c r="Q13" s="162"/>
      <c r="R13" s="162">
        <v>0</v>
      </c>
      <c r="S13" s="162">
        <v>0</v>
      </c>
      <c r="T13" s="162"/>
      <c r="U13" s="162">
        <v>0</v>
      </c>
      <c r="V13" s="162">
        <v>0</v>
      </c>
      <c r="W13" s="162">
        <v>0</v>
      </c>
      <c r="X13" s="162">
        <v>0</v>
      </c>
      <c r="Y13" s="160">
        <f>G13*(K13+L13)/26</f>
        <v>2822884.6153846155</v>
      </c>
      <c r="Z13" s="160">
        <f>M13*G13/26</f>
        <v>134423.07692307694</v>
      </c>
      <c r="AA13" s="160">
        <f>G13*N13/26</f>
        <v>0</v>
      </c>
      <c r="AB13" s="160">
        <f>G13*O13/26</f>
        <v>537692.30769230775</v>
      </c>
      <c r="AC13" s="160">
        <f>G13*P13*150%/26</f>
        <v>0</v>
      </c>
      <c r="AD13" s="160">
        <f>G13*Q13/26*200%</f>
        <v>0</v>
      </c>
      <c r="AE13" s="160">
        <f>G13*R13/26*300%</f>
        <v>0</v>
      </c>
      <c r="AF13" s="160">
        <f>IF(F13="LT",0,(G13+H13)/26*S13*30%)</f>
        <v>0</v>
      </c>
      <c r="AG13" s="160">
        <f>T13*G13/23/8</f>
        <v>0</v>
      </c>
      <c r="AH13" s="160">
        <f>CB13/26*U13</f>
        <v>0</v>
      </c>
      <c r="AI13" s="160">
        <f>G13*V13/26</f>
        <v>0</v>
      </c>
      <c r="AJ13" s="160"/>
      <c r="AK13" s="160">
        <f>BZ13*L13/26</f>
        <v>0</v>
      </c>
      <c r="AL13" s="160"/>
      <c r="AM13" s="160">
        <f>X13*CD13</f>
        <v>0</v>
      </c>
      <c r="AN13" s="160">
        <f>H13/26*K13</f>
        <v>0</v>
      </c>
      <c r="AO13" s="160">
        <f>IF(F13="LN",I13*(K13+L13)/26+(H13+I13)*50%*M13/26+IF(F13="LT",BW13*O13/26-AB13,0)+MAX($G13*P13/26*150%,P13*$BW13/26)-AC13+MAX($G13*Q13/26*200%,Q13*$BW13/26)-AD13+MAX($G13*R13/26*300%,R13*$BW13/26)-AE13+BW13*S13/26-AF13+AH13-AG13,I13-I13*($CF$3-K13-L13)/26+(H13+I13)*50%*M13/26+IF(F13="LT",BW13*O13/26-AB13,0)+MAX($G13*P13/26*150%,P13*$BW13/26)-AC13+MAX($G13*Q13/26*200%,Q13*$BW13/26)-AD13+MAX($G13*R13/26*300%,R13*$BW13/26)-AE13+BW13*S13/26-AF13+AH13-AG13+(G13-G13*($CF$3-K13-L13)/26-Y13)+(H13-H13*($CF$3-K13-L13)/26-AN13))</f>
        <v>9255384.615384616</v>
      </c>
      <c r="AP13" s="160"/>
      <c r="AQ13" s="160"/>
      <c r="AR13" s="160"/>
      <c r="AS13" s="160"/>
      <c r="AT13" s="160"/>
      <c r="AU13" s="160"/>
      <c r="AV13" s="164">
        <f>Y13+Z13+AA13+AB13+AC13+AD13+AE13+AF13+AG13+AI13+AJ13+AK13+AL13+AM13+AN13+AO13+AP13-AQ13+AR13+AS13+AT13+AU13</f>
        <v>12750384.615384616</v>
      </c>
      <c r="AW13" s="164"/>
      <c r="AX13" s="164" t="s">
        <v>101</v>
      </c>
      <c r="AY13" s="165">
        <f t="shared" si="4"/>
        <v>559200</v>
      </c>
      <c r="AZ13" s="165">
        <f t="shared" si="4"/>
        <v>104850</v>
      </c>
      <c r="BA13" s="165">
        <f t="shared" si="4"/>
        <v>69900</v>
      </c>
      <c r="BB13" s="165">
        <f>SUM(AY13:BA13)</f>
        <v>733950</v>
      </c>
      <c r="BC13" s="165"/>
      <c r="BD13" s="165"/>
      <c r="BE13" s="165">
        <f>IF(G13*1%&gt;=234000,234000,G13*1%)</f>
        <v>69900</v>
      </c>
      <c r="BF13" s="165">
        <f>AM13+IF(AR13&gt;=730000,730000,AR13)+IF(((AV13-AM13-IF(AR13&gt;=730000,730000,AR13)-AS13)*15%-AS13)&gt;"0",((AV13-AM13-IF(AR13&gt;=730000,730000,AR13)-AS13)*15%-AS13),0)</f>
        <v>0</v>
      </c>
      <c r="BG13" s="165">
        <f>AV13-BF13+AW13</f>
        <v>12750384.615384616</v>
      </c>
      <c r="BH13" s="165"/>
      <c r="BI13" s="165">
        <f>BG13-BB13-BC13+BD13-BH13*4400000-IF(E13="CT",11000000,0)</f>
        <v>1016434.615384616</v>
      </c>
      <c r="BJ13" s="152">
        <f>IF(BI13&gt;0,ROUND(IF(BI13&gt;=80000000,BI13*35%-9850000,IF(BI13&gt;=52000000,BI13*30%-5850000,IF(BI13&gt;=32000000,BI13*25%-3250000,IF(BI13&gt;=18000000,BI13*20%-1650000,IF(BI13&gt;=10000000,BI13*15%-750000,IF(BI13&gt;5000000,BI13*10%-250000,BI13*5%)))))),0),0)</f>
        <v>50822</v>
      </c>
      <c r="BK13" s="165"/>
      <c r="BL13" s="165"/>
      <c r="BM13" s="165">
        <v>0</v>
      </c>
      <c r="BN13" s="165"/>
      <c r="BO13" s="165"/>
      <c r="BP13" s="165"/>
      <c r="BQ13" s="165"/>
      <c r="BR13" s="165"/>
      <c r="BS13" s="165" t="str">
        <f>IF(AV13&gt;=11000000,"80%","100%")</f>
        <v>80%</v>
      </c>
      <c r="BT13" s="165">
        <f>AV13*BS13-BN13-BK13-BP13-BO13</f>
        <v>10200307.692307694</v>
      </c>
      <c r="BU13" s="166"/>
      <c r="BW13" s="151">
        <v>23000000</v>
      </c>
      <c r="BX13" s="152">
        <v>0</v>
      </c>
      <c r="BY13" s="152">
        <v>0</v>
      </c>
      <c r="BZ13" s="152"/>
      <c r="CA13" s="152">
        <f>+BW13*5%</f>
        <v>1150000</v>
      </c>
      <c r="CB13" s="152">
        <f>SUM(BW13:CA13)</f>
        <v>24150000</v>
      </c>
      <c r="CC13" s="152" t="s">
        <v>114</v>
      </c>
      <c r="CD13" s="152"/>
      <c r="CE13" s="167"/>
      <c r="CF13" s="168"/>
      <c r="CG13" s="168"/>
      <c r="CH13" s="169"/>
      <c r="CI13" s="170"/>
    </row>
    <row r="14" spans="1:87" s="171" customFormat="1" ht="11">
      <c r="A14" s="154">
        <f>IF(B14=0,"",COUNTA($B$12:(B14)))</f>
        <v>3</v>
      </c>
      <c r="B14" s="172" t="s">
        <v>124</v>
      </c>
      <c r="C14" s="156" t="s">
        <v>125</v>
      </c>
      <c r="D14" s="157" t="s">
        <v>149</v>
      </c>
      <c r="E14" s="157" t="s">
        <v>99</v>
      </c>
      <c r="F14" s="157" t="str">
        <f>IF(BW14&gt;=18000000,"LT","LN")</f>
        <v>LN</v>
      </c>
      <c r="G14" s="160">
        <v>6990000</v>
      </c>
      <c r="H14" s="160">
        <f>+IF(OR(CC14="ĐT PCCC",CC14="ĐP PCCC"),780000,IF(CC14="AT-VSV",300000,0))</f>
        <v>300000</v>
      </c>
      <c r="I14" s="160">
        <f>CB14-BZ14-G14-H14</f>
        <v>10560000</v>
      </c>
      <c r="J14" s="161">
        <v>1</v>
      </c>
      <c r="K14" s="162">
        <v>11</v>
      </c>
      <c r="L14" s="162"/>
      <c r="M14" s="162"/>
      <c r="N14" s="162"/>
      <c r="O14" s="162">
        <v>2</v>
      </c>
      <c r="P14" s="162"/>
      <c r="Q14" s="162"/>
      <c r="R14" s="162">
        <v>4</v>
      </c>
      <c r="S14" s="162">
        <v>0</v>
      </c>
      <c r="T14" s="162"/>
      <c r="U14" s="162">
        <v>0</v>
      </c>
      <c r="V14" s="162">
        <v>0</v>
      </c>
      <c r="W14" s="162">
        <v>0</v>
      </c>
      <c r="X14" s="162">
        <v>0</v>
      </c>
      <c r="Y14" s="160">
        <f>G14*(K14+L14)/26</f>
        <v>2957307.6923076925</v>
      </c>
      <c r="Z14" s="160">
        <f>M14*G14/26</f>
        <v>0</v>
      </c>
      <c r="AA14" s="160">
        <f>G14*N14/26</f>
        <v>0</v>
      </c>
      <c r="AB14" s="160">
        <f>G14*O14/26</f>
        <v>537692.30769230775</v>
      </c>
      <c r="AC14" s="160">
        <f>G14*P14*150%/26</f>
        <v>0</v>
      </c>
      <c r="AD14" s="160">
        <f>G14*Q14/26*200%</f>
        <v>0</v>
      </c>
      <c r="AE14" s="160">
        <f>G14*R14/26*300%</f>
        <v>3226153.8461538465</v>
      </c>
      <c r="AF14" s="160">
        <f>IF(F14="LT",0,(G14+H14)/26*S14*30%)</f>
        <v>0</v>
      </c>
      <c r="AG14" s="160">
        <f>T14*G14/23/8</f>
        <v>0</v>
      </c>
      <c r="AH14" s="160">
        <f>CB14/26*U14</f>
        <v>0</v>
      </c>
      <c r="AI14" s="160">
        <f>G14*V14/26</f>
        <v>0</v>
      </c>
      <c r="AJ14" s="160"/>
      <c r="AK14" s="160">
        <f>BZ14*L14/26</f>
        <v>0</v>
      </c>
      <c r="AL14" s="160"/>
      <c r="AM14" s="160">
        <f>X14*CD14</f>
        <v>0</v>
      </c>
      <c r="AN14" s="160">
        <f>H14/26*K14</f>
        <v>126923.07692307694</v>
      </c>
      <c r="AO14" s="160">
        <f>IF(F14="LN",I14*(K14+L14)/26+(H14+I14)*50%*M14/26+IF(F14="LT",BW14*O14/26-AB14,0)+MAX($G14*P14/26*150%,P14*$BW14/26)-AC14+MAX($G14*Q14/26*200%,Q14*$BW14/26)-AD14+MAX($G14*R14/26*300%,R14*$BW14/26)-AE14+BW14*S14/26-AF14+AH14-AG14,I14-I14*($CF$3-K14-L14)/26+(H14+I14)*50%*M14/26+IF(F14="LT",BW14*O14/26-AB14,0)+MAX($G14*P14/26*150%,P14*$BW14/26)-AC14+MAX($G14*Q14/26*200%,Q14*$BW14/26)-AD14+MAX($G14*R14/26*300%,R14*$BW14/26)-AE14+BW14*S14/26-AF14+AH14-AG14+(G14-G14*($CF$3-K14-L14)/26-Y14)+(H14-H14*($CF$3-K14-L14)/26-AN14))</f>
        <v>4467692.307692308</v>
      </c>
      <c r="AP14" s="160"/>
      <c r="AQ14" s="160"/>
      <c r="AR14" s="160"/>
      <c r="AS14" s="160"/>
      <c r="AT14" s="160"/>
      <c r="AU14" s="160"/>
      <c r="AV14" s="164">
        <f>Y14+Z14+AA14+AB14+AC14+AD14+AE14+AF14+AG14+AI14+AJ14+AK14+AL14+AM14+AN14+AO14+AP14-AQ14+AR14+AS14+AT14+AU14</f>
        <v>11315769.230769232</v>
      </c>
      <c r="AW14" s="164"/>
      <c r="AX14" s="164" t="s">
        <v>101</v>
      </c>
      <c r="AY14" s="165">
        <f t="shared" si="4"/>
        <v>583200</v>
      </c>
      <c r="AZ14" s="165">
        <f t="shared" si="4"/>
        <v>109350</v>
      </c>
      <c r="BA14" s="165">
        <f t="shared" si="4"/>
        <v>72900</v>
      </c>
      <c r="BB14" s="165">
        <f>SUM(AY14:BA14)</f>
        <v>765450</v>
      </c>
      <c r="BC14" s="165"/>
      <c r="BD14" s="165"/>
      <c r="BE14" s="165">
        <f>IF(G14*1%&gt;=234000,234000,G14*1%)</f>
        <v>69900</v>
      </c>
      <c r="BF14" s="165">
        <f>AM14+IF(AR14&gt;=730000,730000,AR14)+IF(((AV14-AM14-IF(AR14&gt;=730000,730000,AR14)-AS14)*15%-AS14)&gt;"0",((AV14-AM14-IF(AR14&gt;=730000,730000,AR14)-AS14)*15%-AS14),0)</f>
        <v>0</v>
      </c>
      <c r="BG14" s="165">
        <f>AV14-BF14+AW14</f>
        <v>11315769.230769232</v>
      </c>
      <c r="BH14" s="165"/>
      <c r="BI14" s="165">
        <f>BG14-BB14-BC14+BD14-BH14*4400000-IF(E14="CT",11000000,0)</f>
        <v>-449680.76923076808</v>
      </c>
      <c r="BJ14" s="152">
        <f>IF(BI14&gt;0,ROUND(IF(BI14&gt;=80000000,BI14*35%-9850000,IF(BI14&gt;=52000000,BI14*30%-5850000,IF(BI14&gt;=32000000,BI14*25%-3250000,IF(BI14&gt;=18000000,BI14*20%-1650000,IF(BI14&gt;=10000000,BI14*15%-750000,IF(BI14&gt;5000000,BI14*10%-250000,BI14*5%)))))),0),0)</f>
        <v>0</v>
      </c>
      <c r="BK14" s="165"/>
      <c r="BL14" s="165"/>
      <c r="BM14" s="165">
        <v>0</v>
      </c>
      <c r="BN14" s="165"/>
      <c r="BO14" s="165"/>
      <c r="BP14" s="165"/>
      <c r="BQ14" s="165"/>
      <c r="BR14" s="165"/>
      <c r="BS14" s="165" t="str">
        <f>IF(AV14&gt;=11000000,"80%","100%")</f>
        <v>80%</v>
      </c>
      <c r="BT14" s="165">
        <f>AV14*BS14-BN14-BK14-BP14-BO14</f>
        <v>9052615.3846153859</v>
      </c>
      <c r="BU14" s="166"/>
      <c r="BW14" s="151">
        <v>17000000</v>
      </c>
      <c r="BX14" s="152">
        <v>0</v>
      </c>
      <c r="BY14" s="152">
        <v>0</v>
      </c>
      <c r="BZ14" s="152"/>
      <c r="CA14" s="152">
        <f>+BW14*5%</f>
        <v>850000</v>
      </c>
      <c r="CB14" s="152">
        <f>SUM(BW14:CA14)</f>
        <v>17850000</v>
      </c>
      <c r="CC14" s="152" t="s">
        <v>118</v>
      </c>
      <c r="CD14" s="152"/>
      <c r="CE14" s="167"/>
      <c r="CF14" s="168"/>
      <c r="CG14" s="168"/>
      <c r="CH14" s="169"/>
      <c r="CI14" s="170"/>
    </row>
    <row r="17" spans="1:87" s="187" customFormat="1" ht="84" customHeight="1">
      <c r="A17" s="184" t="str">
        <f>A5&amp;A6&amp;A7&amp;A8</f>
        <v>TT</v>
      </c>
      <c r="B17" s="184" t="str">
        <f>B5&amp;B6&amp;B7&amp;B8</f>
        <v>MSNV</v>
      </c>
      <c r="C17" s="184" t="s">
        <v>6</v>
      </c>
      <c r="D17" s="184" t="s">
        <v>141</v>
      </c>
      <c r="E17" s="184" t="s">
        <v>8</v>
      </c>
      <c r="F17" s="184" t="str">
        <f>F5&amp;F6&amp;F7&amp;F8</f>
        <v>LN/LT</v>
      </c>
      <c r="G17" s="184" t="s">
        <v>10</v>
      </c>
      <c r="H17" s="184" t="s">
        <v>11</v>
      </c>
      <c r="I17" s="184" t="s">
        <v>12</v>
      </c>
      <c r="J17" s="184" t="s">
        <v>13</v>
      </c>
      <c r="K17" s="184"/>
      <c r="L17" s="184" t="s">
        <v>35</v>
      </c>
      <c r="M17" s="184" t="s">
        <v>36</v>
      </c>
      <c r="N17" s="184" t="s">
        <v>37</v>
      </c>
      <c r="O17" s="184" t="s">
        <v>38</v>
      </c>
      <c r="P17" s="184" t="s">
        <v>39</v>
      </c>
      <c r="Q17" s="184" t="s">
        <v>40</v>
      </c>
      <c r="R17" s="184" t="s">
        <v>41</v>
      </c>
      <c r="S17" s="184" t="s">
        <v>42</v>
      </c>
      <c r="T17" s="184" t="s">
        <v>43</v>
      </c>
      <c r="U17" s="184" t="s">
        <v>44</v>
      </c>
      <c r="V17" s="184"/>
      <c r="W17" s="184" t="s">
        <v>87</v>
      </c>
      <c r="X17" s="184" t="s">
        <v>46</v>
      </c>
      <c r="Y17" s="184" t="str">
        <f>Y5&amp;Y6&amp;Y7&amp;Y8</f>
        <v>Amounts received during the monthLương
Ngày thường</v>
      </c>
      <c r="Z17" s="184" t="s">
        <v>48</v>
      </c>
      <c r="AA17" s="184" t="s">
        <v>49</v>
      </c>
      <c r="AB17" s="184" t="s">
        <v>50</v>
      </c>
      <c r="AC17" s="184" t="s">
        <v>51</v>
      </c>
      <c r="AD17" s="184" t="s">
        <v>144</v>
      </c>
      <c r="AE17" s="184" t="s">
        <v>53</v>
      </c>
      <c r="AF17" s="184" t="s">
        <v>54</v>
      </c>
      <c r="AG17" s="184" t="s">
        <v>55</v>
      </c>
      <c r="AH17" s="184" t="s">
        <v>56</v>
      </c>
      <c r="AI17" s="184" t="s">
        <v>57</v>
      </c>
      <c r="AJ17" s="184" t="s">
        <v>58</v>
      </c>
      <c r="AK17" s="184" t="s">
        <v>59</v>
      </c>
      <c r="AL17" s="184" t="s">
        <v>60</v>
      </c>
      <c r="AM17" s="184" t="s">
        <v>61</v>
      </c>
      <c r="AN17" s="184" t="s">
        <v>62</v>
      </c>
      <c r="AO17" s="184" t="s">
        <v>63</v>
      </c>
      <c r="AP17" s="184" t="s">
        <v>16</v>
      </c>
      <c r="AQ17" s="184" t="s">
        <v>17</v>
      </c>
      <c r="AR17" s="184" t="s">
        <v>18</v>
      </c>
      <c r="AS17" s="184" t="s">
        <v>19</v>
      </c>
      <c r="AT17" s="184" t="s">
        <v>20</v>
      </c>
      <c r="AU17" s="184" t="s">
        <v>21</v>
      </c>
      <c r="AV17" s="184" t="s">
        <v>22</v>
      </c>
      <c r="AW17" s="184" t="s">
        <v>23</v>
      </c>
      <c r="AX17" s="184" t="str">
        <f>AX5&amp;AX6&amp;AX7&amp;AX8</f>
        <v>Tham gia BHXH</v>
      </c>
      <c r="AY17" s="184"/>
      <c r="AZ17" s="184" t="str">
        <f>AZ5&amp;AZ6&amp;AZ7&amp;AZ8</f>
        <v>BHYT1.5%</v>
      </c>
      <c r="BA17" s="184" t="str">
        <f>BA5&amp;BA6&amp;BA7&amp;BA8</f>
        <v>BHTN1%</v>
      </c>
      <c r="BB17" s="184" t="s">
        <v>70</v>
      </c>
      <c r="BC17" s="184" t="str">
        <f>BC5&amp;BC6&amp;BC7&amp;BC8</f>
        <v>Truy thu BHXH</v>
      </c>
      <c r="BD17" s="184" t="s">
        <v>72</v>
      </c>
      <c r="BE17" s="184" t="str">
        <f>BE5&amp;BE6&amp;BE7&amp;BE8</f>
        <v>Phí 
công đoàn
(Lương HĐLĐ *1%)</v>
      </c>
      <c r="BF17" s="184" t="s">
        <v>74</v>
      </c>
      <c r="BG17" s="184" t="s">
        <v>75</v>
      </c>
      <c r="BH17" s="184" t="str">
        <f>BH5&amp;BH6&amp;BH7&amp;BH8</f>
        <v>NPT</v>
      </c>
      <c r="BI17" s="184" t="str">
        <f>BI5&amp;BI6&amp;BI7&amp;BI8</f>
        <v>TNTT</v>
      </c>
      <c r="BJ17" s="184" t="s">
        <v>80</v>
      </c>
      <c r="BK17" s="184"/>
      <c r="BL17" s="184" t="s">
        <v>82</v>
      </c>
      <c r="BM17" s="184" t="s">
        <v>83</v>
      </c>
      <c r="BN17" s="184" t="s">
        <v>84</v>
      </c>
      <c r="BO17" s="184" t="s">
        <v>146</v>
      </c>
      <c r="BP17" s="184" t="str">
        <f>BP5&amp;BP6&amp;BP7&amp;BP8</f>
        <v>…..............</v>
      </c>
      <c r="BQ17" s="184"/>
      <c r="BR17" s="184" t="s">
        <v>66</v>
      </c>
      <c r="BS17" s="184" t="s">
        <v>143</v>
      </c>
      <c r="BT17" s="184" t="s">
        <v>27</v>
      </c>
      <c r="BU17" s="184" t="s">
        <v>28</v>
      </c>
      <c r="BW17" s="184" t="s">
        <v>29</v>
      </c>
      <c r="BX17" s="184"/>
      <c r="BY17" s="184" t="s">
        <v>92</v>
      </c>
      <c r="BZ17" s="184" t="s">
        <v>93</v>
      </c>
      <c r="CA17" s="184" t="s">
        <v>94</v>
      </c>
      <c r="CB17" s="184" t="s">
        <v>31</v>
      </c>
      <c r="CC17" s="184" t="s">
        <v>32</v>
      </c>
      <c r="CD17" s="184" t="s">
        <v>33</v>
      </c>
    </row>
    <row r="18" spans="1:87" s="187" customFormat="1" ht="11">
      <c r="A18" s="186" t="str">
        <f t="shared" ref="A18:AF18" si="5">SUBSTITUTE(ADDRESS(1,COLUMN(),4),1,"")</f>
        <v>A</v>
      </c>
      <c r="B18" s="186" t="str">
        <f t="shared" si="5"/>
        <v>B</v>
      </c>
      <c r="C18" s="186" t="str">
        <f t="shared" si="5"/>
        <v>C</v>
      </c>
      <c r="D18" s="186" t="str">
        <f t="shared" si="5"/>
        <v>D</v>
      </c>
      <c r="E18" s="186" t="str">
        <f t="shared" si="5"/>
        <v>E</v>
      </c>
      <c r="F18" s="186" t="str">
        <f t="shared" si="5"/>
        <v>F</v>
      </c>
      <c r="G18" s="186" t="str">
        <f t="shared" si="5"/>
        <v>G</v>
      </c>
      <c r="H18" s="186" t="str">
        <f t="shared" si="5"/>
        <v>H</v>
      </c>
      <c r="I18" s="186" t="str">
        <f t="shared" si="5"/>
        <v>I</v>
      </c>
      <c r="J18" s="186" t="str">
        <f t="shared" si="5"/>
        <v>J</v>
      </c>
      <c r="K18" s="186" t="str">
        <f t="shared" si="5"/>
        <v>K</v>
      </c>
      <c r="L18" s="186" t="str">
        <f t="shared" si="5"/>
        <v>L</v>
      </c>
      <c r="M18" s="186" t="str">
        <f t="shared" si="5"/>
        <v>M</v>
      </c>
      <c r="N18" s="186" t="str">
        <f t="shared" si="5"/>
        <v>N</v>
      </c>
      <c r="O18" s="186" t="str">
        <f t="shared" si="5"/>
        <v>O</v>
      </c>
      <c r="P18" s="186" t="str">
        <f t="shared" si="5"/>
        <v>P</v>
      </c>
      <c r="Q18" s="186" t="str">
        <f t="shared" si="5"/>
        <v>Q</v>
      </c>
      <c r="R18" s="186" t="str">
        <f t="shared" si="5"/>
        <v>R</v>
      </c>
      <c r="S18" s="186" t="str">
        <f t="shared" si="5"/>
        <v>S</v>
      </c>
      <c r="T18" s="186" t="str">
        <f t="shared" si="5"/>
        <v>T</v>
      </c>
      <c r="U18" s="186" t="str">
        <f t="shared" si="5"/>
        <v>U</v>
      </c>
      <c r="V18" s="186" t="str">
        <f t="shared" si="5"/>
        <v>V</v>
      </c>
      <c r="W18" s="186" t="str">
        <f t="shared" si="5"/>
        <v>W</v>
      </c>
      <c r="X18" s="186" t="str">
        <f t="shared" si="5"/>
        <v>X</v>
      </c>
      <c r="Y18" s="186" t="str">
        <f t="shared" si="5"/>
        <v>Y</v>
      </c>
      <c r="Z18" s="186" t="str">
        <f t="shared" si="5"/>
        <v>Z</v>
      </c>
      <c r="AA18" s="186" t="str">
        <f t="shared" si="5"/>
        <v>AA</v>
      </c>
      <c r="AB18" s="186" t="str">
        <f t="shared" si="5"/>
        <v>AB</v>
      </c>
      <c r="AC18" s="186" t="str">
        <f t="shared" si="5"/>
        <v>AC</v>
      </c>
      <c r="AD18" s="186" t="str">
        <f t="shared" si="5"/>
        <v>AD</v>
      </c>
      <c r="AE18" s="186" t="str">
        <f t="shared" si="5"/>
        <v>AE</v>
      </c>
      <c r="AF18" s="186" t="str">
        <f t="shared" si="5"/>
        <v>AF</v>
      </c>
      <c r="AG18" s="186" t="str">
        <f t="shared" ref="AG18:BL18" si="6">SUBSTITUTE(ADDRESS(1,COLUMN(),4),1,"")</f>
        <v>AG</v>
      </c>
      <c r="AH18" s="186" t="str">
        <f t="shared" si="6"/>
        <v>AH</v>
      </c>
      <c r="AI18" s="186" t="str">
        <f t="shared" si="6"/>
        <v>AI</v>
      </c>
      <c r="AJ18" s="186" t="str">
        <f t="shared" si="6"/>
        <v>AJ</v>
      </c>
      <c r="AK18" s="186" t="str">
        <f t="shared" si="6"/>
        <v>AK</v>
      </c>
      <c r="AL18" s="186" t="str">
        <f t="shared" si="6"/>
        <v>AL</v>
      </c>
      <c r="AM18" s="186" t="str">
        <f t="shared" si="6"/>
        <v>AM</v>
      </c>
      <c r="AN18" s="186" t="str">
        <f t="shared" si="6"/>
        <v>AN</v>
      </c>
      <c r="AO18" s="186" t="str">
        <f t="shared" si="6"/>
        <v>AO</v>
      </c>
      <c r="AP18" s="186" t="str">
        <f t="shared" si="6"/>
        <v>AP</v>
      </c>
      <c r="AQ18" s="186" t="str">
        <f t="shared" si="6"/>
        <v>AQ</v>
      </c>
      <c r="AR18" s="186" t="str">
        <f t="shared" si="6"/>
        <v>AR</v>
      </c>
      <c r="AS18" s="186" t="str">
        <f t="shared" si="6"/>
        <v>AS</v>
      </c>
      <c r="AT18" s="186" t="str">
        <f t="shared" si="6"/>
        <v>AT</v>
      </c>
      <c r="AU18" s="186" t="str">
        <f t="shared" si="6"/>
        <v>AU</v>
      </c>
      <c r="AV18" s="186" t="str">
        <f t="shared" si="6"/>
        <v>AV</v>
      </c>
      <c r="AW18" s="186" t="str">
        <f t="shared" si="6"/>
        <v>AW</v>
      </c>
      <c r="AX18" s="186" t="str">
        <f t="shared" si="6"/>
        <v>AX</v>
      </c>
      <c r="AY18" s="186" t="str">
        <f t="shared" si="6"/>
        <v>AY</v>
      </c>
      <c r="AZ18" s="186" t="str">
        <f t="shared" si="6"/>
        <v>AZ</v>
      </c>
      <c r="BA18" s="186" t="str">
        <f t="shared" si="6"/>
        <v>BA</v>
      </c>
      <c r="BB18" s="186" t="str">
        <f t="shared" si="6"/>
        <v>BB</v>
      </c>
      <c r="BC18" s="186" t="str">
        <f t="shared" si="6"/>
        <v>BC</v>
      </c>
      <c r="BD18" s="186" t="str">
        <f t="shared" si="6"/>
        <v>BD</v>
      </c>
      <c r="BE18" s="186" t="str">
        <f t="shared" si="6"/>
        <v>BE</v>
      </c>
      <c r="BF18" s="186" t="str">
        <f t="shared" si="6"/>
        <v>BF</v>
      </c>
      <c r="BG18" s="186" t="str">
        <f t="shared" si="6"/>
        <v>BG</v>
      </c>
      <c r="BH18" s="186" t="str">
        <f t="shared" si="6"/>
        <v>BH</v>
      </c>
      <c r="BI18" s="186" t="str">
        <f t="shared" si="6"/>
        <v>BI</v>
      </c>
      <c r="BJ18" s="186" t="str">
        <f t="shared" si="6"/>
        <v>BJ</v>
      </c>
      <c r="BK18" s="186" t="str">
        <f t="shared" si="6"/>
        <v>BK</v>
      </c>
      <c r="BL18" s="186" t="str">
        <f t="shared" si="6"/>
        <v>BL</v>
      </c>
      <c r="BM18" s="186" t="str">
        <f t="shared" ref="BM18:BU18" si="7">SUBSTITUTE(ADDRESS(1,COLUMN(),4),1,"")</f>
        <v>BM</v>
      </c>
      <c r="BN18" s="186" t="str">
        <f t="shared" si="7"/>
        <v>BN</v>
      </c>
      <c r="BO18" s="186" t="str">
        <f t="shared" si="7"/>
        <v>BO</v>
      </c>
      <c r="BP18" s="186" t="str">
        <f t="shared" si="7"/>
        <v>BP</v>
      </c>
      <c r="BQ18" s="186" t="str">
        <f t="shared" si="7"/>
        <v>BQ</v>
      </c>
      <c r="BR18" s="186" t="str">
        <f t="shared" si="7"/>
        <v>BR</v>
      </c>
      <c r="BS18" s="186" t="str">
        <f t="shared" si="7"/>
        <v>BS</v>
      </c>
      <c r="BT18" s="186" t="str">
        <f t="shared" si="7"/>
        <v>BT</v>
      </c>
      <c r="BU18" s="186" t="str">
        <f t="shared" si="7"/>
        <v>BU</v>
      </c>
      <c r="BW18" s="186" t="str">
        <f t="shared" ref="BW18:CD18" si="8">SUBSTITUTE(ADDRESS(1,COLUMN(),4),1,"")</f>
        <v>BW</v>
      </c>
      <c r="BX18" s="186" t="str">
        <f t="shared" si="8"/>
        <v>BX</v>
      </c>
      <c r="BY18" s="186" t="str">
        <f t="shared" si="8"/>
        <v>BY</v>
      </c>
      <c r="BZ18" s="186" t="str">
        <f t="shared" si="8"/>
        <v>BZ</v>
      </c>
      <c r="CA18" s="186" t="str">
        <f t="shared" si="8"/>
        <v>CA</v>
      </c>
      <c r="CB18" s="186" t="str">
        <f t="shared" si="8"/>
        <v>CB</v>
      </c>
      <c r="CC18" s="186" t="str">
        <f t="shared" si="8"/>
        <v>CC</v>
      </c>
      <c r="CD18" s="186" t="str">
        <f t="shared" si="8"/>
        <v>CD</v>
      </c>
    </row>
    <row r="19" spans="1:87" s="209" customFormat="1" ht="180" customHeight="1">
      <c r="A19" s="225">
        <f>IF(B17=0,"",COUNTA($B$12:(B17)))</f>
        <v>4</v>
      </c>
      <c r="B19" s="201">
        <v>123456</v>
      </c>
      <c r="C19" s="202" t="s">
        <v>120</v>
      </c>
      <c r="D19" s="226" t="s">
        <v>148</v>
      </c>
      <c r="E19" s="226" t="s">
        <v>99</v>
      </c>
      <c r="F19" s="226"/>
      <c r="G19" s="198">
        <v>9520000</v>
      </c>
      <c r="H19" s="198"/>
      <c r="I19" s="198"/>
      <c r="J19" s="227">
        <v>1</v>
      </c>
      <c r="K19" s="198">
        <v>11</v>
      </c>
      <c r="L19" s="198"/>
      <c r="M19" s="198"/>
      <c r="N19" s="198"/>
      <c r="O19" s="198">
        <v>2</v>
      </c>
      <c r="P19" s="198"/>
      <c r="Q19" s="198"/>
      <c r="R19" s="198">
        <v>0</v>
      </c>
      <c r="S19" s="198">
        <v>0</v>
      </c>
      <c r="T19" s="198"/>
      <c r="U19" s="198">
        <v>0</v>
      </c>
      <c r="V19" s="198">
        <v>0</v>
      </c>
      <c r="W19" s="198">
        <v>0</v>
      </c>
      <c r="X19" s="198">
        <v>0</v>
      </c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98"/>
      <c r="AN19" s="198"/>
      <c r="AO19" s="198" t="str">
        <f>"IF(["&amp;F17&amp;"]=""LN"",["&amp;I17&amp;"]*(["&amp;K17&amp;"]+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IF([LN/LT]="LN",[HQCV Bonus norms]*([]+[Collaborate])/26+([Allowances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month]-[]-[Collaborate])/26-[Amounts received during the monthLương
Ngày thường])+([Allowances (fire protection, safety)]-[Allowances (fire protection, safety)]*([Actual work day month]-[]-[Collaborate])/26-[Fire protection allowance (DT, DP), Safety and sanitation allowance]))</v>
      </c>
      <c r="AP19" s="198"/>
      <c r="AQ19" s="198"/>
      <c r="AR19" s="198"/>
      <c r="AS19" s="198"/>
      <c r="AT19" s="198"/>
      <c r="AU19" s="198"/>
      <c r="AV19" s="228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[Amounts received during the monthLương
Ngày thường]+[Salary for vacation days]+[Salary for days off]+[Holiday pay]+[Salary Overtime on weekdays]+[Sunday salary]+[Overtime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228"/>
      <c r="AX19" s="228" t="s">
        <v>101</v>
      </c>
      <c r="AY19" s="199"/>
      <c r="AZ19" s="199"/>
      <c r="BA19" s="199"/>
      <c r="BB19" s="199"/>
      <c r="BC19" s="199"/>
      <c r="BD19" s="199"/>
      <c r="BE19" s="199"/>
      <c r="BF19" s="199"/>
      <c r="BG19" s="199"/>
      <c r="BH19" s="199">
        <v>3</v>
      </c>
      <c r="BI19" s="199"/>
      <c r="BJ19" s="229" t="str">
        <f>"IF(["&amp;BI17&amp;"]&gt;0,ROUND(IF(["&amp;BI17&amp;"]&gt;=80000000,["&amp;BI17&amp;"]*35%-9850000,IF(["&amp;BI17&amp;"]&gt;=52000000,["&amp;BI17&amp;"]*30%-5850000,IF(["&amp;BI17&amp;"]&gt;=32000000,["&amp;BI17&amp;"]*25%-3250000,IF(["&amp;BI17&amp;"]&gt;=18000000,["&amp;BI17&amp;"]*20%-1650000,IF(["&amp;BI17&amp;"]&gt;=10000000,["&amp;BI17&amp;"]*15%-750000,IF(["&amp;BI17&amp;"]&gt;5000000,["&amp;BI17&amp;"]*10%-250000,["&amp;BI17&amp;"]*5%)))))),0),0)"</f>
        <v>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</v>
      </c>
      <c r="BK19" s="199"/>
      <c r="BL19" s="199"/>
      <c r="BM19" s="199">
        <v>0</v>
      </c>
      <c r="BN19" s="199"/>
      <c r="BO19" s="199"/>
      <c r="BP19" s="199"/>
      <c r="BQ19" s="199"/>
      <c r="BR19" s="199"/>
      <c r="BS19" s="199"/>
      <c r="BT19" s="199"/>
      <c r="BU19" s="230"/>
      <c r="BW19" s="231">
        <v>60000000</v>
      </c>
      <c r="BX19" s="229">
        <v>0</v>
      </c>
      <c r="BY19" s="229"/>
      <c r="BZ19" s="229"/>
      <c r="CA19" s="229">
        <v>0</v>
      </c>
      <c r="CB19" s="229"/>
      <c r="CC19" s="229" t="s">
        <v>122</v>
      </c>
      <c r="CD19" s="229"/>
      <c r="CE19" s="208"/>
      <c r="CF19" s="208"/>
      <c r="CG19" s="208"/>
      <c r="CI19" s="210"/>
    </row>
    <row r="25" spans="1:87" ht="17">
      <c r="G25" s="235" t="s">
        <v>153</v>
      </c>
    </row>
  </sheetData>
  <autoFilter ref="A9:CI14" xr:uid="{00000000-0009-0000-0000-000003000000}"/>
  <mergeCells count="82">
    <mergeCell ref="BC7:BC8"/>
    <mergeCell ref="AE6:AE8"/>
    <mergeCell ref="CB5:CB8"/>
    <mergeCell ref="BT5:BT8"/>
    <mergeCell ref="AL6:AL8"/>
    <mergeCell ref="P6:P8"/>
    <mergeCell ref="BB7:BB8"/>
    <mergeCell ref="BD7:BD8"/>
    <mergeCell ref="BF7:BF8"/>
    <mergeCell ref="BH7:BH8"/>
    <mergeCell ref="S6:S8"/>
    <mergeCell ref="AS5:AS8"/>
    <mergeCell ref="BQ5:BR5"/>
    <mergeCell ref="BK7:BK8"/>
    <mergeCell ref="BK6:BP6"/>
    <mergeCell ref="BN7:BN8"/>
    <mergeCell ref="BP7:BP8"/>
    <mergeCell ref="AM6:AM8"/>
    <mergeCell ref="D5:D8"/>
    <mergeCell ref="X6:X8"/>
    <mergeCell ref="AV5:AV8"/>
    <mergeCell ref="AX5:AX8"/>
    <mergeCell ref="V6:W7"/>
    <mergeCell ref="Y6:Y8"/>
    <mergeCell ref="N6:N8"/>
    <mergeCell ref="F5:F8"/>
    <mergeCell ref="AP5:AP8"/>
    <mergeCell ref="AB6:AB8"/>
    <mergeCell ref="M6:M8"/>
    <mergeCell ref="AH6:AH8"/>
    <mergeCell ref="AJ6:AJ8"/>
    <mergeCell ref="T6:T8"/>
    <mergeCell ref="Q6:Q8"/>
    <mergeCell ref="AC6:AC8"/>
    <mergeCell ref="A3:BU3"/>
    <mergeCell ref="E5:E8"/>
    <mergeCell ref="K6:K8"/>
    <mergeCell ref="BS5:BS8"/>
    <mergeCell ref="O6:O8"/>
    <mergeCell ref="G5:G8"/>
    <mergeCell ref="I5:I8"/>
    <mergeCell ref="AQ5:AQ8"/>
    <mergeCell ref="R6:R8"/>
    <mergeCell ref="B5:B8"/>
    <mergeCell ref="A5:A8"/>
    <mergeCell ref="C5:C8"/>
    <mergeCell ref="AU5:AU8"/>
    <mergeCell ref="AK6:AK8"/>
    <mergeCell ref="BI7:BI8"/>
    <mergeCell ref="K5:X5"/>
    <mergeCell ref="BX5:CA7"/>
    <mergeCell ref="U6:U8"/>
    <mergeCell ref="AY6:BJ6"/>
    <mergeCell ref="AG6:AG8"/>
    <mergeCell ref="BE7:BE8"/>
    <mergeCell ref="BQ6:BQ8"/>
    <mergeCell ref="BG7:BG8"/>
    <mergeCell ref="AD6:AD8"/>
    <mergeCell ref="AF6:AF8"/>
    <mergeCell ref="AO6:AO8"/>
    <mergeCell ref="Y5:AO5"/>
    <mergeCell ref="AN6:AN8"/>
    <mergeCell ref="AR5:AR8"/>
    <mergeCell ref="AA6:AA8"/>
    <mergeCell ref="BO7:BO8"/>
    <mergeCell ref="AY5:BP5"/>
    <mergeCell ref="BW3:CB4"/>
    <mergeCell ref="CC5:CC8"/>
    <mergeCell ref="H5:H8"/>
    <mergeCell ref="J5:J8"/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</mergeCells>
  <conditionalFormatting sqref="B1:B9 B12:B16 B20:B1048576 C9:BU9 D10:F10 J10:BI10 BK10:BU10 BW9:CD10">
    <cfRule type="duplicateValues" dxfId="6" priority="68"/>
  </conditionalFormatting>
  <conditionalFormatting sqref="B1:B9 B12:B16 B20:B1048576 C9:BU9">
    <cfRule type="duplicateValues" dxfId="5" priority="6"/>
    <cfRule type="duplicateValues" dxfId="4" priority="63"/>
  </conditionalFormatting>
  <conditionalFormatting sqref="B19">
    <cfRule type="duplicateValues" dxfId="3" priority="1"/>
    <cfRule type="duplicateValues" dxfId="2" priority="2"/>
    <cfRule type="duplicateValues" dxfId="1" priority="3"/>
  </conditionalFormatting>
  <conditionalFormatting sqref="BJ10">
    <cfRule type="duplicateValues" dxfId="0" priority="4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Bảng lương CB-NV</vt:lpstr>
      <vt:lpstr>Mô tả Bảng lương CB-NV</vt:lpstr>
      <vt:lpstr>Bảng lương tạm ứng kỳ 1</vt:lpstr>
      <vt:lpstr>Mô tả Bảng lương tạm ứng kỳ 1</vt:lpstr>
      <vt:lpstr>'Bảng lương CB-NV'!Print_Area</vt:lpstr>
      <vt:lpstr>'Bảng lương tạm ứng kỳ 1'!Print_Area</vt:lpstr>
      <vt:lpstr>'Mô tả Bảng lương CB-NV'!Print_Area</vt:lpstr>
      <vt:lpstr>'Mô tả Bảng lương tạm ứng kỳ 1'!Print_Area</vt:lpstr>
      <vt:lpstr>'Bảng lương CB-NV'!Print_Titles</vt:lpstr>
      <vt:lpstr>'Bảng lương tạm ứng kỳ 1'!Print_Titles</vt:lpstr>
      <vt:lpstr>'Mô tả Bảng lương CB-NV'!Print_Titles</vt:lpstr>
      <vt:lpstr>'Mô tả Bảng lương tạm ứng kỳ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2026-01-06T12:06:46Z</dcterms:modified>
</cp:coreProperties>
</file>